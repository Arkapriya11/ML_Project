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I110" i="41" l="1"/>
  <c r="I110" i="40"/>
  <c r="G110" i="33"/>
  <c r="H110" i="33"/>
  <c r="H110" i="32"/>
  <c r="G110" i="32"/>
  <c r="C110" i="32"/>
  <c r="D110" i="32"/>
  <c r="E110" i="32"/>
  <c r="B110" i="32"/>
  <c r="I110" i="32"/>
  <c r="Q110" i="31"/>
  <c r="G110" i="31"/>
  <c r="H110" i="31"/>
  <c r="I110" i="31"/>
  <c r="I110" i="30"/>
  <c r="Q110" i="30"/>
  <c r="C110" i="30"/>
  <c r="D110" i="30"/>
  <c r="B110" i="30"/>
  <c r="J110" i="29"/>
  <c r="J110" i="28"/>
  <c r="H110" i="28"/>
  <c r="G110" i="28"/>
  <c r="I110" i="27"/>
  <c r="H110" i="27"/>
  <c r="H110" i="26"/>
  <c r="H110" i="24"/>
  <c r="G110" i="24"/>
  <c r="H110" i="23"/>
  <c r="G110" i="22"/>
  <c r="H110" i="22"/>
  <c r="H110" i="21"/>
  <c r="H110" i="20"/>
  <c r="Q110" i="19"/>
  <c r="H110" i="19"/>
  <c r="G110" i="19"/>
  <c r="E110" i="17" l="1"/>
  <c r="H110" i="18"/>
  <c r="I110" i="18"/>
  <c r="J110" i="18"/>
  <c r="Q110" i="17"/>
  <c r="H110" i="17"/>
  <c r="G110" i="17"/>
  <c r="Q110" i="16"/>
  <c r="Q110" i="15"/>
  <c r="H110" i="14"/>
  <c r="F110" i="12"/>
  <c r="G110" i="12"/>
  <c r="H110" i="12"/>
  <c r="I110" i="12"/>
  <c r="C110" i="11"/>
  <c r="D110" i="11"/>
  <c r="B110" i="11"/>
  <c r="H110" i="11"/>
  <c r="I110" i="11"/>
  <c r="E110" i="9"/>
  <c r="H110" i="9"/>
  <c r="G110" i="9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I110" i="3"/>
  <c r="I110" i="2"/>
  <c r="C110" i="26" l="1"/>
  <c r="C112" i="26" s="1"/>
  <c r="D110" i="26"/>
  <c r="D112" i="26" s="1"/>
  <c r="B110" i="26"/>
  <c r="B112" i="26" s="1"/>
  <c r="E110" i="26"/>
  <c r="E112" i="26"/>
  <c r="F110" i="26"/>
  <c r="F111" i="26" s="1"/>
  <c r="G110" i="26"/>
  <c r="G112" i="26" s="1"/>
  <c r="H112" i="26"/>
  <c r="I110" i="26"/>
  <c r="I112" i="26" s="1"/>
  <c r="J110" i="26"/>
  <c r="J111" i="26" s="1"/>
  <c r="K110" i="26"/>
  <c r="K112" i="26" s="1"/>
  <c r="L110" i="26"/>
  <c r="M110" i="26"/>
  <c r="N110" i="26"/>
  <c r="N111" i="26" s="1"/>
  <c r="O110" i="26"/>
  <c r="P110" i="26"/>
  <c r="P112" i="26" s="1"/>
  <c r="Q110" i="26"/>
  <c r="C110" i="25"/>
  <c r="C111" i="25"/>
  <c r="D110" i="25"/>
  <c r="D112" i="25" s="1"/>
  <c r="E110" i="25"/>
  <c r="E112" i="25" s="1"/>
  <c r="F110" i="25"/>
  <c r="G110" i="25"/>
  <c r="G112" i="25" s="1"/>
  <c r="H110" i="25"/>
  <c r="H111" i="25"/>
  <c r="I110" i="25"/>
  <c r="J110" i="25"/>
  <c r="K110" i="25"/>
  <c r="K111" i="25" s="1"/>
  <c r="L110" i="25"/>
  <c r="L112" i="25" s="1"/>
  <c r="M110" i="25"/>
  <c r="M111" i="25" s="1"/>
  <c r="N110" i="25"/>
  <c r="N111" i="25" s="1"/>
  <c r="O110" i="25"/>
  <c r="P110" i="25"/>
  <c r="P111" i="25" s="1"/>
  <c r="Q110" i="25"/>
  <c r="B110" i="25"/>
  <c r="B112" i="25" s="1"/>
  <c r="Q110" i="14"/>
  <c r="Q112" i="14"/>
  <c r="I110" i="14"/>
  <c r="I111" i="14" s="1"/>
  <c r="I110" i="13"/>
  <c r="I111" i="13" s="1"/>
  <c r="I112" i="41"/>
  <c r="J110" i="41"/>
  <c r="J112" i="41" s="1"/>
  <c r="H110" i="41"/>
  <c r="H112" i="41" s="1"/>
  <c r="J110" i="40"/>
  <c r="J111" i="40" s="1"/>
  <c r="H110" i="40"/>
  <c r="H111" i="40" s="1"/>
  <c r="I111" i="40"/>
  <c r="G112" i="33"/>
  <c r="H111" i="33"/>
  <c r="I110" i="33"/>
  <c r="I111" i="33" s="1"/>
  <c r="J110" i="33"/>
  <c r="J112" i="33" s="1"/>
  <c r="J110" i="32"/>
  <c r="J111" i="32" s="1"/>
  <c r="I112" i="32"/>
  <c r="H111" i="32"/>
  <c r="H112" i="31"/>
  <c r="I111" i="31"/>
  <c r="J110" i="31"/>
  <c r="J111" i="31" s="1"/>
  <c r="G112" i="31"/>
  <c r="J110" i="30"/>
  <c r="J111" i="30" s="1"/>
  <c r="I112" i="30"/>
  <c r="H110" i="30"/>
  <c r="H112" i="30"/>
  <c r="J112" i="29"/>
  <c r="I110" i="29"/>
  <c r="I112" i="29" s="1"/>
  <c r="H110" i="29"/>
  <c r="H112" i="29" s="1"/>
  <c r="J111" i="28"/>
  <c r="I110" i="28"/>
  <c r="I112" i="28" s="1"/>
  <c r="H111" i="28"/>
  <c r="I112" i="27"/>
  <c r="C110" i="27"/>
  <c r="C111" i="27" s="1"/>
  <c r="D110" i="27"/>
  <c r="D111" i="27" s="1"/>
  <c r="E110" i="27"/>
  <c r="F110" i="27"/>
  <c r="F112" i="27" s="1"/>
  <c r="G110" i="27"/>
  <c r="G112" i="27" s="1"/>
  <c r="H111" i="27"/>
  <c r="J110" i="27"/>
  <c r="K110" i="27"/>
  <c r="L110" i="27"/>
  <c r="L112" i="27"/>
  <c r="M110" i="27"/>
  <c r="M112" i="27" s="1"/>
  <c r="N110" i="27"/>
  <c r="O110" i="27"/>
  <c r="P110" i="27"/>
  <c r="Q110" i="27"/>
  <c r="Q111" i="26"/>
  <c r="Q111" i="25"/>
  <c r="O112" i="25"/>
  <c r="J112" i="25"/>
  <c r="I111" i="25"/>
  <c r="F112" i="25"/>
  <c r="J110" i="24"/>
  <c r="J111" i="24" s="1"/>
  <c r="I110" i="24"/>
  <c r="I112" i="24" s="1"/>
  <c r="H112" i="24"/>
  <c r="J110" i="23"/>
  <c r="J112" i="23" s="1"/>
  <c r="I110" i="23"/>
  <c r="I112" i="23" s="1"/>
  <c r="J110" i="22"/>
  <c r="J112" i="22" s="1"/>
  <c r="I110" i="22"/>
  <c r="I112" i="22" s="1"/>
  <c r="H112" i="22"/>
  <c r="G111" i="22"/>
  <c r="J110" i="21"/>
  <c r="J111" i="21" s="1"/>
  <c r="I110" i="21"/>
  <c r="I111" i="21" s="1"/>
  <c r="H111" i="21"/>
  <c r="H112" i="20"/>
  <c r="I110" i="20"/>
  <c r="I111" i="20" s="1"/>
  <c r="J110" i="20"/>
  <c r="J112" i="20" s="1"/>
  <c r="Q112" i="19"/>
  <c r="J110" i="19"/>
  <c r="J111" i="19" s="1"/>
  <c r="I110" i="19"/>
  <c r="I112" i="19" s="1"/>
  <c r="H112" i="19"/>
  <c r="Q112" i="17"/>
  <c r="J110" i="17"/>
  <c r="J112" i="17" s="1"/>
  <c r="I110" i="17"/>
  <c r="I111" i="17" s="1"/>
  <c r="H112" i="17"/>
  <c r="H110" i="16"/>
  <c r="H111" i="16" s="1"/>
  <c r="I110" i="16"/>
  <c r="I111" i="16" s="1"/>
  <c r="J110" i="16"/>
  <c r="J111" i="16" s="1"/>
  <c r="H110" i="15"/>
  <c r="H112" i="15" s="1"/>
  <c r="H111" i="15"/>
  <c r="I110" i="15"/>
  <c r="I111" i="15" s="1"/>
  <c r="J110" i="15"/>
  <c r="J112" i="15" s="1"/>
  <c r="Q111" i="15"/>
  <c r="J110" i="14"/>
  <c r="J111" i="14"/>
  <c r="H112" i="14"/>
  <c r="D112" i="11"/>
  <c r="C112" i="11"/>
  <c r="B111" i="11"/>
  <c r="J110" i="13"/>
  <c r="J112" i="13" s="1"/>
  <c r="H110" i="13"/>
  <c r="H112" i="13" s="1"/>
  <c r="F111" i="12"/>
  <c r="J110" i="12"/>
  <c r="J112" i="12" s="1"/>
  <c r="H111" i="12"/>
  <c r="I112" i="12"/>
  <c r="J110" i="11"/>
  <c r="J111" i="11"/>
  <c r="I111" i="11"/>
  <c r="H111" i="11"/>
  <c r="G110" i="11"/>
  <c r="G112" i="11" s="1"/>
  <c r="J110" i="10"/>
  <c r="J112" i="10" s="1"/>
  <c r="I110" i="10"/>
  <c r="I111" i="10"/>
  <c r="H110" i="10"/>
  <c r="H112" i="10" s="1"/>
  <c r="J110" i="9"/>
  <c r="J111" i="9" s="1"/>
  <c r="I110" i="9"/>
  <c r="I111" i="9" s="1"/>
  <c r="H111" i="9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0" i="2"/>
  <c r="C111" i="2" s="1"/>
  <c r="D110" i="2"/>
  <c r="D112" i="2" s="1"/>
  <c r="E110" i="2"/>
  <c r="E112" i="2" s="1"/>
  <c r="F110" i="2"/>
  <c r="F112" i="2" s="1"/>
  <c r="G110" i="2"/>
  <c r="G112" i="2" s="1"/>
  <c r="H110" i="2"/>
  <c r="H111" i="2" s="1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1" i="2" s="1"/>
  <c r="P112" i="2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 s="1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N108" i="41"/>
  <c r="N38" i="39" s="1"/>
  <c r="M108" i="41"/>
  <c r="L108" i="41"/>
  <c r="K108" i="41"/>
  <c r="K38" i="39" s="1"/>
  <c r="J108" i="41"/>
  <c r="I108" i="41"/>
  <c r="I38" i="39" s="1"/>
  <c r="H108" i="41"/>
  <c r="G108" i="41"/>
  <c r="F108" i="41"/>
  <c r="E108" i="41"/>
  <c r="D108" i="41"/>
  <c r="D38" i="39" s="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1" i="40" s="1"/>
  <c r="K112" i="40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/>
  <c r="O108" i="40"/>
  <c r="N108" i="40"/>
  <c r="M108" i="40"/>
  <c r="M37" i="39" s="1"/>
  <c r="L108" i="40"/>
  <c r="L37" i="39" s="1"/>
  <c r="K108" i="40"/>
  <c r="K37" i="39" s="1"/>
  <c r="J108" i="40"/>
  <c r="I108" i="40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2" i="33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O108" i="33"/>
  <c r="O36" i="39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G36" i="39" s="1"/>
  <c r="F108" i="33"/>
  <c r="F36" i="39" s="1"/>
  <c r="E108" i="33"/>
  <c r="D108" i="33"/>
  <c r="D36" i="39" s="1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1" i="32" s="1"/>
  <c r="K110" i="32"/>
  <c r="K112" i="32" s="1"/>
  <c r="G111" i="32"/>
  <c r="F110" i="32"/>
  <c r="F112" i="32" s="1"/>
  <c r="E111" i="32"/>
  <c r="D112" i="32"/>
  <c r="C111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L35" i="39" s="1"/>
  <c r="K108" i="32"/>
  <c r="J108" i="32"/>
  <c r="J35" i="39" s="1"/>
  <c r="I108" i="32"/>
  <c r="I35" i="39" s="1"/>
  <c r="H108" i="32"/>
  <c r="G108" i="32"/>
  <c r="G35" i="39" s="1"/>
  <c r="F108" i="32"/>
  <c r="F35" i="39" s="1"/>
  <c r="E108" i="32"/>
  <c r="E35" i="39" s="1"/>
  <c r="D108" i="32"/>
  <c r="C108" i="32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1" i="30"/>
  <c r="P110" i="30"/>
  <c r="P111" i="30"/>
  <c r="O110" i="30"/>
  <c r="O112" i="30" s="1"/>
  <c r="N110" i="30"/>
  <c r="N112" i="30" s="1"/>
  <c r="M110" i="30"/>
  <c r="M112" i="30" s="1"/>
  <c r="L110" i="30"/>
  <c r="L112" i="30"/>
  <c r="K110" i="30"/>
  <c r="K112" i="30" s="1"/>
  <c r="G110" i="30"/>
  <c r="G112" i="30" s="1"/>
  <c r="F110" i="30"/>
  <c r="F112" i="30" s="1"/>
  <c r="E110" i="30"/>
  <c r="E111" i="30"/>
  <c r="D112" i="30"/>
  <c r="C111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/>
  <c r="O108" i="30"/>
  <c r="O33" i="39" s="1"/>
  <c r="N108" i="30"/>
  <c r="N33" i="39" s="1"/>
  <c r="M108" i="30"/>
  <c r="M33" i="39" s="1"/>
  <c r="L108" i="30"/>
  <c r="K108" i="30"/>
  <c r="K33" i="39" s="1"/>
  <c r="J108" i="30"/>
  <c r="I108" i="30"/>
  <c r="I33" i="39" s="1"/>
  <c r="H108" i="30"/>
  <c r="G108" i="30"/>
  <c r="F108" i="30"/>
  <c r="F33" i="39" s="1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G110" i="29"/>
  <c r="G111" i="29"/>
  <c r="F110" i="29"/>
  <c r="F111" i="29" s="1"/>
  <c r="E110" i="29"/>
  <c r="E112" i="29" s="1"/>
  <c r="D110" i="29"/>
  <c r="D112" i="29"/>
  <c r="C110" i="29"/>
  <c r="C112" i="29" s="1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K32" i="39" s="1"/>
  <c r="J108" i="29"/>
  <c r="I108" i="29"/>
  <c r="I32" i="39" s="1"/>
  <c r="H108" i="29"/>
  <c r="G108" i="29"/>
  <c r="G32" i="39" s="1"/>
  <c r="F108" i="29"/>
  <c r="F32" i="39" s="1"/>
  <c r="E108" i="29"/>
  <c r="E32" i="39" s="1"/>
  <c r="D108" i="29"/>
  <c r="D32" i="39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/>
  <c r="K110" i="28"/>
  <c r="K111" i="28" s="1"/>
  <c r="G112" i="28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G31" i="39" s="1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M111" i="26"/>
  <c r="L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D29" i="39" s="1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J28" i="39" s="1"/>
  <c r="I108" i="25"/>
  <c r="I28" i="39" s="1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 s="1"/>
  <c r="P110" i="24"/>
  <c r="P112" i="24" s="1"/>
  <c r="O110" i="24"/>
  <c r="O112" i="24" s="1"/>
  <c r="N110" i="24"/>
  <c r="N111" i="24" s="1"/>
  <c r="M110" i="24"/>
  <c r="M112" i="24" s="1"/>
  <c r="L110" i="24"/>
  <c r="L112" i="24" s="1"/>
  <c r="K110" i="24"/>
  <c r="K111" i="24" s="1"/>
  <c r="G112" i="24"/>
  <c r="F110" i="24"/>
  <c r="F112" i="24"/>
  <c r="E110" i="24"/>
  <c r="E112" i="24"/>
  <c r="D110" i="24"/>
  <c r="D112" i="24"/>
  <c r="C110" i="24"/>
  <c r="C111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/>
  <c r="J108" i="24"/>
  <c r="I108" i="24"/>
  <c r="I27" i="39" s="1"/>
  <c r="H108" i="24"/>
  <c r="H27" i="39" s="1"/>
  <c r="G108" i="24"/>
  <c r="G27" i="39" s="1"/>
  <c r="F108" i="24"/>
  <c r="E108" i="24"/>
  <c r="E27" i="39" s="1"/>
  <c r="D108" i="24"/>
  <c r="D27" i="39" s="1"/>
  <c r="C108" i="24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/>
  <c r="O110" i="23"/>
  <c r="O112" i="23" s="1"/>
  <c r="N110" i="23"/>
  <c r="N111" i="23" s="1"/>
  <c r="M110" i="23"/>
  <c r="M112" i="23" s="1"/>
  <c r="L110" i="23"/>
  <c r="L112" i="23" s="1"/>
  <c r="K110" i="23"/>
  <c r="K112" i="23"/>
  <c r="H112" i="23"/>
  <c r="G110" i="23"/>
  <c r="G111" i="23" s="1"/>
  <c r="F110" i="23"/>
  <c r="F111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G26" i="39" s="1"/>
  <c r="F108" i="23"/>
  <c r="F26" i="39" s="1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I25" i="39" s="1"/>
  <c r="H108" i="22"/>
  <c r="G108" i="22"/>
  <c r="G25" i="39" s="1"/>
  <c r="F108" i="22"/>
  <c r="F25" i="39" s="1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/>
  <c r="O110" i="21"/>
  <c r="O112" i="21" s="1"/>
  <c r="N110" i="21"/>
  <c r="N112" i="21" s="1"/>
  <c r="M110" i="21"/>
  <c r="M111" i="21" s="1"/>
  <c r="L110" i="21"/>
  <c r="L112" i="21" s="1"/>
  <c r="K110" i="21"/>
  <c r="K111" i="21" s="1"/>
  <c r="G110" i="21"/>
  <c r="G112" i="21" s="1"/>
  <c r="F110" i="21"/>
  <c r="F112" i="21" s="1"/>
  <c r="E110" i="21"/>
  <c r="E112" i="21" s="1"/>
  <c r="D110" i="21"/>
  <c r="D112" i="21" s="1"/>
  <c r="D111" i="2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/>
  <c r="M108" i="21"/>
  <c r="M24" i="39" s="1"/>
  <c r="L108" i="21"/>
  <c r="L24" i="39" s="1"/>
  <c r="K108" i="21"/>
  <c r="K24" i="39"/>
  <c r="J108" i="21"/>
  <c r="J24" i="39" s="1"/>
  <c r="I108" i="21"/>
  <c r="I24" i="39" s="1"/>
  <c r="H108" i="21"/>
  <c r="H24" i="39" s="1"/>
  <c r="G108" i="2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/>
  <c r="N110" i="20"/>
  <c r="N111" i="20" s="1"/>
  <c r="M110" i="20"/>
  <c r="M112" i="20" s="1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I23" i="39" s="1"/>
  <c r="H108" i="20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2" i="19"/>
  <c r="F110" i="19"/>
  <c r="F112" i="19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F108" i="19"/>
  <c r="F22" i="39"/>
  <c r="E108" i="19"/>
  <c r="E22" i="39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 s="1"/>
  <c r="P110" i="18"/>
  <c r="P111" i="18" s="1"/>
  <c r="O110" i="18"/>
  <c r="O111" i="18" s="1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 s="1"/>
  <c r="F110" i="18"/>
  <c r="F112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N21" i="39" s="1"/>
  <c r="M108" i="18"/>
  <c r="M21" i="39" s="1"/>
  <c r="L108" i="18"/>
  <c r="L21" i="39" s="1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2" i="17"/>
  <c r="F110" i="17"/>
  <c r="F111" i="17" s="1"/>
  <c r="E112" i="17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/>
  <c r="L108" i="16"/>
  <c r="K108" i="16"/>
  <c r="J108" i="16"/>
  <c r="J19" i="39" s="1"/>
  <c r="I108" i="16"/>
  <c r="I19" i="39" s="1"/>
  <c r="H108" i="16"/>
  <c r="H19" i="39" s="1"/>
  <c r="G108" i="16"/>
  <c r="F108" i="16"/>
  <c r="F19" i="39" s="1"/>
  <c r="E108" i="16"/>
  <c r="E19" i="39" s="1"/>
  <c r="D108" i="16"/>
  <c r="D19" i="39" s="1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1" i="15" s="1"/>
  <c r="M112" i="15"/>
  <c r="L110" i="15"/>
  <c r="L111" i="15" s="1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P18" i="39" s="1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H18" i="39" s="1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/>
  <c r="O110" i="14"/>
  <c r="O112" i="14" s="1"/>
  <c r="N110" i="14"/>
  <c r="N112" i="14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O108" i="14"/>
  <c r="O17" i="39" s="1"/>
  <c r="N108" i="14"/>
  <c r="N17" i="39" s="1"/>
  <c r="M108" i="14"/>
  <c r="L108" i="14"/>
  <c r="K108" i="14"/>
  <c r="K17" i="39"/>
  <c r="J108" i="14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1" i="13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 s="1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I16" i="39" s="1"/>
  <c r="H108" i="13"/>
  <c r="H16" i="39" s="1"/>
  <c r="G108" i="13"/>
  <c r="G16" i="39" s="1"/>
  <c r="F108" i="13"/>
  <c r="E108" i="13"/>
  <c r="D108" i="13"/>
  <c r="C108" i="13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1" i="12" s="1"/>
  <c r="L110" i="12"/>
  <c r="L112" i="12"/>
  <c r="K110" i="12"/>
  <c r="K111" i="12" s="1"/>
  <c r="G111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I108" i="12"/>
  <c r="I15" i="39" s="1"/>
  <c r="H108" i="12"/>
  <c r="H15" i="39" s="1"/>
  <c r="G108" i="12"/>
  <c r="G15" i="39" s="1"/>
  <c r="F108" i="12"/>
  <c r="F15" i="39" s="1"/>
  <c r="E108" i="12"/>
  <c r="E15" i="39"/>
  <c r="D108" i="12"/>
  <c r="D15" i="39"/>
  <c r="C108" i="12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K108" i="11"/>
  <c r="K14" i="39" s="1"/>
  <c r="J108" i="11"/>
  <c r="J14" i="39" s="1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/>
  <c r="M110" i="9"/>
  <c r="M112" i="9" s="1"/>
  <c r="L110" i="9"/>
  <c r="L112" i="9" s="1"/>
  <c r="K110" i="9"/>
  <c r="K112" i="9" s="1"/>
  <c r="G112" i="9"/>
  <c r="F110" i="9"/>
  <c r="F111" i="9" s="1"/>
  <c r="E112" i="9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/>
  <c r="N108" i="9"/>
  <c r="N12" i="39" s="1"/>
  <c r="M108" i="9"/>
  <c r="M12" i="39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/>
  <c r="M108" i="3"/>
  <c r="M10" i="39" s="1"/>
  <c r="L108" i="3"/>
  <c r="L10" i="39" s="1"/>
  <c r="K108" i="3"/>
  <c r="K10" i="39" s="1"/>
  <c r="J108" i="3"/>
  <c r="J10" i="39" s="1"/>
  <c r="I108" i="3"/>
  <c r="I10" i="39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K35" i="39"/>
  <c r="H35" i="39"/>
  <c r="D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Q112" i="2"/>
  <c r="T40" i="6"/>
  <c r="T21" i="6"/>
  <c r="K88" i="6"/>
  <c r="J88" i="6"/>
  <c r="K115" i="6"/>
  <c r="J115" i="6"/>
  <c r="I115" i="6"/>
  <c r="L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J38" i="39"/>
  <c r="H38" i="39"/>
  <c r="G38" i="39"/>
  <c r="F38" i="39"/>
  <c r="E38" i="39"/>
  <c r="C38" i="39"/>
  <c r="O37" i="39"/>
  <c r="N37" i="39"/>
  <c r="J37" i="39"/>
  <c r="I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H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E23" i="39"/>
  <c r="B23" i="39"/>
  <c r="Q22" i="39"/>
  <c r="N22" i="39"/>
  <c r="M22" i="39"/>
  <c r="L22" i="39"/>
  <c r="G22" i="39"/>
  <c r="C22" i="39"/>
  <c r="Q21" i="39"/>
  <c r="P21" i="39"/>
  <c r="K21" i="39"/>
  <c r="J21" i="39"/>
  <c r="G21" i="39"/>
  <c r="F21" i="39"/>
  <c r="C21" i="39"/>
  <c r="A21" i="39"/>
  <c r="M20" i="39"/>
  <c r="A20" i="39"/>
  <c r="L19" i="39"/>
  <c r="K19" i="39"/>
  <c r="G19" i="39"/>
  <c r="B19" i="39"/>
  <c r="L18" i="39"/>
  <c r="I18" i="39"/>
  <c r="G18" i="39"/>
  <c r="E18" i="39"/>
  <c r="D18" i="39"/>
  <c r="P17" i="39"/>
  <c r="M17" i="39"/>
  <c r="L17" i="39"/>
  <c r="Q16" i="39"/>
  <c r="P16" i="39"/>
  <c r="L16" i="39"/>
  <c r="F16" i="39"/>
  <c r="E16" i="39"/>
  <c r="D16" i="39"/>
  <c r="C16" i="39"/>
  <c r="N15" i="39"/>
  <c r="C15" i="39"/>
  <c r="L14" i="39"/>
  <c r="I14" i="39"/>
  <c r="H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N36" i="39"/>
  <c r="K36" i="39"/>
  <c r="H36" i="39"/>
  <c r="E36" i="39"/>
  <c r="C36" i="39"/>
  <c r="A36" i="39"/>
  <c r="P35" i="39"/>
  <c r="C35" i="39"/>
  <c r="M34" i="39"/>
  <c r="K34" i="39"/>
  <c r="J34" i="39"/>
  <c r="I34" i="39"/>
  <c r="H34" i="39"/>
  <c r="F34" i="39"/>
  <c r="L33" i="39"/>
  <c r="J33" i="39"/>
  <c r="H33" i="39"/>
  <c r="B33" i="39"/>
  <c r="Q32" i="39"/>
  <c r="O32" i="39"/>
  <c r="N32" i="39"/>
  <c r="B32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I29" i="39"/>
  <c r="H29" i="39"/>
  <c r="G29" i="39"/>
  <c r="F29" i="39"/>
  <c r="E29" i="39"/>
  <c r="P28" i="39"/>
  <c r="N28" i="39"/>
  <c r="M28" i="39"/>
  <c r="L28" i="39"/>
  <c r="K28" i="39"/>
  <c r="H28" i="39"/>
  <c r="G28" i="39"/>
  <c r="B28" i="39"/>
  <c r="O27" i="39"/>
  <c r="M27" i="39"/>
  <c r="L27" i="39"/>
  <c r="O26" i="39"/>
  <c r="P24" i="39"/>
  <c r="N23" i="39"/>
  <c r="C23" i="39"/>
  <c r="O22" i="39"/>
  <c r="D22" i="39"/>
  <c r="P20" i="39"/>
  <c r="D20" i="39"/>
  <c r="F18" i="39"/>
  <c r="M16" i="39"/>
  <c r="K16" i="39"/>
  <c r="J15" i="39"/>
  <c r="Q12" i="39"/>
  <c r="B12" i="39"/>
  <c r="P10" i="39"/>
  <c r="P36" i="39"/>
  <c r="E34" i="39"/>
  <c r="E26" i="39"/>
  <c r="P23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J22" i="39"/>
  <c r="N19" i="39"/>
  <c r="O18" i="39"/>
  <c r="J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22" i="39"/>
  <c r="O111" i="41"/>
  <c r="M111" i="41"/>
  <c r="K111" i="41"/>
  <c r="G111" i="41"/>
  <c r="F111" i="41"/>
  <c r="D111" i="41"/>
  <c r="C111" i="41"/>
  <c r="B111" i="41"/>
  <c r="Q111" i="40"/>
  <c r="O111" i="40"/>
  <c r="M111" i="40"/>
  <c r="G111" i="40"/>
  <c r="F111" i="40"/>
  <c r="B111" i="40"/>
  <c r="O111" i="33"/>
  <c r="M111" i="33"/>
  <c r="L111" i="33"/>
  <c r="F111" i="33"/>
  <c r="D111" i="33"/>
  <c r="C111" i="33"/>
  <c r="Q111" i="32"/>
  <c r="O111" i="32"/>
  <c r="M111" i="32"/>
  <c r="K111" i="32"/>
  <c r="F111" i="32"/>
  <c r="D111" i="32"/>
  <c r="O111" i="31"/>
  <c r="N111" i="31"/>
  <c r="L111" i="31"/>
  <c r="F111" i="31"/>
  <c r="E111" i="31"/>
  <c r="D111" i="31"/>
  <c r="C111" i="31"/>
  <c r="B111" i="31"/>
  <c r="O111" i="30"/>
  <c r="N111" i="30"/>
  <c r="M111" i="30"/>
  <c r="L111" i="30"/>
  <c r="D111" i="30"/>
  <c r="P111" i="29"/>
  <c r="N111" i="29"/>
  <c r="M111" i="29"/>
  <c r="D111" i="29"/>
  <c r="B111" i="29"/>
  <c r="O111" i="28"/>
  <c r="N111" i="28"/>
  <c r="M111" i="28"/>
  <c r="L111" i="28"/>
  <c r="E111" i="28"/>
  <c r="C111" i="28"/>
  <c r="P111" i="27"/>
  <c r="N111" i="27"/>
  <c r="M111" i="27"/>
  <c r="E111" i="27"/>
  <c r="B111" i="27"/>
  <c r="L111" i="26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B111" i="23"/>
  <c r="P111" i="22"/>
  <c r="M111" i="22"/>
  <c r="E111" i="22"/>
  <c r="D111" i="22"/>
  <c r="C111" i="22"/>
  <c r="Q111" i="21"/>
  <c r="N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F111" i="19"/>
  <c r="B111" i="19"/>
  <c r="Q111" i="18"/>
  <c r="N111" i="18"/>
  <c r="L111" i="18"/>
  <c r="I111" i="18"/>
  <c r="F111" i="18"/>
  <c r="E111" i="18"/>
  <c r="D111" i="18"/>
  <c r="O111" i="17"/>
  <c r="B111" i="17"/>
  <c r="O111" i="16"/>
  <c r="N111" i="16"/>
  <c r="L111" i="16"/>
  <c r="F111" i="16"/>
  <c r="E111" i="16"/>
  <c r="D111" i="16"/>
  <c r="P111" i="15"/>
  <c r="O111" i="15"/>
  <c r="K111" i="15"/>
  <c r="J111" i="15"/>
  <c r="E111" i="15"/>
  <c r="D111" i="15"/>
  <c r="B111" i="15"/>
  <c r="P111" i="14"/>
  <c r="N111" i="14"/>
  <c r="M111" i="14"/>
  <c r="L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N111" i="10"/>
  <c r="K111" i="10"/>
  <c r="G111" i="10"/>
  <c r="C111" i="10"/>
  <c r="B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G111" i="3"/>
  <c r="C112" i="30"/>
  <c r="C112" i="17"/>
  <c r="D112" i="3"/>
  <c r="K112" i="2"/>
  <c r="G111" i="2"/>
  <c r="D111" i="2"/>
  <c r="L112" i="10"/>
  <c r="M112" i="10"/>
  <c r="E111" i="10"/>
  <c r="L111" i="9"/>
  <c r="B111" i="3"/>
  <c r="N112" i="3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J112" i="11"/>
  <c r="Q112" i="11"/>
  <c r="P111" i="11"/>
  <c r="G111" i="11"/>
  <c r="I112" i="11"/>
  <c r="D111" i="11"/>
  <c r="C111" i="11"/>
  <c r="C111" i="16"/>
  <c r="I112" i="16"/>
  <c r="Q112" i="16"/>
  <c r="Q112" i="15"/>
  <c r="J112" i="14"/>
  <c r="Q111" i="17"/>
  <c r="B112" i="18"/>
  <c r="J112" i="18"/>
  <c r="J111" i="17"/>
  <c r="I112" i="17"/>
  <c r="N112" i="17"/>
  <c r="L112" i="17"/>
  <c r="M111" i="17"/>
  <c r="K112" i="17"/>
  <c r="F112" i="17"/>
  <c r="I112" i="20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I112" i="25"/>
  <c r="J112" i="24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B112" i="32"/>
  <c r="J112" i="32"/>
  <c r="I112" i="31"/>
  <c r="Q112" i="31"/>
  <c r="G111" i="31"/>
  <c r="P111" i="31"/>
  <c r="H111" i="30"/>
  <c r="I111" i="30"/>
  <c r="J111" i="29"/>
  <c r="I111" i="29"/>
  <c r="H111" i="29"/>
  <c r="G112" i="29"/>
  <c r="I111" i="28"/>
  <c r="B111" i="28"/>
  <c r="J112" i="40"/>
  <c r="H112" i="40"/>
  <c r="I112" i="40"/>
  <c r="D111" i="40"/>
  <c r="J111" i="33"/>
  <c r="J111" i="41"/>
  <c r="H111" i="41"/>
  <c r="Q112" i="41"/>
  <c r="J112" i="3"/>
  <c r="L112" i="3"/>
  <c r="C112" i="3"/>
  <c r="K112" i="8"/>
  <c r="Q112" i="8"/>
  <c r="F112" i="9"/>
  <c r="Q112" i="9"/>
  <c r="D111" i="10"/>
  <c r="O112" i="10"/>
  <c r="H111" i="10"/>
  <c r="M112" i="12"/>
  <c r="K112" i="12"/>
  <c r="D112" i="13"/>
  <c r="O112" i="13"/>
  <c r="B112" i="13"/>
  <c r="M112" i="13"/>
  <c r="F112" i="14"/>
  <c r="D111" i="14"/>
  <c r="L112" i="15"/>
  <c r="G112" i="15"/>
  <c r="M111" i="16"/>
  <c r="K111" i="16"/>
  <c r="M112" i="18"/>
  <c r="C112" i="18"/>
  <c r="K111" i="18"/>
  <c r="K112" i="19"/>
  <c r="C111" i="20"/>
  <c r="H111" i="20"/>
  <c r="N112" i="20"/>
  <c r="F111" i="21"/>
  <c r="I112" i="21"/>
  <c r="L112" i="22"/>
  <c r="F112" i="22"/>
  <c r="G112" i="22"/>
  <c r="F112" i="23"/>
  <c r="G111" i="24"/>
  <c r="O112" i="26"/>
  <c r="M112" i="26"/>
  <c r="F111" i="27"/>
  <c r="F112" i="29"/>
  <c r="Q112" i="29"/>
  <c r="K111" i="30"/>
  <c r="M112" i="31"/>
  <c r="H111" i="31"/>
  <c r="K112" i="31"/>
  <c r="J112" i="31"/>
  <c r="E112" i="32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K112" i="14"/>
  <c r="P112" i="17"/>
  <c r="C112" i="24"/>
  <c r="L112" i="29"/>
  <c r="C112" i="40"/>
  <c r="K111" i="3"/>
  <c r="J112" i="16"/>
  <c r="I111" i="19"/>
  <c r="G111" i="27"/>
  <c r="H112" i="33"/>
  <c r="G112" i="13"/>
  <c r="B112" i="21"/>
  <c r="B112" i="22"/>
  <c r="N112" i="22"/>
  <c r="N112" i="23"/>
  <c r="K112" i="28"/>
  <c r="L112" i="32"/>
  <c r="B112" i="33"/>
  <c r="N112" i="33"/>
  <c r="I112" i="10"/>
  <c r="J111" i="12"/>
  <c r="H111" i="14"/>
  <c r="G111" i="25"/>
  <c r="O111" i="25"/>
  <c r="H111" i="26"/>
  <c r="J112" i="28"/>
  <c r="F112" i="10"/>
  <c r="G112" i="16"/>
  <c r="O112" i="18"/>
  <c r="N112" i="24"/>
  <c r="F111" i="15"/>
  <c r="G112" i="18"/>
  <c r="N112" i="40"/>
  <c r="E111" i="13"/>
  <c r="L111" i="27"/>
  <c r="P111" i="13"/>
  <c r="K112" i="21"/>
  <c r="F112" i="28"/>
  <c r="Q112" i="28"/>
  <c r="E112" i="30"/>
  <c r="P112" i="30"/>
  <c r="L112" i="41"/>
  <c r="O112" i="8"/>
  <c r="J112" i="9"/>
  <c r="I111" i="12"/>
  <c r="I112" i="15"/>
  <c r="I111" i="23"/>
  <c r="E111" i="25"/>
  <c r="M112" i="25"/>
  <c r="F112" i="26"/>
  <c r="J112" i="30"/>
  <c r="N112" i="41" l="1"/>
  <c r="G111" i="33"/>
  <c r="P111" i="33"/>
  <c r="H112" i="32"/>
  <c r="G112" i="32"/>
  <c r="B111" i="30"/>
  <c r="G111" i="30"/>
  <c r="O111" i="29"/>
  <c r="C111" i="29"/>
  <c r="E111" i="29"/>
  <c r="G111" i="28"/>
  <c r="P112" i="28"/>
  <c r="D111" i="28"/>
  <c r="H112" i="28"/>
  <c r="N112" i="26"/>
  <c r="K112" i="25"/>
  <c r="H111" i="24"/>
  <c r="C111" i="23"/>
  <c r="K111" i="22"/>
  <c r="O111" i="21"/>
  <c r="E111" i="17"/>
  <c r="D112" i="17"/>
  <c r="H112" i="16"/>
  <c r="B111" i="16"/>
  <c r="P111" i="16"/>
  <c r="G111" i="14"/>
  <c r="O111" i="14"/>
  <c r="B112" i="14"/>
  <c r="H111" i="13"/>
  <c r="G112" i="12"/>
  <c r="O111" i="12"/>
  <c r="B112" i="11"/>
  <c r="H112" i="11"/>
  <c r="F112" i="11"/>
  <c r="P111" i="10"/>
  <c r="G111" i="9"/>
  <c r="K42" i="39"/>
  <c r="O111" i="9"/>
  <c r="D112" i="9"/>
  <c r="K43" i="39"/>
  <c r="H111" i="3"/>
  <c r="K44" i="39"/>
  <c r="K45" i="39" s="1"/>
  <c r="J41" i="39"/>
  <c r="J42" i="39"/>
  <c r="B111" i="2"/>
  <c r="O112" i="2"/>
  <c r="J112" i="2"/>
  <c r="F111" i="2"/>
  <c r="E111" i="2"/>
  <c r="M111" i="2"/>
  <c r="K41" i="39"/>
  <c r="C112" i="2"/>
  <c r="H112" i="2"/>
  <c r="N111" i="2"/>
  <c r="K40" i="39"/>
  <c r="I112" i="2"/>
  <c r="E44" i="39"/>
  <c r="E43" i="39"/>
  <c r="E40" i="39"/>
  <c r="E42" i="39"/>
  <c r="E41" i="39"/>
  <c r="N43" i="39"/>
  <c r="N42" i="39"/>
  <c r="N44" i="39"/>
  <c r="N40" i="39"/>
  <c r="N41" i="39"/>
  <c r="D42" i="39"/>
  <c r="D44" i="39"/>
  <c r="D41" i="39"/>
  <c r="D40" i="39"/>
  <c r="D43" i="39"/>
  <c r="C41" i="39"/>
  <c r="C43" i="39"/>
  <c r="C44" i="39"/>
  <c r="C40" i="39"/>
  <c r="C42" i="39"/>
  <c r="B41" i="39"/>
  <c r="B40" i="39"/>
  <c r="B44" i="39"/>
  <c r="B42" i="39"/>
  <c r="B43" i="39"/>
  <c r="F43" i="39"/>
  <c r="F41" i="39"/>
  <c r="F40" i="39"/>
  <c r="F42" i="39"/>
  <c r="F44" i="39"/>
  <c r="Q44" i="39"/>
  <c r="Q42" i="39"/>
  <c r="Q40" i="39"/>
  <c r="Q41" i="39"/>
  <c r="Q43" i="39"/>
  <c r="M44" i="39"/>
  <c r="M42" i="39"/>
  <c r="M43" i="39"/>
  <c r="M40" i="39"/>
  <c r="M41" i="39"/>
  <c r="L44" i="39"/>
  <c r="L41" i="39"/>
  <c r="L42" i="39"/>
  <c r="L43" i="39"/>
  <c r="L40" i="39"/>
  <c r="O41" i="39"/>
  <c r="O40" i="39"/>
  <c r="O43" i="39"/>
  <c r="O44" i="39"/>
  <c r="O42" i="39"/>
  <c r="I42" i="39"/>
  <c r="I43" i="39"/>
  <c r="I40" i="39"/>
  <c r="I41" i="39"/>
  <c r="I44" i="39"/>
  <c r="H44" i="39"/>
  <c r="H41" i="39"/>
  <c r="H43" i="39"/>
  <c r="H42" i="39"/>
  <c r="H40" i="39"/>
  <c r="G40" i="39"/>
  <c r="G42" i="39"/>
  <c r="G44" i="39"/>
  <c r="G41" i="39"/>
  <c r="G43" i="39"/>
  <c r="P43" i="39"/>
  <c r="P42" i="39"/>
  <c r="P44" i="39"/>
  <c r="P41" i="39"/>
  <c r="P40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3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4" i="39"/>
  <c r="J40" i="39"/>
  <c r="K46" i="39" l="1"/>
  <c r="D46" i="39"/>
  <c r="D45" i="39"/>
  <c r="L46" i="39"/>
  <c r="L45" i="39"/>
  <c r="H45" i="39"/>
  <c r="H46" i="39"/>
  <c r="I46" i="39"/>
  <c r="I45" i="39"/>
  <c r="B46" i="39"/>
  <c r="B45" i="39"/>
  <c r="N45" i="39"/>
  <c r="N46" i="39"/>
  <c r="F46" i="39"/>
  <c r="F45" i="39"/>
  <c r="J45" i="39"/>
  <c r="J46" i="39"/>
  <c r="P46" i="39"/>
  <c r="P45" i="39"/>
  <c r="O46" i="39"/>
  <c r="O45" i="39"/>
  <c r="C45" i="39"/>
  <c r="C46" i="39"/>
  <c r="M45" i="39"/>
  <c r="M46" i="39"/>
  <c r="G46" i="39"/>
  <c r="G45" i="39"/>
  <c r="Q46" i="39"/>
  <c r="Q45" i="39"/>
  <c r="E45" i="39"/>
  <c r="E46" i="39"/>
</calcChain>
</file>

<file path=xl/sharedStrings.xml><?xml version="1.0" encoding="utf-8"?>
<sst xmlns="http://schemas.openxmlformats.org/spreadsheetml/2006/main" count="5910" uniqueCount="3127">
  <si>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</si>
  <si>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</si>
  <si>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</si>
  <si>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</si>
  <si>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</si>
  <si>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</si>
  <si>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</si>
  <si>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</si>
  <si>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</si>
  <si>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</si>
  <si>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</si>
  <si>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</si>
  <si>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</si>
  <si>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</si>
  <si>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</si>
  <si>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</si>
  <si>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</si>
  <si>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</si>
  <si>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</si>
  <si>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</si>
  <si>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</si>
  <si>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</si>
  <si>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</si>
  <si>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</si>
  <si>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</si>
  <si>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</si>
  <si>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</si>
  <si>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</si>
  <si>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</si>
  <si>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</si>
  <si>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</si>
  <si>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</si>
  <si>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</si>
  <si>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</si>
  <si>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</si>
  <si>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</si>
  <si>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</si>
  <si>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</si>
  <si>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</si>
  <si>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</si>
  <si>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</si>
  <si>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</si>
  <si>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</si>
  <si>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</si>
  <si>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</si>
  <si>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</si>
  <si>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</si>
  <si>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</si>
  <si>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</si>
  <si>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</si>
  <si>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</si>
  <si>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</si>
  <si>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</si>
  <si>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</si>
  <si>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</si>
  <si>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</si>
  <si>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</si>
  <si>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</si>
  <si>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</si>
  <si>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</si>
  <si>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</si>
  <si>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</si>
  <si>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</si>
  <si>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</si>
  <si>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</si>
  <si>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</si>
  <si>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</si>
  <si>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</si>
  <si>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</si>
  <si>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</si>
  <si>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</si>
  <si>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</si>
  <si>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</si>
  <si>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</si>
  <si>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</si>
  <si>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</si>
  <si>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</si>
  <si>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</si>
  <si>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</si>
  <si>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</si>
  <si>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</si>
  <si>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</si>
  <si>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</si>
  <si>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</si>
  <si>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</si>
  <si>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</si>
  <si>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</si>
  <si>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</si>
  <si>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</si>
  <si>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</si>
  <si>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</si>
  <si>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</si>
  <si>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</si>
  <si>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</si>
  <si>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</si>
  <si>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</si>
  <si>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</si>
  <si>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</si>
  <si>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</si>
  <si>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</si>
  <si>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</si>
  <si>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</si>
  <si>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</si>
  <si>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</si>
  <si>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</si>
  <si>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</si>
  <si>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</si>
  <si>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</si>
  <si>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</si>
  <si>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</si>
  <si>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</si>
  <si>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</si>
  <si>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</si>
  <si>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</si>
  <si>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</si>
  <si>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</si>
  <si>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</si>
  <si>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</si>
  <si>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</si>
  <si>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</si>
  <si>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</si>
  <si>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</si>
  <si>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</si>
  <si>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</si>
  <si>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</si>
  <si>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</si>
  <si>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</si>
  <si>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</si>
  <si>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</si>
  <si>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</si>
  <si>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</si>
  <si>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</si>
  <si>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</si>
  <si>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</si>
  <si>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</si>
  <si>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</si>
  <si>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</si>
  <si>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</si>
  <si>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</si>
  <si>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</si>
  <si>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</si>
  <si>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</si>
  <si>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</si>
  <si>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</si>
  <si>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</si>
  <si>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</si>
  <si>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</si>
  <si>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</si>
  <si>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</si>
  <si>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</si>
  <si>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</si>
  <si>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</si>
  <si>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</si>
  <si>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</si>
  <si>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</si>
  <si>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</si>
  <si>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</si>
  <si>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</si>
  <si>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</si>
  <si>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</si>
  <si>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</si>
  <si>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</si>
  <si>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</si>
  <si>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</si>
  <si>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</si>
  <si>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</si>
  <si>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</si>
  <si>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</si>
  <si>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</si>
  <si>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</si>
  <si>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</si>
  <si>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</si>
  <si>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</si>
  <si>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</si>
  <si>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</si>
  <si>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</si>
  <si>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</si>
  <si>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</si>
  <si>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</si>
  <si>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</si>
  <si>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</si>
  <si>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</si>
  <si>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</si>
  <si>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</si>
  <si>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</si>
  <si>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</si>
  <si>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</si>
  <si>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</si>
  <si>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</si>
  <si>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</si>
  <si>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</si>
  <si>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</si>
  <si>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</si>
  <si>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</si>
  <si>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</si>
  <si>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</si>
  <si>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</si>
  <si>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</si>
  <si>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</si>
  <si>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</si>
  <si>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</si>
  <si>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</si>
  <si>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</si>
  <si>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</si>
  <si>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</si>
  <si>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</si>
  <si>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</si>
  <si>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</si>
  <si>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</si>
  <si>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</si>
  <si>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</si>
  <si>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</si>
  <si>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</si>
  <si>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</si>
  <si>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</si>
  <si>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</si>
  <si>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</si>
  <si>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</si>
  <si>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</si>
  <si>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</si>
  <si>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</si>
  <si>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</si>
  <si>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</si>
  <si>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</si>
  <si>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01/04/2023 - 30/04/2023</t>
  </si>
  <si>
    <t>ppb</t>
  </si>
  <si>
    <t>Calibration report Of SILTARA, RAIPUR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</si>
  <si>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</si>
  <si>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</si>
  <si>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</si>
  <si>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</si>
  <si>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</si>
  <si>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</si>
  <si>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</si>
  <si>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</si>
  <si>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</si>
  <si>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</si>
  <si>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</si>
  <si>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</si>
  <si>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</si>
  <si>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</si>
  <si>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</si>
  <si>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</si>
  <si>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</si>
  <si>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</si>
  <si>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01/09/2024 00:15</t>
  </si>
  <si>
    <t>01/09/2024 00:30</t>
  </si>
  <si>
    <t>01/09/2024 00:45</t>
  </si>
  <si>
    <t>01/09/2024 01:00</t>
  </si>
  <si>
    <t>01/09/2024 01:15</t>
  </si>
  <si>
    <t>01/09/2024 01:30</t>
  </si>
  <si>
    <t>01/09/2024 01:45</t>
  </si>
  <si>
    <t>01/09/2024 02:00</t>
  </si>
  <si>
    <t>01/09/2024 02:15</t>
  </si>
  <si>
    <t>01/09/2024 02:30</t>
  </si>
  <si>
    <t>01/09/2024 02:45</t>
  </si>
  <si>
    <t>01/09/2024 03:00</t>
  </si>
  <si>
    <t>01/09/2024 03:15</t>
  </si>
  <si>
    <t>01/09/2024 03:30</t>
  </si>
  <si>
    <t>01/09/2024 03:45</t>
  </si>
  <si>
    <t>01/09/2024 04:00</t>
  </si>
  <si>
    <t>01/09/2024 04:15</t>
  </si>
  <si>
    <t>01/09/2024 04:30</t>
  </si>
  <si>
    <t>01/09/2024 04:45</t>
  </si>
  <si>
    <t>01/09/2024 05:00</t>
  </si>
  <si>
    <t>01/09/2024 05:15</t>
  </si>
  <si>
    <t>01/09/2024 05:30</t>
  </si>
  <si>
    <t>01/09/2024 05:45</t>
  </si>
  <si>
    <t>01/09/2024 06:00</t>
  </si>
  <si>
    <t>01/09/2024 06:15</t>
  </si>
  <si>
    <t>01/09/2024 06:30</t>
  </si>
  <si>
    <t>01/09/2024 06:45</t>
  </si>
  <si>
    <t>01/09/2024 07:00</t>
  </si>
  <si>
    <t>01/09/2024 07:15</t>
  </si>
  <si>
    <t>01/09/2024 07:30</t>
  </si>
  <si>
    <t>01/09/2024 07:45</t>
  </si>
  <si>
    <t>01/09/2024 08:00</t>
  </si>
  <si>
    <t>01/09/2024 08:15</t>
  </si>
  <si>
    <t>01/09/2024 08:30</t>
  </si>
  <si>
    <t>01/09/2024 08:45</t>
  </si>
  <si>
    <t>01/09/2024 09:00</t>
  </si>
  <si>
    <t>01/09/2024 09:15</t>
  </si>
  <si>
    <t>01/09/2024 09:30</t>
  </si>
  <si>
    <t>01/09/2024 09:45</t>
  </si>
  <si>
    <t>01/09/2024 10:00</t>
  </si>
  <si>
    <t>01/09/2024 10:15</t>
  </si>
  <si>
    <t>01/09/2024 10:30</t>
  </si>
  <si>
    <t>01/09/2024 10:45</t>
  </si>
  <si>
    <t>01/09/2024 11:00</t>
  </si>
  <si>
    <t>01/09/2024 11:15</t>
  </si>
  <si>
    <t>01/09/2024 11:30</t>
  </si>
  <si>
    <t>01/09/2024 11:45</t>
  </si>
  <si>
    <t>01/09/2024 12:00</t>
  </si>
  <si>
    <t>01/09/2024 12:15</t>
  </si>
  <si>
    <t>01/09/2024 12:30</t>
  </si>
  <si>
    <t>01/09/2024 12:45</t>
  </si>
  <si>
    <t>01/09/2024 13:00</t>
  </si>
  <si>
    <t>01/09/2024 13:15</t>
  </si>
  <si>
    <t>01/09/2024 13:30</t>
  </si>
  <si>
    <t>01/09/2024 13:45</t>
  </si>
  <si>
    <t>01/09/2024 14:00</t>
  </si>
  <si>
    <t>01/09/2024 14:15</t>
  </si>
  <si>
    <t>01/09/2024 14:30</t>
  </si>
  <si>
    <t>01/09/2024 14:45</t>
  </si>
  <si>
    <t>01/09/2024 15:00</t>
  </si>
  <si>
    <t>01/09/2024 15:15</t>
  </si>
  <si>
    <t>01/09/2024 15:30</t>
  </si>
  <si>
    <t>01/09/2024 15:45</t>
  </si>
  <si>
    <t>01/09/2024 16:00</t>
  </si>
  <si>
    <t>01/09/2024 16:15</t>
  </si>
  <si>
    <t>01/09/2024 16:30</t>
  </si>
  <si>
    <t>01/09/2024 16:45</t>
  </si>
  <si>
    <t>01/09/2024 17:00</t>
  </si>
  <si>
    <t>01/09/2024 17:15</t>
  </si>
  <si>
    <t>01/09/2024 17:30</t>
  </si>
  <si>
    <t>01/09/2024 17:45</t>
  </si>
  <si>
    <t>01/09/2024 18:00</t>
  </si>
  <si>
    <t>01/09/2024 18:15</t>
  </si>
  <si>
    <t>01/09/2024 18:30</t>
  </si>
  <si>
    <t>01/09/2024 18:45</t>
  </si>
  <si>
    <t>01/09/2024 19:00</t>
  </si>
  <si>
    <t>01/09/2024 19:15</t>
  </si>
  <si>
    <t>01/09/2024 19:30</t>
  </si>
  <si>
    <t>01/09/2024 19:45</t>
  </si>
  <si>
    <t>01/09/2024 20:00</t>
  </si>
  <si>
    <t>01/09/2024 20:15</t>
  </si>
  <si>
    <t>01/09/2024 20:30</t>
  </si>
  <si>
    <t>01/09/2024 20:45</t>
  </si>
  <si>
    <t>01/09/2024 21:00</t>
  </si>
  <si>
    <t>01/09/2024 21:15</t>
  </si>
  <si>
    <t>01/09/2024 21:30</t>
  </si>
  <si>
    <t>01/09/2024 21:45</t>
  </si>
  <si>
    <t>01/09/2024 22:00</t>
  </si>
  <si>
    <t>01/09/2024 22:15</t>
  </si>
  <si>
    <t>01/09/2024 22:30</t>
  </si>
  <si>
    <t>01/09/2024 22:45</t>
  </si>
  <si>
    <t>01/09/2024 23:00</t>
  </si>
  <si>
    <t>01/09/2024 23:15</t>
  </si>
  <si>
    <t>01/09/2024 23:30</t>
  </si>
  <si>
    <t>01/09/2024 23:45</t>
  </si>
  <si>
    <t>01/09/2024 24:00</t>
  </si>
  <si>
    <t>02/09/2024 00:15</t>
  </si>
  <si>
    <t>02/09/2024 00:30</t>
  </si>
  <si>
    <t>02/09/2024 00:45</t>
  </si>
  <si>
    <t>02/09/2024 01:00</t>
  </si>
  <si>
    <t>02/09/2024 01:15</t>
  </si>
  <si>
    <t>02/09/2024 01:30</t>
  </si>
  <si>
    <t>02/09/2024 01:45</t>
  </si>
  <si>
    <t>02/09/2024 02:00</t>
  </si>
  <si>
    <t>02/09/2024 02:15</t>
  </si>
  <si>
    <t>02/09/2024 02:30</t>
  </si>
  <si>
    <t>02/09/2024 02:45</t>
  </si>
  <si>
    <t>02/09/2024 03:00</t>
  </si>
  <si>
    <t>02/09/2024 03:15</t>
  </si>
  <si>
    <t>02/09/2024 03:30</t>
  </si>
  <si>
    <t>02/09/2024 03:45</t>
  </si>
  <si>
    <t>02/09/2024 04:00</t>
  </si>
  <si>
    <t>02/09/2024 04:15</t>
  </si>
  <si>
    <t>02/09/2024 04:30</t>
  </si>
  <si>
    <t>02/09/2024 04:45</t>
  </si>
  <si>
    <t>02/09/2024 05:00</t>
  </si>
  <si>
    <t>02/09/2024 05:15</t>
  </si>
  <si>
    <t>02/09/2024 05:30</t>
  </si>
  <si>
    <t>02/09/2024 05:45</t>
  </si>
  <si>
    <t>02/09/2024 06:00</t>
  </si>
  <si>
    <t>02/09/2024 06:15</t>
  </si>
  <si>
    <t>02/09/2024 06:30</t>
  </si>
  <si>
    <t>02/09/2024 06:45</t>
  </si>
  <si>
    <t>02/09/2024 07:00</t>
  </si>
  <si>
    <t>02/09/2024 07:15</t>
  </si>
  <si>
    <t>02/09/2024 07:30</t>
  </si>
  <si>
    <t>02/09/2024 07:45</t>
  </si>
  <si>
    <t>02/09/2024 08:00</t>
  </si>
  <si>
    <t>02/09/2024 08:15</t>
  </si>
  <si>
    <t>02/09/2024 08:30</t>
  </si>
  <si>
    <t>02/09/2024 08:45</t>
  </si>
  <si>
    <t>02/09/2024 09:00</t>
  </si>
  <si>
    <t>02/09/2024 09:15</t>
  </si>
  <si>
    <t>02/09/2024 09:30</t>
  </si>
  <si>
    <t>02/09/2024 09:45</t>
  </si>
  <si>
    <t>02/09/2024 10:00</t>
  </si>
  <si>
    <t>02/09/2024 10:15</t>
  </si>
  <si>
    <t>02/09/2024 10:30</t>
  </si>
  <si>
    <t>02/09/2024 10:45</t>
  </si>
  <si>
    <t>02/09/2024 11:00</t>
  </si>
  <si>
    <t>02/09/2024 11:15</t>
  </si>
  <si>
    <t>02/09/2024 11:30</t>
  </si>
  <si>
    <t>02/09/2024 11:45</t>
  </si>
  <si>
    <t>02/09/2024 12:00</t>
  </si>
  <si>
    <t>02/09/2024 12:15</t>
  </si>
  <si>
    <t>02/09/2024 12:30</t>
  </si>
  <si>
    <t>02/09/2024 12:45</t>
  </si>
  <si>
    <t>02/09/2024 13:00</t>
  </si>
  <si>
    <t>02/09/2024 13:15</t>
  </si>
  <si>
    <t>02/09/2024 13:30</t>
  </si>
  <si>
    <t>02/09/2024 13:45</t>
  </si>
  <si>
    <t>02/09/2024 14:00</t>
  </si>
  <si>
    <t>02/09/2024 14:15</t>
  </si>
  <si>
    <t>02/09/2024 14:30</t>
  </si>
  <si>
    <t>02/09/2024 14:45</t>
  </si>
  <si>
    <t>02/09/2024 15:00</t>
  </si>
  <si>
    <t>02/09/2024 15:15</t>
  </si>
  <si>
    <t>02/09/2024 15:30</t>
  </si>
  <si>
    <t>02/09/2024 15:45</t>
  </si>
  <si>
    <t>02/09/2024 16:00</t>
  </si>
  <si>
    <t>02/09/2024 16:15</t>
  </si>
  <si>
    <t>02/09/2024 16:30</t>
  </si>
  <si>
    <t>02/09/2024 16:45</t>
  </si>
  <si>
    <t>02/09/2024 17:00</t>
  </si>
  <si>
    <t>02/09/2024 17:15</t>
  </si>
  <si>
    <t>02/09/2024 17:30</t>
  </si>
  <si>
    <t>02/09/2024 17:45</t>
  </si>
  <si>
    <t>02/09/2024 18:00</t>
  </si>
  <si>
    <t>02/09/2024 18:15</t>
  </si>
  <si>
    <t>02/09/2024 18:30</t>
  </si>
  <si>
    <t>02/09/2024 18:45</t>
  </si>
  <si>
    <t>02/09/2024 19:00</t>
  </si>
  <si>
    <t>02/09/2024 19:15</t>
  </si>
  <si>
    <t>02/09/2024 19:30</t>
  </si>
  <si>
    <t>02/09/2024 19:45</t>
  </si>
  <si>
    <t>02/09/2024 20:00</t>
  </si>
  <si>
    <t>02/09/2024 20:15</t>
  </si>
  <si>
    <t>02/09/2024 20:30</t>
  </si>
  <si>
    <t>02/09/2024 20:45</t>
  </si>
  <si>
    <t>02/09/2024 21:00</t>
  </si>
  <si>
    <t>02/09/2024 21:15</t>
  </si>
  <si>
    <t>02/09/2024 21:30</t>
  </si>
  <si>
    <t>02/09/2024 21:45</t>
  </si>
  <si>
    <t>02/09/2024 22:00</t>
  </si>
  <si>
    <t>02/09/2024 22:15</t>
  </si>
  <si>
    <t>02/09/2024 22:30</t>
  </si>
  <si>
    <t>02/09/2024 22:45</t>
  </si>
  <si>
    <t>02/09/2024 23:00</t>
  </si>
  <si>
    <t>02/09/2024 23:15</t>
  </si>
  <si>
    <t>02/09/2024 23:30</t>
  </si>
  <si>
    <t>02/09/2024 23:45</t>
  </si>
  <si>
    <t>02/09/2024 24:00</t>
  </si>
  <si>
    <t>03/09/2024 00:15</t>
  </si>
  <si>
    <t>03/09/2024 00:30</t>
  </si>
  <si>
    <t>03/09/2024 00:45</t>
  </si>
  <si>
    <t>03/09/2024 01:00</t>
  </si>
  <si>
    <t>03/09/2024 01:15</t>
  </si>
  <si>
    <t>03/09/2024 01:30</t>
  </si>
  <si>
    <t>03/09/2024 01:45</t>
  </si>
  <si>
    <t>03/09/2024 02:00</t>
  </si>
  <si>
    <t>03/09/2024 02:15</t>
  </si>
  <si>
    <t>03/09/2024 02:30</t>
  </si>
  <si>
    <t>03/09/2024 02:45</t>
  </si>
  <si>
    <t>03/09/2024 03:00</t>
  </si>
  <si>
    <t>03/09/2024 03:15</t>
  </si>
  <si>
    <t>03/09/2024 03:30</t>
  </si>
  <si>
    <t>03/09/2024 03:45</t>
  </si>
  <si>
    <t>03/09/2024 04:00</t>
  </si>
  <si>
    <t>03/09/2024 04:15</t>
  </si>
  <si>
    <t>03/09/2024 04:30</t>
  </si>
  <si>
    <t>03/09/2024 04:45</t>
  </si>
  <si>
    <t>03/09/2024 05:00</t>
  </si>
  <si>
    <t>03/09/2024 05:15</t>
  </si>
  <si>
    <t>03/09/2024 05:30</t>
  </si>
  <si>
    <t>03/09/2024 05:45</t>
  </si>
  <si>
    <t>03/09/2024 06:00</t>
  </si>
  <si>
    <t>03/09/2024 06:15</t>
  </si>
  <si>
    <t>03/09/2024 06:30</t>
  </si>
  <si>
    <t>03/09/2024 06:45</t>
  </si>
  <si>
    <t>03/09/2024 07:00</t>
  </si>
  <si>
    <t>03/09/2024 07:15</t>
  </si>
  <si>
    <t>03/09/2024 07:30</t>
  </si>
  <si>
    <t>03/09/2024 07:45</t>
  </si>
  <si>
    <t>03/09/2024 08:00</t>
  </si>
  <si>
    <t>03/09/2024 08:15</t>
  </si>
  <si>
    <t>03/09/2024 08:30</t>
  </si>
  <si>
    <t>03/09/2024 08:45</t>
  </si>
  <si>
    <t>03/09/2024 09:00</t>
  </si>
  <si>
    <t>03/09/2024 09:15</t>
  </si>
  <si>
    <t>03/09/2024 09:30</t>
  </si>
  <si>
    <t>03/09/2024 09:45</t>
  </si>
  <si>
    <t>03/09/2024 10:00</t>
  </si>
  <si>
    <t>03/09/2024 10:15</t>
  </si>
  <si>
    <t>03/09/2024 10:30</t>
  </si>
  <si>
    <t>03/09/2024 10:45</t>
  </si>
  <si>
    <t>03/09/2024 11:00</t>
  </si>
  <si>
    <t>03/09/2024 11:15</t>
  </si>
  <si>
    <t>03/09/2024 11:30</t>
  </si>
  <si>
    <t>03/09/2024 11:45</t>
  </si>
  <si>
    <t>03/09/2024 12:00</t>
  </si>
  <si>
    <t>03/09/2024 12:15</t>
  </si>
  <si>
    <t>03/09/2024 12:30</t>
  </si>
  <si>
    <t>03/09/2024 12:45</t>
  </si>
  <si>
    <t>03/09/2024 13:00</t>
  </si>
  <si>
    <t>03/09/2024 13:15</t>
  </si>
  <si>
    <t>03/09/2024 13:30</t>
  </si>
  <si>
    <t>03/09/2024 13:45</t>
  </si>
  <si>
    <t>03/09/2024 14:00</t>
  </si>
  <si>
    <t>03/09/2024 14:15</t>
  </si>
  <si>
    <t>03/09/2024 14:30</t>
  </si>
  <si>
    <t>03/09/2024 14:45</t>
  </si>
  <si>
    <t>03/09/2024 15:00</t>
  </si>
  <si>
    <t>03/09/2024 15:15</t>
  </si>
  <si>
    <t>03/09/2024 15:30</t>
  </si>
  <si>
    <t>03/09/2024 15:45</t>
  </si>
  <si>
    <t>03/09/2024 16:00</t>
  </si>
  <si>
    <t>03/09/2024 16:15</t>
  </si>
  <si>
    <t>03/09/2024 16:30</t>
  </si>
  <si>
    <t>03/09/2024 16:45</t>
  </si>
  <si>
    <t>03/09/2024 17:00</t>
  </si>
  <si>
    <t>03/09/2024 17:15</t>
  </si>
  <si>
    <t>03/09/2024 17:30</t>
  </si>
  <si>
    <t>03/09/2024 17:45</t>
  </si>
  <si>
    <t>03/09/2024 18:00</t>
  </si>
  <si>
    <t>03/09/2024 18:15</t>
  </si>
  <si>
    <t>03/09/2024 18:30</t>
  </si>
  <si>
    <t>03/09/2024 18:45</t>
  </si>
  <si>
    <t>03/09/2024 19:00</t>
  </si>
  <si>
    <t>03/09/2024 19:15</t>
  </si>
  <si>
    <t>03/09/2024 19:30</t>
  </si>
  <si>
    <t>03/09/2024 19:45</t>
  </si>
  <si>
    <t>03/09/2024 20:00</t>
  </si>
  <si>
    <t>03/09/2024 20:15</t>
  </si>
  <si>
    <t>03/09/2024 20:30</t>
  </si>
  <si>
    <t>03/09/2024 20:45</t>
  </si>
  <si>
    <t>03/09/2024 21:00</t>
  </si>
  <si>
    <t>03/09/2024 21:15</t>
  </si>
  <si>
    <t>03/09/2024 21:30</t>
  </si>
  <si>
    <t>03/09/2024 21:45</t>
  </si>
  <si>
    <t>03/09/2024 22:00</t>
  </si>
  <si>
    <t>03/09/2024 22:15</t>
  </si>
  <si>
    <t>03/09/2024 22:30</t>
  </si>
  <si>
    <t>03/09/2024 22:45</t>
  </si>
  <si>
    <t>03/09/2024 23:00</t>
  </si>
  <si>
    <t>03/09/2024 23:15</t>
  </si>
  <si>
    <t>03/09/2024 23:30</t>
  </si>
  <si>
    <t>03/09/2024 23:45</t>
  </si>
  <si>
    <t>03/09/2024 24:00</t>
  </si>
  <si>
    <t>04/09/2024 00:15</t>
  </si>
  <si>
    <t>04/09/2024 00:30</t>
  </si>
  <si>
    <t>04/09/2024 00:45</t>
  </si>
  <si>
    <t>04/09/2024 01:00</t>
  </si>
  <si>
    <t>04/09/2024 01:15</t>
  </si>
  <si>
    <t>04/09/2024 01:30</t>
  </si>
  <si>
    <t>04/09/2024 01:45</t>
  </si>
  <si>
    <t>04/09/2024 02:00</t>
  </si>
  <si>
    <t>04/09/2024 02:15</t>
  </si>
  <si>
    <t>04/09/2024 02:30</t>
  </si>
  <si>
    <t>04/09/2024 02:45</t>
  </si>
  <si>
    <t>04/09/2024 03:00</t>
  </si>
  <si>
    <t>04/09/2024 03:15</t>
  </si>
  <si>
    <t>04/09/2024 03:30</t>
  </si>
  <si>
    <t>04/09/2024 03:45</t>
  </si>
  <si>
    <t>04/09/2024 04:00</t>
  </si>
  <si>
    <t>04/09/2024 04:15</t>
  </si>
  <si>
    <t>04/09/2024 04:30</t>
  </si>
  <si>
    <t>04/09/2024 04:45</t>
  </si>
  <si>
    <t>04/09/2024 05:00</t>
  </si>
  <si>
    <t>04/09/2024 05:15</t>
  </si>
  <si>
    <t>04/09/2024 05:30</t>
  </si>
  <si>
    <t>04/09/2024 05:45</t>
  </si>
  <si>
    <t>04/09/2024 06:00</t>
  </si>
  <si>
    <t>04/09/2024 06:15</t>
  </si>
  <si>
    <t>04/09/2024 06:30</t>
  </si>
  <si>
    <t>04/09/2024 06:45</t>
  </si>
  <si>
    <t>04/09/2024 07:00</t>
  </si>
  <si>
    <t>04/09/2024 07:15</t>
  </si>
  <si>
    <t>04/09/2024 07:30</t>
  </si>
  <si>
    <t>04/09/2024 07:45</t>
  </si>
  <si>
    <t>04/09/2024 08:00</t>
  </si>
  <si>
    <t>04/09/2024 08:15</t>
  </si>
  <si>
    <t>04/09/2024 08:30</t>
  </si>
  <si>
    <t>04/09/2024 08:45</t>
  </si>
  <si>
    <t>04/09/2024 09:00</t>
  </si>
  <si>
    <t>04/09/2024 09:15</t>
  </si>
  <si>
    <t>04/09/2024 09:30</t>
  </si>
  <si>
    <t>04/09/2024 09:45</t>
  </si>
  <si>
    <t>04/09/2024 10:00</t>
  </si>
  <si>
    <t>04/09/2024 10:15</t>
  </si>
  <si>
    <t>04/09/2024 10:30</t>
  </si>
  <si>
    <t>04/09/2024 10:45</t>
  </si>
  <si>
    <t>04/09/2024 11:00</t>
  </si>
  <si>
    <t>04/09/2024 11:15</t>
  </si>
  <si>
    <t>04/09/2024 11:30</t>
  </si>
  <si>
    <t>04/09/2024 11:45</t>
  </si>
  <si>
    <t>04/09/2024 12:00</t>
  </si>
  <si>
    <t>04/09/2024 12:15</t>
  </si>
  <si>
    <t>04/09/2024 12:30</t>
  </si>
  <si>
    <t>04/09/2024 12:45</t>
  </si>
  <si>
    <t>04/09/2024 13:00</t>
  </si>
  <si>
    <t>04/09/2024 13:15</t>
  </si>
  <si>
    <t>04/09/2024 13:30</t>
  </si>
  <si>
    <t>04/09/2024 13:45</t>
  </si>
  <si>
    <t>04/09/2024 14:00</t>
  </si>
  <si>
    <t>04/09/2024 14:15</t>
  </si>
  <si>
    <t>04/09/2024 14:30</t>
  </si>
  <si>
    <t>04/09/2024 14:45</t>
  </si>
  <si>
    <t>04/09/2024 15:00</t>
  </si>
  <si>
    <t>04/09/2024 15:15</t>
  </si>
  <si>
    <t>04/09/2024 15:30</t>
  </si>
  <si>
    <t>04/09/2024 15:45</t>
  </si>
  <si>
    <t>04/09/2024 16:00</t>
  </si>
  <si>
    <t>04/09/2024 16:15</t>
  </si>
  <si>
    <t>04/09/2024 16:30</t>
  </si>
  <si>
    <t>04/09/2024 16:45</t>
  </si>
  <si>
    <t>04/09/2024 17:00</t>
  </si>
  <si>
    <t>04/09/2024 17:15</t>
  </si>
  <si>
    <t>04/09/2024 17:30</t>
  </si>
  <si>
    <t>04/09/2024 17:45</t>
  </si>
  <si>
    <t>04/09/2024 18:00</t>
  </si>
  <si>
    <t>04/09/2024 18:15</t>
  </si>
  <si>
    <t>04/09/2024 18:30</t>
  </si>
  <si>
    <t>04/09/2024 18:45</t>
  </si>
  <si>
    <t>04/09/2024 19:00</t>
  </si>
  <si>
    <t>04/09/2024 19:15</t>
  </si>
  <si>
    <t>04/09/2024 19:30</t>
  </si>
  <si>
    <t>04/09/2024 19:45</t>
  </si>
  <si>
    <t>04/09/2024 20:00</t>
  </si>
  <si>
    <t>04/09/2024 20:15</t>
  </si>
  <si>
    <t>04/09/2024 20:30</t>
  </si>
  <si>
    <t>04/09/2024 20:45</t>
  </si>
  <si>
    <t>04/09/2024 21:00</t>
  </si>
  <si>
    <t>04/09/2024 21:15</t>
  </si>
  <si>
    <t>04/09/2024 21:30</t>
  </si>
  <si>
    <t>04/09/2024 21:45</t>
  </si>
  <si>
    <t>04/09/2024 22:00</t>
  </si>
  <si>
    <t>04/09/2024 22:15</t>
  </si>
  <si>
    <t>04/09/2024 22:30</t>
  </si>
  <si>
    <t>04/09/2024 22:45</t>
  </si>
  <si>
    <t>04/09/2024 23:00</t>
  </si>
  <si>
    <t>04/09/2024 23:15</t>
  </si>
  <si>
    <t>04/09/2024 23:30</t>
  </si>
  <si>
    <t>04/09/2024 23:45</t>
  </si>
  <si>
    <t>04/09/2024 24:00</t>
  </si>
  <si>
    <t>05/09/2024 00:15</t>
  </si>
  <si>
    <t>05/09/2024 00:30</t>
  </si>
  <si>
    <t>05/09/2024 00:45</t>
  </si>
  <si>
    <t>05/09/2024 01:00</t>
  </si>
  <si>
    <t>05/09/2024 01:15</t>
  </si>
  <si>
    <t>05/09/2024 01:30</t>
  </si>
  <si>
    <t>05/09/2024 01:45</t>
  </si>
  <si>
    <t>05/09/2024 02:00</t>
  </si>
  <si>
    <t>05/09/2024 02:15</t>
  </si>
  <si>
    <t>05/09/2024 02:30</t>
  </si>
  <si>
    <t>05/09/2024 02:45</t>
  </si>
  <si>
    <t>05/09/2024 03:00</t>
  </si>
  <si>
    <t>05/09/2024 03:15</t>
  </si>
  <si>
    <t>05/09/2024 03:30</t>
  </si>
  <si>
    <t>05/09/2024 03:45</t>
  </si>
  <si>
    <t>05/09/2024 04:00</t>
  </si>
  <si>
    <t>05/09/2024 04:15</t>
  </si>
  <si>
    <t>05/09/2024 04:30</t>
  </si>
  <si>
    <t>05/09/2024 04:45</t>
  </si>
  <si>
    <t>05/09/2024 05:00</t>
  </si>
  <si>
    <t>05/09/2024 05:15</t>
  </si>
  <si>
    <t>05/09/2024 05:30</t>
  </si>
  <si>
    <t>05/09/2024 05:45</t>
  </si>
  <si>
    <t>05/09/2024 06:00</t>
  </si>
  <si>
    <t>05/09/2024 06:15</t>
  </si>
  <si>
    <t>05/09/2024 06:30</t>
  </si>
  <si>
    <t>05/09/2024 06:45</t>
  </si>
  <si>
    <t>05/09/2024 07:00</t>
  </si>
  <si>
    <t>05/09/2024 07:15</t>
  </si>
  <si>
    <t>05/09/2024 07:30</t>
  </si>
  <si>
    <t>05/09/2024 07:45</t>
  </si>
  <si>
    <t>05/09/2024 08:00</t>
  </si>
  <si>
    <t>05/09/2024 08:15</t>
  </si>
  <si>
    <t>05/09/2024 08:30</t>
  </si>
  <si>
    <t>05/09/2024 08:45</t>
  </si>
  <si>
    <t>05/09/2024 09:00</t>
  </si>
  <si>
    <t>05/09/2024 09:15</t>
  </si>
  <si>
    <t>05/09/2024 09:30</t>
  </si>
  <si>
    <t>05/09/2024 09:45</t>
  </si>
  <si>
    <t>05/09/2024 10:00</t>
  </si>
  <si>
    <t>05/09/2024 10:15</t>
  </si>
  <si>
    <t>05/09/2024 10:30</t>
  </si>
  <si>
    <t>05/09/2024 10:45</t>
  </si>
  <si>
    <t>05/09/2024 11:00</t>
  </si>
  <si>
    <t>05/09/2024 11:15</t>
  </si>
  <si>
    <t>05/09/2024 11:30</t>
  </si>
  <si>
    <t>05/09/2024 11:45</t>
  </si>
  <si>
    <t>05/09/2024 12:00</t>
  </si>
  <si>
    <t>05/09/2024 12:15</t>
  </si>
  <si>
    <t>05/09/2024 12:30</t>
  </si>
  <si>
    <t>05/09/2024 12:45</t>
  </si>
  <si>
    <t>05/09/2024 13:00</t>
  </si>
  <si>
    <t>05/09/2024 13:15</t>
  </si>
  <si>
    <t>05/09/2024 13:30</t>
  </si>
  <si>
    <t>05/09/2024 13:45</t>
  </si>
  <si>
    <t>05/09/2024 14:00</t>
  </si>
  <si>
    <t>05/09/2024 14:15</t>
  </si>
  <si>
    <t>05/09/2024 14:30</t>
  </si>
  <si>
    <t>05/09/2024 14:45</t>
  </si>
  <si>
    <t>05/09/2024 15:00</t>
  </si>
  <si>
    <t>05/09/2024 15:15</t>
  </si>
  <si>
    <t>05/09/2024 15:30</t>
  </si>
  <si>
    <t>05/09/2024 15:45</t>
  </si>
  <si>
    <t>05/09/2024 16:00</t>
  </si>
  <si>
    <t>05/09/2024 16:15</t>
  </si>
  <si>
    <t>05/09/2024 16:30</t>
  </si>
  <si>
    <t>05/09/2024 16:45</t>
  </si>
  <si>
    <t>05/09/2024 17:00</t>
  </si>
  <si>
    <t>05/09/2024 17:15</t>
  </si>
  <si>
    <t>05/09/2024 17:30</t>
  </si>
  <si>
    <t>05/09/2024 17:45</t>
  </si>
  <si>
    <t>05/09/2024 18:00</t>
  </si>
  <si>
    <t>05/09/2024 18:15</t>
  </si>
  <si>
    <t>05/09/2024 18:30</t>
  </si>
  <si>
    <t>05/09/2024 18:45</t>
  </si>
  <si>
    <t>05/09/2024 19:00</t>
  </si>
  <si>
    <t>05/09/2024 19:15</t>
  </si>
  <si>
    <t>05/09/2024 19:30</t>
  </si>
  <si>
    <t>05/09/2024 19:45</t>
  </si>
  <si>
    <t>05/09/2024 20:00</t>
  </si>
  <si>
    <t>05/09/2024 20:15</t>
  </si>
  <si>
    <t>05/09/2024 20:30</t>
  </si>
  <si>
    <t>05/09/2024 20:45</t>
  </si>
  <si>
    <t>05/09/2024 21:00</t>
  </si>
  <si>
    <t>05/09/2024 21:15</t>
  </si>
  <si>
    <t>05/09/2024 21:30</t>
  </si>
  <si>
    <t>05/09/2024 21:45</t>
  </si>
  <si>
    <t>05/09/2024 22:00</t>
  </si>
  <si>
    <t>05/09/2024 22:15</t>
  </si>
  <si>
    <t>05/09/2024 22:30</t>
  </si>
  <si>
    <t>05/09/2024 22:45</t>
  </si>
  <si>
    <t>05/09/2024 23:00</t>
  </si>
  <si>
    <t>05/09/2024 23:15</t>
  </si>
  <si>
    <t>05/09/2024 23:30</t>
  </si>
  <si>
    <t>05/09/2024 23:45</t>
  </si>
  <si>
    <t>05/09/2024 24:00</t>
  </si>
  <si>
    <t>06/09/2024 00:15</t>
  </si>
  <si>
    <t>06/09/2024 00:30</t>
  </si>
  <si>
    <t>06/09/2024 00:45</t>
  </si>
  <si>
    <t>06/09/2024 01:00</t>
  </si>
  <si>
    <t>06/09/2024 01:15</t>
  </si>
  <si>
    <t>06/09/2024 01:30</t>
  </si>
  <si>
    <t>06/09/2024 01:45</t>
  </si>
  <si>
    <t>06/09/2024 02:00</t>
  </si>
  <si>
    <t>06/09/2024 02:15</t>
  </si>
  <si>
    <t>06/09/2024 02:30</t>
  </si>
  <si>
    <t>06/09/2024 02:45</t>
  </si>
  <si>
    <t>06/09/2024 03:00</t>
  </si>
  <si>
    <t>06/09/2024 03:15</t>
  </si>
  <si>
    <t>06/09/2024 03:30</t>
  </si>
  <si>
    <t>06/09/2024 03:45</t>
  </si>
  <si>
    <t>06/09/2024 04:00</t>
  </si>
  <si>
    <t>06/09/2024 04:15</t>
  </si>
  <si>
    <t>06/09/2024 04:30</t>
  </si>
  <si>
    <t>06/09/2024 04:45</t>
  </si>
  <si>
    <t>06/09/2024 05:00</t>
  </si>
  <si>
    <t>06/09/2024 05:15</t>
  </si>
  <si>
    <t>06/09/2024 05:30</t>
  </si>
  <si>
    <t>06/09/2024 05:45</t>
  </si>
  <si>
    <t>06/09/2024 06:00</t>
  </si>
  <si>
    <t>06/09/2024 06:15</t>
  </si>
  <si>
    <t>06/09/2024 06:30</t>
  </si>
  <si>
    <t>06/09/2024 06:45</t>
  </si>
  <si>
    <t>06/09/2024 07:00</t>
  </si>
  <si>
    <t>06/09/2024 07:15</t>
  </si>
  <si>
    <t>06/09/2024 07:30</t>
  </si>
  <si>
    <t>06/09/2024 07:45</t>
  </si>
  <si>
    <t>06/09/2024 08:00</t>
  </si>
  <si>
    <t>06/09/2024 08:15</t>
  </si>
  <si>
    <t>06/09/2024 08:30</t>
  </si>
  <si>
    <t>06/09/2024 08:45</t>
  </si>
  <si>
    <t>06/09/2024 09:00</t>
  </si>
  <si>
    <t>06/09/2024 09:15</t>
  </si>
  <si>
    <t>06/09/2024 09:30</t>
  </si>
  <si>
    <t>06/09/2024 09:45</t>
  </si>
  <si>
    <t>06/09/2024 10:00</t>
  </si>
  <si>
    <t>06/09/2024 10:15</t>
  </si>
  <si>
    <t>06/09/2024 10:30</t>
  </si>
  <si>
    <t>06/09/2024 10:45</t>
  </si>
  <si>
    <t>06/09/2024 11:00</t>
  </si>
  <si>
    <t>06/09/2024 11:15</t>
  </si>
  <si>
    <t>06/09/2024 11:30</t>
  </si>
  <si>
    <t>06/09/2024 11:45</t>
  </si>
  <si>
    <t>06/09/2024 12:00</t>
  </si>
  <si>
    <t>06/09/2024 12:15</t>
  </si>
  <si>
    <t>06/09/2024 12:30</t>
  </si>
  <si>
    <t>06/09/2024 12:45</t>
  </si>
  <si>
    <t>06/09/2024 13:00</t>
  </si>
  <si>
    <t>06/09/2024 13:15</t>
  </si>
  <si>
    <t>06/09/2024 13:30</t>
  </si>
  <si>
    <t>06/09/2024 13:45</t>
  </si>
  <si>
    <t>06/09/2024 14:00</t>
  </si>
  <si>
    <t>06/09/2024 14:15</t>
  </si>
  <si>
    <t>06/09/2024 14:30</t>
  </si>
  <si>
    <t>06/09/2024 14:45</t>
  </si>
  <si>
    <t>06/09/2024 15:00</t>
  </si>
  <si>
    <t>06/09/2024 15:15</t>
  </si>
  <si>
    <t>06/09/2024 15:30</t>
  </si>
  <si>
    <t>06/09/2024 15:45</t>
  </si>
  <si>
    <t>06/09/2024 16:00</t>
  </si>
  <si>
    <t>06/09/2024 16:15</t>
  </si>
  <si>
    <t>06/09/2024 16:30</t>
  </si>
  <si>
    <t>06/09/2024 16:45</t>
  </si>
  <si>
    <t>06/09/2024 17:00</t>
  </si>
  <si>
    <t>06/09/2024 17:15</t>
  </si>
  <si>
    <t>06/09/2024 17:30</t>
  </si>
  <si>
    <t>06/09/2024 17:45</t>
  </si>
  <si>
    <t>06/09/2024 18:00</t>
  </si>
  <si>
    <t>06/09/2024 18:15</t>
  </si>
  <si>
    <t>06/09/2024 18:30</t>
  </si>
  <si>
    <t>06/09/2024 18:45</t>
  </si>
  <si>
    <t>06/09/2024 19:00</t>
  </si>
  <si>
    <t>06/09/2024 19:15</t>
  </si>
  <si>
    <t>06/09/2024 19:30</t>
  </si>
  <si>
    <t>06/09/2024 19:45</t>
  </si>
  <si>
    <t>06/09/2024 20:00</t>
  </si>
  <si>
    <t>06/09/2024 20:15</t>
  </si>
  <si>
    <t>06/09/2024 20:30</t>
  </si>
  <si>
    <t>06/09/2024 20:45</t>
  </si>
  <si>
    <t>06/09/2024 21:00</t>
  </si>
  <si>
    <t>06/09/2024 21:15</t>
  </si>
  <si>
    <t>06/09/2024 21:30</t>
  </si>
  <si>
    <t>06/09/2024 21:45</t>
  </si>
  <si>
    <t>06/09/2024 22:00</t>
  </si>
  <si>
    <t>06/09/2024 22:15</t>
  </si>
  <si>
    <t>06/09/2024 22:30</t>
  </si>
  <si>
    <t>06/09/2024 22:45</t>
  </si>
  <si>
    <t>06/09/2024 23:00</t>
  </si>
  <si>
    <t>06/09/2024 23:15</t>
  </si>
  <si>
    <t>06/09/2024 23:30</t>
  </si>
  <si>
    <t>06/09/2024 23:45</t>
  </si>
  <si>
    <t>06/09/2024 24:00</t>
  </si>
  <si>
    <t>07/09/2024 00:15</t>
  </si>
  <si>
    <t>07/09/2024 00:30</t>
  </si>
  <si>
    <t>07/09/2024 00:45</t>
  </si>
  <si>
    <t>07/09/2024 01:00</t>
  </si>
  <si>
    <t>07/09/2024 01:15</t>
  </si>
  <si>
    <t>07/09/2024 01:30</t>
  </si>
  <si>
    <t>07/09/2024 01:45</t>
  </si>
  <si>
    <t>07/09/2024 02:00</t>
  </si>
  <si>
    <t>07/09/2024 02:15</t>
  </si>
  <si>
    <t>07/09/2024 02:30</t>
  </si>
  <si>
    <t>07/09/2024 02:45</t>
  </si>
  <si>
    <t>07/09/2024 03:00</t>
  </si>
  <si>
    <t>07/09/2024 03:15</t>
  </si>
  <si>
    <t>07/09/2024 03:30</t>
  </si>
  <si>
    <t>07/09/2024 03:45</t>
  </si>
  <si>
    <t>07/09/2024 04:00</t>
  </si>
  <si>
    <t>07/09/2024 04:15</t>
  </si>
  <si>
    <t>07/09/2024 04:30</t>
  </si>
  <si>
    <t>07/09/2024 04:45</t>
  </si>
  <si>
    <t>07/09/2024 05:00</t>
  </si>
  <si>
    <t>07/09/2024 05:15</t>
  </si>
  <si>
    <t>07/09/2024 05:30</t>
  </si>
  <si>
    <t>07/09/2024 05:45</t>
  </si>
  <si>
    <t>07/09/2024 06:00</t>
  </si>
  <si>
    <t>07/09/2024 06:15</t>
  </si>
  <si>
    <t>07/09/2024 06:30</t>
  </si>
  <si>
    <t>07/09/2024 06:45</t>
  </si>
  <si>
    <t>07/09/2024 07:00</t>
  </si>
  <si>
    <t>07/09/2024 07:15</t>
  </si>
  <si>
    <t>07/09/2024 07:30</t>
  </si>
  <si>
    <t>07/09/2024 07:45</t>
  </si>
  <si>
    <t>07/09/2024 08:00</t>
  </si>
  <si>
    <t>07/09/2024 08:15</t>
  </si>
  <si>
    <t>07/09/2024 08:30</t>
  </si>
  <si>
    <t>07/09/2024 08:45</t>
  </si>
  <si>
    <t>07/09/2024 09:00</t>
  </si>
  <si>
    <t>07/09/2024 09:15</t>
  </si>
  <si>
    <t>07/09/2024 09:30</t>
  </si>
  <si>
    <t>07/09/2024 09:45</t>
  </si>
  <si>
    <t>07/09/2024 10:00</t>
  </si>
  <si>
    <t>07/09/2024 10:15</t>
  </si>
  <si>
    <t>07/09/2024 10:30</t>
  </si>
  <si>
    <t>07/09/2024 10:45</t>
  </si>
  <si>
    <t>07/09/2024 11:00</t>
  </si>
  <si>
    <t>07/09/2024 11:15</t>
  </si>
  <si>
    <t>07/09/2024 11:30</t>
  </si>
  <si>
    <t>07/09/2024 11:45</t>
  </si>
  <si>
    <t>07/09/2024 12:00</t>
  </si>
  <si>
    <t>07/09/2024 12:15</t>
  </si>
  <si>
    <t>07/09/2024 12:30</t>
  </si>
  <si>
    <t>07/09/2024 12:45</t>
  </si>
  <si>
    <t>07/09/2024 13:00</t>
  </si>
  <si>
    <t>07/09/2024 13:15</t>
  </si>
  <si>
    <t>07/09/2024 13:30</t>
  </si>
  <si>
    <t>07/09/2024 13:45</t>
  </si>
  <si>
    <t>07/09/2024 14:00</t>
  </si>
  <si>
    <t>07/09/2024 14:15</t>
  </si>
  <si>
    <t>07/09/2024 14:30</t>
  </si>
  <si>
    <t>07/09/2024 14:45</t>
  </si>
  <si>
    <t>07/09/2024 15:00</t>
  </si>
  <si>
    <t>07/09/2024 15:15</t>
  </si>
  <si>
    <t>07/09/2024 15:30</t>
  </si>
  <si>
    <t>07/09/2024 15:45</t>
  </si>
  <si>
    <t>07/09/2024 16:00</t>
  </si>
  <si>
    <t>07/09/2024 16:15</t>
  </si>
  <si>
    <t>07/09/2024 16:30</t>
  </si>
  <si>
    <t>07/09/2024 16:45</t>
  </si>
  <si>
    <t>07/09/2024 17:00</t>
  </si>
  <si>
    <t>07/09/2024 17:15</t>
  </si>
  <si>
    <t>07/09/2024 17:30</t>
  </si>
  <si>
    <t>07/09/2024 17:45</t>
  </si>
  <si>
    <t>07/09/2024 18:00</t>
  </si>
  <si>
    <t>07/09/2024 18:15</t>
  </si>
  <si>
    <t>07/09/2024 18:30</t>
  </si>
  <si>
    <t>07/09/2024 18:45</t>
  </si>
  <si>
    <t>07/09/2024 19:00</t>
  </si>
  <si>
    <t>07/09/2024 19:15</t>
  </si>
  <si>
    <t>07/09/2024 19:30</t>
  </si>
  <si>
    <t>07/09/2024 19:45</t>
  </si>
  <si>
    <t>07/09/2024 20:00</t>
  </si>
  <si>
    <t>07/09/2024 20:15</t>
  </si>
  <si>
    <t>07/09/2024 20:30</t>
  </si>
  <si>
    <t>07/09/2024 20:45</t>
  </si>
  <si>
    <t>07/09/2024 21:00</t>
  </si>
  <si>
    <t>07/09/2024 21:15</t>
  </si>
  <si>
    <t>07/09/2024 21:30</t>
  </si>
  <si>
    <t>07/09/2024 21:45</t>
  </si>
  <si>
    <t>07/09/2024 22:00</t>
  </si>
  <si>
    <t>07/09/2024 22:15</t>
  </si>
  <si>
    <t>07/09/2024 22:30</t>
  </si>
  <si>
    <t>07/09/2024 22:45</t>
  </si>
  <si>
    <t>07/09/2024 23:00</t>
  </si>
  <si>
    <t>07/09/2024 23:15</t>
  </si>
  <si>
    <t>07/09/2024 23:30</t>
  </si>
  <si>
    <t>07/09/2024 23:45</t>
  </si>
  <si>
    <t>07/09/2024 24:00</t>
  </si>
  <si>
    <t>08/09/2024 00:15</t>
  </si>
  <si>
    <t>08/09/2024 00:30</t>
  </si>
  <si>
    <t>08/09/2024 00:45</t>
  </si>
  <si>
    <t>08/09/2024 01:00</t>
  </si>
  <si>
    <t>08/09/2024 01:15</t>
  </si>
  <si>
    <t>08/09/2024 01:30</t>
  </si>
  <si>
    <t>08/09/2024 01:45</t>
  </si>
  <si>
    <t>08/09/2024 02:00</t>
  </si>
  <si>
    <t>08/09/2024 02:15</t>
  </si>
  <si>
    <t>08/09/2024 02:30</t>
  </si>
  <si>
    <t>08/09/2024 02:45</t>
  </si>
  <si>
    <t>08/09/2024 03:00</t>
  </si>
  <si>
    <t>08/09/2024 03:15</t>
  </si>
  <si>
    <t>08/09/2024 03:30</t>
  </si>
  <si>
    <t>08/09/2024 03:45</t>
  </si>
  <si>
    <t>08/09/2024 04:00</t>
  </si>
  <si>
    <t>08/09/2024 04:15</t>
  </si>
  <si>
    <t>08/09/2024 04:30</t>
  </si>
  <si>
    <t>08/09/2024 04:45</t>
  </si>
  <si>
    <t>08/09/2024 05:00</t>
  </si>
  <si>
    <t>08/09/2024 05:15</t>
  </si>
  <si>
    <t>08/09/2024 05:30</t>
  </si>
  <si>
    <t>08/09/2024 05:45</t>
  </si>
  <si>
    <t>08/09/2024 06:00</t>
  </si>
  <si>
    <t>08/09/2024 06:15</t>
  </si>
  <si>
    <t>08/09/2024 06:30</t>
  </si>
  <si>
    <t>08/09/2024 06:45</t>
  </si>
  <si>
    <t>08/09/2024 07:00</t>
  </si>
  <si>
    <t>08/09/2024 07:15</t>
  </si>
  <si>
    <t>08/09/2024 07:30</t>
  </si>
  <si>
    <t>08/09/2024 07:45</t>
  </si>
  <si>
    <t>08/09/2024 08:00</t>
  </si>
  <si>
    <t>08/09/2024 08:15</t>
  </si>
  <si>
    <t>08/09/2024 08:30</t>
  </si>
  <si>
    <t>08/09/2024 08:45</t>
  </si>
  <si>
    <t>08/09/2024 09:00</t>
  </si>
  <si>
    <t>08/09/2024 09:15</t>
  </si>
  <si>
    <t>08/09/2024 09:30</t>
  </si>
  <si>
    <t>08/09/2024 09:45</t>
  </si>
  <si>
    <t>08/09/2024 10:00</t>
  </si>
  <si>
    <t>08/09/2024 10:15</t>
  </si>
  <si>
    <t>08/09/2024 10:30</t>
  </si>
  <si>
    <t>08/09/2024 10:45</t>
  </si>
  <si>
    <t>08/09/2024 11:00</t>
  </si>
  <si>
    <t>08/09/2024 11:15</t>
  </si>
  <si>
    <t>08/09/2024 11:30</t>
  </si>
  <si>
    <t>08/09/2024 11:45</t>
  </si>
  <si>
    <t>08/09/2024 12:00</t>
  </si>
  <si>
    <t>08/09/2024 12:15</t>
  </si>
  <si>
    <t>08/09/2024 12:30</t>
  </si>
  <si>
    <t>08/09/2024 12:45</t>
  </si>
  <si>
    <t>08/09/2024 13:00</t>
  </si>
  <si>
    <t>08/09/2024 13:15</t>
  </si>
  <si>
    <t>08/09/2024 13:30</t>
  </si>
  <si>
    <t>08/09/2024 13:45</t>
  </si>
  <si>
    <t>08/09/2024 14:00</t>
  </si>
  <si>
    <t>08/09/2024 14:15</t>
  </si>
  <si>
    <t>08/09/2024 14:30</t>
  </si>
  <si>
    <t>08/09/2024 14:45</t>
  </si>
  <si>
    <t>08/09/2024 15:00</t>
  </si>
  <si>
    <t>08/09/2024 15:15</t>
  </si>
  <si>
    <t>08/09/2024 15:30</t>
  </si>
  <si>
    <t>08/09/2024 15:45</t>
  </si>
  <si>
    <t>08/09/2024 16:00</t>
  </si>
  <si>
    <t>08/09/2024 16:15</t>
  </si>
  <si>
    <t>08/09/2024 16:30</t>
  </si>
  <si>
    <t>08/09/2024 16:45</t>
  </si>
  <si>
    <t>08/09/2024 17:00</t>
  </si>
  <si>
    <t>08/09/2024 17:15</t>
  </si>
  <si>
    <t>08/09/2024 17:30</t>
  </si>
  <si>
    <t>08/09/2024 17:45</t>
  </si>
  <si>
    <t>08/09/2024 18:00</t>
  </si>
  <si>
    <t>08/09/2024 18:15</t>
  </si>
  <si>
    <t>08/09/2024 18:30</t>
  </si>
  <si>
    <t>08/09/2024 18:45</t>
  </si>
  <si>
    <t>08/09/2024 19:00</t>
  </si>
  <si>
    <t>08/09/2024 19:15</t>
  </si>
  <si>
    <t>08/09/2024 19:30</t>
  </si>
  <si>
    <t>08/09/2024 19:45</t>
  </si>
  <si>
    <t>08/09/2024 20:00</t>
  </si>
  <si>
    <t>08/09/2024 20:15</t>
  </si>
  <si>
    <t>08/09/2024 20:30</t>
  </si>
  <si>
    <t>08/09/2024 20:45</t>
  </si>
  <si>
    <t>08/09/2024 21:00</t>
  </si>
  <si>
    <t>08/09/2024 21:15</t>
  </si>
  <si>
    <t>08/09/2024 21:30</t>
  </si>
  <si>
    <t>08/09/2024 21:45</t>
  </si>
  <si>
    <t>08/09/2024 22:00</t>
  </si>
  <si>
    <t>08/09/2024 22:15</t>
  </si>
  <si>
    <t>08/09/2024 22:30</t>
  </si>
  <si>
    <t>08/09/2024 22:45</t>
  </si>
  <si>
    <t>08/09/2024 23:00</t>
  </si>
  <si>
    <t>08/09/2024 23:15</t>
  </si>
  <si>
    <t>08/09/2024 23:30</t>
  </si>
  <si>
    <t>08/09/2024 23:45</t>
  </si>
  <si>
    <t>08/09/2024 24:00</t>
  </si>
  <si>
    <t>09/09/2024 00:15</t>
  </si>
  <si>
    <t>09/09/2024 00:30</t>
  </si>
  <si>
    <t>09/09/2024 00:45</t>
  </si>
  <si>
    <t>09/09/2024 01:00</t>
  </si>
  <si>
    <t>09/09/2024 01:15</t>
  </si>
  <si>
    <t>09/09/2024 01:30</t>
  </si>
  <si>
    <t>09/09/2024 01:45</t>
  </si>
  <si>
    <t>09/09/2024 02:00</t>
  </si>
  <si>
    <t>09/09/2024 02:15</t>
  </si>
  <si>
    <t>09/09/2024 02:30</t>
  </si>
  <si>
    <t>09/09/2024 02:45</t>
  </si>
  <si>
    <t>09/09/2024 03:00</t>
  </si>
  <si>
    <t>09/09/2024 03:15</t>
  </si>
  <si>
    <t>09/09/2024 03:30</t>
  </si>
  <si>
    <t>09/09/2024 03:45</t>
  </si>
  <si>
    <t>09/09/2024 04:00</t>
  </si>
  <si>
    <t>09/09/2024 04:15</t>
  </si>
  <si>
    <t>09/09/2024 04:30</t>
  </si>
  <si>
    <t>09/09/2024 04:45</t>
  </si>
  <si>
    <t>09/09/2024 05:00</t>
  </si>
  <si>
    <t>09/09/2024 05:15</t>
  </si>
  <si>
    <t>09/09/2024 05:30</t>
  </si>
  <si>
    <t>09/09/2024 05:45</t>
  </si>
  <si>
    <t>09/09/2024 06:00</t>
  </si>
  <si>
    <t>09/09/2024 06:15</t>
  </si>
  <si>
    <t>09/09/2024 06:30</t>
  </si>
  <si>
    <t>09/09/2024 06:45</t>
  </si>
  <si>
    <t>09/09/2024 07:00</t>
  </si>
  <si>
    <t>09/09/2024 07:15</t>
  </si>
  <si>
    <t>09/09/2024 07:30</t>
  </si>
  <si>
    <t>09/09/2024 07:45</t>
  </si>
  <si>
    <t>09/09/2024 08:00</t>
  </si>
  <si>
    <t>09/09/2024 08:15</t>
  </si>
  <si>
    <t>09/09/2024 08:30</t>
  </si>
  <si>
    <t>09/09/2024 08:45</t>
  </si>
  <si>
    <t>09/09/2024 09:00</t>
  </si>
  <si>
    <t>09/09/2024 09:15</t>
  </si>
  <si>
    <t>09/09/2024 09:30</t>
  </si>
  <si>
    <t>09/09/2024 09:45</t>
  </si>
  <si>
    <t>09/09/2024 10:00</t>
  </si>
  <si>
    <t>09/09/2024 10:15</t>
  </si>
  <si>
    <t>09/09/2024 10:30</t>
  </si>
  <si>
    <t>09/09/2024 10:45</t>
  </si>
  <si>
    <t>09/09/2024 11:00</t>
  </si>
  <si>
    <t>09/09/2024 11:15</t>
  </si>
  <si>
    <t>09/09/2024 11:30</t>
  </si>
  <si>
    <t>09/09/2024 11:45</t>
  </si>
  <si>
    <t>09/09/2024 12:00</t>
  </si>
  <si>
    <t>09/09/2024 12:15</t>
  </si>
  <si>
    <t>09/09/2024 12:30</t>
  </si>
  <si>
    <t>09/09/2024 12:45</t>
  </si>
  <si>
    <t>09/09/2024 13:00</t>
  </si>
  <si>
    <t>09/09/2024 13:15</t>
  </si>
  <si>
    <t>09/09/2024 13:30</t>
  </si>
  <si>
    <t>09/09/2024 13:45</t>
  </si>
  <si>
    <t>09/09/2024 14:00</t>
  </si>
  <si>
    <t>09/09/2024 14:15</t>
  </si>
  <si>
    <t>09/09/2024 14:30</t>
  </si>
  <si>
    <t>09/09/2024 14:45</t>
  </si>
  <si>
    <t>09/09/2024 15:00</t>
  </si>
  <si>
    <t>09/09/2024 15:15</t>
  </si>
  <si>
    <t>09/09/2024 15:30</t>
  </si>
  <si>
    <t>09/09/2024 15:45</t>
  </si>
  <si>
    <t>09/09/2024 16:00</t>
  </si>
  <si>
    <t>09/09/2024 16:15</t>
  </si>
  <si>
    <t>09/09/2024 16:30</t>
  </si>
  <si>
    <t>09/09/2024 16:45</t>
  </si>
  <si>
    <t>09/09/2024 17:00</t>
  </si>
  <si>
    <t>09/09/2024 17:15</t>
  </si>
  <si>
    <t>09/09/2024 17:30</t>
  </si>
  <si>
    <t>09/09/2024 17:45</t>
  </si>
  <si>
    <t>09/09/2024 18:00</t>
  </si>
  <si>
    <t>09/09/2024 18:15</t>
  </si>
  <si>
    <t>09/09/2024 18:30</t>
  </si>
  <si>
    <t>09/09/2024 18:45</t>
  </si>
  <si>
    <t>09/09/2024 19:00</t>
  </si>
  <si>
    <t>09/09/2024 19:15</t>
  </si>
  <si>
    <t>09/09/2024 19:30</t>
  </si>
  <si>
    <t>09/09/2024 19:45</t>
  </si>
  <si>
    <t>09/09/2024 20:00</t>
  </si>
  <si>
    <t>09/09/2024 20:15</t>
  </si>
  <si>
    <t>09/09/2024 20:30</t>
  </si>
  <si>
    <t>09/09/2024 20:45</t>
  </si>
  <si>
    <t>09/09/2024 21:00</t>
  </si>
  <si>
    <t>09/09/2024 21:15</t>
  </si>
  <si>
    <t>09/09/2024 21:30</t>
  </si>
  <si>
    <t>09/09/2024 21:45</t>
  </si>
  <si>
    <t>09/09/2024 22:00</t>
  </si>
  <si>
    <t>09/09/2024 22:15</t>
  </si>
  <si>
    <t>09/09/2024 22:30</t>
  </si>
  <si>
    <t>09/09/2024 22:45</t>
  </si>
  <si>
    <t>09/09/2024 23:00</t>
  </si>
  <si>
    <t>09/09/2024 23:15</t>
  </si>
  <si>
    <t>09/09/2024 23:30</t>
  </si>
  <si>
    <t>09/09/2024 23:45</t>
  </si>
  <si>
    <t>09/09/2024 24:00</t>
  </si>
  <si>
    <t>10/09/2024 00:15</t>
  </si>
  <si>
    <t>10/09/2024 00:30</t>
  </si>
  <si>
    <t>10/09/2024 00:45</t>
  </si>
  <si>
    <t>10/09/2024 01:00</t>
  </si>
  <si>
    <t>10/09/2024 01:15</t>
  </si>
  <si>
    <t>10/09/2024 01:30</t>
  </si>
  <si>
    <t>10/09/2024 01:45</t>
  </si>
  <si>
    <t>10/09/2024 02:00</t>
  </si>
  <si>
    <t>10/09/2024 02:15</t>
  </si>
  <si>
    <t>10/09/2024 02:30</t>
  </si>
  <si>
    <t>10/09/2024 02:45</t>
  </si>
  <si>
    <t>10/09/2024 03:00</t>
  </si>
  <si>
    <t>10/09/2024 03:15</t>
  </si>
  <si>
    <t>10/09/2024 03:30</t>
  </si>
  <si>
    <t>10/09/2024 03:45</t>
  </si>
  <si>
    <t>10/09/2024 04:00</t>
  </si>
  <si>
    <t>10/09/2024 04:15</t>
  </si>
  <si>
    <t>10/09/2024 04:30</t>
  </si>
  <si>
    <t>10/09/2024 04:45</t>
  </si>
  <si>
    <t>10/09/2024 05:00</t>
  </si>
  <si>
    <t>10/09/2024 05:15</t>
  </si>
  <si>
    <t>10/09/2024 05:30</t>
  </si>
  <si>
    <t>10/09/2024 05:45</t>
  </si>
  <si>
    <t>10/09/2024 06:00</t>
  </si>
  <si>
    <t>10/09/2024 06:15</t>
  </si>
  <si>
    <t>10/09/2024 06:30</t>
  </si>
  <si>
    <t>10/09/2024 06:45</t>
  </si>
  <si>
    <t>10/09/2024 07:00</t>
  </si>
  <si>
    <t>10/09/2024 07:15</t>
  </si>
  <si>
    <t>10/09/2024 07:30</t>
  </si>
  <si>
    <t>10/09/2024 07:45</t>
  </si>
  <si>
    <t>10/09/2024 08:00</t>
  </si>
  <si>
    <t>10/09/2024 08:15</t>
  </si>
  <si>
    <t>10/09/2024 08:30</t>
  </si>
  <si>
    <t>10/09/2024 08:45</t>
  </si>
  <si>
    <t>10/09/2024 09:00</t>
  </si>
  <si>
    <t>10/09/2024 09:15</t>
  </si>
  <si>
    <t>10/09/2024 09:30</t>
  </si>
  <si>
    <t>10/09/2024 09:45</t>
  </si>
  <si>
    <t>10/09/2024 10:00</t>
  </si>
  <si>
    <t>10/09/2024 10:15</t>
  </si>
  <si>
    <t>10/09/2024 10:30</t>
  </si>
  <si>
    <t>10/09/2024 10:45</t>
  </si>
  <si>
    <t>10/09/2024 11:00</t>
  </si>
  <si>
    <t>10/09/2024 11:15</t>
  </si>
  <si>
    <t>10/09/2024 11:30</t>
  </si>
  <si>
    <t>10/09/2024 11:45</t>
  </si>
  <si>
    <t>10/09/2024 12:00</t>
  </si>
  <si>
    <t>10/09/2024 12:15</t>
  </si>
  <si>
    <t>10/09/2024 12:30</t>
  </si>
  <si>
    <t>10/09/2024 12:45</t>
  </si>
  <si>
    <t>10/09/2024 13:00</t>
  </si>
  <si>
    <t>10/09/2024 13:15</t>
  </si>
  <si>
    <t>10/09/2024 13:30</t>
  </si>
  <si>
    <t>10/09/2024 13:45</t>
  </si>
  <si>
    <t>10/09/2024 14:00</t>
  </si>
  <si>
    <t>10/09/2024 14:15</t>
  </si>
  <si>
    <t>10/09/2024 14:30</t>
  </si>
  <si>
    <t>10/09/2024 14:45</t>
  </si>
  <si>
    <t>10/09/2024 15:00</t>
  </si>
  <si>
    <t>10/09/2024 15:15</t>
  </si>
  <si>
    <t>10/09/2024 15:30</t>
  </si>
  <si>
    <t>10/09/2024 15:45</t>
  </si>
  <si>
    <t>10/09/2024 16:00</t>
  </si>
  <si>
    <t>10/09/2024 16:15</t>
  </si>
  <si>
    <t>10/09/2024 16:30</t>
  </si>
  <si>
    <t>10/09/2024 16:45</t>
  </si>
  <si>
    <t>10/09/2024 17:00</t>
  </si>
  <si>
    <t>10/09/2024 17:15</t>
  </si>
  <si>
    <t>10/09/2024 17:30</t>
  </si>
  <si>
    <t>10/09/2024 17:45</t>
  </si>
  <si>
    <t>10/09/2024 18:00</t>
  </si>
  <si>
    <t>10/09/2024 18:15</t>
  </si>
  <si>
    <t>10/09/2024 18:30</t>
  </si>
  <si>
    <t>10/09/2024 18:45</t>
  </si>
  <si>
    <t>10/09/2024 19:00</t>
  </si>
  <si>
    <t>10/09/2024 19:15</t>
  </si>
  <si>
    <t>10/09/2024 19:30</t>
  </si>
  <si>
    <t>10/09/2024 19:45</t>
  </si>
  <si>
    <t>10/09/2024 20:00</t>
  </si>
  <si>
    <t>10/09/2024 20:15</t>
  </si>
  <si>
    <t>10/09/2024 20:30</t>
  </si>
  <si>
    <t>10/09/2024 20:45</t>
  </si>
  <si>
    <t>10/09/2024 21:00</t>
  </si>
  <si>
    <t>10/09/2024 21:15</t>
  </si>
  <si>
    <t>10/09/2024 21:30</t>
  </si>
  <si>
    <t>10/09/2024 21:45</t>
  </si>
  <si>
    <t>10/09/2024 22:00</t>
  </si>
  <si>
    <t>10/09/2024 22:15</t>
  </si>
  <si>
    <t>10/09/2024 22:30</t>
  </si>
  <si>
    <t>10/09/2024 22:45</t>
  </si>
  <si>
    <t>10/09/2024 23:00</t>
  </si>
  <si>
    <t>10/09/2024 23:15</t>
  </si>
  <si>
    <t>10/09/2024 23:30</t>
  </si>
  <si>
    <t>10/09/2024 23:45</t>
  </si>
  <si>
    <t>10/09/2024 24:00</t>
  </si>
  <si>
    <t>11/09/2024 00:15</t>
  </si>
  <si>
    <t>11/09/2024 00:30</t>
  </si>
  <si>
    <t>11/09/2024 00:45</t>
  </si>
  <si>
    <t>11/09/2024 01:00</t>
  </si>
  <si>
    <t>11/09/2024 01:15</t>
  </si>
  <si>
    <t>11/09/2024 01:30</t>
  </si>
  <si>
    <t>11/09/2024 01:45</t>
  </si>
  <si>
    <t>11/09/2024 02:00</t>
  </si>
  <si>
    <t>11/09/2024 02:15</t>
  </si>
  <si>
    <t>11/09/2024 02:30</t>
  </si>
  <si>
    <t>11/09/2024 02:45</t>
  </si>
  <si>
    <t>11/09/2024 03:00</t>
  </si>
  <si>
    <t>11/09/2024 03:15</t>
  </si>
  <si>
    <t>11/09/2024 03:30</t>
  </si>
  <si>
    <t>11/09/2024 03:45</t>
  </si>
  <si>
    <t>11/09/2024 04:00</t>
  </si>
  <si>
    <t>11/09/2024 04:15</t>
  </si>
  <si>
    <t>11/09/2024 04:30</t>
  </si>
  <si>
    <t>11/09/2024 04:45</t>
  </si>
  <si>
    <t>11/09/2024 05:00</t>
  </si>
  <si>
    <t>11/09/2024 05:15</t>
  </si>
  <si>
    <t>11/09/2024 05:30</t>
  </si>
  <si>
    <t>11/09/2024 05:45</t>
  </si>
  <si>
    <t>11/09/2024 06:00</t>
  </si>
  <si>
    <t>11/09/2024 06:15</t>
  </si>
  <si>
    <t>11/09/2024 06:30</t>
  </si>
  <si>
    <t>11/09/2024 06:45</t>
  </si>
  <si>
    <t>11/09/2024 07:00</t>
  </si>
  <si>
    <t>11/09/2024 07:15</t>
  </si>
  <si>
    <t>11/09/2024 07:30</t>
  </si>
  <si>
    <t>11/09/2024 07:45</t>
  </si>
  <si>
    <t>11/09/2024 08:00</t>
  </si>
  <si>
    <t>11/09/2024 08:15</t>
  </si>
  <si>
    <t>11/09/2024 08:30</t>
  </si>
  <si>
    <t>11/09/2024 08:45</t>
  </si>
  <si>
    <t>11/09/2024 09:00</t>
  </si>
  <si>
    <t>11/09/2024 09:15</t>
  </si>
  <si>
    <t>11/09/2024 09:30</t>
  </si>
  <si>
    <t>11/09/2024 09:45</t>
  </si>
  <si>
    <t>11/09/2024 10:00</t>
  </si>
  <si>
    <t>11/09/2024 10:15</t>
  </si>
  <si>
    <t>11/09/2024 10:30</t>
  </si>
  <si>
    <t>11/09/2024 10:45</t>
  </si>
  <si>
    <t>11/09/2024 11:00</t>
  </si>
  <si>
    <t>11/09/2024 11:15</t>
  </si>
  <si>
    <t>11/09/2024 11:30</t>
  </si>
  <si>
    <t>11/09/2024 11:45</t>
  </si>
  <si>
    <t>11/09/2024 12:00</t>
  </si>
  <si>
    <t>11/09/2024 12:15</t>
  </si>
  <si>
    <t>11/09/2024 12:30</t>
  </si>
  <si>
    <t>11/09/2024 12:45</t>
  </si>
  <si>
    <t>11/09/2024 13:00</t>
  </si>
  <si>
    <t>11/09/2024 13:15</t>
  </si>
  <si>
    <t>11/09/2024 13:30</t>
  </si>
  <si>
    <t>11/09/2024 13:45</t>
  </si>
  <si>
    <t>11/09/2024 14:00</t>
  </si>
  <si>
    <t>11/09/2024 14:15</t>
  </si>
  <si>
    <t>11/09/2024 14:30</t>
  </si>
  <si>
    <t>11/09/2024 14:45</t>
  </si>
  <si>
    <t>11/09/2024 15:00</t>
  </si>
  <si>
    <t>11/09/2024 15:15</t>
  </si>
  <si>
    <t>11/09/2024 15:30</t>
  </si>
  <si>
    <t>11/09/2024 15:45</t>
  </si>
  <si>
    <t>11/09/2024 16:00</t>
  </si>
  <si>
    <t>11/09/2024 16:15</t>
  </si>
  <si>
    <t>11/09/2024 16:30</t>
  </si>
  <si>
    <t>11/09/2024 16:45</t>
  </si>
  <si>
    <t>11/09/2024 17:00</t>
  </si>
  <si>
    <t>11/09/2024 17:15</t>
  </si>
  <si>
    <t>11/09/2024 17:30</t>
  </si>
  <si>
    <t>11/09/2024 17:45</t>
  </si>
  <si>
    <t>11/09/2024 18:00</t>
  </si>
  <si>
    <t>11/09/2024 18:15</t>
  </si>
  <si>
    <t>11/09/2024 18:30</t>
  </si>
  <si>
    <t>11/09/2024 18:45</t>
  </si>
  <si>
    <t>11/09/2024 19:00</t>
  </si>
  <si>
    <t>11/09/2024 19:15</t>
  </si>
  <si>
    <t>11/09/2024 19:30</t>
  </si>
  <si>
    <t>11/09/2024 19:45</t>
  </si>
  <si>
    <t>11/09/2024 20:00</t>
  </si>
  <si>
    <t>11/09/2024 20:15</t>
  </si>
  <si>
    <t>11/09/2024 20:30</t>
  </si>
  <si>
    <t>11/09/2024 20:45</t>
  </si>
  <si>
    <t>11/09/2024 21:00</t>
  </si>
  <si>
    <t>11/09/2024 21:15</t>
  </si>
  <si>
    <t>11/09/2024 21:30</t>
  </si>
  <si>
    <t>11/09/2024 21:45</t>
  </si>
  <si>
    <t>11/09/2024 22:00</t>
  </si>
  <si>
    <t>11/09/2024 22:15</t>
  </si>
  <si>
    <t>11/09/2024 22:30</t>
  </si>
  <si>
    <t>11/09/2024 22:45</t>
  </si>
  <si>
    <t>11/09/2024 23:00</t>
  </si>
  <si>
    <t>11/09/2024 23:15</t>
  </si>
  <si>
    <t>11/09/2024 23:30</t>
  </si>
  <si>
    <t>11/09/2024 23:45</t>
  </si>
  <si>
    <t>11/09/2024 24:00</t>
  </si>
  <si>
    <t>12/09/2024 00:15</t>
  </si>
  <si>
    <t>12/09/2024 00:30</t>
  </si>
  <si>
    <t>12/09/2024 00:45</t>
  </si>
  <si>
    <t>12/09/2024 01:00</t>
  </si>
  <si>
    <t>12/09/2024 01:15</t>
  </si>
  <si>
    <t>12/09/2024 01:30</t>
  </si>
  <si>
    <t>12/09/2024 01:45</t>
  </si>
  <si>
    <t>12/09/2024 02:00</t>
  </si>
  <si>
    <t>12/09/2024 02:15</t>
  </si>
  <si>
    <t>12/09/2024 02:30</t>
  </si>
  <si>
    <t>12/09/2024 02:45</t>
  </si>
  <si>
    <t>12/09/2024 03:00</t>
  </si>
  <si>
    <t>12/09/2024 03:15</t>
  </si>
  <si>
    <t>12/09/2024 03:30</t>
  </si>
  <si>
    <t>12/09/2024 03:45</t>
  </si>
  <si>
    <t>12/09/2024 04:00</t>
  </si>
  <si>
    <t>12/09/2024 04:15</t>
  </si>
  <si>
    <t>12/09/2024 04:30</t>
  </si>
  <si>
    <t>12/09/2024 04:45</t>
  </si>
  <si>
    <t>12/09/2024 05:00</t>
  </si>
  <si>
    <t>12/09/2024 05:15</t>
  </si>
  <si>
    <t>12/09/2024 05:30</t>
  </si>
  <si>
    <t>12/09/2024 05:45</t>
  </si>
  <si>
    <t>12/09/2024 06:00</t>
  </si>
  <si>
    <t>12/09/2024 06:15</t>
  </si>
  <si>
    <t>12/09/2024 06:30</t>
  </si>
  <si>
    <t>12/09/2024 06:45</t>
  </si>
  <si>
    <t>12/09/2024 07:00</t>
  </si>
  <si>
    <t>12/09/2024 07:15</t>
  </si>
  <si>
    <t>12/09/2024 07:30</t>
  </si>
  <si>
    <t>12/09/2024 07:45</t>
  </si>
  <si>
    <t>12/09/2024 08:00</t>
  </si>
  <si>
    <t>12/09/2024 08:15</t>
  </si>
  <si>
    <t>12/09/2024 08:30</t>
  </si>
  <si>
    <t>12/09/2024 08:45</t>
  </si>
  <si>
    <t>12/09/2024 09:00</t>
  </si>
  <si>
    <t>12/09/2024 09:15</t>
  </si>
  <si>
    <t>12/09/2024 09:30</t>
  </si>
  <si>
    <t>12/09/2024 09:45</t>
  </si>
  <si>
    <t>12/09/2024 10:00</t>
  </si>
  <si>
    <t>12/09/2024 10:15</t>
  </si>
  <si>
    <t>12/09/2024 10:30</t>
  </si>
  <si>
    <t>12/09/2024 10:45</t>
  </si>
  <si>
    <t>12/09/2024 11:00</t>
  </si>
  <si>
    <t>12/09/2024 11:15</t>
  </si>
  <si>
    <t>12/09/2024 11:30</t>
  </si>
  <si>
    <t>12/09/2024 11:45</t>
  </si>
  <si>
    <t>12/09/2024 12:00</t>
  </si>
  <si>
    <t>12/09/2024 12:15</t>
  </si>
  <si>
    <t>12/09/2024 12:30</t>
  </si>
  <si>
    <t>12/09/2024 12:45</t>
  </si>
  <si>
    <t>12/09/2024 13:00</t>
  </si>
  <si>
    <t>12/09/2024 13:15</t>
  </si>
  <si>
    <t>12/09/2024 13:30</t>
  </si>
  <si>
    <t>12/09/2024 13:45</t>
  </si>
  <si>
    <t>12/09/2024 14:00</t>
  </si>
  <si>
    <t>12/09/2024 14:15</t>
  </si>
  <si>
    <t>12/09/2024 14:30</t>
  </si>
  <si>
    <t>12/09/2024 14:45</t>
  </si>
  <si>
    <t>12/09/2024 15:00</t>
  </si>
  <si>
    <t>12/09/2024 15:15</t>
  </si>
  <si>
    <t>12/09/2024 15:30</t>
  </si>
  <si>
    <t>12/09/2024 15:45</t>
  </si>
  <si>
    <t>12/09/2024 16:00</t>
  </si>
  <si>
    <t>12/09/2024 16:15</t>
  </si>
  <si>
    <t>12/09/2024 16:30</t>
  </si>
  <si>
    <t>12/09/2024 16:45</t>
  </si>
  <si>
    <t>12/09/2024 17:00</t>
  </si>
  <si>
    <t>12/09/2024 17:15</t>
  </si>
  <si>
    <t>12/09/2024 17:30</t>
  </si>
  <si>
    <t>12/09/2024 17:45</t>
  </si>
  <si>
    <t>12/09/2024 18:00</t>
  </si>
  <si>
    <t>12/09/2024 18:15</t>
  </si>
  <si>
    <t>12/09/2024 18:30</t>
  </si>
  <si>
    <t>12/09/2024 18:45</t>
  </si>
  <si>
    <t>12/09/2024 19:00</t>
  </si>
  <si>
    <t>12/09/2024 19:15</t>
  </si>
  <si>
    <t>12/09/2024 19:30</t>
  </si>
  <si>
    <t>12/09/2024 19:45</t>
  </si>
  <si>
    <t>12/09/2024 20:00</t>
  </si>
  <si>
    <t>12/09/2024 20:15</t>
  </si>
  <si>
    <t>12/09/2024 20:30</t>
  </si>
  <si>
    <t>12/09/2024 20:45</t>
  </si>
  <si>
    <t>12/09/2024 21:00</t>
  </si>
  <si>
    <t>12/09/2024 21:15</t>
  </si>
  <si>
    <t>12/09/2024 21:30</t>
  </si>
  <si>
    <t>12/09/2024 21:45</t>
  </si>
  <si>
    <t>12/09/2024 22:00</t>
  </si>
  <si>
    <t>12/09/2024 22:15</t>
  </si>
  <si>
    <t>12/09/2024 22:30</t>
  </si>
  <si>
    <t>12/09/2024 22:45</t>
  </si>
  <si>
    <t>12/09/2024 23:00</t>
  </si>
  <si>
    <t>12/09/2024 23:15</t>
  </si>
  <si>
    <t>12/09/2024 23:30</t>
  </si>
  <si>
    <t>12/09/2024 23:45</t>
  </si>
  <si>
    <t>12/09/2024 24:00</t>
  </si>
  <si>
    <t>13/09/2024 00:15</t>
  </si>
  <si>
    <t>13/09/2024 00:30</t>
  </si>
  <si>
    <t>13/09/2024 00:45</t>
  </si>
  <si>
    <t>13/09/2024 01:00</t>
  </si>
  <si>
    <t>13/09/2024 01:15</t>
  </si>
  <si>
    <t>13/09/2024 01:30</t>
  </si>
  <si>
    <t>13/09/2024 01:45</t>
  </si>
  <si>
    <t>13/09/2024 02:00</t>
  </si>
  <si>
    <t>13/09/2024 02:15</t>
  </si>
  <si>
    <t>13/09/2024 02:30</t>
  </si>
  <si>
    <t>13/09/2024 02:45</t>
  </si>
  <si>
    <t>13/09/2024 03:00</t>
  </si>
  <si>
    <t>13/09/2024 03:15</t>
  </si>
  <si>
    <t>13/09/2024 03:30</t>
  </si>
  <si>
    <t>13/09/2024 03:45</t>
  </si>
  <si>
    <t>13/09/2024 04:00</t>
  </si>
  <si>
    <t>13/09/2024 04:15</t>
  </si>
  <si>
    <t>13/09/2024 04:30</t>
  </si>
  <si>
    <t>13/09/2024 04:45</t>
  </si>
  <si>
    <t>13/09/2024 05:00</t>
  </si>
  <si>
    <t>13/09/2024 05:15</t>
  </si>
  <si>
    <t>13/09/2024 05:30</t>
  </si>
  <si>
    <t>13/09/2024 05:45</t>
  </si>
  <si>
    <t>13/09/2024 06:00</t>
  </si>
  <si>
    <t>13/09/2024 06:15</t>
  </si>
  <si>
    <t>13/09/2024 06:30</t>
  </si>
  <si>
    <t>13/09/2024 06:45</t>
  </si>
  <si>
    <t>13/09/2024 07:00</t>
  </si>
  <si>
    <t>13/09/2024 07:15</t>
  </si>
  <si>
    <t>13/09/2024 07:30</t>
  </si>
  <si>
    <t>13/09/2024 07:45</t>
  </si>
  <si>
    <t>13/09/2024 08:00</t>
  </si>
  <si>
    <t>13/09/2024 08:15</t>
  </si>
  <si>
    <t>13/09/2024 08:30</t>
  </si>
  <si>
    <t>13/09/2024 08:45</t>
  </si>
  <si>
    <t>13/09/2024 09:00</t>
  </si>
  <si>
    <t>13/09/2024 09:15</t>
  </si>
  <si>
    <t>13/09/2024 09:30</t>
  </si>
  <si>
    <t>13/09/2024 09:45</t>
  </si>
  <si>
    <t>13/09/2024 10:00</t>
  </si>
  <si>
    <t>13/09/2024 10:15</t>
  </si>
  <si>
    <t>13/09/2024 10:30</t>
  </si>
  <si>
    <t>13/09/2024 10:45</t>
  </si>
  <si>
    <t>13/09/2024 11:00</t>
  </si>
  <si>
    <t>13/09/2024 11:15</t>
  </si>
  <si>
    <t>13/09/2024 11:30</t>
  </si>
  <si>
    <t>13/09/2024 11:45</t>
  </si>
  <si>
    <t>13/09/2024 12:00</t>
  </si>
  <si>
    <t>13/09/2024 12:15</t>
  </si>
  <si>
    <t>13/09/2024 12:30</t>
  </si>
  <si>
    <t>13/09/2024 12:45</t>
  </si>
  <si>
    <t>13/09/2024 13:00</t>
  </si>
  <si>
    <t>13/09/2024 13:15</t>
  </si>
  <si>
    <t>13/09/2024 13:30</t>
  </si>
  <si>
    <t>13/09/2024 13:45</t>
  </si>
  <si>
    <t>13/09/2024 14:00</t>
  </si>
  <si>
    <t>13/09/2024 14:15</t>
  </si>
  <si>
    <t>13/09/2024 14:30</t>
  </si>
  <si>
    <t>13/09/2024 14:45</t>
  </si>
  <si>
    <t>13/09/2024 15:00</t>
  </si>
  <si>
    <t>13/09/2024 15:15</t>
  </si>
  <si>
    <t>13/09/2024 15:30</t>
  </si>
  <si>
    <t>13/09/2024 15:45</t>
  </si>
  <si>
    <t>13/09/2024 16:00</t>
  </si>
  <si>
    <t>13/09/2024 16:15</t>
  </si>
  <si>
    <t>13/09/2024 16:30</t>
  </si>
  <si>
    <t>13/09/2024 16:45</t>
  </si>
  <si>
    <t>13/09/2024 17:00</t>
  </si>
  <si>
    <t>13/09/2024 17:15</t>
  </si>
  <si>
    <t>13/09/2024 17:30</t>
  </si>
  <si>
    <t>13/09/2024 17:45</t>
  </si>
  <si>
    <t>13/09/2024 18:00</t>
  </si>
  <si>
    <t>13/09/2024 18:15</t>
  </si>
  <si>
    <t>13/09/2024 18:30</t>
  </si>
  <si>
    <t>13/09/2024 18:45</t>
  </si>
  <si>
    <t>13/09/2024 19:00</t>
  </si>
  <si>
    <t>13/09/2024 19:15</t>
  </si>
  <si>
    <t>13/09/2024 19:30</t>
  </si>
  <si>
    <t>13/09/2024 19:45</t>
  </si>
  <si>
    <t>13/09/2024 20:00</t>
  </si>
  <si>
    <t>13/09/2024 20:15</t>
  </si>
  <si>
    <t>13/09/2024 20:30</t>
  </si>
  <si>
    <t>13/09/2024 20:45</t>
  </si>
  <si>
    <t>13/09/2024 21:00</t>
  </si>
  <si>
    <t>13/09/2024 21:15</t>
  </si>
  <si>
    <t>13/09/2024 21:30</t>
  </si>
  <si>
    <t>13/09/2024 21:45</t>
  </si>
  <si>
    <t>13/09/2024 22:00</t>
  </si>
  <si>
    <t>13/09/2024 22:15</t>
  </si>
  <si>
    <t>13/09/2024 22:30</t>
  </si>
  <si>
    <t>13/09/2024 22:45</t>
  </si>
  <si>
    <t>13/09/2024 23:00</t>
  </si>
  <si>
    <t>13/09/2024 23:15</t>
  </si>
  <si>
    <t>13/09/2024 23:30</t>
  </si>
  <si>
    <t>13/09/2024 23:45</t>
  </si>
  <si>
    <t>13/09/2024 24:00</t>
  </si>
  <si>
    <t>835 ug/cm2</t>
  </si>
  <si>
    <t>847 ug/cm2</t>
  </si>
  <si>
    <t>14/09/2024 00:15</t>
  </si>
  <si>
    <t>14/09/2024 00:30</t>
  </si>
  <si>
    <t>14/09/2024 00:45</t>
  </si>
  <si>
    <t>14/09/2024 01:00</t>
  </si>
  <si>
    <t>14/09/2024 01:15</t>
  </si>
  <si>
    <t>14/09/2024 01:30</t>
  </si>
  <si>
    <t>14/09/2024 01:45</t>
  </si>
  <si>
    <t>14/09/2024 02:00</t>
  </si>
  <si>
    <t>14/09/2024 02:15</t>
  </si>
  <si>
    <t>14/09/2024 02:30</t>
  </si>
  <si>
    <t>14/09/2024 02:45</t>
  </si>
  <si>
    <t>14/09/2024 03:00</t>
  </si>
  <si>
    <t>14/09/2024 03:15</t>
  </si>
  <si>
    <t>14/09/2024 03:30</t>
  </si>
  <si>
    <t>14/09/2024 03:45</t>
  </si>
  <si>
    <t>14/09/2024 04:00</t>
  </si>
  <si>
    <t>14/09/2024 04:15</t>
  </si>
  <si>
    <t>14/09/2024 04:30</t>
  </si>
  <si>
    <t>14/09/2024 04:45</t>
  </si>
  <si>
    <t>14/09/2024 05:00</t>
  </si>
  <si>
    <t>14/09/2024 05:15</t>
  </si>
  <si>
    <t>14/09/2024 05:30</t>
  </si>
  <si>
    <t>14/09/2024 05:45</t>
  </si>
  <si>
    <t>14/09/2024 06:00</t>
  </si>
  <si>
    <t>14/09/2024 06:15</t>
  </si>
  <si>
    <t>14/09/2024 06:30</t>
  </si>
  <si>
    <t>14/09/2024 06:45</t>
  </si>
  <si>
    <t>14/09/2024 07:00</t>
  </si>
  <si>
    <t>14/09/2024 07:15</t>
  </si>
  <si>
    <t>14/09/2024 07:30</t>
  </si>
  <si>
    <t>14/09/2024 07:45</t>
  </si>
  <si>
    <t>14/09/2024 08:00</t>
  </si>
  <si>
    <t>14/09/2024 08:15</t>
  </si>
  <si>
    <t>14/09/2024 08:30</t>
  </si>
  <si>
    <t>14/09/2024 08:45</t>
  </si>
  <si>
    <t>14/09/2024 09:00</t>
  </si>
  <si>
    <t>14/09/2024 09:15</t>
  </si>
  <si>
    <t>14/09/2024 09:30</t>
  </si>
  <si>
    <t>14/09/2024 09:45</t>
  </si>
  <si>
    <t>14/09/2024 10:00</t>
  </si>
  <si>
    <t>14/09/2024 10:15</t>
  </si>
  <si>
    <t>14/09/2024 10:30</t>
  </si>
  <si>
    <t>14/09/2024 10:45</t>
  </si>
  <si>
    <t>14/09/2024 11:00</t>
  </si>
  <si>
    <t>14/09/2024 11:15</t>
  </si>
  <si>
    <t>14/09/2024 11:30</t>
  </si>
  <si>
    <t>14/09/2024 11:45</t>
  </si>
  <si>
    <t>14/09/2024 12:00</t>
  </si>
  <si>
    <t>14/09/2024 12:15</t>
  </si>
  <si>
    <t>14/09/2024 12:30</t>
  </si>
  <si>
    <t>14/09/2024 12:45</t>
  </si>
  <si>
    <t>14/09/2024 13:00</t>
  </si>
  <si>
    <t>14/09/2024 13:15</t>
  </si>
  <si>
    <t>14/09/2024 13:30</t>
  </si>
  <si>
    <t>14/09/2024 13:45</t>
  </si>
  <si>
    <t>14/09/2024 14:00</t>
  </si>
  <si>
    <t>14/09/2024 14:15</t>
  </si>
  <si>
    <t>14/09/2024 14:30</t>
  </si>
  <si>
    <t>14/09/2024 14:45</t>
  </si>
  <si>
    <t>14/09/2024 15:00</t>
  </si>
  <si>
    <t>14/09/2024 15:15</t>
  </si>
  <si>
    <t>14/09/2024 15:30</t>
  </si>
  <si>
    <t>14/09/2024 15:45</t>
  </si>
  <si>
    <t>14/09/2024 16:00</t>
  </si>
  <si>
    <t>14/09/2024 16:15</t>
  </si>
  <si>
    <t>14/09/2024 16:30</t>
  </si>
  <si>
    <t>14/09/2024 16:45</t>
  </si>
  <si>
    <t>14/09/2024 17:00</t>
  </si>
  <si>
    <t>14/09/2024 17:15</t>
  </si>
  <si>
    <t>14/09/2024 17:30</t>
  </si>
  <si>
    <t>14/09/2024 17:45</t>
  </si>
  <si>
    <t>14/09/2024 18:00</t>
  </si>
  <si>
    <t>14/09/2024 18:15</t>
  </si>
  <si>
    <t>14/09/2024 18:30</t>
  </si>
  <si>
    <t>14/09/2024 18:45</t>
  </si>
  <si>
    <t>14/09/2024 19:00</t>
  </si>
  <si>
    <t>14/09/2024 19:15</t>
  </si>
  <si>
    <t>14/09/2024 19:30</t>
  </si>
  <si>
    <t>14/09/2024 19:45</t>
  </si>
  <si>
    <t>14/09/2024 20:00</t>
  </si>
  <si>
    <t>14/09/2024 20:15</t>
  </si>
  <si>
    <t>14/09/2024 20:30</t>
  </si>
  <si>
    <t>14/09/2024 20:45</t>
  </si>
  <si>
    <t>14/09/2024 21:00</t>
  </si>
  <si>
    <t>14/09/2024 21:15</t>
  </si>
  <si>
    <t>14/09/2024 21:30</t>
  </si>
  <si>
    <t>14/09/2024 21:45</t>
  </si>
  <si>
    <t>14/09/2024 22:00</t>
  </si>
  <si>
    <t>14/09/2024 22:15</t>
  </si>
  <si>
    <t>14/09/2024 22:30</t>
  </si>
  <si>
    <t>14/09/2024 22:45</t>
  </si>
  <si>
    <t>14/09/2024 23:00</t>
  </si>
  <si>
    <t>14/09/2024 23:15</t>
  </si>
  <si>
    <t>14/09/2024 23:30</t>
  </si>
  <si>
    <t>14/09/2024 23:45</t>
  </si>
  <si>
    <t>14/09/2024 24:00</t>
  </si>
  <si>
    <t>15/09/2024 00:15</t>
  </si>
  <si>
    <t>15/09/2024 00:30</t>
  </si>
  <si>
    <t>15/09/2024 00:45</t>
  </si>
  <si>
    <t>15/09/2024 01:00</t>
  </si>
  <si>
    <t>15/09/2024 01:15</t>
  </si>
  <si>
    <t>15/09/2024 01:30</t>
  </si>
  <si>
    <t>15/09/2024 01:45</t>
  </si>
  <si>
    <t>15/09/2024 02:00</t>
  </si>
  <si>
    <t>15/09/2024 02:15</t>
  </si>
  <si>
    <t>15/09/2024 02:30</t>
  </si>
  <si>
    <t>15/09/2024 02:45</t>
  </si>
  <si>
    <t>15/09/2024 03:00</t>
  </si>
  <si>
    <t>15/09/2024 03:15</t>
  </si>
  <si>
    <t>15/09/2024 03:30</t>
  </si>
  <si>
    <t>15/09/2024 03:45</t>
  </si>
  <si>
    <t>15/09/2024 04:00</t>
  </si>
  <si>
    <t>15/09/2024 04:15</t>
  </si>
  <si>
    <t>15/09/2024 04:30</t>
  </si>
  <si>
    <t>15/09/2024 04:45</t>
  </si>
  <si>
    <t>15/09/2024 05:00</t>
  </si>
  <si>
    <t>15/09/2024 05:15</t>
  </si>
  <si>
    <t>15/09/2024 05:30</t>
  </si>
  <si>
    <t>15/09/2024 05:45</t>
  </si>
  <si>
    <t>15/09/2024 06:00</t>
  </si>
  <si>
    <t>15/09/2024 06:15</t>
  </si>
  <si>
    <t>15/09/2024 06:30</t>
  </si>
  <si>
    <t>15/09/2024 06:45</t>
  </si>
  <si>
    <t>15/09/2024 07:00</t>
  </si>
  <si>
    <t>15/09/2024 07:15</t>
  </si>
  <si>
    <t>15/09/2024 07:30</t>
  </si>
  <si>
    <t>15/09/2024 07:45</t>
  </si>
  <si>
    <t>15/09/2024 08:00</t>
  </si>
  <si>
    <t>15/09/2024 08:15</t>
  </si>
  <si>
    <t>15/09/2024 08:30</t>
  </si>
  <si>
    <t>15/09/2024 08:45</t>
  </si>
  <si>
    <t>15/09/2024 09:00</t>
  </si>
  <si>
    <t>15/09/2024 09:15</t>
  </si>
  <si>
    <t>15/09/2024 09:30</t>
  </si>
  <si>
    <t>15/09/2024 09:45</t>
  </si>
  <si>
    <t>15/09/2024 10:00</t>
  </si>
  <si>
    <t>15/09/2024 10:15</t>
  </si>
  <si>
    <t>15/09/2024 10:30</t>
  </si>
  <si>
    <t>15/09/2024 10:45</t>
  </si>
  <si>
    <t>15/09/2024 11:00</t>
  </si>
  <si>
    <t>15/09/2024 11:15</t>
  </si>
  <si>
    <t>15/09/2024 11:30</t>
  </si>
  <si>
    <t>15/09/2024 11:45</t>
  </si>
  <si>
    <t>15/09/2024 12:00</t>
  </si>
  <si>
    <t>15/09/2024 12:15</t>
  </si>
  <si>
    <t>15/09/2024 12:30</t>
  </si>
  <si>
    <t>15/09/2024 12:45</t>
  </si>
  <si>
    <t>15/09/2024 13:00</t>
  </si>
  <si>
    <t>15/09/2024 13:15</t>
  </si>
  <si>
    <t>15/09/2024 13:30</t>
  </si>
  <si>
    <t>15/09/2024 13:45</t>
  </si>
  <si>
    <t>15/09/2024 14:00</t>
  </si>
  <si>
    <t>15/09/2024 14:15</t>
  </si>
  <si>
    <t>15/09/2024 14:30</t>
  </si>
  <si>
    <t>15/09/2024 14:45</t>
  </si>
  <si>
    <t>15/09/2024 15:00</t>
  </si>
  <si>
    <t>15/09/2024 15:15</t>
  </si>
  <si>
    <t>15/09/2024 15:30</t>
  </si>
  <si>
    <t>15/09/2024 15:45</t>
  </si>
  <si>
    <t>15/09/2024 16:00</t>
  </si>
  <si>
    <t>15/09/2024 16:15</t>
  </si>
  <si>
    <t>15/09/2024 16:30</t>
  </si>
  <si>
    <t>15/09/2024 16:45</t>
  </si>
  <si>
    <t>15/09/2024 17:00</t>
  </si>
  <si>
    <t>15/09/2024 17:15</t>
  </si>
  <si>
    <t>15/09/2024 17:30</t>
  </si>
  <si>
    <t>15/09/2024 17:45</t>
  </si>
  <si>
    <t>15/09/2024 18:00</t>
  </si>
  <si>
    <t>15/09/2024 18:15</t>
  </si>
  <si>
    <t>15/09/2024 18:30</t>
  </si>
  <si>
    <t>15/09/2024 18:45</t>
  </si>
  <si>
    <t>15/09/2024 19:00</t>
  </si>
  <si>
    <t>15/09/2024 19:15</t>
  </si>
  <si>
    <t>15/09/2024 19:30</t>
  </si>
  <si>
    <t>15/09/2024 19:45</t>
  </si>
  <si>
    <t>15/09/2024 20:00</t>
  </si>
  <si>
    <t>15/09/2024 20:15</t>
  </si>
  <si>
    <t>15/09/2024 20:30</t>
  </si>
  <si>
    <t>15/09/2024 20:45</t>
  </si>
  <si>
    <t>15/09/2024 21:00</t>
  </si>
  <si>
    <t>15/09/2024 21:15</t>
  </si>
  <si>
    <t>15/09/2024 21:30</t>
  </si>
  <si>
    <t>15/09/2024 21:45</t>
  </si>
  <si>
    <t>15/09/2024 22:00</t>
  </si>
  <si>
    <t>15/09/2024 22:15</t>
  </si>
  <si>
    <t>15/09/2024 22:30</t>
  </si>
  <si>
    <t>15/09/2024 22:45</t>
  </si>
  <si>
    <t>15/09/2024 23:00</t>
  </si>
  <si>
    <t>15/09/2024 23:15</t>
  </si>
  <si>
    <t>15/09/2024 23:30</t>
  </si>
  <si>
    <t>15/09/2024 23:45</t>
  </si>
  <si>
    <t>15/09/2024 24:00</t>
  </si>
  <si>
    <t>16/09/2024 00:15</t>
  </si>
  <si>
    <t>16/09/2024 00:30</t>
  </si>
  <si>
    <t>16/09/2024 00:45</t>
  </si>
  <si>
    <t>16/09/2024 01:00</t>
  </si>
  <si>
    <t>16/09/2024 01:15</t>
  </si>
  <si>
    <t>16/09/2024 01:30</t>
  </si>
  <si>
    <t>16/09/2024 01:45</t>
  </si>
  <si>
    <t>16/09/2024 02:00</t>
  </si>
  <si>
    <t>16/09/2024 02:15</t>
  </si>
  <si>
    <t>16/09/2024 02:30</t>
  </si>
  <si>
    <t>16/09/2024 02:45</t>
  </si>
  <si>
    <t>16/09/2024 03:00</t>
  </si>
  <si>
    <t>16/09/2024 03:15</t>
  </si>
  <si>
    <t>16/09/2024 03:30</t>
  </si>
  <si>
    <t>16/09/2024 03:45</t>
  </si>
  <si>
    <t>16/09/2024 04:00</t>
  </si>
  <si>
    <t>16/09/2024 04:15</t>
  </si>
  <si>
    <t>16/09/2024 04:30</t>
  </si>
  <si>
    <t>16/09/2024 04:45</t>
  </si>
  <si>
    <t>16/09/2024 05:00</t>
  </si>
  <si>
    <t>16/09/2024 05:15</t>
  </si>
  <si>
    <t>16/09/2024 05:30</t>
  </si>
  <si>
    <t>16/09/2024 05:45</t>
  </si>
  <si>
    <t>16/09/2024 06:00</t>
  </si>
  <si>
    <t>16/09/2024 06:15</t>
  </si>
  <si>
    <t>16/09/2024 06:30</t>
  </si>
  <si>
    <t>16/09/2024 06:45</t>
  </si>
  <si>
    <t>16/09/2024 07:00</t>
  </si>
  <si>
    <t>16/09/2024 07:15</t>
  </si>
  <si>
    <t>16/09/2024 07:30</t>
  </si>
  <si>
    <t>16/09/2024 07:45</t>
  </si>
  <si>
    <t>16/09/2024 08:00</t>
  </si>
  <si>
    <t>16/09/2024 08:15</t>
  </si>
  <si>
    <t>16/09/2024 08:30</t>
  </si>
  <si>
    <t>16/09/2024 08:45</t>
  </si>
  <si>
    <t>16/09/2024 09:00</t>
  </si>
  <si>
    <t>16/09/2024 09:15</t>
  </si>
  <si>
    <t>16/09/2024 09:30</t>
  </si>
  <si>
    <t>16/09/2024 09:45</t>
  </si>
  <si>
    <t>16/09/2024 10:00</t>
  </si>
  <si>
    <t>16/09/2024 10:15</t>
  </si>
  <si>
    <t>16/09/2024 10:30</t>
  </si>
  <si>
    <t>16/09/2024 10:45</t>
  </si>
  <si>
    <t>16/09/2024 11:00</t>
  </si>
  <si>
    <t>16/09/2024 11:15</t>
  </si>
  <si>
    <t>16/09/2024 11:30</t>
  </si>
  <si>
    <t>16/09/2024 11:45</t>
  </si>
  <si>
    <t>16/09/2024 12:00</t>
  </si>
  <si>
    <t>16/09/2024 12:15</t>
  </si>
  <si>
    <t>16/09/2024 12:30</t>
  </si>
  <si>
    <t>16/09/2024 12:45</t>
  </si>
  <si>
    <t>16/09/2024 13:00</t>
  </si>
  <si>
    <t>16/09/2024 13:15</t>
  </si>
  <si>
    <t>16/09/2024 13:30</t>
  </si>
  <si>
    <t>16/09/2024 13:45</t>
  </si>
  <si>
    <t>16/09/2024 14:00</t>
  </si>
  <si>
    <t>16/09/2024 14:15</t>
  </si>
  <si>
    <t>16/09/2024 14:30</t>
  </si>
  <si>
    <t>16/09/2024 14:45</t>
  </si>
  <si>
    <t>16/09/2024 15:00</t>
  </si>
  <si>
    <t>16/09/2024 15:15</t>
  </si>
  <si>
    <t>16/09/2024 15:30</t>
  </si>
  <si>
    <t>16/09/2024 15:45</t>
  </si>
  <si>
    <t>16/09/2024 16:00</t>
  </si>
  <si>
    <t>16/09/2024 16:15</t>
  </si>
  <si>
    <t>16/09/2024 16:30</t>
  </si>
  <si>
    <t>16/09/2024 16:45</t>
  </si>
  <si>
    <t>16/09/2024 17:00</t>
  </si>
  <si>
    <t>16/09/2024 17:15</t>
  </si>
  <si>
    <t>16/09/2024 17:30</t>
  </si>
  <si>
    <t>16/09/2024 17:45</t>
  </si>
  <si>
    <t>16/09/2024 18:00</t>
  </si>
  <si>
    <t>16/09/2024 18:15</t>
  </si>
  <si>
    <t>16/09/2024 18:30</t>
  </si>
  <si>
    <t>16/09/2024 18:45</t>
  </si>
  <si>
    <t>16/09/2024 19:00</t>
  </si>
  <si>
    <t>16/09/2024 19:15</t>
  </si>
  <si>
    <t>16/09/2024 19:30</t>
  </si>
  <si>
    <t>16/09/2024 19:45</t>
  </si>
  <si>
    <t>16/09/2024 20:00</t>
  </si>
  <si>
    <t>16/09/2024 20:15</t>
  </si>
  <si>
    <t>16/09/2024 20:30</t>
  </si>
  <si>
    <t>16/09/2024 20:45</t>
  </si>
  <si>
    <t>16/09/2024 21:00</t>
  </si>
  <si>
    <t>16/09/2024 21:15</t>
  </si>
  <si>
    <t>16/09/2024 21:30</t>
  </si>
  <si>
    <t>16/09/2024 21:45</t>
  </si>
  <si>
    <t>16/09/2024 22:00</t>
  </si>
  <si>
    <t>16/09/2024 22:15</t>
  </si>
  <si>
    <t>16/09/2024 22:30</t>
  </si>
  <si>
    <t>16/09/2024 22:45</t>
  </si>
  <si>
    <t>16/09/2024 23:00</t>
  </si>
  <si>
    <t>16/09/2024 23:15</t>
  </si>
  <si>
    <t>16/09/2024 23:30</t>
  </si>
  <si>
    <t>16/09/2024 23:45</t>
  </si>
  <si>
    <t>16/09/2024 24:00</t>
  </si>
  <si>
    <t>17/09/2024 00:15</t>
  </si>
  <si>
    <t>17/09/2024 00:30</t>
  </si>
  <si>
    <t>17/09/2024 00:45</t>
  </si>
  <si>
    <t>17/09/2024 01:00</t>
  </si>
  <si>
    <t>17/09/2024 01:15</t>
  </si>
  <si>
    <t>17/09/2024 01:30</t>
  </si>
  <si>
    <t>17/09/2024 01:45</t>
  </si>
  <si>
    <t>17/09/2024 02:00</t>
  </si>
  <si>
    <t>17/09/2024 02:15</t>
  </si>
  <si>
    <t>17/09/2024 02:30</t>
  </si>
  <si>
    <t>17/09/2024 02:45</t>
  </si>
  <si>
    <t>17/09/2024 03:00</t>
  </si>
  <si>
    <t>17/09/2024 03:15</t>
  </si>
  <si>
    <t>17/09/2024 03:30</t>
  </si>
  <si>
    <t>17/09/2024 03:45</t>
  </si>
  <si>
    <t>17/09/2024 04:00</t>
  </si>
  <si>
    <t>17/09/2024 04:15</t>
  </si>
  <si>
    <t>17/09/2024 04:30</t>
  </si>
  <si>
    <t>17/09/2024 04:45</t>
  </si>
  <si>
    <t>17/09/2024 05:00</t>
  </si>
  <si>
    <t>17/09/2024 05:15</t>
  </si>
  <si>
    <t>17/09/2024 05:30</t>
  </si>
  <si>
    <t>17/09/2024 05:45</t>
  </si>
  <si>
    <t>17/09/2024 06:00</t>
  </si>
  <si>
    <t>17/09/2024 06:15</t>
  </si>
  <si>
    <t>17/09/2024 06:30</t>
  </si>
  <si>
    <t>17/09/2024 06:45</t>
  </si>
  <si>
    <t>17/09/2024 07:00</t>
  </si>
  <si>
    <t>17/09/2024 07:15</t>
  </si>
  <si>
    <t>17/09/2024 07:30</t>
  </si>
  <si>
    <t>17/09/2024 07:45</t>
  </si>
  <si>
    <t>17/09/2024 08:00</t>
  </si>
  <si>
    <t>17/09/2024 08:15</t>
  </si>
  <si>
    <t>17/09/2024 08:30</t>
  </si>
  <si>
    <t>17/09/2024 08:45</t>
  </si>
  <si>
    <t>17/09/2024 09:00</t>
  </si>
  <si>
    <t>17/09/2024 09:15</t>
  </si>
  <si>
    <t>17/09/2024 09:30</t>
  </si>
  <si>
    <t>17/09/2024 09:45</t>
  </si>
  <si>
    <t>17/09/2024 10:00</t>
  </si>
  <si>
    <t>17/09/2024 10:15</t>
  </si>
  <si>
    <t>17/09/2024 10:30</t>
  </si>
  <si>
    <t>17/09/2024 10:45</t>
  </si>
  <si>
    <t>17/09/2024 11:00</t>
  </si>
  <si>
    <t>17/09/2024 11:15</t>
  </si>
  <si>
    <t>17/09/2024 11:30</t>
  </si>
  <si>
    <t>17/09/2024 11:45</t>
  </si>
  <si>
    <t>17/09/2024 12:00</t>
  </si>
  <si>
    <t>17/09/2024 12:15</t>
  </si>
  <si>
    <t>17/09/2024 12:30</t>
  </si>
  <si>
    <t>17/09/2024 12:45</t>
  </si>
  <si>
    <t>17/09/2024 13:00</t>
  </si>
  <si>
    <t>17/09/2024 13:15</t>
  </si>
  <si>
    <t>17/09/2024 13:30</t>
  </si>
  <si>
    <t>17/09/2024 13:45</t>
  </si>
  <si>
    <t>17/09/2024 14:00</t>
  </si>
  <si>
    <t>17/09/2024 14:15</t>
  </si>
  <si>
    <t>17/09/2024 14:30</t>
  </si>
  <si>
    <t>17/09/2024 14:45</t>
  </si>
  <si>
    <t>17/09/2024 15:00</t>
  </si>
  <si>
    <t>17/09/2024 15:15</t>
  </si>
  <si>
    <t>17/09/2024 15:30</t>
  </si>
  <si>
    <t>17/09/2024 15:45</t>
  </si>
  <si>
    <t>17/09/2024 16:00</t>
  </si>
  <si>
    <t>17/09/2024 16:15</t>
  </si>
  <si>
    <t>17/09/2024 16:30</t>
  </si>
  <si>
    <t>17/09/2024 16:45</t>
  </si>
  <si>
    <t>17/09/2024 17:00</t>
  </si>
  <si>
    <t>17/09/2024 17:15</t>
  </si>
  <si>
    <t>17/09/2024 17:30</t>
  </si>
  <si>
    <t>17/09/2024 17:45</t>
  </si>
  <si>
    <t>17/09/2024 18:00</t>
  </si>
  <si>
    <t>17/09/2024 18:15</t>
  </si>
  <si>
    <t>17/09/2024 18:30</t>
  </si>
  <si>
    <t>17/09/2024 18:45</t>
  </si>
  <si>
    <t>17/09/2024 19:00</t>
  </si>
  <si>
    <t>17/09/2024 19:15</t>
  </si>
  <si>
    <t>17/09/2024 19:30</t>
  </si>
  <si>
    <t>17/09/2024 19:45</t>
  </si>
  <si>
    <t>17/09/2024 20:00</t>
  </si>
  <si>
    <t>17/09/2024 20:15</t>
  </si>
  <si>
    <t>17/09/2024 20:30</t>
  </si>
  <si>
    <t>17/09/2024 20:45</t>
  </si>
  <si>
    <t>17/09/2024 21:00</t>
  </si>
  <si>
    <t>17/09/2024 21:15</t>
  </si>
  <si>
    <t>17/09/2024 21:30</t>
  </si>
  <si>
    <t>17/09/2024 21:45</t>
  </si>
  <si>
    <t>17/09/2024 22:00</t>
  </si>
  <si>
    <t>17/09/2024 22:15</t>
  </si>
  <si>
    <t>17/09/2024 22:30</t>
  </si>
  <si>
    <t>17/09/2024 22:45</t>
  </si>
  <si>
    <t>17/09/2024 23:00</t>
  </si>
  <si>
    <t>17/09/2024 23:15</t>
  </si>
  <si>
    <t>17/09/2024 23:30</t>
  </si>
  <si>
    <t>17/09/2024 23:45</t>
  </si>
  <si>
    <t>17/09/2024 24:00</t>
  </si>
  <si>
    <t>18/09/2024 00:15</t>
  </si>
  <si>
    <t>18/09/2024 00:30</t>
  </si>
  <si>
    <t>18/09/2024 00:45</t>
  </si>
  <si>
    <t>18/09/2024 01:00</t>
  </si>
  <si>
    <t>18/09/2024 01:15</t>
  </si>
  <si>
    <t>18/09/2024 01:30</t>
  </si>
  <si>
    <t>18/09/2024 01:45</t>
  </si>
  <si>
    <t>18/09/2024 02:00</t>
  </si>
  <si>
    <t>18/09/2024 02:15</t>
  </si>
  <si>
    <t>18/09/2024 02:30</t>
  </si>
  <si>
    <t>18/09/2024 02:45</t>
  </si>
  <si>
    <t>18/09/2024 03:00</t>
  </si>
  <si>
    <t>18/09/2024 03:15</t>
  </si>
  <si>
    <t>18/09/2024 03:30</t>
  </si>
  <si>
    <t>18/09/2024 03:45</t>
  </si>
  <si>
    <t>18/09/2024 04:00</t>
  </si>
  <si>
    <t>18/09/2024 04:15</t>
  </si>
  <si>
    <t>18/09/2024 04:30</t>
  </si>
  <si>
    <t>18/09/2024 04:45</t>
  </si>
  <si>
    <t>18/09/2024 05:00</t>
  </si>
  <si>
    <t>18/09/2024 05:15</t>
  </si>
  <si>
    <t>18/09/2024 05:30</t>
  </si>
  <si>
    <t>18/09/2024 05:45</t>
  </si>
  <si>
    <t>18/09/2024 06:00</t>
  </si>
  <si>
    <t>18/09/2024 06:15</t>
  </si>
  <si>
    <t>18/09/2024 06:30</t>
  </si>
  <si>
    <t>18/09/2024 06:45</t>
  </si>
  <si>
    <t>18/09/2024 07:00</t>
  </si>
  <si>
    <t>18/09/2024 07:15</t>
  </si>
  <si>
    <t>18/09/2024 07:30</t>
  </si>
  <si>
    <t>18/09/2024 07:45</t>
  </si>
  <si>
    <t>18/09/2024 08:00</t>
  </si>
  <si>
    <t>18/09/2024 08:15</t>
  </si>
  <si>
    <t>18/09/2024 08:30</t>
  </si>
  <si>
    <t>18/09/2024 08:45</t>
  </si>
  <si>
    <t>18/09/2024 09:00</t>
  </si>
  <si>
    <t>18/09/2024 09:15</t>
  </si>
  <si>
    <t>18/09/2024 09:30</t>
  </si>
  <si>
    <t>18/09/2024 09:45</t>
  </si>
  <si>
    <t>18/09/2024 10:00</t>
  </si>
  <si>
    <t>18/09/2024 10:15</t>
  </si>
  <si>
    <t>18/09/2024 10:30</t>
  </si>
  <si>
    <t>18/09/2024 10:45</t>
  </si>
  <si>
    <t>18/09/2024 11:00</t>
  </si>
  <si>
    <t>18/09/2024 11:15</t>
  </si>
  <si>
    <t>18/09/2024 11:30</t>
  </si>
  <si>
    <t>18/09/2024 11:45</t>
  </si>
  <si>
    <t>18/09/2024 12:00</t>
  </si>
  <si>
    <t>18/09/2024 12:15</t>
  </si>
  <si>
    <t>18/09/2024 12:30</t>
  </si>
  <si>
    <t>18/09/2024 12:45</t>
  </si>
  <si>
    <t>18/09/2024 13:00</t>
  </si>
  <si>
    <t>18/09/2024 13:15</t>
  </si>
  <si>
    <t>18/09/2024 13:30</t>
  </si>
  <si>
    <t>18/09/2024 13:45</t>
  </si>
  <si>
    <t>18/09/2024 14:00</t>
  </si>
  <si>
    <t>18/09/2024 14:15</t>
  </si>
  <si>
    <t>18/09/2024 14:30</t>
  </si>
  <si>
    <t>18/09/2024 14:45</t>
  </si>
  <si>
    <t>18/09/2024 15:00</t>
  </si>
  <si>
    <t>18/09/2024 15:15</t>
  </si>
  <si>
    <t>18/09/2024 15:30</t>
  </si>
  <si>
    <t>18/09/2024 15:45</t>
  </si>
  <si>
    <t>18/09/2024 16:00</t>
  </si>
  <si>
    <t>18/09/2024 16:15</t>
  </si>
  <si>
    <t>18/09/2024 16:30</t>
  </si>
  <si>
    <t>18/09/2024 16:45</t>
  </si>
  <si>
    <t>18/09/2024 17:00</t>
  </si>
  <si>
    <t>18/09/2024 17:15</t>
  </si>
  <si>
    <t>18/09/2024 17:30</t>
  </si>
  <si>
    <t>18/09/2024 17:45</t>
  </si>
  <si>
    <t>18/09/2024 18:00</t>
  </si>
  <si>
    <t>18/09/2024 18:15</t>
  </si>
  <si>
    <t>18/09/2024 18:30</t>
  </si>
  <si>
    <t>18/09/2024 18:45</t>
  </si>
  <si>
    <t>18/09/2024 19:00</t>
  </si>
  <si>
    <t>18/09/2024 19:15</t>
  </si>
  <si>
    <t>18/09/2024 19:30</t>
  </si>
  <si>
    <t>18/09/2024 19:45</t>
  </si>
  <si>
    <t>18/09/2024 20:00</t>
  </si>
  <si>
    <t>18/09/2024 20:15</t>
  </si>
  <si>
    <t>18/09/2024 20:30</t>
  </si>
  <si>
    <t>18/09/2024 20:45</t>
  </si>
  <si>
    <t>18/09/2024 21:00</t>
  </si>
  <si>
    <t>18/09/2024 21:15</t>
  </si>
  <si>
    <t>18/09/2024 21:30</t>
  </si>
  <si>
    <t>18/09/2024 21:45</t>
  </si>
  <si>
    <t>18/09/2024 22:00</t>
  </si>
  <si>
    <t>18/09/2024 22:15</t>
  </si>
  <si>
    <t>18/09/2024 22:30</t>
  </si>
  <si>
    <t>18/09/2024 22:45</t>
  </si>
  <si>
    <t>18/09/2024 23:00</t>
  </si>
  <si>
    <t>18/09/2024 23:15</t>
  </si>
  <si>
    <t>18/09/2024 23:30</t>
  </si>
  <si>
    <t>18/09/2024 23:45</t>
  </si>
  <si>
    <t>18/09/2024 24:00</t>
  </si>
  <si>
    <t>19/09/2024 00:15</t>
  </si>
  <si>
    <t>19/09/2024 00:30</t>
  </si>
  <si>
    <t>19/09/2024 00:45</t>
  </si>
  <si>
    <t>19/09/2024 01:00</t>
  </si>
  <si>
    <t>19/09/2024 01:15</t>
  </si>
  <si>
    <t>19/09/2024 01:30</t>
  </si>
  <si>
    <t>19/09/2024 01:45</t>
  </si>
  <si>
    <t>19/09/2024 02:00</t>
  </si>
  <si>
    <t>19/09/2024 02:15</t>
  </si>
  <si>
    <t>19/09/2024 02:30</t>
  </si>
  <si>
    <t>19/09/2024 02:45</t>
  </si>
  <si>
    <t>19/09/2024 03:00</t>
  </si>
  <si>
    <t>19/09/2024 03:15</t>
  </si>
  <si>
    <t>19/09/2024 03:30</t>
  </si>
  <si>
    <t>19/09/2024 03:45</t>
  </si>
  <si>
    <t>19/09/2024 04:00</t>
  </si>
  <si>
    <t>19/09/2024 04:15</t>
  </si>
  <si>
    <t>19/09/2024 04:30</t>
  </si>
  <si>
    <t>19/09/2024 04:45</t>
  </si>
  <si>
    <t>19/09/2024 05:00</t>
  </si>
  <si>
    <t>19/09/2024 05:15</t>
  </si>
  <si>
    <t>19/09/2024 05:30</t>
  </si>
  <si>
    <t>19/09/2024 05:45</t>
  </si>
  <si>
    <t>19/09/2024 06:00</t>
  </si>
  <si>
    <t>19/09/2024 06:15</t>
  </si>
  <si>
    <t>19/09/2024 06:30</t>
  </si>
  <si>
    <t>19/09/2024 06:45</t>
  </si>
  <si>
    <t>19/09/2024 07:00</t>
  </si>
  <si>
    <t>19/09/2024 07:15</t>
  </si>
  <si>
    <t>19/09/2024 07:30</t>
  </si>
  <si>
    <t>19/09/2024 07:45</t>
  </si>
  <si>
    <t>19/09/2024 08:00</t>
  </si>
  <si>
    <t>19/09/2024 08:15</t>
  </si>
  <si>
    <t>19/09/2024 08:30</t>
  </si>
  <si>
    <t>19/09/2024 08:45</t>
  </si>
  <si>
    <t>19/09/2024 09:00</t>
  </si>
  <si>
    <t>19/09/2024 09:15</t>
  </si>
  <si>
    <t>19/09/2024 09:30</t>
  </si>
  <si>
    <t>19/09/2024 09:45</t>
  </si>
  <si>
    <t>19/09/2024 10:00</t>
  </si>
  <si>
    <t>19/09/2024 10:15</t>
  </si>
  <si>
    <t>19/09/2024 10:30</t>
  </si>
  <si>
    <t>19/09/2024 10:45</t>
  </si>
  <si>
    <t>19/09/2024 11:00</t>
  </si>
  <si>
    <t>19/09/2024 11:15</t>
  </si>
  <si>
    <t>19/09/2024 11:30</t>
  </si>
  <si>
    <t>19/09/2024 11:45</t>
  </si>
  <si>
    <t>19/09/2024 12:00</t>
  </si>
  <si>
    <t>19/09/2024 12:15</t>
  </si>
  <si>
    <t>19/09/2024 12:30</t>
  </si>
  <si>
    <t>19/09/2024 12:45</t>
  </si>
  <si>
    <t>19/09/2024 13:00</t>
  </si>
  <si>
    <t>19/09/2024 13:15</t>
  </si>
  <si>
    <t>19/09/2024 13:30</t>
  </si>
  <si>
    <t>19/09/2024 13:45</t>
  </si>
  <si>
    <t>19/09/2024 14:00</t>
  </si>
  <si>
    <t>19/09/2024 14:15</t>
  </si>
  <si>
    <t>19/09/2024 14:30</t>
  </si>
  <si>
    <t>19/09/2024 14:45</t>
  </si>
  <si>
    <t>19/09/2024 15:00</t>
  </si>
  <si>
    <t>19/09/2024 15:15</t>
  </si>
  <si>
    <t>19/09/2024 15:30</t>
  </si>
  <si>
    <t>19/09/2024 15:45</t>
  </si>
  <si>
    <t>19/09/2024 16:00</t>
  </si>
  <si>
    <t>19/09/2024 16:15</t>
  </si>
  <si>
    <t>19/09/2024 16:30</t>
  </si>
  <si>
    <t>19/09/2024 16:45</t>
  </si>
  <si>
    <t>19/09/2024 17:00</t>
  </si>
  <si>
    <t>19/09/2024 17:15</t>
  </si>
  <si>
    <t>19/09/2024 17:30</t>
  </si>
  <si>
    <t>19/09/2024 17:45</t>
  </si>
  <si>
    <t>19/09/2024 18:00</t>
  </si>
  <si>
    <t>19/09/2024 18:15</t>
  </si>
  <si>
    <t>19/09/2024 18:30</t>
  </si>
  <si>
    <t>19/09/2024 18:45</t>
  </si>
  <si>
    <t>19/09/2024 19:00</t>
  </si>
  <si>
    <t>19/09/2024 19:15</t>
  </si>
  <si>
    <t>19/09/2024 19:30</t>
  </si>
  <si>
    <t>19/09/2024 19:45</t>
  </si>
  <si>
    <t>19/09/2024 20:00</t>
  </si>
  <si>
    <t>19/09/2024 20:15</t>
  </si>
  <si>
    <t>19/09/2024 20:30</t>
  </si>
  <si>
    <t>19/09/2024 20:45</t>
  </si>
  <si>
    <t>19/09/2024 21:00</t>
  </si>
  <si>
    <t>19/09/2024 21:15</t>
  </si>
  <si>
    <t>19/09/2024 21:30</t>
  </si>
  <si>
    <t>19/09/2024 21:45</t>
  </si>
  <si>
    <t>19/09/2024 22:00</t>
  </si>
  <si>
    <t>19/09/2024 22:15</t>
  </si>
  <si>
    <t>19/09/2024 22:30</t>
  </si>
  <si>
    <t>19/09/2024 22:45</t>
  </si>
  <si>
    <t>19/09/2024 23:00</t>
  </si>
  <si>
    <t>19/09/2024 23:15</t>
  </si>
  <si>
    <t>19/09/2024 23:30</t>
  </si>
  <si>
    <t>19/09/2024 23:45</t>
  </si>
  <si>
    <t>19/09/2024 24:00</t>
  </si>
  <si>
    <t>20/09/2024 00:15</t>
  </si>
  <si>
    <t>20/09/2024 00:30</t>
  </si>
  <si>
    <t>20/09/2024 00:45</t>
  </si>
  <si>
    <t>20/09/2024 01:00</t>
  </si>
  <si>
    <t>20/09/2024 01:15</t>
  </si>
  <si>
    <t>20/09/2024 01:30</t>
  </si>
  <si>
    <t>20/09/2024 01:45</t>
  </si>
  <si>
    <t>20/09/2024 02:00</t>
  </si>
  <si>
    <t>20/09/2024 02:15</t>
  </si>
  <si>
    <t>20/09/2024 02:30</t>
  </si>
  <si>
    <t>20/09/2024 02:45</t>
  </si>
  <si>
    <t>20/09/2024 03:00</t>
  </si>
  <si>
    <t>20/09/2024 03:15</t>
  </si>
  <si>
    <t>20/09/2024 03:30</t>
  </si>
  <si>
    <t>20/09/2024 03:45</t>
  </si>
  <si>
    <t>20/09/2024 04:00</t>
  </si>
  <si>
    <t>20/09/2024 04:15</t>
  </si>
  <si>
    <t>20/09/2024 04:30</t>
  </si>
  <si>
    <t>20/09/2024 04:45</t>
  </si>
  <si>
    <t>20/09/2024 05:00</t>
  </si>
  <si>
    <t>20/09/2024 05:15</t>
  </si>
  <si>
    <t>20/09/2024 05:30</t>
  </si>
  <si>
    <t>20/09/2024 05:45</t>
  </si>
  <si>
    <t>20/09/2024 06:00</t>
  </si>
  <si>
    <t>20/09/2024 06:15</t>
  </si>
  <si>
    <t>20/09/2024 06:30</t>
  </si>
  <si>
    <t>20/09/2024 06:45</t>
  </si>
  <si>
    <t>20/09/2024 07:00</t>
  </si>
  <si>
    <t>20/09/2024 07:15</t>
  </si>
  <si>
    <t>20/09/2024 07:30</t>
  </si>
  <si>
    <t>20/09/2024 07:45</t>
  </si>
  <si>
    <t>20/09/2024 08:00</t>
  </si>
  <si>
    <t>20/09/2024 08:15</t>
  </si>
  <si>
    <t>20/09/2024 08:30</t>
  </si>
  <si>
    <t>20/09/2024 08:45</t>
  </si>
  <si>
    <t>20/09/2024 09:00</t>
  </si>
  <si>
    <t>20/09/2024 09:15</t>
  </si>
  <si>
    <t>20/09/2024 09:30</t>
  </si>
  <si>
    <t>20/09/2024 09:45</t>
  </si>
  <si>
    <t>20/09/2024 10:00</t>
  </si>
  <si>
    <t>20/09/2024 10:15</t>
  </si>
  <si>
    <t>20/09/2024 10:30</t>
  </si>
  <si>
    <t>20/09/2024 10:45</t>
  </si>
  <si>
    <t>20/09/2024 11:00</t>
  </si>
  <si>
    <t>20/09/2024 11:15</t>
  </si>
  <si>
    <t>20/09/2024 11:30</t>
  </si>
  <si>
    <t>20/09/2024 11:45</t>
  </si>
  <si>
    <t>20/09/2024 12:00</t>
  </si>
  <si>
    <t>20/09/2024 12:15</t>
  </si>
  <si>
    <t>20/09/2024 12:30</t>
  </si>
  <si>
    <t>20/09/2024 12:45</t>
  </si>
  <si>
    <t>20/09/2024 13:00</t>
  </si>
  <si>
    <t>20/09/2024 13:15</t>
  </si>
  <si>
    <t>20/09/2024 13:30</t>
  </si>
  <si>
    <t>20/09/2024 13:45</t>
  </si>
  <si>
    <t>20/09/2024 14:00</t>
  </si>
  <si>
    <t>20/09/2024 14:15</t>
  </si>
  <si>
    <t>20/09/2024 14:30</t>
  </si>
  <si>
    <t>20/09/2024 14:45</t>
  </si>
  <si>
    <t>20/09/2024 15:00</t>
  </si>
  <si>
    <t>20/09/2024 15:15</t>
  </si>
  <si>
    <t>20/09/2024 15:30</t>
  </si>
  <si>
    <t>20/09/2024 15:45</t>
  </si>
  <si>
    <t>20/09/2024 16:00</t>
  </si>
  <si>
    <t>20/09/2024 16:15</t>
  </si>
  <si>
    <t>20/09/2024 16:30</t>
  </si>
  <si>
    <t>20/09/2024 16:45</t>
  </si>
  <si>
    <t>20/09/2024 17:00</t>
  </si>
  <si>
    <t>20/09/2024 17:15</t>
  </si>
  <si>
    <t>20/09/2024 17:30</t>
  </si>
  <si>
    <t>20/09/2024 17:45</t>
  </si>
  <si>
    <t>20/09/2024 18:00</t>
  </si>
  <si>
    <t>20/09/2024 18:15</t>
  </si>
  <si>
    <t>20/09/2024 18:30</t>
  </si>
  <si>
    <t>20/09/2024 18:45</t>
  </si>
  <si>
    <t>20/09/2024 19:00</t>
  </si>
  <si>
    <t>20/09/2024 19:15</t>
  </si>
  <si>
    <t>20/09/2024 19:30</t>
  </si>
  <si>
    <t>20/09/2024 19:45</t>
  </si>
  <si>
    <t>20/09/2024 20:00</t>
  </si>
  <si>
    <t>20/09/2024 20:15</t>
  </si>
  <si>
    <t>20/09/2024 20:30</t>
  </si>
  <si>
    <t>20/09/2024 20:45</t>
  </si>
  <si>
    <t>20/09/2024 21:00</t>
  </si>
  <si>
    <t>20/09/2024 21:15</t>
  </si>
  <si>
    <t>20/09/2024 21:30</t>
  </si>
  <si>
    <t>20/09/2024 21:45</t>
  </si>
  <si>
    <t>20/09/2024 22:00</t>
  </si>
  <si>
    <t>20/09/2024 22:15</t>
  </si>
  <si>
    <t>20/09/2024 22:30</t>
  </si>
  <si>
    <t>20/09/2024 22:45</t>
  </si>
  <si>
    <t>20/09/2024 23:00</t>
  </si>
  <si>
    <t>20/09/2024 23:15</t>
  </si>
  <si>
    <t>20/09/2024 23:30</t>
  </si>
  <si>
    <t>20/09/2024 23:45</t>
  </si>
  <si>
    <t>20/09/2024 24:00</t>
  </si>
  <si>
    <t>21/09/2024 00:15</t>
  </si>
  <si>
    <t>21/09/2024 00:30</t>
  </si>
  <si>
    <t>21/09/2024 00:45</t>
  </si>
  <si>
    <t>21/09/2024 01:00</t>
  </si>
  <si>
    <t>21/09/2024 01:15</t>
  </si>
  <si>
    <t>21/09/2024 01:30</t>
  </si>
  <si>
    <t>21/09/2024 01:45</t>
  </si>
  <si>
    <t>21/09/2024 02:00</t>
  </si>
  <si>
    <t>21/09/2024 02:15</t>
  </si>
  <si>
    <t>21/09/2024 02:30</t>
  </si>
  <si>
    <t>21/09/2024 02:45</t>
  </si>
  <si>
    <t>21/09/2024 03:00</t>
  </si>
  <si>
    <t>21/09/2024 03:15</t>
  </si>
  <si>
    <t>21/09/2024 03:30</t>
  </si>
  <si>
    <t>21/09/2024 03:45</t>
  </si>
  <si>
    <t>21/09/2024 04:00</t>
  </si>
  <si>
    <t>21/09/2024 04:15</t>
  </si>
  <si>
    <t>21/09/2024 04:30</t>
  </si>
  <si>
    <t>21/09/2024 04:45</t>
  </si>
  <si>
    <t>21/09/2024 05:00</t>
  </si>
  <si>
    <t>21/09/2024 05:15</t>
  </si>
  <si>
    <t>21/09/2024 05:30</t>
  </si>
  <si>
    <t>21/09/2024 05:45</t>
  </si>
  <si>
    <t>21/09/2024 06:00</t>
  </si>
  <si>
    <t>21/09/2024 06:15</t>
  </si>
  <si>
    <t>21/09/2024 06:30</t>
  </si>
  <si>
    <t>21/09/2024 06:45</t>
  </si>
  <si>
    <t>21/09/2024 07:00</t>
  </si>
  <si>
    <t>21/09/2024 07:15</t>
  </si>
  <si>
    <t>21/09/2024 07:30</t>
  </si>
  <si>
    <t>21/09/2024 07:45</t>
  </si>
  <si>
    <t>21/09/2024 08:00</t>
  </si>
  <si>
    <t>21/09/2024 08:15</t>
  </si>
  <si>
    <t>21/09/2024 08:30</t>
  </si>
  <si>
    <t>21/09/2024 08:45</t>
  </si>
  <si>
    <t>21/09/2024 09:00</t>
  </si>
  <si>
    <t>21/09/2024 09:15</t>
  </si>
  <si>
    <t>21/09/2024 09:30</t>
  </si>
  <si>
    <t>21/09/2024 09:45</t>
  </si>
  <si>
    <t>21/09/2024 10:00</t>
  </si>
  <si>
    <t>21/09/2024 10:15</t>
  </si>
  <si>
    <t>21/09/2024 10:30</t>
  </si>
  <si>
    <t>21/09/2024 10:45</t>
  </si>
  <si>
    <t>21/09/2024 11:00</t>
  </si>
  <si>
    <t>21/09/2024 11:15</t>
  </si>
  <si>
    <t>21/09/2024 11:30</t>
  </si>
  <si>
    <t>21/09/2024 11:45</t>
  </si>
  <si>
    <t>21/09/2024 12:00</t>
  </si>
  <si>
    <t>21/09/2024 12:15</t>
  </si>
  <si>
    <t>21/09/2024 12:30</t>
  </si>
  <si>
    <t>21/09/2024 12:45</t>
  </si>
  <si>
    <t>21/09/2024 13:00</t>
  </si>
  <si>
    <t>21/09/2024 13:15</t>
  </si>
  <si>
    <t>21/09/2024 13:30</t>
  </si>
  <si>
    <t>21/09/2024 13:45</t>
  </si>
  <si>
    <t>21/09/2024 14:00</t>
  </si>
  <si>
    <t>21/09/2024 14:15</t>
  </si>
  <si>
    <t>21/09/2024 14:30</t>
  </si>
  <si>
    <t>21/09/2024 14:45</t>
  </si>
  <si>
    <t>21/09/2024 15:00</t>
  </si>
  <si>
    <t>21/09/2024 15:15</t>
  </si>
  <si>
    <t>21/09/2024 15:30</t>
  </si>
  <si>
    <t>21/09/2024 15:45</t>
  </si>
  <si>
    <t>21/09/2024 16:00</t>
  </si>
  <si>
    <t>21/09/2024 16:15</t>
  </si>
  <si>
    <t>21/09/2024 16:30</t>
  </si>
  <si>
    <t>21/09/2024 16:45</t>
  </si>
  <si>
    <t>21/09/2024 17:00</t>
  </si>
  <si>
    <t>21/09/2024 17:15</t>
  </si>
  <si>
    <t>21/09/2024 17:30</t>
  </si>
  <si>
    <t>21/09/2024 17:45</t>
  </si>
  <si>
    <t>21/09/2024 18:00</t>
  </si>
  <si>
    <t>21/09/2024 18:15</t>
  </si>
  <si>
    <t>21/09/2024 18:30</t>
  </si>
  <si>
    <t>21/09/2024 18:45</t>
  </si>
  <si>
    <t>21/09/2024 19:00</t>
  </si>
  <si>
    <t>21/09/2024 19:15</t>
  </si>
  <si>
    <t>21/09/2024 19:30</t>
  </si>
  <si>
    <t>21/09/2024 19:45</t>
  </si>
  <si>
    <t>21/09/2024 20:00</t>
  </si>
  <si>
    <t>21/09/2024 20:15</t>
  </si>
  <si>
    <t>21/09/2024 20:30</t>
  </si>
  <si>
    <t>21/09/2024 20:45</t>
  </si>
  <si>
    <t>21/09/2024 21:00</t>
  </si>
  <si>
    <t>21/09/2024 21:15</t>
  </si>
  <si>
    <t>21/09/2024 21:30</t>
  </si>
  <si>
    <t>21/09/2024 21:45</t>
  </si>
  <si>
    <t>21/09/2024 22:00</t>
  </si>
  <si>
    <t>21/09/2024 22:15</t>
  </si>
  <si>
    <t>21/09/2024 22:30</t>
  </si>
  <si>
    <t>21/09/2024 22:45</t>
  </si>
  <si>
    <t>21/09/2024 23:00</t>
  </si>
  <si>
    <t>21/09/2024 23:15</t>
  </si>
  <si>
    <t>21/09/2024 23:30</t>
  </si>
  <si>
    <t>21/09/2024 23:45</t>
  </si>
  <si>
    <t>21/09/2024 24:00</t>
  </si>
  <si>
    <t>22/09/2024 00:15</t>
  </si>
  <si>
    <t>22/09/2024 00:30</t>
  </si>
  <si>
    <t>22/09/2024 00:45</t>
  </si>
  <si>
    <t>22/09/2024 01:00</t>
  </si>
  <si>
    <t>22/09/2024 01:15</t>
  </si>
  <si>
    <t>22/09/2024 01:30</t>
  </si>
  <si>
    <t>22/09/2024 01:45</t>
  </si>
  <si>
    <t>22/09/2024 02:00</t>
  </si>
  <si>
    <t>22/09/2024 02:15</t>
  </si>
  <si>
    <t>22/09/2024 02:30</t>
  </si>
  <si>
    <t>22/09/2024 02:45</t>
  </si>
  <si>
    <t>22/09/2024 03:00</t>
  </si>
  <si>
    <t>22/09/2024 03:15</t>
  </si>
  <si>
    <t>22/09/2024 03:30</t>
  </si>
  <si>
    <t>22/09/2024 03:45</t>
  </si>
  <si>
    <t>22/09/2024 04:00</t>
  </si>
  <si>
    <t>22/09/2024 04:15</t>
  </si>
  <si>
    <t>22/09/2024 04:30</t>
  </si>
  <si>
    <t>22/09/2024 04:45</t>
  </si>
  <si>
    <t>22/09/2024 05:00</t>
  </si>
  <si>
    <t>22/09/2024 05:15</t>
  </si>
  <si>
    <t>22/09/2024 05:30</t>
  </si>
  <si>
    <t>22/09/2024 05:45</t>
  </si>
  <si>
    <t>22/09/2024 06:00</t>
  </si>
  <si>
    <t>22/09/2024 06:15</t>
  </si>
  <si>
    <t>22/09/2024 06:30</t>
  </si>
  <si>
    <t>22/09/2024 06:45</t>
  </si>
  <si>
    <t>22/09/2024 07:00</t>
  </si>
  <si>
    <t>22/09/2024 07:15</t>
  </si>
  <si>
    <t>22/09/2024 07:30</t>
  </si>
  <si>
    <t>22/09/2024 07:45</t>
  </si>
  <si>
    <t>22/09/2024 08:00</t>
  </si>
  <si>
    <t>22/09/2024 08:15</t>
  </si>
  <si>
    <t>22/09/2024 08:30</t>
  </si>
  <si>
    <t>22/09/2024 08:45</t>
  </si>
  <si>
    <t>22/09/2024 09:00</t>
  </si>
  <si>
    <t>22/09/2024 09:15</t>
  </si>
  <si>
    <t>22/09/2024 09:30</t>
  </si>
  <si>
    <t>22/09/2024 09:45</t>
  </si>
  <si>
    <t>22/09/2024 10:00</t>
  </si>
  <si>
    <t>22/09/2024 10:15</t>
  </si>
  <si>
    <t>22/09/2024 10:30</t>
  </si>
  <si>
    <t>22/09/2024 10:45</t>
  </si>
  <si>
    <t>22/09/2024 11:00</t>
  </si>
  <si>
    <t>22/09/2024 11:15</t>
  </si>
  <si>
    <t>22/09/2024 11:30</t>
  </si>
  <si>
    <t>22/09/2024 11:45</t>
  </si>
  <si>
    <t>22/09/2024 12:00</t>
  </si>
  <si>
    <t>22/09/2024 12:15</t>
  </si>
  <si>
    <t>22/09/2024 12:30</t>
  </si>
  <si>
    <t>22/09/2024 12:45</t>
  </si>
  <si>
    <t>22/09/2024 13:00</t>
  </si>
  <si>
    <t>22/09/2024 13:15</t>
  </si>
  <si>
    <t>22/09/2024 13:30</t>
  </si>
  <si>
    <t>22/09/2024 13:45</t>
  </si>
  <si>
    <t>22/09/2024 14:00</t>
  </si>
  <si>
    <t>22/09/2024 14:15</t>
  </si>
  <si>
    <t>22/09/2024 14:30</t>
  </si>
  <si>
    <t>22/09/2024 14:45</t>
  </si>
  <si>
    <t>22/09/2024 15:00</t>
  </si>
  <si>
    <t>22/09/2024 15:15</t>
  </si>
  <si>
    <t>22/09/2024 15:30</t>
  </si>
  <si>
    <t>22/09/2024 15:45</t>
  </si>
  <si>
    <t>22/09/2024 16:00</t>
  </si>
  <si>
    <t>22/09/2024 16:15</t>
  </si>
  <si>
    <t>22/09/2024 16:30</t>
  </si>
  <si>
    <t>22/09/2024 16:45</t>
  </si>
  <si>
    <t>22/09/2024 17:00</t>
  </si>
  <si>
    <t>22/09/2024 17:15</t>
  </si>
  <si>
    <t>22/09/2024 17:30</t>
  </si>
  <si>
    <t>22/09/2024 17:45</t>
  </si>
  <si>
    <t>22/09/2024 18:00</t>
  </si>
  <si>
    <t>22/09/2024 18:15</t>
  </si>
  <si>
    <t>22/09/2024 18:30</t>
  </si>
  <si>
    <t>22/09/2024 18:45</t>
  </si>
  <si>
    <t>22/09/2024 19:00</t>
  </si>
  <si>
    <t>22/09/2024 19:15</t>
  </si>
  <si>
    <t>22/09/2024 19:30</t>
  </si>
  <si>
    <t>22/09/2024 19:45</t>
  </si>
  <si>
    <t>22/09/2024 20:00</t>
  </si>
  <si>
    <t>22/09/2024 20:15</t>
  </si>
  <si>
    <t>22/09/2024 20:30</t>
  </si>
  <si>
    <t>22/09/2024 20:45</t>
  </si>
  <si>
    <t>22/09/2024 21:00</t>
  </si>
  <si>
    <t>22/09/2024 21:15</t>
  </si>
  <si>
    <t>22/09/2024 21:30</t>
  </si>
  <si>
    <t>22/09/2024 21:45</t>
  </si>
  <si>
    <t>22/09/2024 22:00</t>
  </si>
  <si>
    <t>22/09/2024 22:15</t>
  </si>
  <si>
    <t>22/09/2024 22:30</t>
  </si>
  <si>
    <t>22/09/2024 22:45</t>
  </si>
  <si>
    <t>22/09/2024 23:00</t>
  </si>
  <si>
    <t>22/09/2024 23:15</t>
  </si>
  <si>
    <t>22/09/2024 23:30</t>
  </si>
  <si>
    <t>22/09/2024 23:45</t>
  </si>
  <si>
    <t>22/09/2024 24:00</t>
  </si>
  <si>
    <t>23/09/2024 00:15</t>
  </si>
  <si>
    <t>23/09/2024 00:30</t>
  </si>
  <si>
    <t>23/09/2024 00:45</t>
  </si>
  <si>
    <t>23/09/2024 01:00</t>
  </si>
  <si>
    <t>23/09/2024 01:15</t>
  </si>
  <si>
    <t>23/09/2024 01:30</t>
  </si>
  <si>
    <t>23/09/2024 01:45</t>
  </si>
  <si>
    <t>23/09/2024 02:00</t>
  </si>
  <si>
    <t>23/09/2024 02:15</t>
  </si>
  <si>
    <t>23/09/2024 02:30</t>
  </si>
  <si>
    <t>23/09/2024 02:45</t>
  </si>
  <si>
    <t>23/09/2024 03:00</t>
  </si>
  <si>
    <t>23/09/2024 03:15</t>
  </si>
  <si>
    <t>23/09/2024 03:30</t>
  </si>
  <si>
    <t>23/09/2024 03:45</t>
  </si>
  <si>
    <t>23/09/2024 04:00</t>
  </si>
  <si>
    <t>23/09/2024 04:15</t>
  </si>
  <si>
    <t>23/09/2024 04:30</t>
  </si>
  <si>
    <t>23/09/2024 04:45</t>
  </si>
  <si>
    <t>23/09/2024 05:00</t>
  </si>
  <si>
    <t>23/09/2024 05:15</t>
  </si>
  <si>
    <t>23/09/2024 05:30</t>
  </si>
  <si>
    <t>23/09/2024 05:45</t>
  </si>
  <si>
    <t>23/09/2024 06:00</t>
  </si>
  <si>
    <t>23/09/2024 06:15</t>
  </si>
  <si>
    <t>23/09/2024 06:30</t>
  </si>
  <si>
    <t>23/09/2024 06:45</t>
  </si>
  <si>
    <t>23/09/2024 07:00</t>
  </si>
  <si>
    <t>23/09/2024 07:15</t>
  </si>
  <si>
    <t>23/09/2024 07:30</t>
  </si>
  <si>
    <t>23/09/2024 07:45</t>
  </si>
  <si>
    <t>23/09/2024 08:00</t>
  </si>
  <si>
    <t>23/09/2024 08:15</t>
  </si>
  <si>
    <t>23/09/2024 08:30</t>
  </si>
  <si>
    <t>23/09/2024 08:45</t>
  </si>
  <si>
    <t>23/09/2024 09:00</t>
  </si>
  <si>
    <t>23/09/2024 09:15</t>
  </si>
  <si>
    <t>23/09/2024 09:30</t>
  </si>
  <si>
    <t>23/09/2024 09:45</t>
  </si>
  <si>
    <t>23/09/2024 10:00</t>
  </si>
  <si>
    <t>23/09/2024 10:15</t>
  </si>
  <si>
    <t>23/09/2024 10:30</t>
  </si>
  <si>
    <t>23/09/2024 10:45</t>
  </si>
  <si>
    <t>23/09/2024 11:00</t>
  </si>
  <si>
    <t>23/09/2024 11:15</t>
  </si>
  <si>
    <t>23/09/2024 11:30</t>
  </si>
  <si>
    <t>23/09/2024 11:45</t>
  </si>
  <si>
    <t>23/09/2024 12:00</t>
  </si>
  <si>
    <t>23/09/2024 12:15</t>
  </si>
  <si>
    <t>23/09/2024 12:30</t>
  </si>
  <si>
    <t>23/09/2024 12:45</t>
  </si>
  <si>
    <t>23/09/2024 13:00</t>
  </si>
  <si>
    <t>23/09/2024 13:15</t>
  </si>
  <si>
    <t>23/09/2024 13:30</t>
  </si>
  <si>
    <t>23/09/2024 13:45</t>
  </si>
  <si>
    <t>23/09/2024 14:00</t>
  </si>
  <si>
    <t>23/09/2024 14:15</t>
  </si>
  <si>
    <t>23/09/2024 14:30</t>
  </si>
  <si>
    <t>23/09/2024 14:45</t>
  </si>
  <si>
    <t>23/09/2024 15:00</t>
  </si>
  <si>
    <t>23/09/2024 15:15</t>
  </si>
  <si>
    <t>23/09/2024 15:30</t>
  </si>
  <si>
    <t>23/09/2024 15:45</t>
  </si>
  <si>
    <t>23/09/2024 16:00</t>
  </si>
  <si>
    <t>23/09/2024 16:15</t>
  </si>
  <si>
    <t>23/09/2024 16:30</t>
  </si>
  <si>
    <t>23/09/2024 16:45</t>
  </si>
  <si>
    <t>23/09/2024 17:00</t>
  </si>
  <si>
    <t>23/09/2024 17:15</t>
  </si>
  <si>
    <t>23/09/2024 17:30</t>
  </si>
  <si>
    <t>23/09/2024 17:45</t>
  </si>
  <si>
    <t>23/09/2024 18:00</t>
  </si>
  <si>
    <t>23/09/2024 18:15</t>
  </si>
  <si>
    <t>23/09/2024 18:30</t>
  </si>
  <si>
    <t>23/09/2024 18:45</t>
  </si>
  <si>
    <t>23/09/2024 19:00</t>
  </si>
  <si>
    <t>23/09/2024 19:15</t>
  </si>
  <si>
    <t>23/09/2024 19:30</t>
  </si>
  <si>
    <t>23/09/2024 19:45</t>
  </si>
  <si>
    <t>23/09/2024 20:00</t>
  </si>
  <si>
    <t>23/09/2024 20:15</t>
  </si>
  <si>
    <t>23/09/2024 20:30</t>
  </si>
  <si>
    <t>23/09/2024 20:45</t>
  </si>
  <si>
    <t>23/09/2024 21:00</t>
  </si>
  <si>
    <t>23/09/2024 21:15</t>
  </si>
  <si>
    <t>23/09/2024 21:30</t>
  </si>
  <si>
    <t>23/09/2024 21:45</t>
  </si>
  <si>
    <t>23/09/2024 22:00</t>
  </si>
  <si>
    <t>23/09/2024 22:15</t>
  </si>
  <si>
    <t>23/09/2024 22:30</t>
  </si>
  <si>
    <t>23/09/2024 22:45</t>
  </si>
  <si>
    <t>23/09/2024 23:00</t>
  </si>
  <si>
    <t>23/09/2024 23:15</t>
  </si>
  <si>
    <t>23/09/2024 23:30</t>
  </si>
  <si>
    <t>23/09/2024 23:45</t>
  </si>
  <si>
    <t>23/09/2024 24:00</t>
  </si>
  <si>
    <t>24/09/2024 00:15</t>
  </si>
  <si>
    <t>24/09/2024 00:30</t>
  </si>
  <si>
    <t>24/09/2024 00:45</t>
  </si>
  <si>
    <t>24/09/2024 01:00</t>
  </si>
  <si>
    <t>24/09/2024 01:15</t>
  </si>
  <si>
    <t>24/09/2024 01:30</t>
  </si>
  <si>
    <t>24/09/2024 01:45</t>
  </si>
  <si>
    <t>24/09/2024 02:00</t>
  </si>
  <si>
    <t>24/09/2024 02:15</t>
  </si>
  <si>
    <t>24/09/2024 02:30</t>
  </si>
  <si>
    <t>24/09/2024 02:45</t>
  </si>
  <si>
    <t>24/09/2024 03:00</t>
  </si>
  <si>
    <t>24/09/2024 03:15</t>
  </si>
  <si>
    <t>24/09/2024 03:30</t>
  </si>
  <si>
    <t>24/09/2024 03:45</t>
  </si>
  <si>
    <t>24/09/2024 04:00</t>
  </si>
  <si>
    <t>24/09/2024 04:15</t>
  </si>
  <si>
    <t>24/09/2024 04:30</t>
  </si>
  <si>
    <t>24/09/2024 04:45</t>
  </si>
  <si>
    <t>24/09/2024 05:00</t>
  </si>
  <si>
    <t>24/09/2024 05:15</t>
  </si>
  <si>
    <t>24/09/2024 05:30</t>
  </si>
  <si>
    <t>24/09/2024 05:45</t>
  </si>
  <si>
    <t>24/09/2024 06:00</t>
  </si>
  <si>
    <t>24/09/2024 06:15</t>
  </si>
  <si>
    <t>24/09/2024 06:30</t>
  </si>
  <si>
    <t>24/09/2024 06:45</t>
  </si>
  <si>
    <t>24/09/2024 07:00</t>
  </si>
  <si>
    <t>24/09/2024 07:15</t>
  </si>
  <si>
    <t>24/09/2024 07:30</t>
  </si>
  <si>
    <t>24/09/2024 07:45</t>
  </si>
  <si>
    <t>24/09/2024 08:00</t>
  </si>
  <si>
    <t>24/09/2024 08:15</t>
  </si>
  <si>
    <t>24/09/2024 08:30</t>
  </si>
  <si>
    <t>24/09/2024 08:45</t>
  </si>
  <si>
    <t>24/09/2024 09:00</t>
  </si>
  <si>
    <t>24/09/2024 09:15</t>
  </si>
  <si>
    <t>24/09/2024 09:30</t>
  </si>
  <si>
    <t>24/09/2024 09:45</t>
  </si>
  <si>
    <t>24/09/2024 10:00</t>
  </si>
  <si>
    <t>24/09/2024 10:15</t>
  </si>
  <si>
    <t>24/09/2024 10:30</t>
  </si>
  <si>
    <t>24/09/2024 10:45</t>
  </si>
  <si>
    <t>24/09/2024 11:00</t>
  </si>
  <si>
    <t>24/09/2024 11:15</t>
  </si>
  <si>
    <t>24/09/2024 11:30</t>
  </si>
  <si>
    <t>24/09/2024 11:45</t>
  </si>
  <si>
    <t>24/09/2024 12:00</t>
  </si>
  <si>
    <t>24/09/2024 12:15</t>
  </si>
  <si>
    <t>24/09/2024 12:30</t>
  </si>
  <si>
    <t>24/09/2024 12:45</t>
  </si>
  <si>
    <t>24/09/2024 13:00</t>
  </si>
  <si>
    <t>24/09/2024 13:15</t>
  </si>
  <si>
    <t>24/09/2024 13:30</t>
  </si>
  <si>
    <t>24/09/2024 13:45</t>
  </si>
  <si>
    <t>24/09/2024 14:00</t>
  </si>
  <si>
    <t>24/09/2024 14:15</t>
  </si>
  <si>
    <t>24/09/2024 14:30</t>
  </si>
  <si>
    <t>24/09/2024 14:45</t>
  </si>
  <si>
    <t>24/09/2024 15:00</t>
  </si>
  <si>
    <t>24/09/2024 15:15</t>
  </si>
  <si>
    <t>24/09/2024 15:30</t>
  </si>
  <si>
    <t>24/09/2024 15:45</t>
  </si>
  <si>
    <t>24/09/2024 16:00</t>
  </si>
  <si>
    <t>24/09/2024 16:15</t>
  </si>
  <si>
    <t>24/09/2024 16:30</t>
  </si>
  <si>
    <t>24/09/2024 16:45</t>
  </si>
  <si>
    <t>24/09/2024 17:00</t>
  </si>
  <si>
    <t>24/09/2024 17:15</t>
  </si>
  <si>
    <t>24/09/2024 17:30</t>
  </si>
  <si>
    <t>24/09/2024 17:45</t>
  </si>
  <si>
    <t>24/09/2024 18:00</t>
  </si>
  <si>
    <t>24/09/2024 18:15</t>
  </si>
  <si>
    <t>24/09/2024 18:30</t>
  </si>
  <si>
    <t>24/09/2024 18:45</t>
  </si>
  <si>
    <t>24/09/2024 19:00</t>
  </si>
  <si>
    <t>24/09/2024 19:15</t>
  </si>
  <si>
    <t>24/09/2024 19:30</t>
  </si>
  <si>
    <t>24/09/2024 19:45</t>
  </si>
  <si>
    <t>24/09/2024 20:00</t>
  </si>
  <si>
    <t>24/09/2024 20:15</t>
  </si>
  <si>
    <t>24/09/2024 20:30</t>
  </si>
  <si>
    <t>24/09/2024 20:45</t>
  </si>
  <si>
    <t>24/09/2024 21:00</t>
  </si>
  <si>
    <t>24/09/2024 21:15</t>
  </si>
  <si>
    <t>24/09/2024 21:30</t>
  </si>
  <si>
    <t>24/09/2024 21:45</t>
  </si>
  <si>
    <t>24/09/2024 22:00</t>
  </si>
  <si>
    <t>24/09/2024 22:15</t>
  </si>
  <si>
    <t>24/09/2024 22:30</t>
  </si>
  <si>
    <t>24/09/2024 22:45</t>
  </si>
  <si>
    <t>24/09/2024 23:00</t>
  </si>
  <si>
    <t>24/09/2024 23:15</t>
  </si>
  <si>
    <t>24/09/2024 23:30</t>
  </si>
  <si>
    <t>24/09/2024 23:45</t>
  </si>
  <si>
    <t>24/09/2024 24:00</t>
  </si>
  <si>
    <t>25/09/2024 00:15</t>
  </si>
  <si>
    <t>25/09/2024 00:30</t>
  </si>
  <si>
    <t>25/09/2024 00:45</t>
  </si>
  <si>
    <t>25/09/2024 01:00</t>
  </si>
  <si>
    <t>25/09/2024 01:15</t>
  </si>
  <si>
    <t>25/09/2024 01:30</t>
  </si>
  <si>
    <t>25/09/2024 01:45</t>
  </si>
  <si>
    <t>25/09/2024 02:00</t>
  </si>
  <si>
    <t>25/09/2024 02:15</t>
  </si>
  <si>
    <t>25/09/2024 02:30</t>
  </si>
  <si>
    <t>25/09/2024 02:45</t>
  </si>
  <si>
    <t>25/09/2024 03:00</t>
  </si>
  <si>
    <t>25/09/2024 03:15</t>
  </si>
  <si>
    <t>25/09/2024 03:30</t>
  </si>
  <si>
    <t>25/09/2024 03:45</t>
  </si>
  <si>
    <t>25/09/2024 04:00</t>
  </si>
  <si>
    <t>25/09/2024 04:15</t>
  </si>
  <si>
    <t>25/09/2024 04:30</t>
  </si>
  <si>
    <t>25/09/2024 04:45</t>
  </si>
  <si>
    <t>25/09/2024 05:00</t>
  </si>
  <si>
    <t>25/09/2024 05:15</t>
  </si>
  <si>
    <t>25/09/2024 05:30</t>
  </si>
  <si>
    <t>25/09/2024 05:45</t>
  </si>
  <si>
    <t>25/09/2024 06:00</t>
  </si>
  <si>
    <t>25/09/2024 06:15</t>
  </si>
  <si>
    <t>25/09/2024 06:30</t>
  </si>
  <si>
    <t>25/09/2024 06:45</t>
  </si>
  <si>
    <t>25/09/2024 07:00</t>
  </si>
  <si>
    <t>25/09/2024 07:15</t>
  </si>
  <si>
    <t>25/09/2024 07:30</t>
  </si>
  <si>
    <t>25/09/2024 07:45</t>
  </si>
  <si>
    <t>25/09/2024 08:00</t>
  </si>
  <si>
    <t>25/09/2024 08:15</t>
  </si>
  <si>
    <t>25/09/2024 08:30</t>
  </si>
  <si>
    <t>25/09/2024 08:45</t>
  </si>
  <si>
    <t>25/09/2024 09:00</t>
  </si>
  <si>
    <t>25/09/2024 09:15</t>
  </si>
  <si>
    <t>25/09/2024 09:30</t>
  </si>
  <si>
    <t>25/09/2024 09:45</t>
  </si>
  <si>
    <t>25/09/2024 10:00</t>
  </si>
  <si>
    <t>25/09/2024 10:15</t>
  </si>
  <si>
    <t>25/09/2024 10:30</t>
  </si>
  <si>
    <t>25/09/2024 10:45</t>
  </si>
  <si>
    <t>25/09/2024 11:00</t>
  </si>
  <si>
    <t>25/09/2024 11:15</t>
  </si>
  <si>
    <t>25/09/2024 11:30</t>
  </si>
  <si>
    <t>25/09/2024 11:45</t>
  </si>
  <si>
    <t>25/09/2024 12:00</t>
  </si>
  <si>
    <t>25/09/2024 12:15</t>
  </si>
  <si>
    <t>25/09/2024 12:30</t>
  </si>
  <si>
    <t>25/09/2024 12:45</t>
  </si>
  <si>
    <t>25/09/2024 13:00</t>
  </si>
  <si>
    <t>25/09/2024 13:15</t>
  </si>
  <si>
    <t>25/09/2024 13:30</t>
  </si>
  <si>
    <t>25/09/2024 13:45</t>
  </si>
  <si>
    <t>25/09/2024 14:00</t>
  </si>
  <si>
    <t>25/09/2024 14:15</t>
  </si>
  <si>
    <t>25/09/2024 14:30</t>
  </si>
  <si>
    <t>25/09/2024 14:45</t>
  </si>
  <si>
    <t>25/09/2024 15:00</t>
  </si>
  <si>
    <t>25/09/2024 15:15</t>
  </si>
  <si>
    <t>25/09/2024 15:30</t>
  </si>
  <si>
    <t>25/09/2024 15:45</t>
  </si>
  <si>
    <t>25/09/2024 16:00</t>
  </si>
  <si>
    <t>25/09/2024 16:15</t>
  </si>
  <si>
    <t>25/09/2024 16:30</t>
  </si>
  <si>
    <t>25/09/2024 16:45</t>
  </si>
  <si>
    <t>25/09/2024 17:00</t>
  </si>
  <si>
    <t>25/09/2024 17:15</t>
  </si>
  <si>
    <t>25/09/2024 17:30</t>
  </si>
  <si>
    <t>25/09/2024 17:45</t>
  </si>
  <si>
    <t>25/09/2024 18:00</t>
  </si>
  <si>
    <t>25/09/2024 18:15</t>
  </si>
  <si>
    <t>25/09/2024 18:30</t>
  </si>
  <si>
    <t>25/09/2024 18:45</t>
  </si>
  <si>
    <t>25/09/2024 19:00</t>
  </si>
  <si>
    <t>25/09/2024 19:15</t>
  </si>
  <si>
    <t>25/09/2024 19:30</t>
  </si>
  <si>
    <t>25/09/2024 19:45</t>
  </si>
  <si>
    <t>25/09/2024 20:00</t>
  </si>
  <si>
    <t>25/09/2024 20:15</t>
  </si>
  <si>
    <t>25/09/2024 20:30</t>
  </si>
  <si>
    <t>25/09/2024 20:45</t>
  </si>
  <si>
    <t>25/09/2024 21:00</t>
  </si>
  <si>
    <t>25/09/2024 21:15</t>
  </si>
  <si>
    <t>25/09/2024 21:30</t>
  </si>
  <si>
    <t>25/09/2024 21:45</t>
  </si>
  <si>
    <t>25/09/2024 22:00</t>
  </si>
  <si>
    <t>25/09/2024 22:15</t>
  </si>
  <si>
    <t>25/09/2024 22:30</t>
  </si>
  <si>
    <t>25/09/2024 22:45</t>
  </si>
  <si>
    <t>25/09/2024 23:00</t>
  </si>
  <si>
    <t>25/09/2024 23:15</t>
  </si>
  <si>
    <t>25/09/2024 23:30</t>
  </si>
  <si>
    <t>25/09/2024 23:45</t>
  </si>
  <si>
    <t>25/09/2024 24:00</t>
  </si>
  <si>
    <t>26/09/2024 00:15</t>
  </si>
  <si>
    <t>26/09/2024 00:30</t>
  </si>
  <si>
    <t>26/09/2024 00:45</t>
  </si>
  <si>
    <t>26/09/2024 01:00</t>
  </si>
  <si>
    <t>26/09/2024 01:15</t>
  </si>
  <si>
    <t>26/09/2024 01:30</t>
  </si>
  <si>
    <t>26/09/2024 01:45</t>
  </si>
  <si>
    <t>26/09/2024 02:00</t>
  </si>
  <si>
    <t>26/09/2024 02:15</t>
  </si>
  <si>
    <t>26/09/2024 02:30</t>
  </si>
  <si>
    <t>26/09/2024 02:45</t>
  </si>
  <si>
    <t>26/09/2024 03:00</t>
  </si>
  <si>
    <t>26/09/2024 03:15</t>
  </si>
  <si>
    <t>26/09/2024 03:30</t>
  </si>
  <si>
    <t>26/09/2024 03:45</t>
  </si>
  <si>
    <t>26/09/2024 04:00</t>
  </si>
  <si>
    <t>26/09/2024 04:15</t>
  </si>
  <si>
    <t>26/09/2024 04:30</t>
  </si>
  <si>
    <t>26/09/2024 04:45</t>
  </si>
  <si>
    <t>26/09/2024 05:00</t>
  </si>
  <si>
    <t>26/09/2024 05:15</t>
  </si>
  <si>
    <t>26/09/2024 05:30</t>
  </si>
  <si>
    <t>26/09/2024 05:45</t>
  </si>
  <si>
    <t>26/09/2024 06:00</t>
  </si>
  <si>
    <t>26/09/2024 06:15</t>
  </si>
  <si>
    <t>26/09/2024 06:30</t>
  </si>
  <si>
    <t>26/09/2024 06:45</t>
  </si>
  <si>
    <t>26/09/2024 07:00</t>
  </si>
  <si>
    <t>26/09/2024 07:15</t>
  </si>
  <si>
    <t>26/09/2024 07:30</t>
  </si>
  <si>
    <t>26/09/2024 07:45</t>
  </si>
  <si>
    <t>26/09/2024 08:00</t>
  </si>
  <si>
    <t>26/09/2024 08:15</t>
  </si>
  <si>
    <t>26/09/2024 08:30</t>
  </si>
  <si>
    <t>26/09/2024 08:45</t>
  </si>
  <si>
    <t>26/09/2024 09:00</t>
  </si>
  <si>
    <t>26/09/2024 09:15</t>
  </si>
  <si>
    <t>26/09/2024 09:30</t>
  </si>
  <si>
    <t>26/09/2024 09:45</t>
  </si>
  <si>
    <t>26/09/2024 10:00</t>
  </si>
  <si>
    <t>26/09/2024 10:15</t>
  </si>
  <si>
    <t>26/09/2024 10:30</t>
  </si>
  <si>
    <t>26/09/2024 10:45</t>
  </si>
  <si>
    <t>26/09/2024 11:00</t>
  </si>
  <si>
    <t>26/09/2024 11:15</t>
  </si>
  <si>
    <t>26/09/2024 11:30</t>
  </si>
  <si>
    <t>26/09/2024 11:45</t>
  </si>
  <si>
    <t>26/09/2024 12:00</t>
  </si>
  <si>
    <t>26/09/2024 12:15</t>
  </si>
  <si>
    <t>26/09/2024 12:30</t>
  </si>
  <si>
    <t>26/09/2024 12:45</t>
  </si>
  <si>
    <t>26/09/2024 13:00</t>
  </si>
  <si>
    <t>26/09/2024 13:15</t>
  </si>
  <si>
    <t>26/09/2024 13:30</t>
  </si>
  <si>
    <t>26/09/2024 13:45</t>
  </si>
  <si>
    <t>26/09/2024 14:00</t>
  </si>
  <si>
    <t>26/09/2024 14:15</t>
  </si>
  <si>
    <t>26/09/2024 14:30</t>
  </si>
  <si>
    <t>26/09/2024 14:45</t>
  </si>
  <si>
    <t>26/09/2024 15:00</t>
  </si>
  <si>
    <t>26/09/2024 15:15</t>
  </si>
  <si>
    <t>26/09/2024 15:30</t>
  </si>
  <si>
    <t>26/09/2024 15:45</t>
  </si>
  <si>
    <t>26/09/2024 16:00</t>
  </si>
  <si>
    <t>26/09/2024 16:15</t>
  </si>
  <si>
    <t>26/09/2024 16:30</t>
  </si>
  <si>
    <t>26/09/2024 16:45</t>
  </si>
  <si>
    <t>26/09/2024 17:00</t>
  </si>
  <si>
    <t>26/09/2024 17:15</t>
  </si>
  <si>
    <t>26/09/2024 17:30</t>
  </si>
  <si>
    <t>26/09/2024 17:45</t>
  </si>
  <si>
    <t>26/09/2024 18:00</t>
  </si>
  <si>
    <t>26/09/2024 18:15</t>
  </si>
  <si>
    <t>26/09/2024 18:30</t>
  </si>
  <si>
    <t>26/09/2024 18:45</t>
  </si>
  <si>
    <t>26/09/2024 19:00</t>
  </si>
  <si>
    <t>26/09/2024 19:15</t>
  </si>
  <si>
    <t>26/09/2024 19:30</t>
  </si>
  <si>
    <t>26/09/2024 19:45</t>
  </si>
  <si>
    <t>26/09/2024 20:00</t>
  </si>
  <si>
    <t>26/09/2024 20:15</t>
  </si>
  <si>
    <t>26/09/2024 20:30</t>
  </si>
  <si>
    <t>26/09/2024 20:45</t>
  </si>
  <si>
    <t>26/09/2024 21:00</t>
  </si>
  <si>
    <t>26/09/2024 21:15</t>
  </si>
  <si>
    <t>26/09/2024 21:30</t>
  </si>
  <si>
    <t>26/09/2024 21:45</t>
  </si>
  <si>
    <t>26/09/2024 22:00</t>
  </si>
  <si>
    <t>26/09/2024 22:15</t>
  </si>
  <si>
    <t>26/09/2024 22:30</t>
  </si>
  <si>
    <t>26/09/2024 22:45</t>
  </si>
  <si>
    <t>26/09/2024 23:00</t>
  </si>
  <si>
    <t>26/09/2024 23:15</t>
  </si>
  <si>
    <t>26/09/2024 23:30</t>
  </si>
  <si>
    <t>26/09/2024 23:45</t>
  </si>
  <si>
    <t>26/09/2024 24:00</t>
  </si>
  <si>
    <t>27/09/2024 00:15</t>
  </si>
  <si>
    <t>27/09/2024 00:30</t>
  </si>
  <si>
    <t>27/09/2024 00:45</t>
  </si>
  <si>
    <t>27/09/2024 01:00</t>
  </si>
  <si>
    <t>27/09/2024 01:15</t>
  </si>
  <si>
    <t>27/09/2024 01:30</t>
  </si>
  <si>
    <t>27/09/2024 01:45</t>
  </si>
  <si>
    <t>27/09/2024 02:00</t>
  </si>
  <si>
    <t>27/09/2024 02:15</t>
  </si>
  <si>
    <t>27/09/2024 02:30</t>
  </si>
  <si>
    <t>27/09/2024 02:45</t>
  </si>
  <si>
    <t>27/09/2024 03:00</t>
  </si>
  <si>
    <t>27/09/2024 03:15</t>
  </si>
  <si>
    <t>27/09/2024 03:30</t>
  </si>
  <si>
    <t>27/09/2024 03:45</t>
  </si>
  <si>
    <t>27/09/2024 04:00</t>
  </si>
  <si>
    <t>27/09/2024 04:15</t>
  </si>
  <si>
    <t>27/09/2024 04:30</t>
  </si>
  <si>
    <t>27/09/2024 04:45</t>
  </si>
  <si>
    <t>27/09/2024 05:00</t>
  </si>
  <si>
    <t>27/09/2024 05:15</t>
  </si>
  <si>
    <t>27/09/2024 05:30</t>
  </si>
  <si>
    <t>27/09/2024 05:45</t>
  </si>
  <si>
    <t>27/09/2024 06:00</t>
  </si>
  <si>
    <t>27/09/2024 06:15</t>
  </si>
  <si>
    <t>27/09/2024 06:30</t>
  </si>
  <si>
    <t>27/09/2024 06:45</t>
  </si>
  <si>
    <t>27/09/2024 07:00</t>
  </si>
  <si>
    <t>27/09/2024 07:15</t>
  </si>
  <si>
    <t>27/09/2024 07:30</t>
  </si>
  <si>
    <t>27/09/2024 07:45</t>
  </si>
  <si>
    <t>27/09/2024 08:00</t>
  </si>
  <si>
    <t>27/09/2024 08:15</t>
  </si>
  <si>
    <t>27/09/2024 08:30</t>
  </si>
  <si>
    <t>27/09/2024 08:45</t>
  </si>
  <si>
    <t>27/09/2024 09:00</t>
  </si>
  <si>
    <t>27/09/2024 09:15</t>
  </si>
  <si>
    <t>27/09/2024 09:30</t>
  </si>
  <si>
    <t>27/09/2024 09:45</t>
  </si>
  <si>
    <t>27/09/2024 10:00</t>
  </si>
  <si>
    <t>27/09/2024 10:15</t>
  </si>
  <si>
    <t>27/09/2024 10:30</t>
  </si>
  <si>
    <t>27/09/2024 10:45</t>
  </si>
  <si>
    <t>27/09/2024 11:00</t>
  </si>
  <si>
    <t>27/09/2024 11:15</t>
  </si>
  <si>
    <t>27/09/2024 11:30</t>
  </si>
  <si>
    <t>27/09/2024 11:45</t>
  </si>
  <si>
    <t>27/09/2024 12:00</t>
  </si>
  <si>
    <t>27/09/2024 12:15</t>
  </si>
  <si>
    <t>27/09/2024 12:30</t>
  </si>
  <si>
    <t>27/09/2024 12:45</t>
  </si>
  <si>
    <t>27/09/2024 13:00</t>
  </si>
  <si>
    <t>27/09/2024 13:15</t>
  </si>
  <si>
    <t>27/09/2024 13:30</t>
  </si>
  <si>
    <t>27/09/2024 13:45</t>
  </si>
  <si>
    <t>27/09/2024 14:00</t>
  </si>
  <si>
    <t>27/09/2024 14:15</t>
  </si>
  <si>
    <t>27/09/2024 14:30</t>
  </si>
  <si>
    <t>27/09/2024 14:45</t>
  </si>
  <si>
    <t>27/09/2024 15:00</t>
  </si>
  <si>
    <t>27/09/2024 15:15</t>
  </si>
  <si>
    <t>27/09/2024 15:30</t>
  </si>
  <si>
    <t>27/09/2024 15:45</t>
  </si>
  <si>
    <t>27/09/2024 16:00</t>
  </si>
  <si>
    <t>27/09/2024 16:15</t>
  </si>
  <si>
    <t>27/09/2024 16:30</t>
  </si>
  <si>
    <t>27/09/2024 16:45</t>
  </si>
  <si>
    <t>27/09/2024 17:00</t>
  </si>
  <si>
    <t>27/09/2024 17:15</t>
  </si>
  <si>
    <t>27/09/2024 17:30</t>
  </si>
  <si>
    <t>27/09/2024 17:45</t>
  </si>
  <si>
    <t>27/09/2024 18:00</t>
  </si>
  <si>
    <t>27/09/2024 18:15</t>
  </si>
  <si>
    <t>27/09/2024 18:30</t>
  </si>
  <si>
    <t>27/09/2024 18:45</t>
  </si>
  <si>
    <t>27/09/2024 19:00</t>
  </si>
  <si>
    <t>27/09/2024 19:15</t>
  </si>
  <si>
    <t>27/09/2024 19:30</t>
  </si>
  <si>
    <t>27/09/2024 19:45</t>
  </si>
  <si>
    <t>27/09/2024 20:00</t>
  </si>
  <si>
    <t>27/09/2024 20:15</t>
  </si>
  <si>
    <t>27/09/2024 20:30</t>
  </si>
  <si>
    <t>27/09/2024 20:45</t>
  </si>
  <si>
    <t>27/09/2024 21:00</t>
  </si>
  <si>
    <t>27/09/2024 21:15</t>
  </si>
  <si>
    <t>27/09/2024 21:30</t>
  </si>
  <si>
    <t>27/09/2024 21:45</t>
  </si>
  <si>
    <t>27/09/2024 22:00</t>
  </si>
  <si>
    <t>27/09/2024 22:15</t>
  </si>
  <si>
    <t>27/09/2024 22:30</t>
  </si>
  <si>
    <t>27/09/2024 22:45</t>
  </si>
  <si>
    <t>27/09/2024 23:00</t>
  </si>
  <si>
    <t>27/09/2024 23:15</t>
  </si>
  <si>
    <t>27/09/2024 23:30</t>
  </si>
  <si>
    <t>27/09/2024 23:45</t>
  </si>
  <si>
    <t>27/09/2024 24:00</t>
  </si>
  <si>
    <t>28/09/2024 00:15</t>
  </si>
  <si>
    <t>28/09/2024 00:30</t>
  </si>
  <si>
    <t>28/09/2024 00:45</t>
  </si>
  <si>
    <t>28/09/2024 01:00</t>
  </si>
  <si>
    <t>28/09/2024 01:15</t>
  </si>
  <si>
    <t>28/09/2024 01:30</t>
  </si>
  <si>
    <t>28/09/2024 01:45</t>
  </si>
  <si>
    <t>28/09/2024 02:00</t>
  </si>
  <si>
    <t>28/09/2024 02:15</t>
  </si>
  <si>
    <t>28/09/2024 02:30</t>
  </si>
  <si>
    <t>28/09/2024 02:45</t>
  </si>
  <si>
    <t>28/09/2024 03:00</t>
  </si>
  <si>
    <t>28/09/2024 03:15</t>
  </si>
  <si>
    <t>28/09/2024 03:30</t>
  </si>
  <si>
    <t>28/09/2024 03:45</t>
  </si>
  <si>
    <t>28/09/2024 04:00</t>
  </si>
  <si>
    <t>28/09/2024 04:15</t>
  </si>
  <si>
    <t>28/09/2024 04:30</t>
  </si>
  <si>
    <t>28/09/2024 04:45</t>
  </si>
  <si>
    <t>28/09/2024 05:00</t>
  </si>
  <si>
    <t>28/09/2024 05:15</t>
  </si>
  <si>
    <t>28/09/2024 05:30</t>
  </si>
  <si>
    <t>28/09/2024 05:45</t>
  </si>
  <si>
    <t>28/09/2024 06:00</t>
  </si>
  <si>
    <t>28/09/2024 06:15</t>
  </si>
  <si>
    <t>28/09/2024 06:30</t>
  </si>
  <si>
    <t>28/09/2024 06:45</t>
  </si>
  <si>
    <t>28/09/2024 07:00</t>
  </si>
  <si>
    <t>28/09/2024 07:15</t>
  </si>
  <si>
    <t>28/09/2024 07:30</t>
  </si>
  <si>
    <t>28/09/2024 07:45</t>
  </si>
  <si>
    <t>28/09/2024 08:00</t>
  </si>
  <si>
    <t>28/09/2024 08:15</t>
  </si>
  <si>
    <t>28/09/2024 08:30</t>
  </si>
  <si>
    <t>28/09/2024 08:45</t>
  </si>
  <si>
    <t>28/09/2024 09:00</t>
  </si>
  <si>
    <t>28/09/2024 09:15</t>
  </si>
  <si>
    <t>28/09/2024 09:30</t>
  </si>
  <si>
    <t>28/09/2024 09:45</t>
  </si>
  <si>
    <t>28/09/2024 10:00</t>
  </si>
  <si>
    <t>28/09/2024 10:15</t>
  </si>
  <si>
    <t>28/09/2024 10:30</t>
  </si>
  <si>
    <t>28/09/2024 10:45</t>
  </si>
  <si>
    <t>28/09/2024 11:00</t>
  </si>
  <si>
    <t>28/09/2024 11:15</t>
  </si>
  <si>
    <t>28/09/2024 11:30</t>
  </si>
  <si>
    <t>28/09/2024 11:45</t>
  </si>
  <si>
    <t>28/09/2024 12:00</t>
  </si>
  <si>
    <t>28/09/2024 12:15</t>
  </si>
  <si>
    <t>28/09/2024 12:30</t>
  </si>
  <si>
    <t>28/09/2024 12:45</t>
  </si>
  <si>
    <t>28/09/2024 13:00</t>
  </si>
  <si>
    <t>28/09/2024 13:15</t>
  </si>
  <si>
    <t>28/09/2024 13:30</t>
  </si>
  <si>
    <t>28/09/2024 13:45</t>
  </si>
  <si>
    <t>28/09/2024 14:00</t>
  </si>
  <si>
    <t>28/09/2024 14:15</t>
  </si>
  <si>
    <t>28/09/2024 14:30</t>
  </si>
  <si>
    <t>28/09/2024 14:45</t>
  </si>
  <si>
    <t>28/09/2024 15:00</t>
  </si>
  <si>
    <t>28/09/2024 15:15</t>
  </si>
  <si>
    <t>28/09/2024 15:30</t>
  </si>
  <si>
    <t>28/09/2024 15:45</t>
  </si>
  <si>
    <t>28/09/2024 16:00</t>
  </si>
  <si>
    <t>28/09/2024 16:15</t>
  </si>
  <si>
    <t>28/09/2024 16:30</t>
  </si>
  <si>
    <t>28/09/2024 16:45</t>
  </si>
  <si>
    <t>28/09/2024 17:00</t>
  </si>
  <si>
    <t>28/09/2024 17:15</t>
  </si>
  <si>
    <t>28/09/2024 17:30</t>
  </si>
  <si>
    <t>28/09/2024 17:45</t>
  </si>
  <si>
    <t>28/09/2024 18:00</t>
  </si>
  <si>
    <t>28/09/2024 18:15</t>
  </si>
  <si>
    <t>28/09/2024 18:30</t>
  </si>
  <si>
    <t>28/09/2024 18:45</t>
  </si>
  <si>
    <t>28/09/2024 19:00</t>
  </si>
  <si>
    <t>28/09/2024 19:15</t>
  </si>
  <si>
    <t>28/09/2024 19:30</t>
  </si>
  <si>
    <t>28/09/2024 19:45</t>
  </si>
  <si>
    <t>28/09/2024 20:00</t>
  </si>
  <si>
    <t>28/09/2024 20:15</t>
  </si>
  <si>
    <t>28/09/2024 20:30</t>
  </si>
  <si>
    <t>28/09/2024 20:45</t>
  </si>
  <si>
    <t>28/09/2024 21:00</t>
  </si>
  <si>
    <t>28/09/2024 21:15</t>
  </si>
  <si>
    <t>28/09/2024 21:30</t>
  </si>
  <si>
    <t>28/09/2024 21:45</t>
  </si>
  <si>
    <t>28/09/2024 22:00</t>
  </si>
  <si>
    <t>28/09/2024 22:15</t>
  </si>
  <si>
    <t>28/09/2024 22:30</t>
  </si>
  <si>
    <t>28/09/2024 22:45</t>
  </si>
  <si>
    <t>28/09/2024 23:00</t>
  </si>
  <si>
    <t>28/09/2024 23:15</t>
  </si>
  <si>
    <t>28/09/2024 23:30</t>
  </si>
  <si>
    <t>28/09/2024 23:45</t>
  </si>
  <si>
    <t>28/09/2024 24:00</t>
  </si>
  <si>
    <t>29/09/2024 00:15</t>
  </si>
  <si>
    <t>29/09/2024 00:30</t>
  </si>
  <si>
    <t>29/09/2024 00:45</t>
  </si>
  <si>
    <t>29/09/2024 01:00</t>
  </si>
  <si>
    <t>29/09/2024 01:15</t>
  </si>
  <si>
    <t>29/09/2024 01:30</t>
  </si>
  <si>
    <t>29/09/2024 01:45</t>
  </si>
  <si>
    <t>29/09/2024 02:00</t>
  </si>
  <si>
    <t>29/09/2024 02:15</t>
  </si>
  <si>
    <t>29/09/2024 02:30</t>
  </si>
  <si>
    <t>29/09/2024 02:45</t>
  </si>
  <si>
    <t>29/09/2024 03:00</t>
  </si>
  <si>
    <t>29/09/2024 03:15</t>
  </si>
  <si>
    <t>29/09/2024 03:30</t>
  </si>
  <si>
    <t>29/09/2024 03:45</t>
  </si>
  <si>
    <t>29/09/2024 04:00</t>
  </si>
  <si>
    <t>29/09/2024 04:15</t>
  </si>
  <si>
    <t>29/09/2024 04:30</t>
  </si>
  <si>
    <t>29/09/2024 04:45</t>
  </si>
  <si>
    <t>29/09/2024 05:00</t>
  </si>
  <si>
    <t>29/09/2024 05:15</t>
  </si>
  <si>
    <t>29/09/2024 05:30</t>
  </si>
  <si>
    <t>29/09/2024 05:45</t>
  </si>
  <si>
    <t>29/09/2024 06:00</t>
  </si>
  <si>
    <t>29/09/2024 06:15</t>
  </si>
  <si>
    <t>29/09/2024 06:30</t>
  </si>
  <si>
    <t>29/09/2024 06:45</t>
  </si>
  <si>
    <t>29/09/2024 07:00</t>
  </si>
  <si>
    <t>29/09/2024 07:15</t>
  </si>
  <si>
    <t>29/09/2024 07:30</t>
  </si>
  <si>
    <t>29/09/2024 07:45</t>
  </si>
  <si>
    <t>29/09/2024 08:00</t>
  </si>
  <si>
    <t>29/09/2024 08:15</t>
  </si>
  <si>
    <t>29/09/2024 08:30</t>
  </si>
  <si>
    <t>29/09/2024 08:45</t>
  </si>
  <si>
    <t>29/09/2024 09:00</t>
  </si>
  <si>
    <t>29/09/2024 09:15</t>
  </si>
  <si>
    <t>29/09/2024 09:30</t>
  </si>
  <si>
    <t>29/09/2024 09:45</t>
  </si>
  <si>
    <t>29/09/2024 10:00</t>
  </si>
  <si>
    <t>29/09/2024 10:15</t>
  </si>
  <si>
    <t>29/09/2024 10:30</t>
  </si>
  <si>
    <t>29/09/2024 10:45</t>
  </si>
  <si>
    <t>29/09/2024 11:00</t>
  </si>
  <si>
    <t>29/09/2024 11:15</t>
  </si>
  <si>
    <t>29/09/2024 11:30</t>
  </si>
  <si>
    <t>29/09/2024 11:45</t>
  </si>
  <si>
    <t>29/09/2024 12:00</t>
  </si>
  <si>
    <t>29/09/2024 12:15</t>
  </si>
  <si>
    <t>29/09/2024 12:30</t>
  </si>
  <si>
    <t>29/09/2024 12:45</t>
  </si>
  <si>
    <t>29/09/2024 13:00</t>
  </si>
  <si>
    <t>29/09/2024 13:15</t>
  </si>
  <si>
    <t>29/09/2024 13:30</t>
  </si>
  <si>
    <t>29/09/2024 13:45</t>
  </si>
  <si>
    <t>29/09/2024 14:00</t>
  </si>
  <si>
    <t>29/09/2024 14:15</t>
  </si>
  <si>
    <t>29/09/2024 14:30</t>
  </si>
  <si>
    <t>29/09/2024 14:45</t>
  </si>
  <si>
    <t>29/09/2024 15:00</t>
  </si>
  <si>
    <t>29/09/2024 15:15</t>
  </si>
  <si>
    <t>29/09/2024 15:30</t>
  </si>
  <si>
    <t>29/09/2024 15:45</t>
  </si>
  <si>
    <t>29/09/2024 16:00</t>
  </si>
  <si>
    <t>29/09/2024 16:15</t>
  </si>
  <si>
    <t>29/09/2024 16:30</t>
  </si>
  <si>
    <t>29/09/2024 16:45</t>
  </si>
  <si>
    <t>29/09/2024 17:00</t>
  </si>
  <si>
    <t>29/09/2024 17:15</t>
  </si>
  <si>
    <t>29/09/2024 17:30</t>
  </si>
  <si>
    <t>29/09/2024 17:45</t>
  </si>
  <si>
    <t>29/09/2024 18:00</t>
  </si>
  <si>
    <t>29/09/2024 18:15</t>
  </si>
  <si>
    <t>29/09/2024 18:30</t>
  </si>
  <si>
    <t>29/09/2024 18:45</t>
  </si>
  <si>
    <t>29/09/2024 19:00</t>
  </si>
  <si>
    <t>29/09/2024 19:15</t>
  </si>
  <si>
    <t>29/09/2024 19:30</t>
  </si>
  <si>
    <t>29/09/2024 19:45</t>
  </si>
  <si>
    <t>29/09/2024 20:00</t>
  </si>
  <si>
    <t>29/09/2024 20:15</t>
  </si>
  <si>
    <t>29/09/2024 20:30</t>
  </si>
  <si>
    <t>29/09/2024 20:45</t>
  </si>
  <si>
    <t>29/09/2024 21:00</t>
  </si>
  <si>
    <t>29/09/2024 21:15</t>
  </si>
  <si>
    <t>29/09/2024 21:30</t>
  </si>
  <si>
    <t>29/09/2024 21:45</t>
  </si>
  <si>
    <t>29/09/2024 22:00</t>
  </si>
  <si>
    <t>29/09/2024 22:15</t>
  </si>
  <si>
    <t>29/09/2024 22:30</t>
  </si>
  <si>
    <t>29/09/2024 22:45</t>
  </si>
  <si>
    <t>29/09/2024 23:00</t>
  </si>
  <si>
    <t>29/09/2024 23:15</t>
  </si>
  <si>
    <t>29/09/2024 23:30</t>
  </si>
  <si>
    <t>29/09/2024 23:45</t>
  </si>
  <si>
    <t>29/09/2024 24:00</t>
  </si>
  <si>
    <t>30/09/2024 00:15</t>
  </si>
  <si>
    <t>30/09/2024 00:30</t>
  </si>
  <si>
    <t>30/09/2024 00:45</t>
  </si>
  <si>
    <t>30/09/2024 01:00</t>
  </si>
  <si>
    <t>30/09/2024 01:15</t>
  </si>
  <si>
    <t>30/09/2024 01:30</t>
  </si>
  <si>
    <t>30/09/2024 01:45</t>
  </si>
  <si>
    <t>30/09/2024 02:00</t>
  </si>
  <si>
    <t>30/09/2024 02:15</t>
  </si>
  <si>
    <t>30/09/2024 02:30</t>
  </si>
  <si>
    <t>30/09/2024 02:45</t>
  </si>
  <si>
    <t>30/09/2024 03:00</t>
  </si>
  <si>
    <t>30/09/2024 03:15</t>
  </si>
  <si>
    <t>30/09/2024 03:30</t>
  </si>
  <si>
    <t>30/09/2024 03:45</t>
  </si>
  <si>
    <t>30/09/2024 04:00</t>
  </si>
  <si>
    <t>30/09/2024 04:15</t>
  </si>
  <si>
    <t>30/09/2024 04:30</t>
  </si>
  <si>
    <t>30/09/2024 04:45</t>
  </si>
  <si>
    <t>30/09/2024 05:00</t>
  </si>
  <si>
    <t>30/09/2024 05:15</t>
  </si>
  <si>
    <t>30/09/2024 05:30</t>
  </si>
  <si>
    <t>30/09/2024 05:45</t>
  </si>
  <si>
    <t>30/09/2024 06:00</t>
  </si>
  <si>
    <t>30/09/2024 06:15</t>
  </si>
  <si>
    <t>30/09/2024 06:30</t>
  </si>
  <si>
    <t>30/09/2024 06:45</t>
  </si>
  <si>
    <t>30/09/2024 07:00</t>
  </si>
  <si>
    <t>30/09/2024 07:15</t>
  </si>
  <si>
    <t>30/09/2024 07:30</t>
  </si>
  <si>
    <t>30/09/2024 07:45</t>
  </si>
  <si>
    <t>30/09/2024 08:00</t>
  </si>
  <si>
    <t>30/09/2024 08:15</t>
  </si>
  <si>
    <t>30/09/2024 08:30</t>
  </si>
  <si>
    <t>30/09/2024 08:45</t>
  </si>
  <si>
    <t>30/09/2024 09:00</t>
  </si>
  <si>
    <t>30/09/2024 09:15</t>
  </si>
  <si>
    <t>30/09/2024 09:30</t>
  </si>
  <si>
    <t>30/09/2024 09:45</t>
  </si>
  <si>
    <t>30/09/2024 10:00</t>
  </si>
  <si>
    <t>30/09/2024 10:15</t>
  </si>
  <si>
    <t>30/09/2024 10:30</t>
  </si>
  <si>
    <t>30/09/2024 10:45</t>
  </si>
  <si>
    <t>30/09/2024 11:00</t>
  </si>
  <si>
    <t>30/09/2024 11:15</t>
  </si>
  <si>
    <t>30/09/2024 11:30</t>
  </si>
  <si>
    <t>30/09/2024 11:45</t>
  </si>
  <si>
    <t>30/09/2024 12:00</t>
  </si>
  <si>
    <t>30/09/2024 12:15</t>
  </si>
  <si>
    <t>30/09/2024 12:30</t>
  </si>
  <si>
    <t>30/09/2024 12:45</t>
  </si>
  <si>
    <t>30/09/2024 13:00</t>
  </si>
  <si>
    <t>30/09/2024 13:15</t>
  </si>
  <si>
    <t>30/09/2024 13:30</t>
  </si>
  <si>
    <t>30/09/2024 13:45</t>
  </si>
  <si>
    <t>30/09/2024 14:00</t>
  </si>
  <si>
    <t>30/09/2024 14:15</t>
  </si>
  <si>
    <t>30/09/2024 14:30</t>
  </si>
  <si>
    <t>30/09/2024 14:45</t>
  </si>
  <si>
    <t>30/09/2024 15:00</t>
  </si>
  <si>
    <t>30/09/2024 15:15</t>
  </si>
  <si>
    <t>30/09/2024 15:30</t>
  </si>
  <si>
    <t>30/09/2024 15:45</t>
  </si>
  <si>
    <t>30/09/2024 16:00</t>
  </si>
  <si>
    <t>30/09/2024 16:15</t>
  </si>
  <si>
    <t>30/09/2024 16:30</t>
  </si>
  <si>
    <t>30/09/2024 16:45</t>
  </si>
  <si>
    <t>30/09/2024 17:00</t>
  </si>
  <si>
    <t>30/09/2024 17:15</t>
  </si>
  <si>
    <t>30/09/2024 17:30</t>
  </si>
  <si>
    <t>30/09/2024 17:45</t>
  </si>
  <si>
    <t>30/09/2024 18:00</t>
  </si>
  <si>
    <t>30/09/2024 18:15</t>
  </si>
  <si>
    <t>30/09/2024 18:30</t>
  </si>
  <si>
    <t>30/09/2024 18:45</t>
  </si>
  <si>
    <t>30/09/2024 19:00</t>
  </si>
  <si>
    <t>30/09/2024 19:15</t>
  </si>
  <si>
    <t>30/09/2024 19:30</t>
  </si>
  <si>
    <t>30/09/2024 19:45</t>
  </si>
  <si>
    <t>30/09/2024 20:00</t>
  </si>
  <si>
    <t>30/09/2024 20:15</t>
  </si>
  <si>
    <t>30/09/2024 20:30</t>
  </si>
  <si>
    <t>30/09/2024 20:45</t>
  </si>
  <si>
    <t>30/09/2024 21:00</t>
  </si>
  <si>
    <t>30/09/2024 21:15</t>
  </si>
  <si>
    <t>30/09/2024 21:30</t>
  </si>
  <si>
    <t>30/09/2024 21:45</t>
  </si>
  <si>
    <t>30/09/2024 22:00</t>
  </si>
  <si>
    <t>30/09/2024 22:15</t>
  </si>
  <si>
    <t>30/09/2024 22:30</t>
  </si>
  <si>
    <t>30/09/2024 22:45</t>
  </si>
  <si>
    <t>30/09/2024 23:00</t>
  </si>
  <si>
    <t>30/09/2024 23:15</t>
  </si>
  <si>
    <t>30/09/2024 23:30</t>
  </si>
  <si>
    <t>30/09/2024 23:45</t>
  </si>
  <si>
    <t>30/09/2024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</si>
</sst>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</v>
      </c>
      <c r="B9" s="64">
        <v>7.98</v>
      </c>
      <c r="C9" s="64">
        <v>3.04</v>
      </c>
      <c r="D9" s="64">
        <v>11.76</v>
      </c>
      <c r="E9" s="64">
        <v>4.26</v>
      </c>
      <c r="F9" s="64">
        <v>4.16</v>
      </c>
      <c r="G9" s="64">
        <v>75.69</v>
      </c>
      <c r="H9" s="64">
        <v>23.92</v>
      </c>
      <c r="I9" s="64">
        <v>4.9400000000000004</v>
      </c>
      <c r="J9" s="64">
        <v>1.58</v>
      </c>
      <c r="K9" s="64">
        <v>336.45</v>
      </c>
      <c r="L9" s="64">
        <v>27.68</v>
      </c>
      <c r="M9" s="64">
        <v>101.53</v>
      </c>
      <c r="N9" s="64">
        <v>42.1</v>
      </c>
      <c r="O9" s="64">
        <v>0</v>
      </c>
      <c r="P9" s="64">
        <v>0.75</v>
      </c>
      <c r="Q9" s="64">
        <v>9.85</v>
      </c>
      <c r="R9" s="198"/>
      <c r="S9" s="198"/>
      <c r="T9" s="198"/>
      <c r="U9" s="198"/>
    </row>
    <row r="10" spans="1:21" s="12" customFormat="1" x14ac:dyDescent="0.25">
      <c r="A10" s="214" t="s">
        <v>246</v>
      </c>
      <c r="B10" s="64">
        <v>7.97</v>
      </c>
      <c r="C10" s="64">
        <v>3.02</v>
      </c>
      <c r="D10" s="64">
        <v>11.74</v>
      </c>
      <c r="E10" s="64">
        <v>3.59</v>
      </c>
      <c r="F10" s="64">
        <v>2.17</v>
      </c>
      <c r="G10" s="64">
        <v>75.69</v>
      </c>
      <c r="H10" s="64">
        <v>23.92</v>
      </c>
      <c r="I10" s="64">
        <v>4.71</v>
      </c>
      <c r="J10" s="64">
        <v>0.86</v>
      </c>
      <c r="K10" s="64">
        <v>329.84</v>
      </c>
      <c r="L10" s="64">
        <v>27.57</v>
      </c>
      <c r="M10" s="64">
        <v>101.53</v>
      </c>
      <c r="N10" s="64">
        <v>41.7</v>
      </c>
      <c r="O10" s="64">
        <v>0</v>
      </c>
      <c r="P10" s="64">
        <v>0.73</v>
      </c>
      <c r="Q10" s="64">
        <v>9.8800000000000008</v>
      </c>
      <c r="R10" s="198"/>
      <c r="S10" s="198"/>
      <c r="T10" s="198"/>
      <c r="U10" s="198"/>
    </row>
    <row r="11" spans="1:21" s="12" customFormat="1" x14ac:dyDescent="0.25">
      <c r="A11" s="214" t="s">
        <v>247</v>
      </c>
      <c r="B11" s="64">
        <v>8.01</v>
      </c>
      <c r="C11" s="64">
        <v>3.04</v>
      </c>
      <c r="D11" s="64">
        <v>11.78</v>
      </c>
      <c r="E11" s="64">
        <v>3.73</v>
      </c>
      <c r="F11" s="64">
        <v>4.01</v>
      </c>
      <c r="G11" s="64">
        <v>79.48</v>
      </c>
      <c r="H11" s="64">
        <v>23.92</v>
      </c>
      <c r="I11" s="64">
        <v>4.57</v>
      </c>
      <c r="J11" s="64">
        <v>0.6</v>
      </c>
      <c r="K11" s="64">
        <v>320.19</v>
      </c>
      <c r="L11" s="64">
        <v>27.55</v>
      </c>
      <c r="M11" s="64">
        <v>101.53</v>
      </c>
      <c r="N11" s="64">
        <v>41.8</v>
      </c>
      <c r="O11" s="64">
        <v>0</v>
      </c>
      <c r="P11" s="64">
        <v>0.71</v>
      </c>
      <c r="Q11" s="64">
        <v>9.8800000000000008</v>
      </c>
      <c r="R11" s="198"/>
      <c r="S11" s="198"/>
      <c r="T11" s="198"/>
      <c r="U11" s="198"/>
    </row>
    <row r="12" spans="1:21" s="12" customFormat="1" x14ac:dyDescent="0.25">
      <c r="A12" s="214" t="s">
        <v>248</v>
      </c>
      <c r="B12" s="64">
        <v>7.96</v>
      </c>
      <c r="C12" s="64">
        <v>2.95</v>
      </c>
      <c r="D12" s="64">
        <v>11.7</v>
      </c>
      <c r="E12" s="64">
        <v>3.74</v>
      </c>
      <c r="F12" s="64">
        <v>2.92</v>
      </c>
      <c r="G12" s="64">
        <v>83.8</v>
      </c>
      <c r="H12" s="64">
        <v>23.92</v>
      </c>
      <c r="I12" s="64">
        <v>4.34</v>
      </c>
      <c r="J12" s="64">
        <v>0.64</v>
      </c>
      <c r="K12" s="64">
        <v>329.58</v>
      </c>
      <c r="L12" s="64">
        <v>27.62</v>
      </c>
      <c r="M12" s="64">
        <v>101.53</v>
      </c>
      <c r="N12" s="64">
        <v>41.5</v>
      </c>
      <c r="O12" s="64">
        <v>0</v>
      </c>
      <c r="P12" s="64">
        <v>0.71</v>
      </c>
      <c r="Q12" s="64">
        <v>9.85</v>
      </c>
      <c r="R12" s="198"/>
      <c r="S12" s="198"/>
      <c r="T12" s="198"/>
      <c r="U12" s="198"/>
    </row>
    <row r="13" spans="1:21" s="12" customFormat="1" x14ac:dyDescent="0.25">
      <c r="A13" s="214" t="s">
        <v>249</v>
      </c>
      <c r="B13" s="64">
        <v>7.96</v>
      </c>
      <c r="C13" s="64">
        <v>2.94</v>
      </c>
      <c r="D13" s="64">
        <v>11.69</v>
      </c>
      <c r="E13" s="64">
        <v>3.63</v>
      </c>
      <c r="F13" s="64">
        <v>3.92</v>
      </c>
      <c r="G13" s="64">
        <v>83.8</v>
      </c>
      <c r="H13" s="64">
        <v>23.92</v>
      </c>
      <c r="I13" s="64">
        <v>4.3499999999999996</v>
      </c>
      <c r="J13" s="64">
        <v>0.38</v>
      </c>
      <c r="K13" s="64">
        <v>322.98</v>
      </c>
      <c r="L13" s="64">
        <v>27.63</v>
      </c>
      <c r="M13" s="64">
        <v>101.53</v>
      </c>
      <c r="N13" s="64">
        <v>41.7</v>
      </c>
      <c r="O13" s="64">
        <v>0</v>
      </c>
      <c r="P13" s="64">
        <v>0.57999999999999996</v>
      </c>
      <c r="Q13" s="64">
        <v>9.84</v>
      </c>
      <c r="R13" s="198"/>
      <c r="S13" s="198"/>
      <c r="T13" s="198"/>
      <c r="U13" s="198"/>
    </row>
    <row r="14" spans="1:21" s="12" customFormat="1" x14ac:dyDescent="0.25">
      <c r="A14" s="214" t="s">
        <v>250</v>
      </c>
      <c r="B14" s="64">
        <v>7.99</v>
      </c>
      <c r="C14" s="64">
        <v>3</v>
      </c>
      <c r="D14" s="64">
        <v>11.75</v>
      </c>
      <c r="E14" s="64">
        <v>3.53</v>
      </c>
      <c r="F14" s="64">
        <v>3.23</v>
      </c>
      <c r="G14" s="64">
        <v>83.8</v>
      </c>
      <c r="H14" s="64">
        <v>23.92</v>
      </c>
      <c r="I14" s="64">
        <v>4.2300000000000004</v>
      </c>
      <c r="J14" s="64">
        <v>0.38</v>
      </c>
      <c r="K14" s="64">
        <v>327.73</v>
      </c>
      <c r="L14" s="64">
        <v>27.56</v>
      </c>
      <c r="M14" s="64">
        <v>101.53</v>
      </c>
      <c r="N14" s="64">
        <v>41.7</v>
      </c>
      <c r="O14" s="64">
        <v>0</v>
      </c>
      <c r="P14" s="64">
        <v>0.6</v>
      </c>
      <c r="Q14" s="64">
        <v>9.89</v>
      </c>
      <c r="R14" s="198"/>
      <c r="S14" s="198"/>
      <c r="T14" s="198"/>
      <c r="U14" s="198"/>
    </row>
    <row r="15" spans="1:21" s="12" customFormat="1" x14ac:dyDescent="0.25">
      <c r="A15" s="214" t="s">
        <v>251</v>
      </c>
      <c r="B15" s="64">
        <v>7.95</v>
      </c>
      <c r="C15" s="64">
        <v>2.96</v>
      </c>
      <c r="D15" s="64">
        <v>11.7</v>
      </c>
      <c r="E15" s="64">
        <v>3.81</v>
      </c>
      <c r="F15" s="64">
        <v>3.31</v>
      </c>
      <c r="G15" s="64">
        <v>72.87</v>
      </c>
      <c r="H15" s="64">
        <v>20.98</v>
      </c>
      <c r="I15" s="64">
        <v>4.13</v>
      </c>
      <c r="J15" s="64">
        <v>0.17</v>
      </c>
      <c r="K15" s="64">
        <v>325.92</v>
      </c>
      <c r="L15" s="64">
        <v>27.67</v>
      </c>
      <c r="M15" s="64">
        <v>101.53</v>
      </c>
      <c r="N15" s="64">
        <v>41.8</v>
      </c>
      <c r="O15" s="64">
        <v>0</v>
      </c>
      <c r="P15" s="64">
        <v>0.56999999999999995</v>
      </c>
      <c r="Q15" s="64">
        <v>9.86</v>
      </c>
      <c r="R15" s="198"/>
      <c r="S15" s="198"/>
      <c r="T15" s="198"/>
      <c r="U15" s="198"/>
    </row>
    <row r="16" spans="1:21" s="12" customFormat="1" x14ac:dyDescent="0.25">
      <c r="A16" s="214" t="s">
        <v>252</v>
      </c>
      <c r="B16" s="64">
        <v>7.96</v>
      </c>
      <c r="C16" s="64">
        <v>3</v>
      </c>
      <c r="D16" s="64">
        <v>11.73</v>
      </c>
      <c r="E16" s="64">
        <v>4.12</v>
      </c>
      <c r="F16" s="64">
        <v>2.88</v>
      </c>
      <c r="G16" s="64">
        <v>59.8</v>
      </c>
      <c r="H16" s="64">
        <v>19.11</v>
      </c>
      <c r="I16" s="64">
        <v>4.07</v>
      </c>
      <c r="J16" s="64">
        <v>0.14000000000000001</v>
      </c>
      <c r="K16" s="64">
        <v>328.19</v>
      </c>
      <c r="L16" s="64">
        <v>27.58</v>
      </c>
      <c r="M16" s="64">
        <v>101.51</v>
      </c>
      <c r="N16" s="64">
        <v>41.9</v>
      </c>
      <c r="O16" s="64">
        <v>0</v>
      </c>
      <c r="P16" s="64">
        <v>0.56000000000000005</v>
      </c>
      <c r="Q16" s="64">
        <v>9.84</v>
      </c>
      <c r="R16" s="198"/>
      <c r="S16" s="198"/>
      <c r="T16" s="198"/>
      <c r="U16" s="198"/>
    </row>
    <row r="17" spans="1:21" s="12" customFormat="1" x14ac:dyDescent="0.25">
      <c r="A17" s="214" t="s">
        <v>253</v>
      </c>
      <c r="B17" s="64">
        <v>7.98</v>
      </c>
      <c r="C17" s="64">
        <v>2.95</v>
      </c>
      <c r="D17" s="64">
        <v>11.72</v>
      </c>
      <c r="E17" s="64">
        <v>3.59</v>
      </c>
      <c r="F17" s="64">
        <v>3.55</v>
      </c>
      <c r="G17" s="64">
        <v>59.8</v>
      </c>
      <c r="H17" s="64">
        <v>19.11</v>
      </c>
      <c r="I17" s="64">
        <v>4.09</v>
      </c>
      <c r="J17" s="64">
        <v>0.31</v>
      </c>
      <c r="K17" s="64">
        <v>325.32</v>
      </c>
      <c r="L17" s="64">
        <v>27.55</v>
      </c>
      <c r="M17" s="64">
        <v>101.5</v>
      </c>
      <c r="N17" s="64">
        <v>41.7</v>
      </c>
      <c r="O17" s="64">
        <v>0</v>
      </c>
      <c r="P17" s="64">
        <v>0.55000000000000004</v>
      </c>
      <c r="Q17" s="64">
        <v>9.84</v>
      </c>
      <c r="R17" s="198"/>
      <c r="S17" s="198"/>
      <c r="T17" s="198"/>
      <c r="U17" s="198"/>
    </row>
    <row r="18" spans="1:21" s="12" customFormat="1" x14ac:dyDescent="0.25">
      <c r="A18" s="214" t="s">
        <v>254</v>
      </c>
      <c r="B18" s="64">
        <v>7.99</v>
      </c>
      <c r="C18" s="64">
        <v>2.97</v>
      </c>
      <c r="D18" s="64">
        <v>11.73</v>
      </c>
      <c r="E18" s="64">
        <v>3.59</v>
      </c>
      <c r="F18" s="64">
        <v>3.8</v>
      </c>
      <c r="G18" s="64">
        <v>59.8</v>
      </c>
      <c r="H18" s="64">
        <v>19.11</v>
      </c>
      <c r="I18" s="64">
        <v>4.28</v>
      </c>
      <c r="J18" s="64">
        <v>0.03</v>
      </c>
      <c r="K18" s="64">
        <v>82.48</v>
      </c>
      <c r="L18" s="64">
        <v>27.48</v>
      </c>
      <c r="M18" s="64">
        <v>101.51</v>
      </c>
      <c r="N18" s="64">
        <v>41.8</v>
      </c>
      <c r="O18" s="64">
        <v>0</v>
      </c>
      <c r="P18" s="64">
        <v>0.53</v>
      </c>
      <c r="Q18" s="64">
        <v>9.85</v>
      </c>
      <c r="R18" s="198"/>
      <c r="S18" s="198"/>
      <c r="T18" s="198"/>
      <c r="U18" s="198"/>
    </row>
    <row r="19" spans="1:21" s="12" customFormat="1" x14ac:dyDescent="0.25">
      <c r="A19" s="214" t="s">
        <v>255</v>
      </c>
      <c r="B19" s="64">
        <v>8.01</v>
      </c>
      <c r="C19" s="64">
        <v>2.97</v>
      </c>
      <c r="D19" s="64">
        <v>11.74</v>
      </c>
      <c r="E19" s="64">
        <v>3.63</v>
      </c>
      <c r="F19" s="64">
        <v>3.35</v>
      </c>
      <c r="G19" s="64">
        <v>55.55</v>
      </c>
      <c r="H19" s="64">
        <v>15.85</v>
      </c>
      <c r="I19" s="64">
        <v>4.3499999999999996</v>
      </c>
      <c r="J19" s="64">
        <v>0.43</v>
      </c>
      <c r="K19" s="64">
        <v>119.2</v>
      </c>
      <c r="L19" s="64">
        <v>27.37</v>
      </c>
      <c r="M19" s="64">
        <v>101.52</v>
      </c>
      <c r="N19" s="64">
        <v>41.7</v>
      </c>
      <c r="O19" s="64">
        <v>0</v>
      </c>
      <c r="P19" s="64">
        <v>0.51</v>
      </c>
      <c r="Q19" s="64">
        <v>9.84</v>
      </c>
      <c r="R19" s="198"/>
      <c r="S19" s="198"/>
      <c r="T19" s="198"/>
      <c r="U19" s="198"/>
    </row>
    <row r="20" spans="1:21" s="12" customFormat="1" x14ac:dyDescent="0.25">
      <c r="A20" s="214" t="s">
        <v>256</v>
      </c>
      <c r="B20" s="64">
        <v>8.0399999999999991</v>
      </c>
      <c r="C20" s="64">
        <v>3.01</v>
      </c>
      <c r="D20" s="64">
        <v>11.79</v>
      </c>
      <c r="E20" s="64">
        <v>3.76</v>
      </c>
      <c r="F20" s="64">
        <v>3.51</v>
      </c>
      <c r="G20" s="64">
        <v>50.48</v>
      </c>
      <c r="H20" s="64">
        <v>13.78</v>
      </c>
      <c r="I20" s="64">
        <v>4.45</v>
      </c>
      <c r="J20" s="64">
        <v>0.52</v>
      </c>
      <c r="K20" s="64">
        <v>117.89</v>
      </c>
      <c r="L20" s="64">
        <v>27.43</v>
      </c>
      <c r="M20" s="64">
        <v>101.5</v>
      </c>
      <c r="N20" s="64">
        <v>41.8</v>
      </c>
      <c r="O20" s="64">
        <v>0</v>
      </c>
      <c r="P20" s="64">
        <v>0.5</v>
      </c>
      <c r="Q20" s="64">
        <v>9.84</v>
      </c>
      <c r="R20" s="198"/>
      <c r="S20" s="198"/>
      <c r="T20" s="198"/>
      <c r="U20" s="198"/>
    </row>
    <row r="21" spans="1:21" s="12" customFormat="1" x14ac:dyDescent="0.25">
      <c r="A21" s="214" t="s">
        <v>257</v>
      </c>
      <c r="B21" s="64">
        <v>8</v>
      </c>
      <c r="C21" s="64">
        <v>2.97</v>
      </c>
      <c r="D21" s="64">
        <v>11.74</v>
      </c>
      <c r="E21" s="64">
        <v>3.78</v>
      </c>
      <c r="F21" s="64">
        <v>3.13</v>
      </c>
      <c r="G21" s="64">
        <v>50.48</v>
      </c>
      <c r="H21" s="64">
        <v>13.78</v>
      </c>
      <c r="I21" s="64">
        <v>4.63</v>
      </c>
      <c r="J21" s="64">
        <v>0.24</v>
      </c>
      <c r="K21" s="64">
        <v>107.14</v>
      </c>
      <c r="L21" s="64">
        <v>27.34</v>
      </c>
      <c r="M21" s="64">
        <v>101.5</v>
      </c>
      <c r="N21" s="64">
        <v>41.8</v>
      </c>
      <c r="O21" s="64">
        <v>0</v>
      </c>
      <c r="P21" s="64">
        <v>0.48</v>
      </c>
      <c r="Q21" s="64">
        <v>9.8000000000000007</v>
      </c>
      <c r="R21" s="198"/>
      <c r="S21" s="198"/>
      <c r="T21" s="198"/>
      <c r="U21" s="198"/>
    </row>
    <row r="22" spans="1:21" s="12" customFormat="1" x14ac:dyDescent="0.25">
      <c r="A22" s="214" t="s">
        <v>258</v>
      </c>
      <c r="B22" s="64">
        <v>8</v>
      </c>
      <c r="C22" s="64">
        <v>2.93</v>
      </c>
      <c r="D22" s="64">
        <v>11.72</v>
      </c>
      <c r="E22" s="64">
        <v>3.84</v>
      </c>
      <c r="F22" s="64">
        <v>3.1</v>
      </c>
      <c r="G22" s="64">
        <v>50.48</v>
      </c>
      <c r="H22" s="64">
        <v>13.78</v>
      </c>
      <c r="I22" s="64">
        <v>4.87</v>
      </c>
      <c r="J22" s="64">
        <v>0.25</v>
      </c>
      <c r="K22" s="64">
        <v>125.43</v>
      </c>
      <c r="L22" s="64">
        <v>27.24</v>
      </c>
      <c r="M22" s="64">
        <v>101.48</v>
      </c>
      <c r="N22" s="64">
        <v>41.9</v>
      </c>
      <c r="O22" s="64">
        <v>0</v>
      </c>
      <c r="P22" s="64">
        <v>0.46</v>
      </c>
      <c r="Q22" s="64">
        <v>9.77</v>
      </c>
      <c r="R22" s="198"/>
      <c r="S22" s="198"/>
      <c r="T22" s="198"/>
      <c r="U22" s="198"/>
    </row>
    <row r="23" spans="1:21" s="12" customFormat="1" x14ac:dyDescent="0.25">
      <c r="A23" s="214" t="s">
        <v>259</v>
      </c>
      <c r="B23" s="64">
        <v>7.97</v>
      </c>
      <c r="C23" s="64">
        <v>2.92</v>
      </c>
      <c r="D23" s="64">
        <v>11.69</v>
      </c>
      <c r="E23" s="64">
        <v>3.91</v>
      </c>
      <c r="F23" s="64">
        <v>4.17</v>
      </c>
      <c r="G23" s="64">
        <v>43.72</v>
      </c>
      <c r="H23" s="64">
        <v>11.76</v>
      </c>
      <c r="I23" s="64">
        <v>4.9800000000000004</v>
      </c>
      <c r="J23" s="64">
        <v>0.22</v>
      </c>
      <c r="K23" s="64">
        <v>331.74</v>
      </c>
      <c r="L23" s="64">
        <v>27.1</v>
      </c>
      <c r="M23" s="64">
        <v>101.5</v>
      </c>
      <c r="N23" s="64">
        <v>41.9</v>
      </c>
      <c r="O23" s="64">
        <v>0</v>
      </c>
      <c r="P23" s="64">
        <v>0.46</v>
      </c>
      <c r="Q23" s="64">
        <v>9.77</v>
      </c>
      <c r="R23" s="198"/>
      <c r="S23" s="198"/>
      <c r="T23" s="198"/>
      <c r="U23" s="198"/>
    </row>
    <row r="24" spans="1:21" s="12" customFormat="1" x14ac:dyDescent="0.25">
      <c r="A24" s="214" t="s">
        <v>260</v>
      </c>
      <c r="B24" s="64">
        <v>7.93</v>
      </c>
      <c r="C24" s="64">
        <v>2.93</v>
      </c>
      <c r="D24" s="64">
        <v>11.67</v>
      </c>
      <c r="E24" s="64">
        <v>4.1399999999999997</v>
      </c>
      <c r="F24" s="64">
        <v>4.0599999999999996</v>
      </c>
      <c r="G24" s="64">
        <v>35.65</v>
      </c>
      <c r="H24" s="64">
        <v>8.84</v>
      </c>
      <c r="I24" s="64">
        <v>5.09</v>
      </c>
      <c r="J24" s="64">
        <v>0.43</v>
      </c>
      <c r="K24" s="64">
        <v>111.4</v>
      </c>
      <c r="L24" s="64">
        <v>26.95</v>
      </c>
      <c r="M24" s="64">
        <v>101.52</v>
      </c>
      <c r="N24" s="64">
        <v>41.6</v>
      </c>
      <c r="O24" s="64">
        <v>0</v>
      </c>
      <c r="P24" s="64">
        <v>0.45</v>
      </c>
      <c r="Q24" s="64">
        <v>9.7200000000000006</v>
      </c>
      <c r="R24" s="198"/>
      <c r="S24" s="198"/>
      <c r="T24" s="198"/>
      <c r="U24" s="198"/>
    </row>
    <row r="25" spans="1:21" s="12" customFormat="1" x14ac:dyDescent="0.25">
      <c r="A25" s="214" t="s">
        <v>261</v>
      </c>
      <c r="B25" s="64">
        <v>7.93</v>
      </c>
      <c r="C25" s="64">
        <v>2.92</v>
      </c>
      <c r="D25" s="64">
        <v>11.66</v>
      </c>
      <c r="E25" s="64">
        <v>4.37</v>
      </c>
      <c r="F25" s="64">
        <v>2.27</v>
      </c>
      <c r="G25" s="64">
        <v>35.65</v>
      </c>
      <c r="H25" s="64">
        <v>8.84</v>
      </c>
      <c r="I25" s="64">
        <v>4.7</v>
      </c>
      <c r="J25" s="64">
        <v>0.68</v>
      </c>
      <c r="K25" s="64">
        <v>107.34</v>
      </c>
      <c r="L25" s="64">
        <v>26.87</v>
      </c>
      <c r="M25" s="64">
        <v>101.53</v>
      </c>
      <c r="N25" s="64">
        <v>41.8</v>
      </c>
      <c r="O25" s="64">
        <v>0</v>
      </c>
      <c r="P25" s="64">
        <v>0.42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4" t="s">
        <v>262</v>
      </c>
      <c r="B26" s="64">
        <v>7.94</v>
      </c>
      <c r="C26" s="64">
        <v>2.91</v>
      </c>
      <c r="D26" s="64">
        <v>11.66</v>
      </c>
      <c r="E26" s="64">
        <v>4.17</v>
      </c>
      <c r="F26" s="64">
        <v>4.3899999999999997</v>
      </c>
      <c r="G26" s="64">
        <v>35.65</v>
      </c>
      <c r="H26" s="64">
        <v>8.84</v>
      </c>
      <c r="I26" s="64">
        <v>4.7300000000000004</v>
      </c>
      <c r="J26" s="64">
        <v>0.62</v>
      </c>
      <c r="K26" s="64">
        <v>114.21</v>
      </c>
      <c r="L26" s="64">
        <v>26.74</v>
      </c>
      <c r="M26" s="64">
        <v>101.53</v>
      </c>
      <c r="N26" s="64">
        <v>42.2</v>
      </c>
      <c r="O26" s="64">
        <v>0</v>
      </c>
      <c r="P26" s="64">
        <v>0.41</v>
      </c>
      <c r="Q26" s="64">
        <v>9.68</v>
      </c>
      <c r="R26" s="198"/>
      <c r="S26" s="198"/>
      <c r="T26" s="198"/>
      <c r="U26" s="198"/>
    </row>
    <row r="27" spans="1:21" s="12" customFormat="1" x14ac:dyDescent="0.25">
      <c r="A27" s="214" t="s">
        <v>263</v>
      </c>
      <c r="B27" s="64">
        <v>7.96</v>
      </c>
      <c r="C27" s="64">
        <v>2.95</v>
      </c>
      <c r="D27" s="64">
        <v>11.69</v>
      </c>
      <c r="E27" s="64">
        <v>3.83</v>
      </c>
      <c r="F27" s="64">
        <v>3.1</v>
      </c>
      <c r="G27" s="64">
        <v>30.89</v>
      </c>
      <c r="H27" s="64">
        <v>9.1300000000000008</v>
      </c>
      <c r="I27" s="64">
        <v>4.7699999999999996</v>
      </c>
      <c r="J27" s="64">
        <v>0.67</v>
      </c>
      <c r="K27" s="64">
        <v>115.59</v>
      </c>
      <c r="L27" s="64">
        <v>26.66</v>
      </c>
      <c r="M27" s="64">
        <v>101.52</v>
      </c>
      <c r="N27" s="64">
        <v>42</v>
      </c>
      <c r="O27" s="64">
        <v>0</v>
      </c>
      <c r="P27" s="64">
        <v>0.39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14" t="s">
        <v>264</v>
      </c>
      <c r="B28" s="64">
        <v>7.96</v>
      </c>
      <c r="C28" s="64">
        <v>2.95</v>
      </c>
      <c r="D28" s="64">
        <v>11.7</v>
      </c>
      <c r="E28" s="64">
        <v>3.66</v>
      </c>
      <c r="F28" s="64">
        <v>4.5</v>
      </c>
      <c r="G28" s="64">
        <v>25.2</v>
      </c>
      <c r="H28" s="64">
        <v>9.31</v>
      </c>
      <c r="I28" s="64">
        <v>4.84</v>
      </c>
      <c r="J28" s="64">
        <v>0.13</v>
      </c>
      <c r="K28" s="64">
        <v>74.31</v>
      </c>
      <c r="L28" s="64">
        <v>26.63</v>
      </c>
      <c r="M28" s="64">
        <v>101.53</v>
      </c>
      <c r="N28" s="64">
        <v>41.9</v>
      </c>
      <c r="O28" s="64">
        <v>0</v>
      </c>
      <c r="P28" s="64">
        <v>0.39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4" t="s">
        <v>265</v>
      </c>
      <c r="B29" s="64">
        <v>8.01</v>
      </c>
      <c r="C29" s="64">
        <v>3.07</v>
      </c>
      <c r="D29" s="64">
        <v>11.8</v>
      </c>
      <c r="E29" s="64">
        <v>4</v>
      </c>
      <c r="F29" s="64">
        <v>2.8</v>
      </c>
      <c r="G29" s="64">
        <v>25.2</v>
      </c>
      <c r="H29" s="64">
        <v>9.31</v>
      </c>
      <c r="I29" s="64">
        <v>4.79</v>
      </c>
      <c r="J29" s="64">
        <v>0.18</v>
      </c>
      <c r="K29" s="64">
        <v>80.540000000000006</v>
      </c>
      <c r="L29" s="64">
        <v>26.6</v>
      </c>
      <c r="M29" s="64">
        <v>101.53</v>
      </c>
      <c r="N29" s="64">
        <v>41.9</v>
      </c>
      <c r="O29" s="64">
        <v>0</v>
      </c>
      <c r="P29" s="64">
        <v>0.37</v>
      </c>
      <c r="Q29" s="64">
        <v>9.67</v>
      </c>
      <c r="R29" s="198"/>
      <c r="S29" s="198"/>
      <c r="T29" s="198"/>
      <c r="U29" s="198"/>
    </row>
    <row r="30" spans="1:21" s="12" customFormat="1" x14ac:dyDescent="0.25">
      <c r="A30" s="214" t="s">
        <v>266</v>
      </c>
      <c r="B30" s="64">
        <v>7.98</v>
      </c>
      <c r="C30" s="64">
        <v>3.04</v>
      </c>
      <c r="D30" s="64">
        <v>11.76</v>
      </c>
      <c r="E30" s="64">
        <v>3.83</v>
      </c>
      <c r="F30" s="64">
        <v>4.45</v>
      </c>
      <c r="G30" s="64">
        <v>25.2</v>
      </c>
      <c r="H30" s="64">
        <v>9.31</v>
      </c>
      <c r="I30" s="64">
        <v>4.74</v>
      </c>
      <c r="J30" s="64">
        <v>0.13</v>
      </c>
      <c r="K30" s="64">
        <v>65.39</v>
      </c>
      <c r="L30" s="64">
        <v>26.55</v>
      </c>
      <c r="M30" s="64">
        <v>101.54</v>
      </c>
      <c r="N30" s="64">
        <v>42</v>
      </c>
      <c r="O30" s="64">
        <v>0</v>
      </c>
      <c r="P30" s="64">
        <v>0.36</v>
      </c>
      <c r="Q30" s="64">
        <v>9.69</v>
      </c>
      <c r="R30" s="198"/>
      <c r="S30" s="198"/>
      <c r="T30" s="198"/>
      <c r="U30" s="198"/>
    </row>
    <row r="31" spans="1:21" s="12" customFormat="1" x14ac:dyDescent="0.25">
      <c r="A31" s="214" t="s">
        <v>267</v>
      </c>
      <c r="B31" s="64">
        <v>7.96</v>
      </c>
      <c r="C31" s="64">
        <v>2.94</v>
      </c>
      <c r="D31" s="64">
        <v>11.69</v>
      </c>
      <c r="E31" s="64">
        <v>4.01</v>
      </c>
      <c r="F31" s="64">
        <v>2.56</v>
      </c>
      <c r="G31" s="64">
        <v>21.72</v>
      </c>
      <c r="H31" s="64">
        <v>7.76</v>
      </c>
      <c r="I31" s="64">
        <v>4.82</v>
      </c>
      <c r="J31" s="64">
        <v>0.43</v>
      </c>
      <c r="K31" s="64">
        <v>111.71</v>
      </c>
      <c r="L31" s="64">
        <v>26.59</v>
      </c>
      <c r="M31" s="64">
        <v>101.55</v>
      </c>
      <c r="N31" s="64">
        <v>42.7</v>
      </c>
      <c r="O31" s="64">
        <v>0</v>
      </c>
      <c r="P31" s="64">
        <v>0.35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4" t="s">
        <v>268</v>
      </c>
      <c r="B32" s="64">
        <v>7.97</v>
      </c>
      <c r="C32" s="64">
        <v>2.97</v>
      </c>
      <c r="D32" s="64">
        <v>11.72</v>
      </c>
      <c r="E32" s="64">
        <v>4.2699999999999996</v>
      </c>
      <c r="F32" s="64">
        <v>2.82</v>
      </c>
      <c r="G32" s="64">
        <v>17.57</v>
      </c>
      <c r="H32" s="64">
        <v>6.77</v>
      </c>
      <c r="I32" s="64">
        <v>4.5599999999999996</v>
      </c>
      <c r="J32" s="64">
        <v>0.09</v>
      </c>
      <c r="K32" s="64">
        <v>77.75</v>
      </c>
      <c r="L32" s="64">
        <v>26.65</v>
      </c>
      <c r="M32" s="64">
        <v>101.51</v>
      </c>
      <c r="N32" s="64">
        <v>44.9</v>
      </c>
      <c r="O32" s="64">
        <v>0</v>
      </c>
      <c r="P32" s="64">
        <v>0.33</v>
      </c>
      <c r="Q32" s="64">
        <v>9.68</v>
      </c>
      <c r="R32" s="198"/>
      <c r="S32" s="198"/>
      <c r="T32" s="198"/>
      <c r="U32" s="198"/>
    </row>
    <row r="33" spans="1:21" s="12" customFormat="1" x14ac:dyDescent="0.25">
      <c r="A33" s="214" t="s">
        <v>269</v>
      </c>
      <c r="B33" s="64">
        <v>7.99</v>
      </c>
      <c r="C33" s="64">
        <v>3</v>
      </c>
      <c r="D33" s="64">
        <v>11.75</v>
      </c>
      <c r="E33" s="64">
        <v>4.13</v>
      </c>
      <c r="F33" s="64">
        <v>3.21</v>
      </c>
      <c r="G33" s="64">
        <v>17.57</v>
      </c>
      <c r="H33" s="64">
        <v>6.77</v>
      </c>
      <c r="I33" s="64">
        <v>4.71</v>
      </c>
      <c r="J33" s="64">
        <v>0.21</v>
      </c>
      <c r="K33" s="64">
        <v>330.68</v>
      </c>
      <c r="L33" s="64">
        <v>26.7</v>
      </c>
      <c r="M33" s="64">
        <v>101.5</v>
      </c>
      <c r="N33" s="64">
        <v>46.7</v>
      </c>
      <c r="O33" s="64">
        <v>0</v>
      </c>
      <c r="P33" s="64">
        <v>0.32</v>
      </c>
      <c r="Q33" s="64">
        <v>9.6999999999999993</v>
      </c>
      <c r="R33" s="198"/>
      <c r="S33" s="198"/>
      <c r="T33" s="198"/>
      <c r="U33" s="198"/>
    </row>
    <row r="34" spans="1:21" s="12" customFormat="1" x14ac:dyDescent="0.25">
      <c r="A34" s="214" t="s">
        <v>270</v>
      </c>
      <c r="B34" s="64">
        <v>8</v>
      </c>
      <c r="C34" s="64">
        <v>2.94</v>
      </c>
      <c r="D34" s="64">
        <v>11.73</v>
      </c>
      <c r="E34" s="64">
        <v>3.59</v>
      </c>
      <c r="F34" s="64">
        <v>2.72</v>
      </c>
      <c r="G34" s="64">
        <v>17.57</v>
      </c>
      <c r="H34" s="64">
        <v>6.77</v>
      </c>
      <c r="I34" s="64">
        <v>4.74</v>
      </c>
      <c r="J34" s="64">
        <v>0.14000000000000001</v>
      </c>
      <c r="K34" s="64">
        <v>351.35</v>
      </c>
      <c r="L34" s="64">
        <v>26.68</v>
      </c>
      <c r="M34" s="64">
        <v>101.5</v>
      </c>
      <c r="N34" s="64">
        <v>63.5</v>
      </c>
      <c r="O34" s="64">
        <v>0</v>
      </c>
      <c r="P34" s="64">
        <v>0.32</v>
      </c>
      <c r="Q34" s="64">
        <v>9.7100000000000009</v>
      </c>
      <c r="R34" s="198"/>
      <c r="S34" s="198"/>
      <c r="T34" s="198"/>
      <c r="U34" s="198"/>
    </row>
    <row r="35" spans="1:21" s="12" customFormat="1" x14ac:dyDescent="0.25">
      <c r="A35" s="214" t="s">
        <v>271</v>
      </c>
      <c r="B35" s="64">
        <v>8</v>
      </c>
      <c r="C35" s="64">
        <v>2.97</v>
      </c>
      <c r="D35" s="64">
        <v>11.74</v>
      </c>
      <c r="E35" s="64">
        <v>3.72</v>
      </c>
      <c r="F35" s="64">
        <v>3.3</v>
      </c>
      <c r="G35" s="64">
        <v>18.84</v>
      </c>
      <c r="H35" s="64">
        <v>5.6</v>
      </c>
      <c r="I35" s="64">
        <v>4.7</v>
      </c>
      <c r="J35" s="64">
        <v>0.24</v>
      </c>
      <c r="K35" s="64">
        <v>104.71</v>
      </c>
      <c r="L35" s="64">
        <v>26.88</v>
      </c>
      <c r="M35" s="64">
        <v>101.49</v>
      </c>
      <c r="N35" s="64">
        <v>102.6</v>
      </c>
      <c r="O35" s="64">
        <v>0</v>
      </c>
      <c r="P35" s="64">
        <v>0.32</v>
      </c>
      <c r="Q35" s="64">
        <v>9.7100000000000009</v>
      </c>
      <c r="R35" s="198"/>
      <c r="S35" s="198"/>
      <c r="T35" s="198"/>
      <c r="U35" s="198"/>
    </row>
    <row r="36" spans="1:21" s="12" customFormat="1" x14ac:dyDescent="0.25">
      <c r="A36" s="214" t="s">
        <v>272</v>
      </c>
      <c r="B36" s="64">
        <v>8</v>
      </c>
      <c r="C36" s="64">
        <v>2.96</v>
      </c>
      <c r="D36" s="64">
        <v>11.74</v>
      </c>
      <c r="E36" s="64">
        <v>4.09</v>
      </c>
      <c r="F36" s="64">
        <v>3.39</v>
      </c>
      <c r="G36" s="64">
        <v>20.350000000000001</v>
      </c>
      <c r="H36" s="64">
        <v>4.8600000000000003</v>
      </c>
      <c r="I36" s="64">
        <v>4.6900000000000004</v>
      </c>
      <c r="J36" s="64">
        <v>0.1</v>
      </c>
      <c r="K36" s="64">
        <v>344.21</v>
      </c>
      <c r="L36" s="64">
        <v>27.08</v>
      </c>
      <c r="M36" s="64">
        <v>101.36</v>
      </c>
      <c r="N36" s="64">
        <v>108.7</v>
      </c>
      <c r="O36" s="64">
        <v>0</v>
      </c>
      <c r="P36" s="64">
        <v>0.32</v>
      </c>
      <c r="Q36" s="64">
        <v>9.73</v>
      </c>
      <c r="R36" s="198"/>
      <c r="S36" s="198"/>
      <c r="T36" s="198"/>
      <c r="U36" s="198"/>
    </row>
    <row r="37" spans="1:21" s="12" customFormat="1" x14ac:dyDescent="0.25">
      <c r="A37" s="214" t="s">
        <v>273</v>
      </c>
      <c r="B37" s="64">
        <v>7.99</v>
      </c>
      <c r="C37" s="64">
        <v>2.94</v>
      </c>
      <c r="D37" s="64">
        <v>11.72</v>
      </c>
      <c r="E37" s="64">
        <v>4.0999999999999996</v>
      </c>
      <c r="F37" s="64">
        <v>3.2</v>
      </c>
      <c r="G37" s="64">
        <v>20.350000000000001</v>
      </c>
      <c r="H37" s="64">
        <v>4.8600000000000003</v>
      </c>
      <c r="I37" s="64">
        <v>4.7</v>
      </c>
      <c r="J37" s="64">
        <v>0.15</v>
      </c>
      <c r="K37" s="64">
        <v>96.74</v>
      </c>
      <c r="L37" s="64">
        <v>27.14</v>
      </c>
      <c r="M37" s="64">
        <v>101.28</v>
      </c>
      <c r="N37" s="64">
        <v>119.7</v>
      </c>
      <c r="O37" s="64">
        <v>0</v>
      </c>
      <c r="P37" s="64">
        <v>0.31</v>
      </c>
      <c r="Q37" s="64">
        <v>9.73</v>
      </c>
      <c r="R37" s="198"/>
      <c r="S37" s="198"/>
      <c r="T37" s="198"/>
      <c r="U37" s="198"/>
    </row>
    <row r="38" spans="1:21" s="12" customFormat="1" x14ac:dyDescent="0.25">
      <c r="A38" s="214" t="s">
        <v>274</v>
      </c>
      <c r="B38" s="64">
        <v>8</v>
      </c>
      <c r="C38" s="64">
        <v>2.99</v>
      </c>
      <c r="D38" s="64">
        <v>11.76</v>
      </c>
      <c r="E38" s="64">
        <v>3.95</v>
      </c>
      <c r="F38" s="64">
        <v>3.09</v>
      </c>
      <c r="G38" s="64">
        <v>20.350000000000001</v>
      </c>
      <c r="H38" s="64">
        <v>4.8600000000000003</v>
      </c>
      <c r="I38" s="64">
        <v>4.84</v>
      </c>
      <c r="J38" s="64">
        <v>0.06</v>
      </c>
      <c r="K38" s="64">
        <v>10.8</v>
      </c>
      <c r="L38" s="64">
        <v>27.29</v>
      </c>
      <c r="M38" s="64">
        <v>100.73</v>
      </c>
      <c r="N38" s="64">
        <v>146.9</v>
      </c>
      <c r="O38" s="64">
        <v>0</v>
      </c>
      <c r="P38" s="64">
        <v>0.33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4" t="s">
        <v>275</v>
      </c>
      <c r="B39" s="64">
        <v>8.02</v>
      </c>
      <c r="C39" s="64">
        <v>3.05</v>
      </c>
      <c r="D39" s="64">
        <v>11.79</v>
      </c>
      <c r="E39" s="64">
        <v>4.01</v>
      </c>
      <c r="F39" s="64">
        <v>3.71</v>
      </c>
      <c r="G39" s="64">
        <v>21.09</v>
      </c>
      <c r="H39" s="64">
        <v>4.82</v>
      </c>
      <c r="I39" s="64">
        <v>4.79</v>
      </c>
      <c r="J39" s="64">
        <v>0.78</v>
      </c>
      <c r="K39" s="64">
        <v>116.83</v>
      </c>
      <c r="L39" s="64">
        <v>27.29</v>
      </c>
      <c r="M39" s="64">
        <v>100.51</v>
      </c>
      <c r="N39" s="64">
        <v>110.9</v>
      </c>
      <c r="O39" s="64">
        <v>0</v>
      </c>
      <c r="P39" s="64">
        <v>0.32</v>
      </c>
      <c r="Q39" s="64">
        <v>9.77</v>
      </c>
      <c r="R39" s="198"/>
      <c r="S39" s="198"/>
      <c r="T39" s="198"/>
      <c r="U39" s="198"/>
    </row>
    <row r="40" spans="1:21" s="12" customFormat="1" x14ac:dyDescent="0.25">
      <c r="A40" s="214" t="s">
        <v>276</v>
      </c>
      <c r="B40" s="64">
        <v>8</v>
      </c>
      <c r="C40" s="64">
        <v>2.98</v>
      </c>
      <c r="D40" s="64">
        <v>11.75</v>
      </c>
      <c r="E40" s="64">
        <v>5.19</v>
      </c>
      <c r="F40" s="64">
        <v>4.1100000000000003</v>
      </c>
      <c r="G40" s="64">
        <v>21.97</v>
      </c>
      <c r="H40" s="64">
        <v>4.76</v>
      </c>
      <c r="I40" s="64">
        <v>4.7699999999999996</v>
      </c>
      <c r="J40" s="64">
        <v>1.34</v>
      </c>
      <c r="K40" s="64">
        <v>109.31</v>
      </c>
      <c r="L40" s="64">
        <v>27.33</v>
      </c>
      <c r="M40" s="64">
        <v>99.05</v>
      </c>
      <c r="N40" s="64">
        <v>136.4</v>
      </c>
      <c r="O40" s="64">
        <v>0</v>
      </c>
      <c r="P40" s="64">
        <v>0.33</v>
      </c>
      <c r="Q40" s="64">
        <v>9.77</v>
      </c>
      <c r="R40" s="198"/>
      <c r="S40" s="198"/>
      <c r="T40" s="198"/>
      <c r="U40" s="198"/>
    </row>
    <row r="41" spans="1:21" s="12" customFormat="1" x14ac:dyDescent="0.25">
      <c r="A41" s="214" t="s">
        <v>277</v>
      </c>
      <c r="B41" s="64">
        <v>7.96</v>
      </c>
      <c r="C41" s="64">
        <v>2.97</v>
      </c>
      <c r="D41" s="64">
        <v>11.71</v>
      </c>
      <c r="E41" s="64">
        <v>5.22</v>
      </c>
      <c r="F41" s="64">
        <v>3.04</v>
      </c>
      <c r="G41" s="64">
        <v>21.97</v>
      </c>
      <c r="H41" s="64">
        <v>4.76</v>
      </c>
      <c r="I41" s="64">
        <v>4.8099999999999996</v>
      </c>
      <c r="J41" s="64">
        <v>0.82</v>
      </c>
      <c r="K41" s="64">
        <v>111.57</v>
      </c>
      <c r="L41" s="64">
        <v>27.63</v>
      </c>
      <c r="M41" s="64">
        <v>97.59</v>
      </c>
      <c r="N41" s="64">
        <v>188.9</v>
      </c>
      <c r="O41" s="64">
        <v>0</v>
      </c>
      <c r="P41" s="64">
        <v>0.34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14" t="s">
        <v>278</v>
      </c>
      <c r="B42" s="64">
        <v>7.97</v>
      </c>
      <c r="C42" s="64">
        <v>2.98</v>
      </c>
      <c r="D42" s="64">
        <v>11.72</v>
      </c>
      <c r="E42" s="64">
        <v>4.92</v>
      </c>
      <c r="F42" s="64">
        <v>3.8</v>
      </c>
      <c r="G42" s="64">
        <v>21.97</v>
      </c>
      <c r="H42" s="64">
        <v>4.76</v>
      </c>
      <c r="I42" s="64">
        <v>5.13</v>
      </c>
      <c r="J42" s="64">
        <v>2.0499999999999998</v>
      </c>
      <c r="K42" s="64">
        <v>115.31</v>
      </c>
      <c r="L42" s="64">
        <v>27.91</v>
      </c>
      <c r="M42" s="64">
        <v>94.85</v>
      </c>
      <c r="N42" s="64">
        <v>193.9</v>
      </c>
      <c r="O42" s="64">
        <v>0</v>
      </c>
      <c r="P42" s="64">
        <v>0.32</v>
      </c>
      <c r="Q42" s="64">
        <v>9.69</v>
      </c>
      <c r="R42" s="198"/>
      <c r="S42" s="198"/>
      <c r="T42" s="198"/>
      <c r="U42" s="198"/>
    </row>
    <row r="43" spans="1:21" s="12" customFormat="1" x14ac:dyDescent="0.25">
      <c r="A43" s="214" t="s">
        <v>279</v>
      </c>
      <c r="B43" s="64">
        <v>7.98</v>
      </c>
      <c r="C43" s="64">
        <v>3.03</v>
      </c>
      <c r="D43" s="64">
        <v>11.76</v>
      </c>
      <c r="E43" s="64">
        <v>5.05</v>
      </c>
      <c r="F43" s="64">
        <v>4.05</v>
      </c>
      <c r="G43" s="64">
        <v>23.03</v>
      </c>
      <c r="H43" s="64">
        <v>4.71</v>
      </c>
      <c r="I43" s="64">
        <v>5.38</v>
      </c>
      <c r="J43" s="64">
        <v>1.58</v>
      </c>
      <c r="K43" s="64">
        <v>115.44</v>
      </c>
      <c r="L43" s="64">
        <v>28.05</v>
      </c>
      <c r="M43" s="64">
        <v>94.33</v>
      </c>
      <c r="N43" s="64">
        <v>216.1</v>
      </c>
      <c r="O43" s="64">
        <v>0</v>
      </c>
      <c r="P43" s="64">
        <v>0.33</v>
      </c>
      <c r="Q43" s="64">
        <v>9.7200000000000006</v>
      </c>
      <c r="R43" s="198"/>
      <c r="S43" s="198"/>
      <c r="T43" s="198"/>
      <c r="U43" s="198"/>
    </row>
    <row r="44" spans="1:21" s="12" customFormat="1" x14ac:dyDescent="0.25">
      <c r="A44" s="214" t="s">
        <v>280</v>
      </c>
      <c r="B44" s="64">
        <v>7.94</v>
      </c>
      <c r="C44" s="64">
        <v>2.94</v>
      </c>
      <c r="D44" s="64">
        <v>11.67</v>
      </c>
      <c r="E44" s="64">
        <v>5.29</v>
      </c>
      <c r="F44" s="64">
        <v>2.46</v>
      </c>
      <c r="G44" s="64">
        <v>24.29</v>
      </c>
      <c r="H44" s="64">
        <v>4.68</v>
      </c>
      <c r="I44" s="64">
        <v>5.55</v>
      </c>
      <c r="J44" s="64">
        <v>1.52</v>
      </c>
      <c r="K44" s="64">
        <v>114.65</v>
      </c>
      <c r="L44" s="64">
        <v>28.09</v>
      </c>
      <c r="M44" s="64">
        <v>93.41</v>
      </c>
      <c r="N44" s="64">
        <v>197.9</v>
      </c>
      <c r="O44" s="64">
        <v>0</v>
      </c>
      <c r="P44" s="64">
        <v>0.31</v>
      </c>
      <c r="Q44" s="64">
        <v>9.68</v>
      </c>
      <c r="R44" s="198"/>
      <c r="S44" s="198"/>
      <c r="T44" s="198"/>
      <c r="U44" s="198"/>
    </row>
    <row r="45" spans="1:21" s="12" customFormat="1" x14ac:dyDescent="0.25">
      <c r="A45" s="214" t="s">
        <v>281</v>
      </c>
      <c r="B45" s="64">
        <v>7.95</v>
      </c>
      <c r="C45" s="64">
        <v>3.01</v>
      </c>
      <c r="D45" s="64">
        <v>11.72</v>
      </c>
      <c r="E45" s="64">
        <v>4.67</v>
      </c>
      <c r="F45" s="64">
        <v>4.13</v>
      </c>
      <c r="G45" s="64">
        <v>24.29</v>
      </c>
      <c r="H45" s="64">
        <v>4.68</v>
      </c>
      <c r="I45" s="64">
        <v>5.79</v>
      </c>
      <c r="J45" s="64">
        <v>1.9</v>
      </c>
      <c r="K45" s="64">
        <v>117.33</v>
      </c>
      <c r="L45" s="64">
        <v>28.23</v>
      </c>
      <c r="M45" s="64">
        <v>92.65</v>
      </c>
      <c r="N45" s="64">
        <v>310.10000000000002</v>
      </c>
      <c r="O45" s="64">
        <v>0</v>
      </c>
      <c r="P45" s="64">
        <v>0.31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4" t="s">
        <v>282</v>
      </c>
      <c r="B46" s="64">
        <v>7.99</v>
      </c>
      <c r="C46" s="64">
        <v>2.98</v>
      </c>
      <c r="D46" s="64">
        <v>11.74</v>
      </c>
      <c r="E46" s="64">
        <v>4.82</v>
      </c>
      <c r="F46" s="64">
        <v>3.92</v>
      </c>
      <c r="G46" s="64">
        <v>24.29</v>
      </c>
      <c r="H46" s="64">
        <v>4.68</v>
      </c>
      <c r="I46" s="64">
        <v>5.85</v>
      </c>
      <c r="J46" s="64">
        <v>1.66</v>
      </c>
      <c r="K46" s="64">
        <v>118.15</v>
      </c>
      <c r="L46" s="64">
        <v>28.87</v>
      </c>
      <c r="M46" s="64">
        <v>90.55</v>
      </c>
      <c r="N46" s="64">
        <v>398.4</v>
      </c>
      <c r="O46" s="64">
        <v>0</v>
      </c>
      <c r="P46" s="64">
        <v>0.31</v>
      </c>
      <c r="Q46" s="64">
        <v>9.68</v>
      </c>
      <c r="R46" s="198"/>
      <c r="S46" s="198"/>
      <c r="T46" s="198"/>
      <c r="U46" s="198"/>
    </row>
    <row r="47" spans="1:21" s="12" customFormat="1" x14ac:dyDescent="0.25">
      <c r="A47" s="214" t="s">
        <v>283</v>
      </c>
      <c r="B47" s="64">
        <v>7.96</v>
      </c>
      <c r="C47" s="64">
        <v>2.94</v>
      </c>
      <c r="D47" s="64">
        <v>11.69</v>
      </c>
      <c r="E47" s="64">
        <v>4.91</v>
      </c>
      <c r="F47" s="64">
        <v>3.45</v>
      </c>
      <c r="G47" s="64">
        <v>22.36</v>
      </c>
      <c r="H47" s="64">
        <v>4.05</v>
      </c>
      <c r="I47" s="64">
        <v>5.87</v>
      </c>
      <c r="J47" s="64">
        <v>1.87</v>
      </c>
      <c r="K47" s="64">
        <v>113.26</v>
      </c>
      <c r="L47" s="64">
        <v>29.04</v>
      </c>
      <c r="M47" s="64">
        <v>88.87</v>
      </c>
      <c r="N47" s="64">
        <v>398.4</v>
      </c>
      <c r="O47" s="64">
        <v>0</v>
      </c>
      <c r="P47" s="64">
        <v>0.3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4" t="s">
        <v>284</v>
      </c>
      <c r="B48" s="64">
        <v>7.95</v>
      </c>
      <c r="C48" s="64">
        <v>2.93</v>
      </c>
      <c r="D48" s="64">
        <v>11.68</v>
      </c>
      <c r="E48" s="64">
        <v>4.79</v>
      </c>
      <c r="F48" s="64">
        <v>3.52</v>
      </c>
      <c r="G48" s="64">
        <v>20.04</v>
      </c>
      <c r="H48" s="64">
        <v>3.64</v>
      </c>
      <c r="I48" s="64">
        <v>5.9</v>
      </c>
      <c r="J48" s="64">
        <v>1.29</v>
      </c>
      <c r="K48" s="64">
        <v>112.18</v>
      </c>
      <c r="L48" s="64">
        <v>29.4</v>
      </c>
      <c r="M48" s="64">
        <v>87.22</v>
      </c>
      <c r="N48" s="64">
        <v>399.9</v>
      </c>
      <c r="O48" s="64">
        <v>0</v>
      </c>
      <c r="P48" s="64">
        <v>0.3</v>
      </c>
      <c r="Q48" s="64">
        <v>9.68</v>
      </c>
      <c r="R48" s="198"/>
      <c r="S48" s="198"/>
      <c r="T48" s="198"/>
      <c r="U48" s="198"/>
    </row>
    <row r="49" spans="1:21" s="12" customFormat="1" x14ac:dyDescent="0.25">
      <c r="A49" s="214" t="s">
        <v>285</v>
      </c>
      <c r="B49" s="64">
        <v>7.95</v>
      </c>
      <c r="C49" s="64">
        <v>2.95</v>
      </c>
      <c r="D49" s="64">
        <v>11.69</v>
      </c>
      <c r="E49" s="64">
        <v>4.74</v>
      </c>
      <c r="F49" s="64">
        <v>3.8</v>
      </c>
      <c r="G49" s="64">
        <v>20.04</v>
      </c>
      <c r="H49" s="64">
        <v>3.64</v>
      </c>
      <c r="I49" s="64">
        <v>5.99</v>
      </c>
      <c r="J49" s="64">
        <v>2.48</v>
      </c>
      <c r="K49" s="64">
        <v>111.73</v>
      </c>
      <c r="L49" s="64">
        <v>29.61</v>
      </c>
      <c r="M49" s="64">
        <v>86.01</v>
      </c>
      <c r="N49" s="64">
        <v>569.79999999999995</v>
      </c>
      <c r="O49" s="64">
        <v>0</v>
      </c>
      <c r="P49" s="64">
        <v>0.28000000000000003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4" t="s">
        <v>286</v>
      </c>
      <c r="B50" s="64">
        <v>8</v>
      </c>
      <c r="C50" s="64">
        <v>3.01</v>
      </c>
      <c r="D50" s="64">
        <v>11.76</v>
      </c>
      <c r="E50" s="64">
        <v>4.76</v>
      </c>
      <c r="F50" s="64">
        <v>3.91</v>
      </c>
      <c r="G50" s="64">
        <v>20.04</v>
      </c>
      <c r="H50" s="64">
        <v>3.64</v>
      </c>
      <c r="I50" s="64">
        <v>5.96</v>
      </c>
      <c r="J50" s="64">
        <v>2.19</v>
      </c>
      <c r="K50" s="64">
        <v>115.05</v>
      </c>
      <c r="L50" s="64">
        <v>29.73</v>
      </c>
      <c r="M50" s="64">
        <v>85.1</v>
      </c>
      <c r="N50" s="64">
        <v>490.1</v>
      </c>
      <c r="O50" s="64">
        <v>0</v>
      </c>
      <c r="P50" s="64">
        <v>0.28000000000000003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4" t="s">
        <v>287</v>
      </c>
      <c r="B51" s="64">
        <v>7.99</v>
      </c>
      <c r="C51" s="64">
        <v>2.97</v>
      </c>
      <c r="D51" s="64">
        <v>11.73</v>
      </c>
      <c r="E51" s="64">
        <v>4.8499999999999996</v>
      </c>
      <c r="F51" s="64">
        <v>3.97</v>
      </c>
      <c r="G51" s="64">
        <v>20.98</v>
      </c>
      <c r="H51" s="64">
        <v>4.34</v>
      </c>
      <c r="I51" s="64">
        <v>6.08</v>
      </c>
      <c r="J51" s="64">
        <v>2.75</v>
      </c>
      <c r="K51" s="64">
        <v>114.05</v>
      </c>
      <c r="L51" s="64">
        <v>29.61</v>
      </c>
      <c r="M51" s="64">
        <v>84.83</v>
      </c>
      <c r="N51" s="64">
        <v>466.2</v>
      </c>
      <c r="O51" s="64">
        <v>0</v>
      </c>
      <c r="P51" s="64">
        <v>0.27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4" t="s">
        <v>288</v>
      </c>
      <c r="B52" s="64">
        <v>7.97</v>
      </c>
      <c r="C52" s="64">
        <v>2.97</v>
      </c>
      <c r="D52" s="64">
        <v>11.72</v>
      </c>
      <c r="E52" s="64">
        <v>4.76</v>
      </c>
      <c r="F52" s="64">
        <v>3.68</v>
      </c>
      <c r="G52" s="64">
        <v>22.09</v>
      </c>
      <c r="H52" s="64">
        <v>4.79</v>
      </c>
      <c r="I52" s="64">
        <v>6.43</v>
      </c>
      <c r="J52" s="64">
        <v>2.02</v>
      </c>
      <c r="K52" s="64">
        <v>112.53</v>
      </c>
      <c r="L52" s="64">
        <v>29.66</v>
      </c>
      <c r="M52" s="64">
        <v>82.54</v>
      </c>
      <c r="N52" s="64">
        <v>433.1</v>
      </c>
      <c r="O52" s="64">
        <v>0</v>
      </c>
      <c r="P52" s="64">
        <v>0.26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4" t="s">
        <v>289</v>
      </c>
      <c r="B53" s="64">
        <v>7.98</v>
      </c>
      <c r="C53" s="64">
        <v>2.99</v>
      </c>
      <c r="D53" s="64">
        <v>11.74</v>
      </c>
      <c r="E53" s="64">
        <v>4.75</v>
      </c>
      <c r="F53" s="64">
        <v>3.79</v>
      </c>
      <c r="G53" s="64">
        <v>22.09</v>
      </c>
      <c r="H53" s="64">
        <v>4.79</v>
      </c>
      <c r="I53" s="64">
        <v>6.55</v>
      </c>
      <c r="J53" s="64">
        <v>2.31</v>
      </c>
      <c r="K53" s="64">
        <v>115.38</v>
      </c>
      <c r="L53" s="64">
        <v>30.24</v>
      </c>
      <c r="M53" s="64">
        <v>80.14</v>
      </c>
      <c r="N53" s="64">
        <v>441.3</v>
      </c>
      <c r="O53" s="64">
        <v>0</v>
      </c>
      <c r="P53" s="64">
        <v>0.26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290</v>
      </c>
      <c r="B54" s="64">
        <v>7.98</v>
      </c>
      <c r="C54" s="64">
        <v>2.97</v>
      </c>
      <c r="D54" s="64">
        <v>11.72</v>
      </c>
      <c r="E54" s="64">
        <v>5.07</v>
      </c>
      <c r="F54" s="64">
        <v>3.98</v>
      </c>
      <c r="G54" s="64">
        <v>22.09</v>
      </c>
      <c r="H54" s="64">
        <v>4.79</v>
      </c>
      <c r="I54" s="64">
        <v>6.72</v>
      </c>
      <c r="J54" s="64">
        <v>2.33</v>
      </c>
      <c r="K54" s="64">
        <v>114.18</v>
      </c>
      <c r="L54" s="64">
        <v>29.9</v>
      </c>
      <c r="M54" s="64">
        <v>81.08</v>
      </c>
      <c r="N54" s="64">
        <v>526.4</v>
      </c>
      <c r="O54" s="64">
        <v>0</v>
      </c>
      <c r="P54" s="64">
        <v>0.24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4" t="s">
        <v>291</v>
      </c>
      <c r="B55" s="64">
        <v>7.98</v>
      </c>
      <c r="C55" s="64">
        <v>2.94</v>
      </c>
      <c r="D55" s="64">
        <v>11.71</v>
      </c>
      <c r="E55" s="64">
        <v>4.68</v>
      </c>
      <c r="F55" s="64">
        <v>4.05</v>
      </c>
      <c r="G55" s="64">
        <v>21.38</v>
      </c>
      <c r="H55" s="64">
        <v>4.2300000000000004</v>
      </c>
      <c r="I55" s="64">
        <v>6.74</v>
      </c>
      <c r="J55" s="64">
        <v>2.58</v>
      </c>
      <c r="K55" s="64">
        <v>111.53</v>
      </c>
      <c r="L55" s="64">
        <v>30.06</v>
      </c>
      <c r="M55" s="64">
        <v>80.25</v>
      </c>
      <c r="N55" s="64">
        <v>539.20000000000005</v>
      </c>
      <c r="O55" s="64">
        <v>0</v>
      </c>
      <c r="P55" s="64">
        <v>0.24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4" t="s">
        <v>292</v>
      </c>
      <c r="B56" s="64">
        <v>7.97</v>
      </c>
      <c r="C56" s="64">
        <v>2.92</v>
      </c>
      <c r="D56" s="64">
        <v>11.69</v>
      </c>
      <c r="E56" s="64">
        <v>3.91</v>
      </c>
      <c r="F56" s="64">
        <v>3.68</v>
      </c>
      <c r="G56" s="64">
        <v>20.52</v>
      </c>
      <c r="H56" s="64">
        <v>3.38</v>
      </c>
      <c r="I56" s="64">
        <v>6.92</v>
      </c>
      <c r="J56" s="64">
        <v>1.83</v>
      </c>
      <c r="K56" s="64">
        <v>116.39</v>
      </c>
      <c r="L56" s="64">
        <v>30.84</v>
      </c>
      <c r="M56" s="64">
        <v>76.81</v>
      </c>
      <c r="N56" s="64">
        <v>577.29999999999995</v>
      </c>
      <c r="O56" s="64">
        <v>0</v>
      </c>
      <c r="P56" s="64">
        <v>0.23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4" t="s">
        <v>293</v>
      </c>
      <c r="B57" s="64">
        <v>7.96</v>
      </c>
      <c r="C57" s="64">
        <v>2.94</v>
      </c>
      <c r="D57" s="64">
        <v>11.7</v>
      </c>
      <c r="E57" s="64">
        <v>3.83</v>
      </c>
      <c r="F57" s="64">
        <v>3.71</v>
      </c>
      <c r="G57" s="64">
        <v>20.52</v>
      </c>
      <c r="H57" s="64">
        <v>3.38</v>
      </c>
      <c r="I57" s="64">
        <v>7.09</v>
      </c>
      <c r="J57" s="64">
        <v>2.13</v>
      </c>
      <c r="K57" s="64">
        <v>114.62</v>
      </c>
      <c r="L57" s="64">
        <v>30.98</v>
      </c>
      <c r="M57" s="64">
        <v>76.34</v>
      </c>
      <c r="N57" s="64">
        <v>602.4</v>
      </c>
      <c r="O57" s="64">
        <v>0</v>
      </c>
      <c r="P57" s="64">
        <v>0.23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4" t="s">
        <v>294</v>
      </c>
      <c r="B58" s="64">
        <v>7.96</v>
      </c>
      <c r="C58" s="64">
        <v>2.95</v>
      </c>
      <c r="D58" s="64">
        <v>11.7</v>
      </c>
      <c r="E58" s="64">
        <v>3.6</v>
      </c>
      <c r="F58" s="64">
        <v>3.94</v>
      </c>
      <c r="G58" s="64">
        <v>20.52</v>
      </c>
      <c r="H58" s="64">
        <v>3.38</v>
      </c>
      <c r="I58" s="64">
        <v>7.26</v>
      </c>
      <c r="J58" s="64">
        <v>2.39</v>
      </c>
      <c r="K58" s="64">
        <v>110.24</v>
      </c>
      <c r="L58" s="64">
        <v>30.99</v>
      </c>
      <c r="M58" s="64">
        <v>76.91</v>
      </c>
      <c r="N58" s="64">
        <v>689.3</v>
      </c>
      <c r="O58" s="64">
        <v>0</v>
      </c>
      <c r="P58" s="64">
        <v>0.21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4" t="s">
        <v>295</v>
      </c>
      <c r="B59" s="64">
        <v>7.95</v>
      </c>
      <c r="C59" s="64">
        <v>2.96</v>
      </c>
      <c r="D59" s="64">
        <v>11.69</v>
      </c>
      <c r="E59" s="64">
        <v>3.83</v>
      </c>
      <c r="F59" s="64">
        <v>4.59</v>
      </c>
      <c r="G59" s="64">
        <v>18.02</v>
      </c>
      <c r="H59" s="64">
        <v>2.76</v>
      </c>
      <c r="I59" s="64">
        <v>7.24</v>
      </c>
      <c r="J59" s="64">
        <v>1.49</v>
      </c>
      <c r="K59" s="64">
        <v>113.36</v>
      </c>
      <c r="L59" s="64">
        <v>31.15</v>
      </c>
      <c r="M59" s="64">
        <v>76.58</v>
      </c>
      <c r="N59" s="64">
        <v>559.4</v>
      </c>
      <c r="O59" s="64">
        <v>0</v>
      </c>
      <c r="P59" s="64">
        <v>0.21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4" t="s">
        <v>296</v>
      </c>
      <c r="B60" s="64">
        <v>7.94</v>
      </c>
      <c r="C60" s="64">
        <v>2.92</v>
      </c>
      <c r="D60" s="64">
        <v>11.66</v>
      </c>
      <c r="E60" s="64">
        <v>3.59</v>
      </c>
      <c r="F60" s="64">
        <v>4.1100000000000003</v>
      </c>
      <c r="G60" s="64">
        <v>15.16</v>
      </c>
      <c r="H60" s="64">
        <v>2.36</v>
      </c>
      <c r="I60" s="64">
        <v>7.21</v>
      </c>
      <c r="J60" s="64">
        <v>1.52</v>
      </c>
      <c r="K60" s="64">
        <v>115.36</v>
      </c>
      <c r="L60" s="64">
        <v>30.78</v>
      </c>
      <c r="M60" s="64">
        <v>77.62</v>
      </c>
      <c r="N60" s="64">
        <v>418.7</v>
      </c>
      <c r="O60" s="64">
        <v>0</v>
      </c>
      <c r="P60" s="64">
        <v>0.21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4" t="s">
        <v>297</v>
      </c>
      <c r="B61" s="64">
        <v>7.93</v>
      </c>
      <c r="C61" s="64">
        <v>2.92</v>
      </c>
      <c r="D61" s="64">
        <v>11.66</v>
      </c>
      <c r="E61" s="64">
        <v>3.54</v>
      </c>
      <c r="F61" s="64">
        <v>4.17</v>
      </c>
      <c r="G61" s="64">
        <v>15.16</v>
      </c>
      <c r="H61" s="64">
        <v>2.36</v>
      </c>
      <c r="I61" s="64">
        <v>7.22</v>
      </c>
      <c r="J61" s="64">
        <v>2.0699999999999998</v>
      </c>
      <c r="K61" s="64">
        <v>113.89</v>
      </c>
      <c r="L61" s="64">
        <v>30.55</v>
      </c>
      <c r="M61" s="64">
        <v>78</v>
      </c>
      <c r="N61" s="64">
        <v>593.5</v>
      </c>
      <c r="O61" s="64">
        <v>0</v>
      </c>
      <c r="P61" s="64">
        <v>0.28000000000000003</v>
      </c>
      <c r="Q61" s="64">
        <v>9.58</v>
      </c>
      <c r="R61" s="198"/>
      <c r="S61" s="198"/>
      <c r="T61" s="198"/>
      <c r="U61" s="198"/>
    </row>
    <row r="62" spans="1:21" s="12" customFormat="1" x14ac:dyDescent="0.25">
      <c r="A62" s="214" t="s">
        <v>298</v>
      </c>
      <c r="B62" s="64">
        <v>7.92</v>
      </c>
      <c r="C62" s="64">
        <v>2.93</v>
      </c>
      <c r="D62" s="64">
        <v>11.65</v>
      </c>
      <c r="E62" s="64">
        <v>3.58</v>
      </c>
      <c r="F62" s="64">
        <v>5.09</v>
      </c>
      <c r="G62" s="64">
        <v>15.16</v>
      </c>
      <c r="H62" s="64">
        <v>2.36</v>
      </c>
      <c r="I62" s="64">
        <v>7.09</v>
      </c>
      <c r="J62" s="64">
        <v>0.67</v>
      </c>
      <c r="K62" s="64">
        <v>113.8</v>
      </c>
      <c r="L62" s="64">
        <v>31.44</v>
      </c>
      <c r="M62" s="64">
        <v>75.59</v>
      </c>
      <c r="N62" s="64">
        <v>522.5</v>
      </c>
      <c r="O62" s="64">
        <v>0</v>
      </c>
      <c r="P62" s="64">
        <v>0.3</v>
      </c>
      <c r="Q62" s="64">
        <v>9.59</v>
      </c>
      <c r="R62" s="198"/>
      <c r="S62" s="198"/>
      <c r="T62" s="198"/>
      <c r="U62" s="198"/>
    </row>
    <row r="63" spans="1:21" s="12" customFormat="1" x14ac:dyDescent="0.25">
      <c r="A63" s="214" t="s">
        <v>299</v>
      </c>
      <c r="B63" s="64">
        <v>7.92</v>
      </c>
      <c r="C63" s="64">
        <v>2.93</v>
      </c>
      <c r="D63" s="64">
        <v>11.66</v>
      </c>
      <c r="E63" s="64">
        <v>3.66</v>
      </c>
      <c r="F63" s="64">
        <v>3.06</v>
      </c>
      <c r="G63" s="64">
        <v>15.48</v>
      </c>
      <c r="H63" s="64">
        <v>1.93</v>
      </c>
      <c r="I63" s="64">
        <v>6.97</v>
      </c>
      <c r="J63" s="64">
        <v>0.81</v>
      </c>
      <c r="K63" s="64">
        <v>109.14</v>
      </c>
      <c r="L63" s="64">
        <v>31.14</v>
      </c>
      <c r="M63" s="64">
        <v>75.55</v>
      </c>
      <c r="N63" s="64">
        <v>323.10000000000002</v>
      </c>
      <c r="O63" s="64">
        <v>0</v>
      </c>
      <c r="P63" s="64">
        <v>0.31</v>
      </c>
      <c r="Q63" s="64">
        <v>9.58</v>
      </c>
      <c r="R63" s="198"/>
      <c r="S63" s="198"/>
      <c r="T63" s="198"/>
      <c r="U63" s="198"/>
    </row>
    <row r="64" spans="1:21" s="12" customFormat="1" x14ac:dyDescent="0.25">
      <c r="A64" s="214" t="s">
        <v>300</v>
      </c>
      <c r="B64" s="64">
        <v>7.95</v>
      </c>
      <c r="C64" s="64">
        <v>2.95</v>
      </c>
      <c r="D64" s="64">
        <v>11.69</v>
      </c>
      <c r="E64" s="64">
        <v>3.46</v>
      </c>
      <c r="F64" s="64">
        <v>3.77</v>
      </c>
      <c r="G64" s="64">
        <v>15.85</v>
      </c>
      <c r="H64" s="64">
        <v>1.66</v>
      </c>
      <c r="I64" s="64">
        <v>6.93</v>
      </c>
      <c r="J64" s="64">
        <v>1.86</v>
      </c>
      <c r="K64" s="64">
        <v>112.96</v>
      </c>
      <c r="L64" s="64">
        <v>30.93</v>
      </c>
      <c r="M64" s="64">
        <v>76.11</v>
      </c>
      <c r="N64" s="64">
        <v>575.70000000000005</v>
      </c>
      <c r="O64" s="64">
        <v>0</v>
      </c>
      <c r="P64" s="64">
        <v>0.3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4" t="s">
        <v>301</v>
      </c>
      <c r="B65" s="64">
        <v>7.98</v>
      </c>
      <c r="C65" s="64">
        <v>2.92</v>
      </c>
      <c r="D65" s="64">
        <v>11.7</v>
      </c>
      <c r="E65" s="64">
        <v>3.51</v>
      </c>
      <c r="F65" s="64">
        <v>3.84</v>
      </c>
      <c r="G65" s="64">
        <v>15.85</v>
      </c>
      <c r="H65" s="64">
        <v>1.66</v>
      </c>
      <c r="I65" s="64">
        <v>6.63</v>
      </c>
      <c r="J65" s="64">
        <v>2.2400000000000002</v>
      </c>
      <c r="K65" s="64">
        <v>114.19</v>
      </c>
      <c r="L65" s="64">
        <v>30.81</v>
      </c>
      <c r="M65" s="64">
        <v>77.06</v>
      </c>
      <c r="N65" s="64">
        <v>412.7</v>
      </c>
      <c r="O65" s="64">
        <v>0</v>
      </c>
      <c r="P65" s="64">
        <v>0.3</v>
      </c>
      <c r="Q65" s="64">
        <v>9.58</v>
      </c>
      <c r="R65" s="198"/>
      <c r="S65" s="198"/>
      <c r="T65" s="198"/>
      <c r="U65" s="198"/>
    </row>
    <row r="66" spans="1:21" s="12" customFormat="1" x14ac:dyDescent="0.25">
      <c r="A66" s="214" t="s">
        <v>302</v>
      </c>
      <c r="B66" s="64">
        <v>7.97</v>
      </c>
      <c r="C66" s="64">
        <v>2.96</v>
      </c>
      <c r="D66" s="64">
        <v>11.71</v>
      </c>
      <c r="E66" s="64">
        <v>3.12</v>
      </c>
      <c r="F66" s="64">
        <v>3.81</v>
      </c>
      <c r="G66" s="64">
        <v>15.85</v>
      </c>
      <c r="H66" s="64">
        <v>1.66</v>
      </c>
      <c r="I66" s="64">
        <v>6.56</v>
      </c>
      <c r="J66" s="64">
        <v>0.22</v>
      </c>
      <c r="K66" s="64">
        <v>82.86</v>
      </c>
      <c r="L66" s="64">
        <v>31.34</v>
      </c>
      <c r="M66" s="64">
        <v>77.17</v>
      </c>
      <c r="N66" s="64">
        <v>325.8</v>
      </c>
      <c r="O66" s="64">
        <v>0</v>
      </c>
      <c r="P66" s="64">
        <v>0.28999999999999998</v>
      </c>
      <c r="Q66" s="64">
        <v>9.57</v>
      </c>
      <c r="R66" s="198"/>
      <c r="S66" s="198"/>
      <c r="T66" s="198"/>
      <c r="U66" s="198"/>
    </row>
    <row r="67" spans="1:21" s="12" customFormat="1" x14ac:dyDescent="0.25">
      <c r="A67" s="214" t="s">
        <v>303</v>
      </c>
      <c r="B67" s="64">
        <v>7.97</v>
      </c>
      <c r="C67" s="64">
        <v>2.97</v>
      </c>
      <c r="D67" s="64">
        <v>11.72</v>
      </c>
      <c r="E67" s="64">
        <v>3.32</v>
      </c>
      <c r="F67" s="64">
        <v>3.73</v>
      </c>
      <c r="G67" s="64">
        <v>17.98</v>
      </c>
      <c r="H67" s="64">
        <v>4.08</v>
      </c>
      <c r="I67" s="64">
        <v>6.99</v>
      </c>
      <c r="J67" s="64">
        <v>0.54</v>
      </c>
      <c r="K67" s="64">
        <v>102</v>
      </c>
      <c r="L67" s="64">
        <v>31</v>
      </c>
      <c r="M67" s="64">
        <v>80.930000000000007</v>
      </c>
      <c r="N67" s="64">
        <v>247.2</v>
      </c>
      <c r="O67" s="64">
        <v>0</v>
      </c>
      <c r="P67" s="64">
        <v>0.31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304</v>
      </c>
      <c r="B68" s="64">
        <v>7.98</v>
      </c>
      <c r="C68" s="64">
        <v>2.97</v>
      </c>
      <c r="D68" s="64">
        <v>11.73</v>
      </c>
      <c r="E68" s="64">
        <v>3.44</v>
      </c>
      <c r="F68" s="64">
        <v>3.58</v>
      </c>
      <c r="G68" s="64">
        <v>20.52</v>
      </c>
      <c r="H68" s="64">
        <v>5.61</v>
      </c>
      <c r="I68" s="64">
        <v>6.88</v>
      </c>
      <c r="J68" s="64">
        <v>1.53</v>
      </c>
      <c r="K68" s="64">
        <v>115.4</v>
      </c>
      <c r="L68" s="64">
        <v>30.54</v>
      </c>
      <c r="M68" s="64">
        <v>81.41</v>
      </c>
      <c r="N68" s="64">
        <v>277.8</v>
      </c>
      <c r="O68" s="64">
        <v>0</v>
      </c>
      <c r="P68" s="64">
        <v>0.31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4" t="s">
        <v>305</v>
      </c>
      <c r="B69" s="64">
        <v>7.98</v>
      </c>
      <c r="C69" s="64">
        <v>2.98</v>
      </c>
      <c r="D69" s="64">
        <v>11.73</v>
      </c>
      <c r="E69" s="64">
        <v>3.51</v>
      </c>
      <c r="F69" s="64">
        <v>3.71</v>
      </c>
      <c r="G69" s="64">
        <v>20.52</v>
      </c>
      <c r="H69" s="64">
        <v>5.61</v>
      </c>
      <c r="I69" s="64">
        <v>6.65</v>
      </c>
      <c r="J69" s="64">
        <v>0.62</v>
      </c>
      <c r="K69" s="64">
        <v>114.37</v>
      </c>
      <c r="L69" s="64">
        <v>30.57</v>
      </c>
      <c r="M69" s="64">
        <v>83.19</v>
      </c>
      <c r="N69" s="64">
        <v>194.8</v>
      </c>
      <c r="O69" s="64">
        <v>0</v>
      </c>
      <c r="P69" s="64">
        <v>0.31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4" t="s">
        <v>306</v>
      </c>
      <c r="B70" s="64">
        <v>7.98</v>
      </c>
      <c r="C70" s="64">
        <v>2.99</v>
      </c>
      <c r="D70" s="64">
        <v>11.74</v>
      </c>
      <c r="E70" s="64">
        <v>3.72</v>
      </c>
      <c r="F70" s="64">
        <v>3.58</v>
      </c>
      <c r="G70" s="64">
        <v>20.52</v>
      </c>
      <c r="H70" s="64">
        <v>5.61</v>
      </c>
      <c r="I70" s="64">
        <v>6.74</v>
      </c>
      <c r="J70" s="64">
        <v>0.59</v>
      </c>
      <c r="K70" s="64">
        <v>107.33</v>
      </c>
      <c r="L70" s="64">
        <v>30.91</v>
      </c>
      <c r="M70" s="64">
        <v>80.8</v>
      </c>
      <c r="N70" s="64">
        <v>186.2</v>
      </c>
      <c r="O70" s="64">
        <v>0</v>
      </c>
      <c r="P70" s="64">
        <v>0.31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4" t="s">
        <v>307</v>
      </c>
      <c r="B71" s="64">
        <v>8</v>
      </c>
      <c r="C71" s="64">
        <v>2.95</v>
      </c>
      <c r="D71" s="64">
        <v>11.73</v>
      </c>
      <c r="E71" s="64">
        <v>3.56</v>
      </c>
      <c r="F71" s="64">
        <v>3.8</v>
      </c>
      <c r="G71" s="64">
        <v>20.21</v>
      </c>
      <c r="H71" s="64">
        <v>6.15</v>
      </c>
      <c r="I71" s="64">
        <v>6.83</v>
      </c>
      <c r="J71" s="64">
        <v>0.91</v>
      </c>
      <c r="K71" s="64">
        <v>109.97</v>
      </c>
      <c r="L71" s="64">
        <v>30.3</v>
      </c>
      <c r="M71" s="64">
        <v>82.34</v>
      </c>
      <c r="N71" s="64">
        <v>129.4</v>
      </c>
      <c r="O71" s="64">
        <v>0</v>
      </c>
      <c r="P71" s="64">
        <v>0.32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308</v>
      </c>
      <c r="B72" s="64">
        <v>7.99</v>
      </c>
      <c r="C72" s="64">
        <v>2.97</v>
      </c>
      <c r="D72" s="64">
        <v>11.74</v>
      </c>
      <c r="E72" s="64">
        <v>4.74</v>
      </c>
      <c r="F72" s="64">
        <v>3.75</v>
      </c>
      <c r="G72" s="64">
        <v>19.829999999999998</v>
      </c>
      <c r="H72" s="64">
        <v>6.92</v>
      </c>
      <c r="I72" s="64">
        <v>6.73</v>
      </c>
      <c r="J72" s="64">
        <v>0.67</v>
      </c>
      <c r="K72" s="64">
        <v>112.18</v>
      </c>
      <c r="L72" s="64">
        <v>30.19</v>
      </c>
      <c r="M72" s="64">
        <v>83.43</v>
      </c>
      <c r="N72" s="64">
        <v>167.2</v>
      </c>
      <c r="O72" s="64">
        <v>0</v>
      </c>
      <c r="P72" s="64">
        <v>0.32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4" t="s">
        <v>309</v>
      </c>
      <c r="B73" s="64">
        <v>7.96</v>
      </c>
      <c r="C73" s="64">
        <v>2.94</v>
      </c>
      <c r="D73" s="64">
        <v>11.69</v>
      </c>
      <c r="E73" s="64">
        <v>3.9</v>
      </c>
      <c r="F73" s="64">
        <v>4.82</v>
      </c>
      <c r="G73" s="64">
        <v>19.829999999999998</v>
      </c>
      <c r="H73" s="64">
        <v>6.92</v>
      </c>
      <c r="I73" s="64">
        <v>6.82</v>
      </c>
      <c r="J73" s="64">
        <v>0.92</v>
      </c>
      <c r="K73" s="64">
        <v>108.75</v>
      </c>
      <c r="L73" s="64">
        <v>30.35</v>
      </c>
      <c r="M73" s="64">
        <v>82.92</v>
      </c>
      <c r="N73" s="64">
        <v>182.4</v>
      </c>
      <c r="O73" s="64">
        <v>0</v>
      </c>
      <c r="P73" s="64">
        <v>0.34</v>
      </c>
      <c r="Q73" s="64">
        <v>9.65</v>
      </c>
      <c r="R73" s="198"/>
      <c r="S73" s="198"/>
      <c r="T73" s="198"/>
      <c r="U73" s="198"/>
    </row>
    <row r="74" spans="1:21" s="12" customFormat="1" x14ac:dyDescent="0.25">
      <c r="A74" s="214" t="s">
        <v>310</v>
      </c>
      <c r="B74" s="64">
        <v>7.94</v>
      </c>
      <c r="C74" s="64">
        <v>2.94</v>
      </c>
      <c r="D74" s="64">
        <v>11.68</v>
      </c>
      <c r="E74" s="64">
        <v>4.76</v>
      </c>
      <c r="F74" s="64">
        <v>3.68</v>
      </c>
      <c r="G74" s="64">
        <v>19.829999999999998</v>
      </c>
      <c r="H74" s="64">
        <v>6.92</v>
      </c>
      <c r="I74" s="64">
        <v>6.78</v>
      </c>
      <c r="J74" s="64">
        <v>0.41</v>
      </c>
      <c r="K74" s="64">
        <v>98.02</v>
      </c>
      <c r="L74" s="64">
        <v>30.35</v>
      </c>
      <c r="M74" s="64">
        <v>82.87</v>
      </c>
      <c r="N74" s="64">
        <v>153.1</v>
      </c>
      <c r="O74" s="64">
        <v>0</v>
      </c>
      <c r="P74" s="64">
        <v>0.33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4" t="s">
        <v>311</v>
      </c>
      <c r="B75" s="64">
        <v>7.94</v>
      </c>
      <c r="C75" s="64">
        <v>2.97</v>
      </c>
      <c r="D75" s="64">
        <v>11.69</v>
      </c>
      <c r="E75" s="64">
        <v>4.46</v>
      </c>
      <c r="F75" s="64">
        <v>4.21</v>
      </c>
      <c r="G75" s="64">
        <v>21.86</v>
      </c>
      <c r="H75" s="64">
        <v>7.81</v>
      </c>
      <c r="I75" s="64">
        <v>6.59</v>
      </c>
      <c r="J75" s="64">
        <v>0.39</v>
      </c>
      <c r="K75" s="64">
        <v>97.87</v>
      </c>
      <c r="L75" s="64">
        <v>30.29</v>
      </c>
      <c r="M75" s="64">
        <v>82.61</v>
      </c>
      <c r="N75" s="64">
        <v>153</v>
      </c>
      <c r="O75" s="64">
        <v>0</v>
      </c>
      <c r="P75" s="64">
        <v>0.33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4" t="s">
        <v>312</v>
      </c>
      <c r="B76" s="64">
        <v>7.95</v>
      </c>
      <c r="C76" s="64">
        <v>3</v>
      </c>
      <c r="D76" s="64">
        <v>11.72</v>
      </c>
      <c r="E76" s="64">
        <v>4.22</v>
      </c>
      <c r="F76" s="64">
        <v>3.48</v>
      </c>
      <c r="G76" s="64">
        <v>24.18</v>
      </c>
      <c r="H76" s="64">
        <v>8.3800000000000008</v>
      </c>
      <c r="I76" s="64">
        <v>6.36</v>
      </c>
      <c r="J76" s="64">
        <v>0.13</v>
      </c>
      <c r="K76" s="64">
        <v>109.35</v>
      </c>
      <c r="L76" s="64">
        <v>30.05</v>
      </c>
      <c r="M76" s="64">
        <v>83.91</v>
      </c>
      <c r="N76" s="64">
        <v>112.2</v>
      </c>
      <c r="O76" s="64">
        <v>0</v>
      </c>
      <c r="P76" s="64">
        <v>0.35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4" t="s">
        <v>313</v>
      </c>
      <c r="B77" s="64">
        <v>7.95</v>
      </c>
      <c r="C77" s="64">
        <v>2.94</v>
      </c>
      <c r="D77" s="64">
        <v>11.68</v>
      </c>
      <c r="E77" s="64">
        <v>4.29</v>
      </c>
      <c r="F77" s="64">
        <v>3.14</v>
      </c>
      <c r="G77" s="64">
        <v>24.18</v>
      </c>
      <c r="H77" s="64">
        <v>8.3800000000000008</v>
      </c>
      <c r="I77" s="64">
        <v>6.18</v>
      </c>
      <c r="J77" s="64">
        <v>0.19</v>
      </c>
      <c r="K77" s="64">
        <v>54.48</v>
      </c>
      <c r="L77" s="64">
        <v>29.84</v>
      </c>
      <c r="M77" s="64">
        <v>85.97</v>
      </c>
      <c r="N77" s="64">
        <v>88.6</v>
      </c>
      <c r="O77" s="64">
        <v>0</v>
      </c>
      <c r="P77" s="64">
        <v>0.35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14" t="s">
        <v>314</v>
      </c>
      <c r="B78" s="64">
        <v>7.96</v>
      </c>
      <c r="C78" s="64">
        <v>3</v>
      </c>
      <c r="D78" s="64">
        <v>11.72</v>
      </c>
      <c r="E78" s="64">
        <v>3.8</v>
      </c>
      <c r="F78" s="64">
        <v>4.72</v>
      </c>
      <c r="G78" s="64">
        <v>24.18</v>
      </c>
      <c r="H78" s="64">
        <v>8.3800000000000008</v>
      </c>
      <c r="I78" s="64">
        <v>5.94</v>
      </c>
      <c r="J78" s="64">
        <v>0.43</v>
      </c>
      <c r="K78" s="64">
        <v>112.27</v>
      </c>
      <c r="L78" s="64">
        <v>29.61</v>
      </c>
      <c r="M78" s="64">
        <v>87.06</v>
      </c>
      <c r="N78" s="64">
        <v>76.599999999999994</v>
      </c>
      <c r="O78" s="64">
        <v>0</v>
      </c>
      <c r="P78" s="64">
        <v>0.36</v>
      </c>
      <c r="Q78" s="64">
        <v>9.57</v>
      </c>
      <c r="R78" s="198"/>
      <c r="S78" s="198"/>
      <c r="T78" s="198"/>
      <c r="U78" s="198"/>
    </row>
    <row r="79" spans="1:21" s="12" customFormat="1" x14ac:dyDescent="0.25">
      <c r="A79" s="214" t="s">
        <v>315</v>
      </c>
      <c r="B79" s="64">
        <v>7.96</v>
      </c>
      <c r="C79" s="64">
        <v>3.06</v>
      </c>
      <c r="D79" s="64">
        <v>11.76</v>
      </c>
      <c r="E79" s="64">
        <v>4.1100000000000003</v>
      </c>
      <c r="F79" s="64">
        <v>4.4400000000000004</v>
      </c>
      <c r="G79" s="64">
        <v>22.25</v>
      </c>
      <c r="H79" s="64">
        <v>8.02</v>
      </c>
      <c r="I79" s="64">
        <v>5.57</v>
      </c>
      <c r="J79" s="64">
        <v>1.18</v>
      </c>
      <c r="K79" s="64">
        <v>116.82</v>
      </c>
      <c r="L79" s="64">
        <v>29.15</v>
      </c>
      <c r="M79" s="64">
        <v>89.35</v>
      </c>
      <c r="N79" s="64">
        <v>65.7</v>
      </c>
      <c r="O79" s="64">
        <v>0</v>
      </c>
      <c r="P79" s="64">
        <v>0.37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4" t="s">
        <v>316</v>
      </c>
      <c r="B80" s="64">
        <v>7.95</v>
      </c>
      <c r="C80" s="64">
        <v>3.03</v>
      </c>
      <c r="D80" s="64">
        <v>11.73</v>
      </c>
      <c r="E80" s="64">
        <v>4.3899999999999997</v>
      </c>
      <c r="F80" s="64">
        <v>2.34</v>
      </c>
      <c r="G80" s="64">
        <v>19.95</v>
      </c>
      <c r="H80" s="64">
        <v>7.79</v>
      </c>
      <c r="I80" s="64">
        <v>5.41</v>
      </c>
      <c r="J80" s="64">
        <v>0.62</v>
      </c>
      <c r="K80" s="64">
        <v>112.93</v>
      </c>
      <c r="L80" s="64">
        <v>28.75</v>
      </c>
      <c r="M80" s="64">
        <v>92.12</v>
      </c>
      <c r="N80" s="64">
        <v>65</v>
      </c>
      <c r="O80" s="64">
        <v>0</v>
      </c>
      <c r="P80" s="64">
        <v>0.36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4" t="s">
        <v>317</v>
      </c>
      <c r="B81" s="64">
        <v>7.92</v>
      </c>
      <c r="C81" s="64">
        <v>2.93</v>
      </c>
      <c r="D81" s="64">
        <v>11.66</v>
      </c>
      <c r="E81" s="64">
        <v>4.17</v>
      </c>
      <c r="F81" s="64">
        <v>3.58</v>
      </c>
      <c r="G81" s="64">
        <v>19.95</v>
      </c>
      <c r="H81" s="64">
        <v>7.79</v>
      </c>
      <c r="I81" s="64">
        <v>5.47</v>
      </c>
      <c r="J81" s="64">
        <v>0.44</v>
      </c>
      <c r="K81" s="64">
        <v>109.4</v>
      </c>
      <c r="L81" s="64">
        <v>28.63</v>
      </c>
      <c r="M81" s="64">
        <v>93.44</v>
      </c>
      <c r="N81" s="64">
        <v>52.5</v>
      </c>
      <c r="O81" s="64">
        <v>0</v>
      </c>
      <c r="P81" s="64">
        <v>0.36</v>
      </c>
      <c r="Q81" s="64">
        <v>9.5399999999999991</v>
      </c>
      <c r="R81" s="198"/>
      <c r="S81" s="198"/>
      <c r="T81" s="198"/>
      <c r="U81" s="198"/>
    </row>
    <row r="82" spans="1:26" s="12" customFormat="1" x14ac:dyDescent="0.25">
      <c r="A82" s="214" t="s">
        <v>318</v>
      </c>
      <c r="B82" s="64">
        <v>7.96</v>
      </c>
      <c r="C82" s="64">
        <v>2.96</v>
      </c>
      <c r="D82" s="64">
        <v>11.71</v>
      </c>
      <c r="E82" s="64">
        <v>3.99</v>
      </c>
      <c r="F82" s="64">
        <v>3.52</v>
      </c>
      <c r="G82" s="64">
        <v>19.95</v>
      </c>
      <c r="H82" s="64">
        <v>7.79</v>
      </c>
      <c r="I82" s="64">
        <v>5.38</v>
      </c>
      <c r="J82" s="64">
        <v>0.38</v>
      </c>
      <c r="K82" s="64">
        <v>116.09</v>
      </c>
      <c r="L82" s="64">
        <v>28.54</v>
      </c>
      <c r="M82" s="64">
        <v>94.5</v>
      </c>
      <c r="N82" s="64">
        <v>44</v>
      </c>
      <c r="O82" s="64">
        <v>0</v>
      </c>
      <c r="P82" s="64">
        <v>0.37</v>
      </c>
      <c r="Q82" s="64">
        <v>9.56</v>
      </c>
      <c r="R82" s="198"/>
      <c r="S82" s="198"/>
      <c r="T82" s="198"/>
      <c r="U82" s="198"/>
    </row>
    <row r="83" spans="1:26" s="12" customFormat="1" x14ac:dyDescent="0.25">
      <c r="A83" s="214" t="s">
        <v>319</v>
      </c>
      <c r="B83" s="64">
        <v>8.0500000000000007</v>
      </c>
      <c r="C83" s="64">
        <v>3.09</v>
      </c>
      <c r="D83" s="64">
        <v>11.84</v>
      </c>
      <c r="E83" s="64">
        <v>4.13</v>
      </c>
      <c r="F83" s="64">
        <v>3.29</v>
      </c>
      <c r="G83" s="64">
        <v>22.18</v>
      </c>
      <c r="H83" s="64">
        <v>8.8800000000000008</v>
      </c>
      <c r="I83" s="64">
        <v>5.32</v>
      </c>
      <c r="J83" s="64">
        <v>0.49</v>
      </c>
      <c r="K83" s="64">
        <v>110.44</v>
      </c>
      <c r="L83" s="64">
        <v>28.53</v>
      </c>
      <c r="M83" s="64">
        <v>95.17</v>
      </c>
      <c r="N83" s="64">
        <v>42.6</v>
      </c>
      <c r="O83" s="64">
        <v>0</v>
      </c>
      <c r="P83" s="64">
        <v>0.38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4" t="s">
        <v>320</v>
      </c>
      <c r="B84" s="64">
        <v>8.1</v>
      </c>
      <c r="C84" s="64">
        <v>3.16</v>
      </c>
      <c r="D84" s="64">
        <v>11.92</v>
      </c>
      <c r="E84" s="64">
        <v>4.17</v>
      </c>
      <c r="F84" s="64">
        <v>3.14</v>
      </c>
      <c r="G84" s="64">
        <v>24.83</v>
      </c>
      <c r="H84" s="64">
        <v>9.58</v>
      </c>
      <c r="I84" s="64">
        <v>5.0599999999999996</v>
      </c>
      <c r="J84" s="64">
        <v>0.44</v>
      </c>
      <c r="K84" s="64">
        <v>110.16</v>
      </c>
      <c r="L84" s="64">
        <v>28.6</v>
      </c>
      <c r="M84" s="64">
        <v>95.39</v>
      </c>
      <c r="N84" s="64">
        <v>42.4</v>
      </c>
      <c r="O84" s="64">
        <v>0</v>
      </c>
      <c r="P84" s="64">
        <v>0.39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4" t="s">
        <v>321</v>
      </c>
      <c r="B85" s="64">
        <v>8.58</v>
      </c>
      <c r="C85" s="64">
        <v>4.01</v>
      </c>
      <c r="D85" s="64">
        <v>12.75</v>
      </c>
      <c r="E85" s="64">
        <v>3.87</v>
      </c>
      <c r="F85" s="64">
        <v>3.44</v>
      </c>
      <c r="G85" s="64">
        <v>24.83</v>
      </c>
      <c r="H85" s="64">
        <v>9.58</v>
      </c>
      <c r="I85" s="64">
        <v>5.09</v>
      </c>
      <c r="J85" s="64">
        <v>0.13</v>
      </c>
      <c r="K85" s="64">
        <v>105.16</v>
      </c>
      <c r="L85" s="64">
        <v>28.65</v>
      </c>
      <c r="M85" s="64">
        <v>95.26</v>
      </c>
      <c r="N85" s="64">
        <v>42.5</v>
      </c>
      <c r="O85" s="64">
        <v>0</v>
      </c>
      <c r="P85" s="64">
        <v>0.39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4" t="s">
        <v>322</v>
      </c>
      <c r="B86" s="64">
        <v>8.9499999999999993</v>
      </c>
      <c r="C86" s="64">
        <v>4.63</v>
      </c>
      <c r="D86" s="64">
        <v>13.37</v>
      </c>
      <c r="E86" s="64">
        <v>4.2300000000000004</v>
      </c>
      <c r="F86" s="64">
        <v>3.57</v>
      </c>
      <c r="G86" s="64">
        <v>24.83</v>
      </c>
      <c r="H86" s="64">
        <v>9.58</v>
      </c>
      <c r="I86" s="64">
        <v>5.18</v>
      </c>
      <c r="J86" s="64">
        <v>0.69</v>
      </c>
      <c r="K86" s="64">
        <v>112.07</v>
      </c>
      <c r="L86" s="64">
        <v>28.64</v>
      </c>
      <c r="M86" s="64">
        <v>93.37</v>
      </c>
      <c r="N86" s="64">
        <v>42.3</v>
      </c>
      <c r="O86" s="64">
        <v>0</v>
      </c>
      <c r="P86" s="64">
        <v>0.4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14" t="s">
        <v>323</v>
      </c>
      <c r="B87" s="64">
        <v>9.1300000000000008</v>
      </c>
      <c r="C87" s="64">
        <v>4.91</v>
      </c>
      <c r="D87" s="64">
        <v>13.66</v>
      </c>
      <c r="E87" s="64">
        <v>4.17</v>
      </c>
      <c r="F87" s="64">
        <v>3.73</v>
      </c>
      <c r="G87" s="64">
        <v>26.08</v>
      </c>
      <c r="H87" s="64">
        <v>8.58</v>
      </c>
      <c r="I87" s="64">
        <v>5.16</v>
      </c>
      <c r="J87" s="64">
        <v>0.4</v>
      </c>
      <c r="K87" s="64">
        <v>114.66</v>
      </c>
      <c r="L87" s="64">
        <v>28.69</v>
      </c>
      <c r="M87" s="64">
        <v>91.72</v>
      </c>
      <c r="N87" s="64">
        <v>42.4</v>
      </c>
      <c r="O87" s="64">
        <v>0</v>
      </c>
      <c r="P87" s="64">
        <v>0.4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4" t="s">
        <v>324</v>
      </c>
      <c r="B88" s="64">
        <v>9.27</v>
      </c>
      <c r="C88" s="64">
        <v>5.07</v>
      </c>
      <c r="D88" s="64">
        <v>13.86</v>
      </c>
      <c r="E88" s="64">
        <v>4.01</v>
      </c>
      <c r="F88" s="64">
        <v>2.92</v>
      </c>
      <c r="G88" s="64">
        <v>27.51</v>
      </c>
      <c r="H88" s="64">
        <v>7.15</v>
      </c>
      <c r="I88" s="64">
        <v>5.19</v>
      </c>
      <c r="J88" s="64">
        <v>0.8</v>
      </c>
      <c r="K88" s="64">
        <v>117.48</v>
      </c>
      <c r="L88" s="64">
        <v>28.7</v>
      </c>
      <c r="M88" s="64">
        <v>91.54</v>
      </c>
      <c r="N88" s="64">
        <v>42.6</v>
      </c>
      <c r="O88" s="64">
        <v>0</v>
      </c>
      <c r="P88" s="64">
        <v>0.41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4" t="s">
        <v>325</v>
      </c>
      <c r="B89" s="64">
        <v>9.32</v>
      </c>
      <c r="C89" s="64">
        <v>5.23</v>
      </c>
      <c r="D89" s="64">
        <v>13.98</v>
      </c>
      <c r="E89" s="64">
        <v>3.94</v>
      </c>
      <c r="F89" s="64">
        <v>3.66</v>
      </c>
      <c r="G89" s="64">
        <v>27.51</v>
      </c>
      <c r="H89" s="64">
        <v>7.15</v>
      </c>
      <c r="I89" s="64">
        <v>5.44</v>
      </c>
      <c r="J89" s="64">
        <v>0.65</v>
      </c>
      <c r="K89" s="64">
        <v>113.57</v>
      </c>
      <c r="L89" s="64">
        <v>28.69</v>
      </c>
      <c r="M89" s="64">
        <v>91.71</v>
      </c>
      <c r="N89" s="64">
        <v>42.7</v>
      </c>
      <c r="O89" s="64">
        <v>0</v>
      </c>
      <c r="P89" s="64">
        <v>0.41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4" t="s">
        <v>326</v>
      </c>
      <c r="B90" s="64">
        <v>9.35</v>
      </c>
      <c r="C90" s="64">
        <v>5.38</v>
      </c>
      <c r="D90" s="64">
        <v>14.09</v>
      </c>
      <c r="E90" s="64">
        <v>4.17</v>
      </c>
      <c r="F90" s="64">
        <v>4.82</v>
      </c>
      <c r="G90" s="64">
        <v>27.51</v>
      </c>
      <c r="H90" s="64">
        <v>7.15</v>
      </c>
      <c r="I90" s="64">
        <v>5.56</v>
      </c>
      <c r="J90" s="64">
        <v>0.03</v>
      </c>
      <c r="K90" s="64">
        <v>178.67</v>
      </c>
      <c r="L90" s="64">
        <v>28.64</v>
      </c>
      <c r="M90" s="64">
        <v>92.52</v>
      </c>
      <c r="N90" s="64">
        <v>42.7</v>
      </c>
      <c r="O90" s="64">
        <v>0</v>
      </c>
      <c r="P90" s="64">
        <v>0.43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4" t="s">
        <v>327</v>
      </c>
      <c r="B91" s="64">
        <v>9.4600000000000009</v>
      </c>
      <c r="C91" s="64">
        <v>5.66</v>
      </c>
      <c r="D91" s="64">
        <v>14.32</v>
      </c>
      <c r="E91" s="64">
        <v>4.46</v>
      </c>
      <c r="F91" s="64">
        <v>2.42</v>
      </c>
      <c r="G91" s="64">
        <v>25.36</v>
      </c>
      <c r="H91" s="64">
        <v>5.99</v>
      </c>
      <c r="I91" s="64">
        <v>5.58</v>
      </c>
      <c r="J91" s="64">
        <v>1.1599999999999999</v>
      </c>
      <c r="K91" s="64">
        <v>110.5</v>
      </c>
      <c r="L91" s="64">
        <v>28.48</v>
      </c>
      <c r="M91" s="64">
        <v>92.73</v>
      </c>
      <c r="N91" s="64">
        <v>42.4</v>
      </c>
      <c r="O91" s="64">
        <v>0</v>
      </c>
      <c r="P91" s="64">
        <v>0.43</v>
      </c>
      <c r="Q91" s="64">
        <v>9.56</v>
      </c>
      <c r="R91" s="198"/>
      <c r="S91" s="198"/>
      <c r="T91" s="198"/>
      <c r="U91" s="198"/>
    </row>
    <row r="92" spans="1:26" s="12" customFormat="1" x14ac:dyDescent="0.25">
      <c r="A92" s="214" t="s">
        <v>328</v>
      </c>
      <c r="B92" s="64">
        <v>9.4499999999999993</v>
      </c>
      <c r="C92" s="64">
        <v>5.71</v>
      </c>
      <c r="D92" s="64">
        <v>14.34</v>
      </c>
      <c r="E92" s="64">
        <v>3.95</v>
      </c>
      <c r="F92" s="64">
        <v>3.95</v>
      </c>
      <c r="G92" s="64">
        <v>22.92</v>
      </c>
      <c r="H92" s="64">
        <v>5.25</v>
      </c>
      <c r="I92" s="64">
        <v>5.43</v>
      </c>
      <c r="J92" s="64">
        <v>0.96</v>
      </c>
      <c r="K92" s="64">
        <v>112.06</v>
      </c>
      <c r="L92" s="64">
        <v>28.36</v>
      </c>
      <c r="M92" s="64">
        <v>93.22</v>
      </c>
      <c r="N92" s="64">
        <v>42.9</v>
      </c>
      <c r="O92" s="64">
        <v>0</v>
      </c>
      <c r="P92" s="64">
        <v>0.43</v>
      </c>
      <c r="Q92" s="64">
        <v>9.58</v>
      </c>
      <c r="R92" s="198"/>
      <c r="S92" s="198"/>
      <c r="T92" s="198"/>
      <c r="U92" s="198"/>
    </row>
    <row r="93" spans="1:26" s="12" customFormat="1" x14ac:dyDescent="0.25">
      <c r="A93" s="214" t="s">
        <v>329</v>
      </c>
      <c r="B93" s="64">
        <v>9.41</v>
      </c>
      <c r="C93" s="64">
        <v>5.67</v>
      </c>
      <c r="D93" s="64">
        <v>14.28</v>
      </c>
      <c r="E93" s="64">
        <v>4.1500000000000004</v>
      </c>
      <c r="F93" s="64">
        <v>3.86</v>
      </c>
      <c r="G93" s="64">
        <v>22.92</v>
      </c>
      <c r="H93" s="64">
        <v>5.25</v>
      </c>
      <c r="I93" s="64">
        <v>5.38</v>
      </c>
      <c r="J93" s="64">
        <v>0.44</v>
      </c>
      <c r="K93" s="64">
        <v>119.29</v>
      </c>
      <c r="L93" s="64">
        <v>28.23</v>
      </c>
      <c r="M93" s="64">
        <v>93.74</v>
      </c>
      <c r="N93" s="64">
        <v>42.9</v>
      </c>
      <c r="O93" s="64">
        <v>0</v>
      </c>
      <c r="P93" s="64">
        <v>0.44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4" t="s">
        <v>330</v>
      </c>
      <c r="B94" s="64">
        <v>9.43</v>
      </c>
      <c r="C94" s="64">
        <v>5.74</v>
      </c>
      <c r="D94" s="64">
        <v>14.33</v>
      </c>
      <c r="E94" s="64">
        <v>4.54</v>
      </c>
      <c r="F94" s="64">
        <v>2.84</v>
      </c>
      <c r="G94" s="64">
        <v>22.92</v>
      </c>
      <c r="H94" s="64">
        <v>5.25</v>
      </c>
      <c r="I94" s="64">
        <v>5.5</v>
      </c>
      <c r="J94" s="64">
        <v>1.03</v>
      </c>
      <c r="K94" s="64">
        <v>113.75</v>
      </c>
      <c r="L94" s="64">
        <v>28.03</v>
      </c>
      <c r="M94" s="64">
        <v>95.29</v>
      </c>
      <c r="N94" s="64">
        <v>43.5</v>
      </c>
      <c r="O94" s="64">
        <v>0</v>
      </c>
      <c r="P94" s="64">
        <v>0.43</v>
      </c>
      <c r="Q94" s="64">
        <v>9.5399999999999991</v>
      </c>
      <c r="R94" s="198"/>
      <c r="S94" s="198"/>
      <c r="T94" s="198"/>
      <c r="U94" s="198"/>
    </row>
    <row r="95" spans="1:26" s="12" customFormat="1" x14ac:dyDescent="0.25">
      <c r="A95" s="214" t="s">
        <v>331</v>
      </c>
      <c r="B95" s="64">
        <v>9.34</v>
      </c>
      <c r="C95" s="64">
        <v>5.59</v>
      </c>
      <c r="D95" s="64">
        <v>14.18</v>
      </c>
      <c r="E95" s="64">
        <v>4.28</v>
      </c>
      <c r="F95" s="64">
        <v>4.59</v>
      </c>
      <c r="G95" s="64">
        <v>23.59</v>
      </c>
      <c r="H95" s="64">
        <v>4.54</v>
      </c>
      <c r="I95" s="64">
        <v>5.54</v>
      </c>
      <c r="J95" s="64">
        <v>0.81</v>
      </c>
      <c r="K95" s="64">
        <v>115.06</v>
      </c>
      <c r="L95" s="64">
        <v>27.17</v>
      </c>
      <c r="M95" s="64">
        <v>101.17</v>
      </c>
      <c r="N95" s="64">
        <v>42.5</v>
      </c>
      <c r="O95" s="64">
        <v>0</v>
      </c>
      <c r="P95" s="64">
        <v>0.44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4" t="s">
        <v>332</v>
      </c>
      <c r="B96" s="64">
        <v>9.32</v>
      </c>
      <c r="C96" s="64">
        <v>5.63</v>
      </c>
      <c r="D96" s="64">
        <v>14.19</v>
      </c>
      <c r="E96" s="64">
        <v>4.33</v>
      </c>
      <c r="F96" s="64">
        <v>2.56</v>
      </c>
      <c r="G96" s="64">
        <v>24.36</v>
      </c>
      <c r="H96" s="64">
        <v>4.08</v>
      </c>
      <c r="I96" s="64">
        <v>5.39</v>
      </c>
      <c r="J96" s="64">
        <v>0.79</v>
      </c>
      <c r="K96" s="64">
        <v>112.18</v>
      </c>
      <c r="L96" s="64">
        <v>26.64</v>
      </c>
      <c r="M96" s="64">
        <v>101.55</v>
      </c>
      <c r="N96" s="64">
        <v>41.9</v>
      </c>
      <c r="O96" s="64">
        <v>0</v>
      </c>
      <c r="P96" s="64">
        <v>0.43</v>
      </c>
      <c r="Q96" s="64">
        <v>9.58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333</v>
      </c>
      <c r="B97" s="64">
        <v>9.26</v>
      </c>
      <c r="C97" s="64">
        <v>5.48</v>
      </c>
      <c r="D97" s="64">
        <v>14.06</v>
      </c>
      <c r="E97" s="64">
        <v>4.18</v>
      </c>
      <c r="F97" s="64">
        <v>4.41</v>
      </c>
      <c r="G97" s="64">
        <v>24.36</v>
      </c>
      <c r="H97" s="64">
        <v>4.08</v>
      </c>
      <c r="I97" s="64">
        <v>5.48</v>
      </c>
      <c r="J97" s="64">
        <v>0.59</v>
      </c>
      <c r="K97" s="64">
        <v>117.79</v>
      </c>
      <c r="L97" s="64">
        <v>26.81</v>
      </c>
      <c r="M97" s="64">
        <v>101.54</v>
      </c>
      <c r="N97" s="64">
        <v>42.2</v>
      </c>
      <c r="O97" s="64">
        <v>0.2</v>
      </c>
      <c r="P97" s="64">
        <v>0.43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14" t="s">
        <v>334</v>
      </c>
      <c r="B98" s="64">
        <v>9.2799999999999994</v>
      </c>
      <c r="C98" s="64">
        <v>5.47</v>
      </c>
      <c r="D98" s="64">
        <v>14.07</v>
      </c>
      <c r="E98" s="64">
        <v>4.24</v>
      </c>
      <c r="F98" s="64">
        <v>3.08</v>
      </c>
      <c r="G98" s="64">
        <v>24.36</v>
      </c>
      <c r="H98" s="64">
        <v>4.08</v>
      </c>
      <c r="I98" s="64">
        <v>5.25</v>
      </c>
      <c r="J98" s="64">
        <v>1.1100000000000001</v>
      </c>
      <c r="K98" s="64">
        <v>110.64</v>
      </c>
      <c r="L98" s="64">
        <v>26.57</v>
      </c>
      <c r="M98" s="64">
        <v>101.55</v>
      </c>
      <c r="N98" s="64">
        <v>43.1</v>
      </c>
      <c r="O98" s="64">
        <v>0.4</v>
      </c>
      <c r="P98" s="64">
        <v>0.43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4" t="s">
        <v>335</v>
      </c>
      <c r="B99" s="64">
        <v>9.27</v>
      </c>
      <c r="C99" s="64">
        <v>5.39</v>
      </c>
      <c r="D99" s="64">
        <v>14.03</v>
      </c>
      <c r="E99" s="64">
        <v>4.0199999999999996</v>
      </c>
      <c r="F99" s="64">
        <v>3.53</v>
      </c>
      <c r="G99" s="64">
        <v>21.87</v>
      </c>
      <c r="H99" s="64">
        <v>4.38</v>
      </c>
      <c r="I99" s="64">
        <v>5.12</v>
      </c>
      <c r="J99" s="64">
        <v>0.72</v>
      </c>
      <c r="K99" s="64">
        <v>119.09</v>
      </c>
      <c r="L99" s="64">
        <v>26.26</v>
      </c>
      <c r="M99" s="64">
        <v>101.57</v>
      </c>
      <c r="N99" s="64">
        <v>42.7</v>
      </c>
      <c r="O99" s="64">
        <v>0</v>
      </c>
      <c r="P99" s="64">
        <v>0.41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4" t="s">
        <v>336</v>
      </c>
      <c r="B100" s="64">
        <v>9.2100000000000009</v>
      </c>
      <c r="C100" s="64">
        <v>5.15</v>
      </c>
      <c r="D100" s="64">
        <v>13.85</v>
      </c>
      <c r="E100" s="64">
        <v>3.92</v>
      </c>
      <c r="F100" s="64">
        <v>3.81</v>
      </c>
      <c r="G100" s="64">
        <v>19.03</v>
      </c>
      <c r="H100" s="64">
        <v>4.55</v>
      </c>
      <c r="I100" s="64">
        <v>5.0199999999999996</v>
      </c>
      <c r="J100" s="64">
        <v>0.37</v>
      </c>
      <c r="K100" s="64">
        <v>110.15</v>
      </c>
      <c r="L100" s="64">
        <v>26.26</v>
      </c>
      <c r="M100" s="64">
        <v>101.55</v>
      </c>
      <c r="N100" s="64">
        <v>43</v>
      </c>
      <c r="O100" s="64">
        <v>0</v>
      </c>
      <c r="P100" s="64">
        <v>0.41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337</v>
      </c>
      <c r="B101" s="64">
        <v>9.2100000000000009</v>
      </c>
      <c r="C101" s="64">
        <v>5.04</v>
      </c>
      <c r="D101" s="64">
        <v>13.79</v>
      </c>
      <c r="E101" s="64">
        <v>4.01</v>
      </c>
      <c r="F101" s="64">
        <v>3.55</v>
      </c>
      <c r="G101" s="64">
        <v>19.03</v>
      </c>
      <c r="H101" s="64">
        <v>4.55</v>
      </c>
      <c r="I101" s="64">
        <v>5.2</v>
      </c>
      <c r="J101" s="64">
        <v>0.68</v>
      </c>
      <c r="K101" s="64">
        <v>110.08</v>
      </c>
      <c r="L101" s="64">
        <v>26.44</v>
      </c>
      <c r="M101" s="64">
        <v>101.53</v>
      </c>
      <c r="N101" s="64">
        <v>43.4</v>
      </c>
      <c r="O101" s="64">
        <v>0</v>
      </c>
      <c r="P101" s="64">
        <v>0.4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4" t="s">
        <v>338</v>
      </c>
      <c r="B102" s="64">
        <v>9.77</v>
      </c>
      <c r="C102" s="64">
        <v>4.3499999999999996</v>
      </c>
      <c r="D102" s="64">
        <v>13.88</v>
      </c>
      <c r="E102" s="64">
        <v>4.2</v>
      </c>
      <c r="F102" s="64">
        <v>3.5</v>
      </c>
      <c r="G102" s="64">
        <v>19.03</v>
      </c>
      <c r="H102" s="64">
        <v>4.55</v>
      </c>
      <c r="I102" s="64">
        <v>5.18</v>
      </c>
      <c r="J102" s="64">
        <v>0.67</v>
      </c>
      <c r="K102" s="64">
        <v>118.8</v>
      </c>
      <c r="L102" s="64">
        <v>26.56</v>
      </c>
      <c r="M102" s="64">
        <v>101.52</v>
      </c>
      <c r="N102" s="64">
        <v>43.5</v>
      </c>
      <c r="O102" s="64">
        <v>0</v>
      </c>
      <c r="P102" s="64">
        <v>0.4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4" t="s">
        <v>339</v>
      </c>
      <c r="B103" s="64">
        <v>10.15</v>
      </c>
      <c r="C103" s="64">
        <v>4.3899999999999997</v>
      </c>
      <c r="D103" s="64">
        <v>14.2</v>
      </c>
      <c r="E103" s="64">
        <v>4.1100000000000003</v>
      </c>
      <c r="F103" s="64">
        <v>3.57</v>
      </c>
      <c r="G103" s="64">
        <v>17.73</v>
      </c>
      <c r="H103" s="64">
        <v>4.8099999999999996</v>
      </c>
      <c r="I103" s="64">
        <v>5.18</v>
      </c>
      <c r="J103" s="64">
        <v>0.86</v>
      </c>
      <c r="K103" s="64">
        <v>113.16</v>
      </c>
      <c r="L103" s="64">
        <v>26.68</v>
      </c>
      <c r="M103" s="64">
        <v>101.53</v>
      </c>
      <c r="N103" s="64">
        <v>43.8</v>
      </c>
      <c r="O103" s="64">
        <v>0</v>
      </c>
      <c r="P103" s="64">
        <v>0.39</v>
      </c>
      <c r="Q103" s="64">
        <v>9.67</v>
      </c>
      <c r="R103" s="198"/>
      <c r="S103" s="198"/>
      <c r="T103" s="198"/>
      <c r="U103" s="198"/>
    </row>
    <row r="104" spans="1:33" s="12" customFormat="1" x14ac:dyDescent="0.25">
      <c r="A104" s="214" t="s">
        <v>340</v>
      </c>
      <c r="B104" s="64">
        <v>10.029999999999999</v>
      </c>
      <c r="C104" s="64">
        <v>4.6900000000000004</v>
      </c>
      <c r="D104" s="64">
        <v>14.27</v>
      </c>
      <c r="E104" s="64">
        <v>4.66</v>
      </c>
      <c r="F104" s="64">
        <v>3</v>
      </c>
      <c r="G104" s="64">
        <v>16.239999999999998</v>
      </c>
      <c r="H104" s="64">
        <v>5.19</v>
      </c>
      <c r="I104" s="64">
        <v>5.19</v>
      </c>
      <c r="J104" s="64">
        <v>0.79</v>
      </c>
      <c r="K104" s="64">
        <v>117.24</v>
      </c>
      <c r="L104" s="64">
        <v>26.74</v>
      </c>
      <c r="M104" s="64">
        <v>101.52</v>
      </c>
      <c r="N104" s="64">
        <v>43.8</v>
      </c>
      <c r="O104" s="64">
        <v>0</v>
      </c>
      <c r="P104" s="64">
        <v>0.39</v>
      </c>
      <c r="Q104" s="64">
        <v>9.67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7.92</v>
      </c>
      <c r="C106" s="67">
        <f>MIN(C9:C104)</f>
        <v>2.91</v>
      </c>
      <c r="D106" s="67">
        <f t="shared" ref="D106:Q106" si="0">MIN(D9:D104)</f>
        <v>11.65</v>
      </c>
      <c r="E106" s="67">
        <f t="shared" si="0"/>
        <v>3.12</v>
      </c>
      <c r="F106" s="67">
        <f t="shared" si="0"/>
        <v>2.17</v>
      </c>
      <c r="G106" s="67">
        <f t="shared" si="0"/>
        <v>15.16</v>
      </c>
      <c r="H106" s="67">
        <f t="shared" si="0"/>
        <v>1.66</v>
      </c>
      <c r="I106" s="67">
        <f t="shared" si="0"/>
        <v>4.07</v>
      </c>
      <c r="J106" s="67">
        <f t="shared" si="0"/>
        <v>0.03</v>
      </c>
      <c r="K106" s="67">
        <f t="shared" si="0"/>
        <v>10.8</v>
      </c>
      <c r="L106" s="67">
        <f t="shared" si="0"/>
        <v>26.26</v>
      </c>
      <c r="M106" s="67">
        <f t="shared" si="0"/>
        <v>75.55</v>
      </c>
      <c r="N106" s="67">
        <f t="shared" si="0"/>
        <v>41.5</v>
      </c>
      <c r="O106" s="67">
        <f t="shared" si="0"/>
        <v>0</v>
      </c>
      <c r="P106" s="67">
        <f t="shared" si="0"/>
        <v>0.21</v>
      </c>
      <c r="Q106" s="67">
        <f t="shared" si="0"/>
        <v>9.5399999999999991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10.15</v>
      </c>
      <c r="C107" s="66">
        <f t="shared" ref="C107:Q107" si="1">MAX(C9:C104)</f>
        <v>5.74</v>
      </c>
      <c r="D107" s="66">
        <f t="shared" si="1"/>
        <v>14.34</v>
      </c>
      <c r="E107" s="66">
        <f t="shared" si="1"/>
        <v>5.29</v>
      </c>
      <c r="F107" s="66">
        <f t="shared" si="1"/>
        <v>5.09</v>
      </c>
      <c r="G107" s="66">
        <f t="shared" si="1"/>
        <v>83.8</v>
      </c>
      <c r="H107" s="66">
        <f t="shared" si="1"/>
        <v>23.92</v>
      </c>
      <c r="I107" s="66">
        <f t="shared" si="1"/>
        <v>7.26</v>
      </c>
      <c r="J107" s="66">
        <f t="shared" si="1"/>
        <v>2.75</v>
      </c>
      <c r="K107" s="66">
        <f t="shared" si="1"/>
        <v>351.35</v>
      </c>
      <c r="L107" s="66">
        <f t="shared" si="1"/>
        <v>31.44</v>
      </c>
      <c r="M107" s="66">
        <f t="shared" si="1"/>
        <v>101.57</v>
      </c>
      <c r="N107" s="66">
        <f t="shared" si="1"/>
        <v>689.3</v>
      </c>
      <c r="O107" s="66">
        <f t="shared" si="1"/>
        <v>0.4</v>
      </c>
      <c r="P107" s="66">
        <f t="shared" si="1"/>
        <v>0.75</v>
      </c>
      <c r="Q107" s="66">
        <f t="shared" si="1"/>
        <v>9.89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8.2618750000000087</v>
      </c>
      <c r="C108" s="67">
        <f t="shared" ref="C108:Q108" si="2">AVERAGE(C9:C104)</f>
        <v>3.4281249999999996</v>
      </c>
      <c r="D108" s="67">
        <f t="shared" si="2"/>
        <v>12.190312500000006</v>
      </c>
      <c r="E108" s="67">
        <f t="shared" si="2"/>
        <v>4.1104166666666666</v>
      </c>
      <c r="F108" s="67">
        <f t="shared" si="2"/>
        <v>3.5992708333333332</v>
      </c>
      <c r="G108" s="67">
        <f t="shared" si="2"/>
        <v>28.748333333333331</v>
      </c>
      <c r="H108" s="67">
        <f t="shared" si="2"/>
        <v>7.8293749999999962</v>
      </c>
      <c r="I108" s="67">
        <f t="shared" si="2"/>
        <v>5.5375000000000005</v>
      </c>
      <c r="J108" s="67">
        <f t="shared" si="2"/>
        <v>0.87781250000000022</v>
      </c>
      <c r="K108" s="67">
        <f t="shared" si="2"/>
        <v>138.97218749999999</v>
      </c>
      <c r="L108" s="67">
        <f t="shared" si="2"/>
        <v>28.473125</v>
      </c>
      <c r="M108" s="67">
        <f t="shared" si="2"/>
        <v>92.818854166666711</v>
      </c>
      <c r="N108" s="67">
        <f t="shared" si="2"/>
        <v>170.32083333333335</v>
      </c>
      <c r="O108" s="67">
        <f t="shared" si="2"/>
        <v>6.2500000000000012E-3</v>
      </c>
      <c r="P108" s="67">
        <f t="shared" si="2"/>
        <v>0.37947916666666659</v>
      </c>
      <c r="Q108" s="67">
        <f t="shared" si="2"/>
        <v>9.6685416666666679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0.5865372290423102</v>
      </c>
      <c r="C109" s="67">
        <f t="shared" ref="C109:Q109" si="3">STDEV(C9:C104)</f>
        <v>0.92280956865433594</v>
      </c>
      <c r="D109" s="67">
        <f t="shared" si="3"/>
        <v>0.9368114488996564</v>
      </c>
      <c r="E109" s="67">
        <f t="shared" si="3"/>
        <v>0.47362413849105867</v>
      </c>
      <c r="F109" s="67">
        <f t="shared" si="3"/>
        <v>0.59909799706535949</v>
      </c>
      <c r="G109" s="67">
        <f t="shared" si="3"/>
        <v>17.309894260169397</v>
      </c>
      <c r="H109" s="67">
        <f t="shared" si="3"/>
        <v>5.661131523960468</v>
      </c>
      <c r="I109" s="67">
        <f t="shared" si="3"/>
        <v>0.90057174821564856</v>
      </c>
      <c r="J109" s="67">
        <f t="shared" si="3"/>
        <v>0.71287734698340999</v>
      </c>
      <c r="K109" s="67">
        <f t="shared" si="3"/>
        <v>78.290344638311225</v>
      </c>
      <c r="L109" s="67">
        <f t="shared" si="3"/>
        <v>1.544038663614627</v>
      </c>
      <c r="M109" s="67">
        <f t="shared" si="3"/>
        <v>9.1717350559424418</v>
      </c>
      <c r="N109" s="67">
        <f t="shared" si="3"/>
        <v>184.40533952576868</v>
      </c>
      <c r="O109" s="67">
        <f t="shared" si="3"/>
        <v>4.5450956796135887E-2</v>
      </c>
      <c r="P109" s="67">
        <f t="shared" si="3"/>
        <v>0.11026637404764089</v>
      </c>
      <c r="Q109" s="67">
        <f t="shared" si="3"/>
        <v>8.9993908175897849E-2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341</v>
      </c>
      <c r="B9" s="64">
        <v>9.8000000000000007</v>
      </c>
      <c r="C9" s="64">
        <v>4.87</v>
      </c>
      <c r="D9" s="64">
        <v>14.18</v>
      </c>
      <c r="E9" s="64">
        <v>3.8</v>
      </c>
      <c r="F9" s="64">
        <v>2.9</v>
      </c>
      <c r="G9" s="64">
        <v>16.239999999999998</v>
      </c>
      <c r="H9" s="64">
        <v>5.19</v>
      </c>
      <c r="I9" s="64">
        <v>5.4</v>
      </c>
      <c r="J9" s="64">
        <v>0.77</v>
      </c>
      <c r="K9" s="64">
        <v>110.35</v>
      </c>
      <c r="L9" s="64">
        <v>26.71</v>
      </c>
      <c r="M9" s="64">
        <v>101.52</v>
      </c>
      <c r="N9" s="64">
        <v>43.8</v>
      </c>
      <c r="O9" s="64">
        <v>0</v>
      </c>
      <c r="P9" s="64">
        <v>0.38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4" t="s">
        <v>342</v>
      </c>
      <c r="B10" s="64">
        <v>9.64</v>
      </c>
      <c r="C10" s="64">
        <v>5.01</v>
      </c>
      <c r="D10" s="64">
        <v>14.12</v>
      </c>
      <c r="E10" s="64">
        <v>3.7</v>
      </c>
      <c r="F10" s="64">
        <v>3.86</v>
      </c>
      <c r="G10" s="64">
        <v>16.239999999999998</v>
      </c>
      <c r="H10" s="64">
        <v>5.19</v>
      </c>
      <c r="I10" s="64">
        <v>5.55</v>
      </c>
      <c r="J10" s="64">
        <v>0.43</v>
      </c>
      <c r="K10" s="64">
        <v>117.06</v>
      </c>
      <c r="L10" s="64">
        <v>26.7</v>
      </c>
      <c r="M10" s="64">
        <v>101.52</v>
      </c>
      <c r="N10" s="64">
        <v>43.7</v>
      </c>
      <c r="O10" s="64">
        <v>0</v>
      </c>
      <c r="P10" s="64">
        <v>0.38</v>
      </c>
      <c r="Q10" s="64">
        <v>9.65</v>
      </c>
      <c r="R10" s="198"/>
      <c r="S10" s="198"/>
      <c r="T10" s="198"/>
      <c r="U10" s="198"/>
    </row>
    <row r="11" spans="1:21" s="12" customFormat="1" x14ac:dyDescent="0.25">
      <c r="A11" s="214" t="s">
        <v>343</v>
      </c>
      <c r="B11" s="64">
        <v>9.52</v>
      </c>
      <c r="C11" s="64">
        <v>5.24</v>
      </c>
      <c r="D11" s="64">
        <v>14.15</v>
      </c>
      <c r="E11" s="64">
        <v>4.1900000000000004</v>
      </c>
      <c r="F11" s="64">
        <v>3.96</v>
      </c>
      <c r="G11" s="64">
        <v>14.09</v>
      </c>
      <c r="H11" s="64">
        <v>5.73</v>
      </c>
      <c r="I11" s="64">
        <v>5.6</v>
      </c>
      <c r="J11" s="64">
        <v>0.57999999999999996</v>
      </c>
      <c r="K11" s="64">
        <v>113.42</v>
      </c>
      <c r="L11" s="64">
        <v>26.68</v>
      </c>
      <c r="M11" s="64">
        <v>101.53</v>
      </c>
      <c r="N11" s="64">
        <v>43.5</v>
      </c>
      <c r="O11" s="64">
        <v>0</v>
      </c>
      <c r="P11" s="64">
        <v>0.39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4" t="s">
        <v>344</v>
      </c>
      <c r="B12" s="64">
        <v>9.39</v>
      </c>
      <c r="C12" s="64">
        <v>5.31</v>
      </c>
      <c r="D12" s="64">
        <v>14.08</v>
      </c>
      <c r="E12" s="64">
        <v>3.86</v>
      </c>
      <c r="F12" s="64">
        <v>2.73</v>
      </c>
      <c r="G12" s="64">
        <v>11.62</v>
      </c>
      <c r="H12" s="64">
        <v>6.06</v>
      </c>
      <c r="I12" s="64">
        <v>5.53</v>
      </c>
      <c r="J12" s="64">
        <v>0.89</v>
      </c>
      <c r="K12" s="64">
        <v>113.81</v>
      </c>
      <c r="L12" s="64">
        <v>26.72</v>
      </c>
      <c r="M12" s="64">
        <v>101.53</v>
      </c>
      <c r="N12" s="64">
        <v>43.7</v>
      </c>
      <c r="O12" s="64">
        <v>0</v>
      </c>
      <c r="P12" s="64">
        <v>0.37</v>
      </c>
      <c r="Q12" s="64">
        <v>9.59</v>
      </c>
      <c r="R12" s="198"/>
      <c r="S12" s="198"/>
      <c r="T12" s="198"/>
      <c r="U12" s="198"/>
    </row>
    <row r="13" spans="1:21" s="12" customFormat="1" x14ac:dyDescent="0.25">
      <c r="A13" s="214" t="s">
        <v>345</v>
      </c>
      <c r="B13" s="64">
        <v>9.2200000000000006</v>
      </c>
      <c r="C13" s="64">
        <v>5.19</v>
      </c>
      <c r="D13" s="64">
        <v>13.88</v>
      </c>
      <c r="E13" s="64">
        <v>3.58</v>
      </c>
      <c r="F13" s="64">
        <v>4.71</v>
      </c>
      <c r="G13" s="64">
        <v>11.62</v>
      </c>
      <c r="H13" s="64">
        <v>6.06</v>
      </c>
      <c r="I13" s="64">
        <v>5.41</v>
      </c>
      <c r="J13" s="64">
        <v>0.63</v>
      </c>
      <c r="K13" s="64">
        <v>109.05</v>
      </c>
      <c r="L13" s="64">
        <v>26.67</v>
      </c>
      <c r="M13" s="64">
        <v>101.53</v>
      </c>
      <c r="N13" s="64">
        <v>43.6</v>
      </c>
      <c r="O13" s="64">
        <v>0</v>
      </c>
      <c r="P13" s="64">
        <v>0.36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4" t="s">
        <v>346</v>
      </c>
      <c r="B14" s="64">
        <v>9.1300000000000008</v>
      </c>
      <c r="C14" s="64">
        <v>5.0599999999999996</v>
      </c>
      <c r="D14" s="64">
        <v>13.74</v>
      </c>
      <c r="E14" s="64">
        <v>3.67</v>
      </c>
      <c r="F14" s="64">
        <v>2.44</v>
      </c>
      <c r="G14" s="64">
        <v>11.62</v>
      </c>
      <c r="H14" s="64">
        <v>6.06</v>
      </c>
      <c r="I14" s="64">
        <v>5.4</v>
      </c>
      <c r="J14" s="64">
        <v>0.93</v>
      </c>
      <c r="K14" s="64">
        <v>111.02</v>
      </c>
      <c r="L14" s="64">
        <v>26.64</v>
      </c>
      <c r="M14" s="64">
        <v>101.53</v>
      </c>
      <c r="N14" s="64">
        <v>43.5</v>
      </c>
      <c r="O14" s="64">
        <v>0</v>
      </c>
      <c r="P14" s="64">
        <v>0.36</v>
      </c>
      <c r="Q14" s="64">
        <v>9.58</v>
      </c>
      <c r="R14" s="198"/>
      <c r="S14" s="198"/>
      <c r="T14" s="198"/>
      <c r="U14" s="198"/>
    </row>
    <row r="15" spans="1:21" s="12" customFormat="1" x14ac:dyDescent="0.25">
      <c r="A15" s="214" t="s">
        <v>347</v>
      </c>
      <c r="B15" s="64">
        <v>9.01</v>
      </c>
      <c r="C15" s="64">
        <v>4.9400000000000004</v>
      </c>
      <c r="D15" s="64">
        <v>13.58</v>
      </c>
      <c r="E15" s="64">
        <v>3.74</v>
      </c>
      <c r="F15" s="64">
        <v>3.78</v>
      </c>
      <c r="G15" s="64">
        <v>10.98</v>
      </c>
      <c r="H15" s="64">
        <v>4.97</v>
      </c>
      <c r="I15" s="64">
        <v>5.59</v>
      </c>
      <c r="J15" s="64">
        <v>0.95</v>
      </c>
      <c r="K15" s="64">
        <v>114.83</v>
      </c>
      <c r="L15" s="64">
        <v>26.58</v>
      </c>
      <c r="M15" s="64">
        <v>101.53</v>
      </c>
      <c r="N15" s="64">
        <v>43.2</v>
      </c>
      <c r="O15" s="64">
        <v>0</v>
      </c>
      <c r="P15" s="64">
        <v>0.35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4" t="s">
        <v>348</v>
      </c>
      <c r="B16" s="64">
        <v>8.9700000000000006</v>
      </c>
      <c r="C16" s="64">
        <v>4.8499999999999996</v>
      </c>
      <c r="D16" s="64">
        <v>13.5</v>
      </c>
      <c r="E16" s="64">
        <v>3.38</v>
      </c>
      <c r="F16" s="64">
        <v>3.28</v>
      </c>
      <c r="G16" s="64">
        <v>10.210000000000001</v>
      </c>
      <c r="H16" s="64">
        <v>4.26</v>
      </c>
      <c r="I16" s="64">
        <v>5.47</v>
      </c>
      <c r="J16" s="64">
        <v>1.46</v>
      </c>
      <c r="K16" s="64">
        <v>115.87</v>
      </c>
      <c r="L16" s="64">
        <v>26.5</v>
      </c>
      <c r="M16" s="64">
        <v>101.53</v>
      </c>
      <c r="N16" s="64">
        <v>42.7</v>
      </c>
      <c r="O16" s="64">
        <v>0</v>
      </c>
      <c r="P16" s="64">
        <v>0.36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14" t="s">
        <v>349</v>
      </c>
      <c r="B17" s="64">
        <v>8.94</v>
      </c>
      <c r="C17" s="64">
        <v>4.88</v>
      </c>
      <c r="D17" s="64">
        <v>13.49</v>
      </c>
      <c r="E17" s="64">
        <v>3.62</v>
      </c>
      <c r="F17" s="64">
        <v>2.81</v>
      </c>
      <c r="G17" s="64">
        <v>10.210000000000001</v>
      </c>
      <c r="H17" s="64">
        <v>4.26</v>
      </c>
      <c r="I17" s="64">
        <v>5.54</v>
      </c>
      <c r="J17" s="64">
        <v>1.23</v>
      </c>
      <c r="K17" s="64">
        <v>114.19</v>
      </c>
      <c r="L17" s="64">
        <v>26.4</v>
      </c>
      <c r="M17" s="64">
        <v>101.53</v>
      </c>
      <c r="N17" s="64">
        <v>42.4</v>
      </c>
      <c r="O17" s="64">
        <v>0</v>
      </c>
      <c r="P17" s="64">
        <v>0.33</v>
      </c>
      <c r="Q17" s="64">
        <v>9.57</v>
      </c>
      <c r="R17" s="198"/>
      <c r="S17" s="198"/>
      <c r="T17" s="198"/>
      <c r="U17" s="198"/>
    </row>
    <row r="18" spans="1:21" s="12" customFormat="1" x14ac:dyDescent="0.25">
      <c r="A18" s="214" t="s">
        <v>350</v>
      </c>
      <c r="B18" s="64">
        <v>8.83</v>
      </c>
      <c r="C18" s="64">
        <v>4.7300000000000004</v>
      </c>
      <c r="D18" s="64">
        <v>13.33</v>
      </c>
      <c r="E18" s="64">
        <v>3.44</v>
      </c>
      <c r="F18" s="64">
        <v>4.28</v>
      </c>
      <c r="G18" s="64">
        <v>10.210000000000001</v>
      </c>
      <c r="H18" s="64">
        <v>4.26</v>
      </c>
      <c r="I18" s="64">
        <v>5.64</v>
      </c>
      <c r="J18" s="64">
        <v>1.1000000000000001</v>
      </c>
      <c r="K18" s="64">
        <v>120.03</v>
      </c>
      <c r="L18" s="64">
        <v>26.31</v>
      </c>
      <c r="M18" s="64">
        <v>101.53</v>
      </c>
      <c r="N18" s="64">
        <v>42.4</v>
      </c>
      <c r="O18" s="64">
        <v>0</v>
      </c>
      <c r="P18" s="64">
        <v>0.34</v>
      </c>
      <c r="Q18" s="64">
        <v>9.59</v>
      </c>
      <c r="R18" s="198"/>
      <c r="S18" s="198"/>
      <c r="T18" s="198"/>
      <c r="U18" s="198"/>
    </row>
    <row r="19" spans="1:21" s="12" customFormat="1" x14ac:dyDescent="0.25">
      <c r="A19" s="214" t="s">
        <v>351</v>
      </c>
      <c r="B19" s="64">
        <v>8.8000000000000007</v>
      </c>
      <c r="C19" s="64">
        <v>4.7</v>
      </c>
      <c r="D19" s="64">
        <v>13.28</v>
      </c>
      <c r="E19" s="64">
        <v>3.54</v>
      </c>
      <c r="F19" s="64">
        <v>2.74</v>
      </c>
      <c r="G19" s="64">
        <v>11.39</v>
      </c>
      <c r="H19" s="64">
        <v>4.96</v>
      </c>
      <c r="I19" s="64">
        <v>5.68</v>
      </c>
      <c r="J19" s="64">
        <v>1.53</v>
      </c>
      <c r="K19" s="64">
        <v>109.95</v>
      </c>
      <c r="L19" s="64">
        <v>26.31</v>
      </c>
      <c r="M19" s="64">
        <v>101.53</v>
      </c>
      <c r="N19" s="64">
        <v>42.3</v>
      </c>
      <c r="O19" s="64">
        <v>0</v>
      </c>
      <c r="P19" s="64">
        <v>0.32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4" t="s">
        <v>352</v>
      </c>
      <c r="B20" s="64">
        <v>8.76</v>
      </c>
      <c r="C20" s="64">
        <v>4.58</v>
      </c>
      <c r="D20" s="64">
        <v>13.19</v>
      </c>
      <c r="E20" s="64">
        <v>3.02</v>
      </c>
      <c r="F20" s="64">
        <v>3.65</v>
      </c>
      <c r="G20" s="64">
        <v>12.8</v>
      </c>
      <c r="H20" s="64">
        <v>5.4</v>
      </c>
      <c r="I20" s="64">
        <v>5.74</v>
      </c>
      <c r="J20" s="64">
        <v>1.18</v>
      </c>
      <c r="K20" s="64">
        <v>115.98</v>
      </c>
      <c r="L20" s="64">
        <v>26.34</v>
      </c>
      <c r="M20" s="64">
        <v>101.53</v>
      </c>
      <c r="N20" s="64">
        <v>42.5</v>
      </c>
      <c r="O20" s="64">
        <v>0</v>
      </c>
      <c r="P20" s="64">
        <v>0.31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14" t="s">
        <v>353</v>
      </c>
      <c r="B21" s="64">
        <v>8.73</v>
      </c>
      <c r="C21" s="64">
        <v>4.54</v>
      </c>
      <c r="D21" s="64">
        <v>13.15</v>
      </c>
      <c r="E21" s="64">
        <v>3.32</v>
      </c>
      <c r="F21" s="64">
        <v>3.54</v>
      </c>
      <c r="G21" s="64">
        <v>12.8</v>
      </c>
      <c r="H21" s="64">
        <v>5.4</v>
      </c>
      <c r="I21" s="64">
        <v>5.78</v>
      </c>
      <c r="J21" s="64">
        <v>1.22</v>
      </c>
      <c r="K21" s="64">
        <v>115.38</v>
      </c>
      <c r="L21" s="64">
        <v>26.35</v>
      </c>
      <c r="M21" s="64">
        <v>101.53</v>
      </c>
      <c r="N21" s="64">
        <v>42.6</v>
      </c>
      <c r="O21" s="64">
        <v>0</v>
      </c>
      <c r="P21" s="64">
        <v>0.31</v>
      </c>
      <c r="Q21" s="64">
        <v>9.59</v>
      </c>
      <c r="R21" s="198"/>
      <c r="S21" s="198"/>
      <c r="T21" s="198"/>
      <c r="U21" s="198"/>
    </row>
    <row r="22" spans="1:21" s="12" customFormat="1" x14ac:dyDescent="0.25">
      <c r="A22" s="214" t="s">
        <v>354</v>
      </c>
      <c r="B22" s="64">
        <v>8.6999999999999993</v>
      </c>
      <c r="C22" s="64">
        <v>4.47</v>
      </c>
      <c r="D22" s="64">
        <v>13.09</v>
      </c>
      <c r="E22" s="64">
        <v>3.57</v>
      </c>
      <c r="F22" s="64">
        <v>3.55</v>
      </c>
      <c r="G22" s="64">
        <v>12.8</v>
      </c>
      <c r="H22" s="64">
        <v>5.4</v>
      </c>
      <c r="I22" s="64">
        <v>5.96</v>
      </c>
      <c r="J22" s="64">
        <v>1.5</v>
      </c>
      <c r="K22" s="64">
        <v>113.44</v>
      </c>
      <c r="L22" s="64">
        <v>26.35</v>
      </c>
      <c r="M22" s="64">
        <v>101.53</v>
      </c>
      <c r="N22" s="64">
        <v>42.7</v>
      </c>
      <c r="O22" s="64">
        <v>0</v>
      </c>
      <c r="P22" s="64">
        <v>0.31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4" t="s">
        <v>355</v>
      </c>
      <c r="B23" s="64">
        <v>8.68</v>
      </c>
      <c r="C23" s="64">
        <v>4.42</v>
      </c>
      <c r="D23" s="64">
        <v>13.05</v>
      </c>
      <c r="E23" s="64">
        <v>3.59</v>
      </c>
      <c r="F23" s="64">
        <v>3.79</v>
      </c>
      <c r="G23" s="64">
        <v>12.6</v>
      </c>
      <c r="H23" s="64">
        <v>4.74</v>
      </c>
      <c r="I23" s="64">
        <v>5.99</v>
      </c>
      <c r="J23" s="64">
        <v>1.38</v>
      </c>
      <c r="K23" s="64">
        <v>119.07</v>
      </c>
      <c r="L23" s="64">
        <v>26.35</v>
      </c>
      <c r="M23" s="64">
        <v>101.52</v>
      </c>
      <c r="N23" s="64">
        <v>42.8</v>
      </c>
      <c r="O23" s="64">
        <v>0</v>
      </c>
      <c r="P23" s="64">
        <v>0.3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4" t="s">
        <v>356</v>
      </c>
      <c r="B24" s="64">
        <v>8.69</v>
      </c>
      <c r="C24" s="64">
        <v>4.4000000000000004</v>
      </c>
      <c r="D24" s="64">
        <v>13.04</v>
      </c>
      <c r="E24" s="64">
        <v>4.79</v>
      </c>
      <c r="F24" s="64">
        <v>2.79</v>
      </c>
      <c r="G24" s="64">
        <v>12.35</v>
      </c>
      <c r="H24" s="64">
        <v>3.78</v>
      </c>
      <c r="I24" s="64">
        <v>6.03</v>
      </c>
      <c r="J24" s="64">
        <v>1</v>
      </c>
      <c r="K24" s="64">
        <v>114.55</v>
      </c>
      <c r="L24" s="64">
        <v>26.34</v>
      </c>
      <c r="M24" s="64">
        <v>101.53</v>
      </c>
      <c r="N24" s="64">
        <v>42.7</v>
      </c>
      <c r="O24" s="64">
        <v>0</v>
      </c>
      <c r="P24" s="64">
        <v>0.3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4" t="s">
        <v>357</v>
      </c>
      <c r="B25" s="64">
        <v>8.68</v>
      </c>
      <c r="C25" s="64">
        <v>4.3600000000000003</v>
      </c>
      <c r="D25" s="64">
        <v>13.01</v>
      </c>
      <c r="E25" s="64">
        <v>4.9800000000000004</v>
      </c>
      <c r="F25" s="64">
        <v>3.21</v>
      </c>
      <c r="G25" s="64">
        <v>12.35</v>
      </c>
      <c r="H25" s="64">
        <v>3.78</v>
      </c>
      <c r="I25" s="64">
        <v>6.18</v>
      </c>
      <c r="J25" s="64">
        <v>0.95</v>
      </c>
      <c r="K25" s="64">
        <v>115.9</v>
      </c>
      <c r="L25" s="64">
        <v>26.32</v>
      </c>
      <c r="M25" s="64">
        <v>101.52</v>
      </c>
      <c r="N25" s="64">
        <v>42.9</v>
      </c>
      <c r="O25" s="64">
        <v>0</v>
      </c>
      <c r="P25" s="64">
        <v>0.3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4" t="s">
        <v>358</v>
      </c>
      <c r="B26" s="64">
        <v>8.69</v>
      </c>
      <c r="C26" s="64">
        <v>4.3600000000000003</v>
      </c>
      <c r="D26" s="64">
        <v>13.02</v>
      </c>
      <c r="E26" s="64">
        <v>5.37</v>
      </c>
      <c r="F26" s="64">
        <v>3.26</v>
      </c>
      <c r="G26" s="64">
        <v>12.35</v>
      </c>
      <c r="H26" s="64">
        <v>3.78</v>
      </c>
      <c r="I26" s="64">
        <v>6.19</v>
      </c>
      <c r="J26" s="64">
        <v>0.9</v>
      </c>
      <c r="K26" s="64">
        <v>115.53</v>
      </c>
      <c r="L26" s="64">
        <v>26.24</v>
      </c>
      <c r="M26" s="64">
        <v>101.47</v>
      </c>
      <c r="N26" s="64">
        <v>42.7</v>
      </c>
      <c r="O26" s="64">
        <v>0</v>
      </c>
      <c r="P26" s="64">
        <v>0.28999999999999998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359</v>
      </c>
      <c r="B27" s="64">
        <v>8.66</v>
      </c>
      <c r="C27" s="64">
        <v>4.34</v>
      </c>
      <c r="D27" s="64">
        <v>12.99</v>
      </c>
      <c r="E27" s="64">
        <v>4.95</v>
      </c>
      <c r="F27" s="64">
        <v>4.01</v>
      </c>
      <c r="G27" s="64">
        <v>11.04</v>
      </c>
      <c r="H27" s="64">
        <v>3.65</v>
      </c>
      <c r="I27" s="64">
        <v>6.15</v>
      </c>
      <c r="J27" s="64">
        <v>0.51</v>
      </c>
      <c r="K27" s="64">
        <v>114.97</v>
      </c>
      <c r="L27" s="64">
        <v>26.1</v>
      </c>
      <c r="M27" s="64">
        <v>101.52</v>
      </c>
      <c r="N27" s="64">
        <v>42.6</v>
      </c>
      <c r="O27" s="64">
        <v>0</v>
      </c>
      <c r="P27" s="64">
        <v>0.3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360</v>
      </c>
      <c r="B28" s="64">
        <v>8.68</v>
      </c>
      <c r="C28" s="64">
        <v>4.46</v>
      </c>
      <c r="D28" s="64">
        <v>13.07</v>
      </c>
      <c r="E28" s="64">
        <v>5.41</v>
      </c>
      <c r="F28" s="64">
        <v>3.6</v>
      </c>
      <c r="G28" s="64">
        <v>9.48</v>
      </c>
      <c r="H28" s="64">
        <v>3.57</v>
      </c>
      <c r="I28" s="64">
        <v>6.09</v>
      </c>
      <c r="J28" s="64">
        <v>0.55000000000000004</v>
      </c>
      <c r="K28" s="64">
        <v>107.88</v>
      </c>
      <c r="L28" s="64">
        <v>26.09</v>
      </c>
      <c r="M28" s="64">
        <v>100.99</v>
      </c>
      <c r="N28" s="64">
        <v>42.6</v>
      </c>
      <c r="O28" s="64">
        <v>0</v>
      </c>
      <c r="P28" s="64">
        <v>0.3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4" t="s">
        <v>361</v>
      </c>
      <c r="B29" s="64">
        <v>8.68</v>
      </c>
      <c r="C29" s="64">
        <v>4.5</v>
      </c>
      <c r="D29" s="64">
        <v>13.09</v>
      </c>
      <c r="E29" s="64">
        <v>5.45</v>
      </c>
      <c r="F29" s="64">
        <v>3.67</v>
      </c>
      <c r="G29" s="64">
        <v>9.48</v>
      </c>
      <c r="H29" s="64">
        <v>3.57</v>
      </c>
      <c r="I29" s="64">
        <v>5.95</v>
      </c>
      <c r="J29" s="64">
        <v>0.88</v>
      </c>
      <c r="K29" s="64">
        <v>114</v>
      </c>
      <c r="L29" s="64">
        <v>26.17</v>
      </c>
      <c r="M29" s="64">
        <v>100.98</v>
      </c>
      <c r="N29" s="64">
        <v>42.6</v>
      </c>
      <c r="O29" s="64">
        <v>0</v>
      </c>
      <c r="P29" s="64">
        <v>0.28999999999999998</v>
      </c>
      <c r="Q29" s="64">
        <v>9.5500000000000007</v>
      </c>
      <c r="R29" s="198"/>
      <c r="S29" s="198"/>
      <c r="T29" s="198"/>
      <c r="U29" s="198"/>
    </row>
    <row r="30" spans="1:21" s="12" customFormat="1" x14ac:dyDescent="0.25">
      <c r="A30" s="214" t="s">
        <v>362</v>
      </c>
      <c r="B30" s="64">
        <v>8.66</v>
      </c>
      <c r="C30" s="64">
        <v>4.45</v>
      </c>
      <c r="D30" s="64">
        <v>13.05</v>
      </c>
      <c r="E30" s="64">
        <v>5.59</v>
      </c>
      <c r="F30" s="64">
        <v>4.46</v>
      </c>
      <c r="G30" s="64">
        <v>9.48</v>
      </c>
      <c r="H30" s="64">
        <v>3.57</v>
      </c>
      <c r="I30" s="64">
        <v>5.79</v>
      </c>
      <c r="J30" s="64">
        <v>1.26</v>
      </c>
      <c r="K30" s="64">
        <v>111.81</v>
      </c>
      <c r="L30" s="64">
        <v>26.17</v>
      </c>
      <c r="M30" s="64">
        <v>100.98</v>
      </c>
      <c r="N30" s="64">
        <v>42.6</v>
      </c>
      <c r="O30" s="64">
        <v>0</v>
      </c>
      <c r="P30" s="64">
        <v>0.3</v>
      </c>
      <c r="Q30" s="64">
        <v>9.56</v>
      </c>
      <c r="R30" s="198"/>
      <c r="S30" s="198"/>
      <c r="T30" s="198"/>
      <c r="U30" s="198"/>
    </row>
    <row r="31" spans="1:21" s="12" customFormat="1" x14ac:dyDescent="0.25">
      <c r="A31" s="214" t="s">
        <v>363</v>
      </c>
      <c r="B31" s="64">
        <v>8.66</v>
      </c>
      <c r="C31" s="64">
        <v>4.4400000000000004</v>
      </c>
      <c r="D31" s="64">
        <v>13.04</v>
      </c>
      <c r="E31" s="64">
        <v>5.44</v>
      </c>
      <c r="F31" s="64">
        <v>2.98</v>
      </c>
      <c r="G31" s="64">
        <v>11.12</v>
      </c>
      <c r="H31" s="64">
        <v>3.08</v>
      </c>
      <c r="I31" s="64">
        <v>5.69</v>
      </c>
      <c r="J31" s="64">
        <v>0.93</v>
      </c>
      <c r="K31" s="64">
        <v>116.21</v>
      </c>
      <c r="L31" s="64">
        <v>26.11</v>
      </c>
      <c r="M31" s="64">
        <v>101.49</v>
      </c>
      <c r="N31" s="64">
        <v>43.1</v>
      </c>
      <c r="O31" s="64">
        <v>0</v>
      </c>
      <c r="P31" s="64">
        <v>0.28999999999999998</v>
      </c>
      <c r="Q31" s="64">
        <v>9.5500000000000007</v>
      </c>
      <c r="R31" s="198"/>
      <c r="S31" s="198"/>
      <c r="T31" s="198"/>
      <c r="U31" s="198"/>
    </row>
    <row r="32" spans="1:21" s="12" customFormat="1" x14ac:dyDescent="0.25">
      <c r="A32" s="214" t="s">
        <v>364</v>
      </c>
      <c r="B32" s="64">
        <v>8.65</v>
      </c>
      <c r="C32" s="64">
        <v>4.46</v>
      </c>
      <c r="D32" s="64">
        <v>13.04</v>
      </c>
      <c r="E32" s="64">
        <v>5.08</v>
      </c>
      <c r="F32" s="64">
        <v>4.91</v>
      </c>
      <c r="G32" s="64">
        <v>13.07</v>
      </c>
      <c r="H32" s="64">
        <v>2.77</v>
      </c>
      <c r="I32" s="64">
        <v>5.73</v>
      </c>
      <c r="J32" s="64">
        <v>1.35</v>
      </c>
      <c r="K32" s="64">
        <v>115.14</v>
      </c>
      <c r="L32" s="64">
        <v>26.09</v>
      </c>
      <c r="M32" s="64">
        <v>101.01</v>
      </c>
      <c r="N32" s="64">
        <v>45.3</v>
      </c>
      <c r="O32" s="64">
        <v>0</v>
      </c>
      <c r="P32" s="64">
        <v>0.28999999999999998</v>
      </c>
      <c r="Q32" s="64">
        <v>9.56</v>
      </c>
      <c r="R32" s="198"/>
      <c r="S32" s="198"/>
      <c r="T32" s="198"/>
      <c r="U32" s="198"/>
    </row>
    <row r="33" spans="1:21" s="12" customFormat="1" x14ac:dyDescent="0.25">
      <c r="A33" s="214" t="s">
        <v>365</v>
      </c>
      <c r="B33" s="64">
        <v>8.65</v>
      </c>
      <c r="C33" s="64">
        <v>4.5</v>
      </c>
      <c r="D33" s="64">
        <v>13.06</v>
      </c>
      <c r="E33" s="64">
        <v>4.87</v>
      </c>
      <c r="F33" s="64">
        <v>3.08</v>
      </c>
      <c r="G33" s="64">
        <v>13.07</v>
      </c>
      <c r="H33" s="64">
        <v>2.77</v>
      </c>
      <c r="I33" s="64">
        <v>5.63</v>
      </c>
      <c r="J33" s="64">
        <v>1.1499999999999999</v>
      </c>
      <c r="K33" s="64">
        <v>120.38</v>
      </c>
      <c r="L33" s="64">
        <v>26.11</v>
      </c>
      <c r="M33" s="64">
        <v>100.98</v>
      </c>
      <c r="N33" s="64">
        <v>52.9</v>
      </c>
      <c r="O33" s="64">
        <v>0</v>
      </c>
      <c r="P33" s="64">
        <v>0.28999999999999998</v>
      </c>
      <c r="Q33" s="64">
        <v>9.58</v>
      </c>
      <c r="R33" s="198"/>
      <c r="S33" s="198"/>
      <c r="T33" s="198"/>
      <c r="U33" s="198"/>
    </row>
    <row r="34" spans="1:21" s="12" customFormat="1" x14ac:dyDescent="0.25">
      <c r="A34" s="214" t="s">
        <v>366</v>
      </c>
      <c r="B34" s="64">
        <v>8.64</v>
      </c>
      <c r="C34" s="64">
        <v>4.45</v>
      </c>
      <c r="D34" s="64">
        <v>13.03</v>
      </c>
      <c r="E34" s="64">
        <v>4.93</v>
      </c>
      <c r="F34" s="64">
        <v>3.97</v>
      </c>
      <c r="G34" s="64">
        <v>13.07</v>
      </c>
      <c r="H34" s="64">
        <v>2.77</v>
      </c>
      <c r="I34" s="64">
        <v>5.71</v>
      </c>
      <c r="J34" s="64">
        <v>1.27</v>
      </c>
      <c r="K34" s="64">
        <v>112.77</v>
      </c>
      <c r="L34" s="64">
        <v>26.2</v>
      </c>
      <c r="M34" s="64">
        <v>100.96</v>
      </c>
      <c r="N34" s="64">
        <v>72.8</v>
      </c>
      <c r="O34" s="64">
        <v>0</v>
      </c>
      <c r="P34" s="64">
        <v>0.28999999999999998</v>
      </c>
      <c r="Q34" s="64">
        <v>9.57</v>
      </c>
      <c r="R34" s="198"/>
      <c r="S34" s="198"/>
      <c r="T34" s="198"/>
      <c r="U34" s="198"/>
    </row>
    <row r="35" spans="1:21" s="12" customFormat="1" x14ac:dyDescent="0.25">
      <c r="A35" s="214" t="s">
        <v>367</v>
      </c>
      <c r="B35" s="64">
        <v>8.64</v>
      </c>
      <c r="C35" s="64">
        <v>4.42</v>
      </c>
      <c r="D35" s="64">
        <v>13.01</v>
      </c>
      <c r="E35" s="64">
        <v>5.35</v>
      </c>
      <c r="F35" s="64">
        <v>3.19</v>
      </c>
      <c r="G35" s="64">
        <v>11.8</v>
      </c>
      <c r="H35" s="64">
        <v>2.9</v>
      </c>
      <c r="I35" s="64">
        <v>5.62</v>
      </c>
      <c r="J35" s="64">
        <v>1.33</v>
      </c>
      <c r="K35" s="64">
        <v>115.75</v>
      </c>
      <c r="L35" s="64">
        <v>26.18</v>
      </c>
      <c r="M35" s="64">
        <v>101.4</v>
      </c>
      <c r="N35" s="64">
        <v>89.8</v>
      </c>
      <c r="O35" s="64">
        <v>0</v>
      </c>
      <c r="P35" s="64">
        <v>0.3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4" t="s">
        <v>368</v>
      </c>
      <c r="B36" s="64">
        <v>8.6199999999999992</v>
      </c>
      <c r="C36" s="64">
        <v>4.42</v>
      </c>
      <c r="D36" s="64">
        <v>13</v>
      </c>
      <c r="E36" s="64">
        <v>5.45</v>
      </c>
      <c r="F36" s="64">
        <v>3.48</v>
      </c>
      <c r="G36" s="64">
        <v>10.27</v>
      </c>
      <c r="H36" s="64">
        <v>2.98</v>
      </c>
      <c r="I36" s="64">
        <v>5.67</v>
      </c>
      <c r="J36" s="64">
        <v>1.37</v>
      </c>
      <c r="K36" s="64">
        <v>116.26</v>
      </c>
      <c r="L36" s="64">
        <v>26.25</v>
      </c>
      <c r="M36" s="64">
        <v>101.05</v>
      </c>
      <c r="N36" s="64">
        <v>106.1</v>
      </c>
      <c r="O36" s="64">
        <v>0</v>
      </c>
      <c r="P36" s="64">
        <v>0.27</v>
      </c>
      <c r="Q36" s="64">
        <v>9.58</v>
      </c>
      <c r="R36" s="198"/>
      <c r="S36" s="198"/>
      <c r="T36" s="198"/>
      <c r="U36" s="198"/>
    </row>
    <row r="37" spans="1:21" s="12" customFormat="1" x14ac:dyDescent="0.25">
      <c r="A37" s="214" t="s">
        <v>369</v>
      </c>
      <c r="B37" s="64">
        <v>8.6</v>
      </c>
      <c r="C37" s="64">
        <v>4.38</v>
      </c>
      <c r="D37" s="64">
        <v>12.96</v>
      </c>
      <c r="E37" s="64">
        <v>4.8899999999999997</v>
      </c>
      <c r="F37" s="64">
        <v>3.53</v>
      </c>
      <c r="G37" s="64">
        <v>10.27</v>
      </c>
      <c r="H37" s="64">
        <v>2.98</v>
      </c>
      <c r="I37" s="64">
        <v>5.75</v>
      </c>
      <c r="J37" s="64">
        <v>1.44</v>
      </c>
      <c r="K37" s="64">
        <v>119.47</v>
      </c>
      <c r="L37" s="64">
        <v>26.39</v>
      </c>
      <c r="M37" s="64">
        <v>100.96</v>
      </c>
      <c r="N37" s="64">
        <v>118.2</v>
      </c>
      <c r="O37" s="64">
        <v>0</v>
      </c>
      <c r="P37" s="64">
        <v>0.27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14" t="s">
        <v>370</v>
      </c>
      <c r="B38" s="64">
        <v>8.5299999999999994</v>
      </c>
      <c r="C38" s="64">
        <v>4.17</v>
      </c>
      <c r="D38" s="64">
        <v>12.79</v>
      </c>
      <c r="E38" s="64">
        <v>4.7699999999999996</v>
      </c>
      <c r="F38" s="64">
        <v>3.58</v>
      </c>
      <c r="G38" s="64">
        <v>10.27</v>
      </c>
      <c r="H38" s="64">
        <v>2.98</v>
      </c>
      <c r="I38" s="64">
        <v>5.81</v>
      </c>
      <c r="J38" s="64">
        <v>1.5</v>
      </c>
      <c r="K38" s="64">
        <v>113.27</v>
      </c>
      <c r="L38" s="64">
        <v>26.48</v>
      </c>
      <c r="M38" s="64">
        <v>100.95</v>
      </c>
      <c r="N38" s="64">
        <v>103.6</v>
      </c>
      <c r="O38" s="64">
        <v>0</v>
      </c>
      <c r="P38" s="64">
        <v>0.27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4" t="s">
        <v>371</v>
      </c>
      <c r="B39" s="64">
        <v>8.56</v>
      </c>
      <c r="C39" s="64">
        <v>4.21</v>
      </c>
      <c r="D39" s="64">
        <v>12.83</v>
      </c>
      <c r="E39" s="64">
        <v>4.51</v>
      </c>
      <c r="F39" s="64">
        <v>3.84</v>
      </c>
      <c r="G39" s="64">
        <v>9.83</v>
      </c>
      <c r="H39" s="64">
        <v>3.7</v>
      </c>
      <c r="I39" s="64">
        <v>5.81</v>
      </c>
      <c r="J39" s="64">
        <v>1.59</v>
      </c>
      <c r="K39" s="64">
        <v>111.99</v>
      </c>
      <c r="L39" s="64">
        <v>26.37</v>
      </c>
      <c r="M39" s="64">
        <v>101.23</v>
      </c>
      <c r="N39" s="64">
        <v>98.8</v>
      </c>
      <c r="O39" s="64">
        <v>0</v>
      </c>
      <c r="P39" s="64">
        <v>0.27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4" t="s">
        <v>372</v>
      </c>
      <c r="B40" s="64">
        <v>8.58</v>
      </c>
      <c r="C40" s="64">
        <v>4.1900000000000004</v>
      </c>
      <c r="D40" s="64">
        <v>12.84</v>
      </c>
      <c r="E40" s="64">
        <v>3.76</v>
      </c>
      <c r="F40" s="64">
        <v>3.06</v>
      </c>
      <c r="G40" s="64">
        <v>9.3000000000000007</v>
      </c>
      <c r="H40" s="64">
        <v>4.74</v>
      </c>
      <c r="I40" s="64">
        <v>5.94</v>
      </c>
      <c r="J40" s="64">
        <v>1.33</v>
      </c>
      <c r="K40" s="64">
        <v>111.4</v>
      </c>
      <c r="L40" s="64">
        <v>26.52</v>
      </c>
      <c r="M40" s="64">
        <v>101.21</v>
      </c>
      <c r="N40" s="64">
        <v>155.69999999999999</v>
      </c>
      <c r="O40" s="64">
        <v>0</v>
      </c>
      <c r="P40" s="64">
        <v>0.27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4" t="s">
        <v>373</v>
      </c>
      <c r="B41" s="64">
        <v>8.5399999999999991</v>
      </c>
      <c r="C41" s="64">
        <v>4.12</v>
      </c>
      <c r="D41" s="64">
        <v>12.78</v>
      </c>
      <c r="E41" s="64">
        <v>4.2300000000000004</v>
      </c>
      <c r="F41" s="64">
        <v>3.24</v>
      </c>
      <c r="G41" s="64">
        <v>9.3000000000000007</v>
      </c>
      <c r="H41" s="64">
        <v>4.74</v>
      </c>
      <c r="I41" s="64">
        <v>6.14</v>
      </c>
      <c r="J41" s="64">
        <v>1.6</v>
      </c>
      <c r="K41" s="64">
        <v>112.18</v>
      </c>
      <c r="L41" s="64">
        <v>26.85</v>
      </c>
      <c r="M41" s="64">
        <v>100.52</v>
      </c>
      <c r="N41" s="64">
        <v>215.8</v>
      </c>
      <c r="O41" s="64">
        <v>0</v>
      </c>
      <c r="P41" s="64">
        <v>0.27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4" t="s">
        <v>374</v>
      </c>
      <c r="B42" s="64">
        <v>8.5</v>
      </c>
      <c r="C42" s="64">
        <v>4.0199999999999996</v>
      </c>
      <c r="D42" s="64">
        <v>12.69</v>
      </c>
      <c r="E42" s="64">
        <v>4.3499999999999996</v>
      </c>
      <c r="F42" s="64">
        <v>3.62</v>
      </c>
      <c r="G42" s="64">
        <v>9.3000000000000007</v>
      </c>
      <c r="H42" s="64">
        <v>4.74</v>
      </c>
      <c r="I42" s="64">
        <v>6.27</v>
      </c>
      <c r="J42" s="64">
        <v>2.29</v>
      </c>
      <c r="K42" s="64">
        <v>113.43</v>
      </c>
      <c r="L42" s="64">
        <v>27</v>
      </c>
      <c r="M42" s="64">
        <v>100.01</v>
      </c>
      <c r="N42" s="64">
        <v>205.2</v>
      </c>
      <c r="O42" s="64">
        <v>0</v>
      </c>
      <c r="P42" s="64">
        <v>0.27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375</v>
      </c>
      <c r="B43" s="64">
        <v>8.2799999999999994</v>
      </c>
      <c r="C43" s="64">
        <v>3.61</v>
      </c>
      <c r="D43" s="64">
        <v>12.3</v>
      </c>
      <c r="E43" s="64">
        <v>4.4400000000000004</v>
      </c>
      <c r="F43" s="64">
        <v>4.24</v>
      </c>
      <c r="G43" s="64">
        <v>8.24</v>
      </c>
      <c r="H43" s="64">
        <v>3.88</v>
      </c>
      <c r="I43" s="64">
        <v>6.32</v>
      </c>
      <c r="J43" s="64">
        <v>2.02</v>
      </c>
      <c r="K43" s="64">
        <v>113.19</v>
      </c>
      <c r="L43" s="64">
        <v>27.15</v>
      </c>
      <c r="M43" s="64">
        <v>98.69</v>
      </c>
      <c r="N43" s="64">
        <v>252.5</v>
      </c>
      <c r="O43" s="64">
        <v>0</v>
      </c>
      <c r="P43" s="64">
        <v>0.27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4" t="s">
        <v>376</v>
      </c>
      <c r="B44" s="64">
        <v>8.31</v>
      </c>
      <c r="C44" s="64">
        <v>3.69</v>
      </c>
      <c r="D44" s="64">
        <v>12.37</v>
      </c>
      <c r="E44" s="64">
        <v>4.71</v>
      </c>
      <c r="F44" s="64">
        <v>4.7699999999999996</v>
      </c>
      <c r="G44" s="64">
        <v>6.97</v>
      </c>
      <c r="H44" s="64">
        <v>3.33</v>
      </c>
      <c r="I44" s="64">
        <v>6.54</v>
      </c>
      <c r="J44" s="64">
        <v>2.16</v>
      </c>
      <c r="K44" s="64">
        <v>113.7</v>
      </c>
      <c r="L44" s="64">
        <v>27.37</v>
      </c>
      <c r="M44" s="64">
        <v>97.47</v>
      </c>
      <c r="N44" s="64">
        <v>298.3</v>
      </c>
      <c r="O44" s="64">
        <v>0</v>
      </c>
      <c r="P44" s="64">
        <v>0.28000000000000003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4" t="s">
        <v>377</v>
      </c>
      <c r="B45" s="64">
        <v>8.17</v>
      </c>
      <c r="C45" s="64">
        <v>3.41</v>
      </c>
      <c r="D45" s="64">
        <v>12.1</v>
      </c>
      <c r="E45" s="64">
        <v>4.42</v>
      </c>
      <c r="F45" s="64">
        <v>2.56</v>
      </c>
      <c r="G45" s="64">
        <v>6.97</v>
      </c>
      <c r="H45" s="64">
        <v>3.33</v>
      </c>
      <c r="I45" s="64">
        <v>6.65</v>
      </c>
      <c r="J45" s="64">
        <v>2.0099999999999998</v>
      </c>
      <c r="K45" s="64">
        <v>110.53</v>
      </c>
      <c r="L45" s="64">
        <v>27.73</v>
      </c>
      <c r="M45" s="64">
        <v>95.43</v>
      </c>
      <c r="N45" s="64">
        <v>296.10000000000002</v>
      </c>
      <c r="O45" s="64">
        <v>0</v>
      </c>
      <c r="P45" s="64">
        <v>0.27</v>
      </c>
      <c r="Q45" s="64">
        <v>9.5299999999999994</v>
      </c>
      <c r="R45" s="198"/>
      <c r="S45" s="198"/>
      <c r="T45" s="198"/>
      <c r="U45" s="198"/>
    </row>
    <row r="46" spans="1:21" s="12" customFormat="1" x14ac:dyDescent="0.25">
      <c r="A46" s="214" t="s">
        <v>378</v>
      </c>
      <c r="B46" s="64">
        <v>8.35</v>
      </c>
      <c r="C46" s="64">
        <v>3.85</v>
      </c>
      <c r="D46" s="64">
        <v>12.48</v>
      </c>
      <c r="E46" s="64">
        <v>4.16</v>
      </c>
      <c r="F46" s="64">
        <v>4.3899999999999997</v>
      </c>
      <c r="G46" s="64">
        <v>6.97</v>
      </c>
      <c r="H46" s="64">
        <v>3.33</v>
      </c>
      <c r="I46" s="64">
        <v>6.63</v>
      </c>
      <c r="J46" s="64">
        <v>2.14</v>
      </c>
      <c r="K46" s="64">
        <v>110.94</v>
      </c>
      <c r="L46" s="64">
        <v>27.99</v>
      </c>
      <c r="M46" s="64">
        <v>93.38</v>
      </c>
      <c r="N46" s="64">
        <v>271.89999999999998</v>
      </c>
      <c r="O46" s="64">
        <v>0</v>
      </c>
      <c r="P46" s="64">
        <v>0.26</v>
      </c>
      <c r="Q46" s="64">
        <v>9.5299999999999994</v>
      </c>
      <c r="R46" s="198"/>
      <c r="S46" s="198"/>
      <c r="T46" s="198"/>
      <c r="U46" s="198"/>
    </row>
    <row r="47" spans="1:21" s="12" customFormat="1" x14ac:dyDescent="0.25">
      <c r="A47" s="214" t="s">
        <v>379</v>
      </c>
      <c r="B47" s="64">
        <v>8.3800000000000008</v>
      </c>
      <c r="C47" s="64">
        <v>3.99</v>
      </c>
      <c r="D47" s="64">
        <v>12.58</v>
      </c>
      <c r="E47" s="64">
        <v>4.38</v>
      </c>
      <c r="F47" s="64">
        <v>4.33</v>
      </c>
      <c r="G47" s="64">
        <v>9.4600000000000009</v>
      </c>
      <c r="H47" s="64">
        <v>2.93</v>
      </c>
      <c r="I47" s="64">
        <v>6.58</v>
      </c>
      <c r="J47" s="64">
        <v>1.93</v>
      </c>
      <c r="K47" s="64">
        <v>115.5</v>
      </c>
      <c r="L47" s="64">
        <v>28.08</v>
      </c>
      <c r="M47" s="64">
        <v>92.73</v>
      </c>
      <c r="N47" s="64">
        <v>274.2</v>
      </c>
      <c r="O47" s="64">
        <v>0</v>
      </c>
      <c r="P47" s="64">
        <v>0.28000000000000003</v>
      </c>
      <c r="Q47" s="64">
        <v>9.5399999999999991</v>
      </c>
      <c r="R47" s="198"/>
      <c r="S47" s="198"/>
      <c r="T47" s="198"/>
      <c r="U47" s="198"/>
    </row>
    <row r="48" spans="1:21" s="12" customFormat="1" x14ac:dyDescent="0.25">
      <c r="A48" s="214" t="s">
        <v>380</v>
      </c>
      <c r="B48" s="64">
        <v>8.16</v>
      </c>
      <c r="C48" s="64">
        <v>3.45</v>
      </c>
      <c r="D48" s="64">
        <v>12.12</v>
      </c>
      <c r="E48" s="64">
        <v>4.6900000000000004</v>
      </c>
      <c r="F48" s="64">
        <v>2.76</v>
      </c>
      <c r="G48" s="64">
        <v>12.43</v>
      </c>
      <c r="H48" s="64">
        <v>2.67</v>
      </c>
      <c r="I48" s="64">
        <v>6.56</v>
      </c>
      <c r="J48" s="64">
        <v>1.69</v>
      </c>
      <c r="K48" s="64">
        <v>110.95</v>
      </c>
      <c r="L48" s="64">
        <v>28.34</v>
      </c>
      <c r="M48" s="64">
        <v>91.08</v>
      </c>
      <c r="N48" s="64">
        <v>351.2</v>
      </c>
      <c r="O48" s="64">
        <v>0</v>
      </c>
      <c r="P48" s="64">
        <v>0.27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14" t="s">
        <v>381</v>
      </c>
      <c r="B49" s="64">
        <v>8.36</v>
      </c>
      <c r="C49" s="64">
        <v>3.91</v>
      </c>
      <c r="D49" s="64">
        <v>12.52</v>
      </c>
      <c r="E49" s="64">
        <v>4.34</v>
      </c>
      <c r="F49" s="64">
        <v>3.95</v>
      </c>
      <c r="G49" s="64">
        <v>12.43</v>
      </c>
      <c r="H49" s="64">
        <v>2.67</v>
      </c>
      <c r="I49" s="64">
        <v>6.61</v>
      </c>
      <c r="J49" s="64">
        <v>1.47</v>
      </c>
      <c r="K49" s="64">
        <v>115.49</v>
      </c>
      <c r="L49" s="64">
        <v>28.68</v>
      </c>
      <c r="M49" s="64">
        <v>90.1</v>
      </c>
      <c r="N49" s="64">
        <v>393.6</v>
      </c>
      <c r="O49" s="64">
        <v>0</v>
      </c>
      <c r="P49" s="64">
        <v>0.27</v>
      </c>
      <c r="Q49" s="64">
        <v>9.52</v>
      </c>
      <c r="R49" s="198"/>
      <c r="S49" s="198"/>
      <c r="T49" s="198"/>
      <c r="U49" s="198"/>
    </row>
    <row r="50" spans="1:21" s="12" customFormat="1" x14ac:dyDescent="0.25">
      <c r="A50" s="214" t="s">
        <v>382</v>
      </c>
      <c r="B50" s="64">
        <v>8.32</v>
      </c>
      <c r="C50" s="64">
        <v>3.75</v>
      </c>
      <c r="D50" s="64">
        <v>12.4</v>
      </c>
      <c r="E50" s="64">
        <v>4.5</v>
      </c>
      <c r="F50" s="64">
        <v>4.4000000000000004</v>
      </c>
      <c r="G50" s="64">
        <v>12.43</v>
      </c>
      <c r="H50" s="64">
        <v>2.67</v>
      </c>
      <c r="I50" s="64">
        <v>6.45</v>
      </c>
      <c r="J50" s="64">
        <v>2.4300000000000002</v>
      </c>
      <c r="K50" s="64">
        <v>112.47</v>
      </c>
      <c r="L50" s="64">
        <v>28.99</v>
      </c>
      <c r="M50" s="64">
        <v>88.27</v>
      </c>
      <c r="N50" s="64">
        <v>506.2</v>
      </c>
      <c r="O50" s="64">
        <v>0</v>
      </c>
      <c r="P50" s="64">
        <v>0.28000000000000003</v>
      </c>
      <c r="Q50" s="64">
        <v>9.5500000000000007</v>
      </c>
      <c r="R50" s="198"/>
      <c r="S50" s="198"/>
      <c r="T50" s="198"/>
      <c r="U50" s="198"/>
    </row>
    <row r="51" spans="1:21" s="12" customFormat="1" x14ac:dyDescent="0.25">
      <c r="A51" s="214" t="s">
        <v>383</v>
      </c>
      <c r="B51" s="64">
        <v>8.09</v>
      </c>
      <c r="C51" s="64">
        <v>3.31</v>
      </c>
      <c r="D51" s="64">
        <v>11.99</v>
      </c>
      <c r="E51" s="64">
        <v>4.6500000000000004</v>
      </c>
      <c r="F51" s="64">
        <v>2.86</v>
      </c>
      <c r="G51" s="64">
        <v>11.55</v>
      </c>
      <c r="H51" s="64">
        <v>2.63</v>
      </c>
      <c r="I51" s="64">
        <v>6.33</v>
      </c>
      <c r="J51" s="64">
        <v>1.52</v>
      </c>
      <c r="K51" s="64">
        <v>111.21</v>
      </c>
      <c r="L51" s="64">
        <v>29.07</v>
      </c>
      <c r="M51" s="64">
        <v>87.72</v>
      </c>
      <c r="N51" s="64">
        <v>357.2</v>
      </c>
      <c r="O51" s="64">
        <v>0</v>
      </c>
      <c r="P51" s="64">
        <v>0.27</v>
      </c>
      <c r="Q51" s="64">
        <v>9.5399999999999991</v>
      </c>
      <c r="R51" s="198"/>
      <c r="S51" s="198"/>
      <c r="T51" s="198"/>
      <c r="U51" s="198"/>
    </row>
    <row r="52" spans="1:21" s="12" customFormat="1" x14ac:dyDescent="0.25">
      <c r="A52" s="214" t="s">
        <v>384</v>
      </c>
      <c r="B52" s="64">
        <v>8</v>
      </c>
      <c r="C52" s="64">
        <v>3.05</v>
      </c>
      <c r="D52" s="64">
        <v>11.78</v>
      </c>
      <c r="E52" s="64">
        <v>4.12</v>
      </c>
      <c r="F52" s="64">
        <v>4.46</v>
      </c>
      <c r="G52" s="64">
        <v>10.49</v>
      </c>
      <c r="H52" s="64">
        <v>2.6</v>
      </c>
      <c r="I52" s="64">
        <v>6.42</v>
      </c>
      <c r="J52" s="64">
        <v>1.19</v>
      </c>
      <c r="K52" s="64">
        <v>106.61</v>
      </c>
      <c r="L52" s="64">
        <v>29.59</v>
      </c>
      <c r="M52" s="64">
        <v>84.81</v>
      </c>
      <c r="N52" s="64">
        <v>531</v>
      </c>
      <c r="O52" s="64">
        <v>0</v>
      </c>
      <c r="P52" s="64">
        <v>0.27</v>
      </c>
      <c r="Q52" s="64">
        <v>9.52</v>
      </c>
      <c r="R52" s="198"/>
      <c r="S52" s="198"/>
      <c r="T52" s="198"/>
      <c r="U52" s="198"/>
    </row>
    <row r="53" spans="1:21" s="12" customFormat="1" x14ac:dyDescent="0.25">
      <c r="A53" s="214" t="s">
        <v>385</v>
      </c>
      <c r="B53" s="64">
        <v>7.99</v>
      </c>
      <c r="C53" s="64">
        <v>3.01</v>
      </c>
      <c r="D53" s="64">
        <v>11.76</v>
      </c>
      <c r="E53" s="64">
        <v>4.25</v>
      </c>
      <c r="F53" s="64">
        <v>4.83</v>
      </c>
      <c r="G53" s="64">
        <v>10.49</v>
      </c>
      <c r="H53" s="64">
        <v>2.6</v>
      </c>
      <c r="I53" s="64">
        <v>6.4</v>
      </c>
      <c r="J53" s="64">
        <v>1.76</v>
      </c>
      <c r="K53" s="64">
        <v>112.51</v>
      </c>
      <c r="L53" s="64">
        <v>29.82</v>
      </c>
      <c r="M53" s="64">
        <v>83.83</v>
      </c>
      <c r="N53" s="64">
        <v>552.6</v>
      </c>
      <c r="O53" s="64">
        <v>0</v>
      </c>
      <c r="P53" s="64">
        <v>0.26</v>
      </c>
      <c r="Q53" s="64">
        <v>9.5299999999999994</v>
      </c>
      <c r="R53" s="198"/>
      <c r="S53" s="198"/>
      <c r="T53" s="198"/>
      <c r="U53" s="198"/>
    </row>
    <row r="54" spans="1:21" s="12" customFormat="1" x14ac:dyDescent="0.25">
      <c r="A54" s="214" t="s">
        <v>386</v>
      </c>
      <c r="B54" s="64">
        <v>7.97</v>
      </c>
      <c r="C54" s="64">
        <v>2.99</v>
      </c>
      <c r="D54" s="64">
        <v>11.73</v>
      </c>
      <c r="E54" s="64">
        <v>4.2699999999999996</v>
      </c>
      <c r="F54" s="64">
        <v>4.28</v>
      </c>
      <c r="G54" s="64">
        <v>10.49</v>
      </c>
      <c r="H54" s="64">
        <v>2.6</v>
      </c>
      <c r="I54" s="64">
        <v>6.12</v>
      </c>
      <c r="J54" s="64">
        <v>1.69</v>
      </c>
      <c r="K54" s="64">
        <v>106.04</v>
      </c>
      <c r="L54" s="64">
        <v>29.76</v>
      </c>
      <c r="M54" s="64">
        <v>83.55</v>
      </c>
      <c r="N54" s="64">
        <v>423.3</v>
      </c>
      <c r="O54" s="64">
        <v>0</v>
      </c>
      <c r="P54" s="64">
        <v>0.26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4" t="s">
        <v>387</v>
      </c>
      <c r="B55" s="64">
        <v>7.98</v>
      </c>
      <c r="C55" s="64">
        <v>2.99</v>
      </c>
      <c r="D55" s="64">
        <v>11.73</v>
      </c>
      <c r="E55" s="64">
        <v>3.97</v>
      </c>
      <c r="F55" s="64">
        <v>3.98</v>
      </c>
      <c r="G55" s="64">
        <v>9.0500000000000007</v>
      </c>
      <c r="H55" s="64">
        <v>2.5</v>
      </c>
      <c r="I55" s="64">
        <v>5.79</v>
      </c>
      <c r="J55" s="64">
        <v>1.75</v>
      </c>
      <c r="K55" s="64">
        <v>111.47</v>
      </c>
      <c r="L55" s="64">
        <v>30.21</v>
      </c>
      <c r="M55" s="64">
        <v>81.36</v>
      </c>
      <c r="N55" s="64">
        <v>578.1</v>
      </c>
      <c r="O55" s="64">
        <v>0</v>
      </c>
      <c r="P55" s="64">
        <v>0.25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14" t="s">
        <v>388</v>
      </c>
      <c r="B56" s="64">
        <v>7.98</v>
      </c>
      <c r="C56" s="64">
        <v>2.99</v>
      </c>
      <c r="D56" s="64">
        <v>11.74</v>
      </c>
      <c r="E56" s="64">
        <v>4.21</v>
      </c>
      <c r="F56" s="64">
        <v>4.12</v>
      </c>
      <c r="G56" s="64">
        <v>7.34</v>
      </c>
      <c r="H56" s="64">
        <v>2.35</v>
      </c>
      <c r="I56" s="64">
        <v>5.83</v>
      </c>
      <c r="J56" s="64">
        <v>1.91</v>
      </c>
      <c r="K56" s="64">
        <v>111.07</v>
      </c>
      <c r="L56" s="64">
        <v>30.53</v>
      </c>
      <c r="M56" s="64">
        <v>79.180000000000007</v>
      </c>
      <c r="N56" s="64">
        <v>442.7</v>
      </c>
      <c r="O56" s="64">
        <v>0</v>
      </c>
      <c r="P56" s="64">
        <v>0.25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4" t="s">
        <v>389</v>
      </c>
      <c r="B57" s="64">
        <v>7.98</v>
      </c>
      <c r="C57" s="64">
        <v>2.96</v>
      </c>
      <c r="D57" s="64">
        <v>11.72</v>
      </c>
      <c r="E57" s="64">
        <v>4.1100000000000003</v>
      </c>
      <c r="F57" s="64">
        <v>4.18</v>
      </c>
      <c r="G57" s="64">
        <v>7.34</v>
      </c>
      <c r="H57" s="64">
        <v>2.35</v>
      </c>
      <c r="I57" s="64">
        <v>6.04</v>
      </c>
      <c r="J57" s="64">
        <v>1.77</v>
      </c>
      <c r="K57" s="64">
        <v>107.99</v>
      </c>
      <c r="L57" s="64">
        <v>30.29</v>
      </c>
      <c r="M57" s="64">
        <v>79.760000000000005</v>
      </c>
      <c r="N57" s="64">
        <v>516.79999999999995</v>
      </c>
      <c r="O57" s="64">
        <v>0</v>
      </c>
      <c r="P57" s="64">
        <v>0.24</v>
      </c>
      <c r="Q57" s="64">
        <v>9.57</v>
      </c>
      <c r="R57" s="198"/>
      <c r="S57" s="198"/>
      <c r="T57" s="198"/>
      <c r="U57" s="198"/>
    </row>
    <row r="58" spans="1:21" s="12" customFormat="1" x14ac:dyDescent="0.25">
      <c r="A58" s="214" t="s">
        <v>390</v>
      </c>
      <c r="B58" s="64">
        <v>7.98</v>
      </c>
      <c r="C58" s="64">
        <v>2.95</v>
      </c>
      <c r="D58" s="64">
        <v>11.71</v>
      </c>
      <c r="E58" s="64">
        <v>4.1900000000000004</v>
      </c>
      <c r="F58" s="64">
        <v>4.1500000000000004</v>
      </c>
      <c r="G58" s="64">
        <v>7.34</v>
      </c>
      <c r="H58" s="64">
        <v>2.35</v>
      </c>
      <c r="I58" s="64">
        <v>6.1</v>
      </c>
      <c r="J58" s="64">
        <v>1.61</v>
      </c>
      <c r="K58" s="64">
        <v>112.38</v>
      </c>
      <c r="L58" s="64">
        <v>30.86</v>
      </c>
      <c r="M58" s="64">
        <v>77.13</v>
      </c>
      <c r="N58" s="64">
        <v>625.70000000000005</v>
      </c>
      <c r="O58" s="64">
        <v>0</v>
      </c>
      <c r="P58" s="64">
        <v>0.24</v>
      </c>
      <c r="Q58" s="64">
        <v>9.57</v>
      </c>
      <c r="R58" s="198"/>
      <c r="S58" s="198"/>
      <c r="T58" s="198"/>
      <c r="U58" s="198"/>
    </row>
    <row r="59" spans="1:21" s="12" customFormat="1" x14ac:dyDescent="0.25">
      <c r="A59" s="214" t="s">
        <v>391</v>
      </c>
      <c r="B59" s="64">
        <v>8</v>
      </c>
      <c r="C59" s="64">
        <v>2.96</v>
      </c>
      <c r="D59" s="64">
        <v>11.73</v>
      </c>
      <c r="E59" s="64">
        <v>4.41</v>
      </c>
      <c r="F59" s="64">
        <v>4.28</v>
      </c>
      <c r="G59" s="64">
        <v>16.46</v>
      </c>
      <c r="H59" s="64">
        <v>1.95</v>
      </c>
      <c r="I59" s="64">
        <v>6.17</v>
      </c>
      <c r="J59" s="64">
        <v>2</v>
      </c>
      <c r="K59" s="64">
        <v>110.04</v>
      </c>
      <c r="L59" s="64">
        <v>31.21</v>
      </c>
      <c r="M59" s="64">
        <v>74.459999999999994</v>
      </c>
      <c r="N59" s="64">
        <v>604.79999999999995</v>
      </c>
      <c r="O59" s="64">
        <v>0</v>
      </c>
      <c r="P59" s="64">
        <v>0.25</v>
      </c>
      <c r="Q59" s="64">
        <v>9.58</v>
      </c>
      <c r="R59" s="198"/>
      <c r="S59" s="198"/>
      <c r="T59" s="198"/>
      <c r="U59" s="198"/>
    </row>
    <row r="60" spans="1:21" s="12" customFormat="1" x14ac:dyDescent="0.25">
      <c r="A60" s="214" t="s">
        <v>392</v>
      </c>
      <c r="B60" s="64">
        <v>7.99</v>
      </c>
      <c r="C60" s="64">
        <v>2.97</v>
      </c>
      <c r="D60" s="64">
        <v>11.74</v>
      </c>
      <c r="E60" s="64">
        <v>4.01</v>
      </c>
      <c r="F60" s="64">
        <v>4.7</v>
      </c>
      <c r="G60" s="64">
        <v>26.89</v>
      </c>
      <c r="H60" s="64">
        <v>1.69</v>
      </c>
      <c r="I60" s="64">
        <v>6.11</v>
      </c>
      <c r="J60" s="64">
        <v>2.06</v>
      </c>
      <c r="K60" s="64">
        <v>111.43</v>
      </c>
      <c r="L60" s="64">
        <v>31.48</v>
      </c>
      <c r="M60" s="64">
        <v>73.87</v>
      </c>
      <c r="N60" s="64">
        <v>612</v>
      </c>
      <c r="O60" s="64">
        <v>0</v>
      </c>
      <c r="P60" s="64">
        <v>0.25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4" t="s">
        <v>393</v>
      </c>
      <c r="B61" s="64">
        <v>7.97</v>
      </c>
      <c r="C61" s="64">
        <v>3</v>
      </c>
      <c r="D61" s="64">
        <v>11.73</v>
      </c>
      <c r="E61" s="64">
        <v>4.4400000000000004</v>
      </c>
      <c r="F61" s="64">
        <v>4.03</v>
      </c>
      <c r="G61" s="64">
        <v>26.89</v>
      </c>
      <c r="H61" s="64">
        <v>1.69</v>
      </c>
      <c r="I61" s="64">
        <v>6.22</v>
      </c>
      <c r="J61" s="64">
        <v>1.96</v>
      </c>
      <c r="K61" s="64">
        <v>114.49</v>
      </c>
      <c r="L61" s="64">
        <v>31.58</v>
      </c>
      <c r="M61" s="64">
        <v>72.7</v>
      </c>
      <c r="N61" s="64">
        <v>611.29999999999995</v>
      </c>
      <c r="O61" s="64">
        <v>0</v>
      </c>
      <c r="P61" s="64">
        <v>0.24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4" t="s">
        <v>394</v>
      </c>
      <c r="B62" s="64">
        <v>7.93</v>
      </c>
      <c r="C62" s="64">
        <v>2.97</v>
      </c>
      <c r="D62" s="64">
        <v>11.68</v>
      </c>
      <c r="E62" s="64">
        <v>4.7</v>
      </c>
      <c r="F62" s="64">
        <v>5.36</v>
      </c>
      <c r="G62" s="64">
        <v>26.89</v>
      </c>
      <c r="H62" s="64">
        <v>1.69</v>
      </c>
      <c r="I62" s="64">
        <v>6.16</v>
      </c>
      <c r="J62" s="64">
        <v>1.63</v>
      </c>
      <c r="K62" s="64">
        <v>113.74</v>
      </c>
      <c r="L62" s="64">
        <v>31.72</v>
      </c>
      <c r="M62" s="64">
        <v>71.88</v>
      </c>
      <c r="N62" s="64">
        <v>577</v>
      </c>
      <c r="O62" s="64">
        <v>0</v>
      </c>
      <c r="P62" s="64">
        <v>0.24</v>
      </c>
      <c r="Q62" s="64">
        <v>9.57</v>
      </c>
      <c r="R62" s="198"/>
      <c r="S62" s="198"/>
      <c r="T62" s="198"/>
      <c r="U62" s="198"/>
    </row>
    <row r="63" spans="1:21" s="12" customFormat="1" x14ac:dyDescent="0.25">
      <c r="A63" s="214" t="s">
        <v>395</v>
      </c>
      <c r="B63" s="64">
        <v>7.95</v>
      </c>
      <c r="C63" s="64">
        <v>2.97</v>
      </c>
      <c r="D63" s="64">
        <v>11.7</v>
      </c>
      <c r="E63" s="64">
        <v>4.47</v>
      </c>
      <c r="F63" s="64">
        <v>5.4</v>
      </c>
      <c r="G63" s="64">
        <v>22.75</v>
      </c>
      <c r="H63" s="64">
        <v>1.42</v>
      </c>
      <c r="I63" s="64">
        <v>6.14</v>
      </c>
      <c r="J63" s="64">
        <v>1.89</v>
      </c>
      <c r="K63" s="64">
        <v>113.8</v>
      </c>
      <c r="L63" s="64">
        <v>31.7</v>
      </c>
      <c r="M63" s="64">
        <v>74.63</v>
      </c>
      <c r="N63" s="64">
        <v>641.29999999999995</v>
      </c>
      <c r="O63" s="64">
        <v>0</v>
      </c>
      <c r="P63" s="64">
        <v>0.25</v>
      </c>
      <c r="Q63" s="64">
        <v>9.58</v>
      </c>
      <c r="R63" s="198"/>
      <c r="S63" s="198"/>
      <c r="T63" s="198"/>
      <c r="U63" s="198"/>
    </row>
    <row r="64" spans="1:21" s="12" customFormat="1" x14ac:dyDescent="0.25">
      <c r="A64" s="214" t="s">
        <v>396</v>
      </c>
      <c r="B64" s="64">
        <v>7.96</v>
      </c>
      <c r="C64" s="64">
        <v>2.99</v>
      </c>
      <c r="D64" s="64">
        <v>11.72</v>
      </c>
      <c r="E64" s="64">
        <v>4.42</v>
      </c>
      <c r="F64" s="64">
        <v>4.05</v>
      </c>
      <c r="G64" s="64">
        <v>18.010000000000002</v>
      </c>
      <c r="H64" s="64">
        <v>1.25</v>
      </c>
      <c r="I64" s="64">
        <v>5.5</v>
      </c>
      <c r="J64" s="64">
        <v>1.42</v>
      </c>
      <c r="K64" s="64">
        <v>115.07</v>
      </c>
      <c r="L64" s="64">
        <v>31.64</v>
      </c>
      <c r="M64" s="64">
        <v>75.739999999999995</v>
      </c>
      <c r="N64" s="64">
        <v>650.6</v>
      </c>
      <c r="O64" s="64">
        <v>0</v>
      </c>
      <c r="P64" s="64">
        <v>0.27</v>
      </c>
      <c r="Q64" s="64">
        <v>9.58</v>
      </c>
      <c r="R64" s="198"/>
      <c r="S64" s="198"/>
      <c r="T64" s="198"/>
      <c r="U64" s="198"/>
    </row>
    <row r="65" spans="1:21" s="12" customFormat="1" x14ac:dyDescent="0.25">
      <c r="A65" s="214" t="s">
        <v>397</v>
      </c>
      <c r="B65" s="64">
        <v>7.96</v>
      </c>
      <c r="C65" s="64">
        <v>2.99</v>
      </c>
      <c r="D65" s="64">
        <v>11.72</v>
      </c>
      <c r="E65" s="64">
        <v>4.22</v>
      </c>
      <c r="F65" s="64">
        <v>4.47</v>
      </c>
      <c r="G65" s="64">
        <v>18.010000000000002</v>
      </c>
      <c r="H65" s="64">
        <v>1.25</v>
      </c>
      <c r="I65" s="64">
        <v>5.61</v>
      </c>
      <c r="J65" s="64">
        <v>2.14</v>
      </c>
      <c r="K65" s="64">
        <v>114.16</v>
      </c>
      <c r="L65" s="64">
        <v>31.44</v>
      </c>
      <c r="M65" s="64">
        <v>73.739999999999995</v>
      </c>
      <c r="N65" s="64">
        <v>455.4</v>
      </c>
      <c r="O65" s="64">
        <v>0</v>
      </c>
      <c r="P65" s="64">
        <v>0.28999999999999998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4" t="s">
        <v>398</v>
      </c>
      <c r="B66" s="64">
        <v>7.98</v>
      </c>
      <c r="C66" s="64">
        <v>3.04</v>
      </c>
      <c r="D66" s="64">
        <v>11.76</v>
      </c>
      <c r="E66" s="64">
        <v>4.24</v>
      </c>
      <c r="F66" s="64">
        <v>4.5199999999999996</v>
      </c>
      <c r="G66" s="64">
        <v>18.010000000000002</v>
      </c>
      <c r="H66" s="64">
        <v>1.25</v>
      </c>
      <c r="I66" s="64">
        <v>5.27</v>
      </c>
      <c r="J66" s="64">
        <v>2.17</v>
      </c>
      <c r="K66" s="64">
        <v>114.39</v>
      </c>
      <c r="L66" s="64">
        <v>31.58</v>
      </c>
      <c r="M66" s="64">
        <v>73.040000000000006</v>
      </c>
      <c r="N66" s="64">
        <v>378.4</v>
      </c>
      <c r="O66" s="64">
        <v>0</v>
      </c>
      <c r="P66" s="64">
        <v>0.28999999999999998</v>
      </c>
      <c r="Q66" s="64">
        <v>9.59</v>
      </c>
      <c r="R66" s="198"/>
      <c r="S66" s="198"/>
      <c r="T66" s="198"/>
      <c r="U66" s="198"/>
    </row>
    <row r="67" spans="1:21" s="12" customFormat="1" x14ac:dyDescent="0.25">
      <c r="A67" s="214" t="s">
        <v>399</v>
      </c>
      <c r="B67" s="64">
        <v>7.95</v>
      </c>
      <c r="C67" s="64">
        <v>2.99</v>
      </c>
      <c r="D67" s="64">
        <v>11.71</v>
      </c>
      <c r="E67" s="64">
        <v>4.0599999999999996</v>
      </c>
      <c r="F67" s="64">
        <v>3.46</v>
      </c>
      <c r="G67" s="64">
        <v>16.21</v>
      </c>
      <c r="H67" s="64">
        <v>1.07</v>
      </c>
      <c r="I67" s="64">
        <v>5.29</v>
      </c>
      <c r="J67" s="64">
        <v>1.77</v>
      </c>
      <c r="K67" s="64">
        <v>111.61</v>
      </c>
      <c r="L67" s="64">
        <v>31.46</v>
      </c>
      <c r="M67" s="64">
        <v>72.55</v>
      </c>
      <c r="N67" s="64">
        <v>328</v>
      </c>
      <c r="O67" s="64">
        <v>0</v>
      </c>
      <c r="P67" s="64">
        <v>0.28000000000000003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4" t="s">
        <v>400</v>
      </c>
      <c r="B68" s="64">
        <v>7.99</v>
      </c>
      <c r="C68" s="64">
        <v>3.04</v>
      </c>
      <c r="D68" s="64">
        <v>11.77</v>
      </c>
      <c r="E68" s="64">
        <v>3.93</v>
      </c>
      <c r="F68" s="64">
        <v>3.83</v>
      </c>
      <c r="G68" s="64">
        <v>14.06</v>
      </c>
      <c r="H68" s="64">
        <v>0.95</v>
      </c>
      <c r="I68" s="64">
        <v>5.64</v>
      </c>
      <c r="J68" s="64">
        <v>1.44</v>
      </c>
      <c r="K68" s="64">
        <v>114.41</v>
      </c>
      <c r="L68" s="64">
        <v>31.5</v>
      </c>
      <c r="M68" s="64">
        <v>72.94</v>
      </c>
      <c r="N68" s="64">
        <v>310.2</v>
      </c>
      <c r="O68" s="64">
        <v>0</v>
      </c>
      <c r="P68" s="64">
        <v>0.27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4" t="s">
        <v>401</v>
      </c>
      <c r="B69" s="64">
        <v>8.01</v>
      </c>
      <c r="C69" s="64">
        <v>3.07</v>
      </c>
      <c r="D69" s="64">
        <v>11.8</v>
      </c>
      <c r="E69" s="64">
        <v>4.2699999999999996</v>
      </c>
      <c r="F69" s="64">
        <v>3.67</v>
      </c>
      <c r="G69" s="64">
        <v>14.06</v>
      </c>
      <c r="H69" s="64">
        <v>0.95</v>
      </c>
      <c r="I69" s="64">
        <v>5.68</v>
      </c>
      <c r="J69" s="64">
        <v>1.83</v>
      </c>
      <c r="K69" s="64">
        <v>115.28</v>
      </c>
      <c r="L69" s="64">
        <v>30.96</v>
      </c>
      <c r="M69" s="64">
        <v>78.040000000000006</v>
      </c>
      <c r="N69" s="64">
        <v>264.39999999999998</v>
      </c>
      <c r="O69" s="64">
        <v>0</v>
      </c>
      <c r="P69" s="64">
        <v>0.28000000000000003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4" t="s">
        <v>402</v>
      </c>
      <c r="B70" s="64">
        <v>7.98</v>
      </c>
      <c r="C70" s="64">
        <v>3.01</v>
      </c>
      <c r="D70" s="64">
        <v>11.75</v>
      </c>
      <c r="E70" s="64">
        <v>4.49</v>
      </c>
      <c r="F70" s="64">
        <v>4.63</v>
      </c>
      <c r="G70" s="64">
        <v>14.06</v>
      </c>
      <c r="H70" s="64">
        <v>0.95</v>
      </c>
      <c r="I70" s="64">
        <v>5.7</v>
      </c>
      <c r="J70" s="64">
        <v>1.82</v>
      </c>
      <c r="K70" s="64">
        <v>114.74</v>
      </c>
      <c r="L70" s="64">
        <v>29.91</v>
      </c>
      <c r="M70" s="64">
        <v>81.87</v>
      </c>
      <c r="N70" s="64">
        <v>178.4</v>
      </c>
      <c r="O70" s="64">
        <v>0</v>
      </c>
      <c r="P70" s="64">
        <v>0.26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4" t="s">
        <v>403</v>
      </c>
      <c r="B71" s="64">
        <v>7.96</v>
      </c>
      <c r="C71" s="64">
        <v>2.98</v>
      </c>
      <c r="D71" s="64">
        <v>11.72</v>
      </c>
      <c r="E71" s="64">
        <v>4.0999999999999996</v>
      </c>
      <c r="F71" s="64">
        <v>4.22</v>
      </c>
      <c r="G71" s="64">
        <v>12.37</v>
      </c>
      <c r="H71" s="64">
        <v>0.94</v>
      </c>
      <c r="I71" s="64">
        <v>5.81</v>
      </c>
      <c r="J71" s="64">
        <v>1.55</v>
      </c>
      <c r="K71" s="64">
        <v>115.45</v>
      </c>
      <c r="L71" s="64">
        <v>30</v>
      </c>
      <c r="M71" s="64">
        <v>80.47</v>
      </c>
      <c r="N71" s="64">
        <v>113.2</v>
      </c>
      <c r="O71" s="64">
        <v>0</v>
      </c>
      <c r="P71" s="64">
        <v>0.26</v>
      </c>
      <c r="Q71" s="64">
        <v>9.58</v>
      </c>
      <c r="R71" s="198"/>
      <c r="S71" s="198"/>
      <c r="T71" s="198"/>
      <c r="U71" s="198"/>
    </row>
    <row r="72" spans="1:21" s="12" customFormat="1" x14ac:dyDescent="0.25">
      <c r="A72" s="214" t="s">
        <v>404</v>
      </c>
      <c r="B72" s="64">
        <v>7.99</v>
      </c>
      <c r="C72" s="64">
        <v>2.98</v>
      </c>
      <c r="D72" s="64">
        <v>11.74</v>
      </c>
      <c r="E72" s="64">
        <v>2.5</v>
      </c>
      <c r="F72" s="64">
        <v>4.3899999999999997</v>
      </c>
      <c r="G72" s="64">
        <v>10.35</v>
      </c>
      <c r="H72" s="64">
        <v>0.93</v>
      </c>
      <c r="I72" s="64">
        <v>5.68</v>
      </c>
      <c r="J72" s="64">
        <v>1.36</v>
      </c>
      <c r="K72" s="64">
        <v>114.13</v>
      </c>
      <c r="L72" s="64">
        <v>30.22</v>
      </c>
      <c r="M72" s="64">
        <v>80.14</v>
      </c>
      <c r="N72" s="64">
        <v>98.1</v>
      </c>
      <c r="O72" s="64">
        <v>0</v>
      </c>
      <c r="P72" s="64">
        <v>0.26</v>
      </c>
      <c r="Q72" s="64">
        <v>9.56</v>
      </c>
      <c r="R72" s="198"/>
      <c r="S72" s="198"/>
      <c r="T72" s="198"/>
      <c r="U72" s="198"/>
    </row>
    <row r="73" spans="1:21" s="12" customFormat="1" x14ac:dyDescent="0.25">
      <c r="A73" s="214" t="s">
        <v>405</v>
      </c>
      <c r="B73" s="64">
        <v>7.98</v>
      </c>
      <c r="C73" s="64">
        <v>3</v>
      </c>
      <c r="D73" s="64">
        <v>11.74</v>
      </c>
      <c r="E73" s="64">
        <v>2.94</v>
      </c>
      <c r="F73" s="64">
        <v>5.3</v>
      </c>
      <c r="G73" s="64">
        <v>10.35</v>
      </c>
      <c r="H73" s="64">
        <v>0.93</v>
      </c>
      <c r="I73" s="64">
        <v>5.73</v>
      </c>
      <c r="J73" s="64">
        <v>1.7</v>
      </c>
      <c r="K73" s="64">
        <v>114.78</v>
      </c>
      <c r="L73" s="64">
        <v>30.36</v>
      </c>
      <c r="M73" s="64">
        <v>81.94</v>
      </c>
      <c r="N73" s="64">
        <v>155.1</v>
      </c>
      <c r="O73" s="64">
        <v>0</v>
      </c>
      <c r="P73" s="64">
        <v>0.25</v>
      </c>
      <c r="Q73" s="64">
        <v>9.57</v>
      </c>
      <c r="R73" s="198"/>
      <c r="S73" s="198"/>
      <c r="T73" s="198"/>
      <c r="U73" s="198"/>
    </row>
    <row r="74" spans="1:21" s="12" customFormat="1" x14ac:dyDescent="0.25">
      <c r="A74" s="214" t="s">
        <v>406</v>
      </c>
      <c r="B74" s="64">
        <v>7.97</v>
      </c>
      <c r="C74" s="64">
        <v>2.97</v>
      </c>
      <c r="D74" s="64">
        <v>11.71</v>
      </c>
      <c r="E74" s="64">
        <v>2.78</v>
      </c>
      <c r="F74" s="64">
        <v>4.33</v>
      </c>
      <c r="G74" s="64">
        <v>10.35</v>
      </c>
      <c r="H74" s="64">
        <v>0.93</v>
      </c>
      <c r="I74" s="64">
        <v>5.79</v>
      </c>
      <c r="J74" s="64">
        <v>0.85</v>
      </c>
      <c r="K74" s="64">
        <v>106.56</v>
      </c>
      <c r="L74" s="64">
        <v>30.1</v>
      </c>
      <c r="M74" s="64">
        <v>83.36</v>
      </c>
      <c r="N74" s="64">
        <v>119.8</v>
      </c>
      <c r="O74" s="64">
        <v>0</v>
      </c>
      <c r="P74" s="64">
        <v>0.26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4" t="s">
        <v>407</v>
      </c>
      <c r="B75" s="64">
        <v>7.96</v>
      </c>
      <c r="C75" s="64">
        <v>2.96</v>
      </c>
      <c r="D75" s="64">
        <v>11.7</v>
      </c>
      <c r="E75" s="64">
        <v>2.95</v>
      </c>
      <c r="F75" s="64">
        <v>4.13</v>
      </c>
      <c r="G75" s="64">
        <v>10.08</v>
      </c>
      <c r="H75" s="64">
        <v>0.93</v>
      </c>
      <c r="I75" s="64">
        <v>5.38</v>
      </c>
      <c r="J75" s="64">
        <v>1.35</v>
      </c>
      <c r="K75" s="64">
        <v>106.42</v>
      </c>
      <c r="L75" s="64">
        <v>30.18</v>
      </c>
      <c r="M75" s="64">
        <v>82.86</v>
      </c>
      <c r="N75" s="64">
        <v>111.1</v>
      </c>
      <c r="O75" s="64">
        <v>0</v>
      </c>
      <c r="P75" s="64">
        <v>0.25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4" t="s">
        <v>408</v>
      </c>
      <c r="B76" s="64">
        <v>7.95</v>
      </c>
      <c r="C76" s="64">
        <v>2.96</v>
      </c>
      <c r="D76" s="64">
        <v>11.7</v>
      </c>
      <c r="E76" s="64">
        <v>2.74</v>
      </c>
      <c r="F76" s="64">
        <v>3.91</v>
      </c>
      <c r="G76" s="64">
        <v>9.7799999999999994</v>
      </c>
      <c r="H76" s="64">
        <v>0.92</v>
      </c>
      <c r="I76" s="64">
        <v>5.59</v>
      </c>
      <c r="J76" s="64">
        <v>1.48</v>
      </c>
      <c r="K76" s="64">
        <v>114.68</v>
      </c>
      <c r="L76" s="64">
        <v>30.16</v>
      </c>
      <c r="M76" s="64">
        <v>83.18</v>
      </c>
      <c r="N76" s="64">
        <v>103.9</v>
      </c>
      <c r="O76" s="64">
        <v>0</v>
      </c>
      <c r="P76" s="64">
        <v>0.25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4" t="s">
        <v>409</v>
      </c>
      <c r="B77" s="64">
        <v>7.96</v>
      </c>
      <c r="C77" s="64">
        <v>2.95</v>
      </c>
      <c r="D77" s="64">
        <v>11.7</v>
      </c>
      <c r="E77" s="64">
        <v>2.44</v>
      </c>
      <c r="F77" s="64">
        <v>4.1500000000000004</v>
      </c>
      <c r="G77" s="64">
        <v>9.7799999999999994</v>
      </c>
      <c r="H77" s="64">
        <v>0.92</v>
      </c>
      <c r="I77" s="64">
        <v>5.6</v>
      </c>
      <c r="J77" s="64">
        <v>2</v>
      </c>
      <c r="K77" s="64">
        <v>113.99</v>
      </c>
      <c r="L77" s="64">
        <v>29.83</v>
      </c>
      <c r="M77" s="64">
        <v>84.22</v>
      </c>
      <c r="N77" s="64">
        <v>79</v>
      </c>
      <c r="O77" s="64">
        <v>0</v>
      </c>
      <c r="P77" s="64">
        <v>0.26</v>
      </c>
      <c r="Q77" s="64">
        <v>9.65</v>
      </c>
      <c r="R77" s="198"/>
      <c r="S77" s="198"/>
      <c r="T77" s="198"/>
      <c r="U77" s="198"/>
    </row>
    <row r="78" spans="1:21" s="12" customFormat="1" x14ac:dyDescent="0.25">
      <c r="A78" s="214" t="s">
        <v>410</v>
      </c>
      <c r="B78" s="64">
        <v>7.95</v>
      </c>
      <c r="C78" s="64">
        <v>2.97</v>
      </c>
      <c r="D78" s="64">
        <v>11.7</v>
      </c>
      <c r="E78" s="64">
        <v>2.96</v>
      </c>
      <c r="F78" s="64">
        <v>3.2</v>
      </c>
      <c r="G78" s="64">
        <v>9.7799999999999994</v>
      </c>
      <c r="H78" s="64">
        <v>0.92</v>
      </c>
      <c r="I78" s="64">
        <v>5.73</v>
      </c>
      <c r="J78" s="64">
        <v>1.72</v>
      </c>
      <c r="K78" s="64">
        <v>116.25</v>
      </c>
      <c r="L78" s="64">
        <v>29.74</v>
      </c>
      <c r="M78" s="64">
        <v>85.25</v>
      </c>
      <c r="N78" s="64">
        <v>67.599999999999994</v>
      </c>
      <c r="O78" s="64">
        <v>0</v>
      </c>
      <c r="P78" s="64">
        <v>0.25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4" t="s">
        <v>411</v>
      </c>
      <c r="B79" s="64">
        <v>7.95</v>
      </c>
      <c r="C79" s="64">
        <v>2.96</v>
      </c>
      <c r="D79" s="64">
        <v>11.7</v>
      </c>
      <c r="E79" s="64">
        <v>2.71</v>
      </c>
      <c r="F79" s="64">
        <v>4.13</v>
      </c>
      <c r="G79" s="64">
        <v>18.420000000000002</v>
      </c>
      <c r="H79" s="64">
        <v>2.4</v>
      </c>
      <c r="I79" s="64">
        <v>5.93</v>
      </c>
      <c r="J79" s="64">
        <v>1.67</v>
      </c>
      <c r="K79" s="64">
        <v>116.52</v>
      </c>
      <c r="L79" s="64">
        <v>29.68</v>
      </c>
      <c r="M79" s="64">
        <v>85.67</v>
      </c>
      <c r="N79" s="64">
        <v>60.9</v>
      </c>
      <c r="O79" s="64">
        <v>0</v>
      </c>
      <c r="P79" s="64">
        <v>0.25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4" t="s">
        <v>412</v>
      </c>
      <c r="B80" s="64">
        <v>7.97</v>
      </c>
      <c r="C80" s="64">
        <v>2.97</v>
      </c>
      <c r="D80" s="64">
        <v>11.72</v>
      </c>
      <c r="E80" s="64">
        <v>3.04</v>
      </c>
      <c r="F80" s="64">
        <v>3.58</v>
      </c>
      <c r="G80" s="64">
        <v>28.3</v>
      </c>
      <c r="H80" s="64">
        <v>3.34</v>
      </c>
      <c r="I80" s="64">
        <v>5.95</v>
      </c>
      <c r="J80" s="64">
        <v>1.2</v>
      </c>
      <c r="K80" s="64">
        <v>115.3</v>
      </c>
      <c r="L80" s="64">
        <v>29.64</v>
      </c>
      <c r="M80" s="64">
        <v>86.9</v>
      </c>
      <c r="N80" s="64">
        <v>57.2</v>
      </c>
      <c r="O80" s="64">
        <v>0</v>
      </c>
      <c r="P80" s="64">
        <v>0.26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4" t="s">
        <v>413</v>
      </c>
      <c r="B81" s="64">
        <v>8</v>
      </c>
      <c r="C81" s="64">
        <v>3.07</v>
      </c>
      <c r="D81" s="64">
        <v>11.8</v>
      </c>
      <c r="E81" s="64">
        <v>3</v>
      </c>
      <c r="F81" s="64">
        <v>3.94</v>
      </c>
      <c r="G81" s="64">
        <v>28.3</v>
      </c>
      <c r="H81" s="64">
        <v>3.34</v>
      </c>
      <c r="I81" s="64">
        <v>5.93</v>
      </c>
      <c r="J81" s="64">
        <v>1.55</v>
      </c>
      <c r="K81" s="64">
        <v>114.86</v>
      </c>
      <c r="L81" s="64">
        <v>29.58</v>
      </c>
      <c r="M81" s="64">
        <v>86.96</v>
      </c>
      <c r="N81" s="64">
        <v>48.2</v>
      </c>
      <c r="O81" s="64">
        <v>0</v>
      </c>
      <c r="P81" s="64">
        <v>0.26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414</v>
      </c>
      <c r="B82" s="64">
        <v>7.97</v>
      </c>
      <c r="C82" s="64">
        <v>3</v>
      </c>
      <c r="D82" s="64">
        <v>11.73</v>
      </c>
      <c r="E82" s="64">
        <v>3.2</v>
      </c>
      <c r="F82" s="64">
        <v>3.28</v>
      </c>
      <c r="G82" s="64">
        <v>28.3</v>
      </c>
      <c r="H82" s="64">
        <v>3.34</v>
      </c>
      <c r="I82" s="64">
        <v>5.83</v>
      </c>
      <c r="J82" s="64">
        <v>1.26</v>
      </c>
      <c r="K82" s="64">
        <v>112.72</v>
      </c>
      <c r="L82" s="64">
        <v>29.53</v>
      </c>
      <c r="M82" s="64">
        <v>87.46</v>
      </c>
      <c r="N82" s="64">
        <v>42.9</v>
      </c>
      <c r="O82" s="64">
        <v>0</v>
      </c>
      <c r="P82" s="64">
        <v>0.26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4" t="s">
        <v>415</v>
      </c>
      <c r="B83" s="64">
        <v>7.98</v>
      </c>
      <c r="C83" s="64">
        <v>3.02</v>
      </c>
      <c r="D83" s="64">
        <v>11.75</v>
      </c>
      <c r="E83" s="64">
        <v>2.9</v>
      </c>
      <c r="F83" s="64">
        <v>3.67</v>
      </c>
      <c r="G83" s="64">
        <v>24.27</v>
      </c>
      <c r="H83" s="64">
        <v>3.13</v>
      </c>
      <c r="I83" s="64">
        <v>5.83</v>
      </c>
      <c r="J83" s="64">
        <v>1.3</v>
      </c>
      <c r="K83" s="64">
        <v>107.71</v>
      </c>
      <c r="L83" s="64">
        <v>29.55</v>
      </c>
      <c r="M83" s="64">
        <v>87.15</v>
      </c>
      <c r="N83" s="64">
        <v>42</v>
      </c>
      <c r="O83" s="64">
        <v>0</v>
      </c>
      <c r="P83" s="64">
        <v>0.26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4" t="s">
        <v>416</v>
      </c>
      <c r="B84" s="64">
        <v>7.95</v>
      </c>
      <c r="C84" s="64">
        <v>2.98</v>
      </c>
      <c r="D84" s="64">
        <v>11.71</v>
      </c>
      <c r="E84" s="64">
        <v>3.17</v>
      </c>
      <c r="F84" s="64">
        <v>3.75</v>
      </c>
      <c r="G84" s="64">
        <v>19.66</v>
      </c>
      <c r="H84" s="64">
        <v>2.99</v>
      </c>
      <c r="I84" s="64">
        <v>5.78</v>
      </c>
      <c r="J84" s="64">
        <v>1.29</v>
      </c>
      <c r="K84" s="64">
        <v>115.52</v>
      </c>
      <c r="L84" s="64">
        <v>29.48</v>
      </c>
      <c r="M84" s="64">
        <v>88.59</v>
      </c>
      <c r="N84" s="64">
        <v>42</v>
      </c>
      <c r="O84" s="64">
        <v>0</v>
      </c>
      <c r="P84" s="64">
        <v>0.28000000000000003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4" t="s">
        <v>417</v>
      </c>
      <c r="B85" s="64">
        <v>7.97</v>
      </c>
      <c r="C85" s="64">
        <v>2.97</v>
      </c>
      <c r="D85" s="64">
        <v>11.72</v>
      </c>
      <c r="E85" s="64">
        <v>3.24</v>
      </c>
      <c r="F85" s="64">
        <v>3.57</v>
      </c>
      <c r="G85" s="64">
        <v>19.66</v>
      </c>
      <c r="H85" s="64">
        <v>2.99</v>
      </c>
      <c r="I85" s="64">
        <v>5.82</v>
      </c>
      <c r="J85" s="64">
        <v>1.53</v>
      </c>
      <c r="K85" s="64">
        <v>116.71</v>
      </c>
      <c r="L85" s="64">
        <v>29.39</v>
      </c>
      <c r="M85" s="64">
        <v>89.14</v>
      </c>
      <c r="N85" s="64">
        <v>42.3</v>
      </c>
      <c r="O85" s="64">
        <v>0</v>
      </c>
      <c r="P85" s="64">
        <v>0.26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4" t="s">
        <v>418</v>
      </c>
      <c r="B86" s="64">
        <v>7.96</v>
      </c>
      <c r="C86" s="64">
        <v>2.99</v>
      </c>
      <c r="D86" s="64">
        <v>11.72</v>
      </c>
      <c r="E86" s="64">
        <v>3.4</v>
      </c>
      <c r="F86" s="64">
        <v>3.01</v>
      </c>
      <c r="G86" s="64">
        <v>19.66</v>
      </c>
      <c r="H86" s="64">
        <v>2.99</v>
      </c>
      <c r="I86" s="64">
        <v>5.8</v>
      </c>
      <c r="J86" s="64">
        <v>1.1000000000000001</v>
      </c>
      <c r="K86" s="64">
        <v>111.4</v>
      </c>
      <c r="L86" s="64">
        <v>29.31</v>
      </c>
      <c r="M86" s="64">
        <v>89.32</v>
      </c>
      <c r="N86" s="64">
        <v>42.2</v>
      </c>
      <c r="O86" s="64">
        <v>0</v>
      </c>
      <c r="P86" s="64">
        <v>0.28000000000000003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4" t="s">
        <v>419</v>
      </c>
      <c r="B87" s="64">
        <v>7.98</v>
      </c>
      <c r="C87" s="64">
        <v>2.99</v>
      </c>
      <c r="D87" s="64">
        <v>11.73</v>
      </c>
      <c r="E87" s="64">
        <v>2.92</v>
      </c>
      <c r="F87" s="64">
        <v>3.54</v>
      </c>
      <c r="G87" s="64">
        <v>20.61</v>
      </c>
      <c r="H87" s="64">
        <v>3.06</v>
      </c>
      <c r="I87" s="64">
        <v>5.9</v>
      </c>
      <c r="J87" s="64">
        <v>1.28</v>
      </c>
      <c r="K87" s="64">
        <v>112.89</v>
      </c>
      <c r="L87" s="64">
        <v>29.19</v>
      </c>
      <c r="M87" s="64">
        <v>89.13</v>
      </c>
      <c r="N87" s="64">
        <v>42.1</v>
      </c>
      <c r="O87" s="64">
        <v>0</v>
      </c>
      <c r="P87" s="64">
        <v>0.28000000000000003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4" t="s">
        <v>420</v>
      </c>
      <c r="B88" s="64">
        <v>7.99</v>
      </c>
      <c r="C88" s="64">
        <v>3.01</v>
      </c>
      <c r="D88" s="64">
        <v>11.75</v>
      </c>
      <c r="E88" s="64">
        <v>4.2300000000000004</v>
      </c>
      <c r="F88" s="64">
        <v>3.41</v>
      </c>
      <c r="G88" s="64">
        <v>21.7</v>
      </c>
      <c r="H88" s="64">
        <v>3.16</v>
      </c>
      <c r="I88" s="64">
        <v>5.96</v>
      </c>
      <c r="J88" s="64">
        <v>1.55</v>
      </c>
      <c r="K88" s="64">
        <v>113.53</v>
      </c>
      <c r="L88" s="64">
        <v>29.06</v>
      </c>
      <c r="M88" s="64">
        <v>89.12</v>
      </c>
      <c r="N88" s="64">
        <v>42</v>
      </c>
      <c r="O88" s="64">
        <v>0</v>
      </c>
      <c r="P88" s="64">
        <v>0.28999999999999998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4" t="s">
        <v>421</v>
      </c>
      <c r="B89" s="64">
        <v>8</v>
      </c>
      <c r="C89" s="64">
        <v>3</v>
      </c>
      <c r="D89" s="64">
        <v>11.76</v>
      </c>
      <c r="E89" s="64">
        <v>4.26</v>
      </c>
      <c r="F89" s="64">
        <v>3.34</v>
      </c>
      <c r="G89" s="64">
        <v>21.7</v>
      </c>
      <c r="H89" s="64">
        <v>3.16</v>
      </c>
      <c r="I89" s="64">
        <v>6.07</v>
      </c>
      <c r="J89" s="64">
        <v>1.74</v>
      </c>
      <c r="K89" s="64">
        <v>117.51</v>
      </c>
      <c r="L89" s="64">
        <v>28.96</v>
      </c>
      <c r="M89" s="64">
        <v>88.76</v>
      </c>
      <c r="N89" s="64">
        <v>41.9</v>
      </c>
      <c r="O89" s="64">
        <v>0</v>
      </c>
      <c r="P89" s="64">
        <v>0.3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4" t="s">
        <v>422</v>
      </c>
      <c r="B90" s="64">
        <v>8.01</v>
      </c>
      <c r="C90" s="64">
        <v>3</v>
      </c>
      <c r="D90" s="64">
        <v>11.77</v>
      </c>
      <c r="E90" s="64">
        <v>4.1399999999999997</v>
      </c>
      <c r="F90" s="64">
        <v>3.4</v>
      </c>
      <c r="G90" s="64">
        <v>21.7</v>
      </c>
      <c r="H90" s="64">
        <v>3.16</v>
      </c>
      <c r="I90" s="64">
        <v>6.27</v>
      </c>
      <c r="J90" s="64">
        <v>1.43</v>
      </c>
      <c r="K90" s="64">
        <v>115.09</v>
      </c>
      <c r="L90" s="64">
        <v>28.94</v>
      </c>
      <c r="M90" s="64">
        <v>89.16</v>
      </c>
      <c r="N90" s="64">
        <v>41.9</v>
      </c>
      <c r="O90" s="64">
        <v>0</v>
      </c>
      <c r="P90" s="64">
        <v>0.3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4" t="s">
        <v>423</v>
      </c>
      <c r="B91" s="64">
        <v>8.01</v>
      </c>
      <c r="C91" s="64">
        <v>2.99</v>
      </c>
      <c r="D91" s="64">
        <v>11.75</v>
      </c>
      <c r="E91" s="64">
        <v>4.4800000000000004</v>
      </c>
      <c r="F91" s="64">
        <v>3.37</v>
      </c>
      <c r="G91" s="64">
        <v>23.29</v>
      </c>
      <c r="H91" s="64">
        <v>2.7</v>
      </c>
      <c r="I91" s="64">
        <v>6.41</v>
      </c>
      <c r="J91" s="64">
        <v>1.1499999999999999</v>
      </c>
      <c r="K91" s="64">
        <v>112.41</v>
      </c>
      <c r="L91" s="64">
        <v>28.93</v>
      </c>
      <c r="M91" s="64">
        <v>89.35</v>
      </c>
      <c r="N91" s="64">
        <v>41.8</v>
      </c>
      <c r="O91" s="64">
        <v>0</v>
      </c>
      <c r="P91" s="64">
        <v>0.31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4" t="s">
        <v>424</v>
      </c>
      <c r="B92" s="64">
        <v>8</v>
      </c>
      <c r="C92" s="64">
        <v>3.02</v>
      </c>
      <c r="D92" s="64">
        <v>11.77</v>
      </c>
      <c r="E92" s="64">
        <v>3.94</v>
      </c>
      <c r="F92" s="64">
        <v>3.39</v>
      </c>
      <c r="G92" s="64">
        <v>25.12</v>
      </c>
      <c r="H92" s="64">
        <v>2.41</v>
      </c>
      <c r="I92" s="64">
        <v>6.54</v>
      </c>
      <c r="J92" s="64">
        <v>1.24</v>
      </c>
      <c r="K92" s="64">
        <v>117.18</v>
      </c>
      <c r="L92" s="64">
        <v>28.88</v>
      </c>
      <c r="M92" s="64">
        <v>90.47</v>
      </c>
      <c r="N92" s="64">
        <v>41.8</v>
      </c>
      <c r="O92" s="64">
        <v>0</v>
      </c>
      <c r="P92" s="64">
        <v>0.32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4" t="s">
        <v>425</v>
      </c>
      <c r="B93" s="64">
        <v>7.99</v>
      </c>
      <c r="C93" s="64">
        <v>2.96</v>
      </c>
      <c r="D93" s="64">
        <v>11.73</v>
      </c>
      <c r="E93" s="64">
        <v>4.37</v>
      </c>
      <c r="F93" s="64">
        <v>3.6</v>
      </c>
      <c r="G93" s="64">
        <v>25.12</v>
      </c>
      <c r="H93" s="64">
        <v>2.41</v>
      </c>
      <c r="I93" s="64">
        <v>6.63</v>
      </c>
      <c r="J93" s="64">
        <v>1.1200000000000001</v>
      </c>
      <c r="K93" s="64">
        <v>120.14</v>
      </c>
      <c r="L93" s="64">
        <v>28.8</v>
      </c>
      <c r="M93" s="64">
        <v>92.42</v>
      </c>
      <c r="N93" s="64">
        <v>41.9</v>
      </c>
      <c r="O93" s="64">
        <v>0</v>
      </c>
      <c r="P93" s="64">
        <v>0.32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4" t="s">
        <v>426</v>
      </c>
      <c r="B94" s="64">
        <v>8.01</v>
      </c>
      <c r="C94" s="64">
        <v>3.04</v>
      </c>
      <c r="D94" s="64">
        <v>11.79</v>
      </c>
      <c r="E94" s="64">
        <v>4.49</v>
      </c>
      <c r="F94" s="64">
        <v>4.03</v>
      </c>
      <c r="G94" s="64">
        <v>25.12</v>
      </c>
      <c r="H94" s="64">
        <v>2.41</v>
      </c>
      <c r="I94" s="64">
        <v>6.68</v>
      </c>
      <c r="J94" s="64">
        <v>1.24</v>
      </c>
      <c r="K94" s="64">
        <v>114.12</v>
      </c>
      <c r="L94" s="64">
        <v>28.79</v>
      </c>
      <c r="M94" s="64">
        <v>93.08</v>
      </c>
      <c r="N94" s="64">
        <v>41.7</v>
      </c>
      <c r="O94" s="64">
        <v>0</v>
      </c>
      <c r="P94" s="64">
        <v>0.33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14" t="s">
        <v>427</v>
      </c>
      <c r="B95" s="64">
        <v>7.99</v>
      </c>
      <c r="C95" s="64">
        <v>3.05</v>
      </c>
      <c r="D95" s="64">
        <v>11.78</v>
      </c>
      <c r="E95" s="64">
        <v>4.3099999999999996</v>
      </c>
      <c r="F95" s="64">
        <v>3.87</v>
      </c>
      <c r="G95" s="64">
        <v>23.65</v>
      </c>
      <c r="H95" s="64">
        <v>3.51</v>
      </c>
      <c r="I95" s="64">
        <v>6.7</v>
      </c>
      <c r="J95" s="64">
        <v>1.4</v>
      </c>
      <c r="K95" s="64">
        <v>112.32</v>
      </c>
      <c r="L95" s="64">
        <v>28.77</v>
      </c>
      <c r="M95" s="64">
        <v>93.51</v>
      </c>
      <c r="N95" s="64">
        <v>41.8</v>
      </c>
      <c r="O95" s="64">
        <v>0</v>
      </c>
      <c r="P95" s="64">
        <v>0.33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4" t="s">
        <v>428</v>
      </c>
      <c r="B96" s="64">
        <v>7.97</v>
      </c>
      <c r="C96" s="64">
        <v>3.02</v>
      </c>
      <c r="D96" s="64">
        <v>11.75</v>
      </c>
      <c r="E96" s="64">
        <v>4.25</v>
      </c>
      <c r="F96" s="64">
        <v>3.55</v>
      </c>
      <c r="G96" s="64">
        <v>21.9</v>
      </c>
      <c r="H96" s="64">
        <v>4.21</v>
      </c>
      <c r="I96" s="64">
        <v>6.4</v>
      </c>
      <c r="J96" s="64">
        <v>1.52</v>
      </c>
      <c r="K96" s="64">
        <v>112.72</v>
      </c>
      <c r="L96" s="64">
        <v>28.63</v>
      </c>
      <c r="M96" s="64">
        <v>95.05</v>
      </c>
      <c r="N96" s="64">
        <v>41.9</v>
      </c>
      <c r="O96" s="64">
        <v>0</v>
      </c>
      <c r="P96" s="64">
        <v>0.34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429</v>
      </c>
      <c r="B97" s="64">
        <v>7.95</v>
      </c>
      <c r="C97" s="64">
        <v>3</v>
      </c>
      <c r="D97" s="64">
        <v>11.72</v>
      </c>
      <c r="E97" s="64">
        <v>4.49</v>
      </c>
      <c r="F97" s="64">
        <v>3.94</v>
      </c>
      <c r="G97" s="64">
        <v>21.9</v>
      </c>
      <c r="H97" s="64">
        <v>4.21</v>
      </c>
      <c r="I97" s="64">
        <v>6.41</v>
      </c>
      <c r="J97" s="64">
        <v>1.78</v>
      </c>
      <c r="K97" s="64">
        <v>117.24</v>
      </c>
      <c r="L97" s="64">
        <v>28.58</v>
      </c>
      <c r="M97" s="64">
        <v>95.8</v>
      </c>
      <c r="N97" s="64">
        <v>41.8</v>
      </c>
      <c r="O97" s="64">
        <v>0</v>
      </c>
      <c r="P97" s="64">
        <v>0.34</v>
      </c>
      <c r="Q97" s="64">
        <v>9.59</v>
      </c>
      <c r="R97" s="198"/>
      <c r="S97" s="198"/>
      <c r="T97" s="198"/>
      <c r="U97" s="198"/>
    </row>
    <row r="98" spans="1:33" s="12" customFormat="1" x14ac:dyDescent="0.25">
      <c r="A98" s="214" t="s">
        <v>430</v>
      </c>
      <c r="B98" s="64">
        <v>7.98</v>
      </c>
      <c r="C98" s="64">
        <v>3.05</v>
      </c>
      <c r="D98" s="64">
        <v>11.76</v>
      </c>
      <c r="E98" s="64">
        <v>4.66</v>
      </c>
      <c r="F98" s="64">
        <v>3.1</v>
      </c>
      <c r="G98" s="64">
        <v>21.9</v>
      </c>
      <c r="H98" s="64">
        <v>4.21</v>
      </c>
      <c r="I98" s="64">
        <v>6.41</v>
      </c>
      <c r="J98" s="64">
        <v>1.7</v>
      </c>
      <c r="K98" s="64">
        <v>110.04</v>
      </c>
      <c r="L98" s="64">
        <v>28.51</v>
      </c>
      <c r="M98" s="64">
        <v>96.15</v>
      </c>
      <c r="N98" s="64">
        <v>41.9</v>
      </c>
      <c r="O98" s="64">
        <v>0</v>
      </c>
      <c r="P98" s="64">
        <v>0.35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4" t="s">
        <v>431</v>
      </c>
      <c r="B99" s="64">
        <v>7.97</v>
      </c>
      <c r="C99" s="64">
        <v>2.99</v>
      </c>
      <c r="D99" s="64">
        <v>11.73</v>
      </c>
      <c r="E99" s="64">
        <v>4.5599999999999996</v>
      </c>
      <c r="F99" s="64">
        <v>4.12</v>
      </c>
      <c r="G99" s="64">
        <v>22.01</v>
      </c>
      <c r="H99" s="64">
        <v>3.51</v>
      </c>
      <c r="I99" s="64">
        <v>6.47</v>
      </c>
      <c r="J99" s="64">
        <v>1.75</v>
      </c>
      <c r="K99" s="64">
        <v>112.15</v>
      </c>
      <c r="L99" s="64">
        <v>28.38</v>
      </c>
      <c r="M99" s="64">
        <v>96.55</v>
      </c>
      <c r="N99" s="64">
        <v>41.9</v>
      </c>
      <c r="O99" s="64">
        <v>0</v>
      </c>
      <c r="P99" s="64">
        <v>0.35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432</v>
      </c>
      <c r="B100" s="64">
        <v>7.96</v>
      </c>
      <c r="C100" s="64">
        <v>2.92</v>
      </c>
      <c r="D100" s="64">
        <v>11.69</v>
      </c>
      <c r="E100" s="64">
        <v>4.57</v>
      </c>
      <c r="F100" s="64">
        <v>2.4700000000000002</v>
      </c>
      <c r="G100" s="64">
        <v>22.15</v>
      </c>
      <c r="H100" s="64">
        <v>3.07</v>
      </c>
      <c r="I100" s="64">
        <v>6.48</v>
      </c>
      <c r="J100" s="64">
        <v>1.66</v>
      </c>
      <c r="K100" s="64">
        <v>108.61</v>
      </c>
      <c r="L100" s="64">
        <v>28.3</v>
      </c>
      <c r="M100" s="64">
        <v>96.48</v>
      </c>
      <c r="N100" s="64">
        <v>41.9</v>
      </c>
      <c r="O100" s="64">
        <v>0</v>
      </c>
      <c r="P100" s="64">
        <v>0.34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433</v>
      </c>
      <c r="B101" s="64">
        <v>7.98</v>
      </c>
      <c r="C101" s="64">
        <v>2.98</v>
      </c>
      <c r="D101" s="64">
        <v>11.73</v>
      </c>
      <c r="E101" s="64">
        <v>4.7</v>
      </c>
      <c r="F101" s="64">
        <v>3.99</v>
      </c>
      <c r="G101" s="64">
        <v>22.15</v>
      </c>
      <c r="H101" s="64">
        <v>3.07</v>
      </c>
      <c r="I101" s="64">
        <v>6.59</v>
      </c>
      <c r="J101" s="64">
        <v>1.97</v>
      </c>
      <c r="K101" s="64">
        <v>111.65</v>
      </c>
      <c r="L101" s="64">
        <v>28.14</v>
      </c>
      <c r="M101" s="64">
        <v>97.78</v>
      </c>
      <c r="N101" s="64">
        <v>42</v>
      </c>
      <c r="O101" s="64">
        <v>0</v>
      </c>
      <c r="P101" s="64">
        <v>0.35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4" t="s">
        <v>434</v>
      </c>
      <c r="B102" s="64">
        <v>7.96</v>
      </c>
      <c r="C102" s="64">
        <v>2.98</v>
      </c>
      <c r="D102" s="64">
        <v>11.71</v>
      </c>
      <c r="E102" s="64">
        <v>4.8600000000000003</v>
      </c>
      <c r="F102" s="64">
        <v>3.22</v>
      </c>
      <c r="G102" s="64">
        <v>22.15</v>
      </c>
      <c r="H102" s="64">
        <v>3.07</v>
      </c>
      <c r="I102" s="64">
        <v>6.57</v>
      </c>
      <c r="J102" s="64">
        <v>1.63</v>
      </c>
      <c r="K102" s="64">
        <v>112.15</v>
      </c>
      <c r="L102" s="64">
        <v>27.95</v>
      </c>
      <c r="M102" s="64">
        <v>99.39</v>
      </c>
      <c r="N102" s="64">
        <v>42</v>
      </c>
      <c r="O102" s="64">
        <v>0</v>
      </c>
      <c r="P102" s="64">
        <v>0.34</v>
      </c>
      <c r="Q102" s="64">
        <v>9.58</v>
      </c>
      <c r="R102" s="198"/>
      <c r="S102" s="198"/>
      <c r="T102" s="198"/>
      <c r="U102" s="198"/>
    </row>
    <row r="103" spans="1:33" s="12" customFormat="1" x14ac:dyDescent="0.25">
      <c r="A103" s="214" t="s">
        <v>435</v>
      </c>
      <c r="B103" s="64">
        <v>8</v>
      </c>
      <c r="C103" s="64">
        <v>3.05</v>
      </c>
      <c r="D103" s="64">
        <v>11.78</v>
      </c>
      <c r="E103" s="64">
        <v>4.5999999999999996</v>
      </c>
      <c r="F103" s="64">
        <v>3.72</v>
      </c>
      <c r="G103" s="64">
        <v>20.78</v>
      </c>
      <c r="H103" s="64">
        <v>2.87</v>
      </c>
      <c r="I103" s="64">
        <v>6.61</v>
      </c>
      <c r="J103" s="64">
        <v>1.49</v>
      </c>
      <c r="K103" s="64">
        <v>109.57</v>
      </c>
      <c r="L103" s="64">
        <v>27.8</v>
      </c>
      <c r="M103" s="64">
        <v>100.57</v>
      </c>
      <c r="N103" s="64">
        <v>42</v>
      </c>
      <c r="O103" s="64">
        <v>0</v>
      </c>
      <c r="P103" s="64">
        <v>0.32</v>
      </c>
      <c r="Q103" s="64">
        <v>9.58</v>
      </c>
      <c r="R103" s="198"/>
      <c r="S103" s="198"/>
      <c r="T103" s="198"/>
      <c r="U103" s="198"/>
    </row>
    <row r="104" spans="1:33" s="12" customFormat="1" x14ac:dyDescent="0.25">
      <c r="A104" s="214" t="s">
        <v>436</v>
      </c>
      <c r="B104" s="64">
        <v>8.07</v>
      </c>
      <c r="C104" s="64">
        <v>3.18</v>
      </c>
      <c r="D104" s="64">
        <v>11.91</v>
      </c>
      <c r="E104" s="64">
        <v>4.6500000000000004</v>
      </c>
      <c r="F104" s="64">
        <v>3.38</v>
      </c>
      <c r="G104" s="64">
        <v>19.23</v>
      </c>
      <c r="H104" s="64">
        <v>2.57</v>
      </c>
      <c r="I104" s="64">
        <v>6.77</v>
      </c>
      <c r="J104" s="64">
        <v>1.57</v>
      </c>
      <c r="K104" s="64">
        <v>112.35</v>
      </c>
      <c r="L104" s="64">
        <v>27.64</v>
      </c>
      <c r="M104" s="64">
        <v>101.43</v>
      </c>
      <c r="N104" s="64">
        <v>42</v>
      </c>
      <c r="O104" s="64">
        <v>0</v>
      </c>
      <c r="P104" s="64">
        <v>0.33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7.93</v>
      </c>
      <c r="C106" s="67">
        <f>MIN(C9:C104)</f>
        <v>2.92</v>
      </c>
      <c r="D106" s="67">
        <f t="shared" ref="D106:Q106" si="0">MIN(D9:D104)</f>
        <v>11.68</v>
      </c>
      <c r="E106" s="67">
        <f t="shared" si="0"/>
        <v>2.44</v>
      </c>
      <c r="F106" s="67">
        <f t="shared" si="0"/>
        <v>2.44</v>
      </c>
      <c r="G106" s="67">
        <f t="shared" si="0"/>
        <v>6.97</v>
      </c>
      <c r="H106" s="67">
        <f t="shared" si="0"/>
        <v>0.92</v>
      </c>
      <c r="I106" s="67">
        <f t="shared" si="0"/>
        <v>5.27</v>
      </c>
      <c r="J106" s="67">
        <f t="shared" si="0"/>
        <v>0.43</v>
      </c>
      <c r="K106" s="67">
        <f t="shared" si="0"/>
        <v>106.04</v>
      </c>
      <c r="L106" s="67">
        <f t="shared" si="0"/>
        <v>26.09</v>
      </c>
      <c r="M106" s="67">
        <f t="shared" si="0"/>
        <v>71.88</v>
      </c>
      <c r="N106" s="67">
        <f t="shared" si="0"/>
        <v>41.7</v>
      </c>
      <c r="O106" s="67">
        <f t="shared" si="0"/>
        <v>0</v>
      </c>
      <c r="P106" s="67">
        <f t="shared" si="0"/>
        <v>0.24</v>
      </c>
      <c r="Q106" s="67">
        <f t="shared" si="0"/>
        <v>9.48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9.8000000000000007</v>
      </c>
      <c r="C107" s="66">
        <f t="shared" ref="C107:Q107" si="1">MAX(C9:C104)</f>
        <v>5.31</v>
      </c>
      <c r="D107" s="66">
        <f t="shared" si="1"/>
        <v>14.18</v>
      </c>
      <c r="E107" s="66">
        <f t="shared" si="1"/>
        <v>5.59</v>
      </c>
      <c r="F107" s="66">
        <f t="shared" si="1"/>
        <v>5.4</v>
      </c>
      <c r="G107" s="66">
        <f t="shared" si="1"/>
        <v>28.3</v>
      </c>
      <c r="H107" s="66">
        <f t="shared" si="1"/>
        <v>6.06</v>
      </c>
      <c r="I107" s="66">
        <f t="shared" si="1"/>
        <v>6.77</v>
      </c>
      <c r="J107" s="66">
        <f t="shared" si="1"/>
        <v>2.4300000000000002</v>
      </c>
      <c r="K107" s="66">
        <f t="shared" si="1"/>
        <v>120.38</v>
      </c>
      <c r="L107" s="66">
        <f t="shared" si="1"/>
        <v>31.72</v>
      </c>
      <c r="M107" s="66">
        <f t="shared" si="1"/>
        <v>101.53</v>
      </c>
      <c r="N107" s="66">
        <f t="shared" si="1"/>
        <v>650.6</v>
      </c>
      <c r="O107" s="66">
        <f t="shared" si="1"/>
        <v>0</v>
      </c>
      <c r="P107" s="66">
        <f t="shared" si="1"/>
        <v>0.39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8.3051041666666769</v>
      </c>
      <c r="C108" s="67">
        <f t="shared" ref="C108:Q108" si="2">AVERAGE(C9:C104)</f>
        <v>3.6178125000000012</v>
      </c>
      <c r="D108" s="67">
        <f t="shared" si="2"/>
        <v>12.324583333333338</v>
      </c>
      <c r="E108" s="67">
        <f t="shared" si="2"/>
        <v>4.1230208333333334</v>
      </c>
      <c r="F108" s="67">
        <f t="shared" si="2"/>
        <v>3.7725000000000013</v>
      </c>
      <c r="G108" s="67">
        <f t="shared" si="2"/>
        <v>15.067812500000002</v>
      </c>
      <c r="H108" s="67">
        <f t="shared" si="2"/>
        <v>3.0666666666666651</v>
      </c>
      <c r="I108" s="67">
        <f t="shared" si="2"/>
        <v>5.9931250000000018</v>
      </c>
      <c r="J108" s="67">
        <f t="shared" si="2"/>
        <v>1.4613541666666663</v>
      </c>
      <c r="K108" s="67">
        <f t="shared" si="2"/>
        <v>113.39812499999995</v>
      </c>
      <c r="L108" s="67">
        <f t="shared" si="2"/>
        <v>28.429479166666678</v>
      </c>
      <c r="M108" s="67">
        <f t="shared" si="2"/>
        <v>91.671250000000001</v>
      </c>
      <c r="N108" s="67">
        <f t="shared" si="2"/>
        <v>172.02499999999995</v>
      </c>
      <c r="O108" s="67">
        <f t="shared" si="2"/>
        <v>0</v>
      </c>
      <c r="P108" s="67">
        <f t="shared" si="2"/>
        <v>0.29145833333333343</v>
      </c>
      <c r="Q108" s="67">
        <f t="shared" si="2"/>
        <v>9.5916666666666739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0.44192639251747434</v>
      </c>
      <c r="C109" s="67">
        <f t="shared" ref="C109:Q109" si="3">STDEV(C9:C104)</f>
        <v>0.76372522356228323</v>
      </c>
      <c r="D109" s="67">
        <f t="shared" si="3"/>
        <v>0.74648074909667272</v>
      </c>
      <c r="E109" s="67">
        <f t="shared" si="3"/>
        <v>0.73508197866011882</v>
      </c>
      <c r="F109" s="67">
        <f t="shared" si="3"/>
        <v>0.63283655493590873</v>
      </c>
      <c r="G109" s="67">
        <f t="shared" si="3"/>
        <v>6.0596543592805139</v>
      </c>
      <c r="H109" s="67">
        <f t="shared" si="3"/>
        <v>1.3366806229310402</v>
      </c>
      <c r="I109" s="67">
        <f t="shared" si="3"/>
        <v>0.38759260353596731</v>
      </c>
      <c r="J109" s="67">
        <f t="shared" si="3"/>
        <v>0.41458316362511033</v>
      </c>
      <c r="K109" s="67">
        <f t="shared" si="3"/>
        <v>3.0097712144211046</v>
      </c>
      <c r="L109" s="67">
        <f t="shared" si="3"/>
        <v>1.8023700010303199</v>
      </c>
      <c r="M109" s="67">
        <f t="shared" si="3"/>
        <v>9.6573717956801719</v>
      </c>
      <c r="N109" s="67">
        <f t="shared" si="3"/>
        <v>191.04965460925553</v>
      </c>
      <c r="O109" s="67">
        <f t="shared" si="3"/>
        <v>0</v>
      </c>
      <c r="P109" s="67">
        <f t="shared" si="3"/>
        <v>3.713359003344327E-2</v>
      </c>
      <c r="Q109" s="67">
        <f t="shared" si="3"/>
        <v>3.2595339242764053E-2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437</v>
      </c>
      <c r="B9" s="64">
        <v>8.02</v>
      </c>
      <c r="C9" s="64">
        <v>3.04</v>
      </c>
      <c r="D9" s="64">
        <v>11.79</v>
      </c>
      <c r="E9" s="64">
        <v>4.41</v>
      </c>
      <c r="F9" s="64">
        <v>3.62</v>
      </c>
      <c r="G9" s="64">
        <v>19.23</v>
      </c>
      <c r="H9" s="64">
        <v>2.57</v>
      </c>
      <c r="I9" s="64">
        <v>6.53</v>
      </c>
      <c r="J9" s="64">
        <v>1.46</v>
      </c>
      <c r="K9" s="64">
        <v>112.93</v>
      </c>
      <c r="L9" s="64">
        <v>27.52</v>
      </c>
      <c r="M9" s="64">
        <v>101.47</v>
      </c>
      <c r="N9" s="64">
        <v>41.9</v>
      </c>
      <c r="O9" s="64">
        <v>0</v>
      </c>
      <c r="P9" s="64">
        <v>0.32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4" t="s">
        <v>438</v>
      </c>
      <c r="B10" s="64">
        <v>7.98</v>
      </c>
      <c r="C10" s="64">
        <v>3.02</v>
      </c>
      <c r="D10" s="64">
        <v>11.75</v>
      </c>
      <c r="E10" s="64">
        <v>4.7699999999999996</v>
      </c>
      <c r="F10" s="64">
        <v>3.25</v>
      </c>
      <c r="G10" s="64">
        <v>19.23</v>
      </c>
      <c r="H10" s="64">
        <v>2.57</v>
      </c>
      <c r="I10" s="64">
        <v>6.53</v>
      </c>
      <c r="J10" s="64">
        <v>1.53</v>
      </c>
      <c r="K10" s="64">
        <v>110.64</v>
      </c>
      <c r="L10" s="64">
        <v>27.44</v>
      </c>
      <c r="M10" s="64">
        <v>101.49</v>
      </c>
      <c r="N10" s="64">
        <v>41.9</v>
      </c>
      <c r="O10" s="64">
        <v>0</v>
      </c>
      <c r="P10" s="64">
        <v>0.31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4" t="s">
        <v>439</v>
      </c>
      <c r="B11" s="64">
        <v>7.97</v>
      </c>
      <c r="C11" s="64">
        <v>2.98</v>
      </c>
      <c r="D11" s="64">
        <v>11.72</v>
      </c>
      <c r="E11" s="64">
        <v>4.9000000000000004</v>
      </c>
      <c r="F11" s="64">
        <v>3.32</v>
      </c>
      <c r="G11" s="64">
        <v>18.829999999999998</v>
      </c>
      <c r="H11" s="64">
        <v>2.12</v>
      </c>
      <c r="I11" s="64">
        <v>6.49</v>
      </c>
      <c r="J11" s="64">
        <v>1.91</v>
      </c>
      <c r="K11" s="64">
        <v>110.87</v>
      </c>
      <c r="L11" s="64">
        <v>27.29</v>
      </c>
      <c r="M11" s="64">
        <v>101.5</v>
      </c>
      <c r="N11" s="64">
        <v>42.1</v>
      </c>
      <c r="O11" s="64">
        <v>0</v>
      </c>
      <c r="P11" s="64">
        <v>0.31</v>
      </c>
      <c r="Q11" s="64">
        <v>9.59</v>
      </c>
      <c r="R11" s="198"/>
      <c r="S11" s="198"/>
      <c r="T11" s="198"/>
      <c r="U11" s="198"/>
    </row>
    <row r="12" spans="1:21" s="12" customFormat="1" x14ac:dyDescent="0.25">
      <c r="A12" s="214" t="s">
        <v>440</v>
      </c>
      <c r="B12" s="64">
        <v>7.98</v>
      </c>
      <c r="C12" s="64">
        <v>2.96</v>
      </c>
      <c r="D12" s="64">
        <v>11.72</v>
      </c>
      <c r="E12" s="64">
        <v>5.05</v>
      </c>
      <c r="F12" s="64">
        <v>2.95</v>
      </c>
      <c r="G12" s="64">
        <v>18.38</v>
      </c>
      <c r="H12" s="64">
        <v>1.84</v>
      </c>
      <c r="I12" s="64">
        <v>6.53</v>
      </c>
      <c r="J12" s="64">
        <v>1.87</v>
      </c>
      <c r="K12" s="64">
        <v>110.34</v>
      </c>
      <c r="L12" s="64">
        <v>27.18</v>
      </c>
      <c r="M12" s="64">
        <v>101.5</v>
      </c>
      <c r="N12" s="64">
        <v>42.3</v>
      </c>
      <c r="O12" s="64">
        <v>0</v>
      </c>
      <c r="P12" s="64">
        <v>0.3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4" t="s">
        <v>441</v>
      </c>
      <c r="B13" s="64">
        <v>8.01</v>
      </c>
      <c r="C13" s="64">
        <v>2.97</v>
      </c>
      <c r="D13" s="64">
        <v>11.74</v>
      </c>
      <c r="E13" s="64">
        <v>4.51</v>
      </c>
      <c r="F13" s="64">
        <v>3.33</v>
      </c>
      <c r="G13" s="64">
        <v>18.38</v>
      </c>
      <c r="H13" s="64">
        <v>1.84</v>
      </c>
      <c r="I13" s="64">
        <v>6.84</v>
      </c>
      <c r="J13" s="64">
        <v>1.26</v>
      </c>
      <c r="K13" s="64">
        <v>105.18</v>
      </c>
      <c r="L13" s="64">
        <v>27.1</v>
      </c>
      <c r="M13" s="64">
        <v>101.5</v>
      </c>
      <c r="N13" s="64">
        <v>42</v>
      </c>
      <c r="O13" s="64">
        <v>0</v>
      </c>
      <c r="P13" s="64">
        <v>0.28999999999999998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4" t="s">
        <v>442</v>
      </c>
      <c r="B14" s="64">
        <v>7.97</v>
      </c>
      <c r="C14" s="64">
        <v>2.93</v>
      </c>
      <c r="D14" s="64">
        <v>11.7</v>
      </c>
      <c r="E14" s="64">
        <v>4.7</v>
      </c>
      <c r="F14" s="64">
        <v>4.13</v>
      </c>
      <c r="G14" s="64">
        <v>18.38</v>
      </c>
      <c r="H14" s="64">
        <v>1.84</v>
      </c>
      <c r="I14" s="64">
        <v>6.9</v>
      </c>
      <c r="J14" s="64">
        <v>1.1399999999999999</v>
      </c>
      <c r="K14" s="64">
        <v>102.79</v>
      </c>
      <c r="L14" s="64">
        <v>27.05</v>
      </c>
      <c r="M14" s="64">
        <v>101.49</v>
      </c>
      <c r="N14" s="64">
        <v>41.9</v>
      </c>
      <c r="O14" s="64">
        <v>0</v>
      </c>
      <c r="P14" s="64">
        <v>0.3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4" t="s">
        <v>443</v>
      </c>
      <c r="B15" s="64">
        <v>7.94</v>
      </c>
      <c r="C15" s="64">
        <v>2.92</v>
      </c>
      <c r="D15" s="64">
        <v>11.66</v>
      </c>
      <c r="E15" s="64">
        <v>4.91</v>
      </c>
      <c r="F15" s="64">
        <v>3.62</v>
      </c>
      <c r="G15" s="64">
        <v>16.690000000000001</v>
      </c>
      <c r="H15" s="64">
        <v>2.44</v>
      </c>
      <c r="I15" s="64">
        <v>6.82</v>
      </c>
      <c r="J15" s="64">
        <v>0.95</v>
      </c>
      <c r="K15" s="64">
        <v>104.12</v>
      </c>
      <c r="L15" s="64">
        <v>26.94</v>
      </c>
      <c r="M15" s="64">
        <v>101.5</v>
      </c>
      <c r="N15" s="64">
        <v>41.9</v>
      </c>
      <c r="O15" s="64">
        <v>0</v>
      </c>
      <c r="P15" s="64">
        <v>0.3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4" t="s">
        <v>444</v>
      </c>
      <c r="B16" s="64">
        <v>7.96</v>
      </c>
      <c r="C16" s="64">
        <v>2.95</v>
      </c>
      <c r="D16" s="64">
        <v>11.69</v>
      </c>
      <c r="E16" s="64">
        <v>4.51</v>
      </c>
      <c r="F16" s="64">
        <v>4.0999999999999996</v>
      </c>
      <c r="G16" s="64">
        <v>14.76</v>
      </c>
      <c r="H16" s="64">
        <v>2.82</v>
      </c>
      <c r="I16" s="64">
        <v>6.74</v>
      </c>
      <c r="J16" s="64">
        <v>0.66</v>
      </c>
      <c r="K16" s="64">
        <v>110.82</v>
      </c>
      <c r="L16" s="64">
        <v>26.77</v>
      </c>
      <c r="M16" s="64">
        <v>101.5</v>
      </c>
      <c r="N16" s="64">
        <v>41.9</v>
      </c>
      <c r="O16" s="64">
        <v>0</v>
      </c>
      <c r="P16" s="64">
        <v>0.28999999999999998</v>
      </c>
      <c r="Q16" s="64">
        <v>9.58</v>
      </c>
      <c r="R16" s="198"/>
      <c r="S16" s="198"/>
      <c r="T16" s="198"/>
      <c r="U16" s="198"/>
    </row>
    <row r="17" spans="1:21" s="12" customFormat="1" x14ac:dyDescent="0.25">
      <c r="A17" s="214" t="s">
        <v>445</v>
      </c>
      <c r="B17" s="64">
        <v>7.96</v>
      </c>
      <c r="C17" s="64">
        <v>3</v>
      </c>
      <c r="D17" s="64">
        <v>11.72</v>
      </c>
      <c r="E17" s="64">
        <v>4.8099999999999996</v>
      </c>
      <c r="F17" s="64">
        <v>2.94</v>
      </c>
      <c r="G17" s="64">
        <v>14.76</v>
      </c>
      <c r="H17" s="64">
        <v>2.82</v>
      </c>
      <c r="I17" s="64">
        <v>6.57</v>
      </c>
      <c r="J17" s="64">
        <v>0.5</v>
      </c>
      <c r="K17" s="64">
        <v>105.7</v>
      </c>
      <c r="L17" s="64">
        <v>26.67</v>
      </c>
      <c r="M17" s="64">
        <v>101.5</v>
      </c>
      <c r="N17" s="64">
        <v>42</v>
      </c>
      <c r="O17" s="64">
        <v>0</v>
      </c>
      <c r="P17" s="64">
        <v>0.28999999999999998</v>
      </c>
      <c r="Q17" s="64">
        <v>9.57</v>
      </c>
      <c r="R17" s="198"/>
      <c r="S17" s="198"/>
      <c r="T17" s="198"/>
      <c r="U17" s="198"/>
    </row>
    <row r="18" spans="1:21" s="12" customFormat="1" x14ac:dyDescent="0.25">
      <c r="A18" s="214" t="s">
        <v>446</v>
      </c>
      <c r="B18" s="64">
        <v>7.96</v>
      </c>
      <c r="C18" s="64">
        <v>2.96</v>
      </c>
      <c r="D18" s="64">
        <v>11.7</v>
      </c>
      <c r="E18" s="64">
        <v>4.7699999999999996</v>
      </c>
      <c r="F18" s="64">
        <v>4.18</v>
      </c>
      <c r="G18" s="64">
        <v>14.76</v>
      </c>
      <c r="H18" s="64">
        <v>2.82</v>
      </c>
      <c r="I18" s="64">
        <v>6.37</v>
      </c>
      <c r="J18" s="64">
        <v>0.31</v>
      </c>
      <c r="K18" s="64">
        <v>140.6</v>
      </c>
      <c r="L18" s="64">
        <v>26.53</v>
      </c>
      <c r="M18" s="64">
        <v>101.52</v>
      </c>
      <c r="N18" s="64">
        <v>41.9</v>
      </c>
      <c r="O18" s="64">
        <v>0</v>
      </c>
      <c r="P18" s="64">
        <v>0.28000000000000003</v>
      </c>
      <c r="Q18" s="64">
        <v>9.57</v>
      </c>
      <c r="R18" s="198"/>
      <c r="S18" s="198"/>
      <c r="T18" s="198"/>
      <c r="U18" s="198"/>
    </row>
    <row r="19" spans="1:21" s="12" customFormat="1" x14ac:dyDescent="0.25">
      <c r="A19" s="214" t="s">
        <v>447</v>
      </c>
      <c r="B19" s="64">
        <v>7.96</v>
      </c>
      <c r="C19" s="64">
        <v>2.97</v>
      </c>
      <c r="D19" s="64">
        <v>11.71</v>
      </c>
      <c r="E19" s="64">
        <v>4.51</v>
      </c>
      <c r="F19" s="64">
        <v>2.79</v>
      </c>
      <c r="G19" s="64">
        <v>13.2</v>
      </c>
      <c r="H19" s="64">
        <v>2.4300000000000002</v>
      </c>
      <c r="I19" s="64">
        <v>6.1</v>
      </c>
      <c r="J19" s="64">
        <v>0.4</v>
      </c>
      <c r="K19" s="64">
        <v>141.63</v>
      </c>
      <c r="L19" s="64">
        <v>26.49</v>
      </c>
      <c r="M19" s="64">
        <v>101.53</v>
      </c>
      <c r="N19" s="64">
        <v>41.9</v>
      </c>
      <c r="O19" s="64">
        <v>0</v>
      </c>
      <c r="P19" s="64">
        <v>0.28999999999999998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4" t="s">
        <v>448</v>
      </c>
      <c r="B20" s="64">
        <v>7.98</v>
      </c>
      <c r="C20" s="64">
        <v>3.02</v>
      </c>
      <c r="D20" s="64">
        <v>11.75</v>
      </c>
      <c r="E20" s="64">
        <v>4.78</v>
      </c>
      <c r="F20" s="64">
        <v>4.1100000000000003</v>
      </c>
      <c r="G20" s="64">
        <v>11.43</v>
      </c>
      <c r="H20" s="64">
        <v>2.1800000000000002</v>
      </c>
      <c r="I20" s="64">
        <v>5.84</v>
      </c>
      <c r="J20" s="64">
        <v>0.57999999999999996</v>
      </c>
      <c r="K20" s="64">
        <v>142.54</v>
      </c>
      <c r="L20" s="64">
        <v>26.51</v>
      </c>
      <c r="M20" s="64">
        <v>101.53</v>
      </c>
      <c r="N20" s="64">
        <v>41.9</v>
      </c>
      <c r="O20" s="64">
        <v>0</v>
      </c>
      <c r="P20" s="64">
        <v>0.28000000000000003</v>
      </c>
      <c r="Q20" s="64">
        <v>9.56</v>
      </c>
      <c r="R20" s="198"/>
      <c r="S20" s="198"/>
      <c r="T20" s="198"/>
      <c r="U20" s="198"/>
    </row>
    <row r="21" spans="1:21" s="12" customFormat="1" x14ac:dyDescent="0.25">
      <c r="A21" s="214" t="s">
        <v>449</v>
      </c>
      <c r="B21" s="64">
        <v>8</v>
      </c>
      <c r="C21" s="64">
        <v>3.02</v>
      </c>
      <c r="D21" s="64">
        <v>11.77</v>
      </c>
      <c r="E21" s="64">
        <v>4.99</v>
      </c>
      <c r="F21" s="64">
        <v>3.15</v>
      </c>
      <c r="G21" s="64">
        <v>11.43</v>
      </c>
      <c r="H21" s="64">
        <v>2.1800000000000002</v>
      </c>
      <c r="I21" s="64">
        <v>5.45</v>
      </c>
      <c r="J21" s="64">
        <v>0.47</v>
      </c>
      <c r="K21" s="64">
        <v>152.77000000000001</v>
      </c>
      <c r="L21" s="64">
        <v>26.46</v>
      </c>
      <c r="M21" s="64">
        <v>101.53</v>
      </c>
      <c r="N21" s="64">
        <v>42.1</v>
      </c>
      <c r="O21" s="64">
        <v>0</v>
      </c>
      <c r="P21" s="64">
        <v>0.27</v>
      </c>
      <c r="Q21" s="64">
        <v>9.56</v>
      </c>
      <c r="R21" s="198"/>
      <c r="S21" s="198"/>
      <c r="T21" s="198"/>
      <c r="U21" s="198"/>
    </row>
    <row r="22" spans="1:21" s="12" customFormat="1" x14ac:dyDescent="0.25">
      <c r="A22" s="214" t="s">
        <v>450</v>
      </c>
      <c r="B22" s="64">
        <v>7.97</v>
      </c>
      <c r="C22" s="64">
        <v>3.01</v>
      </c>
      <c r="D22" s="64">
        <v>11.74</v>
      </c>
      <c r="E22" s="64">
        <v>4.47</v>
      </c>
      <c r="F22" s="64">
        <v>3.62</v>
      </c>
      <c r="G22" s="64">
        <v>11.43</v>
      </c>
      <c r="H22" s="64">
        <v>2.1800000000000002</v>
      </c>
      <c r="I22" s="64">
        <v>5.27</v>
      </c>
      <c r="J22" s="64">
        <v>0.05</v>
      </c>
      <c r="K22" s="64">
        <v>102.1</v>
      </c>
      <c r="L22" s="64">
        <v>26.29</v>
      </c>
      <c r="M22" s="64">
        <v>101.53</v>
      </c>
      <c r="N22" s="64">
        <v>42.1</v>
      </c>
      <c r="O22" s="64">
        <v>0</v>
      </c>
      <c r="P22" s="64">
        <v>0.28000000000000003</v>
      </c>
      <c r="Q22" s="64">
        <v>9.5399999999999991</v>
      </c>
      <c r="R22" s="198"/>
      <c r="S22" s="198"/>
      <c r="T22" s="198"/>
      <c r="U22" s="198"/>
    </row>
    <row r="23" spans="1:21" s="12" customFormat="1" x14ac:dyDescent="0.25">
      <c r="A23" s="214" t="s">
        <v>451</v>
      </c>
      <c r="B23" s="64">
        <v>7.98</v>
      </c>
      <c r="C23" s="64">
        <v>3.01</v>
      </c>
      <c r="D23" s="64">
        <v>11.75</v>
      </c>
      <c r="E23" s="64">
        <v>4.63</v>
      </c>
      <c r="F23" s="64">
        <v>2.9</v>
      </c>
      <c r="G23" s="64">
        <v>11.26</v>
      </c>
      <c r="H23" s="64">
        <v>2.0299999999999998</v>
      </c>
      <c r="I23" s="64">
        <v>4.9400000000000004</v>
      </c>
      <c r="J23" s="64">
        <v>7.0000000000000007E-2</v>
      </c>
      <c r="K23" s="64">
        <v>21.79</v>
      </c>
      <c r="L23" s="64">
        <v>26.07</v>
      </c>
      <c r="M23" s="64">
        <v>101.53</v>
      </c>
      <c r="N23" s="64">
        <v>41.8</v>
      </c>
      <c r="O23" s="64">
        <v>0</v>
      </c>
      <c r="P23" s="64">
        <v>0.27</v>
      </c>
      <c r="Q23" s="64">
        <v>9.5399999999999991</v>
      </c>
      <c r="R23" s="198"/>
      <c r="S23" s="198"/>
      <c r="T23" s="198"/>
      <c r="U23" s="198"/>
    </row>
    <row r="24" spans="1:21" s="12" customFormat="1" x14ac:dyDescent="0.25">
      <c r="A24" s="214" t="s">
        <v>452</v>
      </c>
      <c r="B24" s="64">
        <v>7.99</v>
      </c>
      <c r="C24" s="64">
        <v>2.98</v>
      </c>
      <c r="D24" s="64">
        <v>11.74</v>
      </c>
      <c r="E24" s="64">
        <v>4.1100000000000003</v>
      </c>
      <c r="F24" s="64">
        <v>3.61</v>
      </c>
      <c r="G24" s="64">
        <v>11.07</v>
      </c>
      <c r="H24" s="64">
        <v>1.81</v>
      </c>
      <c r="I24" s="64">
        <v>4.72</v>
      </c>
      <c r="J24" s="64">
        <v>0.1</v>
      </c>
      <c r="K24" s="64">
        <v>8.57</v>
      </c>
      <c r="L24" s="64">
        <v>25.93</v>
      </c>
      <c r="M24" s="64">
        <v>101.53</v>
      </c>
      <c r="N24" s="64">
        <v>42</v>
      </c>
      <c r="O24" s="64">
        <v>0</v>
      </c>
      <c r="P24" s="64">
        <v>0.26</v>
      </c>
      <c r="Q24" s="64">
        <v>9.5399999999999991</v>
      </c>
      <c r="R24" s="198"/>
      <c r="S24" s="198"/>
      <c r="T24" s="198"/>
      <c r="U24" s="198"/>
    </row>
    <row r="25" spans="1:21" s="12" customFormat="1" x14ac:dyDescent="0.25">
      <c r="A25" s="214" t="s">
        <v>453</v>
      </c>
      <c r="B25" s="64">
        <v>7.98</v>
      </c>
      <c r="C25" s="64">
        <v>2.97</v>
      </c>
      <c r="D25" s="64">
        <v>11.72</v>
      </c>
      <c r="E25" s="64">
        <v>4.05</v>
      </c>
      <c r="F25" s="64">
        <v>3.2</v>
      </c>
      <c r="G25" s="64">
        <v>11.07</v>
      </c>
      <c r="H25" s="64">
        <v>1.81</v>
      </c>
      <c r="I25" s="64">
        <v>4.34</v>
      </c>
      <c r="J25" s="64">
        <v>0.03</v>
      </c>
      <c r="K25" s="64">
        <v>315.57</v>
      </c>
      <c r="L25" s="64">
        <v>25.88</v>
      </c>
      <c r="M25" s="64">
        <v>101.53</v>
      </c>
      <c r="N25" s="64">
        <v>42</v>
      </c>
      <c r="O25" s="64">
        <v>0</v>
      </c>
      <c r="P25" s="64">
        <v>0.27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14" t="s">
        <v>454</v>
      </c>
      <c r="B26" s="64">
        <v>7.97</v>
      </c>
      <c r="C26" s="64">
        <v>2.94</v>
      </c>
      <c r="D26" s="64">
        <v>11.7</v>
      </c>
      <c r="E26" s="64">
        <v>4.1399999999999997</v>
      </c>
      <c r="F26" s="64">
        <v>3.26</v>
      </c>
      <c r="G26" s="64">
        <v>11.07</v>
      </c>
      <c r="H26" s="64">
        <v>1.81</v>
      </c>
      <c r="I26" s="64">
        <v>4.2699999999999996</v>
      </c>
      <c r="J26" s="64">
        <v>0.03</v>
      </c>
      <c r="K26" s="64">
        <v>28.34</v>
      </c>
      <c r="L26" s="64">
        <v>25.99</v>
      </c>
      <c r="M26" s="64">
        <v>101.53</v>
      </c>
      <c r="N26" s="64">
        <v>41.9</v>
      </c>
      <c r="O26" s="64">
        <v>0</v>
      </c>
      <c r="P26" s="64">
        <v>0.27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14" t="s">
        <v>455</v>
      </c>
      <c r="B27" s="64">
        <v>7.99</v>
      </c>
      <c r="C27" s="64">
        <v>2.98</v>
      </c>
      <c r="D27" s="64">
        <v>11.74</v>
      </c>
      <c r="E27" s="64">
        <v>3.91</v>
      </c>
      <c r="F27" s="64">
        <v>3.58</v>
      </c>
      <c r="G27" s="64">
        <v>9.61</v>
      </c>
      <c r="H27" s="64">
        <v>2.2400000000000002</v>
      </c>
      <c r="I27" s="64">
        <v>4.25</v>
      </c>
      <c r="J27" s="64">
        <v>0.1</v>
      </c>
      <c r="K27" s="64">
        <v>170.03</v>
      </c>
      <c r="L27" s="64">
        <v>25.98</v>
      </c>
      <c r="M27" s="64">
        <v>101.53</v>
      </c>
      <c r="N27" s="64">
        <v>41.7</v>
      </c>
      <c r="O27" s="64">
        <v>0</v>
      </c>
      <c r="P27" s="64">
        <v>0.27</v>
      </c>
      <c r="Q27" s="64">
        <v>9.59</v>
      </c>
      <c r="R27" s="198"/>
      <c r="S27" s="198"/>
      <c r="T27" s="198"/>
      <c r="U27" s="198"/>
    </row>
    <row r="28" spans="1:21" s="12" customFormat="1" x14ac:dyDescent="0.25">
      <c r="A28" s="214" t="s">
        <v>456</v>
      </c>
      <c r="B28" s="64">
        <v>7.98</v>
      </c>
      <c r="C28" s="64">
        <v>2.94</v>
      </c>
      <c r="D28" s="64">
        <v>11.71</v>
      </c>
      <c r="E28" s="64">
        <v>3.79</v>
      </c>
      <c r="F28" s="64">
        <v>3.3</v>
      </c>
      <c r="G28" s="64">
        <v>7.95</v>
      </c>
      <c r="H28" s="64">
        <v>2.52</v>
      </c>
      <c r="I28" s="64">
        <v>4.26</v>
      </c>
      <c r="J28" s="64">
        <v>0.32</v>
      </c>
      <c r="K28" s="64">
        <v>119.94</v>
      </c>
      <c r="L28" s="64">
        <v>26</v>
      </c>
      <c r="M28" s="64">
        <v>101.53</v>
      </c>
      <c r="N28" s="64">
        <v>41.5</v>
      </c>
      <c r="O28" s="64">
        <v>0</v>
      </c>
      <c r="P28" s="64">
        <v>0.27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4" t="s">
        <v>457</v>
      </c>
      <c r="B29" s="64">
        <v>7.98</v>
      </c>
      <c r="C29" s="64">
        <v>2.93</v>
      </c>
      <c r="D29" s="64">
        <v>11.7</v>
      </c>
      <c r="E29" s="64">
        <v>3.84</v>
      </c>
      <c r="F29" s="64">
        <v>3.22</v>
      </c>
      <c r="G29" s="64">
        <v>7.95</v>
      </c>
      <c r="H29" s="64">
        <v>2.52</v>
      </c>
      <c r="I29" s="64">
        <v>4.32</v>
      </c>
      <c r="J29" s="64">
        <v>0.56999999999999995</v>
      </c>
      <c r="K29" s="64">
        <v>112.14</v>
      </c>
      <c r="L29" s="64">
        <v>26.15</v>
      </c>
      <c r="M29" s="64">
        <v>101.53</v>
      </c>
      <c r="N29" s="64">
        <v>41.2</v>
      </c>
      <c r="O29" s="64">
        <v>0</v>
      </c>
      <c r="P29" s="64">
        <v>0.27</v>
      </c>
      <c r="Q29" s="64">
        <v>9.58</v>
      </c>
      <c r="R29" s="198"/>
      <c r="S29" s="198"/>
      <c r="T29" s="198"/>
      <c r="U29" s="198"/>
    </row>
    <row r="30" spans="1:21" s="12" customFormat="1" x14ac:dyDescent="0.25">
      <c r="A30" s="214" t="s">
        <v>458</v>
      </c>
      <c r="B30" s="64">
        <v>7.98</v>
      </c>
      <c r="C30" s="64">
        <v>2.98</v>
      </c>
      <c r="D30" s="64">
        <v>11.73</v>
      </c>
      <c r="E30" s="64">
        <v>3.46</v>
      </c>
      <c r="F30" s="64">
        <v>3.39</v>
      </c>
      <c r="G30" s="64">
        <v>7.95</v>
      </c>
      <c r="H30" s="64">
        <v>2.52</v>
      </c>
      <c r="I30" s="64">
        <v>4.3899999999999997</v>
      </c>
      <c r="J30" s="64">
        <v>1.07</v>
      </c>
      <c r="K30" s="64">
        <v>114.38</v>
      </c>
      <c r="L30" s="64">
        <v>26.2</v>
      </c>
      <c r="M30" s="64">
        <v>101.53</v>
      </c>
      <c r="N30" s="64">
        <v>41.4</v>
      </c>
      <c r="O30" s="64">
        <v>0</v>
      </c>
      <c r="P30" s="64">
        <v>0.27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459</v>
      </c>
      <c r="B31" s="64">
        <v>7.97</v>
      </c>
      <c r="C31" s="64">
        <v>2.98</v>
      </c>
      <c r="D31" s="64">
        <v>11.72</v>
      </c>
      <c r="E31" s="64">
        <v>3.69</v>
      </c>
      <c r="F31" s="64">
        <v>3.96</v>
      </c>
      <c r="G31" s="64">
        <v>7.47</v>
      </c>
      <c r="H31" s="64">
        <v>2.6</v>
      </c>
      <c r="I31" s="64">
        <v>4.7</v>
      </c>
      <c r="J31" s="64">
        <v>0.98</v>
      </c>
      <c r="K31" s="64">
        <v>117.35</v>
      </c>
      <c r="L31" s="64">
        <v>26.05</v>
      </c>
      <c r="M31" s="64">
        <v>101.53</v>
      </c>
      <c r="N31" s="64">
        <v>42.4</v>
      </c>
      <c r="O31" s="64">
        <v>0</v>
      </c>
      <c r="P31" s="64">
        <v>0.27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4" t="s">
        <v>460</v>
      </c>
      <c r="B32" s="64">
        <v>7.97</v>
      </c>
      <c r="C32" s="64">
        <v>2.98</v>
      </c>
      <c r="D32" s="64">
        <v>11.72</v>
      </c>
      <c r="E32" s="64">
        <v>4.1900000000000004</v>
      </c>
      <c r="F32" s="64">
        <v>3.56</v>
      </c>
      <c r="G32" s="64">
        <v>6.91</v>
      </c>
      <c r="H32" s="64">
        <v>2.66</v>
      </c>
      <c r="I32" s="64">
        <v>5.04</v>
      </c>
      <c r="J32" s="64">
        <v>0.96</v>
      </c>
      <c r="K32" s="64">
        <v>106.36</v>
      </c>
      <c r="L32" s="64">
        <v>26.02</v>
      </c>
      <c r="M32" s="64">
        <v>101.54</v>
      </c>
      <c r="N32" s="64">
        <v>47.9</v>
      </c>
      <c r="O32" s="64">
        <v>0</v>
      </c>
      <c r="P32" s="64">
        <v>0.27</v>
      </c>
      <c r="Q32" s="64">
        <v>9.58</v>
      </c>
      <c r="R32" s="198"/>
      <c r="S32" s="198"/>
      <c r="T32" s="198"/>
      <c r="U32" s="198"/>
    </row>
    <row r="33" spans="1:21" s="12" customFormat="1" x14ac:dyDescent="0.25">
      <c r="A33" s="214" t="s">
        <v>461</v>
      </c>
      <c r="B33" s="64">
        <v>7.96</v>
      </c>
      <c r="C33" s="64">
        <v>2.96</v>
      </c>
      <c r="D33" s="64">
        <v>11.7</v>
      </c>
      <c r="E33" s="64">
        <v>4.07</v>
      </c>
      <c r="F33" s="64">
        <v>4.3899999999999997</v>
      </c>
      <c r="G33" s="64">
        <v>6.91</v>
      </c>
      <c r="H33" s="64">
        <v>2.66</v>
      </c>
      <c r="I33" s="64">
        <v>5.39</v>
      </c>
      <c r="J33" s="64">
        <v>1.03</v>
      </c>
      <c r="K33" s="64">
        <v>104.93</v>
      </c>
      <c r="L33" s="64">
        <v>26.15</v>
      </c>
      <c r="M33" s="64">
        <v>101.54</v>
      </c>
      <c r="N33" s="64">
        <v>70.7</v>
      </c>
      <c r="O33" s="64">
        <v>0</v>
      </c>
      <c r="P33" s="64">
        <v>0.27</v>
      </c>
      <c r="Q33" s="64">
        <v>9.57</v>
      </c>
      <c r="R33" s="198"/>
      <c r="S33" s="198"/>
      <c r="T33" s="198"/>
      <c r="U33" s="198"/>
    </row>
    <row r="34" spans="1:21" s="12" customFormat="1" x14ac:dyDescent="0.25">
      <c r="A34" s="214" t="s">
        <v>462</v>
      </c>
      <c r="B34" s="64">
        <v>7.95</v>
      </c>
      <c r="C34" s="64">
        <v>2.94</v>
      </c>
      <c r="D34" s="64">
        <v>11.69</v>
      </c>
      <c r="E34" s="64">
        <v>4.28</v>
      </c>
      <c r="F34" s="64">
        <v>2.67</v>
      </c>
      <c r="G34" s="64">
        <v>6.91</v>
      </c>
      <c r="H34" s="64">
        <v>2.66</v>
      </c>
      <c r="I34" s="64">
        <v>5.6</v>
      </c>
      <c r="J34" s="64">
        <v>0.71</v>
      </c>
      <c r="K34" s="64">
        <v>100.18</v>
      </c>
      <c r="L34" s="64">
        <v>26.39</v>
      </c>
      <c r="M34" s="64">
        <v>101.53</v>
      </c>
      <c r="N34" s="64">
        <v>79.7</v>
      </c>
      <c r="O34" s="64">
        <v>0</v>
      </c>
      <c r="P34" s="64">
        <v>0.27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14" t="s">
        <v>463</v>
      </c>
      <c r="B35" s="64">
        <v>7.95</v>
      </c>
      <c r="C35" s="64">
        <v>2.95</v>
      </c>
      <c r="D35" s="64">
        <v>11.69</v>
      </c>
      <c r="E35" s="64">
        <v>3.82</v>
      </c>
      <c r="F35" s="64">
        <v>4.3499999999999996</v>
      </c>
      <c r="G35" s="64">
        <v>8.92</v>
      </c>
      <c r="H35" s="64">
        <v>3.1</v>
      </c>
      <c r="I35" s="64">
        <v>5.89</v>
      </c>
      <c r="J35" s="64">
        <v>0.7</v>
      </c>
      <c r="K35" s="64">
        <v>106.69</v>
      </c>
      <c r="L35" s="64">
        <v>26.64</v>
      </c>
      <c r="M35" s="64">
        <v>101.47</v>
      </c>
      <c r="N35" s="64">
        <v>140.80000000000001</v>
      </c>
      <c r="O35" s="64">
        <v>0</v>
      </c>
      <c r="P35" s="64">
        <v>0.28000000000000003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14" t="s">
        <v>464</v>
      </c>
      <c r="B36" s="64">
        <v>7.95</v>
      </c>
      <c r="C36" s="64">
        <v>2.93</v>
      </c>
      <c r="D36" s="64">
        <v>11.68</v>
      </c>
      <c r="E36" s="64">
        <v>4.13</v>
      </c>
      <c r="F36" s="64">
        <v>2.82</v>
      </c>
      <c r="G36" s="64">
        <v>11.22</v>
      </c>
      <c r="H36" s="64">
        <v>3.38</v>
      </c>
      <c r="I36" s="64">
        <v>5.98</v>
      </c>
      <c r="J36" s="64">
        <v>0.51</v>
      </c>
      <c r="K36" s="64">
        <v>135.52000000000001</v>
      </c>
      <c r="L36" s="64">
        <v>27.79</v>
      </c>
      <c r="M36" s="64">
        <v>96.83</v>
      </c>
      <c r="N36" s="64">
        <v>225.7</v>
      </c>
      <c r="O36" s="64">
        <v>0</v>
      </c>
      <c r="P36" s="64">
        <v>0.27</v>
      </c>
      <c r="Q36" s="64">
        <v>9.5399999999999991</v>
      </c>
      <c r="R36" s="198"/>
      <c r="S36" s="198"/>
      <c r="T36" s="198"/>
      <c r="U36" s="198"/>
    </row>
    <row r="37" spans="1:21" s="12" customFormat="1" x14ac:dyDescent="0.25">
      <c r="A37" s="214" t="s">
        <v>465</v>
      </c>
      <c r="B37" s="64">
        <v>8.0500000000000007</v>
      </c>
      <c r="C37" s="64">
        <v>3.14</v>
      </c>
      <c r="D37" s="64">
        <v>11.87</v>
      </c>
      <c r="E37" s="64">
        <v>4.2</v>
      </c>
      <c r="F37" s="64">
        <v>4.04</v>
      </c>
      <c r="G37" s="64">
        <v>11.22</v>
      </c>
      <c r="H37" s="64">
        <v>3.38</v>
      </c>
      <c r="I37" s="64">
        <v>6.06</v>
      </c>
      <c r="J37" s="64">
        <v>0.59</v>
      </c>
      <c r="K37" s="64">
        <v>132.96</v>
      </c>
      <c r="L37" s="64">
        <v>28.66</v>
      </c>
      <c r="M37" s="64">
        <v>91.7</v>
      </c>
      <c r="N37" s="64">
        <v>289.2</v>
      </c>
      <c r="O37" s="64">
        <v>0</v>
      </c>
      <c r="P37" s="64">
        <v>0.28000000000000003</v>
      </c>
      <c r="Q37" s="64">
        <v>9.56</v>
      </c>
      <c r="R37" s="198"/>
      <c r="S37" s="198"/>
      <c r="T37" s="198"/>
      <c r="U37" s="198"/>
    </row>
    <row r="38" spans="1:21" s="12" customFormat="1" x14ac:dyDescent="0.25">
      <c r="A38" s="214" t="s">
        <v>466</v>
      </c>
      <c r="B38" s="64">
        <v>8.0299999999999994</v>
      </c>
      <c r="C38" s="64">
        <v>3.08</v>
      </c>
      <c r="D38" s="64">
        <v>11.83</v>
      </c>
      <c r="E38" s="64">
        <v>4.2699999999999996</v>
      </c>
      <c r="F38" s="64">
        <v>3.25</v>
      </c>
      <c r="G38" s="64">
        <v>11.22</v>
      </c>
      <c r="H38" s="64">
        <v>3.38</v>
      </c>
      <c r="I38" s="64">
        <v>5.97</v>
      </c>
      <c r="J38" s="64">
        <v>0.35</v>
      </c>
      <c r="K38" s="64">
        <v>153.07</v>
      </c>
      <c r="L38" s="64">
        <v>29.37</v>
      </c>
      <c r="M38" s="64">
        <v>86.16</v>
      </c>
      <c r="N38" s="64">
        <v>344.1</v>
      </c>
      <c r="O38" s="64">
        <v>0</v>
      </c>
      <c r="P38" s="64">
        <v>0.27</v>
      </c>
      <c r="Q38" s="64">
        <v>9.5299999999999994</v>
      </c>
      <c r="R38" s="198"/>
      <c r="S38" s="198"/>
      <c r="T38" s="198"/>
      <c r="U38" s="198"/>
    </row>
    <row r="39" spans="1:21" s="12" customFormat="1" x14ac:dyDescent="0.25">
      <c r="A39" s="214" t="s">
        <v>467</v>
      </c>
      <c r="B39" s="64">
        <v>7.96</v>
      </c>
      <c r="C39" s="64">
        <v>2.92</v>
      </c>
      <c r="D39" s="64">
        <v>11.69</v>
      </c>
      <c r="E39" s="64">
        <v>3.91</v>
      </c>
      <c r="F39" s="64">
        <v>3.82</v>
      </c>
      <c r="G39" s="64">
        <v>11.41</v>
      </c>
      <c r="H39" s="64">
        <v>3.22</v>
      </c>
      <c r="I39" s="64">
        <v>5.78</v>
      </c>
      <c r="J39" s="64">
        <v>0.63</v>
      </c>
      <c r="K39" s="64">
        <v>149.38999999999999</v>
      </c>
      <c r="L39" s="64">
        <v>29.52</v>
      </c>
      <c r="M39" s="64">
        <v>83.31</v>
      </c>
      <c r="N39" s="64">
        <v>407.3</v>
      </c>
      <c r="O39" s="64">
        <v>0</v>
      </c>
      <c r="P39" s="64">
        <v>0.28999999999999998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4" t="s">
        <v>468</v>
      </c>
      <c r="B40" s="64">
        <v>7.98</v>
      </c>
      <c r="C40" s="64">
        <v>2.99</v>
      </c>
      <c r="D40" s="64">
        <v>11.74</v>
      </c>
      <c r="E40" s="64">
        <v>5.86</v>
      </c>
      <c r="F40" s="64">
        <v>3.16</v>
      </c>
      <c r="G40" s="64">
        <v>11.63</v>
      </c>
      <c r="H40" s="64">
        <v>2.99</v>
      </c>
      <c r="I40" s="64">
        <v>5.53</v>
      </c>
      <c r="J40" s="64">
        <v>0.92</v>
      </c>
      <c r="K40" s="64">
        <v>148.35</v>
      </c>
      <c r="L40" s="64">
        <v>29.46</v>
      </c>
      <c r="M40" s="64">
        <v>83.29</v>
      </c>
      <c r="N40" s="64">
        <v>333.8</v>
      </c>
      <c r="O40" s="64">
        <v>0</v>
      </c>
      <c r="P40" s="64">
        <v>0.28000000000000003</v>
      </c>
      <c r="Q40" s="64">
        <v>9.58</v>
      </c>
      <c r="R40" s="198"/>
      <c r="S40" s="198"/>
      <c r="T40" s="198"/>
      <c r="U40" s="198"/>
    </row>
    <row r="41" spans="1:21" s="12" customFormat="1" x14ac:dyDescent="0.25">
      <c r="A41" s="214" t="s">
        <v>469</v>
      </c>
      <c r="B41" s="64">
        <v>7.98</v>
      </c>
      <c r="C41" s="64">
        <v>2.99</v>
      </c>
      <c r="D41" s="64">
        <v>11.74</v>
      </c>
      <c r="E41" s="64">
        <v>4.99</v>
      </c>
      <c r="F41" s="64">
        <v>3.84</v>
      </c>
      <c r="G41" s="64">
        <v>11.63</v>
      </c>
      <c r="H41" s="64">
        <v>2.99</v>
      </c>
      <c r="I41" s="64">
        <v>5.41</v>
      </c>
      <c r="J41" s="64">
        <v>0.48</v>
      </c>
      <c r="K41" s="64">
        <v>143.66</v>
      </c>
      <c r="L41" s="64">
        <v>28.31</v>
      </c>
      <c r="M41" s="64">
        <v>89.19</v>
      </c>
      <c r="N41" s="64">
        <v>257.7</v>
      </c>
      <c r="O41" s="64">
        <v>0</v>
      </c>
      <c r="P41" s="64">
        <v>0.27</v>
      </c>
      <c r="Q41" s="64">
        <v>9.57</v>
      </c>
      <c r="R41" s="198"/>
      <c r="S41" s="198"/>
      <c r="T41" s="198"/>
      <c r="U41" s="198"/>
    </row>
    <row r="42" spans="1:21" s="12" customFormat="1" x14ac:dyDescent="0.25">
      <c r="A42" s="214" t="s">
        <v>470</v>
      </c>
      <c r="B42" s="64">
        <v>7.99</v>
      </c>
      <c r="C42" s="64">
        <v>2.97</v>
      </c>
      <c r="D42" s="64">
        <v>11.73</v>
      </c>
      <c r="E42" s="64">
        <v>4.88</v>
      </c>
      <c r="F42" s="64">
        <v>3.45</v>
      </c>
      <c r="G42" s="64">
        <v>11.63</v>
      </c>
      <c r="H42" s="64">
        <v>2.99</v>
      </c>
      <c r="I42" s="64">
        <v>5.36</v>
      </c>
      <c r="J42" s="64">
        <v>0.44</v>
      </c>
      <c r="K42" s="64">
        <v>134.01</v>
      </c>
      <c r="L42" s="64">
        <v>28.33</v>
      </c>
      <c r="M42" s="64">
        <v>88.02</v>
      </c>
      <c r="N42" s="64">
        <v>350.8</v>
      </c>
      <c r="O42" s="64">
        <v>0</v>
      </c>
      <c r="P42" s="64">
        <v>0.28000000000000003</v>
      </c>
      <c r="Q42" s="64">
        <v>9.59</v>
      </c>
      <c r="R42" s="198"/>
      <c r="S42" s="198"/>
      <c r="T42" s="198"/>
      <c r="U42" s="198"/>
    </row>
    <row r="43" spans="1:21" s="12" customFormat="1" x14ac:dyDescent="0.25">
      <c r="A43" s="214" t="s">
        <v>471</v>
      </c>
      <c r="B43" s="64">
        <v>7.97</v>
      </c>
      <c r="C43" s="64">
        <v>2.95</v>
      </c>
      <c r="D43" s="64">
        <v>11.71</v>
      </c>
      <c r="E43" s="64">
        <v>5.0999999999999996</v>
      </c>
      <c r="F43" s="64">
        <v>3.23</v>
      </c>
      <c r="G43" s="64">
        <v>11.02</v>
      </c>
      <c r="H43" s="64">
        <v>2.59</v>
      </c>
      <c r="I43" s="64">
        <v>5.27</v>
      </c>
      <c r="J43" s="64">
        <v>0.6</v>
      </c>
      <c r="K43" s="64">
        <v>140.75</v>
      </c>
      <c r="L43" s="64">
        <v>28.52</v>
      </c>
      <c r="M43" s="64">
        <v>86.83</v>
      </c>
      <c r="N43" s="64">
        <v>277.60000000000002</v>
      </c>
      <c r="O43" s="64">
        <v>0</v>
      </c>
      <c r="P43" s="64">
        <v>0.28000000000000003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4" t="s">
        <v>472</v>
      </c>
      <c r="B44" s="64">
        <v>7.99</v>
      </c>
      <c r="C44" s="64">
        <v>2.99</v>
      </c>
      <c r="D44" s="64">
        <v>11.74</v>
      </c>
      <c r="E44" s="64">
        <v>5.03</v>
      </c>
      <c r="F44" s="64">
        <v>3.54</v>
      </c>
      <c r="G44" s="64">
        <v>10.33</v>
      </c>
      <c r="H44" s="64">
        <v>2.33</v>
      </c>
      <c r="I44" s="64">
        <v>5.35</v>
      </c>
      <c r="J44" s="64">
        <v>0.75</v>
      </c>
      <c r="K44" s="64">
        <v>159.02000000000001</v>
      </c>
      <c r="L44" s="64">
        <v>28.4</v>
      </c>
      <c r="M44" s="64">
        <v>87.84</v>
      </c>
      <c r="N44" s="64">
        <v>287.2</v>
      </c>
      <c r="O44" s="64">
        <v>0</v>
      </c>
      <c r="P44" s="64">
        <v>0.28999999999999998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4" t="s">
        <v>473</v>
      </c>
      <c r="B45" s="64">
        <v>8</v>
      </c>
      <c r="C45" s="64">
        <v>3.01</v>
      </c>
      <c r="D45" s="64">
        <v>11.77</v>
      </c>
      <c r="E45" s="64">
        <v>4.8899999999999997</v>
      </c>
      <c r="F45" s="64">
        <v>3.74</v>
      </c>
      <c r="G45" s="64">
        <v>10.33</v>
      </c>
      <c r="H45" s="64">
        <v>2.33</v>
      </c>
      <c r="I45" s="64">
        <v>5.37</v>
      </c>
      <c r="J45" s="64">
        <v>0.7</v>
      </c>
      <c r="K45" s="64">
        <v>153.81</v>
      </c>
      <c r="L45" s="64">
        <v>28.45</v>
      </c>
      <c r="M45" s="64">
        <v>87.47</v>
      </c>
      <c r="N45" s="64">
        <v>183.3</v>
      </c>
      <c r="O45" s="64">
        <v>0</v>
      </c>
      <c r="P45" s="64">
        <v>0.28000000000000003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4" t="s">
        <v>474</v>
      </c>
      <c r="B46" s="64">
        <v>7.99</v>
      </c>
      <c r="C46" s="64">
        <v>2.96</v>
      </c>
      <c r="D46" s="64">
        <v>11.73</v>
      </c>
      <c r="E46" s="64">
        <v>5.04</v>
      </c>
      <c r="F46" s="64">
        <v>3.63</v>
      </c>
      <c r="G46" s="64">
        <v>10.33</v>
      </c>
      <c r="H46" s="64">
        <v>2.33</v>
      </c>
      <c r="I46" s="64">
        <v>5.3</v>
      </c>
      <c r="J46" s="64">
        <v>0.88</v>
      </c>
      <c r="K46" s="64">
        <v>147.16999999999999</v>
      </c>
      <c r="L46" s="64">
        <v>27.8</v>
      </c>
      <c r="M46" s="64">
        <v>91.47</v>
      </c>
      <c r="N46" s="64">
        <v>103.1</v>
      </c>
      <c r="O46" s="64">
        <v>0</v>
      </c>
      <c r="P46" s="64">
        <v>0.28999999999999998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4" t="s">
        <v>475</v>
      </c>
      <c r="B47" s="64">
        <v>7.99</v>
      </c>
      <c r="C47" s="64">
        <v>2.95</v>
      </c>
      <c r="D47" s="64">
        <v>11.72</v>
      </c>
      <c r="E47" s="64">
        <v>4.8899999999999997</v>
      </c>
      <c r="F47" s="64">
        <v>3.56</v>
      </c>
      <c r="G47" s="64">
        <v>10.82</v>
      </c>
      <c r="H47" s="64">
        <v>2.06</v>
      </c>
      <c r="I47" s="64">
        <v>5.21</v>
      </c>
      <c r="J47" s="64">
        <v>0.38</v>
      </c>
      <c r="K47" s="64">
        <v>141.46</v>
      </c>
      <c r="L47" s="64">
        <v>27.59</v>
      </c>
      <c r="M47" s="64">
        <v>93.96</v>
      </c>
      <c r="N47" s="64">
        <v>109.3</v>
      </c>
      <c r="O47" s="64">
        <v>0</v>
      </c>
      <c r="P47" s="64">
        <v>0.28999999999999998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4" t="s">
        <v>476</v>
      </c>
      <c r="B48" s="64">
        <v>8.01</v>
      </c>
      <c r="C48" s="64">
        <v>2.99</v>
      </c>
      <c r="D48" s="64">
        <v>11.76</v>
      </c>
      <c r="E48" s="64">
        <v>5.28</v>
      </c>
      <c r="F48" s="64">
        <v>3.92</v>
      </c>
      <c r="G48" s="64">
        <v>11.39</v>
      </c>
      <c r="H48" s="64">
        <v>1.89</v>
      </c>
      <c r="I48" s="64">
        <v>5.0599999999999996</v>
      </c>
      <c r="J48" s="64">
        <v>0.4</v>
      </c>
      <c r="K48" s="64">
        <v>152.79</v>
      </c>
      <c r="L48" s="64">
        <v>27.69</v>
      </c>
      <c r="M48" s="64">
        <v>93.98</v>
      </c>
      <c r="N48" s="64">
        <v>157.6</v>
      </c>
      <c r="O48" s="64">
        <v>0</v>
      </c>
      <c r="P48" s="64">
        <v>0.3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4" t="s">
        <v>477</v>
      </c>
      <c r="B49" s="64">
        <v>7.98</v>
      </c>
      <c r="C49" s="64">
        <v>3</v>
      </c>
      <c r="D49" s="64">
        <v>11.74</v>
      </c>
      <c r="E49" s="64">
        <v>5.28</v>
      </c>
      <c r="F49" s="64">
        <v>3.55</v>
      </c>
      <c r="G49" s="64">
        <v>11.39</v>
      </c>
      <c r="H49" s="64">
        <v>1.89</v>
      </c>
      <c r="I49" s="64">
        <v>5.1100000000000003</v>
      </c>
      <c r="J49" s="64">
        <v>0.49</v>
      </c>
      <c r="K49" s="64">
        <v>110.97</v>
      </c>
      <c r="L49" s="64">
        <v>28.31</v>
      </c>
      <c r="M49" s="64">
        <v>91.11</v>
      </c>
      <c r="N49" s="64">
        <v>343.1</v>
      </c>
      <c r="O49" s="64">
        <v>0</v>
      </c>
      <c r="P49" s="64">
        <v>0.28999999999999998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4" t="s">
        <v>478</v>
      </c>
      <c r="B50" s="64">
        <v>7.98</v>
      </c>
      <c r="C50" s="64">
        <v>2.99</v>
      </c>
      <c r="D50" s="64">
        <v>11.73</v>
      </c>
      <c r="E50" s="64">
        <v>5.34</v>
      </c>
      <c r="F50" s="64">
        <v>3.68</v>
      </c>
      <c r="G50" s="64">
        <v>11.39</v>
      </c>
      <c r="H50" s="64">
        <v>1.89</v>
      </c>
      <c r="I50" s="64">
        <v>5.01</v>
      </c>
      <c r="J50" s="64">
        <v>0.45</v>
      </c>
      <c r="K50" s="64">
        <v>133.07</v>
      </c>
      <c r="L50" s="64">
        <v>28.84</v>
      </c>
      <c r="M50" s="64">
        <v>88.14</v>
      </c>
      <c r="N50" s="64">
        <v>379.9</v>
      </c>
      <c r="O50" s="64">
        <v>0</v>
      </c>
      <c r="P50" s="64">
        <v>0.31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4" t="s">
        <v>479</v>
      </c>
      <c r="B51" s="64">
        <v>7.98</v>
      </c>
      <c r="C51" s="64">
        <v>3.02</v>
      </c>
      <c r="D51" s="64">
        <v>11.75</v>
      </c>
      <c r="E51" s="64">
        <v>5.38</v>
      </c>
      <c r="F51" s="64">
        <v>3.61</v>
      </c>
      <c r="G51" s="64">
        <v>12.01</v>
      </c>
      <c r="H51" s="64">
        <v>2.85</v>
      </c>
      <c r="I51" s="64">
        <v>4.83</v>
      </c>
      <c r="J51" s="64">
        <v>0.68</v>
      </c>
      <c r="K51" s="64">
        <v>141.13</v>
      </c>
      <c r="L51" s="64">
        <v>29.83</v>
      </c>
      <c r="M51" s="64">
        <v>82</v>
      </c>
      <c r="N51" s="64">
        <v>459.5</v>
      </c>
      <c r="O51" s="64">
        <v>0</v>
      </c>
      <c r="P51" s="64">
        <v>0.31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4" t="s">
        <v>480</v>
      </c>
      <c r="B52" s="64">
        <v>8.01</v>
      </c>
      <c r="C52" s="64">
        <v>3.06</v>
      </c>
      <c r="D52" s="64">
        <v>11.79</v>
      </c>
      <c r="E52" s="64">
        <v>5.18</v>
      </c>
      <c r="F52" s="64">
        <v>3.43</v>
      </c>
      <c r="G52" s="64">
        <v>12.72</v>
      </c>
      <c r="H52" s="64">
        <v>3.45</v>
      </c>
      <c r="I52" s="64">
        <v>4.95</v>
      </c>
      <c r="J52" s="64">
        <v>0.73</v>
      </c>
      <c r="K52" s="64">
        <v>149.1</v>
      </c>
      <c r="L52" s="64">
        <v>29.7</v>
      </c>
      <c r="M52" s="64">
        <v>80.650000000000006</v>
      </c>
      <c r="N52" s="64">
        <v>392.3</v>
      </c>
      <c r="O52" s="64">
        <v>0</v>
      </c>
      <c r="P52" s="64">
        <v>0.31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4" t="s">
        <v>481</v>
      </c>
      <c r="B53" s="64">
        <v>8</v>
      </c>
      <c r="C53" s="64">
        <v>3.07</v>
      </c>
      <c r="D53" s="64">
        <v>11.8</v>
      </c>
      <c r="E53" s="64">
        <v>5.22</v>
      </c>
      <c r="F53" s="64">
        <v>4.3099999999999996</v>
      </c>
      <c r="G53" s="64">
        <v>12.72</v>
      </c>
      <c r="H53" s="64">
        <v>3.45</v>
      </c>
      <c r="I53" s="64">
        <v>4.9000000000000004</v>
      </c>
      <c r="J53" s="64">
        <v>1.1299999999999999</v>
      </c>
      <c r="K53" s="64">
        <v>149.15</v>
      </c>
      <c r="L53" s="64">
        <v>30.54</v>
      </c>
      <c r="M53" s="64">
        <v>76.16</v>
      </c>
      <c r="N53" s="64">
        <v>517.70000000000005</v>
      </c>
      <c r="O53" s="64">
        <v>0</v>
      </c>
      <c r="P53" s="64">
        <v>0.31</v>
      </c>
      <c r="Q53" s="64">
        <v>9.59</v>
      </c>
      <c r="R53" s="198"/>
      <c r="S53" s="198"/>
      <c r="T53" s="198"/>
      <c r="U53" s="198"/>
    </row>
    <row r="54" spans="1:21" s="12" customFormat="1" x14ac:dyDescent="0.25">
      <c r="A54" s="214" t="s">
        <v>482</v>
      </c>
      <c r="B54" s="64">
        <v>8</v>
      </c>
      <c r="C54" s="64">
        <v>3.05</v>
      </c>
      <c r="D54" s="64">
        <v>11.78</v>
      </c>
      <c r="E54" s="64">
        <v>5.19</v>
      </c>
      <c r="F54" s="64">
        <v>2.97</v>
      </c>
      <c r="G54" s="64">
        <v>12.72</v>
      </c>
      <c r="H54" s="64">
        <v>3.45</v>
      </c>
      <c r="I54" s="64">
        <v>4.88</v>
      </c>
      <c r="J54" s="64">
        <v>0.93</v>
      </c>
      <c r="K54" s="64">
        <v>144.13999999999999</v>
      </c>
      <c r="L54" s="64">
        <v>30.98</v>
      </c>
      <c r="M54" s="64">
        <v>74.37</v>
      </c>
      <c r="N54" s="64">
        <v>527.1</v>
      </c>
      <c r="O54" s="64">
        <v>0</v>
      </c>
      <c r="P54" s="64">
        <v>0.31</v>
      </c>
      <c r="Q54" s="64">
        <v>9.59</v>
      </c>
      <c r="R54" s="198"/>
      <c r="S54" s="198"/>
      <c r="T54" s="198"/>
      <c r="U54" s="198"/>
    </row>
    <row r="55" spans="1:21" s="12" customFormat="1" x14ac:dyDescent="0.25">
      <c r="A55" s="214" t="s">
        <v>483</v>
      </c>
      <c r="B55" s="64">
        <v>7.98</v>
      </c>
      <c r="C55" s="64">
        <v>2.93</v>
      </c>
      <c r="D55" s="64">
        <v>11.71</v>
      </c>
      <c r="E55" s="64">
        <v>4.91</v>
      </c>
      <c r="F55" s="64">
        <v>3.38</v>
      </c>
      <c r="G55" s="64">
        <v>11.26</v>
      </c>
      <c r="H55" s="64">
        <v>3.3</v>
      </c>
      <c r="I55" s="64">
        <v>4.8</v>
      </c>
      <c r="J55" s="64">
        <v>1.01</v>
      </c>
      <c r="K55" s="64">
        <v>145.63999999999999</v>
      </c>
      <c r="L55" s="64">
        <v>30.87</v>
      </c>
      <c r="M55" s="64">
        <v>75.03</v>
      </c>
      <c r="N55" s="64">
        <v>337.2</v>
      </c>
      <c r="O55" s="64">
        <v>0</v>
      </c>
      <c r="P55" s="64">
        <v>0.31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4" t="s">
        <v>484</v>
      </c>
      <c r="B56" s="64">
        <v>7.99</v>
      </c>
      <c r="C56" s="64">
        <v>2.95</v>
      </c>
      <c r="D56" s="64">
        <v>11.72</v>
      </c>
      <c r="E56" s="64">
        <v>3.76</v>
      </c>
      <c r="F56" s="64">
        <v>3.5</v>
      </c>
      <c r="G56" s="64">
        <v>9.59</v>
      </c>
      <c r="H56" s="64">
        <v>3.08</v>
      </c>
      <c r="I56" s="64">
        <v>4.74</v>
      </c>
      <c r="J56" s="64">
        <v>0.63</v>
      </c>
      <c r="K56" s="64">
        <v>128.91</v>
      </c>
      <c r="L56" s="64">
        <v>30.69</v>
      </c>
      <c r="M56" s="64">
        <v>76.900000000000006</v>
      </c>
      <c r="N56" s="64">
        <v>424.2</v>
      </c>
      <c r="O56" s="64">
        <v>0</v>
      </c>
      <c r="P56" s="64">
        <v>0.3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4" t="s">
        <v>485</v>
      </c>
      <c r="B57" s="64">
        <v>8</v>
      </c>
      <c r="C57" s="64">
        <v>2.96</v>
      </c>
      <c r="D57" s="64">
        <v>11.74</v>
      </c>
      <c r="E57" s="64">
        <v>3.53</v>
      </c>
      <c r="F57" s="64">
        <v>3.42</v>
      </c>
      <c r="G57" s="64">
        <v>9.59</v>
      </c>
      <c r="H57" s="64">
        <v>3.08</v>
      </c>
      <c r="I57" s="64">
        <v>4.6399999999999997</v>
      </c>
      <c r="J57" s="64">
        <v>0.53</v>
      </c>
      <c r="K57" s="64">
        <v>117.76</v>
      </c>
      <c r="L57" s="64">
        <v>31.39</v>
      </c>
      <c r="M57" s="64">
        <v>74.83</v>
      </c>
      <c r="N57" s="64">
        <v>500.8</v>
      </c>
      <c r="O57" s="64">
        <v>0</v>
      </c>
      <c r="P57" s="64">
        <v>0.3</v>
      </c>
      <c r="Q57" s="64">
        <v>9.57</v>
      </c>
      <c r="R57" s="198"/>
      <c r="S57" s="198"/>
      <c r="T57" s="198"/>
      <c r="U57" s="198"/>
    </row>
    <row r="58" spans="1:21" s="12" customFormat="1" x14ac:dyDescent="0.25">
      <c r="A58" s="214" t="s">
        <v>486</v>
      </c>
      <c r="B58" s="64">
        <v>7.98</v>
      </c>
      <c r="C58" s="64">
        <v>2.98</v>
      </c>
      <c r="D58" s="64">
        <v>11.73</v>
      </c>
      <c r="E58" s="64">
        <v>3.62</v>
      </c>
      <c r="F58" s="64">
        <v>3.51</v>
      </c>
      <c r="G58" s="64">
        <v>9.59</v>
      </c>
      <c r="H58" s="64">
        <v>3.08</v>
      </c>
      <c r="I58" s="64">
        <v>4.6399999999999997</v>
      </c>
      <c r="J58" s="64">
        <v>0.32</v>
      </c>
      <c r="K58" s="64">
        <v>92.42</v>
      </c>
      <c r="L58" s="64">
        <v>32.04</v>
      </c>
      <c r="M58" s="64">
        <v>73.099999999999994</v>
      </c>
      <c r="N58" s="64">
        <v>424</v>
      </c>
      <c r="O58" s="64">
        <v>0</v>
      </c>
      <c r="P58" s="64">
        <v>0.31</v>
      </c>
      <c r="Q58" s="64">
        <v>9.56</v>
      </c>
      <c r="R58" s="198"/>
      <c r="S58" s="198"/>
      <c r="T58" s="198"/>
      <c r="U58" s="198"/>
    </row>
    <row r="59" spans="1:21" s="12" customFormat="1" x14ac:dyDescent="0.25">
      <c r="A59" s="214" t="s">
        <v>487</v>
      </c>
      <c r="B59" s="64">
        <v>7.99</v>
      </c>
      <c r="C59" s="64">
        <v>3.02</v>
      </c>
      <c r="D59" s="64">
        <v>11.76</v>
      </c>
      <c r="E59" s="64">
        <v>3.8</v>
      </c>
      <c r="F59" s="64">
        <v>3.65</v>
      </c>
      <c r="G59" s="64">
        <v>11.09</v>
      </c>
      <c r="H59" s="64">
        <v>4.12</v>
      </c>
      <c r="I59" s="64">
        <v>4.74</v>
      </c>
      <c r="J59" s="64">
        <v>1.02</v>
      </c>
      <c r="K59" s="64">
        <v>111.77</v>
      </c>
      <c r="L59" s="64">
        <v>31.21</v>
      </c>
      <c r="M59" s="64">
        <v>74.569999999999993</v>
      </c>
      <c r="N59" s="64">
        <v>543.79999999999995</v>
      </c>
      <c r="O59" s="64">
        <v>0</v>
      </c>
      <c r="P59" s="64">
        <v>0.31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14" t="s">
        <v>488</v>
      </c>
      <c r="B60" s="64">
        <v>7.97</v>
      </c>
      <c r="C60" s="64">
        <v>2.98</v>
      </c>
      <c r="D60" s="64">
        <v>11.72</v>
      </c>
      <c r="E60" s="64">
        <v>3.95</v>
      </c>
      <c r="F60" s="64">
        <v>4.26</v>
      </c>
      <c r="G60" s="64">
        <v>12.79</v>
      </c>
      <c r="H60" s="64">
        <v>4.78</v>
      </c>
      <c r="I60" s="64">
        <v>4.72</v>
      </c>
      <c r="J60" s="64">
        <v>0.96</v>
      </c>
      <c r="K60" s="64">
        <v>113.87</v>
      </c>
      <c r="L60" s="64">
        <v>30.88</v>
      </c>
      <c r="M60" s="64">
        <v>76.540000000000006</v>
      </c>
      <c r="N60" s="64">
        <v>397.2</v>
      </c>
      <c r="O60" s="64">
        <v>0</v>
      </c>
      <c r="P60" s="64">
        <v>0.31</v>
      </c>
      <c r="Q60" s="64">
        <v>9.58</v>
      </c>
      <c r="R60" s="198"/>
      <c r="S60" s="198"/>
      <c r="T60" s="198"/>
      <c r="U60" s="198"/>
    </row>
    <row r="61" spans="1:21" s="12" customFormat="1" x14ac:dyDescent="0.25">
      <c r="A61" s="214" t="s">
        <v>489</v>
      </c>
      <c r="B61" s="64">
        <v>7.99</v>
      </c>
      <c r="C61" s="64">
        <v>2.97</v>
      </c>
      <c r="D61" s="64">
        <v>11.73</v>
      </c>
      <c r="E61" s="64">
        <v>3.71</v>
      </c>
      <c r="F61" s="64">
        <v>3.54</v>
      </c>
      <c r="G61" s="64">
        <v>12.79</v>
      </c>
      <c r="H61" s="64">
        <v>4.78</v>
      </c>
      <c r="I61" s="64">
        <v>5.31</v>
      </c>
      <c r="J61" s="64">
        <v>0.69</v>
      </c>
      <c r="K61" s="64">
        <v>113.09</v>
      </c>
      <c r="L61" s="64">
        <v>31.28</v>
      </c>
      <c r="M61" s="64">
        <v>75.290000000000006</v>
      </c>
      <c r="N61" s="64">
        <v>454.8</v>
      </c>
      <c r="O61" s="64">
        <v>0</v>
      </c>
      <c r="P61" s="64">
        <v>0.28999999999999998</v>
      </c>
      <c r="Q61" s="64">
        <v>9.58</v>
      </c>
      <c r="R61" s="198"/>
      <c r="S61" s="198"/>
      <c r="T61" s="198"/>
      <c r="U61" s="198"/>
    </row>
    <row r="62" spans="1:21" s="12" customFormat="1" x14ac:dyDescent="0.25">
      <c r="A62" s="214" t="s">
        <v>490</v>
      </c>
      <c r="B62" s="64">
        <v>7.99</v>
      </c>
      <c r="C62" s="64">
        <v>2.96</v>
      </c>
      <c r="D62" s="64">
        <v>11.73</v>
      </c>
      <c r="E62" s="64">
        <v>4.1500000000000004</v>
      </c>
      <c r="F62" s="64">
        <v>3.79</v>
      </c>
      <c r="G62" s="64">
        <v>12.79</v>
      </c>
      <c r="H62" s="64">
        <v>4.78</v>
      </c>
      <c r="I62" s="64">
        <v>5.63</v>
      </c>
      <c r="J62" s="64">
        <v>0.8</v>
      </c>
      <c r="K62" s="64">
        <v>111.32</v>
      </c>
      <c r="L62" s="64">
        <v>31.33</v>
      </c>
      <c r="M62" s="64">
        <v>76.62</v>
      </c>
      <c r="N62" s="64">
        <v>320</v>
      </c>
      <c r="O62" s="64">
        <v>0</v>
      </c>
      <c r="P62" s="64">
        <v>0.31</v>
      </c>
      <c r="Q62" s="64">
        <v>9.57</v>
      </c>
      <c r="R62" s="198"/>
      <c r="S62" s="198"/>
      <c r="T62" s="198"/>
      <c r="U62" s="198"/>
    </row>
    <row r="63" spans="1:21" s="12" customFormat="1" x14ac:dyDescent="0.25">
      <c r="A63" s="214" t="s">
        <v>491</v>
      </c>
      <c r="B63" s="64">
        <v>8.01</v>
      </c>
      <c r="C63" s="64">
        <v>3.05</v>
      </c>
      <c r="D63" s="64">
        <v>11.79</v>
      </c>
      <c r="E63" s="64">
        <v>3.99</v>
      </c>
      <c r="F63" s="64">
        <v>3.8</v>
      </c>
      <c r="G63" s="64">
        <v>13.77</v>
      </c>
      <c r="H63" s="64">
        <v>4.3600000000000003</v>
      </c>
      <c r="I63" s="64">
        <v>5.81</v>
      </c>
      <c r="J63" s="64">
        <v>0.57999999999999996</v>
      </c>
      <c r="K63" s="64">
        <v>111.68</v>
      </c>
      <c r="L63" s="64">
        <v>31.03</v>
      </c>
      <c r="M63" s="64">
        <v>75.52</v>
      </c>
      <c r="N63" s="64">
        <v>214.2</v>
      </c>
      <c r="O63" s="64">
        <v>0</v>
      </c>
      <c r="P63" s="64">
        <v>0.31</v>
      </c>
      <c r="Q63" s="64">
        <v>9.5500000000000007</v>
      </c>
      <c r="R63" s="198"/>
      <c r="S63" s="198"/>
      <c r="T63" s="198"/>
      <c r="U63" s="198"/>
    </row>
    <row r="64" spans="1:21" s="12" customFormat="1" x14ac:dyDescent="0.25">
      <c r="A64" s="214" t="s">
        <v>492</v>
      </c>
      <c r="B64" s="64">
        <v>7.99</v>
      </c>
      <c r="C64" s="64">
        <v>3</v>
      </c>
      <c r="D64" s="64">
        <v>11.75</v>
      </c>
      <c r="E64" s="64">
        <v>3.73</v>
      </c>
      <c r="F64" s="64">
        <v>4.1399999999999997</v>
      </c>
      <c r="G64" s="64">
        <v>14.88</v>
      </c>
      <c r="H64" s="64">
        <v>4.0999999999999996</v>
      </c>
      <c r="I64" s="64">
        <v>5.8</v>
      </c>
      <c r="J64" s="64">
        <v>1.1000000000000001</v>
      </c>
      <c r="K64" s="64">
        <v>113.36</v>
      </c>
      <c r="L64" s="64">
        <v>30.45</v>
      </c>
      <c r="M64" s="64">
        <v>75.63</v>
      </c>
      <c r="N64" s="64">
        <v>195.8</v>
      </c>
      <c r="O64" s="64">
        <v>0</v>
      </c>
      <c r="P64" s="64">
        <v>0.32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4" t="s">
        <v>493</v>
      </c>
      <c r="B65" s="64">
        <v>8</v>
      </c>
      <c r="C65" s="64">
        <v>3.01</v>
      </c>
      <c r="D65" s="64">
        <v>11.76</v>
      </c>
      <c r="E65" s="64">
        <v>4.21</v>
      </c>
      <c r="F65" s="64">
        <v>4</v>
      </c>
      <c r="G65" s="64">
        <v>14.88</v>
      </c>
      <c r="H65" s="64">
        <v>4.0999999999999996</v>
      </c>
      <c r="I65" s="64">
        <v>6.09</v>
      </c>
      <c r="J65" s="64">
        <v>1.01</v>
      </c>
      <c r="K65" s="64">
        <v>120.94</v>
      </c>
      <c r="L65" s="64">
        <v>30.76</v>
      </c>
      <c r="M65" s="64">
        <v>74.52</v>
      </c>
      <c r="N65" s="64">
        <v>275.2</v>
      </c>
      <c r="O65" s="64">
        <v>0</v>
      </c>
      <c r="P65" s="64">
        <v>0.32</v>
      </c>
      <c r="Q65" s="64">
        <v>9.59</v>
      </c>
      <c r="R65" s="198"/>
      <c r="S65" s="198"/>
      <c r="T65" s="198"/>
      <c r="U65" s="198"/>
    </row>
    <row r="66" spans="1:21" s="12" customFormat="1" x14ac:dyDescent="0.25">
      <c r="A66" s="214" t="s">
        <v>494</v>
      </c>
      <c r="B66" s="64">
        <v>8</v>
      </c>
      <c r="C66" s="64">
        <v>3</v>
      </c>
      <c r="D66" s="64">
        <v>11.76</v>
      </c>
      <c r="E66" s="64">
        <v>4.01</v>
      </c>
      <c r="F66" s="64">
        <v>4.76</v>
      </c>
      <c r="G66" s="64">
        <v>14.88</v>
      </c>
      <c r="H66" s="64">
        <v>4.0999999999999996</v>
      </c>
      <c r="I66" s="64">
        <v>6.35</v>
      </c>
      <c r="J66" s="64">
        <v>1.01</v>
      </c>
      <c r="K66" s="64">
        <v>116.56</v>
      </c>
      <c r="L66" s="64">
        <v>30.73</v>
      </c>
      <c r="M66" s="64">
        <v>74.33</v>
      </c>
      <c r="N66" s="64">
        <v>178.2</v>
      </c>
      <c r="O66" s="64">
        <v>0</v>
      </c>
      <c r="P66" s="64">
        <v>0.31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4" t="s">
        <v>495</v>
      </c>
      <c r="B67" s="64">
        <v>7.97</v>
      </c>
      <c r="C67" s="64">
        <v>2.97</v>
      </c>
      <c r="D67" s="64">
        <v>11.72</v>
      </c>
      <c r="E67" s="64">
        <v>3.61</v>
      </c>
      <c r="F67" s="64">
        <v>3.6</v>
      </c>
      <c r="G67" s="64">
        <v>15.48</v>
      </c>
      <c r="H67" s="64">
        <v>3.78</v>
      </c>
      <c r="I67" s="64">
        <v>6.34</v>
      </c>
      <c r="J67" s="64">
        <v>0.79</v>
      </c>
      <c r="K67" s="64">
        <v>108.58</v>
      </c>
      <c r="L67" s="64">
        <v>31.16</v>
      </c>
      <c r="M67" s="64">
        <v>71.16</v>
      </c>
      <c r="N67" s="64">
        <v>250.6</v>
      </c>
      <c r="O67" s="64">
        <v>0</v>
      </c>
      <c r="P67" s="64">
        <v>0.31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4" t="s">
        <v>496</v>
      </c>
      <c r="B68" s="64">
        <v>7.94</v>
      </c>
      <c r="C68" s="64">
        <v>2.95</v>
      </c>
      <c r="D68" s="64">
        <v>11.68</v>
      </c>
      <c r="E68" s="64">
        <v>3.81</v>
      </c>
      <c r="F68" s="64">
        <v>4.1500000000000004</v>
      </c>
      <c r="G68" s="64">
        <v>16.170000000000002</v>
      </c>
      <c r="H68" s="64">
        <v>3.58</v>
      </c>
      <c r="I68" s="64">
        <v>6.29</v>
      </c>
      <c r="J68" s="64">
        <v>1.1399999999999999</v>
      </c>
      <c r="K68" s="64">
        <v>106.7</v>
      </c>
      <c r="L68" s="64">
        <v>31.08</v>
      </c>
      <c r="M68" s="64">
        <v>68.11</v>
      </c>
      <c r="N68" s="64">
        <v>204.5</v>
      </c>
      <c r="O68" s="64">
        <v>0</v>
      </c>
      <c r="P68" s="64">
        <v>0.32</v>
      </c>
      <c r="Q68" s="64">
        <v>9.5500000000000007</v>
      </c>
      <c r="R68" s="198"/>
      <c r="S68" s="198"/>
      <c r="T68" s="198"/>
      <c r="U68" s="198"/>
    </row>
    <row r="69" spans="1:21" s="12" customFormat="1" x14ac:dyDescent="0.25">
      <c r="A69" s="214" t="s">
        <v>497</v>
      </c>
      <c r="B69" s="64">
        <v>7.94</v>
      </c>
      <c r="C69" s="64">
        <v>2.93</v>
      </c>
      <c r="D69" s="64">
        <v>11.67</v>
      </c>
      <c r="E69" s="64">
        <v>3.85</v>
      </c>
      <c r="F69" s="64">
        <v>3.41</v>
      </c>
      <c r="G69" s="64">
        <v>16.170000000000002</v>
      </c>
      <c r="H69" s="64">
        <v>3.58</v>
      </c>
      <c r="I69" s="64">
        <v>6.27</v>
      </c>
      <c r="J69" s="64">
        <v>1.62</v>
      </c>
      <c r="K69" s="64">
        <v>117.05</v>
      </c>
      <c r="L69" s="64">
        <v>31.25</v>
      </c>
      <c r="M69" s="64">
        <v>68.709999999999994</v>
      </c>
      <c r="N69" s="64">
        <v>240.7</v>
      </c>
      <c r="O69" s="64">
        <v>0</v>
      </c>
      <c r="P69" s="64">
        <v>0.32</v>
      </c>
      <c r="Q69" s="64">
        <v>9.5500000000000007</v>
      </c>
      <c r="R69" s="198"/>
      <c r="S69" s="198"/>
      <c r="T69" s="198"/>
      <c r="U69" s="198"/>
    </row>
    <row r="70" spans="1:21" s="12" customFormat="1" x14ac:dyDescent="0.25">
      <c r="A70" s="214" t="s">
        <v>498</v>
      </c>
      <c r="B70" s="64">
        <v>7.97</v>
      </c>
      <c r="C70" s="64">
        <v>2.97</v>
      </c>
      <c r="D70" s="64">
        <v>11.72</v>
      </c>
      <c r="E70" s="64">
        <v>4.05</v>
      </c>
      <c r="F70" s="64">
        <v>4.4800000000000004</v>
      </c>
      <c r="G70" s="64">
        <v>16.170000000000002</v>
      </c>
      <c r="H70" s="64">
        <v>3.58</v>
      </c>
      <c r="I70" s="64">
        <v>6.35</v>
      </c>
      <c r="J70" s="64">
        <v>0.72</v>
      </c>
      <c r="K70" s="64">
        <v>120.07</v>
      </c>
      <c r="L70" s="64">
        <v>31.78</v>
      </c>
      <c r="M70" s="64">
        <v>69.430000000000007</v>
      </c>
      <c r="N70" s="64">
        <v>205.7</v>
      </c>
      <c r="O70" s="64">
        <v>0</v>
      </c>
      <c r="P70" s="64">
        <v>0.32</v>
      </c>
      <c r="Q70" s="64">
        <v>9.56</v>
      </c>
      <c r="R70" s="198"/>
      <c r="S70" s="198"/>
      <c r="T70" s="198"/>
      <c r="U70" s="198"/>
    </row>
    <row r="71" spans="1:21" s="12" customFormat="1" x14ac:dyDescent="0.25">
      <c r="A71" s="214" t="s">
        <v>499</v>
      </c>
      <c r="B71" s="64">
        <v>7.97</v>
      </c>
      <c r="C71" s="64">
        <v>2.97</v>
      </c>
      <c r="D71" s="64">
        <v>11.71</v>
      </c>
      <c r="E71" s="64">
        <v>3.82</v>
      </c>
      <c r="F71" s="64">
        <v>3.3</v>
      </c>
      <c r="G71" s="64">
        <v>17.13</v>
      </c>
      <c r="H71" s="64">
        <v>4.03</v>
      </c>
      <c r="I71" s="64">
        <v>6.44</v>
      </c>
      <c r="J71" s="64">
        <v>1.47</v>
      </c>
      <c r="K71" s="64">
        <v>111.47</v>
      </c>
      <c r="L71" s="64">
        <v>31.11</v>
      </c>
      <c r="M71" s="64">
        <v>69.319999999999993</v>
      </c>
      <c r="N71" s="64">
        <v>147.80000000000001</v>
      </c>
      <c r="O71" s="64">
        <v>0</v>
      </c>
      <c r="P71" s="64">
        <v>0.32</v>
      </c>
      <c r="Q71" s="64">
        <v>9.58</v>
      </c>
      <c r="R71" s="198"/>
      <c r="S71" s="198"/>
      <c r="T71" s="198"/>
      <c r="U71" s="198"/>
    </row>
    <row r="72" spans="1:21" s="12" customFormat="1" x14ac:dyDescent="0.25">
      <c r="A72" s="214" t="s">
        <v>500</v>
      </c>
      <c r="B72" s="64">
        <v>7.97</v>
      </c>
      <c r="C72" s="64">
        <v>2.93</v>
      </c>
      <c r="D72" s="64">
        <v>11.7</v>
      </c>
      <c r="E72" s="64">
        <v>4.95</v>
      </c>
      <c r="F72" s="64">
        <v>4.4800000000000004</v>
      </c>
      <c r="G72" s="64">
        <v>18.28</v>
      </c>
      <c r="H72" s="64">
        <v>4.68</v>
      </c>
      <c r="I72" s="64">
        <v>6.41</v>
      </c>
      <c r="J72" s="64">
        <v>1.01</v>
      </c>
      <c r="K72" s="64">
        <v>106.25</v>
      </c>
      <c r="L72" s="64">
        <v>31.1</v>
      </c>
      <c r="M72" s="64">
        <v>69.77</v>
      </c>
      <c r="N72" s="64">
        <v>104.4</v>
      </c>
      <c r="O72" s="64">
        <v>0</v>
      </c>
      <c r="P72" s="64">
        <v>0.32</v>
      </c>
      <c r="Q72" s="64">
        <v>9.59</v>
      </c>
      <c r="R72" s="198"/>
      <c r="S72" s="198"/>
      <c r="T72" s="198"/>
      <c r="U72" s="198"/>
    </row>
    <row r="73" spans="1:21" s="12" customFormat="1" x14ac:dyDescent="0.25">
      <c r="A73" s="214" t="s">
        <v>501</v>
      </c>
      <c r="B73" s="64">
        <v>7.97</v>
      </c>
      <c r="C73" s="64">
        <v>2.96</v>
      </c>
      <c r="D73" s="64">
        <v>11.71</v>
      </c>
      <c r="E73" s="64">
        <v>4.62</v>
      </c>
      <c r="F73" s="64">
        <v>3.09</v>
      </c>
      <c r="G73" s="64">
        <v>18.28</v>
      </c>
      <c r="H73" s="64">
        <v>4.68</v>
      </c>
      <c r="I73" s="64">
        <v>6.25</v>
      </c>
      <c r="J73" s="64">
        <v>1.17</v>
      </c>
      <c r="K73" s="64">
        <v>122.08</v>
      </c>
      <c r="L73" s="64">
        <v>31.18</v>
      </c>
      <c r="M73" s="64">
        <v>69.62</v>
      </c>
      <c r="N73" s="64">
        <v>99.6</v>
      </c>
      <c r="O73" s="64">
        <v>0</v>
      </c>
      <c r="P73" s="64">
        <v>0.31</v>
      </c>
      <c r="Q73" s="64">
        <v>9.56</v>
      </c>
      <c r="R73" s="198"/>
      <c r="S73" s="198"/>
      <c r="T73" s="198"/>
      <c r="U73" s="198"/>
    </row>
    <row r="74" spans="1:21" s="12" customFormat="1" x14ac:dyDescent="0.25">
      <c r="A74" s="214" t="s">
        <v>502</v>
      </c>
      <c r="B74" s="64">
        <v>7.95</v>
      </c>
      <c r="C74" s="64">
        <v>3</v>
      </c>
      <c r="D74" s="64">
        <v>11.72</v>
      </c>
      <c r="E74" s="64">
        <v>4.54</v>
      </c>
      <c r="F74" s="64">
        <v>4.1100000000000003</v>
      </c>
      <c r="G74" s="64">
        <v>18.28</v>
      </c>
      <c r="H74" s="64">
        <v>4.68</v>
      </c>
      <c r="I74" s="64">
        <v>6.58</v>
      </c>
      <c r="J74" s="64">
        <v>1.05</v>
      </c>
      <c r="K74" s="64">
        <v>114.82</v>
      </c>
      <c r="L74" s="64">
        <v>31.29</v>
      </c>
      <c r="M74" s="64">
        <v>68.16</v>
      </c>
      <c r="N74" s="64">
        <v>87.2</v>
      </c>
      <c r="O74" s="64">
        <v>0</v>
      </c>
      <c r="P74" s="64">
        <v>0.3</v>
      </c>
      <c r="Q74" s="64">
        <v>9.5299999999999994</v>
      </c>
      <c r="R74" s="198"/>
      <c r="S74" s="198"/>
      <c r="T74" s="198"/>
      <c r="U74" s="198"/>
    </row>
    <row r="75" spans="1:21" s="12" customFormat="1" x14ac:dyDescent="0.25">
      <c r="A75" s="214" t="s">
        <v>503</v>
      </c>
      <c r="B75" s="64">
        <v>7.98</v>
      </c>
      <c r="C75" s="64">
        <v>3.03</v>
      </c>
      <c r="D75" s="64">
        <v>11.76</v>
      </c>
      <c r="E75" s="64">
        <v>4.38</v>
      </c>
      <c r="F75" s="64">
        <v>3.87</v>
      </c>
      <c r="G75" s="64">
        <v>15.91</v>
      </c>
      <c r="H75" s="64">
        <v>4.34</v>
      </c>
      <c r="I75" s="64">
        <v>6.47</v>
      </c>
      <c r="J75" s="64">
        <v>1.19</v>
      </c>
      <c r="K75" s="64">
        <v>112.39</v>
      </c>
      <c r="L75" s="64">
        <v>31.09</v>
      </c>
      <c r="M75" s="64">
        <v>68.8</v>
      </c>
      <c r="N75" s="64">
        <v>81.099999999999994</v>
      </c>
      <c r="O75" s="64">
        <v>0</v>
      </c>
      <c r="P75" s="64">
        <v>0.31</v>
      </c>
      <c r="Q75" s="64">
        <v>9.5299999999999994</v>
      </c>
      <c r="R75" s="198"/>
      <c r="S75" s="198"/>
      <c r="T75" s="198"/>
      <c r="U75" s="198"/>
    </row>
    <row r="76" spans="1:21" s="12" customFormat="1" x14ac:dyDescent="0.25">
      <c r="A76" s="214" t="s">
        <v>504</v>
      </c>
      <c r="B76" s="64">
        <v>7.97</v>
      </c>
      <c r="C76" s="64">
        <v>3.01</v>
      </c>
      <c r="D76" s="64">
        <v>11.74</v>
      </c>
      <c r="E76" s="64">
        <v>4.33</v>
      </c>
      <c r="F76" s="64">
        <v>3.71</v>
      </c>
      <c r="G76" s="64">
        <v>13.19</v>
      </c>
      <c r="H76" s="64">
        <v>4.13</v>
      </c>
      <c r="I76" s="64">
        <v>6.55</v>
      </c>
      <c r="J76" s="64">
        <v>1.02</v>
      </c>
      <c r="K76" s="64">
        <v>110.36</v>
      </c>
      <c r="L76" s="64">
        <v>31</v>
      </c>
      <c r="M76" s="64">
        <v>69.5</v>
      </c>
      <c r="N76" s="64">
        <v>77.7</v>
      </c>
      <c r="O76" s="64">
        <v>0</v>
      </c>
      <c r="P76" s="64">
        <v>0.31</v>
      </c>
      <c r="Q76" s="64">
        <v>9.5500000000000007</v>
      </c>
      <c r="R76" s="198"/>
      <c r="S76" s="198"/>
      <c r="T76" s="198"/>
      <c r="U76" s="198"/>
    </row>
    <row r="77" spans="1:21" s="12" customFormat="1" x14ac:dyDescent="0.25">
      <c r="A77" s="214" t="s">
        <v>505</v>
      </c>
      <c r="B77" s="64">
        <v>8</v>
      </c>
      <c r="C77" s="64">
        <v>2.99</v>
      </c>
      <c r="D77" s="64">
        <v>11.75</v>
      </c>
      <c r="E77" s="64">
        <v>4.2699999999999996</v>
      </c>
      <c r="F77" s="64">
        <v>3.77</v>
      </c>
      <c r="G77" s="64">
        <v>13.19</v>
      </c>
      <c r="H77" s="64">
        <v>4.13</v>
      </c>
      <c r="I77" s="64">
        <v>6.58</v>
      </c>
      <c r="J77" s="64">
        <v>1.01</v>
      </c>
      <c r="K77" s="64">
        <v>119.58</v>
      </c>
      <c r="L77" s="64">
        <v>30.94</v>
      </c>
      <c r="M77" s="64">
        <v>70.39</v>
      </c>
      <c r="N77" s="64">
        <v>72.400000000000006</v>
      </c>
      <c r="O77" s="64">
        <v>0</v>
      </c>
      <c r="P77" s="64">
        <v>0.3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14" t="s">
        <v>506</v>
      </c>
      <c r="B78" s="64">
        <v>7.98</v>
      </c>
      <c r="C78" s="64">
        <v>2.94</v>
      </c>
      <c r="D78" s="64">
        <v>11.71</v>
      </c>
      <c r="E78" s="64">
        <v>4.17</v>
      </c>
      <c r="F78" s="64">
        <v>3.96</v>
      </c>
      <c r="G78" s="64">
        <v>13.19</v>
      </c>
      <c r="H78" s="64">
        <v>4.13</v>
      </c>
      <c r="I78" s="64">
        <v>6.61</v>
      </c>
      <c r="J78" s="64">
        <v>1.01</v>
      </c>
      <c r="K78" s="64">
        <v>118.91</v>
      </c>
      <c r="L78" s="64">
        <v>30.77</v>
      </c>
      <c r="M78" s="64">
        <v>74.5</v>
      </c>
      <c r="N78" s="64">
        <v>67.400000000000006</v>
      </c>
      <c r="O78" s="64">
        <v>0</v>
      </c>
      <c r="P78" s="64">
        <v>0.31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14" t="s">
        <v>507</v>
      </c>
      <c r="B79" s="64">
        <v>7.97</v>
      </c>
      <c r="C79" s="64">
        <v>2.93</v>
      </c>
      <c r="D79" s="64">
        <v>11.7</v>
      </c>
      <c r="E79" s="64">
        <v>4.6100000000000003</v>
      </c>
      <c r="F79" s="64">
        <v>3.73</v>
      </c>
      <c r="G79" s="64">
        <v>15.02</v>
      </c>
      <c r="H79" s="64">
        <v>3.6</v>
      </c>
      <c r="I79" s="64">
        <v>6.61</v>
      </c>
      <c r="J79" s="64">
        <v>0.48</v>
      </c>
      <c r="K79" s="64">
        <v>114.98</v>
      </c>
      <c r="L79" s="64">
        <v>30.53</v>
      </c>
      <c r="M79" s="64">
        <v>77.16</v>
      </c>
      <c r="N79" s="64">
        <v>61.1</v>
      </c>
      <c r="O79" s="64">
        <v>0</v>
      </c>
      <c r="P79" s="64">
        <v>0.32</v>
      </c>
      <c r="Q79" s="64">
        <v>9.5500000000000007</v>
      </c>
      <c r="R79" s="198"/>
      <c r="S79" s="198"/>
      <c r="T79" s="198"/>
      <c r="U79" s="198"/>
    </row>
    <row r="80" spans="1:21" s="12" customFormat="1" x14ac:dyDescent="0.25">
      <c r="A80" s="214" t="s">
        <v>508</v>
      </c>
      <c r="B80" s="64">
        <v>8</v>
      </c>
      <c r="C80" s="64">
        <v>3.02</v>
      </c>
      <c r="D80" s="64">
        <v>11.77</v>
      </c>
      <c r="E80" s="64">
        <v>4.28</v>
      </c>
      <c r="F80" s="64">
        <v>3.76</v>
      </c>
      <c r="G80" s="64">
        <v>17.12</v>
      </c>
      <c r="H80" s="64">
        <v>3.27</v>
      </c>
      <c r="I80" s="64">
        <v>6.37</v>
      </c>
      <c r="J80" s="64">
        <v>1.1200000000000001</v>
      </c>
      <c r="K80" s="64">
        <v>119.17</v>
      </c>
      <c r="L80" s="64">
        <v>30.28</v>
      </c>
      <c r="M80" s="64">
        <v>78.16</v>
      </c>
      <c r="N80" s="64">
        <v>55</v>
      </c>
      <c r="O80" s="64">
        <v>0</v>
      </c>
      <c r="P80" s="64">
        <v>0.32</v>
      </c>
      <c r="Q80" s="64">
        <v>0</v>
      </c>
      <c r="R80" s="198"/>
      <c r="S80" s="198"/>
      <c r="T80" s="198"/>
      <c r="U80" s="198"/>
    </row>
    <row r="81" spans="1:26" s="12" customFormat="1" x14ac:dyDescent="0.25">
      <c r="A81" s="214" t="s">
        <v>509</v>
      </c>
      <c r="B81" s="64">
        <v>7.96</v>
      </c>
      <c r="C81" s="64">
        <v>2.93</v>
      </c>
      <c r="D81" s="64">
        <v>11.69</v>
      </c>
      <c r="E81" s="64">
        <v>4.38</v>
      </c>
      <c r="F81" s="64">
        <v>3.83</v>
      </c>
      <c r="G81" s="64">
        <v>17.12</v>
      </c>
      <c r="H81" s="64">
        <v>3.27</v>
      </c>
      <c r="I81" s="64">
        <v>6.38</v>
      </c>
      <c r="J81" s="64">
        <v>0.76</v>
      </c>
      <c r="K81" s="64">
        <v>108.95</v>
      </c>
      <c r="L81" s="64">
        <v>30.03</v>
      </c>
      <c r="M81" s="64">
        <v>79.28</v>
      </c>
      <c r="N81" s="64">
        <v>46.1</v>
      </c>
      <c r="O81" s="64">
        <v>0</v>
      </c>
      <c r="P81" s="64">
        <v>0.33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4" t="s">
        <v>510</v>
      </c>
      <c r="B82" s="64">
        <v>7.95</v>
      </c>
      <c r="C82" s="64">
        <v>2.96</v>
      </c>
      <c r="D82" s="64">
        <v>11.69</v>
      </c>
      <c r="E82" s="64">
        <v>4.78</v>
      </c>
      <c r="F82" s="64">
        <v>3.77</v>
      </c>
      <c r="G82" s="64">
        <v>17.12</v>
      </c>
      <c r="H82" s="64">
        <v>3.27</v>
      </c>
      <c r="I82" s="64">
        <v>6.33</v>
      </c>
      <c r="J82" s="64">
        <v>0.55000000000000004</v>
      </c>
      <c r="K82" s="64">
        <v>120.86</v>
      </c>
      <c r="L82" s="64">
        <v>29.8</v>
      </c>
      <c r="M82" s="64">
        <v>80.22</v>
      </c>
      <c r="N82" s="64">
        <v>40.6</v>
      </c>
      <c r="O82" s="64">
        <v>0</v>
      </c>
      <c r="P82" s="64">
        <v>0.33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4" t="s">
        <v>511</v>
      </c>
      <c r="B83" s="64">
        <v>7.94</v>
      </c>
      <c r="C83" s="64">
        <v>2.99</v>
      </c>
      <c r="D83" s="64">
        <v>11.71</v>
      </c>
      <c r="E83" s="64">
        <v>4.7300000000000004</v>
      </c>
      <c r="F83" s="64">
        <v>3.61</v>
      </c>
      <c r="G83" s="64">
        <v>17.59</v>
      </c>
      <c r="H83" s="64">
        <v>4.01</v>
      </c>
      <c r="I83" s="64">
        <v>6.25</v>
      </c>
      <c r="J83" s="64">
        <v>0.57999999999999996</v>
      </c>
      <c r="K83" s="64">
        <v>116.41</v>
      </c>
      <c r="L83" s="64">
        <v>29.68</v>
      </c>
      <c r="M83" s="64">
        <v>81.16</v>
      </c>
      <c r="N83" s="64">
        <v>39.4</v>
      </c>
      <c r="O83" s="64">
        <v>0</v>
      </c>
      <c r="P83" s="64">
        <v>0.35</v>
      </c>
      <c r="Q83" s="64">
        <v>9.59</v>
      </c>
      <c r="R83" s="198"/>
      <c r="S83" s="198"/>
      <c r="T83" s="198"/>
      <c r="U83" s="198"/>
    </row>
    <row r="84" spans="1:26" s="12" customFormat="1" x14ac:dyDescent="0.25">
      <c r="A84" s="214" t="s">
        <v>512</v>
      </c>
      <c r="B84" s="64">
        <v>7.97</v>
      </c>
      <c r="C84" s="64">
        <v>2.99</v>
      </c>
      <c r="D84" s="64">
        <v>11.73</v>
      </c>
      <c r="E84" s="64">
        <v>4.46</v>
      </c>
      <c r="F84" s="64">
        <v>4.0599999999999996</v>
      </c>
      <c r="G84" s="64">
        <v>18.12</v>
      </c>
      <c r="H84" s="64">
        <v>4.4800000000000004</v>
      </c>
      <c r="I84" s="64">
        <v>6.05</v>
      </c>
      <c r="J84" s="64">
        <v>0.56000000000000005</v>
      </c>
      <c r="K84" s="64">
        <v>106.17</v>
      </c>
      <c r="L84" s="64">
        <v>29.57</v>
      </c>
      <c r="M84" s="64">
        <v>82.44</v>
      </c>
      <c r="N84" s="64">
        <v>39.299999999999997</v>
      </c>
      <c r="O84" s="64">
        <v>0</v>
      </c>
      <c r="P84" s="64">
        <v>0.36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4" t="s">
        <v>513</v>
      </c>
      <c r="B85" s="64">
        <v>7.95</v>
      </c>
      <c r="C85" s="64">
        <v>2.96</v>
      </c>
      <c r="D85" s="64">
        <v>11.69</v>
      </c>
      <c r="E85" s="64">
        <v>4.8</v>
      </c>
      <c r="F85" s="64">
        <v>3.18</v>
      </c>
      <c r="G85" s="64">
        <v>18.12</v>
      </c>
      <c r="H85" s="64">
        <v>4.4800000000000004</v>
      </c>
      <c r="I85" s="64">
        <v>5.85</v>
      </c>
      <c r="J85" s="64">
        <v>0.56999999999999995</v>
      </c>
      <c r="K85" s="64">
        <v>114.37</v>
      </c>
      <c r="L85" s="64">
        <v>29.52</v>
      </c>
      <c r="M85" s="64">
        <v>83.34</v>
      </c>
      <c r="N85" s="64">
        <v>39.200000000000003</v>
      </c>
      <c r="O85" s="64">
        <v>0</v>
      </c>
      <c r="P85" s="64">
        <v>0.31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14" t="s">
        <v>514</v>
      </c>
      <c r="B86" s="64">
        <v>7.94</v>
      </c>
      <c r="C86" s="64">
        <v>2.95</v>
      </c>
      <c r="D86" s="64">
        <v>11.69</v>
      </c>
      <c r="E86" s="64">
        <v>4.4400000000000004</v>
      </c>
      <c r="F86" s="64">
        <v>4.18</v>
      </c>
      <c r="G86" s="64">
        <v>18.12</v>
      </c>
      <c r="H86" s="64">
        <v>4.4800000000000004</v>
      </c>
      <c r="I86" s="64">
        <v>5.75</v>
      </c>
      <c r="J86" s="64">
        <v>0.91</v>
      </c>
      <c r="K86" s="64">
        <v>116.49</v>
      </c>
      <c r="L86" s="64">
        <v>29.54</v>
      </c>
      <c r="M86" s="64">
        <v>82.9</v>
      </c>
      <c r="N86" s="64">
        <v>39</v>
      </c>
      <c r="O86" s="64">
        <v>0</v>
      </c>
      <c r="P86" s="64">
        <v>0.34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4" t="s">
        <v>515</v>
      </c>
      <c r="B87" s="64">
        <v>7.95</v>
      </c>
      <c r="C87" s="64">
        <v>2.98</v>
      </c>
      <c r="D87" s="64">
        <v>11.71</v>
      </c>
      <c r="E87" s="64">
        <v>4.6500000000000004</v>
      </c>
      <c r="F87" s="64">
        <v>3.32</v>
      </c>
      <c r="G87" s="64">
        <v>20.16</v>
      </c>
      <c r="H87" s="64">
        <v>5.52</v>
      </c>
      <c r="I87" s="64">
        <v>5.6</v>
      </c>
      <c r="J87" s="64">
        <v>0.85</v>
      </c>
      <c r="K87" s="64">
        <v>112.23</v>
      </c>
      <c r="L87" s="64">
        <v>29.54</v>
      </c>
      <c r="M87" s="64">
        <v>82.61</v>
      </c>
      <c r="N87" s="64">
        <v>39.200000000000003</v>
      </c>
      <c r="O87" s="64">
        <v>0</v>
      </c>
      <c r="P87" s="64">
        <v>0.35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14" t="s">
        <v>516</v>
      </c>
      <c r="B88" s="64">
        <v>7.96</v>
      </c>
      <c r="C88" s="64">
        <v>3.01</v>
      </c>
      <c r="D88" s="64">
        <v>11.73</v>
      </c>
      <c r="E88" s="64">
        <v>4.7</v>
      </c>
      <c r="F88" s="64">
        <v>3.62</v>
      </c>
      <c r="G88" s="64">
        <v>22.5</v>
      </c>
      <c r="H88" s="64">
        <v>7.02</v>
      </c>
      <c r="I88" s="64">
        <v>5.62</v>
      </c>
      <c r="J88" s="64">
        <v>0.9</v>
      </c>
      <c r="K88" s="64">
        <v>112.86</v>
      </c>
      <c r="L88" s="64">
        <v>29.5</v>
      </c>
      <c r="M88" s="64">
        <v>83.25</v>
      </c>
      <c r="N88" s="64">
        <v>39.4</v>
      </c>
      <c r="O88" s="64">
        <v>0</v>
      </c>
      <c r="P88" s="64">
        <v>0.36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4" t="s">
        <v>517</v>
      </c>
      <c r="B89" s="64">
        <v>7.96</v>
      </c>
      <c r="C89" s="64">
        <v>3.01</v>
      </c>
      <c r="D89" s="64">
        <v>11.73</v>
      </c>
      <c r="E89" s="64">
        <v>5.51</v>
      </c>
      <c r="F89" s="64">
        <v>3.21</v>
      </c>
      <c r="G89" s="64">
        <v>22.5</v>
      </c>
      <c r="H89" s="64">
        <v>7.02</v>
      </c>
      <c r="I89" s="64">
        <v>5.64</v>
      </c>
      <c r="J89" s="64">
        <v>0.63</v>
      </c>
      <c r="K89" s="64">
        <v>103.88</v>
      </c>
      <c r="L89" s="64">
        <v>29.48</v>
      </c>
      <c r="M89" s="64">
        <v>83.24</v>
      </c>
      <c r="N89" s="64">
        <v>39.4</v>
      </c>
      <c r="O89" s="64">
        <v>0</v>
      </c>
      <c r="P89" s="64">
        <v>0.36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14" t="s">
        <v>518</v>
      </c>
      <c r="B90" s="64">
        <v>7.95</v>
      </c>
      <c r="C90" s="64">
        <v>2.96</v>
      </c>
      <c r="D90" s="64">
        <v>11.7</v>
      </c>
      <c r="E90" s="64">
        <v>5.55</v>
      </c>
      <c r="F90" s="64">
        <v>3.22</v>
      </c>
      <c r="G90" s="64">
        <v>22.5</v>
      </c>
      <c r="H90" s="64">
        <v>7.02</v>
      </c>
      <c r="I90" s="64">
        <v>5.73</v>
      </c>
      <c r="J90" s="64">
        <v>0.65</v>
      </c>
      <c r="K90" s="64">
        <v>101.46</v>
      </c>
      <c r="L90" s="64">
        <v>29.45</v>
      </c>
      <c r="M90" s="64">
        <v>84.21</v>
      </c>
      <c r="N90" s="64">
        <v>39.200000000000003</v>
      </c>
      <c r="O90" s="64">
        <v>0</v>
      </c>
      <c r="P90" s="64">
        <v>0.37</v>
      </c>
      <c r="Q90" s="64">
        <v>9.5500000000000007</v>
      </c>
      <c r="R90" s="198"/>
      <c r="S90" s="198"/>
      <c r="T90" s="198"/>
      <c r="U90" s="198"/>
    </row>
    <row r="91" spans="1:26" s="12" customFormat="1" x14ac:dyDescent="0.25">
      <c r="A91" s="214" t="s">
        <v>519</v>
      </c>
      <c r="B91" s="64">
        <v>8.01</v>
      </c>
      <c r="C91" s="64">
        <v>3.08</v>
      </c>
      <c r="D91" s="64">
        <v>11.8</v>
      </c>
      <c r="E91" s="64">
        <v>5.34</v>
      </c>
      <c r="F91" s="64">
        <v>3.17</v>
      </c>
      <c r="G91" s="64">
        <v>26.11</v>
      </c>
      <c r="H91" s="64">
        <v>8.48</v>
      </c>
      <c r="I91" s="64">
        <v>5.72</v>
      </c>
      <c r="J91" s="64">
        <v>0.44</v>
      </c>
      <c r="K91" s="64">
        <v>107.42</v>
      </c>
      <c r="L91" s="64">
        <v>29.3</v>
      </c>
      <c r="M91" s="64">
        <v>85.92</v>
      </c>
      <c r="N91" s="64">
        <v>39.5</v>
      </c>
      <c r="O91" s="64">
        <v>0</v>
      </c>
      <c r="P91" s="64">
        <v>0.37</v>
      </c>
      <c r="Q91" s="64">
        <v>9.5500000000000007</v>
      </c>
      <c r="R91" s="198"/>
      <c r="S91" s="198"/>
      <c r="T91" s="198"/>
      <c r="U91" s="198"/>
    </row>
    <row r="92" spans="1:26" s="12" customFormat="1" x14ac:dyDescent="0.25">
      <c r="A92" s="214" t="s">
        <v>520</v>
      </c>
      <c r="B92" s="64">
        <v>8.07</v>
      </c>
      <c r="C92" s="64">
        <v>3.17</v>
      </c>
      <c r="D92" s="64">
        <v>11.9</v>
      </c>
      <c r="E92" s="64">
        <v>5.45</v>
      </c>
      <c r="F92" s="64">
        <v>3.34</v>
      </c>
      <c r="G92" s="64">
        <v>30.24</v>
      </c>
      <c r="H92" s="64">
        <v>9.4</v>
      </c>
      <c r="I92" s="64">
        <v>5.79</v>
      </c>
      <c r="J92" s="64">
        <v>0.73</v>
      </c>
      <c r="K92" s="64">
        <v>108.58</v>
      </c>
      <c r="L92" s="64">
        <v>29.24</v>
      </c>
      <c r="M92" s="64">
        <v>86.13</v>
      </c>
      <c r="N92" s="64">
        <v>39.4</v>
      </c>
      <c r="O92" s="64">
        <v>0</v>
      </c>
      <c r="P92" s="64">
        <v>0.38</v>
      </c>
      <c r="Q92" s="64">
        <v>9.57</v>
      </c>
      <c r="R92" s="198"/>
      <c r="S92" s="198"/>
      <c r="T92" s="198"/>
      <c r="U92" s="198"/>
    </row>
    <row r="93" spans="1:26" s="12" customFormat="1" x14ac:dyDescent="0.25">
      <c r="A93" s="214" t="s">
        <v>521</v>
      </c>
      <c r="B93" s="64">
        <v>8.02</v>
      </c>
      <c r="C93" s="64">
        <v>3.02</v>
      </c>
      <c r="D93" s="64">
        <v>11.78</v>
      </c>
      <c r="E93" s="64">
        <v>5.38</v>
      </c>
      <c r="F93" s="64">
        <v>3.63</v>
      </c>
      <c r="G93" s="64">
        <v>30.24</v>
      </c>
      <c r="H93" s="64">
        <v>9.4</v>
      </c>
      <c r="I93" s="64">
        <v>5.91</v>
      </c>
      <c r="J93" s="64">
        <v>0.83</v>
      </c>
      <c r="K93" s="64">
        <v>113.78</v>
      </c>
      <c r="L93" s="64">
        <v>29.12</v>
      </c>
      <c r="M93" s="64">
        <v>86.75</v>
      </c>
      <c r="N93" s="64">
        <v>39.4</v>
      </c>
      <c r="O93" s="64">
        <v>0</v>
      </c>
      <c r="P93" s="64">
        <v>0.39</v>
      </c>
      <c r="Q93" s="64">
        <v>9.58</v>
      </c>
      <c r="R93" s="198"/>
      <c r="S93" s="198"/>
      <c r="T93" s="198"/>
      <c r="U93" s="198"/>
    </row>
    <row r="94" spans="1:26" s="12" customFormat="1" x14ac:dyDescent="0.25">
      <c r="A94" s="214" t="s">
        <v>522</v>
      </c>
      <c r="B94" s="64">
        <v>8</v>
      </c>
      <c r="C94" s="64">
        <v>2.95</v>
      </c>
      <c r="D94" s="64">
        <v>11.73</v>
      </c>
      <c r="E94" s="64">
        <v>5.58</v>
      </c>
      <c r="F94" s="64">
        <v>2.97</v>
      </c>
      <c r="G94" s="64">
        <v>30.24</v>
      </c>
      <c r="H94" s="64">
        <v>9.4</v>
      </c>
      <c r="I94" s="64">
        <v>6.01</v>
      </c>
      <c r="J94" s="64">
        <v>0.75</v>
      </c>
      <c r="K94" s="64">
        <v>108.53</v>
      </c>
      <c r="L94" s="64">
        <v>29.1</v>
      </c>
      <c r="M94" s="64">
        <v>86.33</v>
      </c>
      <c r="N94" s="64">
        <v>39.200000000000003</v>
      </c>
      <c r="O94" s="64">
        <v>0</v>
      </c>
      <c r="P94" s="64">
        <v>0.39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523</v>
      </c>
      <c r="B95" s="64">
        <v>7.99</v>
      </c>
      <c r="C95" s="64">
        <v>2.99</v>
      </c>
      <c r="D95" s="64">
        <v>11.74</v>
      </c>
      <c r="E95" s="64">
        <v>5.54</v>
      </c>
      <c r="F95" s="64">
        <v>3.19</v>
      </c>
      <c r="G95" s="64">
        <v>30.31</v>
      </c>
      <c r="H95" s="64">
        <v>9.1300000000000008</v>
      </c>
      <c r="I95" s="64">
        <v>6.18</v>
      </c>
      <c r="J95" s="64">
        <v>0.82</v>
      </c>
      <c r="K95" s="64">
        <v>105.87</v>
      </c>
      <c r="L95" s="64">
        <v>29.07</v>
      </c>
      <c r="M95" s="64">
        <v>86.77</v>
      </c>
      <c r="N95" s="64">
        <v>39.200000000000003</v>
      </c>
      <c r="O95" s="64">
        <v>0</v>
      </c>
      <c r="P95" s="64">
        <v>0.39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4" t="s">
        <v>524</v>
      </c>
      <c r="B96" s="64">
        <v>8</v>
      </c>
      <c r="C96" s="64">
        <v>2.99</v>
      </c>
      <c r="D96" s="64">
        <v>11.75</v>
      </c>
      <c r="E96" s="64">
        <v>5.97</v>
      </c>
      <c r="F96" s="64">
        <v>3.32</v>
      </c>
      <c r="G96" s="64">
        <v>30.39</v>
      </c>
      <c r="H96" s="64">
        <v>8.9600000000000009</v>
      </c>
      <c r="I96" s="64">
        <v>6.31</v>
      </c>
      <c r="J96" s="64">
        <v>0.62</v>
      </c>
      <c r="K96" s="64">
        <v>107.39</v>
      </c>
      <c r="L96" s="64">
        <v>28.94</v>
      </c>
      <c r="M96" s="64">
        <v>87.96</v>
      </c>
      <c r="N96" s="64">
        <v>39.4</v>
      </c>
      <c r="O96" s="64">
        <v>0</v>
      </c>
      <c r="P96" s="64">
        <v>0.39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525</v>
      </c>
      <c r="B97" s="64">
        <v>8.01</v>
      </c>
      <c r="C97" s="64">
        <v>3.04</v>
      </c>
      <c r="D97" s="64">
        <v>11.79</v>
      </c>
      <c r="E97" s="64">
        <v>5.5</v>
      </c>
      <c r="F97" s="64">
        <v>3.24</v>
      </c>
      <c r="G97" s="64">
        <v>30.39</v>
      </c>
      <c r="H97" s="64">
        <v>8.9600000000000009</v>
      </c>
      <c r="I97" s="64">
        <v>6.49</v>
      </c>
      <c r="J97" s="64">
        <v>0.76</v>
      </c>
      <c r="K97" s="64">
        <v>109.51</v>
      </c>
      <c r="L97" s="64">
        <v>28.88</v>
      </c>
      <c r="M97" s="64">
        <v>88.68</v>
      </c>
      <c r="N97" s="64">
        <v>39.299999999999997</v>
      </c>
      <c r="O97" s="64">
        <v>0</v>
      </c>
      <c r="P97" s="64">
        <v>0.4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4" t="s">
        <v>526</v>
      </c>
      <c r="B98" s="64">
        <v>7.98</v>
      </c>
      <c r="C98" s="64">
        <v>2.96</v>
      </c>
      <c r="D98" s="64">
        <v>11.72</v>
      </c>
      <c r="E98" s="64">
        <v>5.39</v>
      </c>
      <c r="F98" s="64">
        <v>3.81</v>
      </c>
      <c r="G98" s="64">
        <v>30.39</v>
      </c>
      <c r="H98" s="64">
        <v>8.9600000000000009</v>
      </c>
      <c r="I98" s="64">
        <v>6.61</v>
      </c>
      <c r="J98" s="64">
        <v>0.74</v>
      </c>
      <c r="K98" s="64">
        <v>106.93</v>
      </c>
      <c r="L98" s="64">
        <v>28.8</v>
      </c>
      <c r="M98" s="64">
        <v>89.32</v>
      </c>
      <c r="N98" s="64">
        <v>39.200000000000003</v>
      </c>
      <c r="O98" s="64">
        <v>0</v>
      </c>
      <c r="P98" s="64">
        <v>0.4</v>
      </c>
      <c r="Q98" s="64">
        <v>9.66</v>
      </c>
      <c r="R98" s="198"/>
      <c r="S98" s="198"/>
      <c r="T98" s="198"/>
      <c r="U98" s="198"/>
    </row>
    <row r="99" spans="1:33" s="12" customFormat="1" x14ac:dyDescent="0.25">
      <c r="A99" s="214" t="s">
        <v>527</v>
      </c>
      <c r="B99" s="64">
        <v>7.96</v>
      </c>
      <c r="C99" s="64">
        <v>2.98</v>
      </c>
      <c r="D99" s="64">
        <v>11.72</v>
      </c>
      <c r="E99" s="64">
        <v>5.57</v>
      </c>
      <c r="F99" s="64">
        <v>3.99</v>
      </c>
      <c r="G99" s="64">
        <v>28.57</v>
      </c>
      <c r="H99" s="64">
        <v>7.57</v>
      </c>
      <c r="I99" s="64">
        <v>6.67</v>
      </c>
      <c r="J99" s="64">
        <v>0.55000000000000004</v>
      </c>
      <c r="K99" s="64">
        <v>104.12</v>
      </c>
      <c r="L99" s="64">
        <v>28.76</v>
      </c>
      <c r="M99" s="64">
        <v>89.49</v>
      </c>
      <c r="N99" s="64">
        <v>39.4</v>
      </c>
      <c r="O99" s="64">
        <v>0</v>
      </c>
      <c r="P99" s="64">
        <v>0.39</v>
      </c>
      <c r="Q99" s="64">
        <v>9.67</v>
      </c>
      <c r="R99" s="198"/>
      <c r="S99" s="198"/>
      <c r="T99" s="198"/>
      <c r="U99" s="198"/>
    </row>
    <row r="100" spans="1:33" s="12" customFormat="1" x14ac:dyDescent="0.25">
      <c r="A100" s="214" t="s">
        <v>528</v>
      </c>
      <c r="B100" s="64">
        <v>7.98</v>
      </c>
      <c r="C100" s="64">
        <v>2.98</v>
      </c>
      <c r="D100" s="64">
        <v>11.73</v>
      </c>
      <c r="E100" s="64">
        <v>5.58</v>
      </c>
      <c r="F100" s="64">
        <v>2.71</v>
      </c>
      <c r="G100" s="64">
        <v>26.5</v>
      </c>
      <c r="H100" s="64">
        <v>6.68</v>
      </c>
      <c r="I100" s="64">
        <v>6.63</v>
      </c>
      <c r="J100" s="64">
        <v>0.05</v>
      </c>
      <c r="K100" s="64">
        <v>90.14</v>
      </c>
      <c r="L100" s="64">
        <v>28.61</v>
      </c>
      <c r="M100" s="64">
        <v>90.48</v>
      </c>
      <c r="N100" s="64">
        <v>39.700000000000003</v>
      </c>
      <c r="O100" s="64">
        <v>0</v>
      </c>
      <c r="P100" s="64">
        <v>0.4</v>
      </c>
      <c r="Q100" s="64">
        <v>9.68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529</v>
      </c>
      <c r="B101" s="64">
        <v>7.98</v>
      </c>
      <c r="C101" s="64">
        <v>3.01</v>
      </c>
      <c r="D101" s="64">
        <v>11.75</v>
      </c>
      <c r="E101" s="64">
        <v>5.58</v>
      </c>
      <c r="F101" s="64">
        <v>3.87</v>
      </c>
      <c r="G101" s="64">
        <v>26.5</v>
      </c>
      <c r="H101" s="64">
        <v>6.68</v>
      </c>
      <c r="I101" s="64">
        <v>6.53</v>
      </c>
      <c r="J101" s="64">
        <v>0.11</v>
      </c>
      <c r="K101" s="64">
        <v>264.23</v>
      </c>
      <c r="L101" s="64">
        <v>28.2</v>
      </c>
      <c r="M101" s="64">
        <v>94.21</v>
      </c>
      <c r="N101" s="64">
        <v>39.799999999999997</v>
      </c>
      <c r="O101" s="64">
        <v>0</v>
      </c>
      <c r="P101" s="64">
        <v>0.4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4" t="s">
        <v>530</v>
      </c>
      <c r="B102" s="64">
        <v>7.95</v>
      </c>
      <c r="C102" s="64">
        <v>2.98</v>
      </c>
      <c r="D102" s="64">
        <v>11.71</v>
      </c>
      <c r="E102" s="64">
        <v>5.77</v>
      </c>
      <c r="F102" s="64">
        <v>3.37</v>
      </c>
      <c r="G102" s="64">
        <v>26.5</v>
      </c>
      <c r="H102" s="64">
        <v>6.68</v>
      </c>
      <c r="I102" s="64">
        <v>6.27</v>
      </c>
      <c r="J102" s="64">
        <v>0.42</v>
      </c>
      <c r="K102" s="64">
        <v>103.9</v>
      </c>
      <c r="L102" s="64">
        <v>28.37</v>
      </c>
      <c r="M102" s="64">
        <v>92.03</v>
      </c>
      <c r="N102" s="64">
        <v>39.200000000000003</v>
      </c>
      <c r="O102" s="64">
        <v>0</v>
      </c>
      <c r="P102" s="64">
        <v>0.4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4" t="s">
        <v>531</v>
      </c>
      <c r="B103" s="64">
        <v>7.97</v>
      </c>
      <c r="C103" s="64">
        <v>2.94</v>
      </c>
      <c r="D103" s="64">
        <v>11.7</v>
      </c>
      <c r="E103" s="64">
        <v>5.0599999999999996</v>
      </c>
      <c r="F103" s="64">
        <v>3.35</v>
      </c>
      <c r="G103" s="64">
        <v>29.56</v>
      </c>
      <c r="H103" s="64">
        <v>8.8000000000000007</v>
      </c>
      <c r="I103" s="64">
        <v>6</v>
      </c>
      <c r="J103" s="64">
        <v>0.28000000000000003</v>
      </c>
      <c r="K103" s="64">
        <v>107.29</v>
      </c>
      <c r="L103" s="64">
        <v>28.27</v>
      </c>
      <c r="M103" s="64">
        <v>94.35</v>
      </c>
      <c r="N103" s="64">
        <v>39.200000000000003</v>
      </c>
      <c r="O103" s="64">
        <v>0</v>
      </c>
      <c r="P103" s="64">
        <v>0.41</v>
      </c>
      <c r="Q103" s="64">
        <v>9.68</v>
      </c>
      <c r="R103" s="198"/>
      <c r="S103" s="198"/>
      <c r="T103" s="198"/>
      <c r="U103" s="198"/>
    </row>
    <row r="104" spans="1:33" s="12" customFormat="1" x14ac:dyDescent="0.25">
      <c r="A104" s="214" t="s">
        <v>532</v>
      </c>
      <c r="B104" s="64">
        <v>7.99</v>
      </c>
      <c r="C104" s="64">
        <v>2.97</v>
      </c>
      <c r="D104" s="64">
        <v>11.73</v>
      </c>
      <c r="E104" s="64">
        <v>3.86</v>
      </c>
      <c r="F104" s="64">
        <v>4.17</v>
      </c>
      <c r="G104" s="64">
        <v>33.06</v>
      </c>
      <c r="H104" s="64">
        <v>12.05</v>
      </c>
      <c r="I104" s="64">
        <v>5.8</v>
      </c>
      <c r="J104" s="64">
        <v>0.14000000000000001</v>
      </c>
      <c r="K104" s="64">
        <v>89.16</v>
      </c>
      <c r="L104" s="64">
        <v>28.04</v>
      </c>
      <c r="M104" s="64">
        <v>96.29</v>
      </c>
      <c r="N104" s="64">
        <v>39.6</v>
      </c>
      <c r="O104" s="64">
        <v>0</v>
      </c>
      <c r="P104" s="64">
        <v>0.4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7.94</v>
      </c>
      <c r="C106" s="67">
        <f>MIN(C9:C104)</f>
        <v>2.92</v>
      </c>
      <c r="D106" s="67">
        <f t="shared" ref="D106:Q106" si="0">MIN(D9:D104)</f>
        <v>11.66</v>
      </c>
      <c r="E106" s="67">
        <f t="shared" si="0"/>
        <v>3.46</v>
      </c>
      <c r="F106" s="67">
        <f t="shared" si="0"/>
        <v>2.67</v>
      </c>
      <c r="G106" s="67">
        <f t="shared" si="0"/>
        <v>6.91</v>
      </c>
      <c r="H106" s="67">
        <f t="shared" si="0"/>
        <v>1.81</v>
      </c>
      <c r="I106" s="67">
        <f t="shared" si="0"/>
        <v>4.25</v>
      </c>
      <c r="J106" s="67">
        <f t="shared" si="0"/>
        <v>0.03</v>
      </c>
      <c r="K106" s="67">
        <f t="shared" si="0"/>
        <v>8.57</v>
      </c>
      <c r="L106" s="67">
        <f t="shared" si="0"/>
        <v>25.88</v>
      </c>
      <c r="M106" s="67">
        <f t="shared" si="0"/>
        <v>68.11</v>
      </c>
      <c r="N106" s="67">
        <f t="shared" si="0"/>
        <v>39</v>
      </c>
      <c r="O106" s="67">
        <f t="shared" si="0"/>
        <v>0</v>
      </c>
      <c r="P106" s="67">
        <f t="shared" si="0"/>
        <v>0.26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8.07</v>
      </c>
      <c r="C107" s="66">
        <f t="shared" ref="C107:Q107" si="1">MAX(C9:C104)</f>
        <v>3.17</v>
      </c>
      <c r="D107" s="66">
        <f t="shared" si="1"/>
        <v>11.9</v>
      </c>
      <c r="E107" s="66">
        <f t="shared" si="1"/>
        <v>5.97</v>
      </c>
      <c r="F107" s="66">
        <f t="shared" si="1"/>
        <v>4.76</v>
      </c>
      <c r="G107" s="66">
        <f t="shared" si="1"/>
        <v>33.06</v>
      </c>
      <c r="H107" s="66">
        <f t="shared" si="1"/>
        <v>12.05</v>
      </c>
      <c r="I107" s="66">
        <f t="shared" si="1"/>
        <v>6.9</v>
      </c>
      <c r="J107" s="66">
        <f t="shared" si="1"/>
        <v>1.91</v>
      </c>
      <c r="K107" s="66">
        <f t="shared" si="1"/>
        <v>315.57</v>
      </c>
      <c r="L107" s="66">
        <f t="shared" si="1"/>
        <v>32.04</v>
      </c>
      <c r="M107" s="66">
        <f t="shared" si="1"/>
        <v>101.54</v>
      </c>
      <c r="N107" s="66">
        <f t="shared" si="1"/>
        <v>543.79999999999995</v>
      </c>
      <c r="O107" s="66">
        <f t="shared" si="1"/>
        <v>0</v>
      </c>
      <c r="P107" s="66">
        <f t="shared" si="1"/>
        <v>0.41</v>
      </c>
      <c r="Q107" s="66">
        <f t="shared" si="1"/>
        <v>9.6999999999999993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7.9797916666666771</v>
      </c>
      <c r="C108" s="67">
        <f t="shared" ref="C108:Q108" si="2">AVERAGE(C9:C104)</f>
        <v>2.9850000000000012</v>
      </c>
      <c r="D108" s="67">
        <f t="shared" si="2"/>
        <v>11.732812500000009</v>
      </c>
      <c r="E108" s="67">
        <f t="shared" si="2"/>
        <v>4.6079166666666653</v>
      </c>
      <c r="F108" s="67">
        <f t="shared" si="2"/>
        <v>3.5973958333333336</v>
      </c>
      <c r="G108" s="67">
        <f t="shared" si="2"/>
        <v>15.910416666666668</v>
      </c>
      <c r="H108" s="67">
        <f t="shared" si="2"/>
        <v>4.083333333333333</v>
      </c>
      <c r="I108" s="67">
        <f t="shared" si="2"/>
        <v>5.749270833333334</v>
      </c>
      <c r="J108" s="67">
        <f t="shared" si="2"/>
        <v>0.73395833333333294</v>
      </c>
      <c r="K108" s="67">
        <f t="shared" si="2"/>
        <v>120.19875000000003</v>
      </c>
      <c r="L108" s="67">
        <f t="shared" si="2"/>
        <v>28.852187499999999</v>
      </c>
      <c r="M108" s="67">
        <f t="shared" si="2"/>
        <v>87.150520833333317</v>
      </c>
      <c r="N108" s="67">
        <f t="shared" si="2"/>
        <v>148.1458333333334</v>
      </c>
      <c r="O108" s="67">
        <f t="shared" si="2"/>
        <v>0</v>
      </c>
      <c r="P108" s="67">
        <f t="shared" si="2"/>
        <v>0.31447916666666648</v>
      </c>
      <c r="Q108" s="67">
        <f t="shared" si="2"/>
        <v>9.4871874999999992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2.3304807124018802E-2</v>
      </c>
      <c r="C109" s="67">
        <f t="shared" ref="C109:Q109" si="3">STDEV(C9:C104)</f>
        <v>4.3817804600413256E-2</v>
      </c>
      <c r="D109" s="67">
        <f t="shared" si="3"/>
        <v>3.8435266837139312E-2</v>
      </c>
      <c r="E109" s="67">
        <f t="shared" si="3"/>
        <v>0.62830920424609904</v>
      </c>
      <c r="F109" s="67">
        <f t="shared" si="3"/>
        <v>0.43168274118279437</v>
      </c>
      <c r="G109" s="67">
        <f t="shared" si="3"/>
        <v>6.6049611205145515</v>
      </c>
      <c r="H109" s="67">
        <f t="shared" si="3"/>
        <v>2.2470503082306168</v>
      </c>
      <c r="I109" s="67">
        <f t="shared" si="3"/>
        <v>0.7259639613958917</v>
      </c>
      <c r="J109" s="67">
        <f t="shared" si="3"/>
        <v>0.38594648979159873</v>
      </c>
      <c r="K109" s="67">
        <f t="shared" si="3"/>
        <v>35.075857441595815</v>
      </c>
      <c r="L109" s="67">
        <f t="shared" si="3"/>
        <v>1.8030320679782417</v>
      </c>
      <c r="M109" s="67">
        <f t="shared" si="3"/>
        <v>11.354048697761732</v>
      </c>
      <c r="N109" s="67">
        <f t="shared" si="3"/>
        <v>148.71260514772962</v>
      </c>
      <c r="O109" s="67">
        <f t="shared" si="3"/>
        <v>0</v>
      </c>
      <c r="P109" s="67">
        <f t="shared" si="3"/>
        <v>4.0206566409683155E-2</v>
      </c>
      <c r="Q109" s="67">
        <f t="shared" si="3"/>
        <v>0.97907013148622513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533</v>
      </c>
      <c r="B9" s="64">
        <v>7.95</v>
      </c>
      <c r="C9" s="64">
        <v>2.96</v>
      </c>
      <c r="D9" s="64">
        <v>11.69</v>
      </c>
      <c r="E9" s="64">
        <v>3.73</v>
      </c>
      <c r="F9" s="64">
        <v>3.65</v>
      </c>
      <c r="G9" s="64">
        <v>33.06</v>
      </c>
      <c r="H9" s="64">
        <v>12.05</v>
      </c>
      <c r="I9" s="64">
        <v>5.68</v>
      </c>
      <c r="J9" s="64">
        <v>0.17</v>
      </c>
      <c r="K9" s="64">
        <v>114.2</v>
      </c>
      <c r="L9" s="64">
        <v>27.92</v>
      </c>
      <c r="M9" s="64">
        <v>97.25</v>
      </c>
      <c r="N9" s="64">
        <v>39.4</v>
      </c>
      <c r="O9" s="64">
        <v>0</v>
      </c>
      <c r="P9" s="64">
        <v>0.39</v>
      </c>
      <c r="Q9" s="64">
        <v>9.67</v>
      </c>
      <c r="R9" s="198"/>
      <c r="S9" s="198"/>
      <c r="T9" s="198"/>
      <c r="U9" s="198"/>
    </row>
    <row r="10" spans="1:21" s="12" customFormat="1" x14ac:dyDescent="0.25">
      <c r="A10" s="214" t="s">
        <v>534</v>
      </c>
      <c r="B10" s="64">
        <v>7.95</v>
      </c>
      <c r="C10" s="64">
        <v>2.92</v>
      </c>
      <c r="D10" s="64">
        <v>11.68</v>
      </c>
      <c r="E10" s="64">
        <v>3.7</v>
      </c>
      <c r="F10" s="64">
        <v>3.89</v>
      </c>
      <c r="G10" s="64">
        <v>33.06</v>
      </c>
      <c r="H10" s="64">
        <v>12.05</v>
      </c>
      <c r="I10" s="64">
        <v>5.58</v>
      </c>
      <c r="J10" s="64">
        <v>0.09</v>
      </c>
      <c r="K10" s="64">
        <v>80.72</v>
      </c>
      <c r="L10" s="64">
        <v>27.86</v>
      </c>
      <c r="M10" s="64">
        <v>97.75</v>
      </c>
      <c r="N10" s="64">
        <v>39.200000000000003</v>
      </c>
      <c r="O10" s="64">
        <v>0</v>
      </c>
      <c r="P10" s="64">
        <v>0.4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4" t="s">
        <v>535</v>
      </c>
      <c r="B11" s="64">
        <v>8</v>
      </c>
      <c r="C11" s="64">
        <v>3.07</v>
      </c>
      <c r="D11" s="64">
        <v>11.79</v>
      </c>
      <c r="E11" s="64">
        <v>3.78</v>
      </c>
      <c r="F11" s="64">
        <v>2.65</v>
      </c>
      <c r="G11" s="64">
        <v>31.04</v>
      </c>
      <c r="H11" s="64">
        <v>10.210000000000001</v>
      </c>
      <c r="I11" s="64">
        <v>5.37</v>
      </c>
      <c r="J11" s="64">
        <v>0.13</v>
      </c>
      <c r="K11" s="64">
        <v>311.81</v>
      </c>
      <c r="L11" s="64">
        <v>27.56</v>
      </c>
      <c r="M11" s="64">
        <v>100</v>
      </c>
      <c r="N11" s="64">
        <v>39.299999999999997</v>
      </c>
      <c r="O11" s="64">
        <v>0</v>
      </c>
      <c r="P11" s="64">
        <v>0.39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4" t="s">
        <v>536</v>
      </c>
      <c r="B12" s="64">
        <v>8.07</v>
      </c>
      <c r="C12" s="64">
        <v>3.17</v>
      </c>
      <c r="D12" s="64">
        <v>11.9</v>
      </c>
      <c r="E12" s="64">
        <v>3.4</v>
      </c>
      <c r="F12" s="64">
        <v>3.44</v>
      </c>
      <c r="G12" s="64">
        <v>28.74</v>
      </c>
      <c r="H12" s="64">
        <v>9.0500000000000007</v>
      </c>
      <c r="I12" s="64">
        <v>5.26</v>
      </c>
      <c r="J12" s="64">
        <v>0.15</v>
      </c>
      <c r="K12" s="64">
        <v>144.12</v>
      </c>
      <c r="L12" s="64">
        <v>27.58</v>
      </c>
      <c r="M12" s="64">
        <v>99.42</v>
      </c>
      <c r="N12" s="64">
        <v>38.9</v>
      </c>
      <c r="O12" s="64">
        <v>0</v>
      </c>
      <c r="P12" s="64">
        <v>0.39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4" t="s">
        <v>537</v>
      </c>
      <c r="B13" s="64">
        <v>8.06</v>
      </c>
      <c r="C13" s="64">
        <v>3.08</v>
      </c>
      <c r="D13" s="64">
        <v>11.85</v>
      </c>
      <c r="E13" s="64">
        <v>3.53</v>
      </c>
      <c r="F13" s="64">
        <v>3.39</v>
      </c>
      <c r="G13" s="64">
        <v>28.74</v>
      </c>
      <c r="H13" s="64">
        <v>9.0500000000000007</v>
      </c>
      <c r="I13" s="64">
        <v>5.19</v>
      </c>
      <c r="J13" s="64">
        <v>0.23</v>
      </c>
      <c r="K13" s="64">
        <v>113.63</v>
      </c>
      <c r="L13" s="64">
        <v>27.78</v>
      </c>
      <c r="M13" s="64">
        <v>98.33</v>
      </c>
      <c r="N13" s="64">
        <v>39</v>
      </c>
      <c r="O13" s="64">
        <v>0</v>
      </c>
      <c r="P13" s="64">
        <v>0.38</v>
      </c>
      <c r="Q13" s="64">
        <v>9.68</v>
      </c>
      <c r="R13" s="198"/>
      <c r="S13" s="198"/>
      <c r="T13" s="198"/>
      <c r="U13" s="198"/>
    </row>
    <row r="14" spans="1:21" s="12" customFormat="1" x14ac:dyDescent="0.25">
      <c r="A14" s="214" t="s">
        <v>538</v>
      </c>
      <c r="B14" s="64">
        <v>8.0399999999999991</v>
      </c>
      <c r="C14" s="64">
        <v>3.05</v>
      </c>
      <c r="D14" s="64">
        <v>11.82</v>
      </c>
      <c r="E14" s="64">
        <v>3.7</v>
      </c>
      <c r="F14" s="64">
        <v>3.3</v>
      </c>
      <c r="G14" s="64">
        <v>28.74</v>
      </c>
      <c r="H14" s="64">
        <v>9.0500000000000007</v>
      </c>
      <c r="I14" s="64">
        <v>5.26</v>
      </c>
      <c r="J14" s="64">
        <v>0.16</v>
      </c>
      <c r="K14" s="64">
        <v>145.07</v>
      </c>
      <c r="L14" s="64">
        <v>27.83</v>
      </c>
      <c r="M14" s="64">
        <v>98.07</v>
      </c>
      <c r="N14" s="64">
        <v>39.299999999999997</v>
      </c>
      <c r="O14" s="64">
        <v>0</v>
      </c>
      <c r="P14" s="64">
        <v>0.39</v>
      </c>
      <c r="Q14" s="64">
        <v>9.6999999999999993</v>
      </c>
      <c r="R14" s="198"/>
      <c r="S14" s="198"/>
      <c r="T14" s="198"/>
      <c r="U14" s="198"/>
    </row>
    <row r="15" spans="1:21" s="12" customFormat="1" x14ac:dyDescent="0.25">
      <c r="A15" s="214" t="s">
        <v>539</v>
      </c>
      <c r="B15" s="64">
        <v>8.0500000000000007</v>
      </c>
      <c r="C15" s="64">
        <v>3.04</v>
      </c>
      <c r="D15" s="64">
        <v>11.82</v>
      </c>
      <c r="E15" s="64">
        <v>3.64</v>
      </c>
      <c r="F15" s="64">
        <v>3.32</v>
      </c>
      <c r="G15" s="64">
        <v>28.46</v>
      </c>
      <c r="H15" s="64">
        <v>11.99</v>
      </c>
      <c r="I15" s="64">
        <v>5.36</v>
      </c>
      <c r="J15" s="64">
        <v>0.1</v>
      </c>
      <c r="K15" s="64">
        <v>200.85</v>
      </c>
      <c r="L15" s="64">
        <v>27.7</v>
      </c>
      <c r="M15" s="64">
        <v>98.05</v>
      </c>
      <c r="N15" s="64">
        <v>39.299999999999997</v>
      </c>
      <c r="O15" s="64">
        <v>0</v>
      </c>
      <c r="P15" s="64">
        <v>0.38</v>
      </c>
      <c r="Q15" s="64">
        <v>9.6999999999999993</v>
      </c>
      <c r="R15" s="198"/>
      <c r="S15" s="198"/>
      <c r="T15" s="198"/>
      <c r="U15" s="198"/>
    </row>
    <row r="16" spans="1:21" s="12" customFormat="1" x14ac:dyDescent="0.25">
      <c r="A16" s="214" t="s">
        <v>540</v>
      </c>
      <c r="B16" s="64">
        <v>8.01</v>
      </c>
      <c r="C16" s="64">
        <v>3.01</v>
      </c>
      <c r="D16" s="64">
        <v>11.77</v>
      </c>
      <c r="E16" s="64">
        <v>3.19</v>
      </c>
      <c r="F16" s="64">
        <v>3.36</v>
      </c>
      <c r="G16" s="64">
        <v>28.12</v>
      </c>
      <c r="H16" s="64">
        <v>13.85</v>
      </c>
      <c r="I16" s="64">
        <v>5.47</v>
      </c>
      <c r="J16" s="64">
        <v>0.15</v>
      </c>
      <c r="K16" s="64">
        <v>223.78</v>
      </c>
      <c r="L16" s="64">
        <v>27.42</v>
      </c>
      <c r="M16" s="64">
        <v>99.76</v>
      </c>
      <c r="N16" s="64">
        <v>39.299999999999997</v>
      </c>
      <c r="O16" s="64">
        <v>0</v>
      </c>
      <c r="P16" s="64">
        <v>0.38</v>
      </c>
      <c r="Q16" s="64">
        <v>9.7100000000000009</v>
      </c>
      <c r="R16" s="198"/>
      <c r="S16" s="198"/>
      <c r="T16" s="198"/>
      <c r="U16" s="198"/>
    </row>
    <row r="17" spans="1:21" s="12" customFormat="1" x14ac:dyDescent="0.25">
      <c r="A17" s="214" t="s">
        <v>541</v>
      </c>
      <c r="B17" s="64">
        <v>7.99</v>
      </c>
      <c r="C17" s="64">
        <v>3</v>
      </c>
      <c r="D17" s="64">
        <v>11.75</v>
      </c>
      <c r="E17" s="64">
        <v>3.69</v>
      </c>
      <c r="F17" s="64">
        <v>3.45</v>
      </c>
      <c r="G17" s="64">
        <v>28.12</v>
      </c>
      <c r="H17" s="64">
        <v>13.85</v>
      </c>
      <c r="I17" s="64">
        <v>5.54</v>
      </c>
      <c r="J17" s="64">
        <v>0.37</v>
      </c>
      <c r="K17" s="64">
        <v>160.91</v>
      </c>
      <c r="L17" s="64">
        <v>27.38</v>
      </c>
      <c r="M17" s="64">
        <v>100.12</v>
      </c>
      <c r="N17" s="64">
        <v>39.299999999999997</v>
      </c>
      <c r="O17" s="64">
        <v>0</v>
      </c>
      <c r="P17" s="64">
        <v>0.38</v>
      </c>
      <c r="Q17" s="64">
        <v>9.7100000000000009</v>
      </c>
      <c r="R17" s="198"/>
      <c r="S17" s="198"/>
      <c r="T17" s="198"/>
      <c r="U17" s="198"/>
    </row>
    <row r="18" spans="1:21" s="12" customFormat="1" x14ac:dyDescent="0.25">
      <c r="A18" s="214" t="s">
        <v>542</v>
      </c>
      <c r="B18" s="64">
        <v>7.98</v>
      </c>
      <c r="C18" s="64">
        <v>2.98</v>
      </c>
      <c r="D18" s="64">
        <v>11.73</v>
      </c>
      <c r="E18" s="64">
        <v>3.57</v>
      </c>
      <c r="F18" s="64">
        <v>3.55</v>
      </c>
      <c r="G18" s="64">
        <v>28.12</v>
      </c>
      <c r="H18" s="64">
        <v>13.85</v>
      </c>
      <c r="I18" s="64">
        <v>5.58</v>
      </c>
      <c r="J18" s="64">
        <v>0.05</v>
      </c>
      <c r="K18" s="64">
        <v>85.91</v>
      </c>
      <c r="L18" s="64">
        <v>27.31</v>
      </c>
      <c r="M18" s="64">
        <v>101.02</v>
      </c>
      <c r="N18" s="64">
        <v>39.5</v>
      </c>
      <c r="O18" s="64">
        <v>0</v>
      </c>
      <c r="P18" s="64">
        <v>0.38</v>
      </c>
      <c r="Q18" s="64">
        <v>9.69</v>
      </c>
      <c r="R18" s="198"/>
      <c r="S18" s="198"/>
      <c r="T18" s="198"/>
      <c r="U18" s="198"/>
    </row>
    <row r="19" spans="1:21" s="12" customFormat="1" x14ac:dyDescent="0.25">
      <c r="A19" s="214" t="s">
        <v>543</v>
      </c>
      <c r="B19" s="64">
        <v>7.97</v>
      </c>
      <c r="C19" s="64">
        <v>2.98</v>
      </c>
      <c r="D19" s="64">
        <v>11.72</v>
      </c>
      <c r="E19" s="64">
        <v>3.67</v>
      </c>
      <c r="F19" s="64">
        <v>3.45</v>
      </c>
      <c r="G19" s="64">
        <v>30.45</v>
      </c>
      <c r="H19" s="64">
        <v>11.48</v>
      </c>
      <c r="I19" s="64">
        <v>5.59</v>
      </c>
      <c r="J19" s="64">
        <v>0.09</v>
      </c>
      <c r="K19" s="64">
        <v>229.61</v>
      </c>
      <c r="L19" s="64">
        <v>27.12</v>
      </c>
      <c r="M19" s="64">
        <v>101.59</v>
      </c>
      <c r="N19" s="64">
        <v>39.200000000000003</v>
      </c>
      <c r="O19" s="64">
        <v>0</v>
      </c>
      <c r="P19" s="64">
        <v>0.38</v>
      </c>
      <c r="Q19" s="64">
        <v>9.7100000000000009</v>
      </c>
      <c r="R19" s="198"/>
      <c r="S19" s="198"/>
      <c r="T19" s="198"/>
      <c r="U19" s="198"/>
    </row>
    <row r="20" spans="1:21" s="12" customFormat="1" x14ac:dyDescent="0.25">
      <c r="A20" s="214" t="s">
        <v>544</v>
      </c>
      <c r="B20" s="64">
        <v>8.01</v>
      </c>
      <c r="C20" s="64">
        <v>3.03</v>
      </c>
      <c r="D20" s="64">
        <v>11.78</v>
      </c>
      <c r="E20" s="64">
        <v>4.03</v>
      </c>
      <c r="F20" s="64">
        <v>4.58</v>
      </c>
      <c r="G20" s="64">
        <v>33.24</v>
      </c>
      <c r="H20" s="64">
        <v>9.94</v>
      </c>
      <c r="I20" s="64">
        <v>5.65</v>
      </c>
      <c r="J20" s="64">
        <v>0.17</v>
      </c>
      <c r="K20" s="64">
        <v>152.28</v>
      </c>
      <c r="L20" s="64">
        <v>27.07</v>
      </c>
      <c r="M20" s="64">
        <v>101.59</v>
      </c>
      <c r="N20" s="64">
        <v>38.9</v>
      </c>
      <c r="O20" s="64">
        <v>0</v>
      </c>
      <c r="P20" s="64">
        <v>0.37</v>
      </c>
      <c r="Q20" s="64">
        <v>9.67</v>
      </c>
      <c r="R20" s="198"/>
      <c r="S20" s="198"/>
      <c r="T20" s="198"/>
      <c r="U20" s="198"/>
    </row>
    <row r="21" spans="1:21" s="12" customFormat="1" x14ac:dyDescent="0.25">
      <c r="A21" s="214" t="s">
        <v>545</v>
      </c>
      <c r="B21" s="64">
        <v>7.96</v>
      </c>
      <c r="C21" s="64">
        <v>2.92</v>
      </c>
      <c r="D21" s="64">
        <v>11.68</v>
      </c>
      <c r="E21" s="64">
        <v>3.87</v>
      </c>
      <c r="F21" s="64">
        <v>3.03</v>
      </c>
      <c r="G21" s="64">
        <v>33.24</v>
      </c>
      <c r="H21" s="64">
        <v>9.94</v>
      </c>
      <c r="I21" s="64">
        <v>5.6</v>
      </c>
      <c r="J21" s="64">
        <v>0.19</v>
      </c>
      <c r="K21" s="64">
        <v>129.88999999999999</v>
      </c>
      <c r="L21" s="64">
        <v>27.12</v>
      </c>
      <c r="M21" s="64">
        <v>101.58</v>
      </c>
      <c r="N21" s="64">
        <v>39</v>
      </c>
      <c r="O21" s="64">
        <v>0</v>
      </c>
      <c r="P21" s="64">
        <v>0.37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4" t="s">
        <v>546</v>
      </c>
      <c r="B22" s="64">
        <v>7.95</v>
      </c>
      <c r="C22" s="64">
        <v>2.92</v>
      </c>
      <c r="D22" s="64">
        <v>11.68</v>
      </c>
      <c r="E22" s="64">
        <v>3.58</v>
      </c>
      <c r="F22" s="64">
        <v>3.98</v>
      </c>
      <c r="G22" s="64">
        <v>33.24</v>
      </c>
      <c r="H22" s="64">
        <v>9.94</v>
      </c>
      <c r="I22" s="64">
        <v>5.45</v>
      </c>
      <c r="J22" s="64">
        <v>0.06</v>
      </c>
      <c r="K22" s="64">
        <v>208.02</v>
      </c>
      <c r="L22" s="64">
        <v>26.85</v>
      </c>
      <c r="M22" s="64">
        <v>101.6</v>
      </c>
      <c r="N22" s="64">
        <v>39.299999999999997</v>
      </c>
      <c r="O22" s="64">
        <v>0</v>
      </c>
      <c r="P22" s="64">
        <v>0.36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4" t="s">
        <v>547</v>
      </c>
      <c r="B23" s="64">
        <v>7.96</v>
      </c>
      <c r="C23" s="64">
        <v>2.94</v>
      </c>
      <c r="D23" s="64">
        <v>11.69</v>
      </c>
      <c r="E23" s="64">
        <v>3.65</v>
      </c>
      <c r="F23" s="64">
        <v>3.57</v>
      </c>
      <c r="G23" s="64">
        <v>31.84</v>
      </c>
      <c r="H23" s="64">
        <v>10.199999999999999</v>
      </c>
      <c r="I23" s="64">
        <v>5.45</v>
      </c>
      <c r="J23" s="64">
        <v>0.03</v>
      </c>
      <c r="K23" s="64">
        <v>155.72999999999999</v>
      </c>
      <c r="L23" s="64">
        <v>26.71</v>
      </c>
      <c r="M23" s="64">
        <v>101.6</v>
      </c>
      <c r="N23" s="64">
        <v>39.5</v>
      </c>
      <c r="O23" s="64">
        <v>0</v>
      </c>
      <c r="P23" s="64">
        <v>0.35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4" t="s">
        <v>548</v>
      </c>
      <c r="B24" s="64">
        <v>7.96</v>
      </c>
      <c r="C24" s="64">
        <v>3</v>
      </c>
      <c r="D24" s="64">
        <v>11.72</v>
      </c>
      <c r="E24" s="64">
        <v>4.21</v>
      </c>
      <c r="F24" s="64">
        <v>3.31</v>
      </c>
      <c r="G24" s="64">
        <v>30.16</v>
      </c>
      <c r="H24" s="64">
        <v>10.57</v>
      </c>
      <c r="I24" s="64">
        <v>5.37</v>
      </c>
      <c r="J24" s="64">
        <v>0.22</v>
      </c>
      <c r="K24" s="64">
        <v>205.31</v>
      </c>
      <c r="L24" s="64">
        <v>26.81</v>
      </c>
      <c r="M24" s="64">
        <v>101.6</v>
      </c>
      <c r="N24" s="64">
        <v>39.299999999999997</v>
      </c>
      <c r="O24" s="64">
        <v>0</v>
      </c>
      <c r="P24" s="64">
        <v>0.35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14" t="s">
        <v>549</v>
      </c>
      <c r="B25" s="64">
        <v>7.99</v>
      </c>
      <c r="C25" s="64">
        <v>2.97</v>
      </c>
      <c r="D25" s="64">
        <v>11.74</v>
      </c>
      <c r="E25" s="64">
        <v>3.86</v>
      </c>
      <c r="F25" s="64">
        <v>3.28</v>
      </c>
      <c r="G25" s="64">
        <v>30.16</v>
      </c>
      <c r="H25" s="64">
        <v>10.57</v>
      </c>
      <c r="I25" s="64">
        <v>5.22</v>
      </c>
      <c r="J25" s="64">
        <v>0.09</v>
      </c>
      <c r="K25" s="64">
        <v>76.040000000000006</v>
      </c>
      <c r="L25" s="64">
        <v>26.85</v>
      </c>
      <c r="M25" s="64">
        <v>101.6</v>
      </c>
      <c r="N25" s="64">
        <v>39.299999999999997</v>
      </c>
      <c r="O25" s="64">
        <v>0</v>
      </c>
      <c r="P25" s="64">
        <v>0.34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550</v>
      </c>
      <c r="B26" s="64">
        <v>8.01</v>
      </c>
      <c r="C26" s="64">
        <v>3.02</v>
      </c>
      <c r="D26" s="64">
        <v>11.77</v>
      </c>
      <c r="E26" s="64">
        <v>3.99</v>
      </c>
      <c r="F26" s="64">
        <v>3.08</v>
      </c>
      <c r="G26" s="64">
        <v>30.16</v>
      </c>
      <c r="H26" s="64">
        <v>10.57</v>
      </c>
      <c r="I26" s="64">
        <v>5.0999999999999996</v>
      </c>
      <c r="J26" s="64">
        <v>0.11</v>
      </c>
      <c r="K26" s="64">
        <v>317.22000000000003</v>
      </c>
      <c r="L26" s="64">
        <v>26.63</v>
      </c>
      <c r="M26" s="64">
        <v>101.61</v>
      </c>
      <c r="N26" s="64">
        <v>39.299999999999997</v>
      </c>
      <c r="O26" s="64">
        <v>0</v>
      </c>
      <c r="P26" s="64">
        <v>0.34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551</v>
      </c>
      <c r="B27" s="64">
        <v>7.98</v>
      </c>
      <c r="C27" s="64">
        <v>2.97</v>
      </c>
      <c r="D27" s="64">
        <v>11.72</v>
      </c>
      <c r="E27" s="64">
        <v>3.82</v>
      </c>
      <c r="F27" s="64">
        <v>3.05</v>
      </c>
      <c r="G27" s="64">
        <v>28.59</v>
      </c>
      <c r="H27" s="64">
        <v>8.69</v>
      </c>
      <c r="I27" s="64">
        <v>4.99</v>
      </c>
      <c r="J27" s="64">
        <v>7.0000000000000007E-2</v>
      </c>
      <c r="K27" s="64">
        <v>289.42</v>
      </c>
      <c r="L27" s="64">
        <v>26.35</v>
      </c>
      <c r="M27" s="64">
        <v>101.63</v>
      </c>
      <c r="N27" s="64">
        <v>39.5</v>
      </c>
      <c r="O27" s="64">
        <v>0</v>
      </c>
      <c r="P27" s="64">
        <v>0.35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4" t="s">
        <v>552</v>
      </c>
      <c r="B28" s="64">
        <v>8.0299999999999994</v>
      </c>
      <c r="C28" s="64">
        <v>3.03</v>
      </c>
      <c r="D28" s="64">
        <v>11.8</v>
      </c>
      <c r="E28" s="64">
        <v>3.65</v>
      </c>
      <c r="F28" s="64">
        <v>3.87</v>
      </c>
      <c r="G28" s="64">
        <v>26.71</v>
      </c>
      <c r="H28" s="64">
        <v>7.5</v>
      </c>
      <c r="I28" s="64">
        <v>4.8499999999999996</v>
      </c>
      <c r="J28" s="64">
        <v>0.14000000000000001</v>
      </c>
      <c r="K28" s="64">
        <v>320.51</v>
      </c>
      <c r="L28" s="64">
        <v>26.2</v>
      </c>
      <c r="M28" s="64">
        <v>101.63</v>
      </c>
      <c r="N28" s="64">
        <v>39.6</v>
      </c>
      <c r="O28" s="64">
        <v>0</v>
      </c>
      <c r="P28" s="64">
        <v>0.34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4" t="s">
        <v>553</v>
      </c>
      <c r="B29" s="64">
        <v>8.0299999999999994</v>
      </c>
      <c r="C29" s="64">
        <v>3.04</v>
      </c>
      <c r="D29" s="64">
        <v>11.8</v>
      </c>
      <c r="E29" s="64">
        <v>4.05</v>
      </c>
      <c r="F29" s="64">
        <v>3.57</v>
      </c>
      <c r="G29" s="64">
        <v>26.71</v>
      </c>
      <c r="H29" s="64">
        <v>7.5</v>
      </c>
      <c r="I29" s="64">
        <v>4.7699999999999996</v>
      </c>
      <c r="J29" s="64">
        <v>0.02</v>
      </c>
      <c r="K29" s="64">
        <v>57.6</v>
      </c>
      <c r="L29" s="64">
        <v>26.12</v>
      </c>
      <c r="M29" s="64">
        <v>101.63</v>
      </c>
      <c r="N29" s="64">
        <v>39.200000000000003</v>
      </c>
      <c r="O29" s="64">
        <v>0</v>
      </c>
      <c r="P29" s="64">
        <v>0.35</v>
      </c>
      <c r="Q29" s="64">
        <v>9.66</v>
      </c>
      <c r="R29" s="198"/>
      <c r="S29" s="198"/>
      <c r="T29" s="198"/>
      <c r="U29" s="198"/>
    </row>
    <row r="30" spans="1:21" s="12" customFormat="1" x14ac:dyDescent="0.25">
      <c r="A30" s="214" t="s">
        <v>554</v>
      </c>
      <c r="B30" s="64">
        <v>8</v>
      </c>
      <c r="C30" s="64">
        <v>2.98</v>
      </c>
      <c r="D30" s="64">
        <v>11.75</v>
      </c>
      <c r="E30" s="64">
        <v>3.91</v>
      </c>
      <c r="F30" s="64">
        <v>3.08</v>
      </c>
      <c r="G30" s="64">
        <v>26.71</v>
      </c>
      <c r="H30" s="64">
        <v>7.5</v>
      </c>
      <c r="I30" s="64">
        <v>4.87</v>
      </c>
      <c r="J30" s="64">
        <v>0.15</v>
      </c>
      <c r="K30" s="64">
        <v>236.61</v>
      </c>
      <c r="L30" s="64">
        <v>26.23</v>
      </c>
      <c r="M30" s="64">
        <v>101.63</v>
      </c>
      <c r="N30" s="64">
        <v>39</v>
      </c>
      <c r="O30" s="64">
        <v>0</v>
      </c>
      <c r="P30" s="64">
        <v>0.35</v>
      </c>
      <c r="Q30" s="64">
        <v>9.69</v>
      </c>
      <c r="R30" s="198"/>
      <c r="S30" s="198"/>
      <c r="T30" s="198"/>
      <c r="U30" s="198"/>
    </row>
    <row r="31" spans="1:21" s="12" customFormat="1" x14ac:dyDescent="0.25">
      <c r="A31" s="214" t="s">
        <v>555</v>
      </c>
      <c r="B31" s="64">
        <v>7.98</v>
      </c>
      <c r="C31" s="64">
        <v>2.95</v>
      </c>
      <c r="D31" s="64">
        <v>11.72</v>
      </c>
      <c r="E31" s="64">
        <v>4.07</v>
      </c>
      <c r="F31" s="64">
        <v>3.36</v>
      </c>
      <c r="G31" s="64">
        <v>28.33</v>
      </c>
      <c r="H31" s="64">
        <v>9.08</v>
      </c>
      <c r="I31" s="64">
        <v>5.0199999999999996</v>
      </c>
      <c r="J31" s="64">
        <v>0.1</v>
      </c>
      <c r="K31" s="64">
        <v>213.03</v>
      </c>
      <c r="L31" s="64">
        <v>26.26</v>
      </c>
      <c r="M31" s="64">
        <v>101.63</v>
      </c>
      <c r="N31" s="64">
        <v>39.9</v>
      </c>
      <c r="O31" s="64">
        <v>0</v>
      </c>
      <c r="P31" s="64">
        <v>0.35</v>
      </c>
      <c r="Q31" s="64">
        <v>9.7100000000000009</v>
      </c>
      <c r="R31" s="198"/>
      <c r="S31" s="198"/>
      <c r="T31" s="198"/>
      <c r="U31" s="198"/>
    </row>
    <row r="32" spans="1:21" s="12" customFormat="1" x14ac:dyDescent="0.25">
      <c r="A32" s="214" t="s">
        <v>556</v>
      </c>
      <c r="B32" s="64">
        <v>8.01</v>
      </c>
      <c r="C32" s="64">
        <v>3</v>
      </c>
      <c r="D32" s="64">
        <v>11.77</v>
      </c>
      <c r="E32" s="64">
        <v>4.29</v>
      </c>
      <c r="F32" s="64">
        <v>3.46</v>
      </c>
      <c r="G32" s="64">
        <v>30.27</v>
      </c>
      <c r="H32" s="64">
        <v>10.08</v>
      </c>
      <c r="I32" s="64">
        <v>5.08</v>
      </c>
      <c r="J32" s="64">
        <v>0.11</v>
      </c>
      <c r="K32" s="64">
        <v>20.07</v>
      </c>
      <c r="L32" s="64">
        <v>26.23</v>
      </c>
      <c r="M32" s="64">
        <v>101.63</v>
      </c>
      <c r="N32" s="64">
        <v>44.4</v>
      </c>
      <c r="O32" s="64">
        <v>0</v>
      </c>
      <c r="P32" s="64">
        <v>0.35</v>
      </c>
      <c r="Q32" s="64">
        <v>9.73</v>
      </c>
      <c r="R32" s="198"/>
      <c r="S32" s="198"/>
      <c r="T32" s="198"/>
      <c r="U32" s="198"/>
    </row>
    <row r="33" spans="1:21" s="12" customFormat="1" x14ac:dyDescent="0.25">
      <c r="A33" s="214" t="s">
        <v>557</v>
      </c>
      <c r="B33" s="64">
        <v>8.0500000000000007</v>
      </c>
      <c r="C33" s="64">
        <v>3.05</v>
      </c>
      <c r="D33" s="64">
        <v>11.82</v>
      </c>
      <c r="E33" s="64">
        <v>4.05</v>
      </c>
      <c r="F33" s="64">
        <v>3.36</v>
      </c>
      <c r="G33" s="64">
        <v>30.27</v>
      </c>
      <c r="H33" s="64">
        <v>10.08</v>
      </c>
      <c r="I33" s="64">
        <v>5.2</v>
      </c>
      <c r="J33" s="64">
        <v>0.06</v>
      </c>
      <c r="K33" s="64">
        <v>358.38</v>
      </c>
      <c r="L33" s="64">
        <v>26.49</v>
      </c>
      <c r="M33" s="64">
        <v>101.63</v>
      </c>
      <c r="N33" s="64">
        <v>53.6</v>
      </c>
      <c r="O33" s="64">
        <v>0</v>
      </c>
      <c r="P33" s="64">
        <v>0.36</v>
      </c>
      <c r="Q33" s="64">
        <v>9.74</v>
      </c>
      <c r="R33" s="198"/>
      <c r="S33" s="198"/>
      <c r="T33" s="198"/>
      <c r="U33" s="198"/>
    </row>
    <row r="34" spans="1:21" s="12" customFormat="1" x14ac:dyDescent="0.25">
      <c r="A34" s="214" t="s">
        <v>558</v>
      </c>
      <c r="B34" s="64">
        <v>8.01</v>
      </c>
      <c r="C34" s="64">
        <v>3.03</v>
      </c>
      <c r="D34" s="64">
        <v>11.78</v>
      </c>
      <c r="E34" s="64">
        <v>4.22</v>
      </c>
      <c r="F34" s="64">
        <v>3.13</v>
      </c>
      <c r="G34" s="64">
        <v>30.27</v>
      </c>
      <c r="H34" s="64">
        <v>10.08</v>
      </c>
      <c r="I34" s="64">
        <v>5.3</v>
      </c>
      <c r="J34" s="64">
        <v>0.12</v>
      </c>
      <c r="K34" s="64">
        <v>121.67</v>
      </c>
      <c r="L34" s="64">
        <v>26.71</v>
      </c>
      <c r="M34" s="64">
        <v>101.62</v>
      </c>
      <c r="N34" s="64">
        <v>63.6</v>
      </c>
      <c r="O34" s="64">
        <v>0</v>
      </c>
      <c r="P34" s="64">
        <v>0.35</v>
      </c>
      <c r="Q34" s="64">
        <v>9.7799999999999994</v>
      </c>
      <c r="R34" s="198"/>
      <c r="S34" s="198"/>
      <c r="T34" s="198"/>
      <c r="U34" s="198"/>
    </row>
    <row r="35" spans="1:21" s="12" customFormat="1" x14ac:dyDescent="0.25">
      <c r="A35" s="214" t="s">
        <v>559</v>
      </c>
      <c r="B35" s="64">
        <v>8.02</v>
      </c>
      <c r="C35" s="64">
        <v>3.06</v>
      </c>
      <c r="D35" s="64">
        <v>11.8</v>
      </c>
      <c r="E35" s="64">
        <v>4.43</v>
      </c>
      <c r="F35" s="64">
        <v>3.44</v>
      </c>
      <c r="G35" s="64">
        <v>33.479999999999997</v>
      </c>
      <c r="H35" s="64">
        <v>8.5</v>
      </c>
      <c r="I35" s="64">
        <v>5.38</v>
      </c>
      <c r="J35" s="64">
        <v>0.3</v>
      </c>
      <c r="K35" s="64">
        <v>135.15</v>
      </c>
      <c r="L35" s="64">
        <v>26.95</v>
      </c>
      <c r="M35" s="64">
        <v>101.6</v>
      </c>
      <c r="N35" s="64">
        <v>79.099999999999994</v>
      </c>
      <c r="O35" s="64">
        <v>0</v>
      </c>
      <c r="P35" s="64">
        <v>0.36</v>
      </c>
      <c r="Q35" s="64">
        <v>9.81</v>
      </c>
      <c r="R35" s="198"/>
      <c r="S35" s="198"/>
      <c r="T35" s="198"/>
      <c r="U35" s="198"/>
    </row>
    <row r="36" spans="1:21" s="12" customFormat="1" x14ac:dyDescent="0.25">
      <c r="A36" s="214" t="s">
        <v>560</v>
      </c>
      <c r="B36" s="64">
        <v>8.02</v>
      </c>
      <c r="C36" s="64">
        <v>3.07</v>
      </c>
      <c r="D36" s="64">
        <v>11.81</v>
      </c>
      <c r="E36" s="64">
        <v>4.37</v>
      </c>
      <c r="F36" s="64">
        <v>2.96</v>
      </c>
      <c r="G36" s="64">
        <v>37.31</v>
      </c>
      <c r="H36" s="64">
        <v>7.5</v>
      </c>
      <c r="I36" s="64">
        <v>5.44</v>
      </c>
      <c r="J36" s="64">
        <v>0.1</v>
      </c>
      <c r="K36" s="64">
        <v>358.64</v>
      </c>
      <c r="L36" s="64">
        <v>27.3</v>
      </c>
      <c r="M36" s="64">
        <v>101.6</v>
      </c>
      <c r="N36" s="64">
        <v>89.3</v>
      </c>
      <c r="O36" s="64">
        <v>0</v>
      </c>
      <c r="P36" s="64">
        <v>0.36</v>
      </c>
      <c r="Q36" s="64">
        <v>9.8000000000000007</v>
      </c>
      <c r="R36" s="198"/>
      <c r="S36" s="198"/>
      <c r="T36" s="198"/>
      <c r="U36" s="198"/>
    </row>
    <row r="37" spans="1:21" s="12" customFormat="1" x14ac:dyDescent="0.25">
      <c r="A37" s="214" t="s">
        <v>561</v>
      </c>
      <c r="B37" s="64">
        <v>8.1300000000000008</v>
      </c>
      <c r="C37" s="64">
        <v>3.24</v>
      </c>
      <c r="D37" s="64">
        <v>11.99</v>
      </c>
      <c r="E37" s="64">
        <v>4.2300000000000004</v>
      </c>
      <c r="F37" s="64">
        <v>3.86</v>
      </c>
      <c r="G37" s="64">
        <v>37.31</v>
      </c>
      <c r="H37" s="64">
        <v>7.5</v>
      </c>
      <c r="I37" s="64">
        <v>5.5</v>
      </c>
      <c r="J37" s="64">
        <v>0.01</v>
      </c>
      <c r="K37" s="64">
        <v>138.88999999999999</v>
      </c>
      <c r="L37" s="64">
        <v>27.36</v>
      </c>
      <c r="M37" s="64">
        <v>101.6</v>
      </c>
      <c r="N37" s="64">
        <v>108.3</v>
      </c>
      <c r="O37" s="64">
        <v>0</v>
      </c>
      <c r="P37" s="64">
        <v>0.36</v>
      </c>
      <c r="Q37" s="64">
        <v>9.75</v>
      </c>
      <c r="R37" s="198"/>
      <c r="S37" s="198"/>
      <c r="T37" s="198"/>
      <c r="U37" s="198"/>
    </row>
    <row r="38" spans="1:21" s="12" customFormat="1" x14ac:dyDescent="0.25">
      <c r="A38" s="214" t="s">
        <v>562</v>
      </c>
      <c r="B38" s="64">
        <v>8.1</v>
      </c>
      <c r="C38" s="64">
        <v>3.21</v>
      </c>
      <c r="D38" s="64">
        <v>11.95</v>
      </c>
      <c r="E38" s="64">
        <v>4.2</v>
      </c>
      <c r="F38" s="64">
        <v>2.79</v>
      </c>
      <c r="G38" s="64">
        <v>37.31</v>
      </c>
      <c r="H38" s="64">
        <v>7.5</v>
      </c>
      <c r="I38" s="64">
        <v>5.41</v>
      </c>
      <c r="J38" s="64">
        <v>0.14000000000000001</v>
      </c>
      <c r="K38" s="64">
        <v>0.47</v>
      </c>
      <c r="L38" s="64">
        <v>28</v>
      </c>
      <c r="M38" s="64">
        <v>100.64</v>
      </c>
      <c r="N38" s="64">
        <v>129.1</v>
      </c>
      <c r="O38" s="64">
        <v>0</v>
      </c>
      <c r="P38" s="64">
        <v>0.37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4" t="s">
        <v>563</v>
      </c>
      <c r="B39" s="64">
        <v>8.01</v>
      </c>
      <c r="C39" s="64">
        <v>3.05</v>
      </c>
      <c r="D39" s="64">
        <v>11.8</v>
      </c>
      <c r="E39" s="64">
        <v>4.0999999999999996</v>
      </c>
      <c r="F39" s="64">
        <v>4.24</v>
      </c>
      <c r="G39" s="64">
        <v>38.950000000000003</v>
      </c>
      <c r="H39" s="64">
        <v>8.51</v>
      </c>
      <c r="I39" s="64">
        <v>5.27</v>
      </c>
      <c r="J39" s="64">
        <v>0.42</v>
      </c>
      <c r="K39" s="64">
        <v>354.88</v>
      </c>
      <c r="L39" s="64">
        <v>28.51</v>
      </c>
      <c r="M39" s="64">
        <v>98.95</v>
      </c>
      <c r="N39" s="64">
        <v>132.6</v>
      </c>
      <c r="O39" s="64">
        <v>0</v>
      </c>
      <c r="P39" s="64">
        <v>0.39</v>
      </c>
      <c r="Q39" s="64">
        <v>9.7799999999999994</v>
      </c>
      <c r="R39" s="198"/>
      <c r="S39" s="198"/>
      <c r="T39" s="198"/>
      <c r="U39" s="198"/>
    </row>
    <row r="40" spans="1:21" s="12" customFormat="1" x14ac:dyDescent="0.25">
      <c r="A40" s="214" t="s">
        <v>564</v>
      </c>
      <c r="B40" s="64">
        <v>7.99</v>
      </c>
      <c r="C40" s="64">
        <v>2.96</v>
      </c>
      <c r="D40" s="64">
        <v>11.73</v>
      </c>
      <c r="E40" s="64">
        <v>6.31</v>
      </c>
      <c r="F40" s="64">
        <v>2.34</v>
      </c>
      <c r="G40" s="64">
        <v>40.909999999999997</v>
      </c>
      <c r="H40" s="64">
        <v>9.9700000000000006</v>
      </c>
      <c r="I40" s="64">
        <v>4.9800000000000004</v>
      </c>
      <c r="J40" s="64">
        <v>0.31</v>
      </c>
      <c r="K40" s="64">
        <v>350.25</v>
      </c>
      <c r="L40" s="64">
        <v>29.03</v>
      </c>
      <c r="M40" s="64">
        <v>94.99</v>
      </c>
      <c r="N40" s="64">
        <v>154.80000000000001</v>
      </c>
      <c r="O40" s="64">
        <v>0</v>
      </c>
      <c r="P40" s="64">
        <v>0.41</v>
      </c>
      <c r="Q40" s="64">
        <v>9.77</v>
      </c>
      <c r="R40" s="198"/>
      <c r="S40" s="198"/>
      <c r="T40" s="198"/>
      <c r="U40" s="198"/>
    </row>
    <row r="41" spans="1:21" s="12" customFormat="1" x14ac:dyDescent="0.25">
      <c r="A41" s="214" t="s">
        <v>565</v>
      </c>
      <c r="B41" s="64">
        <v>8.01</v>
      </c>
      <c r="C41" s="64">
        <v>3</v>
      </c>
      <c r="D41" s="64">
        <v>11.77</v>
      </c>
      <c r="E41" s="64">
        <v>4.91</v>
      </c>
      <c r="F41" s="64">
        <v>3.78</v>
      </c>
      <c r="G41" s="64">
        <v>40.909999999999997</v>
      </c>
      <c r="H41" s="64">
        <v>9.9700000000000006</v>
      </c>
      <c r="I41" s="64">
        <v>4.95</v>
      </c>
      <c r="J41" s="64">
        <v>0.44</v>
      </c>
      <c r="K41" s="64">
        <v>344.86</v>
      </c>
      <c r="L41" s="64">
        <v>29.63</v>
      </c>
      <c r="M41" s="64">
        <v>92.46</v>
      </c>
      <c r="N41" s="64">
        <v>235.1</v>
      </c>
      <c r="O41" s="64">
        <v>0</v>
      </c>
      <c r="P41" s="64">
        <v>0.43</v>
      </c>
      <c r="Q41" s="64">
        <v>9.8000000000000007</v>
      </c>
      <c r="R41" s="198"/>
      <c r="S41" s="198"/>
      <c r="T41" s="198"/>
      <c r="U41" s="198"/>
    </row>
    <row r="42" spans="1:21" s="12" customFormat="1" x14ac:dyDescent="0.25">
      <c r="A42" s="214" t="s">
        <v>566</v>
      </c>
      <c r="B42" s="64">
        <v>8.09</v>
      </c>
      <c r="C42" s="64">
        <v>3.15</v>
      </c>
      <c r="D42" s="64">
        <v>11.91</v>
      </c>
      <c r="E42" s="64">
        <v>5.07</v>
      </c>
      <c r="F42" s="64">
        <v>2.2599999999999998</v>
      </c>
      <c r="G42" s="64">
        <v>40.909999999999997</v>
      </c>
      <c r="H42" s="64">
        <v>9.9700000000000006</v>
      </c>
      <c r="I42" s="64">
        <v>4.92</v>
      </c>
      <c r="J42" s="64">
        <v>0.15</v>
      </c>
      <c r="K42" s="64">
        <v>358.33</v>
      </c>
      <c r="L42" s="64">
        <v>30.04</v>
      </c>
      <c r="M42" s="64">
        <v>90.83</v>
      </c>
      <c r="N42" s="64">
        <v>153.30000000000001</v>
      </c>
      <c r="O42" s="64">
        <v>0</v>
      </c>
      <c r="P42" s="64">
        <v>0.44</v>
      </c>
      <c r="Q42" s="64">
        <v>9.8000000000000007</v>
      </c>
      <c r="R42" s="198"/>
      <c r="S42" s="198"/>
      <c r="T42" s="198"/>
      <c r="U42" s="198"/>
    </row>
    <row r="43" spans="1:21" s="12" customFormat="1" x14ac:dyDescent="0.25">
      <c r="A43" s="214" t="s">
        <v>567</v>
      </c>
      <c r="B43" s="64">
        <v>8.2100000000000009</v>
      </c>
      <c r="C43" s="64">
        <v>3.36</v>
      </c>
      <c r="D43" s="64">
        <v>12.11</v>
      </c>
      <c r="E43" s="64">
        <v>4.9800000000000004</v>
      </c>
      <c r="F43" s="64">
        <v>4.05</v>
      </c>
      <c r="G43" s="64">
        <v>41.24</v>
      </c>
      <c r="H43" s="64">
        <v>11.37</v>
      </c>
      <c r="I43" s="64">
        <v>4.9400000000000004</v>
      </c>
      <c r="J43" s="64">
        <v>0.05</v>
      </c>
      <c r="K43" s="64">
        <v>75.069999999999993</v>
      </c>
      <c r="L43" s="64">
        <v>29.48</v>
      </c>
      <c r="M43" s="64">
        <v>94.48</v>
      </c>
      <c r="N43" s="64">
        <v>280.39999999999998</v>
      </c>
      <c r="O43" s="64">
        <v>0</v>
      </c>
      <c r="P43" s="64">
        <v>0.45</v>
      </c>
      <c r="Q43" s="64">
        <v>9.8800000000000008</v>
      </c>
      <c r="R43" s="198"/>
      <c r="S43" s="198"/>
      <c r="T43" s="198"/>
      <c r="U43" s="198"/>
    </row>
    <row r="44" spans="1:21" s="12" customFormat="1" x14ac:dyDescent="0.25">
      <c r="A44" s="214" t="s">
        <v>568</v>
      </c>
      <c r="B44" s="64">
        <v>8.17</v>
      </c>
      <c r="C44" s="64">
        <v>3.31</v>
      </c>
      <c r="D44" s="64">
        <v>12.06</v>
      </c>
      <c r="E44" s="64">
        <v>5.0999999999999996</v>
      </c>
      <c r="F44" s="64">
        <v>2.9</v>
      </c>
      <c r="G44" s="64">
        <v>41.64</v>
      </c>
      <c r="H44" s="64">
        <v>12.25</v>
      </c>
      <c r="I44" s="64">
        <v>4.79</v>
      </c>
      <c r="J44" s="64">
        <v>0.12</v>
      </c>
      <c r="K44" s="64">
        <v>325.99</v>
      </c>
      <c r="L44" s="64">
        <v>29.58</v>
      </c>
      <c r="M44" s="64">
        <v>92.17</v>
      </c>
      <c r="N44" s="64">
        <v>101.2</v>
      </c>
      <c r="O44" s="64">
        <v>0</v>
      </c>
      <c r="P44" s="64">
        <v>0.46</v>
      </c>
      <c r="Q44" s="64">
        <v>9.86</v>
      </c>
      <c r="R44" s="198"/>
      <c r="S44" s="198"/>
      <c r="T44" s="198"/>
      <c r="U44" s="198"/>
    </row>
    <row r="45" spans="1:21" s="12" customFormat="1" x14ac:dyDescent="0.25">
      <c r="A45" s="214" t="s">
        <v>569</v>
      </c>
      <c r="B45" s="64">
        <v>8.14</v>
      </c>
      <c r="C45" s="64">
        <v>3.22</v>
      </c>
      <c r="D45" s="64">
        <v>11.98</v>
      </c>
      <c r="E45" s="64">
        <v>4.9800000000000004</v>
      </c>
      <c r="F45" s="64">
        <v>3.55</v>
      </c>
      <c r="G45" s="64">
        <v>41.64</v>
      </c>
      <c r="H45" s="64">
        <v>12.25</v>
      </c>
      <c r="I45" s="64">
        <v>5.05</v>
      </c>
      <c r="J45" s="64">
        <v>0.43</v>
      </c>
      <c r="K45" s="64">
        <v>347.62</v>
      </c>
      <c r="L45" s="64">
        <v>31.02</v>
      </c>
      <c r="M45" s="64">
        <v>83.26</v>
      </c>
      <c r="N45" s="64">
        <v>198.1</v>
      </c>
      <c r="O45" s="64">
        <v>0</v>
      </c>
      <c r="P45" s="64">
        <v>0.46</v>
      </c>
      <c r="Q45" s="64">
        <v>9.84</v>
      </c>
      <c r="R45" s="198"/>
      <c r="S45" s="198"/>
      <c r="T45" s="198"/>
      <c r="U45" s="198"/>
    </row>
    <row r="46" spans="1:21" s="12" customFormat="1" x14ac:dyDescent="0.25">
      <c r="A46" s="214" t="s">
        <v>570</v>
      </c>
      <c r="B46" s="64">
        <v>8.0399999999999991</v>
      </c>
      <c r="C46" s="64">
        <v>3.11</v>
      </c>
      <c r="D46" s="64">
        <v>11.84</v>
      </c>
      <c r="E46" s="64">
        <v>4.66</v>
      </c>
      <c r="F46" s="64">
        <v>3.46</v>
      </c>
      <c r="G46" s="64">
        <v>41.64</v>
      </c>
      <c r="H46" s="64">
        <v>12.25</v>
      </c>
      <c r="I46" s="64">
        <v>4.7</v>
      </c>
      <c r="J46" s="64">
        <v>0.04</v>
      </c>
      <c r="K46" s="64">
        <v>103.78</v>
      </c>
      <c r="L46" s="64">
        <v>31.23</v>
      </c>
      <c r="M46" s="64">
        <v>81.819999999999993</v>
      </c>
      <c r="N46" s="64">
        <v>325.7</v>
      </c>
      <c r="O46" s="64">
        <v>0</v>
      </c>
      <c r="P46" s="64">
        <v>0.47</v>
      </c>
      <c r="Q46" s="64">
        <v>9.8699999999999992</v>
      </c>
      <c r="R46" s="198"/>
      <c r="S46" s="198"/>
      <c r="T46" s="198"/>
      <c r="U46" s="198"/>
    </row>
    <row r="47" spans="1:21" s="12" customFormat="1" x14ac:dyDescent="0.25">
      <c r="A47" s="214" t="s">
        <v>571</v>
      </c>
      <c r="B47" s="64">
        <v>8.11</v>
      </c>
      <c r="C47" s="64">
        <v>3.17</v>
      </c>
      <c r="D47" s="64">
        <v>11.93</v>
      </c>
      <c r="E47" s="64">
        <v>5.0199999999999996</v>
      </c>
      <c r="F47" s="64">
        <v>3.18</v>
      </c>
      <c r="G47" s="64">
        <v>40.159999999999997</v>
      </c>
      <c r="H47" s="64">
        <v>13.63</v>
      </c>
      <c r="I47" s="64">
        <v>4.76</v>
      </c>
      <c r="J47" s="64">
        <v>0.57999999999999996</v>
      </c>
      <c r="K47" s="64">
        <v>140.13999999999999</v>
      </c>
      <c r="L47" s="64">
        <v>30.36</v>
      </c>
      <c r="M47" s="64">
        <v>85.44</v>
      </c>
      <c r="N47" s="64">
        <v>353.1</v>
      </c>
      <c r="O47" s="64">
        <v>0</v>
      </c>
      <c r="P47" s="64">
        <v>0.46</v>
      </c>
      <c r="Q47" s="64">
        <v>9.92</v>
      </c>
      <c r="R47" s="198"/>
      <c r="S47" s="198"/>
      <c r="T47" s="198"/>
      <c r="U47" s="198"/>
    </row>
    <row r="48" spans="1:21" s="12" customFormat="1" x14ac:dyDescent="0.25">
      <c r="A48" s="214" t="s">
        <v>572</v>
      </c>
      <c r="B48" s="64">
        <v>8.16</v>
      </c>
      <c r="C48" s="64">
        <v>3.26</v>
      </c>
      <c r="D48" s="64">
        <v>12.02</v>
      </c>
      <c r="E48" s="64">
        <v>5.14</v>
      </c>
      <c r="F48" s="64">
        <v>3.69</v>
      </c>
      <c r="G48" s="64">
        <v>38.39</v>
      </c>
      <c r="H48" s="64">
        <v>14.51</v>
      </c>
      <c r="I48" s="64">
        <v>4.8899999999999997</v>
      </c>
      <c r="J48" s="64">
        <v>0.25</v>
      </c>
      <c r="K48" s="64">
        <v>112.36</v>
      </c>
      <c r="L48" s="64">
        <v>30.42</v>
      </c>
      <c r="M48" s="64">
        <v>85.97</v>
      </c>
      <c r="N48" s="64">
        <v>387.8</v>
      </c>
      <c r="O48" s="64">
        <v>0</v>
      </c>
      <c r="P48" s="64">
        <v>0.46</v>
      </c>
      <c r="Q48" s="64">
        <v>9.92</v>
      </c>
      <c r="R48" s="198"/>
      <c r="S48" s="198"/>
      <c r="T48" s="198"/>
      <c r="U48" s="198"/>
    </row>
    <row r="49" spans="1:21" s="12" customFormat="1" x14ac:dyDescent="0.25">
      <c r="A49" s="214" t="s">
        <v>573</v>
      </c>
      <c r="B49" s="64">
        <v>8.09</v>
      </c>
      <c r="C49" s="64">
        <v>3.13</v>
      </c>
      <c r="D49" s="64">
        <v>11.9</v>
      </c>
      <c r="E49" s="64">
        <v>4.99</v>
      </c>
      <c r="F49" s="64">
        <v>3.58</v>
      </c>
      <c r="G49" s="64">
        <v>38.39</v>
      </c>
      <c r="H49" s="64">
        <v>14.51</v>
      </c>
      <c r="I49" s="64">
        <v>5.18</v>
      </c>
      <c r="J49" s="64">
        <v>0.35</v>
      </c>
      <c r="K49" s="64">
        <v>350.86</v>
      </c>
      <c r="L49" s="64">
        <v>32.299999999999997</v>
      </c>
      <c r="M49" s="64">
        <v>79.06</v>
      </c>
      <c r="N49" s="64">
        <v>472.7</v>
      </c>
      <c r="O49" s="64">
        <v>0</v>
      </c>
      <c r="P49" s="64">
        <v>0.47</v>
      </c>
      <c r="Q49" s="64">
        <v>9.91</v>
      </c>
      <c r="R49" s="198"/>
      <c r="S49" s="198"/>
      <c r="T49" s="198"/>
      <c r="U49" s="198"/>
    </row>
    <row r="50" spans="1:21" s="12" customFormat="1" x14ac:dyDescent="0.25">
      <c r="A50" s="214" t="s">
        <v>574</v>
      </c>
      <c r="B50" s="64">
        <v>8.06</v>
      </c>
      <c r="C50" s="64">
        <v>3.07</v>
      </c>
      <c r="D50" s="64">
        <v>11.84</v>
      </c>
      <c r="E50" s="64">
        <v>5.43</v>
      </c>
      <c r="F50" s="64">
        <v>3.43</v>
      </c>
      <c r="G50" s="64">
        <v>38.39</v>
      </c>
      <c r="H50" s="64">
        <v>14.51</v>
      </c>
      <c r="I50" s="64">
        <v>5.57</v>
      </c>
      <c r="J50" s="64">
        <v>1.56</v>
      </c>
      <c r="K50" s="64">
        <v>337.07</v>
      </c>
      <c r="L50" s="64">
        <v>34.979999999999997</v>
      </c>
      <c r="M50" s="64">
        <v>68.78</v>
      </c>
      <c r="N50" s="64">
        <v>567.6</v>
      </c>
      <c r="O50" s="64">
        <v>0</v>
      </c>
      <c r="P50" s="64">
        <v>0.48</v>
      </c>
      <c r="Q50" s="64">
        <v>9.89</v>
      </c>
      <c r="R50" s="198"/>
      <c r="S50" s="198"/>
      <c r="T50" s="198"/>
      <c r="U50" s="198"/>
    </row>
    <row r="51" spans="1:21" s="12" customFormat="1" x14ac:dyDescent="0.25">
      <c r="A51" s="214" t="s">
        <v>575</v>
      </c>
      <c r="B51" s="64">
        <v>8.07</v>
      </c>
      <c r="C51" s="64">
        <v>3.17</v>
      </c>
      <c r="D51" s="64">
        <v>11.9</v>
      </c>
      <c r="E51" s="64">
        <v>4.96</v>
      </c>
      <c r="F51" s="64">
        <v>6.12</v>
      </c>
      <c r="G51" s="64">
        <v>39.72</v>
      </c>
      <c r="H51" s="64">
        <v>14.84</v>
      </c>
      <c r="I51" s="64">
        <v>5.79</v>
      </c>
      <c r="J51" s="64">
        <v>1.42</v>
      </c>
      <c r="K51" s="64">
        <v>338.95</v>
      </c>
      <c r="L51" s="64">
        <v>35.090000000000003</v>
      </c>
      <c r="M51" s="64">
        <v>65.5</v>
      </c>
      <c r="N51" s="64">
        <v>657.8</v>
      </c>
      <c r="O51" s="64">
        <v>0</v>
      </c>
      <c r="P51" s="64">
        <v>0.52</v>
      </c>
      <c r="Q51" s="64">
        <v>9.8699999999999992</v>
      </c>
      <c r="R51" s="198"/>
      <c r="S51" s="198"/>
      <c r="T51" s="198"/>
      <c r="U51" s="198"/>
    </row>
    <row r="52" spans="1:21" s="12" customFormat="1" x14ac:dyDescent="0.25">
      <c r="A52" s="214" t="s">
        <v>576</v>
      </c>
      <c r="B52" s="64">
        <v>8.01</v>
      </c>
      <c r="C52" s="64">
        <v>3.23</v>
      </c>
      <c r="D52" s="64">
        <v>11.89</v>
      </c>
      <c r="E52" s="64">
        <v>4.72</v>
      </c>
      <c r="F52" s="64">
        <v>12.47</v>
      </c>
      <c r="G52" s="64">
        <v>46.77</v>
      </c>
      <c r="H52" s="64">
        <v>15.94</v>
      </c>
      <c r="I52" s="64">
        <v>5.73</v>
      </c>
      <c r="J52" s="64">
        <v>1.26</v>
      </c>
      <c r="K52" s="64">
        <v>340.58</v>
      </c>
      <c r="L52" s="64">
        <v>35.630000000000003</v>
      </c>
      <c r="M52" s="64">
        <v>62.63</v>
      </c>
      <c r="N52" s="64">
        <v>608</v>
      </c>
      <c r="O52" s="64">
        <v>0</v>
      </c>
      <c r="P52" s="64">
        <v>0.73</v>
      </c>
      <c r="Q52" s="64">
        <v>10.15</v>
      </c>
      <c r="R52" s="198"/>
      <c r="S52" s="198"/>
      <c r="T52" s="198"/>
      <c r="U52" s="198"/>
    </row>
    <row r="53" spans="1:21" s="12" customFormat="1" x14ac:dyDescent="0.25">
      <c r="A53" s="214" t="s">
        <v>577</v>
      </c>
      <c r="B53" s="64">
        <v>7.96</v>
      </c>
      <c r="C53" s="64">
        <v>3.19</v>
      </c>
      <c r="D53" s="64">
        <v>11.82</v>
      </c>
      <c r="E53" s="64">
        <v>5.23</v>
      </c>
      <c r="F53" s="64">
        <v>13.92</v>
      </c>
      <c r="G53" s="64">
        <v>46.77</v>
      </c>
      <c r="H53" s="64">
        <v>15.94</v>
      </c>
      <c r="I53" s="64">
        <v>4.8499999999999996</v>
      </c>
      <c r="J53" s="64">
        <v>1.03</v>
      </c>
      <c r="K53" s="64">
        <v>337.29</v>
      </c>
      <c r="L53" s="64">
        <v>36.64</v>
      </c>
      <c r="M53" s="64">
        <v>57.8</v>
      </c>
      <c r="N53" s="64">
        <v>650.4</v>
      </c>
      <c r="O53" s="64">
        <v>0</v>
      </c>
      <c r="P53" s="64">
        <v>0.64</v>
      </c>
      <c r="Q53" s="64">
        <v>9.9700000000000006</v>
      </c>
      <c r="R53" s="198"/>
      <c r="S53" s="198"/>
      <c r="T53" s="198"/>
      <c r="U53" s="198"/>
    </row>
    <row r="54" spans="1:21" s="12" customFormat="1" x14ac:dyDescent="0.25">
      <c r="A54" s="214" t="s">
        <v>578</v>
      </c>
      <c r="B54" s="64">
        <v>7.94</v>
      </c>
      <c r="C54" s="64">
        <v>3.08</v>
      </c>
      <c r="D54" s="64">
        <v>11.76</v>
      </c>
      <c r="E54" s="64">
        <v>8.74</v>
      </c>
      <c r="F54" s="64">
        <v>15.88</v>
      </c>
      <c r="G54" s="64">
        <v>46.77</v>
      </c>
      <c r="H54" s="64">
        <v>15.94</v>
      </c>
      <c r="I54" s="64">
        <v>2.37</v>
      </c>
      <c r="J54" s="64">
        <v>0.64</v>
      </c>
      <c r="K54" s="64">
        <v>332.96</v>
      </c>
      <c r="L54" s="64">
        <v>36.97</v>
      </c>
      <c r="M54" s="64">
        <v>57.54</v>
      </c>
      <c r="N54" s="64">
        <v>694.3</v>
      </c>
      <c r="O54" s="64">
        <v>0</v>
      </c>
      <c r="P54" s="64">
        <v>0.67</v>
      </c>
      <c r="Q54" s="64">
        <v>9.8000000000000007</v>
      </c>
      <c r="R54" s="198"/>
      <c r="S54" s="198"/>
      <c r="T54" s="198"/>
      <c r="U54" s="198"/>
    </row>
    <row r="55" spans="1:21" s="12" customFormat="1" x14ac:dyDescent="0.25">
      <c r="A55" s="214" t="s">
        <v>579</v>
      </c>
      <c r="B55" s="64">
        <v>7.9</v>
      </c>
      <c r="C55" s="64">
        <v>3.14</v>
      </c>
      <c r="D55" s="64">
        <v>11.75</v>
      </c>
      <c r="E55" s="211" t="s">
        <v>40</v>
      </c>
      <c r="F55" s="64">
        <v>28.42</v>
      </c>
      <c r="G55" s="64">
        <v>46.77</v>
      </c>
      <c r="H55" s="64">
        <v>15.94</v>
      </c>
      <c r="I55" s="64">
        <v>1.8</v>
      </c>
      <c r="J55" s="64">
        <v>0.41</v>
      </c>
      <c r="K55" s="64">
        <v>320.99</v>
      </c>
      <c r="L55" s="64">
        <v>36.1</v>
      </c>
      <c r="M55" s="64">
        <v>60.93</v>
      </c>
      <c r="N55" s="64">
        <v>702.7</v>
      </c>
      <c r="O55" s="64">
        <v>0</v>
      </c>
      <c r="P55" s="64">
        <v>0.52</v>
      </c>
      <c r="Q55" s="64">
        <v>9.7100000000000009</v>
      </c>
      <c r="R55" s="198"/>
      <c r="S55" s="198"/>
      <c r="T55" s="198"/>
      <c r="U55" s="198"/>
    </row>
    <row r="56" spans="1:21" s="12" customFormat="1" x14ac:dyDescent="0.25">
      <c r="A56" s="214" t="s">
        <v>580</v>
      </c>
      <c r="B56" s="64">
        <v>8.27</v>
      </c>
      <c r="C56" s="64">
        <v>3.42</v>
      </c>
      <c r="D56" s="64">
        <v>12.19</v>
      </c>
      <c r="E56" s="211" t="s">
        <v>40</v>
      </c>
      <c r="F56" s="64">
        <v>17.22</v>
      </c>
      <c r="G56" s="64">
        <v>46.77</v>
      </c>
      <c r="H56" s="64">
        <v>15.94</v>
      </c>
      <c r="I56" s="64">
        <v>2.17</v>
      </c>
      <c r="J56" s="64">
        <v>0.52</v>
      </c>
      <c r="K56" s="64">
        <v>338.56</v>
      </c>
      <c r="L56" s="64">
        <v>36.03</v>
      </c>
      <c r="M56" s="64">
        <v>60.42</v>
      </c>
      <c r="N56" s="64">
        <v>636.70000000000005</v>
      </c>
      <c r="O56" s="64">
        <v>0</v>
      </c>
      <c r="P56" s="64">
        <v>0.56000000000000005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4" t="s">
        <v>581</v>
      </c>
      <c r="B57" s="64">
        <v>9.94</v>
      </c>
      <c r="C57" s="64">
        <v>4.3899999999999997</v>
      </c>
      <c r="D57" s="64">
        <v>14.04</v>
      </c>
      <c r="E57" s="211" t="s">
        <v>40</v>
      </c>
      <c r="F57" s="64">
        <v>10.55</v>
      </c>
      <c r="G57" s="64">
        <v>46.77</v>
      </c>
      <c r="H57" s="64">
        <v>15.94</v>
      </c>
      <c r="I57" s="64">
        <v>2.2400000000000002</v>
      </c>
      <c r="J57" s="64">
        <v>0.44</v>
      </c>
      <c r="K57" s="64">
        <v>342.58</v>
      </c>
      <c r="L57" s="64">
        <v>34.880000000000003</v>
      </c>
      <c r="M57" s="64">
        <v>64.31</v>
      </c>
      <c r="N57" s="64">
        <v>266.39999999999998</v>
      </c>
      <c r="O57" s="64">
        <v>0</v>
      </c>
      <c r="P57" s="64">
        <v>0.56000000000000005</v>
      </c>
      <c r="Q57" s="64">
        <v>9.59</v>
      </c>
      <c r="R57" s="198"/>
      <c r="S57" s="198"/>
      <c r="T57" s="198"/>
      <c r="U57" s="198"/>
    </row>
    <row r="58" spans="1:21" s="12" customFormat="1" x14ac:dyDescent="0.25">
      <c r="A58" s="214" t="s">
        <v>582</v>
      </c>
      <c r="B58" s="64">
        <v>9.07</v>
      </c>
      <c r="C58" s="64">
        <v>3.87</v>
      </c>
      <c r="D58" s="64">
        <v>13.07</v>
      </c>
      <c r="E58" s="64">
        <v>5.0999999999999996</v>
      </c>
      <c r="F58" s="64">
        <v>14.2</v>
      </c>
      <c r="G58" s="64">
        <v>46.77</v>
      </c>
      <c r="H58" s="64">
        <v>15.94</v>
      </c>
      <c r="I58" s="64">
        <v>3.77</v>
      </c>
      <c r="J58" s="64">
        <v>0.88</v>
      </c>
      <c r="K58" s="64">
        <v>327.62</v>
      </c>
      <c r="L58" s="64">
        <v>33.75</v>
      </c>
      <c r="M58" s="64">
        <v>72.5</v>
      </c>
      <c r="N58" s="64">
        <v>360.5</v>
      </c>
      <c r="O58" s="64">
        <v>0</v>
      </c>
      <c r="P58" s="64">
        <v>1.47</v>
      </c>
      <c r="Q58" s="64">
        <v>9.84</v>
      </c>
      <c r="R58" s="198"/>
      <c r="S58" s="198"/>
      <c r="T58" s="198"/>
      <c r="U58" s="198"/>
    </row>
    <row r="59" spans="1:21" s="12" customFormat="1" x14ac:dyDescent="0.25">
      <c r="A59" s="214" t="s">
        <v>583</v>
      </c>
      <c r="B59" s="64">
        <v>8.19</v>
      </c>
      <c r="C59" s="64">
        <v>3.33</v>
      </c>
      <c r="D59" s="64">
        <v>12.08</v>
      </c>
      <c r="E59" s="64">
        <v>5.82</v>
      </c>
      <c r="F59" s="64">
        <v>14.64</v>
      </c>
      <c r="G59" s="64">
        <v>46.77</v>
      </c>
      <c r="H59" s="64">
        <v>15.94</v>
      </c>
      <c r="I59" s="64">
        <v>5.55</v>
      </c>
      <c r="J59" s="64">
        <v>1.23</v>
      </c>
      <c r="K59" s="64">
        <v>335.53</v>
      </c>
      <c r="L59" s="64">
        <v>34.54</v>
      </c>
      <c r="M59" s="64">
        <v>68.89</v>
      </c>
      <c r="N59" s="64">
        <v>382.1</v>
      </c>
      <c r="O59" s="64">
        <v>0</v>
      </c>
      <c r="P59" s="64">
        <v>0.55000000000000004</v>
      </c>
      <c r="Q59" s="64">
        <v>9.98</v>
      </c>
      <c r="R59" s="198"/>
      <c r="S59" s="198"/>
      <c r="T59" s="198"/>
      <c r="U59" s="198"/>
    </row>
    <row r="60" spans="1:21" s="12" customFormat="1" x14ac:dyDescent="0.25">
      <c r="A60" s="214" t="s">
        <v>584</v>
      </c>
      <c r="B60" s="64">
        <v>7.98</v>
      </c>
      <c r="C60" s="64">
        <v>3.17</v>
      </c>
      <c r="D60" s="64">
        <v>11.83</v>
      </c>
      <c r="E60" s="64">
        <v>5.25</v>
      </c>
      <c r="F60" s="64">
        <v>8.4700000000000006</v>
      </c>
      <c r="G60" s="64">
        <v>30.66</v>
      </c>
      <c r="H60" s="64">
        <v>10.63</v>
      </c>
      <c r="I60" s="64">
        <v>3.83</v>
      </c>
      <c r="J60" s="64">
        <v>1.71</v>
      </c>
      <c r="K60" s="64">
        <v>338.2</v>
      </c>
      <c r="L60" s="64">
        <v>33.159999999999997</v>
      </c>
      <c r="M60" s="64">
        <v>74.52</v>
      </c>
      <c r="N60" s="64">
        <v>240.9</v>
      </c>
      <c r="O60" s="64">
        <v>0</v>
      </c>
      <c r="P60" s="64">
        <v>0.67</v>
      </c>
      <c r="Q60" s="64">
        <v>9.86</v>
      </c>
      <c r="R60" s="198"/>
      <c r="S60" s="198"/>
      <c r="T60" s="198"/>
      <c r="U60" s="198"/>
    </row>
    <row r="61" spans="1:21" s="12" customFormat="1" x14ac:dyDescent="0.25">
      <c r="A61" s="214" t="s">
        <v>585</v>
      </c>
      <c r="B61" s="64">
        <v>7.93</v>
      </c>
      <c r="C61" s="64">
        <v>3.12</v>
      </c>
      <c r="D61" s="64">
        <v>11.76</v>
      </c>
      <c r="E61" s="64">
        <v>4.58</v>
      </c>
      <c r="F61" s="64">
        <v>5.61</v>
      </c>
      <c r="G61" s="211" t="s">
        <v>40</v>
      </c>
      <c r="H61" s="211" t="s">
        <v>40</v>
      </c>
      <c r="I61" s="64">
        <v>2.84</v>
      </c>
      <c r="J61" s="64">
        <v>1.39</v>
      </c>
      <c r="K61" s="64">
        <v>336.86</v>
      </c>
      <c r="L61" s="64">
        <v>31.09</v>
      </c>
      <c r="M61" s="64">
        <v>81.93</v>
      </c>
      <c r="N61" s="64">
        <v>200.5</v>
      </c>
      <c r="O61" s="64">
        <v>0</v>
      </c>
      <c r="P61" s="64">
        <v>0.62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4" t="s">
        <v>586</v>
      </c>
      <c r="B62" s="64">
        <v>7.94</v>
      </c>
      <c r="C62" s="64">
        <v>3.12</v>
      </c>
      <c r="D62" s="64">
        <v>11.77</v>
      </c>
      <c r="E62" s="64">
        <v>5.01</v>
      </c>
      <c r="F62" s="64">
        <v>13.03</v>
      </c>
      <c r="G62" s="211" t="s">
        <v>40</v>
      </c>
      <c r="H62" s="211" t="s">
        <v>40</v>
      </c>
      <c r="I62" s="64">
        <v>2.99</v>
      </c>
      <c r="J62" s="64">
        <v>0.9</v>
      </c>
      <c r="K62" s="64">
        <v>334.99</v>
      </c>
      <c r="L62" s="64">
        <v>31.52</v>
      </c>
      <c r="M62" s="64">
        <v>81.150000000000006</v>
      </c>
      <c r="N62" s="64">
        <v>494.9</v>
      </c>
      <c r="O62" s="64">
        <v>0</v>
      </c>
      <c r="P62" s="64">
        <v>0.6</v>
      </c>
      <c r="Q62" s="64">
        <v>9.5299999999999994</v>
      </c>
      <c r="R62" s="198"/>
      <c r="S62" s="198"/>
      <c r="T62" s="198"/>
      <c r="U62" s="198"/>
    </row>
    <row r="63" spans="1:21" s="12" customFormat="1" x14ac:dyDescent="0.25">
      <c r="A63" s="214" t="s">
        <v>587</v>
      </c>
      <c r="B63" s="64">
        <v>7.92</v>
      </c>
      <c r="C63" s="64">
        <v>3.06</v>
      </c>
      <c r="D63" s="64">
        <v>11.73</v>
      </c>
      <c r="E63" s="64">
        <v>8.57</v>
      </c>
      <c r="F63" s="64">
        <v>8.86</v>
      </c>
      <c r="G63" s="211" t="s">
        <v>40</v>
      </c>
      <c r="H63" s="211" t="s">
        <v>40</v>
      </c>
      <c r="I63" s="64">
        <v>2.85</v>
      </c>
      <c r="J63" s="64">
        <v>0.96</v>
      </c>
      <c r="K63" s="64">
        <v>333.52</v>
      </c>
      <c r="L63" s="64">
        <v>33.18</v>
      </c>
      <c r="M63" s="64">
        <v>74.959999999999994</v>
      </c>
      <c r="N63" s="64">
        <v>685.6</v>
      </c>
      <c r="O63" s="64">
        <v>0</v>
      </c>
      <c r="P63" s="64">
        <v>0.63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4" t="s">
        <v>588</v>
      </c>
      <c r="B64" s="64">
        <v>7.91</v>
      </c>
      <c r="C64" s="64">
        <v>3.02</v>
      </c>
      <c r="D64" s="64">
        <v>11.7</v>
      </c>
      <c r="E64" s="64">
        <v>5.57</v>
      </c>
      <c r="F64" s="64">
        <v>7.19</v>
      </c>
      <c r="G64" s="64">
        <v>25.17</v>
      </c>
      <c r="H64" s="64">
        <v>47.14</v>
      </c>
      <c r="I64" s="64">
        <v>1.94</v>
      </c>
      <c r="J64" s="64">
        <v>0.86</v>
      </c>
      <c r="K64" s="64">
        <v>326.10000000000002</v>
      </c>
      <c r="L64" s="64">
        <v>34.03</v>
      </c>
      <c r="M64" s="64">
        <v>73.150000000000006</v>
      </c>
      <c r="N64" s="64">
        <v>394.1</v>
      </c>
      <c r="O64" s="64">
        <v>0</v>
      </c>
      <c r="P64" s="64">
        <v>0.71</v>
      </c>
      <c r="Q64" s="64">
        <v>9.64</v>
      </c>
      <c r="R64" s="198"/>
      <c r="S64" s="198"/>
      <c r="T64" s="198"/>
      <c r="U64" s="198"/>
    </row>
    <row r="65" spans="1:21" s="12" customFormat="1" x14ac:dyDescent="0.25">
      <c r="A65" s="214" t="s">
        <v>589</v>
      </c>
      <c r="B65" s="64">
        <v>7.9</v>
      </c>
      <c r="C65" s="64">
        <v>3.01</v>
      </c>
      <c r="D65" s="64">
        <v>11.69</v>
      </c>
      <c r="E65" s="64">
        <v>5.99</v>
      </c>
      <c r="F65" s="64">
        <v>18.309999999999999</v>
      </c>
      <c r="G65" s="64">
        <v>70.8</v>
      </c>
      <c r="H65" s="64">
        <v>132.58000000000001</v>
      </c>
      <c r="I65" s="64">
        <v>1.89</v>
      </c>
      <c r="J65" s="64">
        <v>0.62</v>
      </c>
      <c r="K65" s="64">
        <v>323.19</v>
      </c>
      <c r="L65" s="64">
        <v>34.54</v>
      </c>
      <c r="M65" s="64">
        <v>71.64</v>
      </c>
      <c r="N65" s="64">
        <v>331.7</v>
      </c>
      <c r="O65" s="64">
        <v>0</v>
      </c>
      <c r="P65" s="64">
        <v>0.75</v>
      </c>
      <c r="Q65" s="64">
        <v>9.8699999999999992</v>
      </c>
      <c r="R65" s="198"/>
      <c r="S65" s="198"/>
      <c r="T65" s="198"/>
      <c r="U65" s="198"/>
    </row>
    <row r="66" spans="1:21" s="12" customFormat="1" x14ac:dyDescent="0.25">
      <c r="A66" s="214" t="s">
        <v>590</v>
      </c>
      <c r="B66" s="64">
        <v>7.9</v>
      </c>
      <c r="C66" s="64">
        <v>3.08</v>
      </c>
      <c r="D66" s="64">
        <v>11.72</v>
      </c>
      <c r="E66" s="64">
        <v>6.08</v>
      </c>
      <c r="F66" s="64">
        <v>15.09</v>
      </c>
      <c r="G66" s="64">
        <v>70.8</v>
      </c>
      <c r="H66" s="64">
        <v>132.58000000000001</v>
      </c>
      <c r="I66" s="64">
        <v>2.06</v>
      </c>
      <c r="J66" s="64">
        <v>0.51</v>
      </c>
      <c r="K66" s="64">
        <v>320.57</v>
      </c>
      <c r="L66" s="64">
        <v>34.770000000000003</v>
      </c>
      <c r="M66" s="64">
        <v>71.510000000000005</v>
      </c>
      <c r="N66" s="64">
        <v>301.10000000000002</v>
      </c>
      <c r="O66" s="64">
        <v>0</v>
      </c>
      <c r="P66" s="64">
        <v>0.76</v>
      </c>
      <c r="Q66" s="64">
        <v>9.77</v>
      </c>
      <c r="R66" s="198"/>
      <c r="S66" s="198"/>
      <c r="T66" s="198"/>
      <c r="U66" s="198"/>
    </row>
    <row r="67" spans="1:21" s="12" customFormat="1" x14ac:dyDescent="0.25">
      <c r="A67" s="214" t="s">
        <v>591</v>
      </c>
      <c r="B67" s="64">
        <v>7.91</v>
      </c>
      <c r="C67" s="64">
        <v>3.14</v>
      </c>
      <c r="D67" s="64">
        <v>11.76</v>
      </c>
      <c r="E67" s="64">
        <v>5.38</v>
      </c>
      <c r="F67" s="64">
        <v>5.44</v>
      </c>
      <c r="G67" s="64">
        <v>70.8</v>
      </c>
      <c r="H67" s="64">
        <v>132.58000000000001</v>
      </c>
      <c r="I67" s="64">
        <v>2.14</v>
      </c>
      <c r="J67" s="64">
        <v>0.33</v>
      </c>
      <c r="K67" s="64">
        <v>331.6</v>
      </c>
      <c r="L67" s="64">
        <v>33.729999999999997</v>
      </c>
      <c r="M67" s="64">
        <v>74.72</v>
      </c>
      <c r="N67" s="64">
        <v>137.1</v>
      </c>
      <c r="O67" s="64">
        <v>0</v>
      </c>
      <c r="P67" s="64">
        <v>0.74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4" t="s">
        <v>592</v>
      </c>
      <c r="B68" s="64">
        <v>7.93</v>
      </c>
      <c r="C68" s="64">
        <v>3.1</v>
      </c>
      <c r="D68" s="64">
        <v>11.75</v>
      </c>
      <c r="E68" s="64">
        <v>5.35</v>
      </c>
      <c r="F68" s="64">
        <v>14.33</v>
      </c>
      <c r="G68" s="64">
        <v>73.069999999999993</v>
      </c>
      <c r="H68" s="64">
        <v>85.49</v>
      </c>
      <c r="I68" s="64">
        <v>2.36</v>
      </c>
      <c r="J68" s="64">
        <v>0.14000000000000001</v>
      </c>
      <c r="K68" s="64">
        <v>118.43</v>
      </c>
      <c r="L68" s="64">
        <v>31.18</v>
      </c>
      <c r="M68" s="64">
        <v>85.46</v>
      </c>
      <c r="N68" s="64">
        <v>100.2</v>
      </c>
      <c r="O68" s="64">
        <v>2.8</v>
      </c>
      <c r="P68" s="64">
        <v>0.67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4" t="s">
        <v>593</v>
      </c>
      <c r="B69" s="64">
        <v>7.92</v>
      </c>
      <c r="C69" s="64">
        <v>3.11</v>
      </c>
      <c r="D69" s="64">
        <v>11.75</v>
      </c>
      <c r="E69" s="64">
        <v>5.4</v>
      </c>
      <c r="F69" s="64">
        <v>13.02</v>
      </c>
      <c r="G69" s="64">
        <v>77.19</v>
      </c>
      <c r="H69" s="64">
        <v>0.13</v>
      </c>
      <c r="I69" s="64">
        <v>2.58</v>
      </c>
      <c r="J69" s="64">
        <v>0.74</v>
      </c>
      <c r="K69" s="64">
        <v>326.69</v>
      </c>
      <c r="L69" s="64">
        <v>27.07</v>
      </c>
      <c r="M69" s="64">
        <v>101.48</v>
      </c>
      <c r="N69" s="64">
        <v>94.9</v>
      </c>
      <c r="O69" s="64">
        <v>18.8</v>
      </c>
      <c r="P69" s="64">
        <v>0.51</v>
      </c>
      <c r="Q69" s="64">
        <v>9.7899999999999991</v>
      </c>
      <c r="R69" s="198"/>
      <c r="S69" s="198"/>
      <c r="T69" s="198"/>
      <c r="U69" s="198"/>
    </row>
    <row r="70" spans="1:21" s="12" customFormat="1" x14ac:dyDescent="0.25">
      <c r="A70" s="214" t="s">
        <v>594</v>
      </c>
      <c r="B70" s="64">
        <v>7.93</v>
      </c>
      <c r="C70" s="64">
        <v>3.05</v>
      </c>
      <c r="D70" s="64">
        <v>11.72</v>
      </c>
      <c r="E70" s="64">
        <v>4.8600000000000003</v>
      </c>
      <c r="F70" s="64">
        <v>7.61</v>
      </c>
      <c r="G70" s="64">
        <v>77.19</v>
      </c>
      <c r="H70" s="64">
        <v>0.13</v>
      </c>
      <c r="I70" s="64">
        <v>2.41</v>
      </c>
      <c r="J70" s="64">
        <v>0.22</v>
      </c>
      <c r="K70" s="64">
        <v>5.56</v>
      </c>
      <c r="L70" s="64">
        <v>25.47</v>
      </c>
      <c r="M70" s="64">
        <v>101.52</v>
      </c>
      <c r="N70" s="64">
        <v>95.8</v>
      </c>
      <c r="O70" s="64">
        <v>11.6</v>
      </c>
      <c r="P70" s="64">
        <v>0.49</v>
      </c>
      <c r="Q70" s="64">
        <v>9.75</v>
      </c>
      <c r="R70" s="198"/>
      <c r="S70" s="198"/>
      <c r="T70" s="198"/>
      <c r="U70" s="198"/>
    </row>
    <row r="71" spans="1:21" s="12" customFormat="1" x14ac:dyDescent="0.25">
      <c r="A71" s="214" t="s">
        <v>595</v>
      </c>
      <c r="B71" s="64">
        <v>7.91</v>
      </c>
      <c r="C71" s="64">
        <v>3</v>
      </c>
      <c r="D71" s="64">
        <v>11.68</v>
      </c>
      <c r="E71" s="64">
        <v>4.41</v>
      </c>
      <c r="F71" s="64">
        <v>4.04</v>
      </c>
      <c r="G71" s="64">
        <v>77.19</v>
      </c>
      <c r="H71" s="64">
        <v>0.13</v>
      </c>
      <c r="I71" s="64">
        <v>1.94</v>
      </c>
      <c r="J71" s="64">
        <v>0.56000000000000005</v>
      </c>
      <c r="K71" s="64">
        <v>339.75</v>
      </c>
      <c r="L71" s="64">
        <v>25.53</v>
      </c>
      <c r="M71" s="64">
        <v>101.52</v>
      </c>
      <c r="N71" s="64">
        <v>105.9</v>
      </c>
      <c r="O71" s="64">
        <v>0.4</v>
      </c>
      <c r="P71" s="64">
        <v>0.45</v>
      </c>
      <c r="Q71" s="64">
        <v>9.73</v>
      </c>
      <c r="R71" s="198"/>
      <c r="S71" s="198"/>
      <c r="T71" s="198"/>
      <c r="U71" s="198"/>
    </row>
    <row r="72" spans="1:21" s="12" customFormat="1" x14ac:dyDescent="0.25">
      <c r="A72" s="214" t="s">
        <v>596</v>
      </c>
      <c r="B72" s="64">
        <v>7.93</v>
      </c>
      <c r="C72" s="64">
        <v>2.98</v>
      </c>
      <c r="D72" s="64">
        <v>11.69</v>
      </c>
      <c r="E72" s="64">
        <v>3.6</v>
      </c>
      <c r="F72" s="64">
        <v>4.05</v>
      </c>
      <c r="G72" s="64">
        <v>69.14</v>
      </c>
      <c r="H72" s="64">
        <v>0.87</v>
      </c>
      <c r="I72" s="64">
        <v>1.89</v>
      </c>
      <c r="J72" s="64">
        <v>0.35</v>
      </c>
      <c r="K72" s="64">
        <v>326.16000000000003</v>
      </c>
      <c r="L72" s="64">
        <v>25.9</v>
      </c>
      <c r="M72" s="64">
        <v>101.53</v>
      </c>
      <c r="N72" s="64">
        <v>108.8</v>
      </c>
      <c r="O72" s="64">
        <v>0.2</v>
      </c>
      <c r="P72" s="64">
        <v>0.44</v>
      </c>
      <c r="Q72" s="64">
        <v>9.68</v>
      </c>
      <c r="R72" s="198"/>
      <c r="S72" s="198"/>
      <c r="T72" s="198"/>
      <c r="U72" s="198"/>
    </row>
    <row r="73" spans="1:21" s="12" customFormat="1" x14ac:dyDescent="0.25">
      <c r="A73" s="214" t="s">
        <v>597</v>
      </c>
      <c r="B73" s="64">
        <v>7.94</v>
      </c>
      <c r="C73" s="64">
        <v>2.96</v>
      </c>
      <c r="D73" s="64">
        <v>11.69</v>
      </c>
      <c r="E73" s="64">
        <v>4.03</v>
      </c>
      <c r="F73" s="64">
        <v>4.37</v>
      </c>
      <c r="G73" s="64">
        <v>54.54</v>
      </c>
      <c r="H73" s="64">
        <v>1.68</v>
      </c>
      <c r="I73" s="64">
        <v>1.67</v>
      </c>
      <c r="J73" s="64">
        <v>0.2</v>
      </c>
      <c r="K73" s="64">
        <v>332.18</v>
      </c>
      <c r="L73" s="64">
        <v>25.91</v>
      </c>
      <c r="M73" s="64">
        <v>101.51</v>
      </c>
      <c r="N73" s="64">
        <v>115.3</v>
      </c>
      <c r="O73" s="64">
        <v>0</v>
      </c>
      <c r="P73" s="64">
        <v>0.47</v>
      </c>
      <c r="Q73" s="64">
        <v>9.7799999999999994</v>
      </c>
      <c r="R73" s="198"/>
      <c r="S73" s="198"/>
      <c r="T73" s="198"/>
      <c r="U73" s="198"/>
    </row>
    <row r="74" spans="1:21" s="12" customFormat="1" x14ac:dyDescent="0.25">
      <c r="A74" s="214" t="s">
        <v>598</v>
      </c>
      <c r="B74" s="64">
        <v>7.94</v>
      </c>
      <c r="C74" s="64">
        <v>2.96</v>
      </c>
      <c r="D74" s="64">
        <v>11.69</v>
      </c>
      <c r="E74" s="64">
        <v>4.55</v>
      </c>
      <c r="F74" s="64">
        <v>2.25</v>
      </c>
      <c r="G74" s="64">
        <v>54.54</v>
      </c>
      <c r="H74" s="64">
        <v>1.68</v>
      </c>
      <c r="I74" s="64">
        <v>1.66</v>
      </c>
      <c r="J74" s="64">
        <v>0.25</v>
      </c>
      <c r="K74" s="64">
        <v>330.48</v>
      </c>
      <c r="L74" s="64">
        <v>26.14</v>
      </c>
      <c r="M74" s="64">
        <v>101.5</v>
      </c>
      <c r="N74" s="64">
        <v>115.2</v>
      </c>
      <c r="O74" s="64">
        <v>0</v>
      </c>
      <c r="P74" s="64">
        <v>0.48</v>
      </c>
      <c r="Q74" s="64">
        <v>9.7100000000000009</v>
      </c>
      <c r="R74" s="198"/>
      <c r="S74" s="198"/>
      <c r="T74" s="198"/>
      <c r="U74" s="198"/>
    </row>
    <row r="75" spans="1:21" s="12" customFormat="1" x14ac:dyDescent="0.25">
      <c r="A75" s="214" t="s">
        <v>599</v>
      </c>
      <c r="B75" s="64">
        <v>7.96</v>
      </c>
      <c r="C75" s="64">
        <v>3</v>
      </c>
      <c r="D75" s="64">
        <v>11.72</v>
      </c>
      <c r="E75" s="64">
        <v>4.03</v>
      </c>
      <c r="F75" s="64">
        <v>3.76</v>
      </c>
      <c r="G75" s="64">
        <v>54.54</v>
      </c>
      <c r="H75" s="64">
        <v>1.68</v>
      </c>
      <c r="I75" s="64">
        <v>1.76</v>
      </c>
      <c r="J75" s="64">
        <v>0.28999999999999998</v>
      </c>
      <c r="K75" s="64">
        <v>342.3</v>
      </c>
      <c r="L75" s="64">
        <v>26.66</v>
      </c>
      <c r="M75" s="64">
        <v>101.5</v>
      </c>
      <c r="N75" s="64">
        <v>120.4</v>
      </c>
      <c r="O75" s="64">
        <v>0</v>
      </c>
      <c r="P75" s="64">
        <v>0.55000000000000004</v>
      </c>
      <c r="Q75" s="64">
        <v>9.73</v>
      </c>
      <c r="R75" s="198"/>
      <c r="S75" s="198"/>
      <c r="T75" s="198"/>
      <c r="U75" s="198"/>
    </row>
    <row r="76" spans="1:21" s="12" customFormat="1" x14ac:dyDescent="0.25">
      <c r="A76" s="214" t="s">
        <v>600</v>
      </c>
      <c r="B76" s="64">
        <v>8.02</v>
      </c>
      <c r="C76" s="64">
        <v>3.12</v>
      </c>
      <c r="D76" s="64">
        <v>11.84</v>
      </c>
      <c r="E76" s="64">
        <v>4.34</v>
      </c>
      <c r="F76" s="64">
        <v>3.21</v>
      </c>
      <c r="G76" s="64">
        <v>52.53</v>
      </c>
      <c r="H76" s="64">
        <v>12.8</v>
      </c>
      <c r="I76" s="64">
        <v>1.79</v>
      </c>
      <c r="J76" s="64">
        <v>0.23</v>
      </c>
      <c r="K76" s="64">
        <v>333.57</v>
      </c>
      <c r="L76" s="64">
        <v>26.95</v>
      </c>
      <c r="M76" s="64">
        <v>101.52</v>
      </c>
      <c r="N76" s="64">
        <v>115.2</v>
      </c>
      <c r="O76" s="64">
        <v>0</v>
      </c>
      <c r="P76" s="64">
        <v>1.05</v>
      </c>
      <c r="Q76" s="64">
        <v>9.9</v>
      </c>
      <c r="R76" s="198"/>
      <c r="S76" s="198"/>
      <c r="T76" s="198"/>
      <c r="U76" s="198"/>
    </row>
    <row r="77" spans="1:21" s="12" customFormat="1" x14ac:dyDescent="0.25">
      <c r="A77" s="214" t="s">
        <v>601</v>
      </c>
      <c r="B77" s="64">
        <v>8.1</v>
      </c>
      <c r="C77" s="64">
        <v>3.33</v>
      </c>
      <c r="D77" s="64">
        <v>12.01</v>
      </c>
      <c r="E77" s="64">
        <v>4.5</v>
      </c>
      <c r="F77" s="64">
        <v>3.14</v>
      </c>
      <c r="G77" s="64">
        <v>48.88</v>
      </c>
      <c r="H77" s="64">
        <v>48.19</v>
      </c>
      <c r="I77" s="64">
        <v>2.0499999999999998</v>
      </c>
      <c r="J77" s="64">
        <v>0.13</v>
      </c>
      <c r="K77" s="64">
        <v>284.27999999999997</v>
      </c>
      <c r="L77" s="64">
        <v>26.6</v>
      </c>
      <c r="M77" s="64">
        <v>101.54</v>
      </c>
      <c r="N77" s="64">
        <v>106</v>
      </c>
      <c r="O77" s="64">
        <v>0</v>
      </c>
      <c r="P77" s="64">
        <v>1.08</v>
      </c>
      <c r="Q77" s="64">
        <v>10.11</v>
      </c>
      <c r="R77" s="198"/>
      <c r="S77" s="198"/>
      <c r="T77" s="198"/>
      <c r="U77" s="198"/>
    </row>
    <row r="78" spans="1:21" s="12" customFormat="1" x14ac:dyDescent="0.25">
      <c r="A78" s="214" t="s">
        <v>602</v>
      </c>
      <c r="B78" s="64">
        <v>8.11</v>
      </c>
      <c r="C78" s="64">
        <v>3.31</v>
      </c>
      <c r="D78" s="64">
        <v>12</v>
      </c>
      <c r="E78" s="64">
        <v>3.98</v>
      </c>
      <c r="F78" s="64">
        <v>3.23</v>
      </c>
      <c r="G78" s="64">
        <v>48.88</v>
      </c>
      <c r="H78" s="64">
        <v>48.19</v>
      </c>
      <c r="I78" s="64">
        <v>3.05</v>
      </c>
      <c r="J78" s="64">
        <v>0.05</v>
      </c>
      <c r="K78" s="64">
        <v>244.69</v>
      </c>
      <c r="L78" s="64">
        <v>26.87</v>
      </c>
      <c r="M78" s="64">
        <v>101.55</v>
      </c>
      <c r="N78" s="64">
        <v>97.1</v>
      </c>
      <c r="O78" s="64">
        <v>0</v>
      </c>
      <c r="P78" s="64">
        <v>1.08</v>
      </c>
      <c r="Q78" s="64">
        <v>10.15</v>
      </c>
      <c r="R78" s="198"/>
      <c r="S78" s="198"/>
      <c r="T78" s="198"/>
      <c r="U78" s="198"/>
    </row>
    <row r="79" spans="1:21" s="12" customFormat="1" x14ac:dyDescent="0.25">
      <c r="A79" s="214" t="s">
        <v>603</v>
      </c>
      <c r="B79" s="64">
        <v>8.1</v>
      </c>
      <c r="C79" s="64">
        <v>3.26</v>
      </c>
      <c r="D79" s="64">
        <v>11.98</v>
      </c>
      <c r="E79" s="64">
        <v>4.18</v>
      </c>
      <c r="F79" s="64">
        <v>3.38</v>
      </c>
      <c r="G79" s="64">
        <v>48.88</v>
      </c>
      <c r="H79" s="64">
        <v>48.19</v>
      </c>
      <c r="I79" s="64">
        <v>3.31</v>
      </c>
      <c r="J79" s="64">
        <v>0.12</v>
      </c>
      <c r="K79" s="64">
        <v>82.19</v>
      </c>
      <c r="L79" s="64">
        <v>27.21</v>
      </c>
      <c r="M79" s="64">
        <v>101.54</v>
      </c>
      <c r="N79" s="64">
        <v>95.6</v>
      </c>
      <c r="O79" s="64">
        <v>0</v>
      </c>
      <c r="P79" s="64">
        <v>1.08</v>
      </c>
      <c r="Q79" s="64">
        <v>10.24</v>
      </c>
      <c r="R79" s="198"/>
      <c r="S79" s="198"/>
      <c r="T79" s="198"/>
      <c r="U79" s="198"/>
    </row>
    <row r="80" spans="1:21" s="12" customFormat="1" x14ac:dyDescent="0.25">
      <c r="A80" s="214" t="s">
        <v>604</v>
      </c>
      <c r="B80" s="64">
        <v>8.11</v>
      </c>
      <c r="C80" s="64">
        <v>3.2</v>
      </c>
      <c r="D80" s="64">
        <v>11.95</v>
      </c>
      <c r="E80" s="64">
        <v>4.2</v>
      </c>
      <c r="F80" s="64">
        <v>3.13</v>
      </c>
      <c r="G80" s="64">
        <v>44.64</v>
      </c>
      <c r="H80" s="64">
        <v>32.79</v>
      </c>
      <c r="I80" s="64">
        <v>3.64</v>
      </c>
      <c r="J80" s="64">
        <v>0.62</v>
      </c>
      <c r="K80" s="64">
        <v>109.44</v>
      </c>
      <c r="L80" s="64">
        <v>26.78</v>
      </c>
      <c r="M80" s="64">
        <v>101.53</v>
      </c>
      <c r="N80" s="64">
        <v>78.599999999999994</v>
      </c>
      <c r="O80" s="64">
        <v>0</v>
      </c>
      <c r="P80" s="64">
        <v>1.08</v>
      </c>
      <c r="Q80" s="64">
        <v>10.3</v>
      </c>
      <c r="R80" s="198"/>
      <c r="S80" s="198"/>
      <c r="T80" s="198"/>
      <c r="U80" s="198"/>
    </row>
    <row r="81" spans="1:26" s="12" customFormat="1" x14ac:dyDescent="0.25">
      <c r="A81" s="214" t="s">
        <v>605</v>
      </c>
      <c r="B81" s="64">
        <v>8.07</v>
      </c>
      <c r="C81" s="64">
        <v>3.1</v>
      </c>
      <c r="D81" s="64">
        <v>11.87</v>
      </c>
      <c r="E81" s="64">
        <v>4.43</v>
      </c>
      <c r="F81" s="64">
        <v>3.45</v>
      </c>
      <c r="G81" s="64">
        <v>36.950000000000003</v>
      </c>
      <c r="H81" s="64">
        <v>15.41</v>
      </c>
      <c r="I81" s="64">
        <v>4.01</v>
      </c>
      <c r="J81" s="64">
        <v>0.53</v>
      </c>
      <c r="K81" s="64">
        <v>181.84</v>
      </c>
      <c r="L81" s="64">
        <v>27.39</v>
      </c>
      <c r="M81" s="64">
        <v>101.52</v>
      </c>
      <c r="N81" s="64">
        <v>60.9</v>
      </c>
      <c r="O81" s="64">
        <v>0</v>
      </c>
      <c r="P81" s="64">
        <v>1.05</v>
      </c>
      <c r="Q81" s="64">
        <v>10.36</v>
      </c>
      <c r="R81" s="198"/>
      <c r="S81" s="198"/>
      <c r="T81" s="198"/>
      <c r="U81" s="198"/>
    </row>
    <row r="82" spans="1:26" s="12" customFormat="1" x14ac:dyDescent="0.25">
      <c r="A82" s="214" t="s">
        <v>606</v>
      </c>
      <c r="B82" s="64">
        <v>8.11</v>
      </c>
      <c r="C82" s="64">
        <v>3.19</v>
      </c>
      <c r="D82" s="64">
        <v>11.94</v>
      </c>
      <c r="E82" s="64">
        <v>4.43</v>
      </c>
      <c r="F82" s="64">
        <v>3.37</v>
      </c>
      <c r="G82" s="64">
        <v>36.950000000000003</v>
      </c>
      <c r="H82" s="64">
        <v>15.41</v>
      </c>
      <c r="I82" s="64">
        <v>4.84</v>
      </c>
      <c r="J82" s="64">
        <v>0.51</v>
      </c>
      <c r="K82" s="64">
        <v>158.5</v>
      </c>
      <c r="L82" s="64">
        <v>27.51</v>
      </c>
      <c r="M82" s="64">
        <v>101.46</v>
      </c>
      <c r="N82" s="64">
        <v>43.2</v>
      </c>
      <c r="O82" s="64">
        <v>0</v>
      </c>
      <c r="P82" s="64">
        <v>1.01</v>
      </c>
      <c r="Q82" s="64">
        <v>10.37</v>
      </c>
      <c r="R82" s="198"/>
      <c r="S82" s="198"/>
      <c r="T82" s="198"/>
      <c r="U82" s="198"/>
    </row>
    <row r="83" spans="1:26" s="12" customFormat="1" x14ac:dyDescent="0.25">
      <c r="A83" s="214" t="s">
        <v>607</v>
      </c>
      <c r="B83" s="64">
        <v>8.02</v>
      </c>
      <c r="C83" s="64">
        <v>3.03</v>
      </c>
      <c r="D83" s="64">
        <v>11.79</v>
      </c>
      <c r="E83" s="64">
        <v>4.55</v>
      </c>
      <c r="F83" s="64">
        <v>3.13</v>
      </c>
      <c r="G83" s="64">
        <v>36.950000000000003</v>
      </c>
      <c r="H83" s="64">
        <v>15.41</v>
      </c>
      <c r="I83" s="64">
        <v>5.22</v>
      </c>
      <c r="J83" s="64">
        <v>0.49</v>
      </c>
      <c r="K83" s="64">
        <v>123.39</v>
      </c>
      <c r="L83" s="64">
        <v>27.2</v>
      </c>
      <c r="M83" s="64">
        <v>101.03</v>
      </c>
      <c r="N83" s="64">
        <v>40.5</v>
      </c>
      <c r="O83" s="64">
        <v>0</v>
      </c>
      <c r="P83" s="64">
        <v>0.99</v>
      </c>
      <c r="Q83" s="64">
        <v>10.37</v>
      </c>
      <c r="R83" s="198"/>
      <c r="S83" s="198"/>
      <c r="T83" s="198"/>
      <c r="U83" s="198"/>
    </row>
    <row r="84" spans="1:26" s="12" customFormat="1" x14ac:dyDescent="0.25">
      <c r="A84" s="214" t="s">
        <v>608</v>
      </c>
      <c r="B84" s="64">
        <v>8.07</v>
      </c>
      <c r="C84" s="64">
        <v>3.13</v>
      </c>
      <c r="D84" s="64">
        <v>11.88</v>
      </c>
      <c r="E84" s="64">
        <v>4.34</v>
      </c>
      <c r="F84" s="64">
        <v>3.41</v>
      </c>
      <c r="G84" s="64">
        <v>42.61</v>
      </c>
      <c r="H84" s="64">
        <v>20.010000000000002</v>
      </c>
      <c r="I84" s="64">
        <v>5.3</v>
      </c>
      <c r="J84" s="64">
        <v>0.49</v>
      </c>
      <c r="K84" s="64">
        <v>109.46</v>
      </c>
      <c r="L84" s="64">
        <v>26.99</v>
      </c>
      <c r="M84" s="64">
        <v>101.43</v>
      </c>
      <c r="N84" s="64">
        <v>39.700000000000003</v>
      </c>
      <c r="O84" s="64">
        <v>0</v>
      </c>
      <c r="P84" s="64">
        <v>0.95</v>
      </c>
      <c r="Q84" s="64">
        <v>10.38</v>
      </c>
      <c r="R84" s="198"/>
      <c r="S84" s="198"/>
      <c r="T84" s="198"/>
      <c r="U84" s="198"/>
    </row>
    <row r="85" spans="1:26" s="12" customFormat="1" x14ac:dyDescent="0.25">
      <c r="A85" s="214" t="s">
        <v>609</v>
      </c>
      <c r="B85" s="64">
        <v>8.0399999999999991</v>
      </c>
      <c r="C85" s="64">
        <v>3.1</v>
      </c>
      <c r="D85" s="64">
        <v>11.84</v>
      </c>
      <c r="E85" s="64">
        <v>4.8</v>
      </c>
      <c r="F85" s="64">
        <v>3.71</v>
      </c>
      <c r="G85" s="64">
        <v>52.87</v>
      </c>
      <c r="H85" s="64">
        <v>25.05</v>
      </c>
      <c r="I85" s="64">
        <v>5.46</v>
      </c>
      <c r="J85" s="64">
        <v>0.9</v>
      </c>
      <c r="K85" s="64">
        <v>163.09</v>
      </c>
      <c r="L85" s="64">
        <v>26.98</v>
      </c>
      <c r="M85" s="64">
        <v>101.39</v>
      </c>
      <c r="N85" s="64">
        <v>39.200000000000003</v>
      </c>
      <c r="O85" s="64">
        <v>0</v>
      </c>
      <c r="P85" s="64">
        <v>0.82</v>
      </c>
      <c r="Q85" s="64">
        <v>10.35</v>
      </c>
      <c r="R85" s="198"/>
      <c r="S85" s="198"/>
      <c r="T85" s="198"/>
      <c r="U85" s="198"/>
    </row>
    <row r="86" spans="1:26" s="12" customFormat="1" x14ac:dyDescent="0.25">
      <c r="A86" s="214" t="s">
        <v>610</v>
      </c>
      <c r="B86" s="64">
        <v>8.06</v>
      </c>
      <c r="C86" s="64">
        <v>3.18</v>
      </c>
      <c r="D86" s="64">
        <v>11.9</v>
      </c>
      <c r="E86" s="64">
        <v>4.6100000000000003</v>
      </c>
      <c r="F86" s="64">
        <v>3.58</v>
      </c>
      <c r="G86" s="64">
        <v>52.87</v>
      </c>
      <c r="H86" s="64">
        <v>25.05</v>
      </c>
      <c r="I86" s="64">
        <v>5.79</v>
      </c>
      <c r="J86" s="64">
        <v>0.3</v>
      </c>
      <c r="K86" s="64">
        <v>153.52000000000001</v>
      </c>
      <c r="L86" s="64">
        <v>26.7</v>
      </c>
      <c r="M86" s="64">
        <v>101.48</v>
      </c>
      <c r="N86" s="64">
        <v>39.6</v>
      </c>
      <c r="O86" s="64">
        <v>0</v>
      </c>
      <c r="P86" s="64">
        <v>0.83</v>
      </c>
      <c r="Q86" s="64">
        <v>10.26</v>
      </c>
      <c r="R86" s="198"/>
      <c r="S86" s="198"/>
      <c r="T86" s="198"/>
      <c r="U86" s="198"/>
    </row>
    <row r="87" spans="1:26" s="12" customFormat="1" x14ac:dyDescent="0.25">
      <c r="A87" s="214" t="s">
        <v>611</v>
      </c>
      <c r="B87" s="64">
        <v>8.06</v>
      </c>
      <c r="C87" s="64">
        <v>3.15</v>
      </c>
      <c r="D87" s="64">
        <v>11.89</v>
      </c>
      <c r="E87" s="64">
        <v>4.72</v>
      </c>
      <c r="F87" s="64">
        <v>3.49</v>
      </c>
      <c r="G87" s="64">
        <v>52.87</v>
      </c>
      <c r="H87" s="64">
        <v>25.05</v>
      </c>
      <c r="I87" s="64">
        <v>5.88</v>
      </c>
      <c r="J87" s="64">
        <v>0.42</v>
      </c>
      <c r="K87" s="64">
        <v>148.12</v>
      </c>
      <c r="L87" s="64">
        <v>26.61</v>
      </c>
      <c r="M87" s="64">
        <v>101.47</v>
      </c>
      <c r="N87" s="64">
        <v>39.6</v>
      </c>
      <c r="O87" s="64">
        <v>0</v>
      </c>
      <c r="P87" s="64">
        <v>0.8</v>
      </c>
      <c r="Q87" s="64">
        <v>10.17</v>
      </c>
      <c r="R87" s="198"/>
      <c r="S87" s="198"/>
      <c r="T87" s="198"/>
      <c r="U87" s="198"/>
    </row>
    <row r="88" spans="1:26" s="12" customFormat="1" x14ac:dyDescent="0.25">
      <c r="A88" s="214" t="s">
        <v>612</v>
      </c>
      <c r="B88" s="64">
        <v>8.02</v>
      </c>
      <c r="C88" s="64">
        <v>3.09</v>
      </c>
      <c r="D88" s="64">
        <v>11.82</v>
      </c>
      <c r="E88" s="64">
        <v>4.6500000000000004</v>
      </c>
      <c r="F88" s="64">
        <v>4.32</v>
      </c>
      <c r="G88" s="64">
        <v>49.82</v>
      </c>
      <c r="H88" s="64">
        <v>15.56</v>
      </c>
      <c r="I88" s="64">
        <v>5.65</v>
      </c>
      <c r="J88" s="64">
        <v>0.13</v>
      </c>
      <c r="K88" s="64">
        <v>151.96</v>
      </c>
      <c r="L88" s="64">
        <v>26.55</v>
      </c>
      <c r="M88" s="64">
        <v>101.5</v>
      </c>
      <c r="N88" s="64">
        <v>39.6</v>
      </c>
      <c r="O88" s="64">
        <v>0</v>
      </c>
      <c r="P88" s="64">
        <v>0.78</v>
      </c>
      <c r="Q88" s="64">
        <v>10.17</v>
      </c>
      <c r="R88" s="198"/>
      <c r="S88" s="198"/>
      <c r="T88" s="198"/>
      <c r="U88" s="198"/>
    </row>
    <row r="89" spans="1:26" s="12" customFormat="1" x14ac:dyDescent="0.25">
      <c r="A89" s="214" t="s">
        <v>613</v>
      </c>
      <c r="B89" s="64">
        <v>8.01</v>
      </c>
      <c r="C89" s="64">
        <v>3.06</v>
      </c>
      <c r="D89" s="64">
        <v>11.8</v>
      </c>
      <c r="E89" s="64">
        <v>4.3899999999999997</v>
      </c>
      <c r="F89" s="64">
        <v>2.2000000000000002</v>
      </c>
      <c r="G89" s="64">
        <v>44.3</v>
      </c>
      <c r="H89" s="64">
        <v>5.18</v>
      </c>
      <c r="I89" s="64">
        <v>5.52</v>
      </c>
      <c r="J89" s="64">
        <v>0.1</v>
      </c>
      <c r="K89" s="64">
        <v>116.78</v>
      </c>
      <c r="L89" s="64">
        <v>26.45</v>
      </c>
      <c r="M89" s="64">
        <v>101.52</v>
      </c>
      <c r="N89" s="64">
        <v>39.5</v>
      </c>
      <c r="O89" s="64">
        <v>0</v>
      </c>
      <c r="P89" s="64">
        <v>0.75</v>
      </c>
      <c r="Q89" s="64">
        <v>10.07</v>
      </c>
      <c r="R89" s="198"/>
      <c r="S89" s="198"/>
      <c r="T89" s="198"/>
      <c r="U89" s="198"/>
    </row>
    <row r="90" spans="1:26" s="12" customFormat="1" x14ac:dyDescent="0.25">
      <c r="A90" s="214" t="s">
        <v>614</v>
      </c>
      <c r="B90" s="64">
        <v>8.0299999999999994</v>
      </c>
      <c r="C90" s="64">
        <v>3.1</v>
      </c>
      <c r="D90" s="64">
        <v>11.84</v>
      </c>
      <c r="E90" s="64">
        <v>4.22</v>
      </c>
      <c r="F90" s="64">
        <v>3.96</v>
      </c>
      <c r="G90" s="64">
        <v>44.3</v>
      </c>
      <c r="H90" s="64">
        <v>5.18</v>
      </c>
      <c r="I90" s="64">
        <v>5.41</v>
      </c>
      <c r="J90" s="64">
        <v>0.04</v>
      </c>
      <c r="K90" s="64">
        <v>113.09</v>
      </c>
      <c r="L90" s="64">
        <v>26.41</v>
      </c>
      <c r="M90" s="64">
        <v>101.53</v>
      </c>
      <c r="N90" s="64">
        <v>39.6</v>
      </c>
      <c r="O90" s="64">
        <v>0</v>
      </c>
      <c r="P90" s="64">
        <v>0.73</v>
      </c>
      <c r="Q90" s="64">
        <v>10.07</v>
      </c>
      <c r="R90" s="198"/>
      <c r="S90" s="198"/>
      <c r="T90" s="198"/>
      <c r="U90" s="198"/>
    </row>
    <row r="91" spans="1:26" s="12" customFormat="1" x14ac:dyDescent="0.25">
      <c r="A91" s="214" t="s">
        <v>615</v>
      </c>
      <c r="B91" s="64">
        <v>8.0299999999999994</v>
      </c>
      <c r="C91" s="64">
        <v>3.08</v>
      </c>
      <c r="D91" s="64">
        <v>11.82</v>
      </c>
      <c r="E91" s="64">
        <v>4.16</v>
      </c>
      <c r="F91" s="64">
        <v>2.82</v>
      </c>
      <c r="G91" s="64">
        <v>44.3</v>
      </c>
      <c r="H91" s="64">
        <v>5.18</v>
      </c>
      <c r="I91" s="64">
        <v>5.21</v>
      </c>
      <c r="J91" s="64">
        <v>0.05</v>
      </c>
      <c r="K91" s="64">
        <v>275.64999999999998</v>
      </c>
      <c r="L91" s="64">
        <v>26.36</v>
      </c>
      <c r="M91" s="64">
        <v>101.53</v>
      </c>
      <c r="N91" s="64">
        <v>39.200000000000003</v>
      </c>
      <c r="O91" s="64">
        <v>0</v>
      </c>
      <c r="P91" s="64">
        <v>0.73</v>
      </c>
      <c r="Q91" s="64">
        <v>10.08</v>
      </c>
      <c r="R91" s="198"/>
      <c r="S91" s="198"/>
      <c r="T91" s="198"/>
      <c r="U91" s="198"/>
    </row>
    <row r="92" spans="1:26" s="12" customFormat="1" x14ac:dyDescent="0.25">
      <c r="A92" s="214" t="s">
        <v>616</v>
      </c>
      <c r="B92" s="64">
        <v>8.01</v>
      </c>
      <c r="C92" s="64">
        <v>3.06</v>
      </c>
      <c r="D92" s="64">
        <v>11.8</v>
      </c>
      <c r="E92" s="64">
        <v>3.75</v>
      </c>
      <c r="F92" s="64">
        <v>3.09</v>
      </c>
      <c r="G92" s="64">
        <v>40.97</v>
      </c>
      <c r="H92" s="64">
        <v>6.31</v>
      </c>
      <c r="I92" s="64">
        <v>5.09</v>
      </c>
      <c r="J92" s="64">
        <v>0.09</v>
      </c>
      <c r="K92" s="64">
        <v>338.26</v>
      </c>
      <c r="L92" s="64">
        <v>26.38</v>
      </c>
      <c r="M92" s="64">
        <v>101.53</v>
      </c>
      <c r="N92" s="64">
        <v>39.5</v>
      </c>
      <c r="O92" s="64">
        <v>0</v>
      </c>
      <c r="P92" s="64">
        <v>0.7</v>
      </c>
      <c r="Q92" s="64">
        <v>10.07</v>
      </c>
      <c r="R92" s="198"/>
      <c r="S92" s="198"/>
      <c r="T92" s="198"/>
      <c r="U92" s="198"/>
    </row>
    <row r="93" spans="1:26" s="12" customFormat="1" x14ac:dyDescent="0.25">
      <c r="A93" s="214" t="s">
        <v>617</v>
      </c>
      <c r="B93" s="64">
        <v>8.0299999999999994</v>
      </c>
      <c r="C93" s="64">
        <v>3.08</v>
      </c>
      <c r="D93" s="64">
        <v>11.82</v>
      </c>
      <c r="E93" s="64">
        <v>4.1500000000000004</v>
      </c>
      <c r="F93" s="64">
        <v>3.44</v>
      </c>
      <c r="G93" s="64">
        <v>34.94</v>
      </c>
      <c r="H93" s="64">
        <v>9.92</v>
      </c>
      <c r="I93" s="64">
        <v>4.9000000000000004</v>
      </c>
      <c r="J93" s="64">
        <v>0.03</v>
      </c>
      <c r="K93" s="64">
        <v>141.86000000000001</v>
      </c>
      <c r="L93" s="64">
        <v>26.27</v>
      </c>
      <c r="M93" s="64">
        <v>101.54</v>
      </c>
      <c r="N93" s="64">
        <v>39.5</v>
      </c>
      <c r="O93" s="64">
        <v>0</v>
      </c>
      <c r="P93" s="64">
        <v>0.72</v>
      </c>
      <c r="Q93" s="64">
        <v>10.09</v>
      </c>
      <c r="R93" s="198"/>
      <c r="S93" s="198"/>
      <c r="T93" s="198"/>
      <c r="U93" s="198"/>
    </row>
    <row r="94" spans="1:26" s="12" customFormat="1" x14ac:dyDescent="0.25">
      <c r="A94" s="214" t="s">
        <v>618</v>
      </c>
      <c r="B94" s="64">
        <v>8.0299999999999994</v>
      </c>
      <c r="C94" s="64">
        <v>3.08</v>
      </c>
      <c r="D94" s="64">
        <v>11.82</v>
      </c>
      <c r="E94" s="64">
        <v>4.3</v>
      </c>
      <c r="F94" s="64">
        <v>2.91</v>
      </c>
      <c r="G94" s="64">
        <v>34.94</v>
      </c>
      <c r="H94" s="64">
        <v>9.92</v>
      </c>
      <c r="I94" s="64">
        <v>4.8099999999999996</v>
      </c>
      <c r="J94" s="64">
        <v>0.06</v>
      </c>
      <c r="K94" s="64">
        <v>167.64</v>
      </c>
      <c r="L94" s="64">
        <v>26.35</v>
      </c>
      <c r="M94" s="64">
        <v>101.53</v>
      </c>
      <c r="N94" s="64">
        <v>39.299999999999997</v>
      </c>
      <c r="O94" s="64">
        <v>0</v>
      </c>
      <c r="P94" s="64">
        <v>0.71</v>
      </c>
      <c r="Q94" s="64">
        <v>10.029999999999999</v>
      </c>
      <c r="R94" s="198"/>
      <c r="S94" s="198"/>
      <c r="T94" s="198"/>
      <c r="U94" s="198"/>
    </row>
    <row r="95" spans="1:26" s="12" customFormat="1" x14ac:dyDescent="0.25">
      <c r="A95" s="214" t="s">
        <v>619</v>
      </c>
      <c r="B95" s="64">
        <v>8.02</v>
      </c>
      <c r="C95" s="64">
        <v>3.06</v>
      </c>
      <c r="D95" s="64">
        <v>11.81</v>
      </c>
      <c r="E95" s="64">
        <v>3.92</v>
      </c>
      <c r="F95" s="64">
        <v>3.57</v>
      </c>
      <c r="G95" s="64">
        <v>34.94</v>
      </c>
      <c r="H95" s="64">
        <v>9.92</v>
      </c>
      <c r="I95" s="64">
        <v>4.8</v>
      </c>
      <c r="J95" s="64">
        <v>0.02</v>
      </c>
      <c r="K95" s="64">
        <v>185.53</v>
      </c>
      <c r="L95" s="64">
        <v>26.4</v>
      </c>
      <c r="M95" s="64">
        <v>101.54</v>
      </c>
      <c r="N95" s="64">
        <v>39.4</v>
      </c>
      <c r="O95" s="64">
        <v>0</v>
      </c>
      <c r="P95" s="64">
        <v>0.69</v>
      </c>
      <c r="Q95" s="64">
        <v>10.050000000000001</v>
      </c>
      <c r="R95" s="198"/>
      <c r="S95" s="198"/>
      <c r="T95" s="198"/>
      <c r="U95" s="198"/>
    </row>
    <row r="96" spans="1:26" s="12" customFormat="1" x14ac:dyDescent="0.25">
      <c r="A96" s="214" t="s">
        <v>620</v>
      </c>
      <c r="B96" s="64">
        <v>8.0299999999999994</v>
      </c>
      <c r="C96" s="64">
        <v>3.08</v>
      </c>
      <c r="D96" s="64">
        <v>11.82</v>
      </c>
      <c r="E96" s="64">
        <v>4.3</v>
      </c>
      <c r="F96" s="64">
        <v>3.68</v>
      </c>
      <c r="G96" s="64">
        <v>33.130000000000003</v>
      </c>
      <c r="H96" s="64">
        <v>16.86</v>
      </c>
      <c r="I96" s="64">
        <v>4.83</v>
      </c>
      <c r="J96" s="64">
        <v>7.0000000000000007E-2</v>
      </c>
      <c r="K96" s="64">
        <v>3.8</v>
      </c>
      <c r="L96" s="64">
        <v>26.34</v>
      </c>
      <c r="M96" s="64">
        <v>101.54</v>
      </c>
      <c r="N96" s="64">
        <v>39.200000000000003</v>
      </c>
      <c r="O96" s="64">
        <v>0</v>
      </c>
      <c r="P96" s="64">
        <v>0.69</v>
      </c>
      <c r="Q96" s="64">
        <v>10.11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621</v>
      </c>
      <c r="B97" s="64">
        <v>8</v>
      </c>
      <c r="C97" s="64">
        <v>2.99</v>
      </c>
      <c r="D97" s="64">
        <v>11.75</v>
      </c>
      <c r="E97" s="64">
        <v>4.04</v>
      </c>
      <c r="F97" s="64">
        <v>3.32</v>
      </c>
      <c r="G97" s="64">
        <v>29.86</v>
      </c>
      <c r="H97" s="64">
        <v>24.46</v>
      </c>
      <c r="I97" s="64">
        <v>4.9000000000000004</v>
      </c>
      <c r="J97" s="64">
        <v>0.16</v>
      </c>
      <c r="K97" s="64">
        <v>172.92</v>
      </c>
      <c r="L97" s="64">
        <v>26.48</v>
      </c>
      <c r="M97" s="64">
        <v>101.53</v>
      </c>
      <c r="N97" s="64">
        <v>39</v>
      </c>
      <c r="O97" s="64">
        <v>0</v>
      </c>
      <c r="P97" s="64">
        <v>0.69</v>
      </c>
      <c r="Q97" s="64">
        <v>10.119999999999999</v>
      </c>
      <c r="R97" s="198"/>
      <c r="S97" s="198"/>
      <c r="T97" s="198"/>
      <c r="U97" s="198"/>
    </row>
    <row r="98" spans="1:33" s="12" customFormat="1" x14ac:dyDescent="0.25">
      <c r="A98" s="214" t="s">
        <v>622</v>
      </c>
      <c r="B98" s="64">
        <v>8.0399999999999991</v>
      </c>
      <c r="C98" s="64">
        <v>3.04</v>
      </c>
      <c r="D98" s="64">
        <v>11.81</v>
      </c>
      <c r="E98" s="64">
        <v>3.92</v>
      </c>
      <c r="F98" s="64">
        <v>3.1</v>
      </c>
      <c r="G98" s="64">
        <v>29.86</v>
      </c>
      <c r="H98" s="64">
        <v>24.46</v>
      </c>
      <c r="I98" s="64">
        <v>5</v>
      </c>
      <c r="J98" s="64">
        <v>0.05</v>
      </c>
      <c r="K98" s="64">
        <v>252.14</v>
      </c>
      <c r="L98" s="64">
        <v>26.59</v>
      </c>
      <c r="M98" s="64">
        <v>101.54</v>
      </c>
      <c r="N98" s="64">
        <v>39.299999999999997</v>
      </c>
      <c r="O98" s="64">
        <v>0</v>
      </c>
      <c r="P98" s="64">
        <v>0.67</v>
      </c>
      <c r="Q98" s="64">
        <v>10.14</v>
      </c>
      <c r="R98" s="198"/>
      <c r="S98" s="198"/>
      <c r="T98" s="198"/>
      <c r="U98" s="198"/>
    </row>
    <row r="99" spans="1:33" s="12" customFormat="1" x14ac:dyDescent="0.25">
      <c r="A99" s="214" t="s">
        <v>623</v>
      </c>
      <c r="B99" s="64">
        <v>8.0299999999999994</v>
      </c>
      <c r="C99" s="64">
        <v>3.02</v>
      </c>
      <c r="D99" s="64">
        <v>11.79</v>
      </c>
      <c r="E99" s="64">
        <v>4.01</v>
      </c>
      <c r="F99" s="64">
        <v>3.64</v>
      </c>
      <c r="G99" s="64">
        <v>29.86</v>
      </c>
      <c r="H99" s="64">
        <v>24.46</v>
      </c>
      <c r="I99" s="64">
        <v>5.12</v>
      </c>
      <c r="J99" s="64">
        <v>0.05</v>
      </c>
      <c r="K99" s="64">
        <v>68.459999999999994</v>
      </c>
      <c r="L99" s="64">
        <v>26.57</v>
      </c>
      <c r="M99" s="64">
        <v>101.55</v>
      </c>
      <c r="N99" s="64">
        <v>39.4</v>
      </c>
      <c r="O99" s="64">
        <v>0</v>
      </c>
      <c r="P99" s="64">
        <v>0.65</v>
      </c>
      <c r="Q99" s="64">
        <v>10.130000000000001</v>
      </c>
      <c r="R99" s="198"/>
      <c r="S99" s="198"/>
      <c r="T99" s="198"/>
      <c r="U99" s="198"/>
    </row>
    <row r="100" spans="1:33" s="12" customFormat="1" x14ac:dyDescent="0.25">
      <c r="A100" s="214" t="s">
        <v>624</v>
      </c>
      <c r="B100" s="64">
        <v>8.0399999999999991</v>
      </c>
      <c r="C100" s="64">
        <v>3.04</v>
      </c>
      <c r="D100" s="64">
        <v>11.81</v>
      </c>
      <c r="E100" s="64">
        <v>4.2699999999999996</v>
      </c>
      <c r="F100" s="64">
        <v>3.64</v>
      </c>
      <c r="G100" s="64">
        <v>29.41</v>
      </c>
      <c r="H100" s="64">
        <v>17.64</v>
      </c>
      <c r="I100" s="64">
        <v>5.14</v>
      </c>
      <c r="J100" s="64">
        <v>0.01</v>
      </c>
      <c r="K100" s="64">
        <v>132.83000000000001</v>
      </c>
      <c r="L100" s="64">
        <v>26.57</v>
      </c>
      <c r="M100" s="64">
        <v>101.55</v>
      </c>
      <c r="N100" s="64">
        <v>39.4</v>
      </c>
      <c r="O100" s="64">
        <v>0</v>
      </c>
      <c r="P100" s="64">
        <v>0.64</v>
      </c>
      <c r="Q100" s="64">
        <v>10.11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625</v>
      </c>
      <c r="B101" s="64">
        <v>8.1</v>
      </c>
      <c r="C101" s="64">
        <v>3.17</v>
      </c>
      <c r="D101" s="64">
        <v>11.92</v>
      </c>
      <c r="E101" s="64">
        <v>4.18</v>
      </c>
      <c r="F101" s="64">
        <v>3.5</v>
      </c>
      <c r="G101" s="64">
        <v>28.59</v>
      </c>
      <c r="H101" s="64">
        <v>9.9499999999999993</v>
      </c>
      <c r="I101" s="64">
        <v>5.17</v>
      </c>
      <c r="J101" s="64">
        <v>0.04</v>
      </c>
      <c r="K101" s="64">
        <v>317.61</v>
      </c>
      <c r="L101" s="64">
        <v>26.64</v>
      </c>
      <c r="M101" s="64">
        <v>101.55</v>
      </c>
      <c r="N101" s="64">
        <v>39.299999999999997</v>
      </c>
      <c r="O101" s="64">
        <v>0</v>
      </c>
      <c r="P101" s="64">
        <v>0.63</v>
      </c>
      <c r="Q101" s="64">
        <v>10.08</v>
      </c>
      <c r="R101" s="198"/>
      <c r="S101" s="198"/>
      <c r="T101" s="198"/>
      <c r="U101" s="198"/>
    </row>
    <row r="102" spans="1:33" s="12" customFormat="1" x14ac:dyDescent="0.25">
      <c r="A102" s="214" t="s">
        <v>626</v>
      </c>
      <c r="B102" s="64">
        <v>8.0399999999999991</v>
      </c>
      <c r="C102" s="64">
        <v>3.07</v>
      </c>
      <c r="D102" s="64">
        <v>11.82</v>
      </c>
      <c r="E102" s="64">
        <v>4.53</v>
      </c>
      <c r="F102" s="64">
        <v>5</v>
      </c>
      <c r="G102" s="64">
        <v>28.59</v>
      </c>
      <c r="H102" s="64">
        <v>9.9499999999999993</v>
      </c>
      <c r="I102" s="64">
        <v>5.22</v>
      </c>
      <c r="J102" s="64">
        <v>0.14000000000000001</v>
      </c>
      <c r="K102" s="64">
        <v>345.5</v>
      </c>
      <c r="L102" s="64">
        <v>26.59</v>
      </c>
      <c r="M102" s="64">
        <v>101.55</v>
      </c>
      <c r="N102" s="64">
        <v>39.299999999999997</v>
      </c>
      <c r="O102" s="64">
        <v>0</v>
      </c>
      <c r="P102" s="64">
        <v>0.62</v>
      </c>
      <c r="Q102" s="64">
        <v>10.06</v>
      </c>
      <c r="R102" s="198"/>
      <c r="S102" s="198"/>
      <c r="T102" s="198"/>
      <c r="U102" s="198"/>
    </row>
    <row r="103" spans="1:33" s="12" customFormat="1" x14ac:dyDescent="0.25">
      <c r="A103" s="214" t="s">
        <v>627</v>
      </c>
      <c r="B103" s="64">
        <v>8</v>
      </c>
      <c r="C103" s="64">
        <v>3.05</v>
      </c>
      <c r="D103" s="64">
        <v>11.78</v>
      </c>
      <c r="E103" s="64">
        <v>4.8499999999999996</v>
      </c>
      <c r="F103" s="64">
        <v>2.88</v>
      </c>
      <c r="G103" s="64">
        <v>28.59</v>
      </c>
      <c r="H103" s="64">
        <v>9.9499999999999993</v>
      </c>
      <c r="I103" s="64">
        <v>5.24</v>
      </c>
      <c r="J103" s="64">
        <v>0.18</v>
      </c>
      <c r="K103" s="64">
        <v>355.74</v>
      </c>
      <c r="L103" s="64">
        <v>26.58</v>
      </c>
      <c r="M103" s="64">
        <v>101.57</v>
      </c>
      <c r="N103" s="64">
        <v>39.1</v>
      </c>
      <c r="O103" s="64">
        <v>0</v>
      </c>
      <c r="P103" s="64">
        <v>0.59</v>
      </c>
      <c r="Q103" s="64">
        <v>9.98</v>
      </c>
      <c r="R103" s="198"/>
      <c r="S103" s="198"/>
      <c r="T103" s="198"/>
      <c r="U103" s="198"/>
    </row>
    <row r="104" spans="1:33" s="12" customFormat="1" x14ac:dyDescent="0.25">
      <c r="A104" s="214" t="s">
        <v>628</v>
      </c>
      <c r="B104" s="64">
        <v>8.01</v>
      </c>
      <c r="C104" s="64">
        <v>3.06</v>
      </c>
      <c r="D104" s="64">
        <v>11.79</v>
      </c>
      <c r="E104" s="64">
        <v>4.25</v>
      </c>
      <c r="F104" s="64">
        <v>4.99</v>
      </c>
      <c r="G104" s="64">
        <v>27.02</v>
      </c>
      <c r="H104" s="64">
        <v>8.31</v>
      </c>
      <c r="I104" s="64">
        <v>5.08</v>
      </c>
      <c r="J104" s="64">
        <v>0.25</v>
      </c>
      <c r="K104" s="64">
        <v>341.06</v>
      </c>
      <c r="L104" s="64">
        <v>26.36</v>
      </c>
      <c r="M104" s="64">
        <v>101.53</v>
      </c>
      <c r="N104" s="64">
        <v>39.299999999999997</v>
      </c>
      <c r="O104" s="64">
        <v>0</v>
      </c>
      <c r="P104" s="64">
        <v>0.57999999999999996</v>
      </c>
      <c r="Q104" s="64">
        <v>9.92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</v>
      </c>
      <c r="C106" s="67">
        <f>MIN(C9:C104)</f>
        <v>2.92</v>
      </c>
      <c r="D106" s="67">
        <f t="shared" ref="D106:Q106" si="0">MIN(D9:D104)</f>
        <v>11.68</v>
      </c>
      <c r="E106" s="67">
        <f t="shared" si="0"/>
        <v>3.19</v>
      </c>
      <c r="F106" s="67">
        <f t="shared" si="0"/>
        <v>2.2000000000000002</v>
      </c>
      <c r="G106" s="67">
        <f t="shared" si="0"/>
        <v>25.17</v>
      </c>
      <c r="H106" s="67">
        <f t="shared" si="0"/>
        <v>0.13</v>
      </c>
      <c r="I106" s="67">
        <f t="shared" si="0"/>
        <v>1.66</v>
      </c>
      <c r="J106" s="67">
        <f t="shared" si="0"/>
        <v>0.01</v>
      </c>
      <c r="K106" s="67">
        <f t="shared" si="0"/>
        <v>0.47</v>
      </c>
      <c r="L106" s="67">
        <f t="shared" si="0"/>
        <v>25.47</v>
      </c>
      <c r="M106" s="67">
        <f t="shared" si="0"/>
        <v>57.54</v>
      </c>
      <c r="N106" s="67">
        <f t="shared" si="0"/>
        <v>38.9</v>
      </c>
      <c r="O106" s="67">
        <f t="shared" si="0"/>
        <v>0</v>
      </c>
      <c r="P106" s="67">
        <f t="shared" si="0"/>
        <v>0.34</v>
      </c>
      <c r="Q106" s="67">
        <f t="shared" si="0"/>
        <v>9.5299999999999994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9.94</v>
      </c>
      <c r="C107" s="66">
        <f t="shared" ref="C107:Q107" si="1">MAX(C9:C104)</f>
        <v>4.3899999999999997</v>
      </c>
      <c r="D107" s="66">
        <f t="shared" si="1"/>
        <v>14.04</v>
      </c>
      <c r="E107" s="66">
        <f t="shared" si="1"/>
        <v>8.74</v>
      </c>
      <c r="F107" s="66">
        <f t="shared" si="1"/>
        <v>28.42</v>
      </c>
      <c r="G107" s="66">
        <f t="shared" si="1"/>
        <v>77.19</v>
      </c>
      <c r="H107" s="66">
        <f t="shared" si="1"/>
        <v>132.58000000000001</v>
      </c>
      <c r="I107" s="66">
        <f t="shared" si="1"/>
        <v>5.88</v>
      </c>
      <c r="J107" s="66">
        <f t="shared" si="1"/>
        <v>1.71</v>
      </c>
      <c r="K107" s="66">
        <f t="shared" si="1"/>
        <v>358.64</v>
      </c>
      <c r="L107" s="66">
        <f t="shared" si="1"/>
        <v>36.97</v>
      </c>
      <c r="M107" s="66">
        <f t="shared" si="1"/>
        <v>101.63</v>
      </c>
      <c r="N107" s="66">
        <f t="shared" si="1"/>
        <v>702.7</v>
      </c>
      <c r="O107" s="66">
        <f t="shared" si="1"/>
        <v>18.8</v>
      </c>
      <c r="P107" s="66">
        <f t="shared" si="1"/>
        <v>1.47</v>
      </c>
      <c r="Q107" s="66">
        <f t="shared" si="1"/>
        <v>10.38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8.0509374999999981</v>
      </c>
      <c r="C108" s="67">
        <f t="shared" ref="C108:Q108" si="2">AVERAGE(C9:C104)</f>
        <v>3.1084374999999995</v>
      </c>
      <c r="D108" s="67">
        <f t="shared" si="2"/>
        <v>11.854583333333338</v>
      </c>
      <c r="E108" s="67">
        <f t="shared" si="2"/>
        <v>4.5050537634408609</v>
      </c>
      <c r="F108" s="67">
        <f t="shared" si="2"/>
        <v>5.3313541666666664</v>
      </c>
      <c r="G108" s="67">
        <f t="shared" si="2"/>
        <v>40.58000000000002</v>
      </c>
      <c r="H108" s="67">
        <f t="shared" si="2"/>
        <v>18.041290322580657</v>
      </c>
      <c r="I108" s="67">
        <f t="shared" si="2"/>
        <v>4.4587499999999993</v>
      </c>
      <c r="J108" s="67">
        <f t="shared" si="2"/>
        <v>0.34062499999999996</v>
      </c>
      <c r="K108" s="67">
        <f t="shared" si="2"/>
        <v>227.72197916666661</v>
      </c>
      <c r="L108" s="67">
        <f t="shared" si="2"/>
        <v>28.661145833333347</v>
      </c>
      <c r="M108" s="67">
        <f t="shared" si="2"/>
        <v>93.572187499999998</v>
      </c>
      <c r="N108" s="67">
        <f t="shared" si="2"/>
        <v>155.19479166666667</v>
      </c>
      <c r="O108" s="67">
        <f t="shared" si="2"/>
        <v>0.35208333333333336</v>
      </c>
      <c r="P108" s="67">
        <f t="shared" si="2"/>
        <v>0.57812499999999978</v>
      </c>
      <c r="Q108" s="67">
        <f t="shared" si="2"/>
        <v>9.8648958333333336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0.23366227596795841</v>
      </c>
      <c r="C109" s="67">
        <f t="shared" ref="C109:Q109" si="3">STDEV(C9:C104)</f>
        <v>0.18587108223316059</v>
      </c>
      <c r="D109" s="67">
        <f t="shared" si="3"/>
        <v>0.27895638846720572</v>
      </c>
      <c r="E109" s="67">
        <f t="shared" si="3"/>
        <v>0.88526417532934432</v>
      </c>
      <c r="F109" s="67">
        <f t="shared" si="3"/>
        <v>4.4608870063891919</v>
      </c>
      <c r="G109" s="67">
        <f t="shared" si="3"/>
        <v>12.888502206634953</v>
      </c>
      <c r="H109" s="67">
        <f t="shared" si="3"/>
        <v>24.193524700783168</v>
      </c>
      <c r="I109" s="67">
        <f t="shared" si="3"/>
        <v>1.3236967771717001</v>
      </c>
      <c r="J109" s="67">
        <f t="shared" si="3"/>
        <v>0.37368946438115386</v>
      </c>
      <c r="K109" s="67">
        <f t="shared" si="3"/>
        <v>109.03873407014892</v>
      </c>
      <c r="L109" s="67">
        <f t="shared" si="3"/>
        <v>3.1569881948968792</v>
      </c>
      <c r="M109" s="67">
        <f t="shared" si="3"/>
        <v>13.093949121083247</v>
      </c>
      <c r="N109" s="67">
        <f t="shared" si="3"/>
        <v>185.61192246744659</v>
      </c>
      <c r="O109" s="67">
        <f t="shared" si="3"/>
        <v>2.2574778272113503</v>
      </c>
      <c r="P109" s="67">
        <f t="shared" si="3"/>
        <v>0.22842394795642645</v>
      </c>
      <c r="Q109" s="67">
        <f t="shared" si="3"/>
        <v>0.22060679376696521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COUNT(E9:E104)+3</f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629</v>
      </c>
      <c r="B9" s="64">
        <v>8.02</v>
      </c>
      <c r="C9" s="64">
        <v>3.03</v>
      </c>
      <c r="D9" s="64">
        <v>11.79</v>
      </c>
      <c r="E9" s="64">
        <v>3.7</v>
      </c>
      <c r="F9" s="64">
        <v>2.23</v>
      </c>
      <c r="G9" s="64">
        <v>24.19</v>
      </c>
      <c r="H9" s="64">
        <v>6.52</v>
      </c>
      <c r="I9" s="64">
        <v>4.8</v>
      </c>
      <c r="J9" s="64">
        <v>0.24</v>
      </c>
      <c r="K9" s="64">
        <v>337.82</v>
      </c>
      <c r="L9" s="64">
        <v>26.23</v>
      </c>
      <c r="M9" s="64">
        <v>101.53</v>
      </c>
      <c r="N9" s="64">
        <v>39.299999999999997</v>
      </c>
      <c r="O9" s="64">
        <v>0</v>
      </c>
      <c r="P9" s="64">
        <v>0.55000000000000004</v>
      </c>
      <c r="Q9" s="64">
        <v>9.86</v>
      </c>
      <c r="R9" s="198"/>
      <c r="S9" s="198"/>
      <c r="T9" s="198"/>
      <c r="U9" s="198"/>
    </row>
    <row r="10" spans="1:21" s="12" customFormat="1" x14ac:dyDescent="0.25">
      <c r="A10" s="214" t="s">
        <v>630</v>
      </c>
      <c r="B10" s="64">
        <v>7.99</v>
      </c>
      <c r="C10" s="64">
        <v>2.98</v>
      </c>
      <c r="D10" s="64">
        <v>11.74</v>
      </c>
      <c r="E10" s="64">
        <v>3.25</v>
      </c>
      <c r="F10" s="64">
        <v>4.3899999999999997</v>
      </c>
      <c r="G10" s="64">
        <v>24.19</v>
      </c>
      <c r="H10" s="64">
        <v>6.52</v>
      </c>
      <c r="I10" s="64">
        <v>4.53</v>
      </c>
      <c r="J10" s="64">
        <v>0.16</v>
      </c>
      <c r="K10" s="64">
        <v>348.76</v>
      </c>
      <c r="L10" s="64">
        <v>26.08</v>
      </c>
      <c r="M10" s="64">
        <v>101.53</v>
      </c>
      <c r="N10" s="64">
        <v>39.4</v>
      </c>
      <c r="O10" s="64">
        <v>0</v>
      </c>
      <c r="P10" s="64">
        <v>0.52</v>
      </c>
      <c r="Q10" s="64">
        <v>9.86</v>
      </c>
      <c r="R10" s="198"/>
      <c r="S10" s="198"/>
      <c r="T10" s="198"/>
      <c r="U10" s="198"/>
    </row>
    <row r="11" spans="1:21" s="12" customFormat="1" x14ac:dyDescent="0.25">
      <c r="A11" s="214" t="s">
        <v>631</v>
      </c>
      <c r="B11" s="64">
        <v>7.99</v>
      </c>
      <c r="C11" s="64">
        <v>3.02</v>
      </c>
      <c r="D11" s="64">
        <v>11.76</v>
      </c>
      <c r="E11" s="64">
        <v>3.65</v>
      </c>
      <c r="F11" s="64">
        <v>3.34</v>
      </c>
      <c r="G11" s="64">
        <v>24.19</v>
      </c>
      <c r="H11" s="64">
        <v>6.52</v>
      </c>
      <c r="I11" s="64">
        <v>4.1399999999999997</v>
      </c>
      <c r="J11" s="64">
        <v>0.19</v>
      </c>
      <c r="K11" s="64">
        <v>322.88</v>
      </c>
      <c r="L11" s="64">
        <v>26.02</v>
      </c>
      <c r="M11" s="64">
        <v>101.53</v>
      </c>
      <c r="N11" s="64">
        <v>39.5</v>
      </c>
      <c r="O11" s="64">
        <v>0</v>
      </c>
      <c r="P11" s="64">
        <v>0.51</v>
      </c>
      <c r="Q11" s="64">
        <v>9.85</v>
      </c>
      <c r="R11" s="198"/>
      <c r="S11" s="198"/>
      <c r="T11" s="198"/>
      <c r="U11" s="198"/>
    </row>
    <row r="12" spans="1:21" s="12" customFormat="1" x14ac:dyDescent="0.25">
      <c r="A12" s="214" t="s">
        <v>632</v>
      </c>
      <c r="B12" s="64">
        <v>7.98</v>
      </c>
      <c r="C12" s="64">
        <v>2.98</v>
      </c>
      <c r="D12" s="64">
        <v>11.73</v>
      </c>
      <c r="E12" s="64">
        <v>3.09</v>
      </c>
      <c r="F12" s="64">
        <v>4.0599999999999996</v>
      </c>
      <c r="G12" s="64">
        <v>22.79</v>
      </c>
      <c r="H12" s="64">
        <v>5.27</v>
      </c>
      <c r="I12" s="64">
        <v>3.85</v>
      </c>
      <c r="J12" s="64">
        <v>0.22</v>
      </c>
      <c r="K12" s="64">
        <v>322.49</v>
      </c>
      <c r="L12" s="64">
        <v>25.93</v>
      </c>
      <c r="M12" s="64">
        <v>101.55</v>
      </c>
      <c r="N12" s="64">
        <v>39.4</v>
      </c>
      <c r="O12" s="64">
        <v>0</v>
      </c>
      <c r="P12" s="64">
        <v>0.5</v>
      </c>
      <c r="Q12" s="64">
        <v>9.81</v>
      </c>
      <c r="R12" s="198"/>
      <c r="S12" s="198"/>
      <c r="T12" s="198"/>
      <c r="U12" s="198"/>
    </row>
    <row r="13" spans="1:21" s="12" customFormat="1" x14ac:dyDescent="0.25">
      <c r="A13" s="214" t="s">
        <v>633</v>
      </c>
      <c r="B13" s="64">
        <v>7.94</v>
      </c>
      <c r="C13" s="64">
        <v>2.95</v>
      </c>
      <c r="D13" s="64">
        <v>11.69</v>
      </c>
      <c r="E13" s="64">
        <v>2.95</v>
      </c>
      <c r="F13" s="64">
        <v>3.1</v>
      </c>
      <c r="G13" s="64">
        <v>20.27</v>
      </c>
      <c r="H13" s="64">
        <v>1.3</v>
      </c>
      <c r="I13" s="64">
        <v>3.7</v>
      </c>
      <c r="J13" s="64">
        <v>0.18</v>
      </c>
      <c r="K13" s="64">
        <v>338.79</v>
      </c>
      <c r="L13" s="64">
        <v>25.81</v>
      </c>
      <c r="M13" s="64">
        <v>101.57</v>
      </c>
      <c r="N13" s="64">
        <v>39.1</v>
      </c>
      <c r="O13" s="64">
        <v>0</v>
      </c>
      <c r="P13" s="64">
        <v>0.5</v>
      </c>
      <c r="Q13" s="64">
        <v>9.76</v>
      </c>
      <c r="R13" s="198"/>
      <c r="S13" s="198"/>
      <c r="T13" s="198"/>
      <c r="U13" s="198"/>
    </row>
    <row r="14" spans="1:21" s="12" customFormat="1" x14ac:dyDescent="0.25">
      <c r="A14" s="214" t="s">
        <v>634</v>
      </c>
      <c r="B14" s="64">
        <v>7.96</v>
      </c>
      <c r="C14" s="64">
        <v>2.97</v>
      </c>
      <c r="D14" s="64">
        <v>11.7</v>
      </c>
      <c r="E14" s="64">
        <v>3.17</v>
      </c>
      <c r="F14" s="64">
        <v>3.67</v>
      </c>
      <c r="G14" s="64">
        <v>20.27</v>
      </c>
      <c r="H14" s="64">
        <v>1.3</v>
      </c>
      <c r="I14" s="64">
        <v>3.57</v>
      </c>
      <c r="J14" s="64">
        <v>0.09</v>
      </c>
      <c r="K14" s="64">
        <v>5.03</v>
      </c>
      <c r="L14" s="64">
        <v>25.84</v>
      </c>
      <c r="M14" s="64">
        <v>101.55</v>
      </c>
      <c r="N14" s="64">
        <v>39.200000000000003</v>
      </c>
      <c r="O14" s="64">
        <v>0</v>
      </c>
      <c r="P14" s="64">
        <v>0.53</v>
      </c>
      <c r="Q14" s="64">
        <v>9.7200000000000006</v>
      </c>
      <c r="R14" s="198"/>
      <c r="S14" s="198"/>
      <c r="T14" s="198"/>
      <c r="U14" s="198"/>
    </row>
    <row r="15" spans="1:21" s="12" customFormat="1" x14ac:dyDescent="0.25">
      <c r="A15" s="214" t="s">
        <v>635</v>
      </c>
      <c r="B15" s="64">
        <v>7.98</v>
      </c>
      <c r="C15" s="64">
        <v>3.06</v>
      </c>
      <c r="D15" s="64">
        <v>11.77</v>
      </c>
      <c r="E15" s="64">
        <v>3.54</v>
      </c>
      <c r="F15" s="64">
        <v>2.8</v>
      </c>
      <c r="G15" s="64">
        <v>20.27</v>
      </c>
      <c r="H15" s="64">
        <v>1.3</v>
      </c>
      <c r="I15" s="64">
        <v>3.5</v>
      </c>
      <c r="J15" s="64">
        <v>0.09</v>
      </c>
      <c r="K15" s="64">
        <v>309</v>
      </c>
      <c r="L15" s="64">
        <v>25.76</v>
      </c>
      <c r="M15" s="64">
        <v>101.57</v>
      </c>
      <c r="N15" s="64">
        <v>39.299999999999997</v>
      </c>
      <c r="O15" s="64">
        <v>0</v>
      </c>
      <c r="P15" s="64">
        <v>0.53</v>
      </c>
      <c r="Q15" s="64">
        <v>9.7200000000000006</v>
      </c>
      <c r="R15" s="198"/>
      <c r="S15" s="198"/>
      <c r="T15" s="198"/>
      <c r="U15" s="198"/>
    </row>
    <row r="16" spans="1:21" s="12" customFormat="1" x14ac:dyDescent="0.25">
      <c r="A16" s="214" t="s">
        <v>636</v>
      </c>
      <c r="B16" s="64">
        <v>8</v>
      </c>
      <c r="C16" s="64">
        <v>3.05</v>
      </c>
      <c r="D16" s="64">
        <v>11.78</v>
      </c>
      <c r="E16" s="64">
        <v>3.32</v>
      </c>
      <c r="F16" s="64">
        <v>3.04</v>
      </c>
      <c r="G16" s="64">
        <v>20.41</v>
      </c>
      <c r="H16" s="64">
        <v>2.75</v>
      </c>
      <c r="I16" s="64">
        <v>3.54</v>
      </c>
      <c r="J16" s="64">
        <v>0.1</v>
      </c>
      <c r="K16" s="64">
        <v>209.63</v>
      </c>
      <c r="L16" s="64">
        <v>25.84</v>
      </c>
      <c r="M16" s="64">
        <v>101.55</v>
      </c>
      <c r="N16" s="64">
        <v>39.1</v>
      </c>
      <c r="O16" s="64">
        <v>0</v>
      </c>
      <c r="P16" s="64">
        <v>0.53</v>
      </c>
      <c r="Q16" s="64">
        <v>9.7100000000000009</v>
      </c>
      <c r="R16" s="198"/>
      <c r="S16" s="198"/>
      <c r="T16" s="198"/>
      <c r="U16" s="198"/>
    </row>
    <row r="17" spans="1:21" s="12" customFormat="1" x14ac:dyDescent="0.25">
      <c r="A17" s="214" t="s">
        <v>637</v>
      </c>
      <c r="B17" s="64">
        <v>7.99</v>
      </c>
      <c r="C17" s="64">
        <v>3.06</v>
      </c>
      <c r="D17" s="64">
        <v>11.78</v>
      </c>
      <c r="E17" s="64">
        <v>3.29</v>
      </c>
      <c r="F17" s="64">
        <v>3.26</v>
      </c>
      <c r="G17" s="64">
        <v>20.66</v>
      </c>
      <c r="H17" s="64">
        <v>4.4400000000000004</v>
      </c>
      <c r="I17" s="64">
        <v>3.62</v>
      </c>
      <c r="J17" s="64">
        <v>0.49</v>
      </c>
      <c r="K17" s="64">
        <v>140.71</v>
      </c>
      <c r="L17" s="64">
        <v>25.69</v>
      </c>
      <c r="M17" s="64">
        <v>101.55</v>
      </c>
      <c r="N17" s="64">
        <v>39.200000000000003</v>
      </c>
      <c r="O17" s="64">
        <v>0</v>
      </c>
      <c r="P17" s="64">
        <v>0.53</v>
      </c>
      <c r="Q17" s="64">
        <v>9.74</v>
      </c>
      <c r="R17" s="198"/>
      <c r="S17" s="198"/>
      <c r="T17" s="198"/>
      <c r="U17" s="198"/>
    </row>
    <row r="18" spans="1:21" s="12" customFormat="1" x14ac:dyDescent="0.25">
      <c r="A18" s="214" t="s">
        <v>638</v>
      </c>
      <c r="B18" s="64">
        <v>7.98</v>
      </c>
      <c r="C18" s="64">
        <v>3.01</v>
      </c>
      <c r="D18" s="64">
        <v>11.75</v>
      </c>
      <c r="E18" s="64">
        <v>3.18</v>
      </c>
      <c r="F18" s="64">
        <v>2.85</v>
      </c>
      <c r="G18" s="64">
        <v>20.66</v>
      </c>
      <c r="H18" s="64">
        <v>4.4400000000000004</v>
      </c>
      <c r="I18" s="64">
        <v>3.85</v>
      </c>
      <c r="J18" s="64">
        <v>0.16</v>
      </c>
      <c r="K18" s="64">
        <v>156.46</v>
      </c>
      <c r="L18" s="64">
        <v>25.61</v>
      </c>
      <c r="M18" s="64">
        <v>101.55</v>
      </c>
      <c r="N18" s="64">
        <v>39.4</v>
      </c>
      <c r="O18" s="64">
        <v>0</v>
      </c>
      <c r="P18" s="64">
        <v>0.53</v>
      </c>
      <c r="Q18" s="64">
        <v>9.74</v>
      </c>
      <c r="R18" s="198"/>
      <c r="S18" s="198"/>
      <c r="T18" s="198"/>
      <c r="U18" s="198"/>
    </row>
    <row r="19" spans="1:21" s="12" customFormat="1" x14ac:dyDescent="0.25">
      <c r="A19" s="214" t="s">
        <v>639</v>
      </c>
      <c r="B19" s="64">
        <v>8.0299999999999994</v>
      </c>
      <c r="C19" s="64">
        <v>3.07</v>
      </c>
      <c r="D19" s="64">
        <v>11.82</v>
      </c>
      <c r="E19" s="64">
        <v>3.27</v>
      </c>
      <c r="F19" s="64">
        <v>3.61</v>
      </c>
      <c r="G19" s="64">
        <v>20.66</v>
      </c>
      <c r="H19" s="64">
        <v>4.4400000000000004</v>
      </c>
      <c r="I19" s="64">
        <v>4.08</v>
      </c>
      <c r="J19" s="64">
        <v>0.24</v>
      </c>
      <c r="K19" s="64">
        <v>139.26</v>
      </c>
      <c r="L19" s="64">
        <v>25.55</v>
      </c>
      <c r="M19" s="64">
        <v>101.55</v>
      </c>
      <c r="N19" s="64">
        <v>39.200000000000003</v>
      </c>
      <c r="O19" s="64">
        <v>0</v>
      </c>
      <c r="P19" s="64">
        <v>0.52</v>
      </c>
      <c r="Q19" s="64">
        <v>9.74</v>
      </c>
      <c r="R19" s="198"/>
      <c r="S19" s="198"/>
      <c r="T19" s="198"/>
      <c r="U19" s="198"/>
    </row>
    <row r="20" spans="1:21" s="12" customFormat="1" x14ac:dyDescent="0.25">
      <c r="A20" s="214" t="s">
        <v>640</v>
      </c>
      <c r="B20" s="64">
        <v>8.02</v>
      </c>
      <c r="C20" s="64">
        <v>3.01</v>
      </c>
      <c r="D20" s="64">
        <v>11.77</v>
      </c>
      <c r="E20" s="64">
        <v>3.23</v>
      </c>
      <c r="F20" s="64">
        <v>3.43</v>
      </c>
      <c r="G20" s="64">
        <v>21.04</v>
      </c>
      <c r="H20" s="64">
        <v>26.05</v>
      </c>
      <c r="I20" s="64">
        <v>4.3499999999999996</v>
      </c>
      <c r="J20" s="64">
        <v>0.56999999999999995</v>
      </c>
      <c r="K20" s="64">
        <v>153.22</v>
      </c>
      <c r="L20" s="64">
        <v>25.6</v>
      </c>
      <c r="M20" s="64">
        <v>101.55</v>
      </c>
      <c r="N20" s="64">
        <v>39.200000000000003</v>
      </c>
      <c r="O20" s="64">
        <v>0</v>
      </c>
      <c r="P20" s="64">
        <v>0.52</v>
      </c>
      <c r="Q20" s="64">
        <v>9.73</v>
      </c>
      <c r="R20" s="198"/>
      <c r="S20" s="198"/>
      <c r="T20" s="198"/>
      <c r="U20" s="198"/>
    </row>
    <row r="21" spans="1:21" s="12" customFormat="1" x14ac:dyDescent="0.25">
      <c r="A21" s="214" t="s">
        <v>641</v>
      </c>
      <c r="B21" s="64">
        <v>8</v>
      </c>
      <c r="C21" s="64">
        <v>2.96</v>
      </c>
      <c r="D21" s="64">
        <v>11.74</v>
      </c>
      <c r="E21" s="64">
        <v>3.44</v>
      </c>
      <c r="F21" s="64">
        <v>3.08</v>
      </c>
      <c r="G21" s="64">
        <v>21.74</v>
      </c>
      <c r="H21" s="64">
        <v>50.45</v>
      </c>
      <c r="I21" s="64">
        <v>4.54</v>
      </c>
      <c r="J21" s="64">
        <v>0.51</v>
      </c>
      <c r="K21" s="64">
        <v>149.55000000000001</v>
      </c>
      <c r="L21" s="64">
        <v>25.5</v>
      </c>
      <c r="M21" s="64">
        <v>101.55</v>
      </c>
      <c r="N21" s="64">
        <v>39.200000000000003</v>
      </c>
      <c r="O21" s="64">
        <v>0</v>
      </c>
      <c r="P21" s="64">
        <v>0.51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4" t="s">
        <v>642</v>
      </c>
      <c r="B22" s="64">
        <v>7.99</v>
      </c>
      <c r="C22" s="64">
        <v>2.98</v>
      </c>
      <c r="D22" s="64">
        <v>11.74</v>
      </c>
      <c r="E22" s="64">
        <v>3.15</v>
      </c>
      <c r="F22" s="64">
        <v>3.7</v>
      </c>
      <c r="G22" s="64">
        <v>21.74</v>
      </c>
      <c r="H22" s="64">
        <v>50.45</v>
      </c>
      <c r="I22" s="64">
        <v>4.76</v>
      </c>
      <c r="J22" s="64">
        <v>0.69</v>
      </c>
      <c r="K22" s="64">
        <v>142.16999999999999</v>
      </c>
      <c r="L22" s="64">
        <v>25.36</v>
      </c>
      <c r="M22" s="64">
        <v>101.55</v>
      </c>
      <c r="N22" s="64">
        <v>39.200000000000003</v>
      </c>
      <c r="O22" s="64">
        <v>0</v>
      </c>
      <c r="P22" s="64">
        <v>0.5</v>
      </c>
      <c r="Q22" s="64">
        <v>9.73</v>
      </c>
      <c r="R22" s="198"/>
      <c r="S22" s="198"/>
      <c r="T22" s="198"/>
      <c r="U22" s="198"/>
    </row>
    <row r="23" spans="1:21" s="12" customFormat="1" x14ac:dyDescent="0.25">
      <c r="A23" s="214" t="s">
        <v>643</v>
      </c>
      <c r="B23" s="64">
        <v>7.98</v>
      </c>
      <c r="C23" s="64">
        <v>2.93</v>
      </c>
      <c r="D23" s="64">
        <v>11.7</v>
      </c>
      <c r="E23" s="64">
        <v>3.53</v>
      </c>
      <c r="F23" s="64">
        <v>3.93</v>
      </c>
      <c r="G23" s="64">
        <v>21.74</v>
      </c>
      <c r="H23" s="64">
        <v>50.45</v>
      </c>
      <c r="I23" s="64">
        <v>4.9400000000000004</v>
      </c>
      <c r="J23" s="64">
        <v>0.3</v>
      </c>
      <c r="K23" s="64">
        <v>154.16999999999999</v>
      </c>
      <c r="L23" s="64">
        <v>25.26</v>
      </c>
      <c r="M23" s="64">
        <v>101.56</v>
      </c>
      <c r="N23" s="64">
        <v>39.1</v>
      </c>
      <c r="O23" s="64">
        <v>0</v>
      </c>
      <c r="P23" s="64">
        <v>0.49</v>
      </c>
      <c r="Q23" s="64">
        <v>9.7200000000000006</v>
      </c>
      <c r="R23" s="198"/>
      <c r="S23" s="198"/>
      <c r="T23" s="198"/>
      <c r="U23" s="198"/>
    </row>
    <row r="24" spans="1:21" s="12" customFormat="1" x14ac:dyDescent="0.25">
      <c r="A24" s="214" t="s">
        <v>644</v>
      </c>
      <c r="B24" s="64">
        <v>7.95</v>
      </c>
      <c r="C24" s="64">
        <v>2.96</v>
      </c>
      <c r="D24" s="64">
        <v>11.7</v>
      </c>
      <c r="E24" s="64">
        <v>3.66</v>
      </c>
      <c r="F24" s="64">
        <v>3.15</v>
      </c>
      <c r="G24" s="64">
        <v>20.8</v>
      </c>
      <c r="H24" s="64">
        <v>33.18</v>
      </c>
      <c r="I24" s="64">
        <v>4.91</v>
      </c>
      <c r="J24" s="64">
        <v>0.41</v>
      </c>
      <c r="K24" s="64">
        <v>145.15</v>
      </c>
      <c r="L24" s="64">
        <v>25.2</v>
      </c>
      <c r="M24" s="64">
        <v>101.57</v>
      </c>
      <c r="N24" s="64">
        <v>39.1</v>
      </c>
      <c r="O24" s="64">
        <v>0</v>
      </c>
      <c r="P24" s="64">
        <v>0.47</v>
      </c>
      <c r="Q24" s="64">
        <v>9.6999999999999993</v>
      </c>
      <c r="R24" s="198"/>
      <c r="S24" s="198"/>
      <c r="T24" s="198"/>
      <c r="U24" s="198"/>
    </row>
    <row r="25" spans="1:21" s="12" customFormat="1" x14ac:dyDescent="0.25">
      <c r="A25" s="214" t="s">
        <v>645</v>
      </c>
      <c r="B25" s="64">
        <v>7.92</v>
      </c>
      <c r="C25" s="64">
        <v>2.92</v>
      </c>
      <c r="D25" s="64">
        <v>11.65</v>
      </c>
      <c r="E25" s="64">
        <v>5.14</v>
      </c>
      <c r="F25" s="64">
        <v>3.09</v>
      </c>
      <c r="G25" s="64">
        <v>19.100000000000001</v>
      </c>
      <c r="H25" s="64">
        <v>13.12</v>
      </c>
      <c r="I25" s="64">
        <v>5.04</v>
      </c>
      <c r="J25" s="64">
        <v>0.38</v>
      </c>
      <c r="K25" s="64">
        <v>151.25</v>
      </c>
      <c r="L25" s="64">
        <v>25.13</v>
      </c>
      <c r="M25" s="64">
        <v>101.57</v>
      </c>
      <c r="N25" s="64">
        <v>39.1</v>
      </c>
      <c r="O25" s="64">
        <v>0</v>
      </c>
      <c r="P25" s="64">
        <v>0.47</v>
      </c>
      <c r="Q25" s="64">
        <v>9.67</v>
      </c>
      <c r="R25" s="198"/>
      <c r="S25" s="198"/>
      <c r="T25" s="198"/>
      <c r="U25" s="198"/>
    </row>
    <row r="26" spans="1:21" s="12" customFormat="1" x14ac:dyDescent="0.25">
      <c r="A26" s="214" t="s">
        <v>646</v>
      </c>
      <c r="B26" s="64">
        <v>7.93</v>
      </c>
      <c r="C26" s="64">
        <v>2.94</v>
      </c>
      <c r="D26" s="64">
        <v>11.67</v>
      </c>
      <c r="E26" s="64">
        <v>4.8099999999999996</v>
      </c>
      <c r="F26" s="64">
        <v>3.64</v>
      </c>
      <c r="G26" s="64">
        <v>19.100000000000001</v>
      </c>
      <c r="H26" s="64">
        <v>13.12</v>
      </c>
      <c r="I26" s="64">
        <v>4.93</v>
      </c>
      <c r="J26" s="64">
        <v>0.14000000000000001</v>
      </c>
      <c r="K26" s="64">
        <v>3.04</v>
      </c>
      <c r="L26" s="64">
        <v>25.03</v>
      </c>
      <c r="M26" s="64">
        <v>101.6</v>
      </c>
      <c r="N26" s="64">
        <v>39.200000000000003</v>
      </c>
      <c r="O26" s="64">
        <v>0</v>
      </c>
      <c r="P26" s="64">
        <v>0.45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4" t="s">
        <v>647</v>
      </c>
      <c r="B27" s="64">
        <v>7.94</v>
      </c>
      <c r="C27" s="64">
        <v>2.97</v>
      </c>
      <c r="D27" s="64">
        <v>11.69</v>
      </c>
      <c r="E27" s="64">
        <v>5.07</v>
      </c>
      <c r="F27" s="64">
        <v>3.16</v>
      </c>
      <c r="G27" s="64">
        <v>19.100000000000001</v>
      </c>
      <c r="H27" s="64">
        <v>13.12</v>
      </c>
      <c r="I27" s="64">
        <v>4.53</v>
      </c>
      <c r="J27" s="64">
        <v>0.01</v>
      </c>
      <c r="K27" s="64">
        <v>36.880000000000003</v>
      </c>
      <c r="L27" s="64">
        <v>24.97</v>
      </c>
      <c r="M27" s="64">
        <v>101.6</v>
      </c>
      <c r="N27" s="64">
        <v>39</v>
      </c>
      <c r="O27" s="64">
        <v>0</v>
      </c>
      <c r="P27" s="64">
        <v>0.45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4" t="s">
        <v>648</v>
      </c>
      <c r="B28" s="64">
        <v>7.96</v>
      </c>
      <c r="C28" s="64">
        <v>3.01</v>
      </c>
      <c r="D28" s="64">
        <v>11.73</v>
      </c>
      <c r="E28" s="64">
        <v>4.79</v>
      </c>
      <c r="F28" s="64">
        <v>3.89</v>
      </c>
      <c r="G28" s="64">
        <v>18.100000000000001</v>
      </c>
      <c r="H28" s="64">
        <v>11.02</v>
      </c>
      <c r="I28" s="64">
        <v>4.5999999999999996</v>
      </c>
      <c r="J28" s="64">
        <v>0.09</v>
      </c>
      <c r="K28" s="64">
        <v>332.25</v>
      </c>
      <c r="L28" s="64">
        <v>24.99</v>
      </c>
      <c r="M28" s="64">
        <v>101.6</v>
      </c>
      <c r="N28" s="64">
        <v>38.9</v>
      </c>
      <c r="O28" s="64">
        <v>0</v>
      </c>
      <c r="P28" s="64">
        <v>0.44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4" t="s">
        <v>649</v>
      </c>
      <c r="B29" s="64">
        <v>7.96</v>
      </c>
      <c r="C29" s="64">
        <v>2.97</v>
      </c>
      <c r="D29" s="64">
        <v>11.71</v>
      </c>
      <c r="E29" s="64">
        <v>5.07</v>
      </c>
      <c r="F29" s="64">
        <v>2.72</v>
      </c>
      <c r="G29" s="64">
        <v>16.28</v>
      </c>
      <c r="H29" s="64">
        <v>3.67</v>
      </c>
      <c r="I29" s="64">
        <v>4.4400000000000004</v>
      </c>
      <c r="J29" s="64">
        <v>0.1</v>
      </c>
      <c r="K29" s="64">
        <v>10.79</v>
      </c>
      <c r="L29" s="64">
        <v>25.1</v>
      </c>
      <c r="M29" s="64">
        <v>101.6</v>
      </c>
      <c r="N29" s="64">
        <v>39.299999999999997</v>
      </c>
      <c r="O29" s="64">
        <v>0</v>
      </c>
      <c r="P29" s="64">
        <v>0.42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4" t="s">
        <v>650</v>
      </c>
      <c r="B30" s="64">
        <v>7.96</v>
      </c>
      <c r="C30" s="64">
        <v>2.99</v>
      </c>
      <c r="D30" s="64">
        <v>11.72</v>
      </c>
      <c r="E30" s="64">
        <v>5.04</v>
      </c>
      <c r="F30" s="64">
        <v>3.86</v>
      </c>
      <c r="G30" s="64">
        <v>16.28</v>
      </c>
      <c r="H30" s="64">
        <v>3.67</v>
      </c>
      <c r="I30" s="64">
        <v>4.07</v>
      </c>
      <c r="J30" s="64">
        <v>0.02</v>
      </c>
      <c r="K30" s="64">
        <v>115.73</v>
      </c>
      <c r="L30" s="64">
        <v>25.11</v>
      </c>
      <c r="M30" s="64">
        <v>101.6</v>
      </c>
      <c r="N30" s="64">
        <v>39.4</v>
      </c>
      <c r="O30" s="64">
        <v>0</v>
      </c>
      <c r="P30" s="64">
        <v>0.41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651</v>
      </c>
      <c r="B31" s="64">
        <v>7.95</v>
      </c>
      <c r="C31" s="64">
        <v>2.97</v>
      </c>
      <c r="D31" s="64">
        <v>11.7</v>
      </c>
      <c r="E31" s="64">
        <v>4.88</v>
      </c>
      <c r="F31" s="64">
        <v>2.6</v>
      </c>
      <c r="G31" s="64">
        <v>16.28</v>
      </c>
      <c r="H31" s="64">
        <v>3.67</v>
      </c>
      <c r="I31" s="64">
        <v>3.9</v>
      </c>
      <c r="J31" s="64">
        <v>0.13</v>
      </c>
      <c r="K31" s="64">
        <v>344.13</v>
      </c>
      <c r="L31" s="64">
        <v>25.21</v>
      </c>
      <c r="M31" s="64">
        <v>101.6</v>
      </c>
      <c r="N31" s="64">
        <v>39.6</v>
      </c>
      <c r="O31" s="64">
        <v>0</v>
      </c>
      <c r="P31" s="64">
        <v>0.4</v>
      </c>
      <c r="Q31" s="64">
        <v>9.58</v>
      </c>
      <c r="R31" s="198"/>
      <c r="S31" s="198"/>
      <c r="T31" s="198"/>
      <c r="U31" s="198"/>
    </row>
    <row r="32" spans="1:21" s="12" customFormat="1" x14ac:dyDescent="0.25">
      <c r="A32" s="214" t="s">
        <v>652</v>
      </c>
      <c r="B32" s="64">
        <v>7.97</v>
      </c>
      <c r="C32" s="64">
        <v>2.94</v>
      </c>
      <c r="D32" s="64">
        <v>11.7</v>
      </c>
      <c r="E32" s="64">
        <v>4.58</v>
      </c>
      <c r="F32" s="64">
        <v>3.47</v>
      </c>
      <c r="G32" s="64">
        <v>14.56</v>
      </c>
      <c r="H32" s="64">
        <v>2.5499999999999998</v>
      </c>
      <c r="I32" s="64">
        <v>3.76</v>
      </c>
      <c r="J32" s="64">
        <v>7.0000000000000007E-2</v>
      </c>
      <c r="K32" s="64">
        <v>350.37</v>
      </c>
      <c r="L32" s="64">
        <v>25.28</v>
      </c>
      <c r="M32" s="64">
        <v>101.6</v>
      </c>
      <c r="N32" s="64">
        <v>41.4</v>
      </c>
      <c r="O32" s="64">
        <v>0</v>
      </c>
      <c r="P32" s="64">
        <v>0.39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4" t="s">
        <v>653</v>
      </c>
      <c r="B33" s="64">
        <v>7.98</v>
      </c>
      <c r="C33" s="64">
        <v>2.97</v>
      </c>
      <c r="D33" s="64">
        <v>11.73</v>
      </c>
      <c r="E33" s="64">
        <v>4.6500000000000004</v>
      </c>
      <c r="F33" s="64">
        <v>3.41</v>
      </c>
      <c r="G33" s="64">
        <v>11.43</v>
      </c>
      <c r="H33" s="64">
        <v>1.31</v>
      </c>
      <c r="I33" s="64">
        <v>3.56</v>
      </c>
      <c r="J33" s="64">
        <v>0.11</v>
      </c>
      <c r="K33" s="64">
        <v>332.46</v>
      </c>
      <c r="L33" s="64">
        <v>25.32</v>
      </c>
      <c r="M33" s="64">
        <v>101.6</v>
      </c>
      <c r="N33" s="64">
        <v>45.7</v>
      </c>
      <c r="O33" s="64">
        <v>0</v>
      </c>
      <c r="P33" s="64">
        <v>0.39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4" t="s">
        <v>654</v>
      </c>
      <c r="B34" s="64">
        <v>7.98</v>
      </c>
      <c r="C34" s="64">
        <v>2.97</v>
      </c>
      <c r="D34" s="64">
        <v>11.73</v>
      </c>
      <c r="E34" s="64">
        <v>5</v>
      </c>
      <c r="F34" s="64">
        <v>3.42</v>
      </c>
      <c r="G34" s="64">
        <v>11.43</v>
      </c>
      <c r="H34" s="64">
        <v>1.31</v>
      </c>
      <c r="I34" s="64">
        <v>3.46</v>
      </c>
      <c r="J34" s="64">
        <v>0.1</v>
      </c>
      <c r="K34" s="64">
        <v>333.95</v>
      </c>
      <c r="L34" s="64">
        <v>25.36</v>
      </c>
      <c r="M34" s="64">
        <v>101.6</v>
      </c>
      <c r="N34" s="64">
        <v>61.9</v>
      </c>
      <c r="O34" s="64">
        <v>0</v>
      </c>
      <c r="P34" s="64">
        <v>0.39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4" t="s">
        <v>655</v>
      </c>
      <c r="B35" s="64">
        <v>7.97</v>
      </c>
      <c r="C35" s="64">
        <v>2.98</v>
      </c>
      <c r="D35" s="64">
        <v>11.72</v>
      </c>
      <c r="E35" s="64">
        <v>5.13</v>
      </c>
      <c r="F35" s="64">
        <v>3.45</v>
      </c>
      <c r="G35" s="64">
        <v>11.43</v>
      </c>
      <c r="H35" s="64">
        <v>1.31</v>
      </c>
      <c r="I35" s="64">
        <v>3.42</v>
      </c>
      <c r="J35" s="64">
        <v>0.13</v>
      </c>
      <c r="K35" s="64">
        <v>314.63</v>
      </c>
      <c r="L35" s="64">
        <v>25.66</v>
      </c>
      <c r="M35" s="64">
        <v>101.6</v>
      </c>
      <c r="N35" s="64">
        <v>75.2</v>
      </c>
      <c r="O35" s="64">
        <v>0</v>
      </c>
      <c r="P35" s="64">
        <v>0.39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4" t="s">
        <v>656</v>
      </c>
      <c r="B36" s="64">
        <v>8</v>
      </c>
      <c r="C36" s="64">
        <v>2.98</v>
      </c>
      <c r="D36" s="64">
        <v>11.75</v>
      </c>
      <c r="E36" s="64">
        <v>4.99</v>
      </c>
      <c r="F36" s="64">
        <v>3.27</v>
      </c>
      <c r="G36" s="64">
        <v>13.39</v>
      </c>
      <c r="H36" s="64">
        <v>3.14</v>
      </c>
      <c r="I36" s="64">
        <v>3.41</v>
      </c>
      <c r="J36" s="64">
        <v>0.2</v>
      </c>
      <c r="K36" s="64">
        <v>322.19</v>
      </c>
      <c r="L36" s="64">
        <v>26.13</v>
      </c>
      <c r="M36" s="64">
        <v>101.55</v>
      </c>
      <c r="N36" s="64">
        <v>101.3</v>
      </c>
      <c r="O36" s="64">
        <v>0</v>
      </c>
      <c r="P36" s="64">
        <v>0.39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4" t="s">
        <v>657</v>
      </c>
      <c r="B37" s="64">
        <v>7.99</v>
      </c>
      <c r="C37" s="64">
        <v>2.95</v>
      </c>
      <c r="D37" s="64">
        <v>11.73</v>
      </c>
      <c r="E37" s="64">
        <v>5.15</v>
      </c>
      <c r="F37" s="64">
        <v>3.36</v>
      </c>
      <c r="G37" s="64">
        <v>16.95</v>
      </c>
      <c r="H37" s="64">
        <v>5.19</v>
      </c>
      <c r="I37" s="64">
        <v>3.4</v>
      </c>
      <c r="J37" s="64">
        <v>0.57999999999999996</v>
      </c>
      <c r="K37" s="64">
        <v>339.93</v>
      </c>
      <c r="L37" s="64">
        <v>27.06</v>
      </c>
      <c r="M37" s="64">
        <v>101.53</v>
      </c>
      <c r="N37" s="64">
        <v>182.7</v>
      </c>
      <c r="O37" s="64">
        <v>0</v>
      </c>
      <c r="P37" s="64">
        <v>0.38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4" t="s">
        <v>658</v>
      </c>
      <c r="B38" s="64">
        <v>7.98</v>
      </c>
      <c r="C38" s="64">
        <v>2.95</v>
      </c>
      <c r="D38" s="64">
        <v>11.72</v>
      </c>
      <c r="E38" s="64">
        <v>5.09</v>
      </c>
      <c r="F38" s="64">
        <v>3.43</v>
      </c>
      <c r="G38" s="64">
        <v>16.95</v>
      </c>
      <c r="H38" s="64">
        <v>5.19</v>
      </c>
      <c r="I38" s="64">
        <v>3.42</v>
      </c>
      <c r="J38" s="64">
        <v>0.61</v>
      </c>
      <c r="K38" s="64">
        <v>333.12</v>
      </c>
      <c r="L38" s="64">
        <v>28.29</v>
      </c>
      <c r="M38" s="64">
        <v>101.47</v>
      </c>
      <c r="N38" s="64">
        <v>165.3</v>
      </c>
      <c r="O38" s="64">
        <v>0</v>
      </c>
      <c r="P38" s="64">
        <v>0.4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659</v>
      </c>
      <c r="B39" s="64">
        <v>7.98</v>
      </c>
      <c r="C39" s="64">
        <v>3.02</v>
      </c>
      <c r="D39" s="64">
        <v>11.75</v>
      </c>
      <c r="E39" s="64">
        <v>4.76</v>
      </c>
      <c r="F39" s="64">
        <v>3.86</v>
      </c>
      <c r="G39" s="64">
        <v>16.95</v>
      </c>
      <c r="H39" s="64">
        <v>5.19</v>
      </c>
      <c r="I39" s="64">
        <v>3.47</v>
      </c>
      <c r="J39" s="64">
        <v>0.22</v>
      </c>
      <c r="K39" s="64">
        <v>321</v>
      </c>
      <c r="L39" s="64">
        <v>28.64</v>
      </c>
      <c r="M39" s="64">
        <v>101.19</v>
      </c>
      <c r="N39" s="64">
        <v>210.4</v>
      </c>
      <c r="O39" s="64">
        <v>0</v>
      </c>
      <c r="P39" s="64">
        <v>0.41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4" t="s">
        <v>660</v>
      </c>
      <c r="B40" s="64">
        <v>7.99</v>
      </c>
      <c r="C40" s="64">
        <v>3</v>
      </c>
      <c r="D40" s="64">
        <v>11.75</v>
      </c>
      <c r="E40" s="64">
        <v>3.83</v>
      </c>
      <c r="F40" s="64">
        <v>4.45</v>
      </c>
      <c r="G40" s="64">
        <v>21.97</v>
      </c>
      <c r="H40" s="64">
        <v>9.91</v>
      </c>
      <c r="I40" s="64">
        <v>3.48</v>
      </c>
      <c r="J40" s="64">
        <v>0.36</v>
      </c>
      <c r="K40" s="64">
        <v>357.57</v>
      </c>
      <c r="L40" s="64">
        <v>30.44</v>
      </c>
      <c r="M40" s="64">
        <v>92.09</v>
      </c>
      <c r="N40" s="64">
        <v>389.3</v>
      </c>
      <c r="O40" s="64">
        <v>0</v>
      </c>
      <c r="P40" s="64">
        <v>0.44</v>
      </c>
      <c r="Q40" s="64">
        <v>9.67</v>
      </c>
      <c r="R40" s="198"/>
      <c r="S40" s="198"/>
      <c r="T40" s="198"/>
      <c r="U40" s="198"/>
    </row>
    <row r="41" spans="1:21" s="12" customFormat="1" x14ac:dyDescent="0.25">
      <c r="A41" s="214" t="s">
        <v>661</v>
      </c>
      <c r="B41" s="64">
        <v>7.96</v>
      </c>
      <c r="C41" s="64">
        <v>2.97</v>
      </c>
      <c r="D41" s="64">
        <v>11.71</v>
      </c>
      <c r="E41" s="64">
        <v>4.12</v>
      </c>
      <c r="F41" s="64">
        <v>2.36</v>
      </c>
      <c r="G41" s="64">
        <v>31.08</v>
      </c>
      <c r="H41" s="64">
        <v>15.08</v>
      </c>
      <c r="I41" s="64">
        <v>3.49</v>
      </c>
      <c r="J41" s="64">
        <v>0.2</v>
      </c>
      <c r="K41" s="64">
        <v>64.91</v>
      </c>
      <c r="L41" s="64">
        <v>31.59</v>
      </c>
      <c r="M41" s="64">
        <v>85.37</v>
      </c>
      <c r="N41" s="64">
        <v>455.7</v>
      </c>
      <c r="O41" s="64">
        <v>0</v>
      </c>
      <c r="P41" s="64">
        <v>0.43</v>
      </c>
      <c r="Q41" s="64">
        <v>9.59</v>
      </c>
      <c r="R41" s="198"/>
      <c r="S41" s="198"/>
      <c r="T41" s="198"/>
      <c r="U41" s="198"/>
    </row>
    <row r="42" spans="1:21" s="12" customFormat="1" x14ac:dyDescent="0.25">
      <c r="A42" s="214" t="s">
        <v>662</v>
      </c>
      <c r="B42" s="64">
        <v>7.95</v>
      </c>
      <c r="C42" s="64">
        <v>2.97</v>
      </c>
      <c r="D42" s="64">
        <v>11.7</v>
      </c>
      <c r="E42" s="64">
        <v>4.2300000000000004</v>
      </c>
      <c r="F42" s="64">
        <v>4.05</v>
      </c>
      <c r="G42" s="64">
        <v>31.08</v>
      </c>
      <c r="H42" s="64">
        <v>15.08</v>
      </c>
      <c r="I42" s="64">
        <v>3.66</v>
      </c>
      <c r="J42" s="64">
        <v>0.52</v>
      </c>
      <c r="K42" s="64">
        <v>112.35</v>
      </c>
      <c r="L42" s="64">
        <v>30.38</v>
      </c>
      <c r="M42" s="64">
        <v>91.9</v>
      </c>
      <c r="N42" s="64">
        <v>514.79999999999995</v>
      </c>
      <c r="O42" s="64">
        <v>0</v>
      </c>
      <c r="P42" s="64">
        <v>0.43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4" t="s">
        <v>663</v>
      </c>
      <c r="B43" s="64">
        <v>7.95</v>
      </c>
      <c r="C43" s="64">
        <v>2.95</v>
      </c>
      <c r="D43" s="64">
        <v>11.69</v>
      </c>
      <c r="E43" s="64">
        <v>4.1500000000000004</v>
      </c>
      <c r="F43" s="64">
        <v>2.5299999999999998</v>
      </c>
      <c r="G43" s="64">
        <v>31.08</v>
      </c>
      <c r="H43" s="64">
        <v>15.08</v>
      </c>
      <c r="I43" s="64">
        <v>3.49</v>
      </c>
      <c r="J43" s="64">
        <v>0.34</v>
      </c>
      <c r="K43" s="64">
        <v>350.05</v>
      </c>
      <c r="L43" s="64">
        <v>32.11</v>
      </c>
      <c r="M43" s="64">
        <v>84.66</v>
      </c>
      <c r="N43" s="64">
        <v>491</v>
      </c>
      <c r="O43" s="64">
        <v>0</v>
      </c>
      <c r="P43" s="64">
        <v>0.44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4" t="s">
        <v>664</v>
      </c>
      <c r="B44" s="64">
        <v>7.96</v>
      </c>
      <c r="C44" s="64">
        <v>2.97</v>
      </c>
      <c r="D44" s="64">
        <v>11.71</v>
      </c>
      <c r="E44" s="64">
        <v>4.17</v>
      </c>
      <c r="F44" s="64">
        <v>3.82</v>
      </c>
      <c r="G44" s="64">
        <v>31.68</v>
      </c>
      <c r="H44" s="64">
        <v>15.42</v>
      </c>
      <c r="I44" s="64">
        <v>4.12</v>
      </c>
      <c r="J44" s="64">
        <v>0.44</v>
      </c>
      <c r="K44" s="64">
        <v>345.26</v>
      </c>
      <c r="L44" s="64">
        <v>34.270000000000003</v>
      </c>
      <c r="M44" s="64">
        <v>74.81</v>
      </c>
      <c r="N44" s="64">
        <v>581.4</v>
      </c>
      <c r="O44" s="64">
        <v>0</v>
      </c>
      <c r="P44" s="64">
        <v>0.44</v>
      </c>
      <c r="Q44" s="64">
        <v>9.6999999999999993</v>
      </c>
      <c r="R44" s="198"/>
      <c r="S44" s="198"/>
      <c r="T44" s="198"/>
      <c r="U44" s="198"/>
    </row>
    <row r="45" spans="1:21" s="12" customFormat="1" x14ac:dyDescent="0.25">
      <c r="A45" s="214" t="s">
        <v>665</v>
      </c>
      <c r="B45" s="64">
        <v>7.96</v>
      </c>
      <c r="C45" s="64">
        <v>2.93</v>
      </c>
      <c r="D45" s="64">
        <v>11.69</v>
      </c>
      <c r="E45" s="64">
        <v>4.08</v>
      </c>
      <c r="F45" s="64">
        <v>3.69</v>
      </c>
      <c r="G45" s="64">
        <v>32.78</v>
      </c>
      <c r="H45" s="64">
        <v>16.510000000000002</v>
      </c>
      <c r="I45" s="64">
        <v>4.12</v>
      </c>
      <c r="J45" s="64">
        <v>0.28999999999999998</v>
      </c>
      <c r="K45" s="64">
        <v>348.53</v>
      </c>
      <c r="L45" s="64">
        <v>34.869999999999997</v>
      </c>
      <c r="M45" s="64">
        <v>71.400000000000006</v>
      </c>
      <c r="N45" s="64">
        <v>551.1</v>
      </c>
      <c r="O45" s="64">
        <v>0</v>
      </c>
      <c r="P45" s="64">
        <v>0.47</v>
      </c>
      <c r="Q45" s="64">
        <v>9.75</v>
      </c>
      <c r="R45" s="198"/>
      <c r="S45" s="198"/>
      <c r="T45" s="198"/>
      <c r="U45" s="198"/>
    </row>
    <row r="46" spans="1:21" s="12" customFormat="1" x14ac:dyDescent="0.25">
      <c r="A46" s="214" t="s">
        <v>666</v>
      </c>
      <c r="B46" s="64">
        <v>8</v>
      </c>
      <c r="C46" s="64">
        <v>3.06</v>
      </c>
      <c r="D46" s="64">
        <v>11.79</v>
      </c>
      <c r="E46" s="64">
        <v>4.2699999999999996</v>
      </c>
      <c r="F46" s="64">
        <v>3.45</v>
      </c>
      <c r="G46" s="64">
        <v>32.78</v>
      </c>
      <c r="H46" s="64">
        <v>16.510000000000002</v>
      </c>
      <c r="I46" s="64">
        <v>4.34</v>
      </c>
      <c r="J46" s="64">
        <v>0.44</v>
      </c>
      <c r="K46" s="64">
        <v>339.44</v>
      </c>
      <c r="L46" s="64">
        <v>35.53</v>
      </c>
      <c r="M46" s="64">
        <v>70.39</v>
      </c>
      <c r="N46" s="64">
        <v>615.9</v>
      </c>
      <c r="O46" s="64">
        <v>0</v>
      </c>
      <c r="P46" s="64">
        <v>0.49</v>
      </c>
      <c r="Q46" s="64">
        <v>9.69</v>
      </c>
      <c r="R46" s="198"/>
      <c r="S46" s="198"/>
      <c r="T46" s="198"/>
      <c r="U46" s="198"/>
    </row>
    <row r="47" spans="1:21" s="12" customFormat="1" x14ac:dyDescent="0.25">
      <c r="A47" s="214" t="s">
        <v>667</v>
      </c>
      <c r="B47" s="64">
        <v>7.97</v>
      </c>
      <c r="C47" s="64">
        <v>3.03</v>
      </c>
      <c r="D47" s="64">
        <v>11.75</v>
      </c>
      <c r="E47" s="64">
        <v>4.3600000000000003</v>
      </c>
      <c r="F47" s="64">
        <v>3.26</v>
      </c>
      <c r="G47" s="64">
        <v>32.78</v>
      </c>
      <c r="H47" s="64">
        <v>16.510000000000002</v>
      </c>
      <c r="I47" s="64">
        <v>4.38</v>
      </c>
      <c r="J47" s="64">
        <v>0.18</v>
      </c>
      <c r="K47" s="64">
        <v>346.81</v>
      </c>
      <c r="L47" s="64">
        <v>34.96</v>
      </c>
      <c r="M47" s="64">
        <v>71.3</v>
      </c>
      <c r="N47" s="64">
        <v>457.2</v>
      </c>
      <c r="O47" s="64">
        <v>0</v>
      </c>
      <c r="P47" s="64">
        <v>0.51</v>
      </c>
      <c r="Q47" s="64">
        <v>9.74</v>
      </c>
      <c r="R47" s="198"/>
      <c r="S47" s="198"/>
      <c r="T47" s="198"/>
      <c r="U47" s="198"/>
    </row>
    <row r="48" spans="1:21" s="12" customFormat="1" x14ac:dyDescent="0.25">
      <c r="A48" s="214" t="s">
        <v>668</v>
      </c>
      <c r="B48" s="64">
        <v>7.95</v>
      </c>
      <c r="C48" s="64">
        <v>2.98</v>
      </c>
      <c r="D48" s="64">
        <v>11.7</v>
      </c>
      <c r="E48" s="64">
        <v>4.24</v>
      </c>
      <c r="F48" s="64">
        <v>2.99</v>
      </c>
      <c r="G48" s="64">
        <v>36.590000000000003</v>
      </c>
      <c r="H48" s="64">
        <v>25.82</v>
      </c>
      <c r="I48" s="64">
        <v>4.4400000000000004</v>
      </c>
      <c r="J48" s="64">
        <v>0.1</v>
      </c>
      <c r="K48" s="64">
        <v>307.55</v>
      </c>
      <c r="L48" s="64">
        <v>34.51</v>
      </c>
      <c r="M48" s="64">
        <v>73.87</v>
      </c>
      <c r="N48" s="64">
        <v>578.29999999999995</v>
      </c>
      <c r="O48" s="64">
        <v>0</v>
      </c>
      <c r="P48" s="64">
        <v>0.53</v>
      </c>
      <c r="Q48" s="64">
        <v>9.6999999999999993</v>
      </c>
      <c r="R48" s="198"/>
      <c r="S48" s="198"/>
      <c r="T48" s="198"/>
      <c r="U48" s="198"/>
    </row>
    <row r="49" spans="1:21" s="12" customFormat="1" x14ac:dyDescent="0.25">
      <c r="A49" s="214" t="s">
        <v>669</v>
      </c>
      <c r="B49" s="64">
        <v>7.95</v>
      </c>
      <c r="C49" s="64">
        <v>2.99</v>
      </c>
      <c r="D49" s="64">
        <v>11.71</v>
      </c>
      <c r="E49" s="64">
        <v>4.17</v>
      </c>
      <c r="F49" s="64">
        <v>3.66</v>
      </c>
      <c r="G49" s="64">
        <v>43.5</v>
      </c>
      <c r="H49" s="64">
        <v>36.32</v>
      </c>
      <c r="I49" s="64">
        <v>4.42</v>
      </c>
      <c r="J49" s="64">
        <v>0.47</v>
      </c>
      <c r="K49" s="64">
        <v>345.49</v>
      </c>
      <c r="L49" s="64">
        <v>34.99</v>
      </c>
      <c r="M49" s="64">
        <v>71.11</v>
      </c>
      <c r="N49" s="64">
        <v>508.5</v>
      </c>
      <c r="O49" s="64">
        <v>0</v>
      </c>
      <c r="P49" s="64">
        <v>0.56000000000000005</v>
      </c>
      <c r="Q49" s="64">
        <v>9.69</v>
      </c>
      <c r="R49" s="198"/>
      <c r="S49" s="198"/>
      <c r="T49" s="198"/>
      <c r="U49" s="198"/>
    </row>
    <row r="50" spans="1:21" s="12" customFormat="1" x14ac:dyDescent="0.25">
      <c r="A50" s="214" t="s">
        <v>670</v>
      </c>
      <c r="B50" s="64">
        <v>8.01</v>
      </c>
      <c r="C50" s="64">
        <v>3.04</v>
      </c>
      <c r="D50" s="64">
        <v>11.78</v>
      </c>
      <c r="E50" s="64">
        <v>3.73</v>
      </c>
      <c r="F50" s="64">
        <v>3.43</v>
      </c>
      <c r="G50" s="64">
        <v>43.5</v>
      </c>
      <c r="H50" s="64">
        <v>36.32</v>
      </c>
      <c r="I50" s="64">
        <v>4.47</v>
      </c>
      <c r="J50" s="64">
        <v>0.17</v>
      </c>
      <c r="K50" s="64">
        <v>350.87</v>
      </c>
      <c r="L50" s="64">
        <v>34.93</v>
      </c>
      <c r="M50" s="64">
        <v>69.430000000000007</v>
      </c>
      <c r="N50" s="64">
        <v>433.7</v>
      </c>
      <c r="O50" s="64">
        <v>0</v>
      </c>
      <c r="P50" s="64">
        <v>0.57999999999999996</v>
      </c>
      <c r="Q50" s="64">
        <v>9.7100000000000009</v>
      </c>
      <c r="R50" s="198"/>
      <c r="S50" s="198"/>
      <c r="T50" s="198"/>
      <c r="U50" s="198"/>
    </row>
    <row r="51" spans="1:21" s="12" customFormat="1" x14ac:dyDescent="0.25">
      <c r="A51" s="214" t="s">
        <v>671</v>
      </c>
      <c r="B51" s="64">
        <v>8.01</v>
      </c>
      <c r="C51" s="64">
        <v>3.07</v>
      </c>
      <c r="D51" s="64">
        <v>11.8</v>
      </c>
      <c r="E51" s="64">
        <v>4.17</v>
      </c>
      <c r="F51" s="64">
        <v>3.88</v>
      </c>
      <c r="G51" s="64">
        <v>43.5</v>
      </c>
      <c r="H51" s="64">
        <v>36.32</v>
      </c>
      <c r="I51" s="64">
        <v>4.67</v>
      </c>
      <c r="J51" s="64">
        <v>0.15</v>
      </c>
      <c r="K51" s="64">
        <v>312.74</v>
      </c>
      <c r="L51" s="64">
        <v>33.43</v>
      </c>
      <c r="M51" s="64">
        <v>75.84</v>
      </c>
      <c r="N51" s="64">
        <v>216.3</v>
      </c>
      <c r="O51" s="64">
        <v>0</v>
      </c>
      <c r="P51" s="64">
        <v>0.6</v>
      </c>
      <c r="Q51" s="64">
        <v>9.7200000000000006</v>
      </c>
      <c r="R51" s="198"/>
      <c r="S51" s="198"/>
      <c r="T51" s="198"/>
      <c r="U51" s="198"/>
    </row>
    <row r="52" spans="1:21" s="12" customFormat="1" x14ac:dyDescent="0.25">
      <c r="A52" s="214" t="s">
        <v>672</v>
      </c>
      <c r="B52" s="64">
        <v>7.97</v>
      </c>
      <c r="C52" s="64">
        <v>3.01</v>
      </c>
      <c r="D52" s="64">
        <v>11.74</v>
      </c>
      <c r="E52" s="64">
        <v>4.62</v>
      </c>
      <c r="F52" s="64">
        <v>28.93</v>
      </c>
      <c r="G52" s="64">
        <v>49.36</v>
      </c>
      <c r="H52" s="64">
        <v>33.81</v>
      </c>
      <c r="I52" s="64">
        <v>4.84</v>
      </c>
      <c r="J52" s="64">
        <v>0.03</v>
      </c>
      <c r="K52" s="64">
        <v>239.49</v>
      </c>
      <c r="L52" s="64">
        <v>30.99</v>
      </c>
      <c r="M52" s="64">
        <v>85.4</v>
      </c>
      <c r="N52" s="64">
        <v>153.19999999999999</v>
      </c>
      <c r="O52" s="64">
        <v>0</v>
      </c>
      <c r="P52" s="64">
        <v>0.5</v>
      </c>
      <c r="Q52" s="64">
        <v>9.7799999999999994</v>
      </c>
      <c r="R52" s="198"/>
      <c r="S52" s="198"/>
      <c r="T52" s="198"/>
      <c r="U52" s="198"/>
    </row>
    <row r="53" spans="1:21" s="12" customFormat="1" x14ac:dyDescent="0.25">
      <c r="A53" s="214" t="s">
        <v>673</v>
      </c>
      <c r="B53" s="64">
        <v>7.95</v>
      </c>
      <c r="C53" s="64">
        <v>2.97</v>
      </c>
      <c r="D53" s="64">
        <v>11.7</v>
      </c>
      <c r="E53" s="64">
        <v>4.37</v>
      </c>
      <c r="F53" s="64">
        <v>24.24</v>
      </c>
      <c r="G53" s="64">
        <v>59.99</v>
      </c>
      <c r="H53" s="64">
        <v>30.97</v>
      </c>
      <c r="I53" s="64">
        <v>4.9400000000000004</v>
      </c>
      <c r="J53" s="64">
        <v>0.01</v>
      </c>
      <c r="K53" s="64">
        <v>216.62</v>
      </c>
      <c r="L53" s="64">
        <v>30.6</v>
      </c>
      <c r="M53" s="64">
        <v>86.09</v>
      </c>
      <c r="N53" s="64">
        <v>225.6</v>
      </c>
      <c r="O53" s="64">
        <v>0</v>
      </c>
      <c r="P53" s="64">
        <v>0.41</v>
      </c>
      <c r="Q53" s="64">
        <v>9.7200000000000006</v>
      </c>
      <c r="R53" s="198"/>
      <c r="S53" s="198"/>
      <c r="T53" s="198"/>
      <c r="U53" s="198"/>
    </row>
    <row r="54" spans="1:21" s="12" customFormat="1" x14ac:dyDescent="0.25">
      <c r="A54" s="214" t="s">
        <v>674</v>
      </c>
      <c r="B54" s="64">
        <v>7.95</v>
      </c>
      <c r="C54" s="64">
        <v>3.02</v>
      </c>
      <c r="D54" s="64">
        <v>11.73</v>
      </c>
      <c r="E54" s="64">
        <v>4.87</v>
      </c>
      <c r="F54" s="64">
        <v>31.29</v>
      </c>
      <c r="G54" s="64">
        <v>59.99</v>
      </c>
      <c r="H54" s="64">
        <v>30.97</v>
      </c>
      <c r="I54" s="64">
        <v>2.78</v>
      </c>
      <c r="J54" s="64">
        <v>0.11</v>
      </c>
      <c r="K54" s="64">
        <v>293.87</v>
      </c>
      <c r="L54" s="64">
        <v>31.49</v>
      </c>
      <c r="M54" s="64">
        <v>83.47</v>
      </c>
      <c r="N54" s="64">
        <v>363.4</v>
      </c>
      <c r="O54" s="64">
        <v>0</v>
      </c>
      <c r="P54" s="64">
        <v>0.45</v>
      </c>
      <c r="Q54" s="64">
        <v>9.69</v>
      </c>
      <c r="R54" s="198"/>
      <c r="S54" s="198"/>
      <c r="T54" s="198"/>
      <c r="U54" s="198"/>
    </row>
    <row r="55" spans="1:21" s="12" customFormat="1" x14ac:dyDescent="0.25">
      <c r="A55" s="214" t="s">
        <v>675</v>
      </c>
      <c r="B55" s="64">
        <v>7.93</v>
      </c>
      <c r="C55" s="64">
        <v>3.04</v>
      </c>
      <c r="D55" s="64">
        <v>11.72</v>
      </c>
      <c r="E55" s="64">
        <v>5.12</v>
      </c>
      <c r="F55" s="64">
        <v>31.76</v>
      </c>
      <c r="G55" s="64">
        <v>59.99</v>
      </c>
      <c r="H55" s="64">
        <v>30.97</v>
      </c>
      <c r="I55" s="64">
        <v>2</v>
      </c>
      <c r="J55" s="64">
        <v>0.03</v>
      </c>
      <c r="K55" s="64">
        <v>202.78</v>
      </c>
      <c r="L55" s="64">
        <v>31.9</v>
      </c>
      <c r="M55" s="64">
        <v>80.45</v>
      </c>
      <c r="N55" s="64">
        <v>249.1</v>
      </c>
      <c r="O55" s="64">
        <v>0</v>
      </c>
      <c r="P55" s="64">
        <v>0.44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4" t="s">
        <v>676</v>
      </c>
      <c r="B56" s="64">
        <v>7.9</v>
      </c>
      <c r="C56" s="64">
        <v>3.01</v>
      </c>
      <c r="D56" s="64">
        <v>11.68</v>
      </c>
      <c r="E56" s="64">
        <v>4.2300000000000004</v>
      </c>
      <c r="F56" s="64">
        <v>24.93</v>
      </c>
      <c r="G56" s="64">
        <v>54.41</v>
      </c>
      <c r="H56" s="64">
        <v>30.71</v>
      </c>
      <c r="I56" s="64">
        <v>1.61</v>
      </c>
      <c r="J56" s="64">
        <v>0.17</v>
      </c>
      <c r="K56" s="64">
        <v>177.27</v>
      </c>
      <c r="L56" s="64">
        <v>31.45</v>
      </c>
      <c r="M56" s="64">
        <v>84.01</v>
      </c>
      <c r="N56" s="64">
        <v>92.9</v>
      </c>
      <c r="O56" s="64">
        <v>0</v>
      </c>
      <c r="P56" s="64">
        <v>0.41</v>
      </c>
      <c r="Q56" s="64">
        <v>9.56</v>
      </c>
      <c r="R56" s="198"/>
      <c r="S56" s="198"/>
      <c r="T56" s="198"/>
      <c r="U56" s="198"/>
    </row>
    <row r="57" spans="1:21" s="12" customFormat="1" x14ac:dyDescent="0.25">
      <c r="A57" s="214" t="s">
        <v>677</v>
      </c>
      <c r="B57" s="64">
        <v>7.91</v>
      </c>
      <c r="C57" s="64">
        <v>3</v>
      </c>
      <c r="D57" s="64">
        <v>11.68</v>
      </c>
      <c r="E57" s="64">
        <v>3.55</v>
      </c>
      <c r="F57" s="64">
        <v>12.63</v>
      </c>
      <c r="G57" s="64">
        <v>44.31</v>
      </c>
      <c r="H57" s="64">
        <v>30.42</v>
      </c>
      <c r="I57" s="64">
        <v>1.56</v>
      </c>
      <c r="J57" s="64">
        <v>0.49</v>
      </c>
      <c r="K57" s="64">
        <v>151.54</v>
      </c>
      <c r="L57" s="64">
        <v>30.08</v>
      </c>
      <c r="M57" s="64">
        <v>92.77</v>
      </c>
      <c r="N57" s="64">
        <v>66.7</v>
      </c>
      <c r="O57" s="64">
        <v>0</v>
      </c>
      <c r="P57" s="64">
        <v>0.37</v>
      </c>
      <c r="Q57" s="64">
        <v>9.51</v>
      </c>
      <c r="R57" s="198"/>
      <c r="S57" s="198"/>
      <c r="T57" s="198"/>
      <c r="U57" s="198"/>
    </row>
    <row r="58" spans="1:21" s="12" customFormat="1" x14ac:dyDescent="0.25">
      <c r="A58" s="214" t="s">
        <v>678</v>
      </c>
      <c r="B58" s="64">
        <v>7.93</v>
      </c>
      <c r="C58" s="64">
        <v>3</v>
      </c>
      <c r="D58" s="64">
        <v>11.7</v>
      </c>
      <c r="E58" s="64">
        <v>3.02</v>
      </c>
      <c r="F58" s="64">
        <v>9.17</v>
      </c>
      <c r="G58" s="64">
        <v>44.31</v>
      </c>
      <c r="H58" s="64">
        <v>30.42</v>
      </c>
      <c r="I58" s="64">
        <v>1.61</v>
      </c>
      <c r="J58" s="64">
        <v>1.49</v>
      </c>
      <c r="K58" s="64">
        <v>111.93</v>
      </c>
      <c r="L58" s="64">
        <v>27.57</v>
      </c>
      <c r="M58" s="64">
        <v>101.34</v>
      </c>
      <c r="N58" s="64">
        <v>57.4</v>
      </c>
      <c r="O58" s="64">
        <v>5</v>
      </c>
      <c r="P58" s="64">
        <v>0.41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4" t="s">
        <v>679</v>
      </c>
      <c r="B59" s="64">
        <v>7.92</v>
      </c>
      <c r="C59" s="64">
        <v>2.94</v>
      </c>
      <c r="D59" s="64">
        <v>11.66</v>
      </c>
      <c r="E59" s="64">
        <v>3.04</v>
      </c>
      <c r="F59" s="64">
        <v>8.94</v>
      </c>
      <c r="G59" s="64">
        <v>44.31</v>
      </c>
      <c r="H59" s="64">
        <v>30.42</v>
      </c>
      <c r="I59" s="64">
        <v>1.95</v>
      </c>
      <c r="J59" s="64">
        <v>1.78</v>
      </c>
      <c r="K59" s="64">
        <v>109.14</v>
      </c>
      <c r="L59" s="64">
        <v>25.19</v>
      </c>
      <c r="M59" s="64">
        <v>101.24</v>
      </c>
      <c r="N59" s="64">
        <v>65.3</v>
      </c>
      <c r="O59" s="64">
        <v>16.8</v>
      </c>
      <c r="P59" s="64">
        <v>0.42</v>
      </c>
      <c r="Q59" s="64">
        <v>9.52</v>
      </c>
      <c r="R59" s="198"/>
      <c r="S59" s="198"/>
      <c r="T59" s="198"/>
      <c r="U59" s="198"/>
    </row>
    <row r="60" spans="1:21" s="12" customFormat="1" x14ac:dyDescent="0.25">
      <c r="A60" s="214" t="s">
        <v>680</v>
      </c>
      <c r="B60" s="64">
        <v>7.92</v>
      </c>
      <c r="C60" s="64">
        <v>2.99</v>
      </c>
      <c r="D60" s="64">
        <v>11.69</v>
      </c>
      <c r="E60" s="64">
        <v>3.21</v>
      </c>
      <c r="F60" s="64">
        <v>5.93</v>
      </c>
      <c r="G60" s="64">
        <v>40.6</v>
      </c>
      <c r="H60" s="64">
        <v>26.77</v>
      </c>
      <c r="I60" s="64">
        <v>2.42</v>
      </c>
      <c r="J60" s="64">
        <v>1.18</v>
      </c>
      <c r="K60" s="64">
        <v>154.77000000000001</v>
      </c>
      <c r="L60" s="64">
        <v>24.78</v>
      </c>
      <c r="M60" s="64">
        <v>101.05</v>
      </c>
      <c r="N60" s="64">
        <v>114.2</v>
      </c>
      <c r="O60" s="64">
        <v>2.8</v>
      </c>
      <c r="P60" s="64">
        <v>0.42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4" t="s">
        <v>681</v>
      </c>
      <c r="B61" s="64">
        <v>7.94</v>
      </c>
      <c r="C61" s="64">
        <v>3.13</v>
      </c>
      <c r="D61" s="64">
        <v>11.78</v>
      </c>
      <c r="E61" s="64">
        <v>3.04</v>
      </c>
      <c r="F61" s="64">
        <v>5.58</v>
      </c>
      <c r="G61" s="64">
        <v>33.880000000000003</v>
      </c>
      <c r="H61" s="64">
        <v>15.16</v>
      </c>
      <c r="I61" s="64">
        <v>3.78</v>
      </c>
      <c r="J61" s="64">
        <v>1.05</v>
      </c>
      <c r="K61" s="64">
        <v>149.02000000000001</v>
      </c>
      <c r="L61" s="64">
        <v>24.79</v>
      </c>
      <c r="M61" s="64">
        <v>101.06</v>
      </c>
      <c r="N61" s="64">
        <v>132.9</v>
      </c>
      <c r="O61" s="64">
        <v>0</v>
      </c>
      <c r="P61" s="64">
        <v>0.39</v>
      </c>
      <c r="Q61" s="64">
        <v>9.65</v>
      </c>
      <c r="R61" s="198"/>
      <c r="S61" s="198"/>
      <c r="T61" s="198"/>
      <c r="U61" s="198"/>
    </row>
    <row r="62" spans="1:21" s="12" customFormat="1" x14ac:dyDescent="0.25">
      <c r="A62" s="214" t="s">
        <v>682</v>
      </c>
      <c r="B62" s="64">
        <v>7.96</v>
      </c>
      <c r="C62" s="64">
        <v>3.11</v>
      </c>
      <c r="D62" s="64">
        <v>11.78</v>
      </c>
      <c r="E62" s="64">
        <v>3.18</v>
      </c>
      <c r="F62" s="64">
        <v>4.4400000000000004</v>
      </c>
      <c r="G62" s="64">
        <v>33.880000000000003</v>
      </c>
      <c r="H62" s="64">
        <v>15.16</v>
      </c>
      <c r="I62" s="64">
        <v>4.12</v>
      </c>
      <c r="J62" s="64">
        <v>0.51</v>
      </c>
      <c r="K62" s="64">
        <v>145.19999999999999</v>
      </c>
      <c r="L62" s="64">
        <v>25.29</v>
      </c>
      <c r="M62" s="64">
        <v>101.3</v>
      </c>
      <c r="N62" s="64">
        <v>168.4</v>
      </c>
      <c r="O62" s="64">
        <v>0</v>
      </c>
      <c r="P62" s="64">
        <v>0.4</v>
      </c>
      <c r="Q62" s="64">
        <v>9.58</v>
      </c>
      <c r="R62" s="198"/>
      <c r="S62" s="198"/>
      <c r="T62" s="198"/>
      <c r="U62" s="198"/>
    </row>
    <row r="63" spans="1:21" s="12" customFormat="1" x14ac:dyDescent="0.25">
      <c r="A63" s="214" t="s">
        <v>683</v>
      </c>
      <c r="B63" s="64">
        <v>7.93</v>
      </c>
      <c r="C63" s="64">
        <v>3.05</v>
      </c>
      <c r="D63" s="64">
        <v>11.73</v>
      </c>
      <c r="E63" s="64">
        <v>3.82</v>
      </c>
      <c r="F63" s="64">
        <v>4.34</v>
      </c>
      <c r="G63" s="64">
        <v>33.880000000000003</v>
      </c>
      <c r="H63" s="64">
        <v>15.16</v>
      </c>
      <c r="I63" s="64">
        <v>4.07</v>
      </c>
      <c r="J63" s="64">
        <v>0.89</v>
      </c>
      <c r="K63" s="64">
        <v>144.86000000000001</v>
      </c>
      <c r="L63" s="64">
        <v>25.7</v>
      </c>
      <c r="M63" s="64">
        <v>101.4</v>
      </c>
      <c r="N63" s="64">
        <v>270.60000000000002</v>
      </c>
      <c r="O63" s="64">
        <v>0</v>
      </c>
      <c r="P63" s="64">
        <v>0.43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4" t="s">
        <v>684</v>
      </c>
      <c r="B64" s="64">
        <v>7.95</v>
      </c>
      <c r="C64" s="64">
        <v>3.07</v>
      </c>
      <c r="D64" s="64">
        <v>11.76</v>
      </c>
      <c r="E64" s="64">
        <v>3.25</v>
      </c>
      <c r="F64" s="64">
        <v>4.3</v>
      </c>
      <c r="G64" s="64">
        <v>33.03</v>
      </c>
      <c r="H64" s="64">
        <v>11.32</v>
      </c>
      <c r="I64" s="64">
        <v>3.78</v>
      </c>
      <c r="J64" s="64">
        <v>0.35</v>
      </c>
      <c r="K64" s="64">
        <v>162.01</v>
      </c>
      <c r="L64" s="64">
        <v>25.99</v>
      </c>
      <c r="M64" s="64">
        <v>101.08</v>
      </c>
      <c r="N64" s="64">
        <v>158.4</v>
      </c>
      <c r="O64" s="64">
        <v>0</v>
      </c>
      <c r="P64" s="64">
        <v>0.43</v>
      </c>
      <c r="Q64" s="64">
        <v>9.57</v>
      </c>
      <c r="R64" s="198"/>
      <c r="S64" s="198"/>
      <c r="T64" s="198"/>
      <c r="U64" s="198"/>
    </row>
    <row r="65" spans="1:21" s="12" customFormat="1" x14ac:dyDescent="0.25">
      <c r="A65" s="214" t="s">
        <v>685</v>
      </c>
      <c r="B65" s="64">
        <v>7.96</v>
      </c>
      <c r="C65" s="64">
        <v>3.09</v>
      </c>
      <c r="D65" s="64">
        <v>11.78</v>
      </c>
      <c r="E65" s="64">
        <v>3.01</v>
      </c>
      <c r="F65" s="64">
        <v>3.54</v>
      </c>
      <c r="G65" s="64">
        <v>31.49</v>
      </c>
      <c r="H65" s="64">
        <v>6.97</v>
      </c>
      <c r="I65" s="64">
        <v>3.75</v>
      </c>
      <c r="J65" s="64">
        <v>0.18</v>
      </c>
      <c r="K65" s="64">
        <v>154.82</v>
      </c>
      <c r="L65" s="64">
        <v>26.38</v>
      </c>
      <c r="M65" s="64">
        <v>101.08</v>
      </c>
      <c r="N65" s="64">
        <v>141.9</v>
      </c>
      <c r="O65" s="64">
        <v>0</v>
      </c>
      <c r="P65" s="64">
        <v>0.44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4" t="s">
        <v>686</v>
      </c>
      <c r="B66" s="64">
        <v>7.95</v>
      </c>
      <c r="C66" s="64">
        <v>3</v>
      </c>
      <c r="D66" s="64">
        <v>11.71</v>
      </c>
      <c r="E66" s="64">
        <v>2.85</v>
      </c>
      <c r="F66" s="64">
        <v>3.71</v>
      </c>
      <c r="G66" s="64">
        <v>31.49</v>
      </c>
      <c r="H66" s="64">
        <v>6.97</v>
      </c>
      <c r="I66" s="64">
        <v>3.68</v>
      </c>
      <c r="J66" s="64">
        <v>0.76</v>
      </c>
      <c r="K66" s="64">
        <v>150.54</v>
      </c>
      <c r="L66" s="64">
        <v>26.55</v>
      </c>
      <c r="M66" s="64">
        <v>101.14</v>
      </c>
      <c r="N66" s="64">
        <v>138.1</v>
      </c>
      <c r="O66" s="64">
        <v>0</v>
      </c>
      <c r="P66" s="64">
        <v>0.44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4" t="s">
        <v>687</v>
      </c>
      <c r="B67" s="64">
        <v>7.97</v>
      </c>
      <c r="C67" s="64">
        <v>3.03</v>
      </c>
      <c r="D67" s="64">
        <v>11.75</v>
      </c>
      <c r="E67" s="64">
        <v>2.7</v>
      </c>
      <c r="F67" s="64">
        <v>3.64</v>
      </c>
      <c r="G67" s="64">
        <v>31.49</v>
      </c>
      <c r="H67" s="64">
        <v>6.97</v>
      </c>
      <c r="I67" s="64">
        <v>3.75</v>
      </c>
      <c r="J67" s="64">
        <v>1.1100000000000001</v>
      </c>
      <c r="K67" s="64">
        <v>148.80000000000001</v>
      </c>
      <c r="L67" s="64">
        <v>27.09</v>
      </c>
      <c r="M67" s="64">
        <v>101.51</v>
      </c>
      <c r="N67" s="64">
        <v>157.19999999999999</v>
      </c>
      <c r="O67" s="64">
        <v>0</v>
      </c>
      <c r="P67" s="64">
        <v>0.43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4" t="s">
        <v>688</v>
      </c>
      <c r="B68" s="64">
        <v>8</v>
      </c>
      <c r="C68" s="64">
        <v>3.14</v>
      </c>
      <c r="D68" s="64">
        <v>11.83</v>
      </c>
      <c r="E68" s="64">
        <v>3.15</v>
      </c>
      <c r="F68" s="64">
        <v>3.54</v>
      </c>
      <c r="G68" s="64">
        <v>36.49</v>
      </c>
      <c r="H68" s="64">
        <v>67.260000000000005</v>
      </c>
      <c r="I68" s="64">
        <v>3.88</v>
      </c>
      <c r="J68" s="64">
        <v>0.82</v>
      </c>
      <c r="K68" s="64">
        <v>148.66999999999999</v>
      </c>
      <c r="L68" s="64">
        <v>27.38</v>
      </c>
      <c r="M68" s="64">
        <v>101</v>
      </c>
      <c r="N68" s="64">
        <v>193</v>
      </c>
      <c r="O68" s="64">
        <v>0</v>
      </c>
      <c r="P68" s="64">
        <v>0.43</v>
      </c>
      <c r="Q68" s="64">
        <v>9.64</v>
      </c>
      <c r="R68" s="198"/>
      <c r="S68" s="198"/>
      <c r="T68" s="198"/>
      <c r="U68" s="198"/>
    </row>
    <row r="69" spans="1:21" s="12" customFormat="1" x14ac:dyDescent="0.25">
      <c r="A69" s="214" t="s">
        <v>689</v>
      </c>
      <c r="B69" s="64">
        <v>7.99</v>
      </c>
      <c r="C69" s="64">
        <v>3.09</v>
      </c>
      <c r="D69" s="64">
        <v>11.79</v>
      </c>
      <c r="E69" s="64">
        <v>3.26</v>
      </c>
      <c r="F69" s="64">
        <v>3.31</v>
      </c>
      <c r="G69" s="64">
        <v>45.55</v>
      </c>
      <c r="H69" s="64">
        <v>135.32</v>
      </c>
      <c r="I69" s="64">
        <v>4.1100000000000003</v>
      </c>
      <c r="J69" s="64">
        <v>0.87</v>
      </c>
      <c r="K69" s="64">
        <v>150.59</v>
      </c>
      <c r="L69" s="64">
        <v>28.15</v>
      </c>
      <c r="M69" s="64">
        <v>101</v>
      </c>
      <c r="N69" s="64">
        <v>245.8</v>
      </c>
      <c r="O69" s="64">
        <v>0</v>
      </c>
      <c r="P69" s="64">
        <v>0.43</v>
      </c>
      <c r="Q69" s="64">
        <v>9.69</v>
      </c>
      <c r="R69" s="198"/>
      <c r="S69" s="198"/>
      <c r="T69" s="198"/>
      <c r="U69" s="198"/>
    </row>
    <row r="70" spans="1:21" s="12" customFormat="1" x14ac:dyDescent="0.25">
      <c r="A70" s="214" t="s">
        <v>690</v>
      </c>
      <c r="B70" s="64">
        <v>7.98</v>
      </c>
      <c r="C70" s="64">
        <v>3.04</v>
      </c>
      <c r="D70" s="64">
        <v>11.76</v>
      </c>
      <c r="E70" s="64">
        <v>2.88</v>
      </c>
      <c r="F70" s="64">
        <v>3.64</v>
      </c>
      <c r="G70" s="64">
        <v>45.55</v>
      </c>
      <c r="H70" s="64">
        <v>135.32</v>
      </c>
      <c r="I70" s="64">
        <v>4.3499999999999996</v>
      </c>
      <c r="J70" s="64">
        <v>0.67</v>
      </c>
      <c r="K70" s="64">
        <v>138.30000000000001</v>
      </c>
      <c r="L70" s="64">
        <v>28.83</v>
      </c>
      <c r="M70" s="64">
        <v>100.94</v>
      </c>
      <c r="N70" s="64">
        <v>220.1</v>
      </c>
      <c r="O70" s="64">
        <v>0</v>
      </c>
      <c r="P70" s="64">
        <v>0.43</v>
      </c>
      <c r="Q70" s="64">
        <v>9.6999999999999993</v>
      </c>
      <c r="R70" s="198"/>
      <c r="S70" s="198"/>
      <c r="T70" s="198"/>
      <c r="U70" s="198"/>
    </row>
    <row r="71" spans="1:21" s="12" customFormat="1" x14ac:dyDescent="0.25">
      <c r="A71" s="214" t="s">
        <v>691</v>
      </c>
      <c r="B71" s="64">
        <v>7.97</v>
      </c>
      <c r="C71" s="64">
        <v>2.98</v>
      </c>
      <c r="D71" s="64">
        <v>11.72</v>
      </c>
      <c r="E71" s="64">
        <v>3.14</v>
      </c>
      <c r="F71" s="64">
        <v>3.6</v>
      </c>
      <c r="G71" s="64">
        <v>45.55</v>
      </c>
      <c r="H71" s="64">
        <v>135.32</v>
      </c>
      <c r="I71" s="64">
        <v>4.5</v>
      </c>
      <c r="J71" s="64">
        <v>0.82</v>
      </c>
      <c r="K71" s="64">
        <v>149.36000000000001</v>
      </c>
      <c r="L71" s="64">
        <v>29.05</v>
      </c>
      <c r="M71" s="64">
        <v>101.21</v>
      </c>
      <c r="N71" s="64">
        <v>205.5</v>
      </c>
      <c r="O71" s="64">
        <v>0</v>
      </c>
      <c r="P71" s="64">
        <v>0.43</v>
      </c>
      <c r="Q71" s="64">
        <v>9.7100000000000009</v>
      </c>
      <c r="R71" s="198"/>
      <c r="S71" s="198"/>
      <c r="T71" s="198"/>
      <c r="U71" s="198"/>
    </row>
    <row r="72" spans="1:21" s="12" customFormat="1" x14ac:dyDescent="0.25">
      <c r="A72" s="214" t="s">
        <v>692</v>
      </c>
      <c r="B72" s="64">
        <v>7.98</v>
      </c>
      <c r="C72" s="64">
        <v>3</v>
      </c>
      <c r="D72" s="64">
        <v>11.74</v>
      </c>
      <c r="E72" s="64">
        <v>4.78</v>
      </c>
      <c r="F72" s="64">
        <v>3.92</v>
      </c>
      <c r="G72" s="64">
        <v>43.55</v>
      </c>
      <c r="H72" s="64">
        <v>75.47</v>
      </c>
      <c r="I72" s="64">
        <v>4.6399999999999997</v>
      </c>
      <c r="J72" s="64">
        <v>0.22</v>
      </c>
      <c r="K72" s="64">
        <v>157.11000000000001</v>
      </c>
      <c r="L72" s="64">
        <v>29.4</v>
      </c>
      <c r="M72" s="64">
        <v>100.81</v>
      </c>
      <c r="N72" s="64">
        <v>186.1</v>
      </c>
      <c r="O72" s="64">
        <v>0</v>
      </c>
      <c r="P72" s="64">
        <v>0.43</v>
      </c>
      <c r="Q72" s="64">
        <v>9.74</v>
      </c>
      <c r="R72" s="198"/>
      <c r="S72" s="198"/>
      <c r="T72" s="198"/>
      <c r="U72" s="198"/>
    </row>
    <row r="73" spans="1:21" s="12" customFormat="1" x14ac:dyDescent="0.25">
      <c r="A73" s="214" t="s">
        <v>693</v>
      </c>
      <c r="B73" s="64">
        <v>7.93</v>
      </c>
      <c r="C73" s="64">
        <v>2.99</v>
      </c>
      <c r="D73" s="64">
        <v>11.7</v>
      </c>
      <c r="E73" s="64">
        <v>5.01</v>
      </c>
      <c r="F73" s="64">
        <v>4.1900000000000004</v>
      </c>
      <c r="G73" s="64">
        <v>39.92</v>
      </c>
      <c r="H73" s="64">
        <v>10.01</v>
      </c>
      <c r="I73" s="64">
        <v>4.74</v>
      </c>
      <c r="J73" s="64">
        <v>0.02</v>
      </c>
      <c r="K73" s="64">
        <v>142.47</v>
      </c>
      <c r="L73" s="64">
        <v>29.58</v>
      </c>
      <c r="M73" s="64">
        <v>99.9</v>
      </c>
      <c r="N73" s="64">
        <v>145</v>
      </c>
      <c r="O73" s="64">
        <v>0</v>
      </c>
      <c r="P73" s="64">
        <v>0.43</v>
      </c>
      <c r="Q73" s="64">
        <v>9.76</v>
      </c>
      <c r="R73" s="198"/>
      <c r="S73" s="198"/>
      <c r="T73" s="198"/>
      <c r="U73" s="198"/>
    </row>
    <row r="74" spans="1:21" s="12" customFormat="1" x14ac:dyDescent="0.25">
      <c r="A74" s="214" t="s">
        <v>694</v>
      </c>
      <c r="B74" s="64">
        <v>7.92</v>
      </c>
      <c r="C74" s="64">
        <v>2.97</v>
      </c>
      <c r="D74" s="64">
        <v>11.68</v>
      </c>
      <c r="E74" s="64">
        <v>4.99</v>
      </c>
      <c r="F74" s="64">
        <v>4.4400000000000004</v>
      </c>
      <c r="G74" s="64">
        <v>39.92</v>
      </c>
      <c r="H74" s="64">
        <v>10.01</v>
      </c>
      <c r="I74" s="64">
        <v>4.67</v>
      </c>
      <c r="J74" s="64">
        <v>0.04</v>
      </c>
      <c r="K74" s="64">
        <v>120.77</v>
      </c>
      <c r="L74" s="64">
        <v>29.72</v>
      </c>
      <c r="M74" s="64">
        <v>98.59</v>
      </c>
      <c r="N74" s="64">
        <v>134.80000000000001</v>
      </c>
      <c r="O74" s="64">
        <v>0</v>
      </c>
      <c r="P74" s="64">
        <v>0.42</v>
      </c>
      <c r="Q74" s="64">
        <v>9.7200000000000006</v>
      </c>
      <c r="R74" s="198"/>
      <c r="S74" s="198"/>
      <c r="T74" s="198"/>
      <c r="U74" s="198"/>
    </row>
    <row r="75" spans="1:21" s="12" customFormat="1" x14ac:dyDescent="0.25">
      <c r="A75" s="214" t="s">
        <v>695</v>
      </c>
      <c r="B75" s="64">
        <v>7.93</v>
      </c>
      <c r="C75" s="64">
        <v>2.97</v>
      </c>
      <c r="D75" s="64">
        <v>11.69</v>
      </c>
      <c r="E75" s="64">
        <v>5.26</v>
      </c>
      <c r="F75" s="64">
        <v>7.18</v>
      </c>
      <c r="G75" s="64">
        <v>39.92</v>
      </c>
      <c r="H75" s="64">
        <v>10.01</v>
      </c>
      <c r="I75" s="64">
        <v>4.5199999999999996</v>
      </c>
      <c r="J75" s="64">
        <v>7.0000000000000007E-2</v>
      </c>
      <c r="K75" s="64">
        <v>212.84</v>
      </c>
      <c r="L75" s="64">
        <v>29.72</v>
      </c>
      <c r="M75" s="64">
        <v>99.55</v>
      </c>
      <c r="N75" s="64">
        <v>137.30000000000001</v>
      </c>
      <c r="O75" s="64">
        <v>0</v>
      </c>
      <c r="P75" s="64">
        <v>0.39</v>
      </c>
      <c r="Q75" s="64">
        <v>9.69</v>
      </c>
      <c r="R75" s="198"/>
      <c r="S75" s="198"/>
      <c r="T75" s="198"/>
      <c r="U75" s="198"/>
    </row>
    <row r="76" spans="1:21" s="12" customFormat="1" x14ac:dyDescent="0.25">
      <c r="A76" s="214" t="s">
        <v>696</v>
      </c>
      <c r="B76" s="64">
        <v>7.94</v>
      </c>
      <c r="C76" s="64">
        <v>2.92</v>
      </c>
      <c r="D76" s="64">
        <v>11.67</v>
      </c>
      <c r="E76" s="64">
        <v>4.83</v>
      </c>
      <c r="F76" s="64">
        <v>7.29</v>
      </c>
      <c r="G76" s="64">
        <v>38.020000000000003</v>
      </c>
      <c r="H76" s="64">
        <v>11.7</v>
      </c>
      <c r="I76" s="64">
        <v>3.93</v>
      </c>
      <c r="J76" s="64">
        <v>0.55000000000000004</v>
      </c>
      <c r="K76" s="64">
        <v>147.13999999999999</v>
      </c>
      <c r="L76" s="64">
        <v>30.04</v>
      </c>
      <c r="M76" s="64">
        <v>98.89</v>
      </c>
      <c r="N76" s="64">
        <v>130.19999999999999</v>
      </c>
      <c r="O76" s="64">
        <v>0</v>
      </c>
      <c r="P76" s="64">
        <v>0.39</v>
      </c>
      <c r="Q76" s="64">
        <v>9.69</v>
      </c>
      <c r="R76" s="198"/>
      <c r="S76" s="198"/>
      <c r="T76" s="198"/>
      <c r="U76" s="198"/>
    </row>
    <row r="77" spans="1:21" s="12" customFormat="1" x14ac:dyDescent="0.25">
      <c r="A77" s="214" t="s">
        <v>697</v>
      </c>
      <c r="B77" s="64">
        <v>7.92</v>
      </c>
      <c r="C77" s="64">
        <v>2.95</v>
      </c>
      <c r="D77" s="64">
        <v>11.67</v>
      </c>
      <c r="E77" s="64">
        <v>5.0599999999999996</v>
      </c>
      <c r="F77" s="64">
        <v>6.28</v>
      </c>
      <c r="G77" s="64">
        <v>34.57</v>
      </c>
      <c r="H77" s="64">
        <v>17.100000000000001</v>
      </c>
      <c r="I77" s="64">
        <v>3.39</v>
      </c>
      <c r="J77" s="64">
        <v>0.35</v>
      </c>
      <c r="K77" s="64">
        <v>142.27000000000001</v>
      </c>
      <c r="L77" s="64">
        <v>30.07</v>
      </c>
      <c r="M77" s="64">
        <v>98.49</v>
      </c>
      <c r="N77" s="64">
        <v>123</v>
      </c>
      <c r="O77" s="64">
        <v>0</v>
      </c>
      <c r="P77" s="64">
        <v>0.38</v>
      </c>
      <c r="Q77" s="64">
        <v>9.69</v>
      </c>
      <c r="R77" s="198"/>
      <c r="S77" s="198"/>
      <c r="T77" s="198"/>
      <c r="U77" s="198"/>
    </row>
    <row r="78" spans="1:21" s="12" customFormat="1" x14ac:dyDescent="0.25">
      <c r="A78" s="214" t="s">
        <v>698</v>
      </c>
      <c r="B78" s="64">
        <v>7.92</v>
      </c>
      <c r="C78" s="64">
        <v>2.99</v>
      </c>
      <c r="D78" s="64">
        <v>11.69</v>
      </c>
      <c r="E78" s="64">
        <v>4.95</v>
      </c>
      <c r="F78" s="64">
        <v>6.05</v>
      </c>
      <c r="G78" s="64">
        <v>34.57</v>
      </c>
      <c r="H78" s="64">
        <v>17.100000000000001</v>
      </c>
      <c r="I78" s="64">
        <v>3.13</v>
      </c>
      <c r="J78" s="64">
        <v>0.21</v>
      </c>
      <c r="K78" s="64">
        <v>162.69</v>
      </c>
      <c r="L78" s="64">
        <v>30.08</v>
      </c>
      <c r="M78" s="64">
        <v>95.53</v>
      </c>
      <c r="N78" s="64">
        <v>96.7</v>
      </c>
      <c r="O78" s="64">
        <v>0</v>
      </c>
      <c r="P78" s="64">
        <v>0.36</v>
      </c>
      <c r="Q78" s="64">
        <v>9.59</v>
      </c>
      <c r="R78" s="198"/>
      <c r="S78" s="198"/>
      <c r="T78" s="198"/>
      <c r="U78" s="198"/>
    </row>
    <row r="79" spans="1:21" s="12" customFormat="1" x14ac:dyDescent="0.25">
      <c r="A79" s="214" t="s">
        <v>699</v>
      </c>
      <c r="B79" s="64">
        <v>7.93</v>
      </c>
      <c r="C79" s="64">
        <v>2.96</v>
      </c>
      <c r="D79" s="64">
        <v>11.68</v>
      </c>
      <c r="E79" s="64">
        <v>4.51</v>
      </c>
      <c r="F79" s="64">
        <v>5.26</v>
      </c>
      <c r="G79" s="64">
        <v>34.57</v>
      </c>
      <c r="H79" s="64">
        <v>17.100000000000001</v>
      </c>
      <c r="I79" s="64">
        <v>3.08</v>
      </c>
      <c r="J79" s="64">
        <v>0.47</v>
      </c>
      <c r="K79" s="64">
        <v>135.83000000000001</v>
      </c>
      <c r="L79" s="64">
        <v>29.89</v>
      </c>
      <c r="M79" s="64">
        <v>98.09</v>
      </c>
      <c r="N79" s="64">
        <v>84</v>
      </c>
      <c r="O79" s="64">
        <v>0</v>
      </c>
      <c r="P79" s="64">
        <v>0.35</v>
      </c>
      <c r="Q79" s="64">
        <v>9.56</v>
      </c>
      <c r="R79" s="198"/>
      <c r="S79" s="198"/>
      <c r="T79" s="198"/>
      <c r="U79" s="198"/>
    </row>
    <row r="80" spans="1:21" s="12" customFormat="1" x14ac:dyDescent="0.25">
      <c r="A80" s="214" t="s">
        <v>700</v>
      </c>
      <c r="B80" s="64">
        <v>7.94</v>
      </c>
      <c r="C80" s="64">
        <v>2.93</v>
      </c>
      <c r="D80" s="64">
        <v>11.67</v>
      </c>
      <c r="E80" s="64">
        <v>4.3899999999999997</v>
      </c>
      <c r="F80" s="64">
        <v>6.91</v>
      </c>
      <c r="G80" s="64">
        <v>30.27</v>
      </c>
      <c r="H80" s="64">
        <v>13.33</v>
      </c>
      <c r="I80" s="64">
        <v>2.78</v>
      </c>
      <c r="J80" s="64">
        <v>0.47</v>
      </c>
      <c r="K80" s="64">
        <v>147.44</v>
      </c>
      <c r="L80" s="64">
        <v>29.65</v>
      </c>
      <c r="M80" s="64">
        <v>99.64</v>
      </c>
      <c r="N80" s="64">
        <v>64.400000000000006</v>
      </c>
      <c r="O80" s="64">
        <v>0</v>
      </c>
      <c r="P80" s="64">
        <v>0.35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4" t="s">
        <v>701</v>
      </c>
      <c r="B81" s="64">
        <v>7.93</v>
      </c>
      <c r="C81" s="64">
        <v>2.97</v>
      </c>
      <c r="D81" s="64">
        <v>11.69</v>
      </c>
      <c r="E81" s="64">
        <v>4.9800000000000004</v>
      </c>
      <c r="F81" s="64">
        <v>3.94</v>
      </c>
      <c r="G81" s="64">
        <v>22.47</v>
      </c>
      <c r="H81" s="64">
        <v>9.07</v>
      </c>
      <c r="I81" s="64">
        <v>2.87</v>
      </c>
      <c r="J81" s="64">
        <v>0.04</v>
      </c>
      <c r="K81" s="64">
        <v>293.08999999999997</v>
      </c>
      <c r="L81" s="64">
        <v>29.36</v>
      </c>
      <c r="M81" s="64">
        <v>101.42</v>
      </c>
      <c r="N81" s="64">
        <v>45.9</v>
      </c>
      <c r="O81" s="64">
        <v>0</v>
      </c>
      <c r="P81" s="64">
        <v>0.36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4" t="s">
        <v>702</v>
      </c>
      <c r="B82" s="64">
        <v>7.95</v>
      </c>
      <c r="C82" s="64">
        <v>3.01</v>
      </c>
      <c r="D82" s="64">
        <v>11.72</v>
      </c>
      <c r="E82" s="64">
        <v>4.75</v>
      </c>
      <c r="F82" s="64">
        <v>3.66</v>
      </c>
      <c r="G82" s="64">
        <v>22.47</v>
      </c>
      <c r="H82" s="64">
        <v>9.07</v>
      </c>
      <c r="I82" s="64">
        <v>3.02</v>
      </c>
      <c r="J82" s="64">
        <v>0.01</v>
      </c>
      <c r="K82" s="64">
        <v>25.99</v>
      </c>
      <c r="L82" s="64">
        <v>29.08</v>
      </c>
      <c r="M82" s="64">
        <v>101.53</v>
      </c>
      <c r="N82" s="64">
        <v>40.700000000000003</v>
      </c>
      <c r="O82" s="64">
        <v>0</v>
      </c>
      <c r="P82" s="64">
        <v>0.36</v>
      </c>
      <c r="Q82" s="64">
        <v>9.57</v>
      </c>
      <c r="R82" s="198"/>
      <c r="S82" s="198"/>
      <c r="T82" s="198"/>
      <c r="U82" s="198"/>
    </row>
    <row r="83" spans="1:26" s="12" customFormat="1" x14ac:dyDescent="0.25">
      <c r="A83" s="214" t="s">
        <v>703</v>
      </c>
      <c r="B83" s="64">
        <v>7.96</v>
      </c>
      <c r="C83" s="64">
        <v>2.98</v>
      </c>
      <c r="D83" s="64">
        <v>11.71</v>
      </c>
      <c r="E83" s="64">
        <v>4.45</v>
      </c>
      <c r="F83" s="64">
        <v>4.0999999999999996</v>
      </c>
      <c r="G83" s="64">
        <v>22.47</v>
      </c>
      <c r="H83" s="64">
        <v>9.07</v>
      </c>
      <c r="I83" s="64">
        <v>2.87</v>
      </c>
      <c r="J83" s="64">
        <v>0.06</v>
      </c>
      <c r="K83" s="64">
        <v>160.86000000000001</v>
      </c>
      <c r="L83" s="64">
        <v>28.71</v>
      </c>
      <c r="M83" s="64">
        <v>101.55</v>
      </c>
      <c r="N83" s="64">
        <v>39.9</v>
      </c>
      <c r="O83" s="64">
        <v>0</v>
      </c>
      <c r="P83" s="64">
        <v>0.38</v>
      </c>
      <c r="Q83" s="64">
        <v>9.57</v>
      </c>
      <c r="R83" s="198"/>
      <c r="S83" s="198"/>
      <c r="T83" s="198"/>
      <c r="U83" s="198"/>
    </row>
    <row r="84" spans="1:26" s="12" customFormat="1" x14ac:dyDescent="0.25">
      <c r="A84" s="214" t="s">
        <v>704</v>
      </c>
      <c r="B84" s="64">
        <v>7.96</v>
      </c>
      <c r="C84" s="64">
        <v>2.97</v>
      </c>
      <c r="D84" s="64">
        <v>11.71</v>
      </c>
      <c r="E84" s="64">
        <v>4.5</v>
      </c>
      <c r="F84" s="64">
        <v>3.27</v>
      </c>
      <c r="G84" s="64">
        <v>24.34</v>
      </c>
      <c r="H84" s="64">
        <v>19.14</v>
      </c>
      <c r="I84" s="64">
        <v>3.03</v>
      </c>
      <c r="J84" s="64">
        <v>0.3</v>
      </c>
      <c r="K84" s="64">
        <v>152.63999999999999</v>
      </c>
      <c r="L84" s="64">
        <v>28.7</v>
      </c>
      <c r="M84" s="64">
        <v>101.53</v>
      </c>
      <c r="N84" s="64">
        <v>39.299999999999997</v>
      </c>
      <c r="O84" s="64">
        <v>0</v>
      </c>
      <c r="P84" s="64">
        <v>0.39</v>
      </c>
      <c r="Q84" s="64">
        <v>9.58</v>
      </c>
      <c r="R84" s="198"/>
      <c r="S84" s="198"/>
      <c r="T84" s="198"/>
      <c r="U84" s="198"/>
    </row>
    <row r="85" spans="1:26" s="12" customFormat="1" x14ac:dyDescent="0.25">
      <c r="A85" s="214" t="s">
        <v>705</v>
      </c>
      <c r="B85" s="64">
        <v>7.97</v>
      </c>
      <c r="C85" s="64">
        <v>3.03</v>
      </c>
      <c r="D85" s="64">
        <v>11.75</v>
      </c>
      <c r="E85" s="64">
        <v>4.46</v>
      </c>
      <c r="F85" s="64">
        <v>3.1</v>
      </c>
      <c r="G85" s="64">
        <v>27.72</v>
      </c>
      <c r="H85" s="64">
        <v>30.15</v>
      </c>
      <c r="I85" s="64">
        <v>3.19</v>
      </c>
      <c r="J85" s="64">
        <v>0.11</v>
      </c>
      <c r="K85" s="64">
        <v>145.88999999999999</v>
      </c>
      <c r="L85" s="64">
        <v>28.84</v>
      </c>
      <c r="M85" s="64">
        <v>101.53</v>
      </c>
      <c r="N85" s="64">
        <v>39.5</v>
      </c>
      <c r="O85" s="64">
        <v>0</v>
      </c>
      <c r="P85" s="64">
        <v>0.39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4" t="s">
        <v>706</v>
      </c>
      <c r="B86" s="64">
        <v>7.98</v>
      </c>
      <c r="C86" s="64">
        <v>3.02</v>
      </c>
      <c r="D86" s="64">
        <v>11.75</v>
      </c>
      <c r="E86" s="64">
        <v>4.92</v>
      </c>
      <c r="F86" s="64">
        <v>3.52</v>
      </c>
      <c r="G86" s="64">
        <v>27.72</v>
      </c>
      <c r="H86" s="64">
        <v>30.15</v>
      </c>
      <c r="I86" s="64">
        <v>3.54</v>
      </c>
      <c r="J86" s="64">
        <v>0.1</v>
      </c>
      <c r="K86" s="64">
        <v>144.19</v>
      </c>
      <c r="L86" s="64">
        <v>28.81</v>
      </c>
      <c r="M86" s="64">
        <v>101.55</v>
      </c>
      <c r="N86" s="64">
        <v>39.6</v>
      </c>
      <c r="O86" s="64">
        <v>0</v>
      </c>
      <c r="P86" s="64">
        <v>0.42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4" t="s">
        <v>707</v>
      </c>
      <c r="B87" s="64">
        <v>7.98</v>
      </c>
      <c r="C87" s="64">
        <v>2.98</v>
      </c>
      <c r="D87" s="64">
        <v>11.73</v>
      </c>
      <c r="E87" s="64">
        <v>4.9000000000000004</v>
      </c>
      <c r="F87" s="64">
        <v>3.17</v>
      </c>
      <c r="G87" s="64">
        <v>27.72</v>
      </c>
      <c r="H87" s="64">
        <v>30.15</v>
      </c>
      <c r="I87" s="64">
        <v>3.84</v>
      </c>
      <c r="J87" s="64">
        <v>0.34</v>
      </c>
      <c r="K87" s="64">
        <v>169.64</v>
      </c>
      <c r="L87" s="64">
        <v>28.71</v>
      </c>
      <c r="M87" s="64">
        <v>101.55</v>
      </c>
      <c r="N87" s="64">
        <v>39.6</v>
      </c>
      <c r="O87" s="64">
        <v>0</v>
      </c>
      <c r="P87" s="64">
        <v>0.44</v>
      </c>
      <c r="Q87" s="64">
        <v>9.69</v>
      </c>
      <c r="R87" s="198"/>
      <c r="S87" s="198"/>
      <c r="T87" s="198"/>
      <c r="U87" s="198"/>
    </row>
    <row r="88" spans="1:26" s="12" customFormat="1" x14ac:dyDescent="0.25">
      <c r="A88" s="214" t="s">
        <v>708</v>
      </c>
      <c r="B88" s="64">
        <v>7.99</v>
      </c>
      <c r="C88" s="64">
        <v>2.97</v>
      </c>
      <c r="D88" s="64">
        <v>11.73</v>
      </c>
      <c r="E88" s="64">
        <v>3</v>
      </c>
      <c r="F88" s="64">
        <v>3.66</v>
      </c>
      <c r="G88" s="64">
        <v>29.98</v>
      </c>
      <c r="H88" s="64">
        <v>16.940000000000001</v>
      </c>
      <c r="I88" s="64">
        <v>4.16</v>
      </c>
      <c r="J88" s="64">
        <v>0.35</v>
      </c>
      <c r="K88" s="64">
        <v>141.38999999999999</v>
      </c>
      <c r="L88" s="64">
        <v>28.59</v>
      </c>
      <c r="M88" s="64">
        <v>101.55</v>
      </c>
      <c r="N88" s="64">
        <v>39.6</v>
      </c>
      <c r="O88" s="64">
        <v>0</v>
      </c>
      <c r="P88" s="64">
        <v>0.45</v>
      </c>
      <c r="Q88" s="64">
        <v>9.7100000000000009</v>
      </c>
      <c r="R88" s="198"/>
      <c r="S88" s="198"/>
      <c r="T88" s="198"/>
      <c r="U88" s="198"/>
    </row>
    <row r="89" spans="1:26" s="12" customFormat="1" x14ac:dyDescent="0.25">
      <c r="A89" s="214" t="s">
        <v>709</v>
      </c>
      <c r="B89" s="64">
        <v>8</v>
      </c>
      <c r="C89" s="64">
        <v>3.07</v>
      </c>
      <c r="D89" s="64">
        <v>11.8</v>
      </c>
      <c r="E89" s="64">
        <v>3.23</v>
      </c>
      <c r="F89" s="64">
        <v>4.1399999999999997</v>
      </c>
      <c r="G89" s="64">
        <v>34.08</v>
      </c>
      <c r="H89" s="64">
        <v>2.48</v>
      </c>
      <c r="I89" s="64">
        <v>4.42</v>
      </c>
      <c r="J89" s="64">
        <v>0.33</v>
      </c>
      <c r="K89" s="64">
        <v>148.87</v>
      </c>
      <c r="L89" s="64">
        <v>28.56</v>
      </c>
      <c r="M89" s="64">
        <v>101.55</v>
      </c>
      <c r="N89" s="64">
        <v>39.299999999999997</v>
      </c>
      <c r="O89" s="64">
        <v>0</v>
      </c>
      <c r="P89" s="64">
        <v>0.47</v>
      </c>
      <c r="Q89" s="64">
        <v>9.75</v>
      </c>
      <c r="R89" s="198"/>
      <c r="S89" s="198"/>
      <c r="T89" s="198"/>
      <c r="U89" s="198"/>
    </row>
    <row r="90" spans="1:26" s="12" customFormat="1" x14ac:dyDescent="0.25">
      <c r="A90" s="214" t="s">
        <v>710</v>
      </c>
      <c r="B90" s="64">
        <v>7.97</v>
      </c>
      <c r="C90" s="64">
        <v>3.02</v>
      </c>
      <c r="D90" s="64">
        <v>11.74</v>
      </c>
      <c r="E90" s="64">
        <v>3.54</v>
      </c>
      <c r="F90" s="64">
        <v>3.42</v>
      </c>
      <c r="G90" s="64">
        <v>34.08</v>
      </c>
      <c r="H90" s="64">
        <v>2.48</v>
      </c>
      <c r="I90" s="64">
        <v>4.59</v>
      </c>
      <c r="J90" s="64">
        <v>0.08</v>
      </c>
      <c r="K90" s="64">
        <v>283.41000000000003</v>
      </c>
      <c r="L90" s="64">
        <v>28.49</v>
      </c>
      <c r="M90" s="64">
        <v>101.57</v>
      </c>
      <c r="N90" s="64">
        <v>39.4</v>
      </c>
      <c r="O90" s="64">
        <v>0</v>
      </c>
      <c r="P90" s="64">
        <v>0.5</v>
      </c>
      <c r="Q90" s="64">
        <v>9.76</v>
      </c>
      <c r="R90" s="198"/>
      <c r="S90" s="198"/>
      <c r="T90" s="198"/>
      <c r="U90" s="198"/>
    </row>
    <row r="91" spans="1:26" s="12" customFormat="1" x14ac:dyDescent="0.25">
      <c r="A91" s="214" t="s">
        <v>711</v>
      </c>
      <c r="B91" s="64">
        <v>7.96</v>
      </c>
      <c r="C91" s="64">
        <v>2.98</v>
      </c>
      <c r="D91" s="64">
        <v>11.71</v>
      </c>
      <c r="E91" s="64">
        <v>3.62</v>
      </c>
      <c r="F91" s="64">
        <v>3.22</v>
      </c>
      <c r="G91" s="64">
        <v>34.08</v>
      </c>
      <c r="H91" s="64">
        <v>2.48</v>
      </c>
      <c r="I91" s="64">
        <v>4.72</v>
      </c>
      <c r="J91" s="64">
        <v>0.03</v>
      </c>
      <c r="K91" s="64">
        <v>29.86</v>
      </c>
      <c r="L91" s="64">
        <v>28.12</v>
      </c>
      <c r="M91" s="64">
        <v>100.15</v>
      </c>
      <c r="N91" s="64">
        <v>40.200000000000003</v>
      </c>
      <c r="O91" s="64">
        <v>0</v>
      </c>
      <c r="P91" s="64">
        <v>0.52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4" t="s">
        <v>712</v>
      </c>
      <c r="B92" s="64">
        <v>7.98</v>
      </c>
      <c r="C92" s="64">
        <v>2.99</v>
      </c>
      <c r="D92" s="64">
        <v>11.73</v>
      </c>
      <c r="E92" s="64">
        <v>3.67</v>
      </c>
      <c r="F92" s="64">
        <v>3.16</v>
      </c>
      <c r="G92" s="64">
        <v>32.74</v>
      </c>
      <c r="H92" s="64">
        <v>1.95</v>
      </c>
      <c r="I92" s="64">
        <v>4.7300000000000004</v>
      </c>
      <c r="J92" s="64">
        <v>0.3</v>
      </c>
      <c r="K92" s="64">
        <v>7.38</v>
      </c>
      <c r="L92" s="64">
        <v>26.72</v>
      </c>
      <c r="M92" s="64">
        <v>99.06</v>
      </c>
      <c r="N92" s="64">
        <v>42.1</v>
      </c>
      <c r="O92" s="64">
        <v>0.8</v>
      </c>
      <c r="P92" s="64">
        <v>0.53</v>
      </c>
      <c r="Q92" s="64">
        <v>9.73</v>
      </c>
      <c r="R92" s="198"/>
      <c r="S92" s="198"/>
      <c r="T92" s="198"/>
      <c r="U92" s="198"/>
    </row>
    <row r="93" spans="1:26" s="12" customFormat="1" x14ac:dyDescent="0.25">
      <c r="A93" s="214" t="s">
        <v>713</v>
      </c>
      <c r="B93" s="64">
        <v>7.96</v>
      </c>
      <c r="C93" s="64">
        <v>2.96</v>
      </c>
      <c r="D93" s="64">
        <v>11.7</v>
      </c>
      <c r="E93" s="64">
        <v>3.59</v>
      </c>
      <c r="F93" s="64">
        <v>6.25</v>
      </c>
      <c r="G93" s="64">
        <v>30.31</v>
      </c>
      <c r="H93" s="64">
        <v>0.25</v>
      </c>
      <c r="I93" s="64">
        <v>4.66</v>
      </c>
      <c r="J93" s="64">
        <v>0.72</v>
      </c>
      <c r="K93" s="64">
        <v>349.74</v>
      </c>
      <c r="L93" s="64">
        <v>24.12</v>
      </c>
      <c r="M93" s="64">
        <v>101.63</v>
      </c>
      <c r="N93" s="64">
        <v>44.2</v>
      </c>
      <c r="O93" s="64">
        <v>13.6</v>
      </c>
      <c r="P93" s="64">
        <v>0.5</v>
      </c>
      <c r="Q93" s="64">
        <v>9.7200000000000006</v>
      </c>
      <c r="R93" s="198"/>
      <c r="S93" s="198"/>
      <c r="T93" s="198"/>
      <c r="U93" s="198"/>
    </row>
    <row r="94" spans="1:26" s="12" customFormat="1" x14ac:dyDescent="0.25">
      <c r="A94" s="214" t="s">
        <v>714</v>
      </c>
      <c r="B94" s="64">
        <v>7.95</v>
      </c>
      <c r="C94" s="64">
        <v>2.97</v>
      </c>
      <c r="D94" s="64">
        <v>11.7</v>
      </c>
      <c r="E94" s="64">
        <v>3.71</v>
      </c>
      <c r="F94" s="64">
        <v>2.85</v>
      </c>
      <c r="G94" s="64">
        <v>30.31</v>
      </c>
      <c r="H94" s="64">
        <v>0.25</v>
      </c>
      <c r="I94" s="64">
        <v>4.32</v>
      </c>
      <c r="J94" s="64">
        <v>0.44</v>
      </c>
      <c r="K94" s="64">
        <v>42.07</v>
      </c>
      <c r="L94" s="64">
        <v>24.29</v>
      </c>
      <c r="M94" s="64">
        <v>101.65</v>
      </c>
      <c r="N94" s="64">
        <v>39.299999999999997</v>
      </c>
      <c r="O94" s="64">
        <v>8.8000000000000007</v>
      </c>
      <c r="P94" s="64">
        <v>0.48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4" t="s">
        <v>715</v>
      </c>
      <c r="B95" s="64">
        <v>7.96</v>
      </c>
      <c r="C95" s="64">
        <v>3.03</v>
      </c>
      <c r="D95" s="64">
        <v>11.74</v>
      </c>
      <c r="E95" s="64">
        <v>3.43</v>
      </c>
      <c r="F95" s="64">
        <v>3.56</v>
      </c>
      <c r="G95" s="64">
        <v>30.31</v>
      </c>
      <c r="H95" s="64">
        <v>0.25</v>
      </c>
      <c r="I95" s="64">
        <v>3.74</v>
      </c>
      <c r="J95" s="64">
        <v>0.19</v>
      </c>
      <c r="K95" s="64">
        <v>85.45</v>
      </c>
      <c r="L95" s="64">
        <v>24.36</v>
      </c>
      <c r="M95" s="64">
        <v>101.65</v>
      </c>
      <c r="N95" s="64">
        <v>40</v>
      </c>
      <c r="O95" s="64">
        <v>0.8</v>
      </c>
      <c r="P95" s="64">
        <v>0.48</v>
      </c>
      <c r="Q95" s="64">
        <v>9.65</v>
      </c>
      <c r="R95" s="198"/>
      <c r="S95" s="198"/>
      <c r="T95" s="198"/>
      <c r="U95" s="198"/>
    </row>
    <row r="96" spans="1:26" s="12" customFormat="1" x14ac:dyDescent="0.25">
      <c r="A96" s="214" t="s">
        <v>716</v>
      </c>
      <c r="B96" s="64">
        <v>7.96</v>
      </c>
      <c r="C96" s="64">
        <v>3.01</v>
      </c>
      <c r="D96" s="64">
        <v>11.73</v>
      </c>
      <c r="E96" s="64">
        <v>3.61</v>
      </c>
      <c r="F96" s="64">
        <v>3.43</v>
      </c>
      <c r="G96" s="64">
        <v>27.81</v>
      </c>
      <c r="H96" s="64">
        <v>2.4700000000000002</v>
      </c>
      <c r="I96" s="64">
        <v>3.46</v>
      </c>
      <c r="J96" s="64">
        <v>0.12</v>
      </c>
      <c r="K96" s="64">
        <v>359.15</v>
      </c>
      <c r="L96" s="64">
        <v>24.27</v>
      </c>
      <c r="M96" s="64">
        <v>101.65</v>
      </c>
      <c r="N96" s="64">
        <v>39.6</v>
      </c>
      <c r="O96" s="64">
        <v>1.2</v>
      </c>
      <c r="P96" s="64">
        <v>0.48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717</v>
      </c>
      <c r="B97" s="64">
        <v>7.94</v>
      </c>
      <c r="C97" s="64">
        <v>3</v>
      </c>
      <c r="D97" s="64">
        <v>11.71</v>
      </c>
      <c r="E97" s="64">
        <v>3.35</v>
      </c>
      <c r="F97" s="64">
        <v>3.45</v>
      </c>
      <c r="G97" s="64">
        <v>23.28</v>
      </c>
      <c r="H97" s="64">
        <v>4.9000000000000004</v>
      </c>
      <c r="I97" s="64">
        <v>3.72</v>
      </c>
      <c r="J97" s="64">
        <v>0.62</v>
      </c>
      <c r="K97" s="64">
        <v>112.92</v>
      </c>
      <c r="L97" s="64">
        <v>24.33</v>
      </c>
      <c r="M97" s="64">
        <v>101.65</v>
      </c>
      <c r="N97" s="64">
        <v>39.6</v>
      </c>
      <c r="O97" s="64">
        <v>0.8</v>
      </c>
      <c r="P97" s="64">
        <v>0.5</v>
      </c>
      <c r="Q97" s="64">
        <v>9.68</v>
      </c>
      <c r="R97" s="198"/>
      <c r="S97" s="198"/>
      <c r="T97" s="198"/>
      <c r="U97" s="198"/>
    </row>
    <row r="98" spans="1:33" s="12" customFormat="1" x14ac:dyDescent="0.25">
      <c r="A98" s="214" t="s">
        <v>718</v>
      </c>
      <c r="B98" s="64">
        <v>7.95</v>
      </c>
      <c r="C98" s="64">
        <v>3.05</v>
      </c>
      <c r="D98" s="64">
        <v>11.74</v>
      </c>
      <c r="E98" s="64">
        <v>3.46</v>
      </c>
      <c r="F98" s="64">
        <v>3.28</v>
      </c>
      <c r="G98" s="64">
        <v>23.28</v>
      </c>
      <c r="H98" s="64">
        <v>4.9000000000000004</v>
      </c>
      <c r="I98" s="64">
        <v>3.72</v>
      </c>
      <c r="J98" s="64">
        <v>0.57999999999999996</v>
      </c>
      <c r="K98" s="64">
        <v>104.79</v>
      </c>
      <c r="L98" s="64">
        <v>24.21</v>
      </c>
      <c r="M98" s="64">
        <v>101.65</v>
      </c>
      <c r="N98" s="64">
        <v>39.9</v>
      </c>
      <c r="O98" s="64">
        <v>0</v>
      </c>
      <c r="P98" s="64">
        <v>0.48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14" t="s">
        <v>719</v>
      </c>
      <c r="B99" s="64">
        <v>7.99</v>
      </c>
      <c r="C99" s="64">
        <v>3.08</v>
      </c>
      <c r="D99" s="64">
        <v>11.79</v>
      </c>
      <c r="E99" s="64">
        <v>3.2</v>
      </c>
      <c r="F99" s="64">
        <v>3.36</v>
      </c>
      <c r="G99" s="64">
        <v>23.28</v>
      </c>
      <c r="H99" s="64">
        <v>4.9000000000000004</v>
      </c>
      <c r="I99" s="64">
        <v>3.69</v>
      </c>
      <c r="J99" s="64">
        <v>0.04</v>
      </c>
      <c r="K99" s="64">
        <v>206.22</v>
      </c>
      <c r="L99" s="64">
        <v>24.15</v>
      </c>
      <c r="M99" s="64">
        <v>101.65</v>
      </c>
      <c r="N99" s="64">
        <v>39.6</v>
      </c>
      <c r="O99" s="64">
        <v>0</v>
      </c>
      <c r="P99" s="64">
        <v>0.49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720</v>
      </c>
      <c r="B100" s="64">
        <v>7.99</v>
      </c>
      <c r="C100" s="64">
        <v>3</v>
      </c>
      <c r="D100" s="64">
        <v>11.75</v>
      </c>
      <c r="E100" s="64">
        <v>3.3</v>
      </c>
      <c r="F100" s="64">
        <v>3.36</v>
      </c>
      <c r="G100" s="64">
        <v>21.58</v>
      </c>
      <c r="H100" s="64">
        <v>10.85</v>
      </c>
      <c r="I100" s="64">
        <v>4.0999999999999996</v>
      </c>
      <c r="J100" s="64">
        <v>0.04</v>
      </c>
      <c r="K100" s="64">
        <v>294.82</v>
      </c>
      <c r="L100" s="64">
        <v>24.3</v>
      </c>
      <c r="M100" s="64">
        <v>101.65</v>
      </c>
      <c r="N100" s="64">
        <v>39.4</v>
      </c>
      <c r="O100" s="64">
        <v>0</v>
      </c>
      <c r="P100" s="64">
        <v>0.49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721</v>
      </c>
      <c r="B101" s="64">
        <v>7.99</v>
      </c>
      <c r="C101" s="64">
        <v>2.96</v>
      </c>
      <c r="D101" s="64">
        <v>11.73</v>
      </c>
      <c r="E101" s="64">
        <v>3.44</v>
      </c>
      <c r="F101" s="64">
        <v>3.38</v>
      </c>
      <c r="G101" s="64">
        <v>18.489999999999998</v>
      </c>
      <c r="H101" s="64">
        <v>17.350000000000001</v>
      </c>
      <c r="I101" s="64">
        <v>4.2300000000000004</v>
      </c>
      <c r="J101" s="64">
        <v>0.1</v>
      </c>
      <c r="K101" s="64">
        <v>285.77</v>
      </c>
      <c r="L101" s="64">
        <v>24.3</v>
      </c>
      <c r="M101" s="64">
        <v>101.65</v>
      </c>
      <c r="N101" s="64">
        <v>39.6</v>
      </c>
      <c r="O101" s="64">
        <v>0</v>
      </c>
      <c r="P101" s="64">
        <v>0.49</v>
      </c>
      <c r="Q101" s="64">
        <v>9.68</v>
      </c>
      <c r="R101" s="198"/>
      <c r="S101" s="198"/>
      <c r="T101" s="198"/>
      <c r="U101" s="198"/>
    </row>
    <row r="102" spans="1:33" s="12" customFormat="1" x14ac:dyDescent="0.25">
      <c r="A102" s="214" t="s">
        <v>722</v>
      </c>
      <c r="B102" s="64">
        <v>7.97</v>
      </c>
      <c r="C102" s="64">
        <v>2.98</v>
      </c>
      <c r="D102" s="64">
        <v>11.72</v>
      </c>
      <c r="E102" s="64">
        <v>3.8</v>
      </c>
      <c r="F102" s="64">
        <v>3.08</v>
      </c>
      <c r="G102" s="64">
        <v>18.489999999999998</v>
      </c>
      <c r="H102" s="64">
        <v>17.350000000000001</v>
      </c>
      <c r="I102" s="64">
        <v>4.25</v>
      </c>
      <c r="J102" s="64">
        <v>0.09</v>
      </c>
      <c r="K102" s="64">
        <v>355.19</v>
      </c>
      <c r="L102" s="64">
        <v>24.5</v>
      </c>
      <c r="M102" s="64">
        <v>101.65</v>
      </c>
      <c r="N102" s="64">
        <v>39.4</v>
      </c>
      <c r="O102" s="64">
        <v>0.4</v>
      </c>
      <c r="P102" s="64">
        <v>0.49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4" t="s">
        <v>723</v>
      </c>
      <c r="B103" s="64">
        <v>8</v>
      </c>
      <c r="C103" s="64">
        <v>3.06</v>
      </c>
      <c r="D103" s="64">
        <v>11.79</v>
      </c>
      <c r="E103" s="64">
        <v>3.67</v>
      </c>
      <c r="F103" s="64">
        <v>3.51</v>
      </c>
      <c r="G103" s="64">
        <v>18.489999999999998</v>
      </c>
      <c r="H103" s="64">
        <v>17.350000000000001</v>
      </c>
      <c r="I103" s="64">
        <v>4.28</v>
      </c>
      <c r="J103" s="64">
        <v>0.02</v>
      </c>
      <c r="K103" s="64">
        <v>321.35000000000002</v>
      </c>
      <c r="L103" s="64">
        <v>24.36</v>
      </c>
      <c r="M103" s="64">
        <v>101.65</v>
      </c>
      <c r="N103" s="64">
        <v>39.700000000000003</v>
      </c>
      <c r="O103" s="64">
        <v>0</v>
      </c>
      <c r="P103" s="64">
        <v>0.48</v>
      </c>
      <c r="Q103" s="64">
        <v>9.6999999999999993</v>
      </c>
      <c r="R103" s="198"/>
      <c r="S103" s="198"/>
      <c r="T103" s="198"/>
      <c r="U103" s="198"/>
    </row>
    <row r="104" spans="1:33" s="12" customFormat="1" x14ac:dyDescent="0.25">
      <c r="A104" s="214" t="s">
        <v>724</v>
      </c>
      <c r="B104" s="64">
        <v>7.99</v>
      </c>
      <c r="C104" s="64">
        <v>3.01</v>
      </c>
      <c r="D104" s="64">
        <v>11.75</v>
      </c>
      <c r="E104" s="64">
        <v>3.55</v>
      </c>
      <c r="F104" s="64">
        <v>3.41</v>
      </c>
      <c r="G104" s="64">
        <v>16.649999999999999</v>
      </c>
      <c r="H104" s="64">
        <v>15.53</v>
      </c>
      <c r="I104" s="64">
        <v>4.28</v>
      </c>
      <c r="J104" s="64">
        <v>0.26</v>
      </c>
      <c r="K104" s="64">
        <v>123.22</v>
      </c>
      <c r="L104" s="64">
        <v>24.24</v>
      </c>
      <c r="M104" s="64">
        <v>101.65</v>
      </c>
      <c r="N104" s="64">
        <v>39.5</v>
      </c>
      <c r="O104" s="64">
        <v>0</v>
      </c>
      <c r="P104" s="64">
        <v>0.48</v>
      </c>
      <c r="Q104" s="64">
        <v>9.7100000000000009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</v>
      </c>
      <c r="C106" s="67">
        <f>MIN(C9:C104)</f>
        <v>2.92</v>
      </c>
      <c r="D106" s="67">
        <f t="shared" ref="D106:Q106" si="0">MIN(D9:D104)</f>
        <v>11.65</v>
      </c>
      <c r="E106" s="67">
        <f t="shared" si="0"/>
        <v>2.7</v>
      </c>
      <c r="F106" s="67">
        <f t="shared" si="0"/>
        <v>2.23</v>
      </c>
      <c r="G106" s="67">
        <f t="shared" si="0"/>
        <v>11.43</v>
      </c>
      <c r="H106" s="67">
        <f t="shared" si="0"/>
        <v>0.25</v>
      </c>
      <c r="I106" s="67">
        <f t="shared" si="0"/>
        <v>1.56</v>
      </c>
      <c r="J106" s="67">
        <f t="shared" si="0"/>
        <v>0.01</v>
      </c>
      <c r="K106" s="67">
        <f t="shared" si="0"/>
        <v>3.04</v>
      </c>
      <c r="L106" s="67">
        <f t="shared" si="0"/>
        <v>24.12</v>
      </c>
      <c r="M106" s="67">
        <f t="shared" si="0"/>
        <v>69.430000000000007</v>
      </c>
      <c r="N106" s="67">
        <f t="shared" si="0"/>
        <v>38.9</v>
      </c>
      <c r="O106" s="67">
        <f t="shared" si="0"/>
        <v>0</v>
      </c>
      <c r="P106" s="67">
        <f t="shared" si="0"/>
        <v>0.35</v>
      </c>
      <c r="Q106" s="67">
        <f t="shared" si="0"/>
        <v>9.4499999999999993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8.0299999999999994</v>
      </c>
      <c r="C107" s="66">
        <f t="shared" ref="C107:Q107" si="1">MAX(C9:C104)</f>
        <v>3.14</v>
      </c>
      <c r="D107" s="66">
        <f t="shared" si="1"/>
        <v>11.83</v>
      </c>
      <c r="E107" s="66">
        <f t="shared" si="1"/>
        <v>5.26</v>
      </c>
      <c r="F107" s="66">
        <f t="shared" si="1"/>
        <v>31.76</v>
      </c>
      <c r="G107" s="66">
        <f t="shared" si="1"/>
        <v>59.99</v>
      </c>
      <c r="H107" s="66">
        <f t="shared" si="1"/>
        <v>135.32</v>
      </c>
      <c r="I107" s="66">
        <f t="shared" si="1"/>
        <v>5.04</v>
      </c>
      <c r="J107" s="66">
        <f t="shared" si="1"/>
        <v>1.78</v>
      </c>
      <c r="K107" s="66">
        <f t="shared" si="1"/>
        <v>359.15</v>
      </c>
      <c r="L107" s="66">
        <f t="shared" si="1"/>
        <v>35.53</v>
      </c>
      <c r="M107" s="66">
        <f t="shared" si="1"/>
        <v>101.65</v>
      </c>
      <c r="N107" s="66">
        <f t="shared" si="1"/>
        <v>615.9</v>
      </c>
      <c r="O107" s="66">
        <f t="shared" si="1"/>
        <v>16.8</v>
      </c>
      <c r="P107" s="66">
        <f t="shared" si="1"/>
        <v>0.6</v>
      </c>
      <c r="Q107" s="66">
        <f t="shared" si="1"/>
        <v>9.86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7.9645833333333371</v>
      </c>
      <c r="C108" s="67">
        <f t="shared" ref="C108:Q108" si="2">AVERAGE(C9:C104)</f>
        <v>2.9999999999999996</v>
      </c>
      <c r="D108" s="67">
        <f t="shared" si="2"/>
        <v>11.72854166666667</v>
      </c>
      <c r="E108" s="67">
        <f t="shared" si="2"/>
        <v>3.9928124999999999</v>
      </c>
      <c r="F108" s="67">
        <f t="shared" si="2"/>
        <v>5.2510416666666684</v>
      </c>
      <c r="G108" s="67">
        <f t="shared" si="2"/>
        <v>29.294583333333325</v>
      </c>
      <c r="H108" s="67">
        <f t="shared" si="2"/>
        <v>19.422291666666666</v>
      </c>
      <c r="I108" s="67">
        <f t="shared" si="2"/>
        <v>3.8641666666666663</v>
      </c>
      <c r="J108" s="67">
        <f t="shared" si="2"/>
        <v>0.33520833333333339</v>
      </c>
      <c r="K108" s="67">
        <f t="shared" si="2"/>
        <v>204.27520833333344</v>
      </c>
      <c r="L108" s="67">
        <f t="shared" si="2"/>
        <v>27.730104166666667</v>
      </c>
      <c r="M108" s="67">
        <f t="shared" si="2"/>
        <v>97.214999999999961</v>
      </c>
      <c r="N108" s="67">
        <f t="shared" si="2"/>
        <v>136.10000000000002</v>
      </c>
      <c r="O108" s="67">
        <f t="shared" si="2"/>
        <v>0.53124999999999989</v>
      </c>
      <c r="P108" s="67">
        <f t="shared" si="2"/>
        <v>0.45208333333333339</v>
      </c>
      <c r="Q108" s="67">
        <f t="shared" si="2"/>
        <v>9.668645833333338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2.7102793278715242E-2</v>
      </c>
      <c r="C109" s="67">
        <f t="shared" ref="C109:Q109" si="3">STDEV(C9:C104)</f>
        <v>4.6225989500097792E-2</v>
      </c>
      <c r="D109" s="67">
        <f t="shared" si="3"/>
        <v>3.7696270000224456E-2</v>
      </c>
      <c r="E109" s="67">
        <f t="shared" si="3"/>
        <v>0.749143655853309</v>
      </c>
      <c r="F109" s="67">
        <f t="shared" si="3"/>
        <v>5.6656985408809337</v>
      </c>
      <c r="G109" s="67">
        <f t="shared" si="3"/>
        <v>11.150490186691753</v>
      </c>
      <c r="H109" s="67">
        <f t="shared" si="3"/>
        <v>25.489975923639467</v>
      </c>
      <c r="I109" s="67">
        <f t="shared" si="3"/>
        <v>0.7640910205723519</v>
      </c>
      <c r="J109" s="67">
        <f t="shared" si="3"/>
        <v>0.32924148605598114</v>
      </c>
      <c r="K109" s="67">
        <f t="shared" si="3"/>
        <v>105.24206140311561</v>
      </c>
      <c r="L109" s="67">
        <f t="shared" si="3"/>
        <v>3.0575619784712962</v>
      </c>
      <c r="M109" s="67">
        <f t="shared" si="3"/>
        <v>8.9283923230156148</v>
      </c>
      <c r="N109" s="67">
        <f t="shared" si="3"/>
        <v>151.89763519866719</v>
      </c>
      <c r="O109" s="67">
        <f t="shared" si="3"/>
        <v>2.4146619028889238</v>
      </c>
      <c r="P109" s="67">
        <f t="shared" si="3"/>
        <v>5.5911898115491986E-2</v>
      </c>
      <c r="Q109" s="67">
        <f t="shared" si="3"/>
        <v>7.2716027215704582E-2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725</v>
      </c>
      <c r="B9" s="64">
        <v>7.97</v>
      </c>
      <c r="C9" s="64">
        <v>3.01</v>
      </c>
      <c r="D9" s="64">
        <v>11.74</v>
      </c>
      <c r="E9" s="64">
        <v>3.66</v>
      </c>
      <c r="F9" s="64">
        <v>3.43</v>
      </c>
      <c r="G9" s="64">
        <v>13.3</v>
      </c>
      <c r="H9" s="64">
        <v>13.54</v>
      </c>
      <c r="I9" s="64">
        <v>4.2</v>
      </c>
      <c r="J9" s="64">
        <v>0.12</v>
      </c>
      <c r="K9" s="64">
        <v>338.65</v>
      </c>
      <c r="L9" s="64">
        <v>24.37</v>
      </c>
      <c r="M9" s="64">
        <v>101.65</v>
      </c>
      <c r="N9" s="64">
        <v>39.5</v>
      </c>
      <c r="O9" s="64">
        <v>0</v>
      </c>
      <c r="P9" s="64">
        <v>0.47</v>
      </c>
      <c r="Q9" s="64">
        <v>9.7100000000000009</v>
      </c>
      <c r="R9" s="198"/>
      <c r="S9" s="198"/>
      <c r="T9" s="198"/>
      <c r="U9" s="198"/>
    </row>
    <row r="10" spans="1:21" s="12" customFormat="1" x14ac:dyDescent="0.25">
      <c r="A10" s="214" t="s">
        <v>726</v>
      </c>
      <c r="B10" s="64">
        <v>7.98</v>
      </c>
      <c r="C10" s="64">
        <v>2.98</v>
      </c>
      <c r="D10" s="64">
        <v>11.74</v>
      </c>
      <c r="E10" s="64">
        <v>3.82</v>
      </c>
      <c r="F10" s="64">
        <v>4.4000000000000004</v>
      </c>
      <c r="G10" s="64">
        <v>13.3</v>
      </c>
      <c r="H10" s="64">
        <v>13.54</v>
      </c>
      <c r="I10" s="64">
        <v>4.2300000000000004</v>
      </c>
      <c r="J10" s="64">
        <v>0.26</v>
      </c>
      <c r="K10" s="64">
        <v>329.01</v>
      </c>
      <c r="L10" s="64">
        <v>24.45</v>
      </c>
      <c r="M10" s="64">
        <v>101.65</v>
      </c>
      <c r="N10" s="64">
        <v>39.5</v>
      </c>
      <c r="O10" s="64">
        <v>0</v>
      </c>
      <c r="P10" s="64">
        <v>0.48</v>
      </c>
      <c r="Q10" s="64">
        <v>9.74</v>
      </c>
      <c r="R10" s="198"/>
      <c r="S10" s="198"/>
      <c r="T10" s="198"/>
      <c r="U10" s="198"/>
    </row>
    <row r="11" spans="1:21" s="12" customFormat="1" x14ac:dyDescent="0.25">
      <c r="A11" s="214" t="s">
        <v>727</v>
      </c>
      <c r="B11" s="64">
        <v>7.97</v>
      </c>
      <c r="C11" s="64">
        <v>3</v>
      </c>
      <c r="D11" s="64">
        <v>11.73</v>
      </c>
      <c r="E11" s="64">
        <v>4.42</v>
      </c>
      <c r="F11" s="64">
        <v>3.6</v>
      </c>
      <c r="G11" s="64">
        <v>13.3</v>
      </c>
      <c r="H11" s="64">
        <v>13.54</v>
      </c>
      <c r="I11" s="64">
        <v>4.46</v>
      </c>
      <c r="J11" s="64">
        <v>0.16</v>
      </c>
      <c r="K11" s="64">
        <v>93.5</v>
      </c>
      <c r="L11" s="64">
        <v>24.42</v>
      </c>
      <c r="M11" s="64">
        <v>101.65</v>
      </c>
      <c r="N11" s="64">
        <v>39.299999999999997</v>
      </c>
      <c r="O11" s="64">
        <v>0</v>
      </c>
      <c r="P11" s="64">
        <v>0.47</v>
      </c>
      <c r="Q11" s="64">
        <v>9.68</v>
      </c>
      <c r="R11" s="198"/>
      <c r="S11" s="198"/>
      <c r="T11" s="198"/>
      <c r="U11" s="198"/>
    </row>
    <row r="12" spans="1:21" s="12" customFormat="1" x14ac:dyDescent="0.25">
      <c r="A12" s="214" t="s">
        <v>728</v>
      </c>
      <c r="B12" s="64">
        <v>7.93</v>
      </c>
      <c r="C12" s="64">
        <v>2.96</v>
      </c>
      <c r="D12" s="64">
        <v>11.68</v>
      </c>
      <c r="E12" s="64">
        <v>3.87</v>
      </c>
      <c r="F12" s="64">
        <v>4.6900000000000004</v>
      </c>
      <c r="G12" s="64">
        <v>14.01</v>
      </c>
      <c r="H12" s="64">
        <v>11.08</v>
      </c>
      <c r="I12" s="64">
        <v>4.4000000000000004</v>
      </c>
      <c r="J12" s="64">
        <v>0.12</v>
      </c>
      <c r="K12" s="64">
        <v>313.3</v>
      </c>
      <c r="L12" s="64">
        <v>24.61</v>
      </c>
      <c r="M12" s="64">
        <v>101.65</v>
      </c>
      <c r="N12" s="64">
        <v>39.299999999999997</v>
      </c>
      <c r="O12" s="64">
        <v>0</v>
      </c>
      <c r="P12" s="64">
        <v>0.48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4" t="s">
        <v>729</v>
      </c>
      <c r="B13" s="64">
        <v>7.93</v>
      </c>
      <c r="C13" s="64">
        <v>2.97</v>
      </c>
      <c r="D13" s="64">
        <v>11.69</v>
      </c>
      <c r="E13" s="64">
        <v>4.01</v>
      </c>
      <c r="F13" s="64">
        <v>2.86</v>
      </c>
      <c r="G13" s="64">
        <v>15.28</v>
      </c>
      <c r="H13" s="64">
        <v>2.44</v>
      </c>
      <c r="I13" s="64">
        <v>4.3099999999999996</v>
      </c>
      <c r="J13" s="64">
        <v>7.0000000000000007E-2</v>
      </c>
      <c r="K13" s="64">
        <v>8.92</v>
      </c>
      <c r="L13" s="64">
        <v>24.54</v>
      </c>
      <c r="M13" s="64">
        <v>101.65</v>
      </c>
      <c r="N13" s="64">
        <v>39.5</v>
      </c>
      <c r="O13" s="64">
        <v>0</v>
      </c>
      <c r="P13" s="64">
        <v>0.47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4" t="s">
        <v>730</v>
      </c>
      <c r="B14" s="64">
        <v>7.95</v>
      </c>
      <c r="C14" s="64">
        <v>3.04</v>
      </c>
      <c r="D14" s="64">
        <v>11.74</v>
      </c>
      <c r="E14" s="64">
        <v>3.78</v>
      </c>
      <c r="F14" s="64">
        <v>2.94</v>
      </c>
      <c r="G14" s="64">
        <v>15.28</v>
      </c>
      <c r="H14" s="64">
        <v>2.44</v>
      </c>
      <c r="I14" s="64">
        <v>4.3099999999999996</v>
      </c>
      <c r="J14" s="64">
        <v>0.08</v>
      </c>
      <c r="K14" s="64">
        <v>341.47</v>
      </c>
      <c r="L14" s="64">
        <v>24.62</v>
      </c>
      <c r="M14" s="64">
        <v>101.65</v>
      </c>
      <c r="N14" s="64">
        <v>39.4</v>
      </c>
      <c r="O14" s="64">
        <v>0</v>
      </c>
      <c r="P14" s="64">
        <v>0.49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4" t="s">
        <v>731</v>
      </c>
      <c r="B15" s="64">
        <v>7.93</v>
      </c>
      <c r="C15" s="64">
        <v>2.96</v>
      </c>
      <c r="D15" s="64">
        <v>11.68</v>
      </c>
      <c r="E15" s="64">
        <v>4.29</v>
      </c>
      <c r="F15" s="64">
        <v>4.6900000000000004</v>
      </c>
      <c r="G15" s="64">
        <v>15.28</v>
      </c>
      <c r="H15" s="64">
        <v>2.44</v>
      </c>
      <c r="I15" s="64">
        <v>4.16</v>
      </c>
      <c r="J15" s="64">
        <v>0.1</v>
      </c>
      <c r="K15" s="64">
        <v>122.58</v>
      </c>
      <c r="L15" s="64">
        <v>24.7</v>
      </c>
      <c r="M15" s="64">
        <v>101.65</v>
      </c>
      <c r="N15" s="64">
        <v>39.299999999999997</v>
      </c>
      <c r="O15" s="64">
        <v>0</v>
      </c>
      <c r="P15" s="64">
        <v>0.48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4" t="s">
        <v>732</v>
      </c>
      <c r="B16" s="64">
        <v>7.93</v>
      </c>
      <c r="C16" s="64">
        <v>2.94</v>
      </c>
      <c r="D16" s="64">
        <v>11.67</v>
      </c>
      <c r="E16" s="64">
        <v>4.03</v>
      </c>
      <c r="F16" s="64">
        <v>2.7</v>
      </c>
      <c r="G16" s="64">
        <v>14.38</v>
      </c>
      <c r="H16" s="64">
        <v>2.83</v>
      </c>
      <c r="I16" s="64">
        <v>4.04</v>
      </c>
      <c r="J16" s="64">
        <v>0.18</v>
      </c>
      <c r="K16" s="64">
        <v>126.36</v>
      </c>
      <c r="L16" s="64">
        <v>24.69</v>
      </c>
      <c r="M16" s="64">
        <v>101.65</v>
      </c>
      <c r="N16" s="64">
        <v>39.4</v>
      </c>
      <c r="O16" s="64">
        <v>0</v>
      </c>
      <c r="P16" s="64">
        <v>0.47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4" t="s">
        <v>733</v>
      </c>
      <c r="B17" s="64">
        <v>7.94</v>
      </c>
      <c r="C17" s="64">
        <v>2.95</v>
      </c>
      <c r="D17" s="64">
        <v>11.68</v>
      </c>
      <c r="E17" s="64">
        <v>3.82</v>
      </c>
      <c r="F17" s="64">
        <v>3.91</v>
      </c>
      <c r="G17" s="64">
        <v>12.76</v>
      </c>
      <c r="H17" s="64">
        <v>3.28</v>
      </c>
      <c r="I17" s="64">
        <v>3.98</v>
      </c>
      <c r="J17" s="64">
        <v>0.06</v>
      </c>
      <c r="K17" s="64">
        <v>356.8</v>
      </c>
      <c r="L17" s="64">
        <v>24.72</v>
      </c>
      <c r="M17" s="64">
        <v>101.65</v>
      </c>
      <c r="N17" s="64">
        <v>39.6</v>
      </c>
      <c r="O17" s="64">
        <v>0</v>
      </c>
      <c r="P17" s="64">
        <v>0.47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4" t="s">
        <v>734</v>
      </c>
      <c r="B18" s="64">
        <v>7.97</v>
      </c>
      <c r="C18" s="64">
        <v>3</v>
      </c>
      <c r="D18" s="64">
        <v>11.73</v>
      </c>
      <c r="E18" s="64">
        <v>3.81</v>
      </c>
      <c r="F18" s="64">
        <v>3.24</v>
      </c>
      <c r="G18" s="64">
        <v>12.76</v>
      </c>
      <c r="H18" s="64">
        <v>3.28</v>
      </c>
      <c r="I18" s="64">
        <v>3.97</v>
      </c>
      <c r="J18" s="64">
        <v>0.03</v>
      </c>
      <c r="K18" s="64">
        <v>109.46</v>
      </c>
      <c r="L18" s="64">
        <v>24.72</v>
      </c>
      <c r="M18" s="64">
        <v>101.65</v>
      </c>
      <c r="N18" s="64">
        <v>39.6</v>
      </c>
      <c r="O18" s="64">
        <v>0</v>
      </c>
      <c r="P18" s="64">
        <v>0.46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4" t="s">
        <v>735</v>
      </c>
      <c r="B19" s="64">
        <v>7.95</v>
      </c>
      <c r="C19" s="64">
        <v>2.96</v>
      </c>
      <c r="D19" s="64">
        <v>11.7</v>
      </c>
      <c r="E19" s="64">
        <v>3.97</v>
      </c>
      <c r="F19" s="64">
        <v>3.39</v>
      </c>
      <c r="G19" s="64">
        <v>12.76</v>
      </c>
      <c r="H19" s="64">
        <v>3.28</v>
      </c>
      <c r="I19" s="64">
        <v>3.97</v>
      </c>
      <c r="J19" s="64">
        <v>0.53</v>
      </c>
      <c r="K19" s="64">
        <v>120.12</v>
      </c>
      <c r="L19" s="64">
        <v>24.76</v>
      </c>
      <c r="M19" s="64">
        <v>101.65</v>
      </c>
      <c r="N19" s="64">
        <v>39.299999999999997</v>
      </c>
      <c r="O19" s="64">
        <v>0</v>
      </c>
      <c r="P19" s="64">
        <v>0.45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736</v>
      </c>
      <c r="B20" s="64">
        <v>7.96</v>
      </c>
      <c r="C20" s="64">
        <v>3.05</v>
      </c>
      <c r="D20" s="64">
        <v>11.75</v>
      </c>
      <c r="E20" s="64">
        <v>3.53</v>
      </c>
      <c r="F20" s="64">
        <v>3.56</v>
      </c>
      <c r="G20" s="64">
        <v>15.1</v>
      </c>
      <c r="H20" s="64">
        <v>2.86</v>
      </c>
      <c r="I20" s="64">
        <v>3.91</v>
      </c>
      <c r="J20" s="64">
        <v>0.21</v>
      </c>
      <c r="K20" s="64">
        <v>136.91</v>
      </c>
      <c r="L20" s="64">
        <v>24.88</v>
      </c>
      <c r="M20" s="64">
        <v>101.65</v>
      </c>
      <c r="N20" s="64">
        <v>39.700000000000003</v>
      </c>
      <c r="O20" s="64">
        <v>0</v>
      </c>
      <c r="P20" s="64">
        <v>0.45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4" t="s">
        <v>737</v>
      </c>
      <c r="B21" s="64">
        <v>8.0299999999999994</v>
      </c>
      <c r="C21" s="64">
        <v>3.11</v>
      </c>
      <c r="D21" s="64">
        <v>11.84</v>
      </c>
      <c r="E21" s="64">
        <v>3.74</v>
      </c>
      <c r="F21" s="64">
        <v>3.41</v>
      </c>
      <c r="G21" s="64">
        <v>19.34</v>
      </c>
      <c r="H21" s="64">
        <v>2.37</v>
      </c>
      <c r="I21" s="64">
        <v>3.99</v>
      </c>
      <c r="J21" s="64">
        <v>0.43</v>
      </c>
      <c r="K21" s="64">
        <v>172.05</v>
      </c>
      <c r="L21" s="64">
        <v>24.87</v>
      </c>
      <c r="M21" s="64">
        <v>101.65</v>
      </c>
      <c r="N21" s="64">
        <v>39.9</v>
      </c>
      <c r="O21" s="64">
        <v>0</v>
      </c>
      <c r="P21" s="64">
        <v>0.45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4" t="s">
        <v>738</v>
      </c>
      <c r="B22" s="64">
        <v>7.97</v>
      </c>
      <c r="C22" s="64">
        <v>3.02</v>
      </c>
      <c r="D22" s="64">
        <v>11.75</v>
      </c>
      <c r="E22" s="64">
        <v>3.58</v>
      </c>
      <c r="F22" s="64">
        <v>3.19</v>
      </c>
      <c r="G22" s="64">
        <v>19.34</v>
      </c>
      <c r="H22" s="64">
        <v>2.37</v>
      </c>
      <c r="I22" s="64">
        <v>4.3600000000000003</v>
      </c>
      <c r="J22" s="64">
        <v>0.33</v>
      </c>
      <c r="K22" s="64">
        <v>173.5</v>
      </c>
      <c r="L22" s="64">
        <v>24.84</v>
      </c>
      <c r="M22" s="64">
        <v>101.65</v>
      </c>
      <c r="N22" s="64">
        <v>40</v>
      </c>
      <c r="O22" s="64">
        <v>0</v>
      </c>
      <c r="P22" s="64">
        <v>0.45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4" t="s">
        <v>739</v>
      </c>
      <c r="B23" s="64">
        <v>7.96</v>
      </c>
      <c r="C23" s="64">
        <v>2.95</v>
      </c>
      <c r="D23" s="64">
        <v>11.7</v>
      </c>
      <c r="E23" s="64">
        <v>3.36</v>
      </c>
      <c r="F23" s="64">
        <v>3.53</v>
      </c>
      <c r="G23" s="64">
        <v>19.34</v>
      </c>
      <c r="H23" s="64">
        <v>2.37</v>
      </c>
      <c r="I23" s="64">
        <v>4.5199999999999996</v>
      </c>
      <c r="J23" s="64">
        <v>0.4</v>
      </c>
      <c r="K23" s="64">
        <v>108.77</v>
      </c>
      <c r="L23" s="64">
        <v>24.75</v>
      </c>
      <c r="M23" s="64">
        <v>101.65</v>
      </c>
      <c r="N23" s="64">
        <v>40.700000000000003</v>
      </c>
      <c r="O23" s="64">
        <v>0</v>
      </c>
      <c r="P23" s="64">
        <v>0.44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4" t="s">
        <v>740</v>
      </c>
      <c r="B24" s="64">
        <v>7.97</v>
      </c>
      <c r="C24" s="64">
        <v>2.92</v>
      </c>
      <c r="D24" s="64">
        <v>11.69</v>
      </c>
      <c r="E24" s="64">
        <v>3.26</v>
      </c>
      <c r="F24" s="64">
        <v>3.47</v>
      </c>
      <c r="G24" s="64">
        <v>18.32</v>
      </c>
      <c r="H24" s="64">
        <v>5.05</v>
      </c>
      <c r="I24" s="64">
        <v>4.42</v>
      </c>
      <c r="J24" s="64">
        <v>0.28999999999999998</v>
      </c>
      <c r="K24" s="64">
        <v>111.01</v>
      </c>
      <c r="L24" s="64">
        <v>24.59</v>
      </c>
      <c r="M24" s="64">
        <v>101.65</v>
      </c>
      <c r="N24" s="64">
        <v>40.5</v>
      </c>
      <c r="O24" s="64">
        <v>0</v>
      </c>
      <c r="P24" s="64">
        <v>0.44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4" t="s">
        <v>741</v>
      </c>
      <c r="B25" s="64">
        <v>7.97</v>
      </c>
      <c r="C25" s="64">
        <v>2.91</v>
      </c>
      <c r="D25" s="64">
        <v>11.69</v>
      </c>
      <c r="E25" s="64">
        <v>2.83</v>
      </c>
      <c r="F25" s="64">
        <v>3.26</v>
      </c>
      <c r="G25" s="64">
        <v>16.47</v>
      </c>
      <c r="H25" s="64">
        <v>8.15</v>
      </c>
      <c r="I25" s="64">
        <v>4.62</v>
      </c>
      <c r="J25" s="64">
        <v>0.34</v>
      </c>
      <c r="K25" s="64">
        <v>128.19</v>
      </c>
      <c r="L25" s="64">
        <v>24.53</v>
      </c>
      <c r="M25" s="64">
        <v>101.65</v>
      </c>
      <c r="N25" s="64">
        <v>40</v>
      </c>
      <c r="O25" s="64">
        <v>0</v>
      </c>
      <c r="P25" s="64">
        <v>0.43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4" t="s">
        <v>742</v>
      </c>
      <c r="B26" s="64">
        <v>7.97</v>
      </c>
      <c r="C26" s="64">
        <v>2.94</v>
      </c>
      <c r="D26" s="64">
        <v>11.7</v>
      </c>
      <c r="E26" s="64">
        <v>3.15</v>
      </c>
      <c r="F26" s="64">
        <v>3.57</v>
      </c>
      <c r="G26" s="64">
        <v>16.47</v>
      </c>
      <c r="H26" s="64">
        <v>8.15</v>
      </c>
      <c r="I26" s="64">
        <v>5.07</v>
      </c>
      <c r="J26" s="64">
        <v>0.35</v>
      </c>
      <c r="K26" s="64">
        <v>161.19</v>
      </c>
      <c r="L26" s="64">
        <v>24.47</v>
      </c>
      <c r="M26" s="64">
        <v>101.65</v>
      </c>
      <c r="N26" s="64">
        <v>39.799999999999997</v>
      </c>
      <c r="O26" s="64">
        <v>0</v>
      </c>
      <c r="P26" s="64">
        <v>0.42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4" t="s">
        <v>743</v>
      </c>
      <c r="B27" s="64">
        <v>7.96</v>
      </c>
      <c r="C27" s="64">
        <v>2.93</v>
      </c>
      <c r="D27" s="64">
        <v>11.69</v>
      </c>
      <c r="E27" s="64">
        <v>3.11</v>
      </c>
      <c r="F27" s="64">
        <v>4.08</v>
      </c>
      <c r="G27" s="64">
        <v>16.47</v>
      </c>
      <c r="H27" s="64">
        <v>8.15</v>
      </c>
      <c r="I27" s="64">
        <v>5.28</v>
      </c>
      <c r="J27" s="64">
        <v>0.04</v>
      </c>
      <c r="K27" s="64">
        <v>260.04000000000002</v>
      </c>
      <c r="L27" s="64">
        <v>24.46</v>
      </c>
      <c r="M27" s="64">
        <v>101.65</v>
      </c>
      <c r="N27" s="64">
        <v>39.9</v>
      </c>
      <c r="O27" s="64">
        <v>0</v>
      </c>
      <c r="P27" s="64">
        <v>0.41</v>
      </c>
      <c r="Q27" s="64">
        <v>9.67</v>
      </c>
      <c r="R27" s="198"/>
      <c r="S27" s="198"/>
      <c r="T27" s="198"/>
      <c r="U27" s="198"/>
    </row>
    <row r="28" spans="1:21" s="12" customFormat="1" x14ac:dyDescent="0.25">
      <c r="A28" s="214" t="s">
        <v>744</v>
      </c>
      <c r="B28" s="64">
        <v>7.94</v>
      </c>
      <c r="C28" s="64">
        <v>2.94</v>
      </c>
      <c r="D28" s="64">
        <v>11.67</v>
      </c>
      <c r="E28" s="64">
        <v>3.3</v>
      </c>
      <c r="F28" s="64">
        <v>3.67</v>
      </c>
      <c r="G28" s="64">
        <v>16.02</v>
      </c>
      <c r="H28" s="64">
        <v>9.68</v>
      </c>
      <c r="I28" s="64">
        <v>5.27</v>
      </c>
      <c r="J28" s="64">
        <v>0.01</v>
      </c>
      <c r="K28" s="64">
        <v>271.29000000000002</v>
      </c>
      <c r="L28" s="64">
        <v>24.41</v>
      </c>
      <c r="M28" s="64">
        <v>101.65</v>
      </c>
      <c r="N28" s="64">
        <v>39.799999999999997</v>
      </c>
      <c r="O28" s="64">
        <v>0</v>
      </c>
      <c r="P28" s="64">
        <v>0.42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4" t="s">
        <v>745</v>
      </c>
      <c r="B29" s="64">
        <v>7.92</v>
      </c>
      <c r="C29" s="64">
        <v>2.94</v>
      </c>
      <c r="D29" s="64">
        <v>11.66</v>
      </c>
      <c r="E29" s="64">
        <v>3.22</v>
      </c>
      <c r="F29" s="64">
        <v>3.1</v>
      </c>
      <c r="G29" s="64">
        <v>15.22</v>
      </c>
      <c r="H29" s="64">
        <v>15.04</v>
      </c>
      <c r="I29" s="64">
        <v>5.1100000000000003</v>
      </c>
      <c r="J29" s="64">
        <v>0.15</v>
      </c>
      <c r="K29" s="64">
        <v>146.75</v>
      </c>
      <c r="L29" s="64">
        <v>24.45</v>
      </c>
      <c r="M29" s="64">
        <v>101.65</v>
      </c>
      <c r="N29" s="64">
        <v>39.700000000000003</v>
      </c>
      <c r="O29" s="64">
        <v>0</v>
      </c>
      <c r="P29" s="64">
        <v>0.41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4" t="s">
        <v>746</v>
      </c>
      <c r="B30" s="64">
        <v>7.93</v>
      </c>
      <c r="C30" s="64">
        <v>2.95</v>
      </c>
      <c r="D30" s="64">
        <v>11.68</v>
      </c>
      <c r="E30" s="64">
        <v>3.5</v>
      </c>
      <c r="F30" s="64">
        <v>3.69</v>
      </c>
      <c r="G30" s="64">
        <v>15.22</v>
      </c>
      <c r="H30" s="64">
        <v>15.04</v>
      </c>
      <c r="I30" s="64">
        <v>4.92</v>
      </c>
      <c r="J30" s="64">
        <v>0.18</v>
      </c>
      <c r="K30" s="64">
        <v>150.56</v>
      </c>
      <c r="L30" s="64">
        <v>24.49</v>
      </c>
      <c r="M30" s="64">
        <v>101.65</v>
      </c>
      <c r="N30" s="64">
        <v>40</v>
      </c>
      <c r="O30" s="64">
        <v>0</v>
      </c>
      <c r="P30" s="64">
        <v>0.41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4" t="s">
        <v>747</v>
      </c>
      <c r="B31" s="64">
        <v>7.95</v>
      </c>
      <c r="C31" s="64">
        <v>2.97</v>
      </c>
      <c r="D31" s="64">
        <v>11.7</v>
      </c>
      <c r="E31" s="64">
        <v>3.02</v>
      </c>
      <c r="F31" s="64">
        <v>3.62</v>
      </c>
      <c r="G31" s="64">
        <v>15.22</v>
      </c>
      <c r="H31" s="64">
        <v>15.04</v>
      </c>
      <c r="I31" s="64">
        <v>4.76</v>
      </c>
      <c r="J31" s="64">
        <v>0.02</v>
      </c>
      <c r="K31" s="64">
        <v>134.6</v>
      </c>
      <c r="L31" s="64">
        <v>24.54</v>
      </c>
      <c r="M31" s="64">
        <v>101.65</v>
      </c>
      <c r="N31" s="64">
        <v>40.200000000000003</v>
      </c>
      <c r="O31" s="64">
        <v>0</v>
      </c>
      <c r="P31" s="64">
        <v>0.4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4" t="s">
        <v>748</v>
      </c>
      <c r="B32" s="64">
        <v>7.92</v>
      </c>
      <c r="C32" s="64">
        <v>2.91</v>
      </c>
      <c r="D32" s="64">
        <v>11.65</v>
      </c>
      <c r="E32" s="64">
        <v>3.25</v>
      </c>
      <c r="F32" s="64">
        <v>3.21</v>
      </c>
      <c r="G32" s="64">
        <v>15.07</v>
      </c>
      <c r="H32" s="64">
        <v>10</v>
      </c>
      <c r="I32" s="64">
        <v>4.58</v>
      </c>
      <c r="J32" s="64">
        <v>0.13</v>
      </c>
      <c r="K32" s="64">
        <v>164.09</v>
      </c>
      <c r="L32" s="64">
        <v>24.53</v>
      </c>
      <c r="M32" s="64">
        <v>101.65</v>
      </c>
      <c r="N32" s="64">
        <v>40.9</v>
      </c>
      <c r="O32" s="64">
        <v>0</v>
      </c>
      <c r="P32" s="64">
        <v>0.4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4" t="s">
        <v>749</v>
      </c>
      <c r="B33" s="64">
        <v>7.94</v>
      </c>
      <c r="C33" s="64">
        <v>2.98</v>
      </c>
      <c r="D33" s="64">
        <v>11.7</v>
      </c>
      <c r="E33" s="64">
        <v>3.13</v>
      </c>
      <c r="F33" s="64">
        <v>3.22</v>
      </c>
      <c r="G33" s="64">
        <v>14.79</v>
      </c>
      <c r="H33" s="64">
        <v>4.32</v>
      </c>
      <c r="I33" s="64">
        <v>4.4400000000000004</v>
      </c>
      <c r="J33" s="64">
        <v>0.09</v>
      </c>
      <c r="K33" s="64">
        <v>249.35</v>
      </c>
      <c r="L33" s="64">
        <v>24.61</v>
      </c>
      <c r="M33" s="64">
        <v>101.65</v>
      </c>
      <c r="N33" s="64">
        <v>41.7</v>
      </c>
      <c r="O33" s="64">
        <v>0</v>
      </c>
      <c r="P33" s="64">
        <v>0.39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4" t="s">
        <v>750</v>
      </c>
      <c r="B34" s="64">
        <v>7.95</v>
      </c>
      <c r="C34" s="64">
        <v>3.01</v>
      </c>
      <c r="D34" s="64">
        <v>11.72</v>
      </c>
      <c r="E34" s="64">
        <v>3.18</v>
      </c>
      <c r="F34" s="64">
        <v>3.77</v>
      </c>
      <c r="G34" s="64">
        <v>14.79</v>
      </c>
      <c r="H34" s="64">
        <v>4.32</v>
      </c>
      <c r="I34" s="64">
        <v>4.2699999999999996</v>
      </c>
      <c r="J34" s="64">
        <v>0.24</v>
      </c>
      <c r="K34" s="64">
        <v>132.87</v>
      </c>
      <c r="L34" s="64">
        <v>24.63</v>
      </c>
      <c r="M34" s="64">
        <v>101.65</v>
      </c>
      <c r="N34" s="64">
        <v>44.2</v>
      </c>
      <c r="O34" s="64">
        <v>0</v>
      </c>
      <c r="P34" s="64">
        <v>0.39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4" t="s">
        <v>751</v>
      </c>
      <c r="B35" s="64">
        <v>7.94</v>
      </c>
      <c r="C35" s="64">
        <v>2.91</v>
      </c>
      <c r="D35" s="64">
        <v>11.66</v>
      </c>
      <c r="E35" s="64">
        <v>2.8</v>
      </c>
      <c r="F35" s="64">
        <v>3.49</v>
      </c>
      <c r="G35" s="64">
        <v>14.79</v>
      </c>
      <c r="H35" s="64">
        <v>4.32</v>
      </c>
      <c r="I35" s="64">
        <v>4.12</v>
      </c>
      <c r="J35" s="64">
        <v>0.1</v>
      </c>
      <c r="K35" s="64">
        <v>308.83</v>
      </c>
      <c r="L35" s="64">
        <v>24.81</v>
      </c>
      <c r="M35" s="64">
        <v>101.65</v>
      </c>
      <c r="N35" s="64">
        <v>48.9</v>
      </c>
      <c r="O35" s="64">
        <v>0</v>
      </c>
      <c r="P35" s="64">
        <v>0.39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4" t="s">
        <v>752</v>
      </c>
      <c r="B36" s="64">
        <v>7.97</v>
      </c>
      <c r="C36" s="64">
        <v>2.98</v>
      </c>
      <c r="D36" s="64">
        <v>11.72</v>
      </c>
      <c r="E36" s="64">
        <v>3.13</v>
      </c>
      <c r="F36" s="64">
        <v>2.68</v>
      </c>
      <c r="G36" s="64">
        <v>15.2</v>
      </c>
      <c r="H36" s="64">
        <v>11.41</v>
      </c>
      <c r="I36" s="64">
        <v>4.0199999999999996</v>
      </c>
      <c r="J36" s="64">
        <v>0.04</v>
      </c>
      <c r="K36" s="64">
        <v>337.5</v>
      </c>
      <c r="L36" s="64">
        <v>24.98</v>
      </c>
      <c r="M36" s="64">
        <v>101.65</v>
      </c>
      <c r="N36" s="64">
        <v>73.400000000000006</v>
      </c>
      <c r="O36" s="64">
        <v>0</v>
      </c>
      <c r="P36" s="64">
        <v>0.39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4" t="s">
        <v>753</v>
      </c>
      <c r="B37" s="64">
        <v>8.0299999999999994</v>
      </c>
      <c r="C37" s="64">
        <v>3.09</v>
      </c>
      <c r="D37" s="64">
        <v>11.83</v>
      </c>
      <c r="E37" s="64">
        <v>2.99</v>
      </c>
      <c r="F37" s="64">
        <v>3.28</v>
      </c>
      <c r="G37" s="64">
        <v>15.95</v>
      </c>
      <c r="H37" s="64">
        <v>19.41</v>
      </c>
      <c r="I37" s="64">
        <v>4.21</v>
      </c>
      <c r="J37" s="64">
        <v>0.35</v>
      </c>
      <c r="K37" s="64">
        <v>110.18</v>
      </c>
      <c r="L37" s="64">
        <v>25.14</v>
      </c>
      <c r="M37" s="64">
        <v>101.67</v>
      </c>
      <c r="N37" s="64">
        <v>119.4</v>
      </c>
      <c r="O37" s="64">
        <v>0</v>
      </c>
      <c r="P37" s="64">
        <v>0.38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4" t="s">
        <v>754</v>
      </c>
      <c r="B38" s="64">
        <v>8.02</v>
      </c>
      <c r="C38" s="64">
        <v>3.04</v>
      </c>
      <c r="D38" s="64">
        <v>11.79</v>
      </c>
      <c r="E38" s="64">
        <v>3.14</v>
      </c>
      <c r="F38" s="64">
        <v>3.35</v>
      </c>
      <c r="G38" s="64">
        <v>15.95</v>
      </c>
      <c r="H38" s="64">
        <v>19.41</v>
      </c>
      <c r="I38" s="64">
        <v>4.03</v>
      </c>
      <c r="J38" s="64">
        <v>0.42</v>
      </c>
      <c r="K38" s="64">
        <v>117.77</v>
      </c>
      <c r="L38" s="64">
        <v>25.82</v>
      </c>
      <c r="M38" s="64">
        <v>101.67</v>
      </c>
      <c r="N38" s="64">
        <v>264</v>
      </c>
      <c r="O38" s="64">
        <v>0</v>
      </c>
      <c r="P38" s="64">
        <v>0.4</v>
      </c>
      <c r="Q38" s="64">
        <v>9.67</v>
      </c>
      <c r="R38" s="198"/>
      <c r="S38" s="198"/>
      <c r="T38" s="198"/>
      <c r="U38" s="198"/>
    </row>
    <row r="39" spans="1:21" s="12" customFormat="1" x14ac:dyDescent="0.25">
      <c r="A39" s="214" t="s">
        <v>755</v>
      </c>
      <c r="B39" s="64">
        <v>7.98</v>
      </c>
      <c r="C39" s="64">
        <v>2.95</v>
      </c>
      <c r="D39" s="64">
        <v>11.72</v>
      </c>
      <c r="E39" s="64">
        <v>2.95</v>
      </c>
      <c r="F39" s="64">
        <v>3.13</v>
      </c>
      <c r="G39" s="64">
        <v>15.95</v>
      </c>
      <c r="H39" s="64">
        <v>19.41</v>
      </c>
      <c r="I39" s="64">
        <v>4.2300000000000004</v>
      </c>
      <c r="J39" s="64">
        <v>0.2</v>
      </c>
      <c r="K39" s="64">
        <v>108.17</v>
      </c>
      <c r="L39" s="64">
        <v>27.5</v>
      </c>
      <c r="M39" s="64">
        <v>101.58</v>
      </c>
      <c r="N39" s="64">
        <v>316.10000000000002</v>
      </c>
      <c r="O39" s="64">
        <v>0</v>
      </c>
      <c r="P39" s="64">
        <v>0.4</v>
      </c>
      <c r="Q39" s="64">
        <v>9.7100000000000009</v>
      </c>
      <c r="R39" s="198"/>
      <c r="S39" s="198"/>
      <c r="T39" s="198"/>
      <c r="U39" s="198"/>
    </row>
    <row r="40" spans="1:21" s="12" customFormat="1" x14ac:dyDescent="0.25">
      <c r="A40" s="214" t="s">
        <v>756</v>
      </c>
      <c r="B40" s="64">
        <v>7.98</v>
      </c>
      <c r="C40" s="64">
        <v>2.98</v>
      </c>
      <c r="D40" s="64">
        <v>11.73</v>
      </c>
      <c r="E40" s="64">
        <v>4.8499999999999996</v>
      </c>
      <c r="F40" s="64">
        <v>3.3</v>
      </c>
      <c r="G40" s="64">
        <v>17.440000000000001</v>
      </c>
      <c r="H40" s="64">
        <v>18.07</v>
      </c>
      <c r="I40" s="64">
        <v>4.5999999999999996</v>
      </c>
      <c r="J40" s="64">
        <v>0.71</v>
      </c>
      <c r="K40" s="64">
        <v>122.83</v>
      </c>
      <c r="L40" s="64">
        <v>27.89</v>
      </c>
      <c r="M40" s="64">
        <v>101.53</v>
      </c>
      <c r="N40" s="64">
        <v>338.9</v>
      </c>
      <c r="O40" s="64">
        <v>0</v>
      </c>
      <c r="P40" s="64">
        <v>0.41</v>
      </c>
      <c r="Q40" s="64">
        <v>9.73</v>
      </c>
      <c r="R40" s="198"/>
      <c r="S40" s="198"/>
      <c r="T40" s="198"/>
      <c r="U40" s="198"/>
    </row>
    <row r="41" spans="1:21" s="12" customFormat="1" x14ac:dyDescent="0.25">
      <c r="A41" s="214" t="s">
        <v>757</v>
      </c>
      <c r="B41" s="64">
        <v>8</v>
      </c>
      <c r="C41" s="64">
        <v>3</v>
      </c>
      <c r="D41" s="64">
        <v>11.76</v>
      </c>
      <c r="E41" s="64">
        <v>4.8899999999999997</v>
      </c>
      <c r="F41" s="64">
        <v>3.63</v>
      </c>
      <c r="G41" s="64">
        <v>20.149999999999999</v>
      </c>
      <c r="H41" s="64">
        <v>16.55</v>
      </c>
      <c r="I41" s="64">
        <v>4.8600000000000003</v>
      </c>
      <c r="J41" s="64">
        <v>0.23</v>
      </c>
      <c r="K41" s="64">
        <v>348.26</v>
      </c>
      <c r="L41" s="64">
        <v>29.54</v>
      </c>
      <c r="M41" s="64">
        <v>97.01</v>
      </c>
      <c r="N41" s="64">
        <v>398</v>
      </c>
      <c r="O41" s="64">
        <v>0</v>
      </c>
      <c r="P41" s="64">
        <v>0.41</v>
      </c>
      <c r="Q41" s="64">
        <v>9.74</v>
      </c>
      <c r="R41" s="198"/>
      <c r="S41" s="198"/>
      <c r="T41" s="198"/>
      <c r="U41" s="198"/>
    </row>
    <row r="42" spans="1:21" s="12" customFormat="1" x14ac:dyDescent="0.25">
      <c r="A42" s="214" t="s">
        <v>758</v>
      </c>
      <c r="B42" s="64">
        <v>8</v>
      </c>
      <c r="C42" s="64">
        <v>2.97</v>
      </c>
      <c r="D42" s="64">
        <v>11.74</v>
      </c>
      <c r="E42" s="64">
        <v>4.82</v>
      </c>
      <c r="F42" s="64">
        <v>3.81</v>
      </c>
      <c r="G42" s="64">
        <v>20.149999999999999</v>
      </c>
      <c r="H42" s="64">
        <v>16.55</v>
      </c>
      <c r="I42" s="64">
        <v>5.2</v>
      </c>
      <c r="J42" s="64">
        <v>0.18</v>
      </c>
      <c r="K42" s="64">
        <v>11.21</v>
      </c>
      <c r="L42" s="64">
        <v>31.4</v>
      </c>
      <c r="M42" s="64">
        <v>86.74</v>
      </c>
      <c r="N42" s="64">
        <v>462.7</v>
      </c>
      <c r="O42" s="64">
        <v>0</v>
      </c>
      <c r="P42" s="64">
        <v>0.42</v>
      </c>
      <c r="Q42" s="64">
        <v>9.7200000000000006</v>
      </c>
      <c r="R42" s="198"/>
      <c r="S42" s="198"/>
      <c r="T42" s="198"/>
      <c r="U42" s="198"/>
    </row>
    <row r="43" spans="1:21" s="12" customFormat="1" x14ac:dyDescent="0.25">
      <c r="A43" s="214" t="s">
        <v>759</v>
      </c>
      <c r="B43" s="64">
        <v>7.97</v>
      </c>
      <c r="C43" s="64">
        <v>2.95</v>
      </c>
      <c r="D43" s="64">
        <v>11.71</v>
      </c>
      <c r="E43" s="64">
        <v>4.51</v>
      </c>
      <c r="F43" s="64">
        <v>3.68</v>
      </c>
      <c r="G43" s="64">
        <v>20.149999999999999</v>
      </c>
      <c r="H43" s="64">
        <v>16.55</v>
      </c>
      <c r="I43" s="64">
        <v>5.47</v>
      </c>
      <c r="J43" s="64">
        <v>0.23</v>
      </c>
      <c r="K43" s="64">
        <v>341.45</v>
      </c>
      <c r="L43" s="64">
        <v>31.03</v>
      </c>
      <c r="M43" s="64">
        <v>89.49</v>
      </c>
      <c r="N43" s="64">
        <v>325.7</v>
      </c>
      <c r="O43" s="64">
        <v>0</v>
      </c>
      <c r="P43" s="64">
        <v>0.43</v>
      </c>
      <c r="Q43" s="64">
        <v>9.7200000000000006</v>
      </c>
      <c r="R43" s="198"/>
      <c r="S43" s="198"/>
      <c r="T43" s="198"/>
      <c r="U43" s="198"/>
    </row>
    <row r="44" spans="1:21" s="12" customFormat="1" x14ac:dyDescent="0.25">
      <c r="A44" s="214" t="s">
        <v>760</v>
      </c>
      <c r="B44" s="64">
        <v>7.96</v>
      </c>
      <c r="C44" s="64">
        <v>2.92</v>
      </c>
      <c r="D44" s="64">
        <v>11.69</v>
      </c>
      <c r="E44" s="64">
        <v>4.97</v>
      </c>
      <c r="F44" s="64">
        <v>3.85</v>
      </c>
      <c r="G44" s="64">
        <v>29.46</v>
      </c>
      <c r="H44" s="64">
        <v>20.85</v>
      </c>
      <c r="I44" s="64">
        <v>5.46</v>
      </c>
      <c r="J44" s="64">
        <v>0.19</v>
      </c>
      <c r="K44" s="64">
        <v>25.85</v>
      </c>
      <c r="L44" s="64">
        <v>31.07</v>
      </c>
      <c r="M44" s="64">
        <v>87.68</v>
      </c>
      <c r="N44" s="64">
        <v>445.9</v>
      </c>
      <c r="O44" s="64">
        <v>0</v>
      </c>
      <c r="P44" s="64">
        <v>0.45</v>
      </c>
      <c r="Q44" s="64">
        <v>9.7899999999999991</v>
      </c>
      <c r="R44" s="198"/>
      <c r="S44" s="198"/>
      <c r="T44" s="198"/>
      <c r="U44" s="198"/>
    </row>
    <row r="45" spans="1:21" s="12" customFormat="1" x14ac:dyDescent="0.25">
      <c r="A45" s="214" t="s">
        <v>761</v>
      </c>
      <c r="B45" s="64">
        <v>7.95</v>
      </c>
      <c r="C45" s="64">
        <v>2.92</v>
      </c>
      <c r="D45" s="64">
        <v>11.67</v>
      </c>
      <c r="E45" s="64">
        <v>4.88</v>
      </c>
      <c r="F45" s="64">
        <v>3.67</v>
      </c>
      <c r="G45" s="64">
        <v>46.35</v>
      </c>
      <c r="H45" s="64">
        <v>34.53</v>
      </c>
      <c r="I45" s="64">
        <v>5.48</v>
      </c>
      <c r="J45" s="64">
        <v>0.65</v>
      </c>
      <c r="K45" s="64">
        <v>115.02</v>
      </c>
      <c r="L45" s="64">
        <v>29.76</v>
      </c>
      <c r="M45" s="64">
        <v>92.97</v>
      </c>
      <c r="N45" s="64">
        <v>375.4</v>
      </c>
      <c r="O45" s="64">
        <v>0</v>
      </c>
      <c r="P45" s="64">
        <v>0.47</v>
      </c>
      <c r="Q45" s="64">
        <v>9.7899999999999991</v>
      </c>
      <c r="R45" s="198"/>
      <c r="S45" s="198"/>
      <c r="T45" s="198"/>
      <c r="U45" s="198"/>
    </row>
    <row r="46" spans="1:21" s="12" customFormat="1" x14ac:dyDescent="0.25">
      <c r="A46" s="214" t="s">
        <v>762</v>
      </c>
      <c r="B46" s="64">
        <v>7.98</v>
      </c>
      <c r="C46" s="64">
        <v>3.02</v>
      </c>
      <c r="D46" s="64">
        <v>11.75</v>
      </c>
      <c r="E46" s="64">
        <v>5.08</v>
      </c>
      <c r="F46" s="64">
        <v>3.66</v>
      </c>
      <c r="G46" s="64">
        <v>46.35</v>
      </c>
      <c r="H46" s="64">
        <v>34.53</v>
      </c>
      <c r="I46" s="64">
        <v>5.42</v>
      </c>
      <c r="J46" s="64">
        <v>0.52</v>
      </c>
      <c r="K46" s="64">
        <v>112.46</v>
      </c>
      <c r="L46" s="64">
        <v>28.96</v>
      </c>
      <c r="M46" s="64">
        <v>97.18</v>
      </c>
      <c r="N46" s="64">
        <v>238.7</v>
      </c>
      <c r="O46" s="64">
        <v>0</v>
      </c>
      <c r="P46" s="64">
        <v>0.49</v>
      </c>
      <c r="Q46" s="64">
        <v>9.77</v>
      </c>
      <c r="R46" s="198"/>
      <c r="S46" s="198"/>
      <c r="T46" s="198"/>
      <c r="U46" s="198"/>
    </row>
    <row r="47" spans="1:21" s="12" customFormat="1" x14ac:dyDescent="0.25">
      <c r="A47" s="214" t="s">
        <v>763</v>
      </c>
      <c r="B47" s="64">
        <v>7.94</v>
      </c>
      <c r="C47" s="64">
        <v>2.94</v>
      </c>
      <c r="D47" s="64">
        <v>11.68</v>
      </c>
      <c r="E47" s="64">
        <v>4.8499999999999996</v>
      </c>
      <c r="F47" s="64">
        <v>4.0999999999999996</v>
      </c>
      <c r="G47" s="64">
        <v>46.35</v>
      </c>
      <c r="H47" s="64">
        <v>34.53</v>
      </c>
      <c r="I47" s="64">
        <v>5.58</v>
      </c>
      <c r="J47" s="64">
        <v>0.28000000000000003</v>
      </c>
      <c r="K47" s="64">
        <v>95.54</v>
      </c>
      <c r="L47" s="64">
        <v>29</v>
      </c>
      <c r="M47" s="64">
        <v>97.72</v>
      </c>
      <c r="N47" s="64">
        <v>373.8</v>
      </c>
      <c r="O47" s="64">
        <v>0</v>
      </c>
      <c r="P47" s="64">
        <v>0.51</v>
      </c>
      <c r="Q47" s="64">
        <v>9.76</v>
      </c>
      <c r="R47" s="198"/>
      <c r="S47" s="198"/>
      <c r="T47" s="198"/>
      <c r="U47" s="198"/>
    </row>
    <row r="48" spans="1:21" s="12" customFormat="1" x14ac:dyDescent="0.25">
      <c r="A48" s="214" t="s">
        <v>764</v>
      </c>
      <c r="B48" s="64">
        <v>7.93</v>
      </c>
      <c r="C48" s="64">
        <v>2.97</v>
      </c>
      <c r="D48" s="64">
        <v>11.69</v>
      </c>
      <c r="E48" s="64">
        <v>4.79</v>
      </c>
      <c r="F48" s="64">
        <v>3.69</v>
      </c>
      <c r="G48" s="64">
        <v>59.29</v>
      </c>
      <c r="H48" s="64">
        <v>48.31</v>
      </c>
      <c r="I48" s="64">
        <v>5.87</v>
      </c>
      <c r="J48" s="64">
        <v>0.44</v>
      </c>
      <c r="K48" s="64">
        <v>86.72</v>
      </c>
      <c r="L48" s="64">
        <v>31.4</v>
      </c>
      <c r="M48" s="64">
        <v>86.9</v>
      </c>
      <c r="N48" s="64">
        <v>629.6</v>
      </c>
      <c r="O48" s="64">
        <v>0</v>
      </c>
      <c r="P48" s="64">
        <v>0.54</v>
      </c>
      <c r="Q48" s="64">
        <v>9.75</v>
      </c>
      <c r="R48" s="198"/>
      <c r="S48" s="198"/>
      <c r="T48" s="198"/>
      <c r="U48" s="198"/>
    </row>
    <row r="49" spans="1:21" s="12" customFormat="1" x14ac:dyDescent="0.25">
      <c r="A49" s="214" t="s">
        <v>765</v>
      </c>
      <c r="B49" s="64">
        <v>7.97</v>
      </c>
      <c r="C49" s="64">
        <v>2.97</v>
      </c>
      <c r="D49" s="64">
        <v>11.72</v>
      </c>
      <c r="E49" s="64">
        <v>4.7699999999999996</v>
      </c>
      <c r="F49" s="64">
        <v>3.51</v>
      </c>
      <c r="G49" s="64">
        <v>82.75</v>
      </c>
      <c r="H49" s="64">
        <v>63.88</v>
      </c>
      <c r="I49" s="64">
        <v>6</v>
      </c>
      <c r="J49" s="64">
        <v>0.46</v>
      </c>
      <c r="K49" s="64">
        <v>102.99</v>
      </c>
      <c r="L49" s="64">
        <v>30.87</v>
      </c>
      <c r="M49" s="64">
        <v>88.6</v>
      </c>
      <c r="N49" s="64">
        <v>595</v>
      </c>
      <c r="O49" s="64">
        <v>0</v>
      </c>
      <c r="P49" s="64">
        <v>0.56000000000000005</v>
      </c>
      <c r="Q49" s="64">
        <v>9.73</v>
      </c>
      <c r="R49" s="198"/>
      <c r="S49" s="198"/>
      <c r="T49" s="198"/>
      <c r="U49" s="198"/>
    </row>
    <row r="50" spans="1:21" s="12" customFormat="1" x14ac:dyDescent="0.25">
      <c r="A50" s="214" t="s">
        <v>766</v>
      </c>
      <c r="B50" s="64">
        <v>7.97</v>
      </c>
      <c r="C50" s="64">
        <v>2.98</v>
      </c>
      <c r="D50" s="64">
        <v>11.72</v>
      </c>
      <c r="E50" s="64">
        <v>4.99</v>
      </c>
      <c r="F50" s="64">
        <v>3.82</v>
      </c>
      <c r="G50" s="64">
        <v>82.75</v>
      </c>
      <c r="H50" s="64">
        <v>63.88</v>
      </c>
      <c r="I50" s="64">
        <v>6.05</v>
      </c>
      <c r="J50" s="64">
        <v>0.33</v>
      </c>
      <c r="K50" s="64">
        <v>88.05</v>
      </c>
      <c r="L50" s="64">
        <v>30.76</v>
      </c>
      <c r="M50" s="64">
        <v>89.03</v>
      </c>
      <c r="N50" s="64">
        <v>430.1</v>
      </c>
      <c r="O50" s="64">
        <v>0</v>
      </c>
      <c r="P50" s="64">
        <v>0.57999999999999996</v>
      </c>
      <c r="Q50" s="64">
        <v>9.74</v>
      </c>
      <c r="R50" s="198"/>
      <c r="S50" s="198"/>
      <c r="T50" s="198"/>
      <c r="U50" s="198"/>
    </row>
    <row r="51" spans="1:21" s="12" customFormat="1" x14ac:dyDescent="0.25">
      <c r="A51" s="214" t="s">
        <v>767</v>
      </c>
      <c r="B51" s="64">
        <v>8.01</v>
      </c>
      <c r="C51" s="64">
        <v>3.07</v>
      </c>
      <c r="D51" s="64">
        <v>11.81</v>
      </c>
      <c r="E51" s="64">
        <v>4.7699999999999996</v>
      </c>
      <c r="F51" s="64">
        <v>3.69</v>
      </c>
      <c r="G51" s="64">
        <v>82.75</v>
      </c>
      <c r="H51" s="64">
        <v>63.88</v>
      </c>
      <c r="I51" s="64">
        <v>6.23</v>
      </c>
      <c r="J51" s="64">
        <v>0.3</v>
      </c>
      <c r="K51" s="64">
        <v>349.68</v>
      </c>
      <c r="L51" s="64">
        <v>31.09</v>
      </c>
      <c r="M51" s="64">
        <v>87.07</v>
      </c>
      <c r="N51" s="64">
        <v>405.1</v>
      </c>
      <c r="O51" s="64">
        <v>0</v>
      </c>
      <c r="P51" s="64">
        <v>0.62</v>
      </c>
      <c r="Q51" s="64">
        <v>9.73</v>
      </c>
      <c r="R51" s="198"/>
      <c r="S51" s="198"/>
      <c r="T51" s="198"/>
      <c r="U51" s="198"/>
    </row>
    <row r="52" spans="1:21" s="12" customFormat="1" x14ac:dyDescent="0.25">
      <c r="A52" s="214" t="s">
        <v>768</v>
      </c>
      <c r="B52" s="64">
        <v>7.97</v>
      </c>
      <c r="C52" s="64">
        <v>3.06</v>
      </c>
      <c r="D52" s="64">
        <v>11.76</v>
      </c>
      <c r="E52" s="64">
        <v>4.74</v>
      </c>
      <c r="F52" s="64">
        <v>3.45</v>
      </c>
      <c r="G52" s="64">
        <v>79.599999999999994</v>
      </c>
      <c r="H52" s="64">
        <v>54.25</v>
      </c>
      <c r="I52" s="64">
        <v>6.31</v>
      </c>
      <c r="J52" s="64">
        <v>0.51</v>
      </c>
      <c r="K52" s="64">
        <v>342.7</v>
      </c>
      <c r="L52" s="64">
        <v>32.479999999999997</v>
      </c>
      <c r="M52" s="64">
        <v>80.040000000000006</v>
      </c>
      <c r="N52" s="64">
        <v>502.2</v>
      </c>
      <c r="O52" s="64">
        <v>0</v>
      </c>
      <c r="P52" s="64">
        <v>0.66</v>
      </c>
      <c r="Q52" s="64">
        <v>9.77</v>
      </c>
      <c r="R52" s="198"/>
      <c r="S52" s="198"/>
      <c r="T52" s="198"/>
      <c r="U52" s="198"/>
    </row>
    <row r="53" spans="1:21" s="12" customFormat="1" x14ac:dyDescent="0.25">
      <c r="A53" s="214" t="s">
        <v>769</v>
      </c>
      <c r="B53" s="64">
        <v>7.97</v>
      </c>
      <c r="C53" s="64">
        <v>3.03</v>
      </c>
      <c r="D53" s="64">
        <v>11.75</v>
      </c>
      <c r="E53" s="64">
        <v>4.83</v>
      </c>
      <c r="F53" s="64">
        <v>4.0199999999999996</v>
      </c>
      <c r="G53" s="64">
        <v>73.89</v>
      </c>
      <c r="H53" s="64">
        <v>43.38</v>
      </c>
      <c r="I53" s="64">
        <v>6.34</v>
      </c>
      <c r="J53" s="64">
        <v>0.23</v>
      </c>
      <c r="K53" s="64">
        <v>44.68</v>
      </c>
      <c r="L53" s="64">
        <v>32.090000000000003</v>
      </c>
      <c r="M53" s="64">
        <v>82.66</v>
      </c>
      <c r="N53" s="64">
        <v>617.4</v>
      </c>
      <c r="O53" s="64">
        <v>0</v>
      </c>
      <c r="P53" s="64">
        <v>0.68</v>
      </c>
      <c r="Q53" s="64">
        <v>9.7100000000000009</v>
      </c>
      <c r="R53" s="198"/>
      <c r="S53" s="198"/>
      <c r="T53" s="198"/>
      <c r="U53" s="198"/>
    </row>
    <row r="54" spans="1:21" s="12" customFormat="1" x14ac:dyDescent="0.25">
      <c r="A54" s="214" t="s">
        <v>770</v>
      </c>
      <c r="B54" s="64">
        <v>7.98</v>
      </c>
      <c r="C54" s="64">
        <v>3.09</v>
      </c>
      <c r="D54" s="64">
        <v>11.79</v>
      </c>
      <c r="E54" s="64">
        <v>4.42</v>
      </c>
      <c r="F54" s="64">
        <v>3.99</v>
      </c>
      <c r="G54" s="64">
        <v>73.89</v>
      </c>
      <c r="H54" s="64">
        <v>43.38</v>
      </c>
      <c r="I54" s="64">
        <v>6.43</v>
      </c>
      <c r="J54" s="64">
        <v>0.35</v>
      </c>
      <c r="K54" s="64">
        <v>79.260000000000005</v>
      </c>
      <c r="L54" s="64">
        <v>32.32</v>
      </c>
      <c r="M54" s="64">
        <v>82.21</v>
      </c>
      <c r="N54" s="64">
        <v>594</v>
      </c>
      <c r="O54" s="64">
        <v>0</v>
      </c>
      <c r="P54" s="64">
        <v>0.68</v>
      </c>
      <c r="Q54" s="64">
        <v>9.74</v>
      </c>
      <c r="R54" s="198"/>
      <c r="S54" s="198"/>
      <c r="T54" s="198"/>
      <c r="U54" s="198"/>
    </row>
    <row r="55" spans="1:21" s="12" customFormat="1" x14ac:dyDescent="0.25">
      <c r="A55" s="214" t="s">
        <v>771</v>
      </c>
      <c r="B55" s="64">
        <v>7.98</v>
      </c>
      <c r="C55" s="64">
        <v>3.09</v>
      </c>
      <c r="D55" s="64">
        <v>11.79</v>
      </c>
      <c r="E55" s="64">
        <v>4.5599999999999996</v>
      </c>
      <c r="F55" s="64">
        <v>4.7</v>
      </c>
      <c r="G55" s="64">
        <v>73.89</v>
      </c>
      <c r="H55" s="64">
        <v>43.38</v>
      </c>
      <c r="I55" s="64">
        <v>6.39</v>
      </c>
      <c r="J55" s="64">
        <v>0.38</v>
      </c>
      <c r="K55" s="64">
        <v>85.68</v>
      </c>
      <c r="L55" s="64">
        <v>32.409999999999997</v>
      </c>
      <c r="M55" s="64">
        <v>79.040000000000006</v>
      </c>
      <c r="N55" s="64">
        <v>725.7</v>
      </c>
      <c r="O55" s="64">
        <v>0</v>
      </c>
      <c r="P55" s="64">
        <v>0.67</v>
      </c>
      <c r="Q55" s="64">
        <v>9.74</v>
      </c>
      <c r="R55" s="198"/>
      <c r="S55" s="198"/>
      <c r="T55" s="198"/>
      <c r="U55" s="198"/>
    </row>
    <row r="56" spans="1:21" s="12" customFormat="1" x14ac:dyDescent="0.25">
      <c r="A56" s="214" t="s">
        <v>772</v>
      </c>
      <c r="B56" s="64">
        <v>7.97</v>
      </c>
      <c r="C56" s="64">
        <v>3.02</v>
      </c>
      <c r="D56" s="64">
        <v>11.74</v>
      </c>
      <c r="E56" s="64">
        <v>4.1500000000000004</v>
      </c>
      <c r="F56" s="64">
        <v>4.21</v>
      </c>
      <c r="G56" s="64">
        <v>78.37</v>
      </c>
      <c r="H56" s="64">
        <v>41.98</v>
      </c>
      <c r="I56" s="64">
        <v>6.18</v>
      </c>
      <c r="J56" s="64">
        <v>0.57999999999999996</v>
      </c>
      <c r="K56" s="64">
        <v>109.1</v>
      </c>
      <c r="L56" s="64">
        <v>32.909999999999997</v>
      </c>
      <c r="M56" s="64">
        <v>77.61</v>
      </c>
      <c r="N56" s="64">
        <v>874.6</v>
      </c>
      <c r="O56" s="64">
        <v>0</v>
      </c>
      <c r="P56" s="64">
        <v>0.67</v>
      </c>
      <c r="Q56" s="64">
        <v>9.7100000000000009</v>
      </c>
      <c r="R56" s="198"/>
      <c r="S56" s="198"/>
      <c r="T56" s="198"/>
      <c r="U56" s="198"/>
    </row>
    <row r="57" spans="1:21" s="12" customFormat="1" x14ac:dyDescent="0.25">
      <c r="A57" s="214" t="s">
        <v>773</v>
      </c>
      <c r="B57" s="64">
        <v>7.98</v>
      </c>
      <c r="C57" s="64">
        <v>3.12</v>
      </c>
      <c r="D57" s="64">
        <v>11.8</v>
      </c>
      <c r="E57" s="64">
        <v>4.62</v>
      </c>
      <c r="F57" s="64">
        <v>4.05</v>
      </c>
      <c r="G57" s="64">
        <v>86.49</v>
      </c>
      <c r="H57" s="64">
        <v>40.380000000000003</v>
      </c>
      <c r="I57" s="64">
        <v>6.25</v>
      </c>
      <c r="J57" s="64">
        <v>0.31</v>
      </c>
      <c r="K57" s="64">
        <v>52.61</v>
      </c>
      <c r="L57" s="64">
        <v>32.85</v>
      </c>
      <c r="M57" s="64">
        <v>78.599999999999994</v>
      </c>
      <c r="N57" s="64">
        <v>672.3</v>
      </c>
      <c r="O57" s="64">
        <v>0</v>
      </c>
      <c r="P57" s="64">
        <v>0.66</v>
      </c>
      <c r="Q57" s="64">
        <v>9.69</v>
      </c>
      <c r="R57" s="198"/>
      <c r="S57" s="198"/>
      <c r="T57" s="198"/>
      <c r="U57" s="198"/>
    </row>
    <row r="58" spans="1:21" s="12" customFormat="1" x14ac:dyDescent="0.25">
      <c r="A58" s="214" t="s">
        <v>774</v>
      </c>
      <c r="B58" s="64">
        <v>7.97</v>
      </c>
      <c r="C58" s="64">
        <v>3.11</v>
      </c>
      <c r="D58" s="64">
        <v>11.79</v>
      </c>
      <c r="E58" s="64">
        <v>4.53</v>
      </c>
      <c r="F58" s="64">
        <v>5.52</v>
      </c>
      <c r="G58" s="64">
        <v>86.49</v>
      </c>
      <c r="H58" s="64">
        <v>40.380000000000003</v>
      </c>
      <c r="I58" s="64">
        <v>6</v>
      </c>
      <c r="J58" s="64">
        <v>0.53</v>
      </c>
      <c r="K58" s="64">
        <v>338.83</v>
      </c>
      <c r="L58" s="64">
        <v>33.979999999999997</v>
      </c>
      <c r="M58" s="64">
        <v>74.55</v>
      </c>
      <c r="N58" s="64">
        <v>613</v>
      </c>
      <c r="O58" s="64">
        <v>0</v>
      </c>
      <c r="P58" s="64">
        <v>0.66</v>
      </c>
      <c r="Q58" s="64">
        <v>9.6999999999999993</v>
      </c>
      <c r="R58" s="198"/>
      <c r="S58" s="198"/>
      <c r="T58" s="198"/>
      <c r="U58" s="198"/>
    </row>
    <row r="59" spans="1:21" s="12" customFormat="1" x14ac:dyDescent="0.25">
      <c r="A59" s="214" t="s">
        <v>775</v>
      </c>
      <c r="B59" s="64">
        <v>7.96</v>
      </c>
      <c r="C59" s="64">
        <v>3.05</v>
      </c>
      <c r="D59" s="64">
        <v>11.76</v>
      </c>
      <c r="E59" s="64">
        <v>4.66</v>
      </c>
      <c r="F59" s="64">
        <v>6.44</v>
      </c>
      <c r="G59" s="64">
        <v>86.49</v>
      </c>
      <c r="H59" s="64">
        <v>40.380000000000003</v>
      </c>
      <c r="I59" s="64">
        <v>6.44</v>
      </c>
      <c r="J59" s="64">
        <v>0.24</v>
      </c>
      <c r="K59" s="64">
        <v>15.96</v>
      </c>
      <c r="L59" s="64">
        <v>34.14</v>
      </c>
      <c r="M59" s="64">
        <v>71.760000000000005</v>
      </c>
      <c r="N59" s="64">
        <v>845.7</v>
      </c>
      <c r="O59" s="64">
        <v>0</v>
      </c>
      <c r="P59" s="64">
        <v>0.66</v>
      </c>
      <c r="Q59" s="64">
        <v>9.68</v>
      </c>
      <c r="R59" s="198"/>
      <c r="S59" s="198"/>
      <c r="T59" s="198"/>
      <c r="U59" s="198"/>
    </row>
    <row r="60" spans="1:21" s="12" customFormat="1" x14ac:dyDescent="0.25">
      <c r="A60" s="214" t="s">
        <v>776</v>
      </c>
      <c r="B60" s="64">
        <v>7.96</v>
      </c>
      <c r="C60" s="64">
        <v>2.93</v>
      </c>
      <c r="D60" s="64">
        <v>11.69</v>
      </c>
      <c r="E60" s="64">
        <v>4.55</v>
      </c>
      <c r="F60" s="64">
        <v>5.29</v>
      </c>
      <c r="G60" s="64">
        <v>80.81</v>
      </c>
      <c r="H60" s="64">
        <v>40.49</v>
      </c>
      <c r="I60" s="64">
        <v>6.05</v>
      </c>
      <c r="J60" s="64">
        <v>0.23</v>
      </c>
      <c r="K60" s="64">
        <v>65.42</v>
      </c>
      <c r="L60" s="64">
        <v>33.549999999999997</v>
      </c>
      <c r="M60" s="64">
        <v>73.53</v>
      </c>
      <c r="N60" s="64">
        <v>509.4</v>
      </c>
      <c r="O60" s="64">
        <v>0</v>
      </c>
      <c r="P60" s="64">
        <v>0.65</v>
      </c>
      <c r="Q60" s="64">
        <v>9.7100000000000009</v>
      </c>
      <c r="R60" s="198"/>
      <c r="S60" s="198"/>
      <c r="T60" s="198"/>
      <c r="U60" s="198"/>
    </row>
    <row r="61" spans="1:21" s="12" customFormat="1" x14ac:dyDescent="0.25">
      <c r="A61" s="214" t="s">
        <v>777</v>
      </c>
      <c r="B61" s="64">
        <v>7.94</v>
      </c>
      <c r="C61" s="64">
        <v>3</v>
      </c>
      <c r="D61" s="64">
        <v>11.71</v>
      </c>
      <c r="E61" s="64">
        <v>4.9400000000000004</v>
      </c>
      <c r="F61" s="64">
        <v>5.32</v>
      </c>
      <c r="G61" s="64">
        <v>70.52</v>
      </c>
      <c r="H61" s="64">
        <v>40.83</v>
      </c>
      <c r="I61" s="64">
        <v>5.81</v>
      </c>
      <c r="J61" s="64">
        <v>0.52</v>
      </c>
      <c r="K61" s="64">
        <v>339.58</v>
      </c>
      <c r="L61" s="64">
        <v>33.880000000000003</v>
      </c>
      <c r="M61" s="64">
        <v>72.23</v>
      </c>
      <c r="N61" s="64">
        <v>375.8</v>
      </c>
      <c r="O61" s="64">
        <v>0</v>
      </c>
      <c r="P61" s="64">
        <v>0.55000000000000004</v>
      </c>
      <c r="Q61" s="64">
        <v>9.69</v>
      </c>
      <c r="R61" s="198"/>
      <c r="S61" s="198"/>
      <c r="T61" s="198"/>
      <c r="U61" s="198"/>
    </row>
    <row r="62" spans="1:21" s="12" customFormat="1" x14ac:dyDescent="0.25">
      <c r="A62" s="214" t="s">
        <v>778</v>
      </c>
      <c r="B62" s="64">
        <v>7.94</v>
      </c>
      <c r="C62" s="64">
        <v>3.11</v>
      </c>
      <c r="D62" s="64">
        <v>11.77</v>
      </c>
      <c r="E62" s="64">
        <v>4.6100000000000003</v>
      </c>
      <c r="F62" s="64">
        <v>18.37</v>
      </c>
      <c r="G62" s="64">
        <v>70.52</v>
      </c>
      <c r="H62" s="64">
        <v>40.83</v>
      </c>
      <c r="I62" s="64">
        <v>5.61</v>
      </c>
      <c r="J62" s="64">
        <v>0.5</v>
      </c>
      <c r="K62" s="64">
        <v>342.18</v>
      </c>
      <c r="L62" s="64">
        <v>33.81</v>
      </c>
      <c r="M62" s="64">
        <v>73.12</v>
      </c>
      <c r="N62" s="64">
        <v>281</v>
      </c>
      <c r="O62" s="64">
        <v>0</v>
      </c>
      <c r="P62" s="64">
        <v>0.61</v>
      </c>
      <c r="Q62" s="64">
        <v>9.75</v>
      </c>
      <c r="R62" s="198"/>
      <c r="S62" s="198"/>
      <c r="T62" s="198"/>
      <c r="U62" s="198"/>
    </row>
    <row r="63" spans="1:21" s="12" customFormat="1" x14ac:dyDescent="0.25">
      <c r="A63" s="214" t="s">
        <v>779</v>
      </c>
      <c r="B63" s="64">
        <v>7.94</v>
      </c>
      <c r="C63" s="64">
        <v>3.13</v>
      </c>
      <c r="D63" s="64">
        <v>11.78</v>
      </c>
      <c r="E63" s="64">
        <v>5.65</v>
      </c>
      <c r="F63" s="64">
        <v>9.58</v>
      </c>
      <c r="G63" s="64">
        <v>70.52</v>
      </c>
      <c r="H63" s="64">
        <v>40.83</v>
      </c>
      <c r="I63" s="64">
        <v>5.51</v>
      </c>
      <c r="J63" s="64">
        <v>0.37</v>
      </c>
      <c r="K63" s="64">
        <v>111.76</v>
      </c>
      <c r="L63" s="64">
        <v>32.229999999999997</v>
      </c>
      <c r="M63" s="64">
        <v>79.430000000000007</v>
      </c>
      <c r="N63" s="64">
        <v>354</v>
      </c>
      <c r="O63" s="64">
        <v>0</v>
      </c>
      <c r="P63" s="64">
        <v>0.63</v>
      </c>
      <c r="Q63" s="64">
        <v>9.64</v>
      </c>
      <c r="R63" s="198"/>
      <c r="S63" s="198"/>
      <c r="T63" s="198"/>
      <c r="U63" s="198"/>
    </row>
    <row r="64" spans="1:21" s="12" customFormat="1" x14ac:dyDescent="0.25">
      <c r="A64" s="214" t="s">
        <v>780</v>
      </c>
      <c r="B64" s="64">
        <v>7.94</v>
      </c>
      <c r="C64" s="64">
        <v>3.03</v>
      </c>
      <c r="D64" s="64">
        <v>11.73</v>
      </c>
      <c r="E64" s="64">
        <v>4.68</v>
      </c>
      <c r="F64" s="64">
        <v>6.12</v>
      </c>
      <c r="G64" s="64">
        <v>65.2</v>
      </c>
      <c r="H64" s="64">
        <v>34.049999999999997</v>
      </c>
      <c r="I64" s="64">
        <v>3.31</v>
      </c>
      <c r="J64" s="64">
        <v>0.65</v>
      </c>
      <c r="K64" s="64">
        <v>108.78</v>
      </c>
      <c r="L64" s="64">
        <v>31.78</v>
      </c>
      <c r="M64" s="64">
        <v>79</v>
      </c>
      <c r="N64" s="64">
        <v>405.8</v>
      </c>
      <c r="O64" s="64">
        <v>0</v>
      </c>
      <c r="P64" s="64">
        <v>0.61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4" t="s">
        <v>781</v>
      </c>
      <c r="B65" s="64">
        <v>7.93</v>
      </c>
      <c r="C65" s="64">
        <v>3</v>
      </c>
      <c r="D65" s="64">
        <v>11.7</v>
      </c>
      <c r="E65" s="64">
        <v>4.3600000000000003</v>
      </c>
      <c r="F65" s="64">
        <v>4.95</v>
      </c>
      <c r="G65" s="64">
        <v>55.55</v>
      </c>
      <c r="H65" s="64">
        <v>26.39</v>
      </c>
      <c r="I65" s="64">
        <v>3.06</v>
      </c>
      <c r="J65" s="64">
        <v>0.4</v>
      </c>
      <c r="K65" s="64">
        <v>347.34</v>
      </c>
      <c r="L65" s="64">
        <v>32.68</v>
      </c>
      <c r="M65" s="64">
        <v>75.88</v>
      </c>
      <c r="N65" s="64">
        <v>320.89999999999998</v>
      </c>
      <c r="O65" s="64">
        <v>0</v>
      </c>
      <c r="P65" s="64">
        <v>0.6</v>
      </c>
      <c r="Q65" s="64">
        <v>9.77</v>
      </c>
      <c r="R65" s="198"/>
      <c r="S65" s="198"/>
      <c r="T65" s="198"/>
      <c r="U65" s="198"/>
    </row>
    <row r="66" spans="1:21" s="12" customFormat="1" x14ac:dyDescent="0.25">
      <c r="A66" s="214" t="s">
        <v>782</v>
      </c>
      <c r="B66" s="64">
        <v>7.93</v>
      </c>
      <c r="C66" s="64">
        <v>3.06</v>
      </c>
      <c r="D66" s="64">
        <v>11.73</v>
      </c>
      <c r="E66" s="64">
        <v>4.8499999999999996</v>
      </c>
      <c r="F66" s="64">
        <v>4.75</v>
      </c>
      <c r="G66" s="64">
        <v>55.55</v>
      </c>
      <c r="H66" s="64">
        <v>26.39</v>
      </c>
      <c r="I66" s="64">
        <v>3.64</v>
      </c>
      <c r="J66" s="64">
        <v>0.42</v>
      </c>
      <c r="K66" s="64">
        <v>355.41</v>
      </c>
      <c r="L66" s="64">
        <v>32.86</v>
      </c>
      <c r="M66" s="64">
        <v>75.3</v>
      </c>
      <c r="N66" s="64">
        <v>261.60000000000002</v>
      </c>
      <c r="O66" s="64">
        <v>0</v>
      </c>
      <c r="P66" s="64">
        <v>0.57999999999999996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4" t="s">
        <v>783</v>
      </c>
      <c r="B67" s="64">
        <v>7.92</v>
      </c>
      <c r="C67" s="64">
        <v>3.07</v>
      </c>
      <c r="D67" s="64">
        <v>11.73</v>
      </c>
      <c r="E67" s="64">
        <v>4.22</v>
      </c>
      <c r="F67" s="64">
        <v>6.67</v>
      </c>
      <c r="G67" s="64">
        <v>55.55</v>
      </c>
      <c r="H67" s="64">
        <v>26.39</v>
      </c>
      <c r="I67" s="64">
        <v>3.98</v>
      </c>
      <c r="J67" s="64">
        <v>0.28999999999999998</v>
      </c>
      <c r="K67" s="64">
        <v>350.42</v>
      </c>
      <c r="L67" s="64">
        <v>33.08</v>
      </c>
      <c r="M67" s="64">
        <v>74.62</v>
      </c>
      <c r="N67" s="64">
        <v>220.7</v>
      </c>
      <c r="O67" s="64">
        <v>0</v>
      </c>
      <c r="P67" s="64">
        <v>0.56999999999999995</v>
      </c>
      <c r="Q67" s="64">
        <v>9.5299999999999994</v>
      </c>
      <c r="R67" s="198"/>
      <c r="S67" s="198"/>
      <c r="T67" s="198"/>
      <c r="U67" s="198"/>
    </row>
    <row r="68" spans="1:21" s="12" customFormat="1" x14ac:dyDescent="0.25">
      <c r="A68" s="214" t="s">
        <v>784</v>
      </c>
      <c r="B68" s="64">
        <v>7.95</v>
      </c>
      <c r="C68" s="64">
        <v>3.16</v>
      </c>
      <c r="D68" s="64">
        <v>11.8</v>
      </c>
      <c r="E68" s="64">
        <v>4.28</v>
      </c>
      <c r="F68" s="64">
        <v>9.9</v>
      </c>
      <c r="G68" s="64">
        <v>56.83</v>
      </c>
      <c r="H68" s="64">
        <v>26.91</v>
      </c>
      <c r="I68" s="64">
        <v>3.88</v>
      </c>
      <c r="J68" s="64">
        <v>0.45</v>
      </c>
      <c r="K68" s="64">
        <v>334.24</v>
      </c>
      <c r="L68" s="64">
        <v>32.880000000000003</v>
      </c>
      <c r="M68" s="64">
        <v>75.78</v>
      </c>
      <c r="N68" s="64">
        <v>215</v>
      </c>
      <c r="O68" s="64">
        <v>0</v>
      </c>
      <c r="P68" s="64">
        <v>0.6</v>
      </c>
      <c r="Q68" s="64">
        <v>10.07</v>
      </c>
      <c r="R68" s="198"/>
      <c r="S68" s="198"/>
      <c r="T68" s="198"/>
      <c r="U68" s="198"/>
    </row>
    <row r="69" spans="1:21" s="12" customFormat="1" x14ac:dyDescent="0.25">
      <c r="A69" s="214" t="s">
        <v>785</v>
      </c>
      <c r="B69" s="64">
        <v>7.94</v>
      </c>
      <c r="C69" s="64">
        <v>3.36</v>
      </c>
      <c r="D69" s="64">
        <v>11.9</v>
      </c>
      <c r="E69" s="64">
        <v>4.5599999999999996</v>
      </c>
      <c r="F69" s="64">
        <v>4.83</v>
      </c>
      <c r="G69" s="64">
        <v>59.15</v>
      </c>
      <c r="H69" s="64">
        <v>27.48</v>
      </c>
      <c r="I69" s="64">
        <v>3.71</v>
      </c>
      <c r="J69" s="64">
        <v>0.33</v>
      </c>
      <c r="K69" s="64">
        <v>88.22</v>
      </c>
      <c r="L69" s="64">
        <v>31.84</v>
      </c>
      <c r="M69" s="64">
        <v>78.91</v>
      </c>
      <c r="N69" s="64">
        <v>196.5</v>
      </c>
      <c r="O69" s="64">
        <v>0</v>
      </c>
      <c r="P69" s="64">
        <v>0.59</v>
      </c>
      <c r="Q69" s="64">
        <v>9.84</v>
      </c>
      <c r="R69" s="198"/>
      <c r="S69" s="198"/>
      <c r="T69" s="198"/>
      <c r="U69" s="198"/>
    </row>
    <row r="70" spans="1:21" s="12" customFormat="1" x14ac:dyDescent="0.25">
      <c r="A70" s="214" t="s">
        <v>786</v>
      </c>
      <c r="B70" s="64">
        <v>7.95</v>
      </c>
      <c r="C70" s="64">
        <v>3.29</v>
      </c>
      <c r="D70" s="64">
        <v>11.87</v>
      </c>
      <c r="E70" s="64">
        <v>5.09</v>
      </c>
      <c r="F70" s="64">
        <v>12.18</v>
      </c>
      <c r="G70" s="64">
        <v>59.15</v>
      </c>
      <c r="H70" s="64">
        <v>27.48</v>
      </c>
      <c r="I70" s="64">
        <v>2.74</v>
      </c>
      <c r="J70" s="64">
        <v>0.75</v>
      </c>
      <c r="K70" s="64">
        <v>338.73</v>
      </c>
      <c r="L70" s="64">
        <v>32.729999999999997</v>
      </c>
      <c r="M70" s="64">
        <v>75.81</v>
      </c>
      <c r="N70" s="64">
        <v>219.7</v>
      </c>
      <c r="O70" s="64">
        <v>0</v>
      </c>
      <c r="P70" s="64">
        <v>0.55000000000000004</v>
      </c>
      <c r="Q70" s="64">
        <v>9.69</v>
      </c>
      <c r="R70" s="198"/>
      <c r="S70" s="198"/>
      <c r="T70" s="198"/>
      <c r="U70" s="198"/>
    </row>
    <row r="71" spans="1:21" s="12" customFormat="1" x14ac:dyDescent="0.25">
      <c r="A71" s="214" t="s">
        <v>787</v>
      </c>
      <c r="B71" s="64">
        <v>7.96</v>
      </c>
      <c r="C71" s="64">
        <v>3.24</v>
      </c>
      <c r="D71" s="64">
        <v>11.85</v>
      </c>
      <c r="E71" s="64">
        <v>5.35</v>
      </c>
      <c r="F71" s="64">
        <v>12.84</v>
      </c>
      <c r="G71" s="64">
        <v>59.15</v>
      </c>
      <c r="H71" s="64">
        <v>27.48</v>
      </c>
      <c r="I71" s="64">
        <v>2.67</v>
      </c>
      <c r="J71" s="64">
        <v>0.65</v>
      </c>
      <c r="K71" s="64">
        <v>342.1</v>
      </c>
      <c r="L71" s="64">
        <v>33.32</v>
      </c>
      <c r="M71" s="64">
        <v>72.47</v>
      </c>
      <c r="N71" s="64">
        <v>180</v>
      </c>
      <c r="O71" s="64">
        <v>0</v>
      </c>
      <c r="P71" s="64">
        <v>0.56000000000000005</v>
      </c>
      <c r="Q71" s="64">
        <v>9.67</v>
      </c>
      <c r="R71" s="198"/>
      <c r="S71" s="198"/>
      <c r="T71" s="198"/>
      <c r="U71" s="198"/>
    </row>
    <row r="72" spans="1:21" s="12" customFormat="1" x14ac:dyDescent="0.25">
      <c r="A72" s="214" t="s">
        <v>788</v>
      </c>
      <c r="B72" s="64">
        <v>7.93</v>
      </c>
      <c r="C72" s="64">
        <v>3.07</v>
      </c>
      <c r="D72" s="64">
        <v>11.74</v>
      </c>
      <c r="E72" s="64">
        <v>5.31</v>
      </c>
      <c r="F72" s="64">
        <v>10.97</v>
      </c>
      <c r="G72" s="64">
        <v>61.49</v>
      </c>
      <c r="H72" s="64">
        <v>28.14</v>
      </c>
      <c r="I72" s="64">
        <v>2.5099999999999998</v>
      </c>
      <c r="J72" s="64">
        <v>0.63</v>
      </c>
      <c r="K72" s="64">
        <v>344.46</v>
      </c>
      <c r="L72" s="64">
        <v>32.75</v>
      </c>
      <c r="M72" s="64">
        <v>76.89</v>
      </c>
      <c r="N72" s="64">
        <v>89.6</v>
      </c>
      <c r="O72" s="64">
        <v>0</v>
      </c>
      <c r="P72" s="64">
        <v>0.65</v>
      </c>
      <c r="Q72" s="64">
        <v>9.74</v>
      </c>
      <c r="R72" s="198"/>
      <c r="S72" s="198"/>
      <c r="T72" s="198"/>
      <c r="U72" s="198"/>
    </row>
    <row r="73" spans="1:21" s="12" customFormat="1" x14ac:dyDescent="0.25">
      <c r="A73" s="214" t="s">
        <v>789</v>
      </c>
      <c r="B73" s="64">
        <v>7.92</v>
      </c>
      <c r="C73" s="64">
        <v>3.01</v>
      </c>
      <c r="D73" s="64">
        <v>11.7</v>
      </c>
      <c r="E73" s="64">
        <v>4.8099999999999996</v>
      </c>
      <c r="F73" s="64">
        <v>4.17</v>
      </c>
      <c r="G73" s="64">
        <v>65.73</v>
      </c>
      <c r="H73" s="64">
        <v>28.89</v>
      </c>
      <c r="I73" s="64">
        <v>2.2599999999999998</v>
      </c>
      <c r="J73" s="64">
        <v>0.48</v>
      </c>
      <c r="K73" s="64">
        <v>337.68</v>
      </c>
      <c r="L73" s="64">
        <v>31.9</v>
      </c>
      <c r="M73" s="64">
        <v>79.84</v>
      </c>
      <c r="N73" s="64">
        <v>68.8</v>
      </c>
      <c r="O73" s="64">
        <v>0</v>
      </c>
      <c r="P73" s="64">
        <v>0.71</v>
      </c>
      <c r="Q73" s="64">
        <v>9.76</v>
      </c>
      <c r="R73" s="198"/>
      <c r="S73" s="198"/>
      <c r="T73" s="198"/>
      <c r="U73" s="198"/>
    </row>
    <row r="74" spans="1:21" s="12" customFormat="1" x14ac:dyDescent="0.25">
      <c r="A74" s="214" t="s">
        <v>790</v>
      </c>
      <c r="B74" s="64">
        <v>7.95</v>
      </c>
      <c r="C74" s="64">
        <v>3.04</v>
      </c>
      <c r="D74" s="64">
        <v>11.73</v>
      </c>
      <c r="E74" s="64">
        <v>4.2699999999999996</v>
      </c>
      <c r="F74" s="64">
        <v>4.29</v>
      </c>
      <c r="G74" s="64">
        <v>65.73</v>
      </c>
      <c r="H74" s="64">
        <v>28.89</v>
      </c>
      <c r="I74" s="64">
        <v>2.38</v>
      </c>
      <c r="J74" s="64">
        <v>0.28999999999999998</v>
      </c>
      <c r="K74" s="64">
        <v>321.45</v>
      </c>
      <c r="L74" s="64">
        <v>31.29</v>
      </c>
      <c r="M74" s="64">
        <v>81.08</v>
      </c>
      <c r="N74" s="64">
        <v>69.900000000000006</v>
      </c>
      <c r="O74" s="64">
        <v>0</v>
      </c>
      <c r="P74" s="64">
        <v>0.74</v>
      </c>
      <c r="Q74" s="64">
        <v>9.74</v>
      </c>
      <c r="R74" s="198"/>
      <c r="S74" s="198"/>
      <c r="T74" s="198"/>
      <c r="U74" s="198"/>
    </row>
    <row r="75" spans="1:21" s="12" customFormat="1" x14ac:dyDescent="0.25">
      <c r="A75" s="214" t="s">
        <v>791</v>
      </c>
      <c r="B75" s="64">
        <v>8</v>
      </c>
      <c r="C75" s="64">
        <v>3.19</v>
      </c>
      <c r="D75" s="64">
        <v>11.85</v>
      </c>
      <c r="E75" s="64">
        <v>3.88</v>
      </c>
      <c r="F75" s="64">
        <v>3.87</v>
      </c>
      <c r="G75" s="64">
        <v>65.73</v>
      </c>
      <c r="H75" s="64">
        <v>28.89</v>
      </c>
      <c r="I75" s="64">
        <v>2.86</v>
      </c>
      <c r="J75" s="64">
        <v>0.12</v>
      </c>
      <c r="K75" s="64">
        <v>325.70999999999998</v>
      </c>
      <c r="L75" s="64">
        <v>30.6</v>
      </c>
      <c r="M75" s="64">
        <v>77.23</v>
      </c>
      <c r="N75" s="64">
        <v>89.5</v>
      </c>
      <c r="O75" s="64">
        <v>0</v>
      </c>
      <c r="P75" s="64">
        <v>0.73</v>
      </c>
      <c r="Q75" s="64">
        <v>9.83</v>
      </c>
      <c r="R75" s="198"/>
      <c r="S75" s="198"/>
      <c r="T75" s="198"/>
      <c r="U75" s="198"/>
    </row>
    <row r="76" spans="1:21" s="12" customFormat="1" x14ac:dyDescent="0.25">
      <c r="A76" s="214" t="s">
        <v>792</v>
      </c>
      <c r="B76" s="64">
        <v>7.97</v>
      </c>
      <c r="C76" s="64">
        <v>3.12</v>
      </c>
      <c r="D76" s="64">
        <v>11.79</v>
      </c>
      <c r="E76" s="64">
        <v>3.55</v>
      </c>
      <c r="F76" s="64">
        <v>4.22</v>
      </c>
      <c r="G76" s="64">
        <v>61.24</v>
      </c>
      <c r="H76" s="64">
        <v>28.31</v>
      </c>
      <c r="I76" s="64">
        <v>3.33</v>
      </c>
      <c r="J76" s="64">
        <v>0.31</v>
      </c>
      <c r="K76" s="64">
        <v>332.28</v>
      </c>
      <c r="L76" s="64">
        <v>30.44</v>
      </c>
      <c r="M76" s="64">
        <v>82.69</v>
      </c>
      <c r="N76" s="64">
        <v>91.3</v>
      </c>
      <c r="O76" s="64">
        <v>0</v>
      </c>
      <c r="P76" s="64">
        <v>0.72</v>
      </c>
      <c r="Q76" s="64">
        <v>9.85</v>
      </c>
      <c r="R76" s="198"/>
      <c r="S76" s="198"/>
      <c r="T76" s="198"/>
      <c r="U76" s="198"/>
    </row>
    <row r="77" spans="1:21" s="12" customFormat="1" x14ac:dyDescent="0.25">
      <c r="A77" s="214" t="s">
        <v>793</v>
      </c>
      <c r="B77" s="64">
        <v>7.96</v>
      </c>
      <c r="C77" s="64">
        <v>3.1</v>
      </c>
      <c r="D77" s="64">
        <v>11.77</v>
      </c>
      <c r="E77" s="64">
        <v>3.97</v>
      </c>
      <c r="F77" s="64">
        <v>5.5</v>
      </c>
      <c r="G77" s="64">
        <v>53.1</v>
      </c>
      <c r="H77" s="64">
        <v>26.27</v>
      </c>
      <c r="I77" s="64">
        <v>3.27</v>
      </c>
      <c r="J77" s="64">
        <v>0.21</v>
      </c>
      <c r="K77" s="64">
        <v>325.33</v>
      </c>
      <c r="L77" s="64">
        <v>30.29</v>
      </c>
      <c r="M77" s="64">
        <v>88.4</v>
      </c>
      <c r="N77" s="64">
        <v>78.099999999999994</v>
      </c>
      <c r="O77" s="64">
        <v>0</v>
      </c>
      <c r="P77" s="64">
        <v>0.72</v>
      </c>
      <c r="Q77" s="64">
        <v>10.050000000000001</v>
      </c>
      <c r="R77" s="198"/>
      <c r="S77" s="198"/>
      <c r="T77" s="198"/>
      <c r="U77" s="198"/>
    </row>
    <row r="78" spans="1:21" s="12" customFormat="1" x14ac:dyDescent="0.25">
      <c r="A78" s="214" t="s">
        <v>794</v>
      </c>
      <c r="B78" s="64">
        <v>7.98</v>
      </c>
      <c r="C78" s="64">
        <v>3.23</v>
      </c>
      <c r="D78" s="64">
        <v>11.86</v>
      </c>
      <c r="E78" s="64">
        <v>4.21</v>
      </c>
      <c r="F78" s="64">
        <v>4.03</v>
      </c>
      <c r="G78" s="64">
        <v>53.1</v>
      </c>
      <c r="H78" s="64">
        <v>26.27</v>
      </c>
      <c r="I78" s="64">
        <v>3.29</v>
      </c>
      <c r="J78" s="64">
        <v>0.18</v>
      </c>
      <c r="K78" s="64">
        <v>346.76</v>
      </c>
      <c r="L78" s="64">
        <v>29.84</v>
      </c>
      <c r="M78" s="64">
        <v>94.59</v>
      </c>
      <c r="N78" s="64">
        <v>65.599999999999994</v>
      </c>
      <c r="O78" s="64">
        <v>0</v>
      </c>
      <c r="P78" s="64">
        <v>0.71</v>
      </c>
      <c r="Q78" s="64">
        <v>9.9</v>
      </c>
      <c r="R78" s="198"/>
      <c r="S78" s="198"/>
      <c r="T78" s="198"/>
      <c r="U78" s="198"/>
    </row>
    <row r="79" spans="1:21" s="12" customFormat="1" x14ac:dyDescent="0.25">
      <c r="A79" s="214" t="s">
        <v>795</v>
      </c>
      <c r="B79" s="64">
        <v>7.97</v>
      </c>
      <c r="C79" s="64">
        <v>3.18</v>
      </c>
      <c r="D79" s="64">
        <v>11.83</v>
      </c>
      <c r="E79" s="64">
        <v>3.84</v>
      </c>
      <c r="F79" s="64">
        <v>4.3499999999999996</v>
      </c>
      <c r="G79" s="64">
        <v>53.1</v>
      </c>
      <c r="H79" s="64">
        <v>26.27</v>
      </c>
      <c r="I79" s="64">
        <v>3.29</v>
      </c>
      <c r="J79" s="64">
        <v>0.11</v>
      </c>
      <c r="K79" s="64">
        <v>357.4</v>
      </c>
      <c r="L79" s="64">
        <v>29.56</v>
      </c>
      <c r="M79" s="64">
        <v>98.2</v>
      </c>
      <c r="N79" s="64">
        <v>57.4</v>
      </c>
      <c r="O79" s="64">
        <v>0</v>
      </c>
      <c r="P79" s="64">
        <v>0.73</v>
      </c>
      <c r="Q79" s="64">
        <v>9.8800000000000008</v>
      </c>
      <c r="R79" s="198"/>
      <c r="S79" s="198"/>
      <c r="T79" s="198"/>
      <c r="U79" s="198"/>
    </row>
    <row r="80" spans="1:21" s="12" customFormat="1" x14ac:dyDescent="0.25">
      <c r="A80" s="214" t="s">
        <v>796</v>
      </c>
      <c r="B80" s="64">
        <v>7.96</v>
      </c>
      <c r="C80" s="64">
        <v>3.04</v>
      </c>
      <c r="D80" s="64">
        <v>11.74</v>
      </c>
      <c r="E80" s="64">
        <v>3.94</v>
      </c>
      <c r="F80" s="64">
        <v>2.85</v>
      </c>
      <c r="G80" s="64">
        <v>62.47</v>
      </c>
      <c r="H80" s="64">
        <v>20.25</v>
      </c>
      <c r="I80" s="64">
        <v>2.86</v>
      </c>
      <c r="J80" s="64">
        <v>0.28000000000000003</v>
      </c>
      <c r="K80" s="64">
        <v>344.85</v>
      </c>
      <c r="L80" s="64">
        <v>29.15</v>
      </c>
      <c r="M80" s="64">
        <v>100.99</v>
      </c>
      <c r="N80" s="64">
        <v>52.4</v>
      </c>
      <c r="O80" s="64">
        <v>0</v>
      </c>
      <c r="P80" s="64">
        <v>0.76</v>
      </c>
      <c r="Q80" s="64">
        <v>9.82</v>
      </c>
      <c r="R80" s="198"/>
      <c r="S80" s="198"/>
      <c r="T80" s="198"/>
      <c r="U80" s="198"/>
    </row>
    <row r="81" spans="1:26" s="12" customFormat="1" x14ac:dyDescent="0.25">
      <c r="A81" s="214" t="s">
        <v>797</v>
      </c>
      <c r="B81" s="64">
        <v>7.97</v>
      </c>
      <c r="C81" s="64">
        <v>3.07</v>
      </c>
      <c r="D81" s="64">
        <v>11.77</v>
      </c>
      <c r="E81" s="64">
        <v>3.88</v>
      </c>
      <c r="F81" s="64">
        <v>4.3600000000000003</v>
      </c>
      <c r="G81" s="64">
        <v>79.45</v>
      </c>
      <c r="H81" s="64">
        <v>13.66</v>
      </c>
      <c r="I81" s="64">
        <v>3.05</v>
      </c>
      <c r="J81" s="64">
        <v>0.15</v>
      </c>
      <c r="K81" s="64">
        <v>330.35</v>
      </c>
      <c r="L81" s="64">
        <v>29.2</v>
      </c>
      <c r="M81" s="64">
        <v>99.47</v>
      </c>
      <c r="N81" s="64">
        <v>45.3</v>
      </c>
      <c r="O81" s="64">
        <v>0</v>
      </c>
      <c r="P81" s="64">
        <v>0.78</v>
      </c>
      <c r="Q81" s="64">
        <v>9.8699999999999992</v>
      </c>
      <c r="R81" s="198"/>
      <c r="S81" s="198"/>
      <c r="T81" s="198"/>
      <c r="U81" s="198"/>
    </row>
    <row r="82" spans="1:26" s="12" customFormat="1" x14ac:dyDescent="0.25">
      <c r="A82" s="214" t="s">
        <v>798</v>
      </c>
      <c r="B82" s="64">
        <v>7.96</v>
      </c>
      <c r="C82" s="64">
        <v>3.03</v>
      </c>
      <c r="D82" s="64">
        <v>11.74</v>
      </c>
      <c r="E82" s="64">
        <v>3.71</v>
      </c>
      <c r="F82" s="64">
        <v>2.44</v>
      </c>
      <c r="G82" s="64">
        <v>79.45</v>
      </c>
      <c r="H82" s="64">
        <v>13.66</v>
      </c>
      <c r="I82" s="64">
        <v>3.27</v>
      </c>
      <c r="J82" s="64">
        <v>0.18</v>
      </c>
      <c r="K82" s="64">
        <v>342.73</v>
      </c>
      <c r="L82" s="64">
        <v>29.09</v>
      </c>
      <c r="M82" s="64">
        <v>99.03</v>
      </c>
      <c r="N82" s="64">
        <v>41.4</v>
      </c>
      <c r="O82" s="64">
        <v>0</v>
      </c>
      <c r="P82" s="64">
        <v>0.78</v>
      </c>
      <c r="Q82" s="64">
        <v>9.82</v>
      </c>
      <c r="R82" s="198"/>
      <c r="S82" s="198"/>
      <c r="T82" s="198"/>
      <c r="U82" s="198"/>
    </row>
    <row r="83" spans="1:26" s="12" customFormat="1" x14ac:dyDescent="0.25">
      <c r="A83" s="214" t="s">
        <v>799</v>
      </c>
      <c r="B83" s="64">
        <v>7.95</v>
      </c>
      <c r="C83" s="64">
        <v>2.99</v>
      </c>
      <c r="D83" s="64">
        <v>11.72</v>
      </c>
      <c r="E83" s="64">
        <v>4.07</v>
      </c>
      <c r="F83" s="64">
        <v>4.33</v>
      </c>
      <c r="G83" s="64">
        <v>79.45</v>
      </c>
      <c r="H83" s="64">
        <v>13.66</v>
      </c>
      <c r="I83" s="64">
        <v>3.68</v>
      </c>
      <c r="J83" s="64">
        <v>0.2</v>
      </c>
      <c r="K83" s="64">
        <v>342.62</v>
      </c>
      <c r="L83" s="64">
        <v>28.84</v>
      </c>
      <c r="M83" s="64">
        <v>97.56</v>
      </c>
      <c r="N83" s="64">
        <v>40.799999999999997</v>
      </c>
      <c r="O83" s="64">
        <v>0</v>
      </c>
      <c r="P83" s="64">
        <v>0.79</v>
      </c>
      <c r="Q83" s="64">
        <v>9.86</v>
      </c>
      <c r="R83" s="198"/>
      <c r="S83" s="198"/>
      <c r="T83" s="198"/>
      <c r="U83" s="198"/>
    </row>
    <row r="84" spans="1:26" s="12" customFormat="1" x14ac:dyDescent="0.25">
      <c r="A84" s="214" t="s">
        <v>800</v>
      </c>
      <c r="B84" s="64">
        <v>7.97</v>
      </c>
      <c r="C84" s="64">
        <v>3.04</v>
      </c>
      <c r="D84" s="64">
        <v>11.75</v>
      </c>
      <c r="E84" s="64">
        <v>4.0599999999999996</v>
      </c>
      <c r="F84" s="64">
        <v>2.56</v>
      </c>
      <c r="G84" s="64">
        <v>75.58</v>
      </c>
      <c r="H84" s="64">
        <v>23.74</v>
      </c>
      <c r="I84" s="64">
        <v>3.44</v>
      </c>
      <c r="J84" s="64">
        <v>0.17</v>
      </c>
      <c r="K84" s="64">
        <v>343.61</v>
      </c>
      <c r="L84" s="64">
        <v>28.76</v>
      </c>
      <c r="M84" s="64">
        <v>96.03</v>
      </c>
      <c r="N84" s="64">
        <v>40.799999999999997</v>
      </c>
      <c r="O84" s="64">
        <v>0</v>
      </c>
      <c r="P84" s="64">
        <v>0.78</v>
      </c>
      <c r="Q84" s="64">
        <v>9.89</v>
      </c>
      <c r="R84" s="198"/>
      <c r="S84" s="198"/>
      <c r="T84" s="198"/>
      <c r="U84" s="198"/>
    </row>
    <row r="85" spans="1:26" s="12" customFormat="1" x14ac:dyDescent="0.25">
      <c r="A85" s="214" t="s">
        <v>801</v>
      </c>
      <c r="B85" s="64">
        <v>7.95</v>
      </c>
      <c r="C85" s="64">
        <v>2.97</v>
      </c>
      <c r="D85" s="64">
        <v>11.7</v>
      </c>
      <c r="E85" s="64">
        <v>4.03</v>
      </c>
      <c r="F85" s="64">
        <v>3.66</v>
      </c>
      <c r="G85" s="64">
        <v>68.569999999999993</v>
      </c>
      <c r="H85" s="64">
        <v>34.770000000000003</v>
      </c>
      <c r="I85" s="64">
        <v>3.48</v>
      </c>
      <c r="J85" s="64">
        <v>0.16</v>
      </c>
      <c r="K85" s="64">
        <v>354.38</v>
      </c>
      <c r="L85" s="64">
        <v>28.61</v>
      </c>
      <c r="M85" s="64">
        <v>97.85</v>
      </c>
      <c r="N85" s="64">
        <v>40.799999999999997</v>
      </c>
      <c r="O85" s="64">
        <v>0</v>
      </c>
      <c r="P85" s="64">
        <v>0.78</v>
      </c>
      <c r="Q85" s="64">
        <v>9.94</v>
      </c>
      <c r="R85" s="198"/>
      <c r="S85" s="198"/>
      <c r="T85" s="198"/>
      <c r="U85" s="198"/>
    </row>
    <row r="86" spans="1:26" s="12" customFormat="1" x14ac:dyDescent="0.25">
      <c r="A86" s="214" t="s">
        <v>802</v>
      </c>
      <c r="B86" s="64">
        <v>7.94</v>
      </c>
      <c r="C86" s="64">
        <v>2.97</v>
      </c>
      <c r="D86" s="64">
        <v>11.69</v>
      </c>
      <c r="E86" s="64">
        <v>3.98</v>
      </c>
      <c r="F86" s="64">
        <v>3.11</v>
      </c>
      <c r="G86" s="64">
        <v>68.569999999999993</v>
      </c>
      <c r="H86" s="64">
        <v>34.770000000000003</v>
      </c>
      <c r="I86" s="64">
        <v>3.41</v>
      </c>
      <c r="J86" s="64">
        <v>0.12</v>
      </c>
      <c r="K86" s="64">
        <v>341.63</v>
      </c>
      <c r="L86" s="64">
        <v>28.55</v>
      </c>
      <c r="M86" s="64">
        <v>95.52</v>
      </c>
      <c r="N86" s="64">
        <v>41</v>
      </c>
      <c r="O86" s="64">
        <v>0</v>
      </c>
      <c r="P86" s="64">
        <v>0.79</v>
      </c>
      <c r="Q86" s="64">
        <v>9.89</v>
      </c>
      <c r="R86" s="198"/>
      <c r="S86" s="198"/>
      <c r="T86" s="198"/>
      <c r="U86" s="198"/>
    </row>
    <row r="87" spans="1:26" s="12" customFormat="1" x14ac:dyDescent="0.25">
      <c r="A87" s="214" t="s">
        <v>803</v>
      </c>
      <c r="B87" s="64">
        <v>7.98</v>
      </c>
      <c r="C87" s="64">
        <v>2.97</v>
      </c>
      <c r="D87" s="64">
        <v>11.72</v>
      </c>
      <c r="E87" s="64">
        <v>3.98</v>
      </c>
      <c r="F87" s="64">
        <v>3.91</v>
      </c>
      <c r="G87" s="64">
        <v>68.569999999999993</v>
      </c>
      <c r="H87" s="64">
        <v>34.770000000000003</v>
      </c>
      <c r="I87" s="64">
        <v>3.46</v>
      </c>
      <c r="J87" s="64">
        <v>0.14000000000000001</v>
      </c>
      <c r="K87" s="64">
        <v>332.28</v>
      </c>
      <c r="L87" s="64">
        <v>28.3</v>
      </c>
      <c r="M87" s="64">
        <v>96.64</v>
      </c>
      <c r="N87" s="64">
        <v>41.1</v>
      </c>
      <c r="O87" s="64">
        <v>0</v>
      </c>
      <c r="P87" s="64">
        <v>0.79</v>
      </c>
      <c r="Q87" s="64">
        <v>9.85</v>
      </c>
      <c r="R87" s="198"/>
      <c r="S87" s="198"/>
      <c r="T87" s="198"/>
      <c r="U87" s="198"/>
    </row>
    <row r="88" spans="1:26" s="12" customFormat="1" x14ac:dyDescent="0.25">
      <c r="A88" s="214" t="s">
        <v>804</v>
      </c>
      <c r="B88" s="64">
        <v>7.98</v>
      </c>
      <c r="C88" s="64">
        <v>2.98</v>
      </c>
      <c r="D88" s="64">
        <v>11.73</v>
      </c>
      <c r="E88" s="64">
        <v>3.52</v>
      </c>
      <c r="F88" s="64">
        <v>3.47</v>
      </c>
      <c r="G88" s="64">
        <v>67.180000000000007</v>
      </c>
      <c r="H88" s="64">
        <v>31.02</v>
      </c>
      <c r="I88" s="64">
        <v>3.5</v>
      </c>
      <c r="J88" s="64">
        <v>0.08</v>
      </c>
      <c r="K88" s="64">
        <v>333.4</v>
      </c>
      <c r="L88" s="64">
        <v>28.17</v>
      </c>
      <c r="M88" s="64">
        <v>99.42</v>
      </c>
      <c r="N88" s="64">
        <v>41.1</v>
      </c>
      <c r="O88" s="64">
        <v>0</v>
      </c>
      <c r="P88" s="64">
        <v>0.82</v>
      </c>
      <c r="Q88" s="64">
        <v>9.8699999999999992</v>
      </c>
      <c r="R88" s="198"/>
      <c r="S88" s="198"/>
      <c r="T88" s="198"/>
      <c r="U88" s="198"/>
    </row>
    <row r="89" spans="1:26" s="12" customFormat="1" x14ac:dyDescent="0.25">
      <c r="A89" s="214" t="s">
        <v>805</v>
      </c>
      <c r="B89" s="64">
        <v>7.98</v>
      </c>
      <c r="C89" s="64">
        <v>2.95</v>
      </c>
      <c r="D89" s="64">
        <v>11.71</v>
      </c>
      <c r="E89" s="64">
        <v>3.71</v>
      </c>
      <c r="F89" s="64">
        <v>3</v>
      </c>
      <c r="G89" s="64">
        <v>64.650000000000006</v>
      </c>
      <c r="H89" s="64">
        <v>26.92</v>
      </c>
      <c r="I89" s="64">
        <v>4.0599999999999996</v>
      </c>
      <c r="J89" s="64">
        <v>0.09</v>
      </c>
      <c r="K89" s="64">
        <v>320.31</v>
      </c>
      <c r="L89" s="64">
        <v>28.13</v>
      </c>
      <c r="M89" s="64">
        <v>100.42</v>
      </c>
      <c r="N89" s="64">
        <v>40.9</v>
      </c>
      <c r="O89" s="64">
        <v>0</v>
      </c>
      <c r="P89" s="64">
        <v>0.84</v>
      </c>
      <c r="Q89" s="64">
        <v>9.94</v>
      </c>
      <c r="R89" s="198"/>
      <c r="S89" s="198"/>
      <c r="T89" s="198"/>
      <c r="U89" s="198"/>
    </row>
    <row r="90" spans="1:26" s="12" customFormat="1" x14ac:dyDescent="0.25">
      <c r="A90" s="214" t="s">
        <v>806</v>
      </c>
      <c r="B90" s="64">
        <v>7.99</v>
      </c>
      <c r="C90" s="64">
        <v>2.98</v>
      </c>
      <c r="D90" s="64">
        <v>11.74</v>
      </c>
      <c r="E90" s="64">
        <v>4.07</v>
      </c>
      <c r="F90" s="64">
        <v>3.38</v>
      </c>
      <c r="G90" s="64">
        <v>64.650000000000006</v>
      </c>
      <c r="H90" s="64">
        <v>26.92</v>
      </c>
      <c r="I90" s="64">
        <v>4.45</v>
      </c>
      <c r="J90" s="64">
        <v>0.1</v>
      </c>
      <c r="K90" s="64">
        <v>270.91000000000003</v>
      </c>
      <c r="L90" s="64">
        <v>28.07</v>
      </c>
      <c r="M90" s="64">
        <v>101.54</v>
      </c>
      <c r="N90" s="64">
        <v>40.700000000000003</v>
      </c>
      <c r="O90" s="64">
        <v>0</v>
      </c>
      <c r="P90" s="64">
        <v>0.86</v>
      </c>
      <c r="Q90" s="64">
        <v>9.98</v>
      </c>
      <c r="R90" s="198"/>
      <c r="S90" s="198"/>
      <c r="T90" s="198"/>
      <c r="U90" s="198"/>
    </row>
    <row r="91" spans="1:26" s="12" customFormat="1" x14ac:dyDescent="0.25">
      <c r="A91" s="214" t="s">
        <v>807</v>
      </c>
      <c r="B91" s="64">
        <v>8.01</v>
      </c>
      <c r="C91" s="64">
        <v>3.01</v>
      </c>
      <c r="D91" s="64">
        <v>11.77</v>
      </c>
      <c r="E91" s="64">
        <v>3.71</v>
      </c>
      <c r="F91" s="64">
        <v>3.39</v>
      </c>
      <c r="G91" s="64">
        <v>64.650000000000006</v>
      </c>
      <c r="H91" s="64">
        <v>26.92</v>
      </c>
      <c r="I91" s="64">
        <v>4.72</v>
      </c>
      <c r="J91" s="64">
        <v>0.09</v>
      </c>
      <c r="K91" s="64">
        <v>294.95</v>
      </c>
      <c r="L91" s="64">
        <v>27.92</v>
      </c>
      <c r="M91" s="64">
        <v>101.55</v>
      </c>
      <c r="N91" s="64">
        <v>40.799999999999997</v>
      </c>
      <c r="O91" s="64">
        <v>0</v>
      </c>
      <c r="P91" s="64">
        <v>0.87</v>
      </c>
      <c r="Q91" s="64">
        <v>10.029999999999999</v>
      </c>
      <c r="R91" s="198"/>
      <c r="S91" s="198"/>
      <c r="T91" s="198"/>
      <c r="U91" s="198"/>
    </row>
    <row r="92" spans="1:26" s="12" customFormat="1" x14ac:dyDescent="0.25">
      <c r="A92" s="214" t="s">
        <v>808</v>
      </c>
      <c r="B92" s="64">
        <v>8.0299999999999994</v>
      </c>
      <c r="C92" s="64">
        <v>3.06</v>
      </c>
      <c r="D92" s="64">
        <v>11.81</v>
      </c>
      <c r="E92" s="64">
        <v>3.97</v>
      </c>
      <c r="F92" s="64">
        <v>3.7</v>
      </c>
      <c r="G92" s="64">
        <v>64.12</v>
      </c>
      <c r="H92" s="64">
        <v>28.32</v>
      </c>
      <c r="I92" s="64">
        <v>5.0199999999999996</v>
      </c>
      <c r="J92" s="64">
        <v>7.0000000000000007E-2</v>
      </c>
      <c r="K92" s="64">
        <v>15.86</v>
      </c>
      <c r="L92" s="64">
        <v>27.9</v>
      </c>
      <c r="M92" s="64">
        <v>101.57</v>
      </c>
      <c r="N92" s="64">
        <v>40.700000000000003</v>
      </c>
      <c r="O92" s="64">
        <v>0</v>
      </c>
      <c r="P92" s="64">
        <v>0.89</v>
      </c>
      <c r="Q92" s="64">
        <v>10.039999999999999</v>
      </c>
      <c r="R92" s="198"/>
      <c r="S92" s="198"/>
      <c r="T92" s="198"/>
      <c r="U92" s="198"/>
    </row>
    <row r="93" spans="1:26" s="12" customFormat="1" x14ac:dyDescent="0.25">
      <c r="A93" s="214" t="s">
        <v>809</v>
      </c>
      <c r="B93" s="64">
        <v>8.06</v>
      </c>
      <c r="C93" s="64">
        <v>3.08</v>
      </c>
      <c r="D93" s="64">
        <v>11.85</v>
      </c>
      <c r="E93" s="64">
        <v>3.96</v>
      </c>
      <c r="F93" s="64">
        <v>3.73</v>
      </c>
      <c r="G93" s="64">
        <v>63.16</v>
      </c>
      <c r="H93" s="64">
        <v>32.799999999999997</v>
      </c>
      <c r="I93" s="64">
        <v>5.33</v>
      </c>
      <c r="J93" s="64">
        <v>0.1</v>
      </c>
      <c r="K93" s="64">
        <v>359.51</v>
      </c>
      <c r="L93" s="64">
        <v>27.77</v>
      </c>
      <c r="M93" s="64">
        <v>101.59</v>
      </c>
      <c r="N93" s="64">
        <v>40.5</v>
      </c>
      <c r="O93" s="64">
        <v>0</v>
      </c>
      <c r="P93" s="64">
        <v>0.89</v>
      </c>
      <c r="Q93" s="64">
        <v>10.08</v>
      </c>
      <c r="R93" s="198"/>
      <c r="S93" s="198"/>
      <c r="T93" s="198"/>
      <c r="U93" s="198"/>
    </row>
    <row r="94" spans="1:26" s="12" customFormat="1" x14ac:dyDescent="0.25">
      <c r="A94" s="214" t="s">
        <v>810</v>
      </c>
      <c r="B94" s="64">
        <v>8.02</v>
      </c>
      <c r="C94" s="64">
        <v>3.07</v>
      </c>
      <c r="D94" s="64">
        <v>11.81</v>
      </c>
      <c r="E94" s="64">
        <v>4.05</v>
      </c>
      <c r="F94" s="64">
        <v>3.59</v>
      </c>
      <c r="G94" s="64">
        <v>63.16</v>
      </c>
      <c r="H94" s="64">
        <v>32.799999999999997</v>
      </c>
      <c r="I94" s="64">
        <v>5.61</v>
      </c>
      <c r="J94" s="64">
        <v>0.06</v>
      </c>
      <c r="K94" s="64">
        <v>348.22</v>
      </c>
      <c r="L94" s="64">
        <v>27.69</v>
      </c>
      <c r="M94" s="64">
        <v>101.61</v>
      </c>
      <c r="N94" s="64">
        <v>40.299999999999997</v>
      </c>
      <c r="O94" s="64">
        <v>0</v>
      </c>
      <c r="P94" s="64">
        <v>0.9</v>
      </c>
      <c r="Q94" s="64">
        <v>10.06</v>
      </c>
      <c r="R94" s="198"/>
      <c r="S94" s="198"/>
      <c r="T94" s="198"/>
      <c r="U94" s="198"/>
    </row>
    <row r="95" spans="1:26" s="12" customFormat="1" x14ac:dyDescent="0.25">
      <c r="A95" s="214" t="s">
        <v>811</v>
      </c>
      <c r="B95" s="64">
        <v>8.0399999999999991</v>
      </c>
      <c r="C95" s="64">
        <v>3.08</v>
      </c>
      <c r="D95" s="64">
        <v>11.83</v>
      </c>
      <c r="E95" s="64">
        <v>4.09</v>
      </c>
      <c r="F95" s="64">
        <v>3.58</v>
      </c>
      <c r="G95" s="64">
        <v>63.16</v>
      </c>
      <c r="H95" s="64">
        <v>32.799999999999997</v>
      </c>
      <c r="I95" s="64">
        <v>5.74</v>
      </c>
      <c r="J95" s="64">
        <v>0.13</v>
      </c>
      <c r="K95" s="64">
        <v>350.74</v>
      </c>
      <c r="L95" s="64">
        <v>27.55</v>
      </c>
      <c r="M95" s="64">
        <v>101.62</v>
      </c>
      <c r="N95" s="64">
        <v>40.6</v>
      </c>
      <c r="O95" s="64">
        <v>0</v>
      </c>
      <c r="P95" s="64">
        <v>0.88</v>
      </c>
      <c r="Q95" s="64">
        <v>10.029999999999999</v>
      </c>
      <c r="R95" s="198"/>
      <c r="S95" s="198"/>
      <c r="T95" s="198"/>
      <c r="U95" s="198"/>
    </row>
    <row r="96" spans="1:26" s="12" customFormat="1" x14ac:dyDescent="0.25">
      <c r="A96" s="214" t="s">
        <v>812</v>
      </c>
      <c r="B96" s="64">
        <v>8</v>
      </c>
      <c r="C96" s="64">
        <v>3.08</v>
      </c>
      <c r="D96" s="64">
        <v>11.8</v>
      </c>
      <c r="E96" s="64">
        <v>4.08</v>
      </c>
      <c r="F96" s="64">
        <v>3.39</v>
      </c>
      <c r="G96" s="64">
        <v>63.14</v>
      </c>
      <c r="H96" s="64">
        <v>29.83</v>
      </c>
      <c r="I96" s="64">
        <v>5.62</v>
      </c>
      <c r="J96" s="64">
        <v>0.23</v>
      </c>
      <c r="K96" s="64">
        <v>355.84</v>
      </c>
      <c r="L96" s="64">
        <v>27.4</v>
      </c>
      <c r="M96" s="64">
        <v>101.61</v>
      </c>
      <c r="N96" s="64">
        <v>40.4</v>
      </c>
      <c r="O96" s="64">
        <v>0</v>
      </c>
      <c r="P96" s="64">
        <v>0.86</v>
      </c>
      <c r="Q96" s="64">
        <v>10.02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813</v>
      </c>
      <c r="B97" s="64">
        <v>8.0299999999999994</v>
      </c>
      <c r="C97" s="64">
        <v>3.14</v>
      </c>
      <c r="D97" s="64">
        <v>11.86</v>
      </c>
      <c r="E97" s="64">
        <v>3.83</v>
      </c>
      <c r="F97" s="64">
        <v>4.16</v>
      </c>
      <c r="G97" s="64">
        <v>63.11</v>
      </c>
      <c r="H97" s="64">
        <v>26.58</v>
      </c>
      <c r="I97" s="64">
        <v>5.39</v>
      </c>
      <c r="J97" s="64">
        <v>0.17</v>
      </c>
      <c r="K97" s="64">
        <v>356.93</v>
      </c>
      <c r="L97" s="64">
        <v>27.22</v>
      </c>
      <c r="M97" s="64">
        <v>101.6</v>
      </c>
      <c r="N97" s="64">
        <v>40.700000000000003</v>
      </c>
      <c r="O97" s="64">
        <v>0</v>
      </c>
      <c r="P97" s="64">
        <v>0.83</v>
      </c>
      <c r="Q97" s="64">
        <v>9.99</v>
      </c>
      <c r="R97" s="198"/>
      <c r="S97" s="198"/>
      <c r="T97" s="198"/>
      <c r="U97" s="198"/>
    </row>
    <row r="98" spans="1:33" s="12" customFormat="1" x14ac:dyDescent="0.25">
      <c r="A98" s="214" t="s">
        <v>814</v>
      </c>
      <c r="B98" s="64">
        <v>7.97</v>
      </c>
      <c r="C98" s="64">
        <v>3.03</v>
      </c>
      <c r="D98" s="64">
        <v>11.75</v>
      </c>
      <c r="E98" s="64">
        <v>4.0199999999999996</v>
      </c>
      <c r="F98" s="64">
        <v>2.5299999999999998</v>
      </c>
      <c r="G98" s="64">
        <v>63.11</v>
      </c>
      <c r="H98" s="64">
        <v>26.58</v>
      </c>
      <c r="I98" s="64">
        <v>5.18</v>
      </c>
      <c r="J98" s="64">
        <v>0.16</v>
      </c>
      <c r="K98" s="64">
        <v>11.62</v>
      </c>
      <c r="L98" s="64">
        <v>27.09</v>
      </c>
      <c r="M98" s="64">
        <v>101.6</v>
      </c>
      <c r="N98" s="64">
        <v>40.700000000000003</v>
      </c>
      <c r="O98" s="64">
        <v>0</v>
      </c>
      <c r="P98" s="64">
        <v>0.79</v>
      </c>
      <c r="Q98" s="64">
        <v>9.93</v>
      </c>
      <c r="R98" s="198"/>
      <c r="S98" s="198"/>
      <c r="T98" s="198"/>
      <c r="U98" s="198"/>
    </row>
    <row r="99" spans="1:33" s="12" customFormat="1" x14ac:dyDescent="0.25">
      <c r="A99" s="214" t="s">
        <v>815</v>
      </c>
      <c r="B99" s="64">
        <v>7.96</v>
      </c>
      <c r="C99" s="64">
        <v>2.97</v>
      </c>
      <c r="D99" s="64">
        <v>11.71</v>
      </c>
      <c r="E99" s="64">
        <v>4.07</v>
      </c>
      <c r="F99" s="64">
        <v>3.78</v>
      </c>
      <c r="G99" s="64">
        <v>63.11</v>
      </c>
      <c r="H99" s="64">
        <v>26.58</v>
      </c>
      <c r="I99" s="64">
        <v>4.9000000000000004</v>
      </c>
      <c r="J99" s="64">
        <v>0.23</v>
      </c>
      <c r="K99" s="64">
        <v>4.26</v>
      </c>
      <c r="L99" s="64">
        <v>26.96</v>
      </c>
      <c r="M99" s="64">
        <v>101.6</v>
      </c>
      <c r="N99" s="64">
        <v>40.700000000000003</v>
      </c>
      <c r="O99" s="64">
        <v>0</v>
      </c>
      <c r="P99" s="64">
        <v>0.77</v>
      </c>
      <c r="Q99" s="64">
        <v>9.93</v>
      </c>
      <c r="R99" s="198"/>
      <c r="S99" s="198"/>
      <c r="T99" s="198"/>
      <c r="U99" s="198"/>
    </row>
    <row r="100" spans="1:33" s="12" customFormat="1" x14ac:dyDescent="0.25">
      <c r="A100" s="214" t="s">
        <v>816</v>
      </c>
      <c r="B100" s="64">
        <v>7.98</v>
      </c>
      <c r="C100" s="64">
        <v>2.97</v>
      </c>
      <c r="D100" s="64">
        <v>11.73</v>
      </c>
      <c r="E100" s="64">
        <v>3.95</v>
      </c>
      <c r="F100" s="64">
        <v>2.78</v>
      </c>
      <c r="G100" s="64">
        <v>55.43</v>
      </c>
      <c r="H100" s="64">
        <v>21.95</v>
      </c>
      <c r="I100" s="64">
        <v>4.63</v>
      </c>
      <c r="J100" s="64">
        <v>0.15</v>
      </c>
      <c r="K100" s="64">
        <v>353.42</v>
      </c>
      <c r="L100" s="64">
        <v>26.91</v>
      </c>
      <c r="M100" s="64">
        <v>101.59</v>
      </c>
      <c r="N100" s="64">
        <v>40.6</v>
      </c>
      <c r="O100" s="64">
        <v>0</v>
      </c>
      <c r="P100" s="64">
        <v>0.74</v>
      </c>
      <c r="Q100" s="64">
        <v>9.9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817</v>
      </c>
      <c r="B101" s="64">
        <v>7.97</v>
      </c>
      <c r="C101" s="64">
        <v>3.03</v>
      </c>
      <c r="D101" s="64">
        <v>11.75</v>
      </c>
      <c r="E101" s="64">
        <v>3.96</v>
      </c>
      <c r="F101" s="64">
        <v>3.32</v>
      </c>
      <c r="G101" s="64">
        <v>41.49</v>
      </c>
      <c r="H101" s="64">
        <v>16.88</v>
      </c>
      <c r="I101" s="64">
        <v>4.43</v>
      </c>
      <c r="J101" s="64">
        <v>0.1</v>
      </c>
      <c r="K101" s="64">
        <v>2.4</v>
      </c>
      <c r="L101" s="64">
        <v>26.76</v>
      </c>
      <c r="M101" s="64">
        <v>101.6</v>
      </c>
      <c r="N101" s="64">
        <v>41</v>
      </c>
      <c r="O101" s="64">
        <v>0</v>
      </c>
      <c r="P101" s="64">
        <v>0.72</v>
      </c>
      <c r="Q101" s="64">
        <v>9.91</v>
      </c>
      <c r="R101" s="198"/>
      <c r="S101" s="198"/>
      <c r="T101" s="198"/>
      <c r="U101" s="198"/>
    </row>
    <row r="102" spans="1:33" s="12" customFormat="1" x14ac:dyDescent="0.25">
      <c r="A102" s="214" t="s">
        <v>818</v>
      </c>
      <c r="B102" s="64">
        <v>8.01</v>
      </c>
      <c r="C102" s="64">
        <v>3.03</v>
      </c>
      <c r="D102" s="64">
        <v>11.78</v>
      </c>
      <c r="E102" s="64">
        <v>3.55</v>
      </c>
      <c r="F102" s="64">
        <v>3.05</v>
      </c>
      <c r="G102" s="64">
        <v>41.49</v>
      </c>
      <c r="H102" s="64">
        <v>16.88</v>
      </c>
      <c r="I102" s="64">
        <v>4.2</v>
      </c>
      <c r="J102" s="64">
        <v>0.1</v>
      </c>
      <c r="K102" s="64">
        <v>1.83</v>
      </c>
      <c r="L102" s="64">
        <v>26.69</v>
      </c>
      <c r="M102" s="64">
        <v>101.6</v>
      </c>
      <c r="N102" s="64">
        <v>40.799999999999997</v>
      </c>
      <c r="O102" s="64">
        <v>0</v>
      </c>
      <c r="P102" s="64">
        <v>0.71</v>
      </c>
      <c r="Q102" s="64">
        <v>9.8699999999999992</v>
      </c>
      <c r="R102" s="198"/>
      <c r="S102" s="198"/>
      <c r="T102" s="198"/>
      <c r="U102" s="198"/>
    </row>
    <row r="103" spans="1:33" s="12" customFormat="1" x14ac:dyDescent="0.25">
      <c r="A103" s="214" t="s">
        <v>819</v>
      </c>
      <c r="B103" s="64">
        <v>7.98</v>
      </c>
      <c r="C103" s="64">
        <v>3.01</v>
      </c>
      <c r="D103" s="64">
        <v>11.75</v>
      </c>
      <c r="E103" s="64">
        <v>3.97</v>
      </c>
      <c r="F103" s="64">
        <v>3.64</v>
      </c>
      <c r="G103" s="64">
        <v>41.49</v>
      </c>
      <c r="H103" s="64">
        <v>16.88</v>
      </c>
      <c r="I103" s="64">
        <v>4.1399999999999997</v>
      </c>
      <c r="J103" s="64">
        <v>0.08</v>
      </c>
      <c r="K103" s="64">
        <v>305.95999999999998</v>
      </c>
      <c r="L103" s="64">
        <v>26.57</v>
      </c>
      <c r="M103" s="64">
        <v>101.6</v>
      </c>
      <c r="N103" s="64">
        <v>40.799999999999997</v>
      </c>
      <c r="O103" s="64">
        <v>0</v>
      </c>
      <c r="P103" s="64">
        <v>0.7</v>
      </c>
      <c r="Q103" s="64">
        <v>9.86</v>
      </c>
      <c r="R103" s="198"/>
      <c r="S103" s="198"/>
      <c r="T103" s="198"/>
      <c r="U103" s="198"/>
    </row>
    <row r="104" spans="1:33" s="12" customFormat="1" x14ac:dyDescent="0.25">
      <c r="A104" s="214" t="s">
        <v>820</v>
      </c>
      <c r="B104" s="64">
        <v>8.01</v>
      </c>
      <c r="C104" s="64">
        <v>2.97</v>
      </c>
      <c r="D104" s="64">
        <v>11.75</v>
      </c>
      <c r="E104" s="64">
        <v>4.09</v>
      </c>
      <c r="F104" s="64">
        <v>3.42</v>
      </c>
      <c r="G104" s="64">
        <v>39.32</v>
      </c>
      <c r="H104" s="64">
        <v>17.760000000000002</v>
      </c>
      <c r="I104" s="64">
        <v>4.08</v>
      </c>
      <c r="J104" s="64">
        <v>7.0000000000000007E-2</v>
      </c>
      <c r="K104" s="64">
        <v>205.13</v>
      </c>
      <c r="L104" s="64">
        <v>26.42</v>
      </c>
      <c r="M104" s="64">
        <v>101.6</v>
      </c>
      <c r="N104" s="64">
        <v>40.6</v>
      </c>
      <c r="O104" s="64">
        <v>0</v>
      </c>
      <c r="P104" s="64">
        <v>0.69</v>
      </c>
      <c r="Q104" s="64">
        <v>9.85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7.92</v>
      </c>
      <c r="C106" s="67">
        <f>MIN(C9:C104)</f>
        <v>2.91</v>
      </c>
      <c r="D106" s="67">
        <f t="shared" ref="D106:Q106" si="0">MIN(D9:D104)</f>
        <v>11.65</v>
      </c>
      <c r="E106" s="67">
        <f t="shared" si="0"/>
        <v>2.8</v>
      </c>
      <c r="F106" s="67">
        <f t="shared" si="0"/>
        <v>2.44</v>
      </c>
      <c r="G106" s="67">
        <f t="shared" si="0"/>
        <v>12.76</v>
      </c>
      <c r="H106" s="67">
        <f t="shared" si="0"/>
        <v>2.37</v>
      </c>
      <c r="I106" s="67">
        <f t="shared" si="0"/>
        <v>2.2599999999999998</v>
      </c>
      <c r="J106" s="67">
        <f t="shared" si="0"/>
        <v>0.01</v>
      </c>
      <c r="K106" s="67">
        <f t="shared" si="0"/>
        <v>1.83</v>
      </c>
      <c r="L106" s="67">
        <f t="shared" si="0"/>
        <v>24.37</v>
      </c>
      <c r="M106" s="67">
        <f t="shared" si="0"/>
        <v>71.760000000000005</v>
      </c>
      <c r="N106" s="67">
        <f t="shared" si="0"/>
        <v>39.299999999999997</v>
      </c>
      <c r="O106" s="67">
        <f t="shared" si="0"/>
        <v>0</v>
      </c>
      <c r="P106" s="67">
        <f t="shared" si="0"/>
        <v>0.38</v>
      </c>
      <c r="Q106" s="67">
        <f t="shared" si="0"/>
        <v>9.5299999999999994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8.06</v>
      </c>
      <c r="C107" s="66">
        <f t="shared" ref="C107:Q107" si="1">MAX(C9:C104)</f>
        <v>3.36</v>
      </c>
      <c r="D107" s="66">
        <f t="shared" si="1"/>
        <v>11.9</v>
      </c>
      <c r="E107" s="66">
        <f t="shared" si="1"/>
        <v>5.65</v>
      </c>
      <c r="F107" s="66">
        <f t="shared" si="1"/>
        <v>18.37</v>
      </c>
      <c r="G107" s="66">
        <f t="shared" si="1"/>
        <v>86.49</v>
      </c>
      <c r="H107" s="66">
        <f t="shared" si="1"/>
        <v>63.88</v>
      </c>
      <c r="I107" s="66">
        <f t="shared" si="1"/>
        <v>6.44</v>
      </c>
      <c r="J107" s="66">
        <f t="shared" si="1"/>
        <v>0.75</v>
      </c>
      <c r="K107" s="66">
        <f t="shared" si="1"/>
        <v>359.51</v>
      </c>
      <c r="L107" s="66">
        <f t="shared" si="1"/>
        <v>34.14</v>
      </c>
      <c r="M107" s="66">
        <f t="shared" si="1"/>
        <v>101.67</v>
      </c>
      <c r="N107" s="66">
        <f t="shared" si="1"/>
        <v>874.6</v>
      </c>
      <c r="O107" s="66">
        <f t="shared" si="1"/>
        <v>0</v>
      </c>
      <c r="P107" s="66">
        <f t="shared" si="1"/>
        <v>0.9</v>
      </c>
      <c r="Q107" s="66">
        <f t="shared" si="1"/>
        <v>10.08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7.967187500000005</v>
      </c>
      <c r="C108" s="67">
        <f t="shared" ref="C108:Q108" si="2">AVERAGE(C9:C104)</f>
        <v>3.0246874999999993</v>
      </c>
      <c r="D108" s="67">
        <f t="shared" si="2"/>
        <v>11.744062500000004</v>
      </c>
      <c r="E108" s="67">
        <f t="shared" si="2"/>
        <v>4.0787499999999985</v>
      </c>
      <c r="F108" s="67">
        <f t="shared" si="2"/>
        <v>4.3359375</v>
      </c>
      <c r="G108" s="67">
        <f t="shared" si="2"/>
        <v>46.632604166666646</v>
      </c>
      <c r="H108" s="67">
        <f t="shared" si="2"/>
        <v>23.680833333333343</v>
      </c>
      <c r="I108" s="67">
        <f t="shared" si="2"/>
        <v>4.5159374999999997</v>
      </c>
      <c r="J108" s="67">
        <f t="shared" si="2"/>
        <v>0.26020833333333332</v>
      </c>
      <c r="K108" s="67">
        <f t="shared" si="2"/>
        <v>219.28812500000006</v>
      </c>
      <c r="L108" s="67">
        <f t="shared" si="2"/>
        <v>28.446666666666683</v>
      </c>
      <c r="M108" s="67">
        <f t="shared" si="2"/>
        <v>93.451250000000016</v>
      </c>
      <c r="N108" s="67">
        <f t="shared" si="2"/>
        <v>182.42083333333332</v>
      </c>
      <c r="O108" s="67">
        <f t="shared" si="2"/>
        <v>0</v>
      </c>
      <c r="P108" s="67">
        <f t="shared" si="2"/>
        <v>0.59906250000000005</v>
      </c>
      <c r="Q108" s="67">
        <f t="shared" si="2"/>
        <v>9.7631250000000023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2.9511928899487682E-2</v>
      </c>
      <c r="C109" s="67">
        <f t="shared" ref="C109:Q109" si="3">STDEV(C9:C104)</f>
        <v>8.4242171274561933E-2</v>
      </c>
      <c r="D109" s="67">
        <f t="shared" si="3"/>
        <v>5.4378364989647925E-2</v>
      </c>
      <c r="E109" s="67">
        <f t="shared" si="3"/>
        <v>0.63136652129371795</v>
      </c>
      <c r="F109" s="67">
        <f t="shared" si="3"/>
        <v>2.3312095699894768</v>
      </c>
      <c r="G109" s="67">
        <f t="shared" si="3"/>
        <v>25.551416409180764</v>
      </c>
      <c r="H109" s="67">
        <f t="shared" si="3"/>
        <v>14.634722493308162</v>
      </c>
      <c r="I109" s="67">
        <f t="shared" si="3"/>
        <v>1.0543240070500635</v>
      </c>
      <c r="J109" s="67">
        <f t="shared" si="3"/>
        <v>0.1771112000777548</v>
      </c>
      <c r="K109" s="67">
        <f t="shared" si="3"/>
        <v>125.72253227947294</v>
      </c>
      <c r="L109" s="67">
        <f t="shared" si="3"/>
        <v>3.1906830374722732</v>
      </c>
      <c r="M109" s="67">
        <f t="shared" si="3"/>
        <v>10.552446386352653</v>
      </c>
      <c r="N109" s="67">
        <f t="shared" si="3"/>
        <v>213.61244341670769</v>
      </c>
      <c r="O109" s="67">
        <f t="shared" si="3"/>
        <v>0</v>
      </c>
      <c r="P109" s="67">
        <f t="shared" si="3"/>
        <v>0.15695173998465425</v>
      </c>
      <c r="Q109" s="67">
        <f t="shared" si="3"/>
        <v>0.13402523328796981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D110" si="4">COUNT(C9:C104)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</f>
        <v>96</v>
      </c>
      <c r="H110" s="66">
        <f t="shared" ref="H110:I110" si="6">COUNT(H9:H104)</f>
        <v>96</v>
      </c>
      <c r="I110" s="66">
        <f t="shared" si="6"/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7">IF(C110&gt;=87,"&gt;90%",IF(C110&lt;=87,"&lt;90%"))</f>
        <v>&gt;90%</v>
      </c>
      <c r="D111" s="13" t="str">
        <f t="shared" si="7"/>
        <v>&gt;90%</v>
      </c>
      <c r="E111" s="13" t="str">
        <f t="shared" si="7"/>
        <v>&gt;90%</v>
      </c>
      <c r="F111" s="13" t="str">
        <f t="shared" si="7"/>
        <v>&gt;90%</v>
      </c>
      <c r="G111" s="13" t="str">
        <f t="shared" si="7"/>
        <v>&gt;90%</v>
      </c>
      <c r="H111" s="13" t="str">
        <f t="shared" si="7"/>
        <v>&gt;90%</v>
      </c>
      <c r="I111" s="13" t="str">
        <f t="shared" si="7"/>
        <v>&gt;90%</v>
      </c>
      <c r="J111" s="13" t="str">
        <f t="shared" si="7"/>
        <v>&gt;90%</v>
      </c>
      <c r="K111" s="13" t="str">
        <f t="shared" si="7"/>
        <v>&gt;90%</v>
      </c>
      <c r="L111" s="13" t="str">
        <f t="shared" si="7"/>
        <v>&gt;90%</v>
      </c>
      <c r="M111" s="13" t="str">
        <f t="shared" si="7"/>
        <v>&gt;90%</v>
      </c>
      <c r="N111" s="13" t="str">
        <f t="shared" si="7"/>
        <v>&gt;90%</v>
      </c>
      <c r="O111" s="13" t="str">
        <f t="shared" si="7"/>
        <v>&gt;90%</v>
      </c>
      <c r="P111" s="13" t="str">
        <f t="shared" si="7"/>
        <v>&gt;90%</v>
      </c>
      <c r="Q111" s="13" t="str">
        <f t="shared" si="7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8">IF(C110&gt;=87,"OK",IF(C110&lt;=87,"LESS"))</f>
        <v>OK</v>
      </c>
      <c r="D112" s="13" t="str">
        <f t="shared" si="8"/>
        <v>OK</v>
      </c>
      <c r="E112" s="13" t="str">
        <f t="shared" si="8"/>
        <v>OK</v>
      </c>
      <c r="F112" s="13" t="str">
        <f t="shared" si="8"/>
        <v>OK</v>
      </c>
      <c r="G112" s="13" t="str">
        <f t="shared" si="8"/>
        <v>OK</v>
      </c>
      <c r="H112" s="13" t="str">
        <f t="shared" si="8"/>
        <v>OK</v>
      </c>
      <c r="I112" s="13" t="str">
        <f t="shared" si="8"/>
        <v>OK</v>
      </c>
      <c r="J112" s="13" t="str">
        <f t="shared" si="8"/>
        <v>OK</v>
      </c>
      <c r="K112" s="13" t="str">
        <f t="shared" si="8"/>
        <v>OK</v>
      </c>
      <c r="L112" s="13" t="str">
        <f t="shared" si="8"/>
        <v>OK</v>
      </c>
      <c r="M112" s="13" t="str">
        <f t="shared" si="8"/>
        <v>OK</v>
      </c>
      <c r="N112" s="13" t="str">
        <f t="shared" si="8"/>
        <v>OK</v>
      </c>
      <c r="O112" s="13" t="str">
        <f t="shared" si="8"/>
        <v>OK</v>
      </c>
      <c r="P112" s="13" t="str">
        <f t="shared" si="8"/>
        <v>OK</v>
      </c>
      <c r="Q112" s="13" t="str">
        <f t="shared" si="8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5" sqref="G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821</v>
      </c>
      <c r="B9" s="64">
        <v>8.01</v>
      </c>
      <c r="C9" s="64">
        <v>2.97</v>
      </c>
      <c r="D9" s="64">
        <v>11.75</v>
      </c>
      <c r="E9" s="64">
        <v>4.5</v>
      </c>
      <c r="F9" s="64">
        <v>3.29</v>
      </c>
      <c r="G9" s="64">
        <v>35.39</v>
      </c>
      <c r="H9" s="64">
        <v>18.71</v>
      </c>
      <c r="I9" s="64">
        <v>4.0599999999999996</v>
      </c>
      <c r="J9" s="64">
        <v>0.05</v>
      </c>
      <c r="K9" s="64">
        <v>185.11</v>
      </c>
      <c r="L9" s="64">
        <v>26.25</v>
      </c>
      <c r="M9" s="64">
        <v>101.6</v>
      </c>
      <c r="N9" s="64">
        <v>40.5</v>
      </c>
      <c r="O9" s="64">
        <v>0</v>
      </c>
      <c r="P9" s="64">
        <v>0.68</v>
      </c>
      <c r="Q9" s="64">
        <v>9.89</v>
      </c>
      <c r="R9" s="198"/>
      <c r="S9" s="198"/>
      <c r="T9" s="198"/>
      <c r="U9" s="198"/>
    </row>
    <row r="10" spans="1:21" s="12" customFormat="1" x14ac:dyDescent="0.25">
      <c r="A10" s="214" t="s">
        <v>822</v>
      </c>
      <c r="B10" s="64">
        <v>8</v>
      </c>
      <c r="C10" s="64">
        <v>3.01</v>
      </c>
      <c r="D10" s="64">
        <v>11.76</v>
      </c>
      <c r="E10" s="64">
        <v>4.47</v>
      </c>
      <c r="F10" s="64">
        <v>3.57</v>
      </c>
      <c r="G10" s="64">
        <v>35.39</v>
      </c>
      <c r="H10" s="64">
        <v>18.71</v>
      </c>
      <c r="I10" s="64">
        <v>4.24</v>
      </c>
      <c r="J10" s="64">
        <v>7.0000000000000007E-2</v>
      </c>
      <c r="K10" s="64">
        <v>285.66000000000003</v>
      </c>
      <c r="L10" s="64">
        <v>26.28</v>
      </c>
      <c r="M10" s="64">
        <v>101.6</v>
      </c>
      <c r="N10" s="64">
        <v>40.4</v>
      </c>
      <c r="O10" s="64">
        <v>0</v>
      </c>
      <c r="P10" s="64">
        <v>0.67</v>
      </c>
      <c r="Q10" s="64">
        <v>9.8800000000000008</v>
      </c>
      <c r="R10" s="198"/>
      <c r="S10" s="198"/>
      <c r="T10" s="198"/>
      <c r="U10" s="198"/>
    </row>
    <row r="11" spans="1:21" s="12" customFormat="1" x14ac:dyDescent="0.25">
      <c r="A11" s="214" t="s">
        <v>823</v>
      </c>
      <c r="B11" s="64">
        <v>8</v>
      </c>
      <c r="C11" s="64">
        <v>2.99</v>
      </c>
      <c r="D11" s="64">
        <v>11.75</v>
      </c>
      <c r="E11" s="64">
        <v>4.43</v>
      </c>
      <c r="F11" s="64">
        <v>3.43</v>
      </c>
      <c r="G11" s="64">
        <v>35.39</v>
      </c>
      <c r="H11" s="64">
        <v>18.71</v>
      </c>
      <c r="I11" s="64">
        <v>4.3899999999999997</v>
      </c>
      <c r="J11" s="64">
        <v>0.1</v>
      </c>
      <c r="K11" s="64">
        <v>308.62</v>
      </c>
      <c r="L11" s="64">
        <v>26.27</v>
      </c>
      <c r="M11" s="64">
        <v>101.6</v>
      </c>
      <c r="N11" s="64">
        <v>40.4</v>
      </c>
      <c r="O11" s="64">
        <v>0</v>
      </c>
      <c r="P11" s="64">
        <v>0.67</v>
      </c>
      <c r="Q11" s="64">
        <v>9.89</v>
      </c>
      <c r="R11" s="198"/>
      <c r="S11" s="198"/>
      <c r="T11" s="198"/>
      <c r="U11" s="198"/>
    </row>
    <row r="12" spans="1:21" s="12" customFormat="1" x14ac:dyDescent="0.25">
      <c r="A12" s="214" t="s">
        <v>824</v>
      </c>
      <c r="B12" s="64">
        <v>8.01</v>
      </c>
      <c r="C12" s="64">
        <v>2.97</v>
      </c>
      <c r="D12" s="64">
        <v>11.75</v>
      </c>
      <c r="E12" s="64">
        <v>4.33</v>
      </c>
      <c r="F12" s="64">
        <v>3.51</v>
      </c>
      <c r="G12" s="64">
        <v>34.479999999999997</v>
      </c>
      <c r="H12" s="64">
        <v>18.18</v>
      </c>
      <c r="I12" s="64">
        <v>4.54</v>
      </c>
      <c r="J12" s="64">
        <v>0.01</v>
      </c>
      <c r="K12" s="64">
        <v>75.819999999999993</v>
      </c>
      <c r="L12" s="64">
        <v>26.24</v>
      </c>
      <c r="M12" s="64">
        <v>101.6</v>
      </c>
      <c r="N12" s="64">
        <v>41</v>
      </c>
      <c r="O12" s="64">
        <v>0</v>
      </c>
      <c r="P12" s="64">
        <v>0.65</v>
      </c>
      <c r="Q12" s="64">
        <v>9.8699999999999992</v>
      </c>
      <c r="R12" s="198"/>
      <c r="S12" s="198"/>
      <c r="T12" s="198"/>
      <c r="U12" s="198"/>
    </row>
    <row r="13" spans="1:21" s="12" customFormat="1" x14ac:dyDescent="0.25">
      <c r="A13" s="214" t="s">
        <v>825</v>
      </c>
      <c r="B13" s="64">
        <v>8</v>
      </c>
      <c r="C13" s="64">
        <v>2.97</v>
      </c>
      <c r="D13" s="64">
        <v>11.74</v>
      </c>
      <c r="E13" s="64">
        <v>4.6100000000000003</v>
      </c>
      <c r="F13" s="64">
        <v>3.42</v>
      </c>
      <c r="G13" s="64">
        <v>32.840000000000003</v>
      </c>
      <c r="H13" s="64">
        <v>16.5</v>
      </c>
      <c r="I13" s="64">
        <v>4.6500000000000004</v>
      </c>
      <c r="J13" s="64">
        <v>7.0000000000000007E-2</v>
      </c>
      <c r="K13" s="64">
        <v>229.61</v>
      </c>
      <c r="L13" s="64">
        <v>26.18</v>
      </c>
      <c r="M13" s="64">
        <v>101.61</v>
      </c>
      <c r="N13" s="64">
        <v>40.799999999999997</v>
      </c>
      <c r="O13" s="64">
        <v>0</v>
      </c>
      <c r="P13" s="64">
        <v>0.62</v>
      </c>
      <c r="Q13" s="64">
        <v>9.8800000000000008</v>
      </c>
      <c r="R13" s="198"/>
      <c r="S13" s="198"/>
      <c r="T13" s="198"/>
      <c r="U13" s="198"/>
    </row>
    <row r="14" spans="1:21" s="12" customFormat="1" x14ac:dyDescent="0.25">
      <c r="A14" s="214" t="s">
        <v>826</v>
      </c>
      <c r="B14" s="64">
        <v>7.97</v>
      </c>
      <c r="C14" s="64">
        <v>2.94</v>
      </c>
      <c r="D14" s="64">
        <v>11.7</v>
      </c>
      <c r="E14" s="64">
        <v>4.5999999999999996</v>
      </c>
      <c r="F14" s="64">
        <v>4.16</v>
      </c>
      <c r="G14" s="64">
        <v>32.840000000000003</v>
      </c>
      <c r="H14" s="64">
        <v>16.5</v>
      </c>
      <c r="I14" s="64">
        <v>4.8</v>
      </c>
      <c r="J14" s="64">
        <v>0.13</v>
      </c>
      <c r="K14" s="64">
        <v>191.56</v>
      </c>
      <c r="L14" s="64">
        <v>26.01</v>
      </c>
      <c r="M14" s="64">
        <v>101.63</v>
      </c>
      <c r="N14" s="64">
        <v>40.799999999999997</v>
      </c>
      <c r="O14" s="64">
        <v>0</v>
      </c>
      <c r="P14" s="64">
        <v>0.63</v>
      </c>
      <c r="Q14" s="64">
        <v>9.86</v>
      </c>
      <c r="R14" s="198"/>
      <c r="S14" s="198"/>
      <c r="T14" s="198"/>
      <c r="U14" s="198"/>
    </row>
    <row r="15" spans="1:21" s="12" customFormat="1" x14ac:dyDescent="0.25">
      <c r="A15" s="214" t="s">
        <v>827</v>
      </c>
      <c r="B15" s="64">
        <v>7.97</v>
      </c>
      <c r="C15" s="64">
        <v>2.96</v>
      </c>
      <c r="D15" s="64">
        <v>11.71</v>
      </c>
      <c r="E15" s="64">
        <v>4.82</v>
      </c>
      <c r="F15" s="64">
        <v>3.37</v>
      </c>
      <c r="G15" s="64">
        <v>32.840000000000003</v>
      </c>
      <c r="H15" s="64">
        <v>16.5</v>
      </c>
      <c r="I15" s="64">
        <v>4.92</v>
      </c>
      <c r="J15" s="64">
        <v>0.16</v>
      </c>
      <c r="K15" s="64">
        <v>144.29</v>
      </c>
      <c r="L15" s="64">
        <v>25.88</v>
      </c>
      <c r="M15" s="64">
        <v>101.63</v>
      </c>
      <c r="N15" s="64">
        <v>40.799999999999997</v>
      </c>
      <c r="O15" s="64">
        <v>0</v>
      </c>
      <c r="P15" s="64">
        <v>0.61</v>
      </c>
      <c r="Q15" s="64">
        <v>9.81</v>
      </c>
      <c r="R15" s="198"/>
      <c r="S15" s="198"/>
      <c r="T15" s="198"/>
      <c r="U15" s="198"/>
    </row>
    <row r="16" spans="1:21" s="12" customFormat="1" x14ac:dyDescent="0.25">
      <c r="A16" s="214" t="s">
        <v>828</v>
      </c>
      <c r="B16" s="64">
        <v>7.95</v>
      </c>
      <c r="C16" s="64">
        <v>2.95</v>
      </c>
      <c r="D16" s="64">
        <v>11.69</v>
      </c>
      <c r="E16" s="64">
        <v>4.7699999999999996</v>
      </c>
      <c r="F16" s="64">
        <v>4.6399999999999997</v>
      </c>
      <c r="G16" s="64">
        <v>30.93</v>
      </c>
      <c r="H16" s="64">
        <v>14.02</v>
      </c>
      <c r="I16" s="64">
        <v>4.88</v>
      </c>
      <c r="J16" s="64">
        <v>0.14000000000000001</v>
      </c>
      <c r="K16" s="64">
        <v>192.17</v>
      </c>
      <c r="L16" s="64">
        <v>25.85</v>
      </c>
      <c r="M16" s="64">
        <v>101.63</v>
      </c>
      <c r="N16" s="64">
        <v>40.700000000000003</v>
      </c>
      <c r="O16" s="64">
        <v>0</v>
      </c>
      <c r="P16" s="64">
        <v>0.59</v>
      </c>
      <c r="Q16" s="64">
        <v>9.7899999999999991</v>
      </c>
      <c r="R16" s="198"/>
      <c r="S16" s="198"/>
      <c r="T16" s="198"/>
      <c r="U16" s="198"/>
    </row>
    <row r="17" spans="1:21" s="12" customFormat="1" x14ac:dyDescent="0.25">
      <c r="A17" s="214" t="s">
        <v>829</v>
      </c>
      <c r="B17" s="64">
        <v>7.96</v>
      </c>
      <c r="C17" s="64">
        <v>2.99</v>
      </c>
      <c r="D17" s="64">
        <v>11.72</v>
      </c>
      <c r="E17" s="64">
        <v>4.62</v>
      </c>
      <c r="F17" s="64">
        <v>2.74</v>
      </c>
      <c r="G17" s="64">
        <v>27.48</v>
      </c>
      <c r="H17" s="64">
        <v>11.22</v>
      </c>
      <c r="I17" s="64">
        <v>4.78</v>
      </c>
      <c r="J17" s="64">
        <v>7.0000000000000007E-2</v>
      </c>
      <c r="K17" s="64">
        <v>196.1</v>
      </c>
      <c r="L17" s="64">
        <v>25.8</v>
      </c>
      <c r="M17" s="64">
        <v>101.63</v>
      </c>
      <c r="N17" s="64">
        <v>40.700000000000003</v>
      </c>
      <c r="O17" s="64">
        <v>0</v>
      </c>
      <c r="P17" s="64">
        <v>0.56999999999999995</v>
      </c>
      <c r="Q17" s="64">
        <v>9.76</v>
      </c>
      <c r="R17" s="198"/>
      <c r="S17" s="198"/>
      <c r="T17" s="198"/>
      <c r="U17" s="198"/>
    </row>
    <row r="18" spans="1:21" s="12" customFormat="1" x14ac:dyDescent="0.25">
      <c r="A18" s="214" t="s">
        <v>830</v>
      </c>
      <c r="B18" s="64">
        <v>7.98</v>
      </c>
      <c r="C18" s="64">
        <v>3.01</v>
      </c>
      <c r="D18" s="64">
        <v>11.75</v>
      </c>
      <c r="E18" s="64">
        <v>4.51</v>
      </c>
      <c r="F18" s="64">
        <v>3.19</v>
      </c>
      <c r="G18" s="64">
        <v>27.48</v>
      </c>
      <c r="H18" s="64">
        <v>11.22</v>
      </c>
      <c r="I18" s="64">
        <v>4.68</v>
      </c>
      <c r="J18" s="64">
        <v>0.05</v>
      </c>
      <c r="K18" s="64">
        <v>35.630000000000003</v>
      </c>
      <c r="L18" s="64">
        <v>25.73</v>
      </c>
      <c r="M18" s="64">
        <v>101.66</v>
      </c>
      <c r="N18" s="64">
        <v>40.5</v>
      </c>
      <c r="O18" s="64">
        <v>0</v>
      </c>
      <c r="P18" s="64">
        <v>0.55000000000000004</v>
      </c>
      <c r="Q18" s="64">
        <v>9.76</v>
      </c>
      <c r="R18" s="198"/>
      <c r="S18" s="198"/>
      <c r="T18" s="198"/>
      <c r="U18" s="198"/>
    </row>
    <row r="19" spans="1:21" s="12" customFormat="1" x14ac:dyDescent="0.25">
      <c r="A19" s="214" t="s">
        <v>831</v>
      </c>
      <c r="B19" s="64">
        <v>7.97</v>
      </c>
      <c r="C19" s="64">
        <v>3.02</v>
      </c>
      <c r="D19" s="64">
        <v>11.75</v>
      </c>
      <c r="E19" s="64">
        <v>4.4800000000000004</v>
      </c>
      <c r="F19" s="64">
        <v>3.95</v>
      </c>
      <c r="G19" s="64">
        <v>27.48</v>
      </c>
      <c r="H19" s="64">
        <v>11.22</v>
      </c>
      <c r="I19" s="64">
        <v>4.58</v>
      </c>
      <c r="J19" s="64">
        <v>0.08</v>
      </c>
      <c r="K19" s="64">
        <v>8.66</v>
      </c>
      <c r="L19" s="64">
        <v>25.76</v>
      </c>
      <c r="M19" s="64">
        <v>101.63</v>
      </c>
      <c r="N19" s="64">
        <v>40.5</v>
      </c>
      <c r="O19" s="64">
        <v>0</v>
      </c>
      <c r="P19" s="64">
        <v>0.54</v>
      </c>
      <c r="Q19" s="64">
        <v>9.76</v>
      </c>
      <c r="R19" s="198"/>
      <c r="S19" s="198"/>
      <c r="T19" s="198"/>
      <c r="U19" s="198"/>
    </row>
    <row r="20" spans="1:21" s="12" customFormat="1" x14ac:dyDescent="0.25">
      <c r="A20" s="214" t="s">
        <v>832</v>
      </c>
      <c r="B20" s="64">
        <v>7.95</v>
      </c>
      <c r="C20" s="64">
        <v>2.94</v>
      </c>
      <c r="D20" s="64">
        <v>11.68</v>
      </c>
      <c r="E20" s="64">
        <v>4.5599999999999996</v>
      </c>
      <c r="F20" s="64">
        <v>3.27</v>
      </c>
      <c r="G20" s="64">
        <v>26.17</v>
      </c>
      <c r="H20" s="64">
        <v>9.64</v>
      </c>
      <c r="I20" s="64">
        <v>4.46</v>
      </c>
      <c r="J20" s="64">
        <v>0.1</v>
      </c>
      <c r="K20" s="64">
        <v>326.26</v>
      </c>
      <c r="L20" s="64">
        <v>25.73</v>
      </c>
      <c r="M20" s="64">
        <v>101.66</v>
      </c>
      <c r="N20" s="64">
        <v>40.799999999999997</v>
      </c>
      <c r="O20" s="64">
        <v>0</v>
      </c>
      <c r="P20" s="64">
        <v>0.52</v>
      </c>
      <c r="Q20" s="64">
        <v>9.75</v>
      </c>
      <c r="R20" s="198"/>
      <c r="S20" s="198"/>
      <c r="T20" s="198"/>
      <c r="U20" s="198"/>
    </row>
    <row r="21" spans="1:21" s="12" customFormat="1" x14ac:dyDescent="0.25">
      <c r="A21" s="214" t="s">
        <v>833</v>
      </c>
      <c r="B21" s="64">
        <v>7.96</v>
      </c>
      <c r="C21" s="64">
        <v>2.98</v>
      </c>
      <c r="D21" s="64">
        <v>11.71</v>
      </c>
      <c r="E21" s="64">
        <v>4.47</v>
      </c>
      <c r="F21" s="64">
        <v>3.08</v>
      </c>
      <c r="G21" s="64">
        <v>23.8</v>
      </c>
      <c r="H21" s="64">
        <v>7.85</v>
      </c>
      <c r="I21" s="64">
        <v>4.3099999999999996</v>
      </c>
      <c r="J21" s="64">
        <v>0.01</v>
      </c>
      <c r="K21" s="64">
        <v>135.63999999999999</v>
      </c>
      <c r="L21" s="64">
        <v>25.73</v>
      </c>
      <c r="M21" s="64">
        <v>101.68</v>
      </c>
      <c r="N21" s="64">
        <v>40.700000000000003</v>
      </c>
      <c r="O21" s="64">
        <v>0</v>
      </c>
      <c r="P21" s="64">
        <v>0.5</v>
      </c>
      <c r="Q21" s="64">
        <v>9.76</v>
      </c>
      <c r="R21" s="198"/>
      <c r="S21" s="198"/>
      <c r="T21" s="198"/>
      <c r="U21" s="198"/>
    </row>
    <row r="22" spans="1:21" s="12" customFormat="1" x14ac:dyDescent="0.25">
      <c r="A22" s="214" t="s">
        <v>834</v>
      </c>
      <c r="B22" s="64">
        <v>7.96</v>
      </c>
      <c r="C22" s="64">
        <v>2.95</v>
      </c>
      <c r="D22" s="64">
        <v>11.7</v>
      </c>
      <c r="E22" s="64">
        <v>4.5199999999999996</v>
      </c>
      <c r="F22" s="64">
        <v>3.87</v>
      </c>
      <c r="G22" s="64">
        <v>23.8</v>
      </c>
      <c r="H22" s="64">
        <v>7.85</v>
      </c>
      <c r="I22" s="64">
        <v>4.17</v>
      </c>
      <c r="J22" s="64">
        <v>0.27</v>
      </c>
      <c r="K22" s="64">
        <v>151.74</v>
      </c>
      <c r="L22" s="64">
        <v>25.82</v>
      </c>
      <c r="M22" s="64">
        <v>101.66</v>
      </c>
      <c r="N22" s="64">
        <v>40.700000000000003</v>
      </c>
      <c r="O22" s="64">
        <v>0</v>
      </c>
      <c r="P22" s="64">
        <v>0.48</v>
      </c>
      <c r="Q22" s="64">
        <v>9.7200000000000006</v>
      </c>
      <c r="R22" s="198"/>
      <c r="S22" s="198"/>
      <c r="T22" s="198"/>
      <c r="U22" s="198"/>
    </row>
    <row r="23" spans="1:21" s="12" customFormat="1" x14ac:dyDescent="0.25">
      <c r="A23" s="214" t="s">
        <v>835</v>
      </c>
      <c r="B23" s="64">
        <v>7.96</v>
      </c>
      <c r="C23" s="64">
        <v>2.97</v>
      </c>
      <c r="D23" s="64">
        <v>11.71</v>
      </c>
      <c r="E23" s="64">
        <v>4.1500000000000004</v>
      </c>
      <c r="F23" s="64">
        <v>2.86</v>
      </c>
      <c r="G23" s="64">
        <v>23.8</v>
      </c>
      <c r="H23" s="64">
        <v>7.85</v>
      </c>
      <c r="I23" s="64">
        <v>4.0999999999999996</v>
      </c>
      <c r="J23" s="64">
        <v>0.05</v>
      </c>
      <c r="K23" s="64">
        <v>338.45</v>
      </c>
      <c r="L23" s="64">
        <v>25.85</v>
      </c>
      <c r="M23" s="64">
        <v>101.63</v>
      </c>
      <c r="N23" s="64">
        <v>41.1</v>
      </c>
      <c r="O23" s="64">
        <v>0</v>
      </c>
      <c r="P23" s="64">
        <v>0.46</v>
      </c>
      <c r="Q23" s="64">
        <v>9.7200000000000006</v>
      </c>
      <c r="R23" s="198"/>
      <c r="S23" s="198"/>
      <c r="T23" s="198"/>
      <c r="U23" s="198"/>
    </row>
    <row r="24" spans="1:21" s="12" customFormat="1" x14ac:dyDescent="0.25">
      <c r="A24" s="214" t="s">
        <v>836</v>
      </c>
      <c r="B24" s="64">
        <v>7.98</v>
      </c>
      <c r="C24" s="64">
        <v>2.95</v>
      </c>
      <c r="D24" s="64">
        <v>11.71</v>
      </c>
      <c r="E24" s="64">
        <v>4.4400000000000004</v>
      </c>
      <c r="F24" s="64">
        <v>3.59</v>
      </c>
      <c r="G24" s="64">
        <v>21.88</v>
      </c>
      <c r="H24" s="64">
        <v>10.32</v>
      </c>
      <c r="I24" s="64">
        <v>4.08</v>
      </c>
      <c r="J24" s="64">
        <v>0.05</v>
      </c>
      <c r="K24" s="64">
        <v>301.39</v>
      </c>
      <c r="L24" s="64">
        <v>25.87</v>
      </c>
      <c r="M24" s="64">
        <v>101.64</v>
      </c>
      <c r="N24" s="64">
        <v>41.5</v>
      </c>
      <c r="O24" s="64">
        <v>0</v>
      </c>
      <c r="P24" s="64">
        <v>0.45</v>
      </c>
      <c r="Q24" s="64">
        <v>9.6999999999999993</v>
      </c>
      <c r="R24" s="198"/>
      <c r="S24" s="198"/>
      <c r="T24" s="198"/>
      <c r="U24" s="198"/>
    </row>
    <row r="25" spans="1:21" s="12" customFormat="1" x14ac:dyDescent="0.25">
      <c r="A25" s="214" t="s">
        <v>837</v>
      </c>
      <c r="B25" s="64">
        <v>8</v>
      </c>
      <c r="C25" s="64">
        <v>2.96</v>
      </c>
      <c r="D25" s="64">
        <v>11.74</v>
      </c>
      <c r="E25" s="64">
        <v>4.5999999999999996</v>
      </c>
      <c r="F25" s="64">
        <v>3.52</v>
      </c>
      <c r="G25" s="64">
        <v>18.41</v>
      </c>
      <c r="H25" s="64">
        <v>13.11</v>
      </c>
      <c r="I25" s="64">
        <v>4.05</v>
      </c>
      <c r="J25" s="64">
        <v>0.05</v>
      </c>
      <c r="K25" s="64">
        <v>290.69</v>
      </c>
      <c r="L25" s="64">
        <v>25.88</v>
      </c>
      <c r="M25" s="64">
        <v>101.63</v>
      </c>
      <c r="N25" s="64">
        <v>41.4</v>
      </c>
      <c r="O25" s="64">
        <v>0</v>
      </c>
      <c r="P25" s="64">
        <v>0.45</v>
      </c>
      <c r="Q25" s="64">
        <v>9.74</v>
      </c>
      <c r="R25" s="198"/>
      <c r="S25" s="198"/>
      <c r="T25" s="198"/>
      <c r="U25" s="198"/>
    </row>
    <row r="26" spans="1:21" s="12" customFormat="1" x14ac:dyDescent="0.25">
      <c r="A26" s="214" t="s">
        <v>838</v>
      </c>
      <c r="B26" s="64">
        <v>8.01</v>
      </c>
      <c r="C26" s="64">
        <v>2.98</v>
      </c>
      <c r="D26" s="64">
        <v>11.75</v>
      </c>
      <c r="E26" s="64">
        <v>4.68</v>
      </c>
      <c r="F26" s="64">
        <v>3.45</v>
      </c>
      <c r="G26" s="64">
        <v>18.41</v>
      </c>
      <c r="H26" s="64">
        <v>13.11</v>
      </c>
      <c r="I26" s="64">
        <v>4.18</v>
      </c>
      <c r="J26" s="64">
        <v>0.11</v>
      </c>
      <c r="K26" s="64">
        <v>101.52</v>
      </c>
      <c r="L26" s="64">
        <v>25.79</v>
      </c>
      <c r="M26" s="64">
        <v>101.67</v>
      </c>
      <c r="N26" s="64">
        <v>41.1</v>
      </c>
      <c r="O26" s="64">
        <v>0</v>
      </c>
      <c r="P26" s="64">
        <v>0.44</v>
      </c>
      <c r="Q26" s="64">
        <v>9.75</v>
      </c>
      <c r="R26" s="198"/>
      <c r="S26" s="198"/>
      <c r="T26" s="198"/>
      <c r="U26" s="198"/>
    </row>
    <row r="27" spans="1:21" s="12" customFormat="1" x14ac:dyDescent="0.25">
      <c r="A27" s="214" t="s">
        <v>839</v>
      </c>
      <c r="B27" s="64">
        <v>8</v>
      </c>
      <c r="C27" s="64">
        <v>2.98</v>
      </c>
      <c r="D27" s="64">
        <v>11.75</v>
      </c>
      <c r="E27" s="64">
        <v>4.66</v>
      </c>
      <c r="F27" s="64">
        <v>3.41</v>
      </c>
      <c r="G27" s="64">
        <v>18.41</v>
      </c>
      <c r="H27" s="64">
        <v>13.11</v>
      </c>
      <c r="I27" s="64">
        <v>4.25</v>
      </c>
      <c r="J27" s="64">
        <v>0.03</v>
      </c>
      <c r="K27" s="64">
        <v>94.98</v>
      </c>
      <c r="L27" s="64">
        <v>25.69</v>
      </c>
      <c r="M27" s="64">
        <v>101.67</v>
      </c>
      <c r="N27" s="64">
        <v>41.1</v>
      </c>
      <c r="O27" s="64">
        <v>0</v>
      </c>
      <c r="P27" s="64">
        <v>0.42</v>
      </c>
      <c r="Q27" s="64">
        <v>9.74</v>
      </c>
      <c r="R27" s="198"/>
      <c r="S27" s="198"/>
      <c r="T27" s="198"/>
      <c r="U27" s="198"/>
    </row>
    <row r="28" spans="1:21" s="12" customFormat="1" x14ac:dyDescent="0.25">
      <c r="A28" s="214" t="s">
        <v>840</v>
      </c>
      <c r="B28" s="64">
        <v>7.99</v>
      </c>
      <c r="C28" s="64">
        <v>2.92</v>
      </c>
      <c r="D28" s="64">
        <v>11.71</v>
      </c>
      <c r="E28" s="64">
        <v>4.96</v>
      </c>
      <c r="F28" s="64">
        <v>3.06</v>
      </c>
      <c r="G28" s="64">
        <v>18.77</v>
      </c>
      <c r="H28" s="64">
        <v>12.29</v>
      </c>
      <c r="I28" s="64">
        <v>4.29</v>
      </c>
      <c r="J28" s="64">
        <v>0.08</v>
      </c>
      <c r="K28" s="64">
        <v>200.02</v>
      </c>
      <c r="L28" s="64">
        <v>25.56</v>
      </c>
      <c r="M28" s="64">
        <v>101.67</v>
      </c>
      <c r="N28" s="64">
        <v>41</v>
      </c>
      <c r="O28" s="64">
        <v>0</v>
      </c>
      <c r="P28" s="64">
        <v>0.42</v>
      </c>
      <c r="Q28" s="64">
        <v>9.76</v>
      </c>
      <c r="R28" s="198"/>
      <c r="S28" s="198"/>
      <c r="T28" s="198"/>
      <c r="U28" s="198"/>
    </row>
    <row r="29" spans="1:21" s="12" customFormat="1" x14ac:dyDescent="0.25">
      <c r="A29" s="214" t="s">
        <v>841</v>
      </c>
      <c r="B29" s="64">
        <v>7.99</v>
      </c>
      <c r="C29" s="64">
        <v>2.97</v>
      </c>
      <c r="D29" s="64">
        <v>11.74</v>
      </c>
      <c r="E29" s="64">
        <v>4.92</v>
      </c>
      <c r="F29" s="64">
        <v>3.07</v>
      </c>
      <c r="G29" s="64">
        <v>19.43</v>
      </c>
      <c r="H29" s="64">
        <v>9.35</v>
      </c>
      <c r="I29" s="64">
        <v>4.17</v>
      </c>
      <c r="J29" s="64">
        <v>0.05</v>
      </c>
      <c r="K29" s="64">
        <v>116.19</v>
      </c>
      <c r="L29" s="64">
        <v>25.52</v>
      </c>
      <c r="M29" s="64">
        <v>101.65</v>
      </c>
      <c r="N29" s="64">
        <v>40.9</v>
      </c>
      <c r="O29" s="64">
        <v>0</v>
      </c>
      <c r="P29" s="64">
        <v>0.41</v>
      </c>
      <c r="Q29" s="64">
        <v>9.75</v>
      </c>
      <c r="R29" s="198"/>
      <c r="S29" s="198"/>
      <c r="T29" s="198"/>
      <c r="U29" s="198"/>
    </row>
    <row r="30" spans="1:21" s="12" customFormat="1" x14ac:dyDescent="0.25">
      <c r="A30" s="214" t="s">
        <v>842</v>
      </c>
      <c r="B30" s="64">
        <v>7.98</v>
      </c>
      <c r="C30" s="64">
        <v>2.97</v>
      </c>
      <c r="D30" s="64">
        <v>11.72</v>
      </c>
      <c r="E30" s="64">
        <v>4.83</v>
      </c>
      <c r="F30" s="64">
        <v>3.07</v>
      </c>
      <c r="G30" s="64">
        <v>19.43</v>
      </c>
      <c r="H30" s="64">
        <v>9.35</v>
      </c>
      <c r="I30" s="64">
        <v>4.59</v>
      </c>
      <c r="J30" s="64">
        <v>0.06</v>
      </c>
      <c r="K30" s="64">
        <v>229.73</v>
      </c>
      <c r="L30" s="64">
        <v>25.57</v>
      </c>
      <c r="M30" s="64">
        <v>101.67</v>
      </c>
      <c r="N30" s="64">
        <v>41.1</v>
      </c>
      <c r="O30" s="64">
        <v>0</v>
      </c>
      <c r="P30" s="64">
        <v>0.4</v>
      </c>
      <c r="Q30" s="64">
        <v>9.75</v>
      </c>
      <c r="R30" s="198"/>
      <c r="S30" s="198"/>
      <c r="T30" s="198"/>
      <c r="U30" s="198"/>
    </row>
    <row r="31" spans="1:21" s="12" customFormat="1" x14ac:dyDescent="0.25">
      <c r="A31" s="214" t="s">
        <v>843</v>
      </c>
      <c r="B31" s="64">
        <v>7.96</v>
      </c>
      <c r="C31" s="64">
        <v>2.94</v>
      </c>
      <c r="D31" s="64">
        <v>11.69</v>
      </c>
      <c r="E31" s="64">
        <v>5.28</v>
      </c>
      <c r="F31" s="64">
        <v>4.1100000000000003</v>
      </c>
      <c r="G31" s="64">
        <v>19.43</v>
      </c>
      <c r="H31" s="64">
        <v>9.35</v>
      </c>
      <c r="I31" s="64">
        <v>4.5</v>
      </c>
      <c r="J31" s="64">
        <v>0.1</v>
      </c>
      <c r="K31" s="64">
        <v>140.58000000000001</v>
      </c>
      <c r="L31" s="64">
        <v>25.54</v>
      </c>
      <c r="M31" s="64">
        <v>101.68</v>
      </c>
      <c r="N31" s="64">
        <v>41.5</v>
      </c>
      <c r="O31" s="64">
        <v>0</v>
      </c>
      <c r="P31" s="64">
        <v>0.41</v>
      </c>
      <c r="Q31" s="64">
        <v>9.73</v>
      </c>
      <c r="R31" s="198"/>
      <c r="S31" s="198"/>
      <c r="T31" s="198"/>
      <c r="U31" s="198"/>
    </row>
    <row r="32" spans="1:21" s="12" customFormat="1" x14ac:dyDescent="0.25">
      <c r="A32" s="214" t="s">
        <v>844</v>
      </c>
      <c r="B32" s="64">
        <v>7.95</v>
      </c>
      <c r="C32" s="64">
        <v>2.96</v>
      </c>
      <c r="D32" s="64">
        <v>11.69</v>
      </c>
      <c r="E32" s="64">
        <v>5.1100000000000003</v>
      </c>
      <c r="F32" s="64">
        <v>3.66</v>
      </c>
      <c r="G32" s="64">
        <v>18.579999999999998</v>
      </c>
      <c r="H32" s="64">
        <v>12.68</v>
      </c>
      <c r="I32" s="64">
        <v>4.5199999999999996</v>
      </c>
      <c r="J32" s="64">
        <v>0.03</v>
      </c>
      <c r="K32" s="64">
        <v>165.98</v>
      </c>
      <c r="L32" s="64">
        <v>25.53</v>
      </c>
      <c r="M32" s="64">
        <v>101.67</v>
      </c>
      <c r="N32" s="64">
        <v>45.1</v>
      </c>
      <c r="O32" s="64">
        <v>0</v>
      </c>
      <c r="P32" s="64">
        <v>0.39</v>
      </c>
      <c r="Q32" s="64">
        <v>9.74</v>
      </c>
      <c r="R32" s="198"/>
      <c r="S32" s="198"/>
      <c r="T32" s="198"/>
      <c r="U32" s="198"/>
    </row>
    <row r="33" spans="1:21" s="12" customFormat="1" x14ac:dyDescent="0.25">
      <c r="A33" s="214" t="s">
        <v>845</v>
      </c>
      <c r="B33" s="64">
        <v>7.96</v>
      </c>
      <c r="C33" s="64">
        <v>2.96</v>
      </c>
      <c r="D33" s="64">
        <v>11.7</v>
      </c>
      <c r="E33" s="64">
        <v>5.52</v>
      </c>
      <c r="F33" s="64">
        <v>3.7</v>
      </c>
      <c r="G33" s="64">
        <v>17.04</v>
      </c>
      <c r="H33" s="64">
        <v>16.440000000000001</v>
      </c>
      <c r="I33" s="64">
        <v>4.47</v>
      </c>
      <c r="J33" s="64">
        <v>0.11</v>
      </c>
      <c r="K33" s="64">
        <v>202.98</v>
      </c>
      <c r="L33" s="64">
        <v>25.59</v>
      </c>
      <c r="M33" s="64">
        <v>101.68</v>
      </c>
      <c r="N33" s="64">
        <v>58</v>
      </c>
      <c r="O33" s="64">
        <v>0</v>
      </c>
      <c r="P33" s="64">
        <v>0.38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4" t="s">
        <v>846</v>
      </c>
      <c r="B34" s="64">
        <v>7.94</v>
      </c>
      <c r="C34" s="64">
        <v>2.92</v>
      </c>
      <c r="D34" s="64">
        <v>11.67</v>
      </c>
      <c r="E34" s="64">
        <v>4.8099999999999996</v>
      </c>
      <c r="F34" s="64">
        <v>3.45</v>
      </c>
      <c r="G34" s="64">
        <v>17.04</v>
      </c>
      <c r="H34" s="64">
        <v>16.440000000000001</v>
      </c>
      <c r="I34" s="64">
        <v>4.6500000000000004</v>
      </c>
      <c r="J34" s="64">
        <v>0.19</v>
      </c>
      <c r="K34" s="64">
        <v>147.36000000000001</v>
      </c>
      <c r="L34" s="64">
        <v>25.82</v>
      </c>
      <c r="M34" s="64">
        <v>101.68</v>
      </c>
      <c r="N34" s="64">
        <v>85.3</v>
      </c>
      <c r="O34" s="64">
        <v>0</v>
      </c>
      <c r="P34" s="64">
        <v>0.38</v>
      </c>
      <c r="Q34" s="64">
        <v>9.68</v>
      </c>
      <c r="R34" s="198"/>
      <c r="S34" s="198"/>
      <c r="T34" s="198"/>
      <c r="U34" s="198"/>
    </row>
    <row r="35" spans="1:21" s="12" customFormat="1" x14ac:dyDescent="0.25">
      <c r="A35" s="214" t="s">
        <v>847</v>
      </c>
      <c r="B35" s="64">
        <v>7.95</v>
      </c>
      <c r="C35" s="64">
        <v>2.95</v>
      </c>
      <c r="D35" s="64">
        <v>11.69</v>
      </c>
      <c r="E35" s="64">
        <v>4.6100000000000003</v>
      </c>
      <c r="F35" s="64">
        <v>3.51</v>
      </c>
      <c r="G35" s="64">
        <v>17.04</v>
      </c>
      <c r="H35" s="64">
        <v>16.440000000000001</v>
      </c>
      <c r="I35" s="64">
        <v>4.29</v>
      </c>
      <c r="J35" s="64">
        <v>0.03</v>
      </c>
      <c r="K35" s="64">
        <v>58.75</v>
      </c>
      <c r="L35" s="64">
        <v>26.17</v>
      </c>
      <c r="M35" s="64">
        <v>101.63</v>
      </c>
      <c r="N35" s="64">
        <v>109.2</v>
      </c>
      <c r="O35" s="64">
        <v>0</v>
      </c>
      <c r="P35" s="64">
        <v>0.37</v>
      </c>
      <c r="Q35" s="64">
        <v>9.6999999999999993</v>
      </c>
      <c r="R35" s="198"/>
      <c r="S35" s="198"/>
      <c r="T35" s="198"/>
      <c r="U35" s="198"/>
    </row>
    <row r="36" spans="1:21" s="12" customFormat="1" x14ac:dyDescent="0.25">
      <c r="A36" s="214" t="s">
        <v>848</v>
      </c>
      <c r="B36" s="64">
        <v>7.93</v>
      </c>
      <c r="C36" s="64">
        <v>2.88</v>
      </c>
      <c r="D36" s="64">
        <v>11.64</v>
      </c>
      <c r="E36" s="64">
        <v>4.8099999999999996</v>
      </c>
      <c r="F36" s="64">
        <v>3.69</v>
      </c>
      <c r="G36" s="64">
        <v>17.5</v>
      </c>
      <c r="H36" s="64">
        <v>14.15</v>
      </c>
      <c r="I36" s="64">
        <v>4.18</v>
      </c>
      <c r="J36" s="64">
        <v>7.0000000000000007E-2</v>
      </c>
      <c r="K36" s="64">
        <v>19.239999999999998</v>
      </c>
      <c r="L36" s="64">
        <v>26.67</v>
      </c>
      <c r="M36" s="64">
        <v>101.62</v>
      </c>
      <c r="N36" s="64">
        <v>166.4</v>
      </c>
      <c r="O36" s="64">
        <v>0</v>
      </c>
      <c r="P36" s="64">
        <v>0.36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14" t="s">
        <v>849</v>
      </c>
      <c r="B37" s="64">
        <v>7.92</v>
      </c>
      <c r="C37" s="64">
        <v>2.9</v>
      </c>
      <c r="D37" s="64">
        <v>11.64</v>
      </c>
      <c r="E37" s="64">
        <v>4.84</v>
      </c>
      <c r="F37" s="64">
        <v>2.7</v>
      </c>
      <c r="G37" s="64">
        <v>18.32</v>
      </c>
      <c r="H37" s="64">
        <v>11.64</v>
      </c>
      <c r="I37" s="64">
        <v>4.05</v>
      </c>
      <c r="J37" s="64">
        <v>0.16</v>
      </c>
      <c r="K37" s="64">
        <v>328.83</v>
      </c>
      <c r="L37" s="64">
        <v>28.17</v>
      </c>
      <c r="M37" s="64">
        <v>101.19</v>
      </c>
      <c r="N37" s="64">
        <v>219.1</v>
      </c>
      <c r="O37" s="64">
        <v>0</v>
      </c>
      <c r="P37" s="64">
        <v>0.39</v>
      </c>
      <c r="Q37" s="64">
        <v>9.68</v>
      </c>
      <c r="R37" s="198"/>
      <c r="S37" s="198"/>
      <c r="T37" s="198"/>
      <c r="U37" s="198"/>
    </row>
    <row r="38" spans="1:21" s="12" customFormat="1" x14ac:dyDescent="0.25">
      <c r="A38" s="214" t="s">
        <v>850</v>
      </c>
      <c r="B38" s="64">
        <v>7.97</v>
      </c>
      <c r="C38" s="64">
        <v>3</v>
      </c>
      <c r="D38" s="64">
        <v>11.73</v>
      </c>
      <c r="E38" s="64">
        <v>4.9400000000000004</v>
      </c>
      <c r="F38" s="64">
        <v>3.64</v>
      </c>
      <c r="G38" s="64">
        <v>18.32</v>
      </c>
      <c r="H38" s="64">
        <v>11.64</v>
      </c>
      <c r="I38" s="64">
        <v>4.17</v>
      </c>
      <c r="J38" s="64">
        <v>0.11</v>
      </c>
      <c r="K38" s="64">
        <v>323.98</v>
      </c>
      <c r="L38" s="64">
        <v>29.85</v>
      </c>
      <c r="M38" s="64">
        <v>94.95</v>
      </c>
      <c r="N38" s="64">
        <v>285.3</v>
      </c>
      <c r="O38" s="64">
        <v>0</v>
      </c>
      <c r="P38" s="64">
        <v>0.42</v>
      </c>
      <c r="Q38" s="64">
        <v>9.68</v>
      </c>
      <c r="R38" s="198"/>
      <c r="S38" s="198"/>
      <c r="T38" s="198"/>
      <c r="U38" s="198"/>
    </row>
    <row r="39" spans="1:21" s="12" customFormat="1" x14ac:dyDescent="0.25">
      <c r="A39" s="214" t="s">
        <v>851</v>
      </c>
      <c r="B39" s="64">
        <v>7.96</v>
      </c>
      <c r="C39" s="64">
        <v>2.96</v>
      </c>
      <c r="D39" s="64">
        <v>11.71</v>
      </c>
      <c r="E39" s="64">
        <v>5.01</v>
      </c>
      <c r="F39" s="64">
        <v>3.76</v>
      </c>
      <c r="G39" s="64">
        <v>18.32</v>
      </c>
      <c r="H39" s="64">
        <v>11.64</v>
      </c>
      <c r="I39" s="64">
        <v>4.0199999999999996</v>
      </c>
      <c r="J39" s="64">
        <v>0.14000000000000001</v>
      </c>
      <c r="K39" s="64">
        <v>336.69</v>
      </c>
      <c r="L39" s="64">
        <v>29.88</v>
      </c>
      <c r="M39" s="64">
        <v>95.17</v>
      </c>
      <c r="N39" s="64">
        <v>275.2</v>
      </c>
      <c r="O39" s="64">
        <v>0</v>
      </c>
      <c r="P39" s="64">
        <v>0.42</v>
      </c>
      <c r="Q39" s="64">
        <v>9.6999999999999993</v>
      </c>
      <c r="R39" s="198"/>
      <c r="S39" s="198"/>
      <c r="T39" s="198"/>
      <c r="U39" s="198"/>
    </row>
    <row r="40" spans="1:21" s="12" customFormat="1" x14ac:dyDescent="0.25">
      <c r="A40" s="214" t="s">
        <v>852</v>
      </c>
      <c r="B40" s="64">
        <v>7.97</v>
      </c>
      <c r="C40" s="64">
        <v>3.02</v>
      </c>
      <c r="D40" s="64">
        <v>11.74</v>
      </c>
      <c r="E40" s="64">
        <v>4.2</v>
      </c>
      <c r="F40" s="64">
        <v>3.13</v>
      </c>
      <c r="G40" s="64">
        <v>20.02</v>
      </c>
      <c r="H40" s="64">
        <v>12.49</v>
      </c>
      <c r="I40" s="64">
        <v>3.83</v>
      </c>
      <c r="J40" s="64">
        <v>0.17</v>
      </c>
      <c r="K40" s="64">
        <v>336.42</v>
      </c>
      <c r="L40" s="64">
        <v>29.81</v>
      </c>
      <c r="M40" s="64">
        <v>95.12</v>
      </c>
      <c r="N40" s="64">
        <v>359.2</v>
      </c>
      <c r="O40" s="64">
        <v>0</v>
      </c>
      <c r="P40" s="64">
        <v>0.42</v>
      </c>
      <c r="Q40" s="64">
        <v>9.6999999999999993</v>
      </c>
      <c r="R40" s="198"/>
      <c r="S40" s="198"/>
      <c r="T40" s="198"/>
      <c r="U40" s="198"/>
    </row>
    <row r="41" spans="1:21" s="12" customFormat="1" x14ac:dyDescent="0.25">
      <c r="A41" s="214" t="s">
        <v>853</v>
      </c>
      <c r="B41" s="64">
        <v>8</v>
      </c>
      <c r="C41" s="64">
        <v>3.07</v>
      </c>
      <c r="D41" s="64">
        <v>11.79</v>
      </c>
      <c r="E41" s="64">
        <v>4.22</v>
      </c>
      <c r="F41" s="64">
        <v>3.75</v>
      </c>
      <c r="G41" s="64">
        <v>23.09</v>
      </c>
      <c r="H41" s="64">
        <v>13.45</v>
      </c>
      <c r="I41" s="64">
        <v>3.66</v>
      </c>
      <c r="J41" s="64">
        <v>0.34</v>
      </c>
      <c r="K41" s="64">
        <v>329.89</v>
      </c>
      <c r="L41" s="64">
        <v>31.08</v>
      </c>
      <c r="M41" s="64">
        <v>89.1</v>
      </c>
      <c r="N41" s="64">
        <v>433.7</v>
      </c>
      <c r="O41" s="64">
        <v>0</v>
      </c>
      <c r="P41" s="64">
        <v>0.41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14" t="s">
        <v>854</v>
      </c>
      <c r="B42" s="64">
        <v>8.01</v>
      </c>
      <c r="C42" s="64">
        <v>3.01</v>
      </c>
      <c r="D42" s="64">
        <v>11.77</v>
      </c>
      <c r="E42" s="64">
        <v>4.1900000000000004</v>
      </c>
      <c r="F42" s="64">
        <v>3.25</v>
      </c>
      <c r="G42" s="64">
        <v>23.09</v>
      </c>
      <c r="H42" s="64">
        <v>13.45</v>
      </c>
      <c r="I42" s="64">
        <v>3.59</v>
      </c>
      <c r="J42" s="64">
        <v>0.42</v>
      </c>
      <c r="K42" s="64">
        <v>329.63</v>
      </c>
      <c r="L42" s="64">
        <v>33.39</v>
      </c>
      <c r="M42" s="64">
        <v>78.62</v>
      </c>
      <c r="N42" s="64">
        <v>514.70000000000005</v>
      </c>
      <c r="O42" s="64">
        <v>0</v>
      </c>
      <c r="P42" s="64">
        <v>0.42</v>
      </c>
      <c r="Q42" s="64">
        <v>9.6999999999999993</v>
      </c>
      <c r="R42" s="198"/>
      <c r="S42" s="198"/>
      <c r="T42" s="198"/>
      <c r="U42" s="198"/>
    </row>
    <row r="43" spans="1:21" s="12" customFormat="1" x14ac:dyDescent="0.25">
      <c r="A43" s="214" t="s">
        <v>855</v>
      </c>
      <c r="B43" s="64">
        <v>7.99</v>
      </c>
      <c r="C43" s="64">
        <v>2.95</v>
      </c>
      <c r="D43" s="64">
        <v>11.72</v>
      </c>
      <c r="E43" s="64">
        <v>3.89</v>
      </c>
      <c r="F43" s="64">
        <v>3.04</v>
      </c>
      <c r="G43" s="64">
        <v>23.09</v>
      </c>
      <c r="H43" s="64">
        <v>13.45</v>
      </c>
      <c r="I43" s="64">
        <v>3.53</v>
      </c>
      <c r="J43" s="64">
        <v>0.39</v>
      </c>
      <c r="K43" s="64">
        <v>344.58</v>
      </c>
      <c r="L43" s="64">
        <v>32.93</v>
      </c>
      <c r="M43" s="64">
        <v>80.849999999999994</v>
      </c>
      <c r="N43" s="64">
        <v>503.8</v>
      </c>
      <c r="O43" s="64">
        <v>0</v>
      </c>
      <c r="P43" s="64">
        <v>0.43</v>
      </c>
      <c r="Q43" s="64">
        <v>9.7100000000000009</v>
      </c>
      <c r="R43" s="198"/>
      <c r="S43" s="198"/>
      <c r="T43" s="198"/>
      <c r="U43" s="198"/>
    </row>
    <row r="44" spans="1:21" s="12" customFormat="1" x14ac:dyDescent="0.25">
      <c r="A44" s="214" t="s">
        <v>856</v>
      </c>
      <c r="B44" s="64">
        <v>7.99</v>
      </c>
      <c r="C44" s="64">
        <v>2.96</v>
      </c>
      <c r="D44" s="64">
        <v>11.73</v>
      </c>
      <c r="E44" s="64">
        <v>3.82</v>
      </c>
      <c r="F44" s="64">
        <v>3.37</v>
      </c>
      <c r="G44" s="64">
        <v>25.07</v>
      </c>
      <c r="H44" s="64">
        <v>14.11</v>
      </c>
      <c r="I44" s="64">
        <v>3.45</v>
      </c>
      <c r="J44" s="64">
        <v>0.41</v>
      </c>
      <c r="K44" s="64">
        <v>352.52</v>
      </c>
      <c r="L44" s="64">
        <v>34.020000000000003</v>
      </c>
      <c r="M44" s="64">
        <v>74.03</v>
      </c>
      <c r="N44" s="64">
        <v>624.29999999999995</v>
      </c>
      <c r="O44" s="64">
        <v>0</v>
      </c>
      <c r="P44" s="64">
        <v>0.43</v>
      </c>
      <c r="Q44" s="64">
        <v>9.7200000000000006</v>
      </c>
      <c r="R44" s="198"/>
      <c r="S44" s="198"/>
      <c r="T44" s="198"/>
      <c r="U44" s="198"/>
    </row>
    <row r="45" spans="1:21" s="12" customFormat="1" x14ac:dyDescent="0.25">
      <c r="A45" s="214" t="s">
        <v>857</v>
      </c>
      <c r="B45" s="64">
        <v>8.01</v>
      </c>
      <c r="C45" s="64">
        <v>2.96</v>
      </c>
      <c r="D45" s="64">
        <v>11.74</v>
      </c>
      <c r="E45" s="64">
        <v>4.07</v>
      </c>
      <c r="F45" s="64">
        <v>3.45</v>
      </c>
      <c r="G45" s="64">
        <v>28.66</v>
      </c>
      <c r="H45" s="64">
        <v>16.21</v>
      </c>
      <c r="I45" s="64">
        <v>3.54</v>
      </c>
      <c r="J45" s="64">
        <v>0.4</v>
      </c>
      <c r="K45" s="64">
        <v>347.57</v>
      </c>
      <c r="L45" s="64">
        <v>35.35</v>
      </c>
      <c r="M45" s="64">
        <v>69.55</v>
      </c>
      <c r="N45" s="64">
        <v>664.4</v>
      </c>
      <c r="O45" s="64">
        <v>0</v>
      </c>
      <c r="P45" s="64">
        <v>0.42</v>
      </c>
      <c r="Q45" s="64">
        <v>9.74</v>
      </c>
      <c r="R45" s="198"/>
      <c r="S45" s="198"/>
      <c r="T45" s="198"/>
      <c r="U45" s="198"/>
    </row>
    <row r="46" spans="1:21" s="12" customFormat="1" x14ac:dyDescent="0.25">
      <c r="A46" s="214" t="s">
        <v>858</v>
      </c>
      <c r="B46" s="64">
        <v>8</v>
      </c>
      <c r="C46" s="64">
        <v>3.03</v>
      </c>
      <c r="D46" s="64">
        <v>11.77</v>
      </c>
      <c r="E46" s="64">
        <v>4.0999999999999996</v>
      </c>
      <c r="F46" s="64">
        <v>3.45</v>
      </c>
      <c r="G46" s="64">
        <v>28.66</v>
      </c>
      <c r="H46" s="64">
        <v>16.21</v>
      </c>
      <c r="I46" s="64">
        <v>3.7</v>
      </c>
      <c r="J46" s="64">
        <v>0.8</v>
      </c>
      <c r="K46" s="64">
        <v>341.68</v>
      </c>
      <c r="L46" s="64">
        <v>36.159999999999997</v>
      </c>
      <c r="M46" s="64">
        <v>65.05</v>
      </c>
      <c r="N46" s="64">
        <v>702.6</v>
      </c>
      <c r="O46" s="64">
        <v>0</v>
      </c>
      <c r="P46" s="64">
        <v>0.43</v>
      </c>
      <c r="Q46" s="64">
        <v>9.75</v>
      </c>
      <c r="R46" s="198"/>
      <c r="S46" s="198"/>
      <c r="T46" s="198"/>
      <c r="U46" s="198"/>
    </row>
    <row r="47" spans="1:21" s="12" customFormat="1" x14ac:dyDescent="0.25">
      <c r="A47" s="214" t="s">
        <v>859</v>
      </c>
      <c r="B47" s="64">
        <v>7.98</v>
      </c>
      <c r="C47" s="64">
        <v>2.99</v>
      </c>
      <c r="D47" s="64">
        <v>11.73</v>
      </c>
      <c r="E47" s="64">
        <v>4.07</v>
      </c>
      <c r="F47" s="64">
        <v>3.57</v>
      </c>
      <c r="G47" s="64">
        <v>28.66</v>
      </c>
      <c r="H47" s="64">
        <v>16.21</v>
      </c>
      <c r="I47" s="64">
        <v>4.0599999999999996</v>
      </c>
      <c r="J47" s="64">
        <v>0.36</v>
      </c>
      <c r="K47" s="64">
        <v>331.73</v>
      </c>
      <c r="L47" s="64">
        <v>36.630000000000003</v>
      </c>
      <c r="M47" s="64">
        <v>63.27</v>
      </c>
      <c r="N47" s="64">
        <v>721.3</v>
      </c>
      <c r="O47" s="64">
        <v>0</v>
      </c>
      <c r="P47" s="64">
        <v>0.44</v>
      </c>
      <c r="Q47" s="64">
        <v>9.76</v>
      </c>
      <c r="R47" s="198"/>
      <c r="S47" s="198"/>
      <c r="T47" s="198"/>
      <c r="U47" s="198"/>
    </row>
    <row r="48" spans="1:21" s="12" customFormat="1" x14ac:dyDescent="0.25">
      <c r="A48" s="214" t="s">
        <v>860</v>
      </c>
      <c r="B48" s="64">
        <v>7.95</v>
      </c>
      <c r="C48" s="64">
        <v>2.96</v>
      </c>
      <c r="D48" s="64">
        <v>11.7</v>
      </c>
      <c r="E48" s="64">
        <v>4.4000000000000004</v>
      </c>
      <c r="F48" s="64">
        <v>4.16</v>
      </c>
      <c r="G48" s="64">
        <v>29.32</v>
      </c>
      <c r="H48" s="64">
        <v>9.1300000000000008</v>
      </c>
      <c r="I48" s="64">
        <v>4.2699999999999996</v>
      </c>
      <c r="J48" s="64">
        <v>0.02</v>
      </c>
      <c r="K48" s="64">
        <v>234.52</v>
      </c>
      <c r="L48" s="64">
        <v>35.28</v>
      </c>
      <c r="M48" s="64">
        <v>68.13</v>
      </c>
      <c r="N48" s="64">
        <v>731.3</v>
      </c>
      <c r="O48" s="64">
        <v>0</v>
      </c>
      <c r="P48" s="64">
        <v>0.44</v>
      </c>
      <c r="Q48" s="64">
        <v>9.81</v>
      </c>
      <c r="R48" s="198"/>
      <c r="S48" s="198"/>
      <c r="T48" s="198"/>
      <c r="U48" s="198"/>
    </row>
    <row r="49" spans="1:21" s="12" customFormat="1" x14ac:dyDescent="0.25">
      <c r="A49" s="214" t="s">
        <v>861</v>
      </c>
      <c r="B49" s="64">
        <v>7.95</v>
      </c>
      <c r="C49" s="64">
        <v>2.96</v>
      </c>
      <c r="D49" s="64">
        <v>11.7</v>
      </c>
      <c r="E49" s="64">
        <v>4.1500000000000004</v>
      </c>
      <c r="F49" s="64">
        <v>4.16</v>
      </c>
      <c r="G49" s="64">
        <v>30.53</v>
      </c>
      <c r="H49" s="64">
        <v>9.1300000000000008</v>
      </c>
      <c r="I49" s="64">
        <v>4.3099999999999996</v>
      </c>
      <c r="J49" s="64">
        <v>0.67</v>
      </c>
      <c r="K49" s="64">
        <v>338.89</v>
      </c>
      <c r="L49" s="64">
        <v>35.17</v>
      </c>
      <c r="M49" s="64">
        <v>68.56</v>
      </c>
      <c r="N49" s="64">
        <v>667.8</v>
      </c>
      <c r="O49" s="64">
        <v>0</v>
      </c>
      <c r="P49" s="64">
        <v>0.46</v>
      </c>
      <c r="Q49" s="64">
        <v>9.7899999999999991</v>
      </c>
      <c r="R49" s="198"/>
      <c r="S49" s="198"/>
      <c r="T49" s="198"/>
      <c r="U49" s="198"/>
    </row>
    <row r="50" spans="1:21" s="12" customFormat="1" x14ac:dyDescent="0.25">
      <c r="A50" s="214" t="s">
        <v>862</v>
      </c>
      <c r="B50" s="64">
        <v>7.94</v>
      </c>
      <c r="C50" s="64">
        <v>2.98</v>
      </c>
      <c r="D50" s="64">
        <v>11.7</v>
      </c>
      <c r="E50" s="64">
        <v>4.29</v>
      </c>
      <c r="F50" s="64">
        <v>4.08</v>
      </c>
      <c r="G50" s="64">
        <v>30.53</v>
      </c>
      <c r="H50" s="64">
        <v>9.1300000000000008</v>
      </c>
      <c r="I50" s="64">
        <v>4.28</v>
      </c>
      <c r="J50" s="64">
        <v>0.23</v>
      </c>
      <c r="K50" s="64">
        <v>82.47</v>
      </c>
      <c r="L50" s="64">
        <v>34.75</v>
      </c>
      <c r="M50" s="64">
        <v>68.92</v>
      </c>
      <c r="N50" s="64">
        <v>536.20000000000005</v>
      </c>
      <c r="O50" s="64">
        <v>0</v>
      </c>
      <c r="P50" s="64">
        <v>0.47</v>
      </c>
      <c r="Q50" s="64">
        <v>9.77</v>
      </c>
      <c r="R50" s="198"/>
      <c r="S50" s="198"/>
      <c r="T50" s="198"/>
      <c r="U50" s="198"/>
    </row>
    <row r="51" spans="1:21" s="12" customFormat="1" x14ac:dyDescent="0.25">
      <c r="A51" s="214" t="s">
        <v>863</v>
      </c>
      <c r="B51" s="64">
        <v>7.95</v>
      </c>
      <c r="C51" s="64">
        <v>2.97</v>
      </c>
      <c r="D51" s="64">
        <v>11.7</v>
      </c>
      <c r="E51" s="64">
        <v>4.53</v>
      </c>
      <c r="F51" s="64">
        <v>4.17</v>
      </c>
      <c r="G51" s="64">
        <v>30.53</v>
      </c>
      <c r="H51" s="64">
        <v>12.1</v>
      </c>
      <c r="I51" s="64">
        <v>4.22</v>
      </c>
      <c r="J51" s="64">
        <v>0.55000000000000004</v>
      </c>
      <c r="K51" s="64">
        <v>337.1</v>
      </c>
      <c r="L51" s="64">
        <v>34.24</v>
      </c>
      <c r="M51" s="64">
        <v>70.489999999999995</v>
      </c>
      <c r="N51" s="64">
        <v>458.7</v>
      </c>
      <c r="O51" s="64">
        <v>0</v>
      </c>
      <c r="P51" s="64">
        <v>0.48</v>
      </c>
      <c r="Q51" s="64">
        <v>9.73</v>
      </c>
      <c r="R51" s="198"/>
      <c r="S51" s="198"/>
      <c r="T51" s="198"/>
      <c r="U51" s="198"/>
    </row>
    <row r="52" spans="1:21" s="12" customFormat="1" x14ac:dyDescent="0.25">
      <c r="A52" s="214" t="s">
        <v>864</v>
      </c>
      <c r="B52" s="64">
        <v>7.97</v>
      </c>
      <c r="C52" s="64">
        <v>3.07</v>
      </c>
      <c r="D52" s="64">
        <v>11.77</v>
      </c>
      <c r="E52" s="64">
        <v>4.26</v>
      </c>
      <c r="F52" s="64">
        <v>3.96</v>
      </c>
      <c r="G52" s="64">
        <v>38.69</v>
      </c>
      <c r="H52" s="64">
        <v>12.1</v>
      </c>
      <c r="I52" s="64">
        <v>4.34</v>
      </c>
      <c r="J52" s="64">
        <v>0.22</v>
      </c>
      <c r="K52" s="64">
        <v>341.23</v>
      </c>
      <c r="L52" s="64">
        <v>34.06</v>
      </c>
      <c r="M52" s="64">
        <v>71.260000000000005</v>
      </c>
      <c r="N52" s="64">
        <v>309.5</v>
      </c>
      <c r="O52" s="64">
        <v>0</v>
      </c>
      <c r="P52" s="64">
        <v>0.51</v>
      </c>
      <c r="Q52" s="64">
        <v>9.7799999999999994</v>
      </c>
      <c r="R52" s="198"/>
      <c r="S52" s="198"/>
      <c r="T52" s="198"/>
      <c r="U52" s="198"/>
    </row>
    <row r="53" spans="1:21" s="12" customFormat="1" x14ac:dyDescent="0.25">
      <c r="A53" s="214" t="s">
        <v>865</v>
      </c>
      <c r="B53" s="64">
        <v>7.98</v>
      </c>
      <c r="C53" s="64">
        <v>3.05</v>
      </c>
      <c r="D53" s="64">
        <v>11.77</v>
      </c>
      <c r="E53" s="64">
        <v>4.24</v>
      </c>
      <c r="F53" s="64">
        <v>4.45</v>
      </c>
      <c r="G53" s="64">
        <v>53.48</v>
      </c>
      <c r="H53" s="64">
        <v>19.059999999999999</v>
      </c>
      <c r="I53" s="64">
        <v>4.5</v>
      </c>
      <c r="J53" s="64">
        <v>7.0000000000000007E-2</v>
      </c>
      <c r="K53" s="64">
        <v>213.51</v>
      </c>
      <c r="L53" s="64">
        <v>31.5</v>
      </c>
      <c r="M53" s="64">
        <v>83.18</v>
      </c>
      <c r="N53" s="64">
        <v>354.8</v>
      </c>
      <c r="O53" s="64">
        <v>0</v>
      </c>
      <c r="P53" s="64">
        <v>0.51</v>
      </c>
      <c r="Q53" s="64">
        <v>9.76</v>
      </c>
      <c r="R53" s="198"/>
      <c r="S53" s="198"/>
      <c r="T53" s="198"/>
      <c r="U53" s="198"/>
    </row>
    <row r="54" spans="1:21" s="12" customFormat="1" x14ac:dyDescent="0.25">
      <c r="A54" s="214" t="s">
        <v>866</v>
      </c>
      <c r="B54" s="64">
        <v>7.94</v>
      </c>
      <c r="C54" s="64">
        <v>3</v>
      </c>
      <c r="D54" s="64">
        <v>11.71</v>
      </c>
      <c r="E54" s="64">
        <v>4.12</v>
      </c>
      <c r="F54" s="64">
        <v>3.52</v>
      </c>
      <c r="G54" s="64">
        <v>53.48</v>
      </c>
      <c r="H54" s="64">
        <v>19.059999999999999</v>
      </c>
      <c r="I54" s="64">
        <v>4.54</v>
      </c>
      <c r="J54" s="64">
        <v>0.27</v>
      </c>
      <c r="K54" s="64">
        <v>119.13</v>
      </c>
      <c r="L54" s="64">
        <v>31.72</v>
      </c>
      <c r="M54" s="64">
        <v>83.09</v>
      </c>
      <c r="N54" s="64">
        <v>389.8</v>
      </c>
      <c r="O54" s="64">
        <v>0</v>
      </c>
      <c r="P54" s="64">
        <v>0.5</v>
      </c>
      <c r="Q54" s="64">
        <v>9.7200000000000006</v>
      </c>
      <c r="R54" s="198"/>
      <c r="S54" s="198"/>
      <c r="T54" s="198"/>
      <c r="U54" s="198"/>
    </row>
    <row r="55" spans="1:21" s="12" customFormat="1" x14ac:dyDescent="0.25">
      <c r="A55" s="214" t="s">
        <v>867</v>
      </c>
      <c r="B55" s="64">
        <v>7.92</v>
      </c>
      <c r="C55" s="64">
        <v>2.98</v>
      </c>
      <c r="D55" s="64">
        <v>11.68</v>
      </c>
      <c r="E55" s="64">
        <v>3.91</v>
      </c>
      <c r="F55" s="64">
        <v>4.9800000000000004</v>
      </c>
      <c r="G55" s="64">
        <v>53.48</v>
      </c>
      <c r="H55" s="64">
        <v>19.059999999999999</v>
      </c>
      <c r="I55" s="64">
        <v>4.46</v>
      </c>
      <c r="J55" s="64">
        <v>7.0000000000000007E-2</v>
      </c>
      <c r="K55" s="64">
        <v>250.48</v>
      </c>
      <c r="L55" s="64">
        <v>31.85</v>
      </c>
      <c r="M55" s="64">
        <v>81.66</v>
      </c>
      <c r="N55" s="64">
        <v>803.9</v>
      </c>
      <c r="O55" s="64">
        <v>0</v>
      </c>
      <c r="P55" s="64">
        <v>0.49</v>
      </c>
      <c r="Q55" s="64">
        <v>9.69</v>
      </c>
      <c r="R55" s="198"/>
      <c r="S55" s="198"/>
      <c r="T55" s="198"/>
      <c r="U55" s="198"/>
    </row>
    <row r="56" spans="1:21" s="12" customFormat="1" x14ac:dyDescent="0.25">
      <c r="A56" s="214" t="s">
        <v>868</v>
      </c>
      <c r="B56" s="64">
        <v>7.93</v>
      </c>
      <c r="C56" s="64">
        <v>2.96</v>
      </c>
      <c r="D56" s="64">
        <v>11.68</v>
      </c>
      <c r="E56" s="64">
        <v>4.3899999999999997</v>
      </c>
      <c r="F56" s="64">
        <v>3.77</v>
      </c>
      <c r="G56" s="64">
        <v>50.86</v>
      </c>
      <c r="H56" s="64">
        <v>24.93</v>
      </c>
      <c r="I56" s="64">
        <v>4.3899999999999997</v>
      </c>
      <c r="J56" s="64">
        <v>0.18</v>
      </c>
      <c r="K56" s="64">
        <v>347.55</v>
      </c>
      <c r="L56" s="64">
        <v>33.26</v>
      </c>
      <c r="M56" s="64">
        <v>76.87</v>
      </c>
      <c r="N56" s="64">
        <v>668.9</v>
      </c>
      <c r="O56" s="64">
        <v>0</v>
      </c>
      <c r="P56" s="64">
        <v>0.5</v>
      </c>
      <c r="Q56" s="64">
        <v>9.68</v>
      </c>
      <c r="R56" s="198"/>
      <c r="S56" s="198"/>
      <c r="T56" s="198"/>
      <c r="U56" s="198"/>
    </row>
    <row r="57" spans="1:21" s="12" customFormat="1" x14ac:dyDescent="0.25">
      <c r="A57" s="214" t="s">
        <v>869</v>
      </c>
      <c r="B57" s="64">
        <v>7.94</v>
      </c>
      <c r="C57" s="64">
        <v>2.98</v>
      </c>
      <c r="D57" s="64">
        <v>11.7</v>
      </c>
      <c r="E57" s="64">
        <v>4.9800000000000004</v>
      </c>
      <c r="F57" s="64">
        <v>4.32</v>
      </c>
      <c r="G57" s="64">
        <v>46.09</v>
      </c>
      <c r="H57" s="64">
        <v>24.93</v>
      </c>
      <c r="I57" s="64">
        <v>4.33</v>
      </c>
      <c r="J57" s="64">
        <v>0.21</v>
      </c>
      <c r="K57" s="64">
        <v>330.45</v>
      </c>
      <c r="L57" s="64">
        <v>33.83</v>
      </c>
      <c r="M57" s="64">
        <v>75.23</v>
      </c>
      <c r="N57" s="64">
        <v>284.10000000000002</v>
      </c>
      <c r="O57" s="64">
        <v>0</v>
      </c>
      <c r="P57" s="64">
        <v>0.5</v>
      </c>
      <c r="Q57" s="64">
        <v>9.59</v>
      </c>
      <c r="R57" s="198"/>
      <c r="S57" s="198"/>
      <c r="T57" s="198"/>
      <c r="U57" s="198"/>
    </row>
    <row r="58" spans="1:21" s="12" customFormat="1" x14ac:dyDescent="0.25">
      <c r="A58" s="214" t="s">
        <v>870</v>
      </c>
      <c r="B58" s="64">
        <v>8</v>
      </c>
      <c r="C58" s="64">
        <v>3.04</v>
      </c>
      <c r="D58" s="64">
        <v>11.78</v>
      </c>
      <c r="E58" s="64">
        <v>4.8899999999999997</v>
      </c>
      <c r="F58" s="64">
        <v>4.8600000000000003</v>
      </c>
      <c r="G58" s="64">
        <v>46.09</v>
      </c>
      <c r="H58" s="64">
        <v>24.93</v>
      </c>
      <c r="I58" s="64">
        <v>4.1500000000000004</v>
      </c>
      <c r="J58" s="64">
        <v>0.06</v>
      </c>
      <c r="K58" s="64">
        <v>149.43</v>
      </c>
      <c r="L58" s="64">
        <v>31.71</v>
      </c>
      <c r="M58" s="64">
        <v>81.37</v>
      </c>
      <c r="N58" s="64">
        <v>347.2</v>
      </c>
      <c r="O58" s="64">
        <v>0</v>
      </c>
      <c r="P58" s="64">
        <v>0.5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4" t="s">
        <v>871</v>
      </c>
      <c r="B59" s="64">
        <v>7.99</v>
      </c>
      <c r="C59" s="64">
        <v>2.98</v>
      </c>
      <c r="D59" s="64">
        <v>11.73</v>
      </c>
      <c r="E59" s="64">
        <v>4.8099999999999996</v>
      </c>
      <c r="F59" s="64">
        <v>4.2300000000000004</v>
      </c>
      <c r="G59" s="64">
        <v>46.09</v>
      </c>
      <c r="H59" s="64">
        <v>16.28</v>
      </c>
      <c r="I59" s="64">
        <v>4.09</v>
      </c>
      <c r="J59" s="64">
        <v>0.22</v>
      </c>
      <c r="K59" s="64">
        <v>327.68</v>
      </c>
      <c r="L59" s="64">
        <v>32.33</v>
      </c>
      <c r="M59" s="64">
        <v>78.63</v>
      </c>
      <c r="N59" s="64">
        <v>229.6</v>
      </c>
      <c r="O59" s="64">
        <v>0</v>
      </c>
      <c r="P59" s="64">
        <v>0.49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4" t="s">
        <v>872</v>
      </c>
      <c r="B60" s="64">
        <v>7.98</v>
      </c>
      <c r="C60" s="64">
        <v>3</v>
      </c>
      <c r="D60" s="64">
        <v>11.75</v>
      </c>
      <c r="E60" s="64">
        <v>4.84</v>
      </c>
      <c r="F60" s="64">
        <v>4.2699999999999996</v>
      </c>
      <c r="G60" s="64">
        <v>46.03</v>
      </c>
      <c r="H60" s="64">
        <v>16.28</v>
      </c>
      <c r="I60" s="64">
        <v>4.12</v>
      </c>
      <c r="J60" s="64">
        <v>0.39</v>
      </c>
      <c r="K60" s="64">
        <v>321.83</v>
      </c>
      <c r="L60" s="64">
        <v>31.1</v>
      </c>
      <c r="M60" s="64">
        <v>89.46</v>
      </c>
      <c r="N60" s="64">
        <v>104.5</v>
      </c>
      <c r="O60" s="64">
        <v>1.4</v>
      </c>
      <c r="P60" s="64">
        <v>0.5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4" t="s">
        <v>873</v>
      </c>
      <c r="B61" s="64">
        <v>8</v>
      </c>
      <c r="C61" s="64">
        <v>3.03</v>
      </c>
      <c r="D61" s="64">
        <v>11.77</v>
      </c>
      <c r="E61" s="64">
        <v>4.8</v>
      </c>
      <c r="F61" s="64">
        <v>4.29</v>
      </c>
      <c r="G61" s="64">
        <v>45.92</v>
      </c>
      <c r="H61" s="64">
        <v>33.97</v>
      </c>
      <c r="I61" s="64">
        <v>4.22</v>
      </c>
      <c r="J61" s="64">
        <v>0.1</v>
      </c>
      <c r="K61" s="64">
        <v>336.38</v>
      </c>
      <c r="L61" s="64">
        <v>27.99</v>
      </c>
      <c r="M61" s="64">
        <v>101.47</v>
      </c>
      <c r="N61" s="64">
        <v>113.3</v>
      </c>
      <c r="O61" s="64">
        <v>0</v>
      </c>
      <c r="P61" s="64">
        <v>0.47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4" t="s">
        <v>874</v>
      </c>
      <c r="B62" s="64">
        <v>7.96</v>
      </c>
      <c r="C62" s="64">
        <v>2.91</v>
      </c>
      <c r="D62" s="64">
        <v>11.68</v>
      </c>
      <c r="E62" s="64">
        <v>5.1100000000000003</v>
      </c>
      <c r="F62" s="64">
        <v>4.5599999999999996</v>
      </c>
      <c r="G62" s="64">
        <v>45.92</v>
      </c>
      <c r="H62" s="64">
        <v>33.97</v>
      </c>
      <c r="I62" s="64">
        <v>4.12</v>
      </c>
      <c r="J62" s="64">
        <v>0.16</v>
      </c>
      <c r="K62" s="64">
        <v>339.42</v>
      </c>
      <c r="L62" s="64">
        <v>27.27</v>
      </c>
      <c r="M62" s="64">
        <v>101.57</v>
      </c>
      <c r="N62" s="64">
        <v>137.6</v>
      </c>
      <c r="O62" s="64">
        <v>0</v>
      </c>
      <c r="P62" s="64">
        <v>0.48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14" t="s">
        <v>875</v>
      </c>
      <c r="B63" s="64">
        <v>7.96</v>
      </c>
      <c r="C63" s="64">
        <v>2.95</v>
      </c>
      <c r="D63" s="64">
        <v>11.69</v>
      </c>
      <c r="E63" s="64">
        <v>5.2</v>
      </c>
      <c r="F63" s="64">
        <v>4.2</v>
      </c>
      <c r="G63" s="64">
        <v>45.92</v>
      </c>
      <c r="H63" s="64">
        <v>33.97</v>
      </c>
      <c r="I63" s="64">
        <v>3.91</v>
      </c>
      <c r="J63" s="64">
        <v>0.08</v>
      </c>
      <c r="K63" s="64">
        <v>313.88</v>
      </c>
      <c r="L63" s="64">
        <v>27.37</v>
      </c>
      <c r="M63" s="64">
        <v>101.55</v>
      </c>
      <c r="N63" s="64">
        <v>172.1</v>
      </c>
      <c r="O63" s="64">
        <v>0</v>
      </c>
      <c r="P63" s="64">
        <v>0.48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4" t="s">
        <v>876</v>
      </c>
      <c r="B64" s="64">
        <v>7.96</v>
      </c>
      <c r="C64" s="64">
        <v>2.97</v>
      </c>
      <c r="D64" s="64">
        <v>11.71</v>
      </c>
      <c r="E64" s="64">
        <v>5.0999999999999996</v>
      </c>
      <c r="F64" s="64">
        <v>4.17</v>
      </c>
      <c r="G64" s="64">
        <v>45.04</v>
      </c>
      <c r="H64" s="64">
        <v>27.97</v>
      </c>
      <c r="I64" s="64">
        <v>3.81</v>
      </c>
      <c r="J64" s="64">
        <v>0.16</v>
      </c>
      <c r="K64" s="64">
        <v>343.97</v>
      </c>
      <c r="L64" s="64">
        <v>27.8</v>
      </c>
      <c r="M64" s="64">
        <v>101.48</v>
      </c>
      <c r="N64" s="64">
        <v>179</v>
      </c>
      <c r="O64" s="64">
        <v>0</v>
      </c>
      <c r="P64" s="64">
        <v>0.48</v>
      </c>
      <c r="Q64" s="64">
        <v>9.65</v>
      </c>
      <c r="R64" s="198"/>
      <c r="S64" s="198"/>
      <c r="T64" s="198"/>
      <c r="U64" s="198"/>
    </row>
    <row r="65" spans="1:21" s="12" customFormat="1" x14ac:dyDescent="0.25">
      <c r="A65" s="214" t="s">
        <v>877</v>
      </c>
      <c r="B65" s="64">
        <v>7.96</v>
      </c>
      <c r="C65" s="64">
        <v>2.99</v>
      </c>
      <c r="D65" s="64">
        <v>11.72</v>
      </c>
      <c r="E65" s="64">
        <v>4.96</v>
      </c>
      <c r="F65" s="64">
        <v>4.4400000000000004</v>
      </c>
      <c r="G65" s="64">
        <v>43.43</v>
      </c>
      <c r="H65" s="64">
        <v>21.19</v>
      </c>
      <c r="I65" s="64">
        <v>3.75</v>
      </c>
      <c r="J65" s="64">
        <v>0.17</v>
      </c>
      <c r="K65" s="64">
        <v>353</v>
      </c>
      <c r="L65" s="64">
        <v>28.14</v>
      </c>
      <c r="M65" s="64">
        <v>100.97</v>
      </c>
      <c r="N65" s="64">
        <v>220.8</v>
      </c>
      <c r="O65" s="64">
        <v>0</v>
      </c>
      <c r="P65" s="64">
        <v>0.48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4" t="s">
        <v>878</v>
      </c>
      <c r="B66" s="64">
        <v>7.94</v>
      </c>
      <c r="C66" s="64">
        <v>2.99</v>
      </c>
      <c r="D66" s="64">
        <v>11.7</v>
      </c>
      <c r="E66" s="64">
        <v>5.15</v>
      </c>
      <c r="F66" s="64">
        <v>4.5599999999999996</v>
      </c>
      <c r="G66" s="64">
        <v>43.43</v>
      </c>
      <c r="H66" s="64">
        <v>21.19</v>
      </c>
      <c r="I66" s="64">
        <v>3.71</v>
      </c>
      <c r="J66" s="64">
        <v>0.17</v>
      </c>
      <c r="K66" s="64">
        <v>342.36</v>
      </c>
      <c r="L66" s="64">
        <v>28.6</v>
      </c>
      <c r="M66" s="64">
        <v>99.36</v>
      </c>
      <c r="N66" s="64">
        <v>299.2</v>
      </c>
      <c r="O66" s="64">
        <v>0</v>
      </c>
      <c r="P66" s="64">
        <v>0.49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4" t="s">
        <v>879</v>
      </c>
      <c r="B67" s="64">
        <v>7.93</v>
      </c>
      <c r="C67" s="64">
        <v>2.93</v>
      </c>
      <c r="D67" s="64">
        <v>11.66</v>
      </c>
      <c r="E67" s="64">
        <v>5.2</v>
      </c>
      <c r="F67" s="64">
        <v>4.9800000000000004</v>
      </c>
      <c r="G67" s="64">
        <v>43.43</v>
      </c>
      <c r="H67" s="64">
        <v>21.19</v>
      </c>
      <c r="I67" s="64">
        <v>3.63</v>
      </c>
      <c r="J67" s="64">
        <v>0.19</v>
      </c>
      <c r="K67" s="64">
        <v>332.57</v>
      </c>
      <c r="L67" s="64">
        <v>29.56</v>
      </c>
      <c r="M67" s="64">
        <v>96.07</v>
      </c>
      <c r="N67" s="64">
        <v>303.5</v>
      </c>
      <c r="O67" s="64">
        <v>0</v>
      </c>
      <c r="P67" s="64">
        <v>0.49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4" t="s">
        <v>880</v>
      </c>
      <c r="B68" s="64">
        <v>7.94</v>
      </c>
      <c r="C68" s="64">
        <v>2.96</v>
      </c>
      <c r="D68" s="64">
        <v>11.69</v>
      </c>
      <c r="E68" s="64">
        <v>5.38</v>
      </c>
      <c r="F68" s="64">
        <v>3.86</v>
      </c>
      <c r="G68" s="64">
        <v>42.43</v>
      </c>
      <c r="H68" s="64">
        <v>23.75</v>
      </c>
      <c r="I68" s="64">
        <v>3.48</v>
      </c>
      <c r="J68" s="64">
        <v>0.18</v>
      </c>
      <c r="K68" s="64">
        <v>316.62</v>
      </c>
      <c r="L68" s="64">
        <v>30.59</v>
      </c>
      <c r="M68" s="64">
        <v>90.02</v>
      </c>
      <c r="N68" s="64">
        <v>276.2</v>
      </c>
      <c r="O68" s="64">
        <v>0</v>
      </c>
      <c r="P68" s="64">
        <v>0.49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4" t="s">
        <v>881</v>
      </c>
      <c r="B69" s="64">
        <v>7.92</v>
      </c>
      <c r="C69" s="64">
        <v>2.95</v>
      </c>
      <c r="D69" s="64">
        <v>11.67</v>
      </c>
      <c r="E69" s="64">
        <v>5.34</v>
      </c>
      <c r="F69" s="64">
        <v>4.13</v>
      </c>
      <c r="G69" s="64">
        <v>40.61</v>
      </c>
      <c r="H69" s="64">
        <v>26.55</v>
      </c>
      <c r="I69" s="64">
        <v>3.29</v>
      </c>
      <c r="J69" s="64">
        <v>0.18</v>
      </c>
      <c r="K69" s="64">
        <v>317.88</v>
      </c>
      <c r="L69" s="64">
        <v>30.83</v>
      </c>
      <c r="M69" s="64">
        <v>87.04</v>
      </c>
      <c r="N69" s="64">
        <v>225.4</v>
      </c>
      <c r="O69" s="64">
        <v>0</v>
      </c>
      <c r="P69" s="64">
        <v>0.49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4" t="s">
        <v>882</v>
      </c>
      <c r="B70" s="64">
        <v>7.93</v>
      </c>
      <c r="C70" s="64">
        <v>2.94</v>
      </c>
      <c r="D70" s="64">
        <v>11.67</v>
      </c>
      <c r="E70" s="64">
        <v>5.08</v>
      </c>
      <c r="F70" s="64">
        <v>5.01</v>
      </c>
      <c r="G70" s="64">
        <v>40.61</v>
      </c>
      <c r="H70" s="64">
        <v>26.55</v>
      </c>
      <c r="I70" s="64">
        <v>3.06</v>
      </c>
      <c r="J70" s="64">
        <v>0.24</v>
      </c>
      <c r="K70" s="64">
        <v>331.36</v>
      </c>
      <c r="L70" s="64">
        <v>30.08</v>
      </c>
      <c r="M70" s="64">
        <v>91.05</v>
      </c>
      <c r="N70" s="64">
        <v>188.6</v>
      </c>
      <c r="O70" s="64">
        <v>0</v>
      </c>
      <c r="P70" s="64">
        <v>0.5</v>
      </c>
      <c r="Q70" s="64">
        <v>9.58</v>
      </c>
      <c r="R70" s="198"/>
      <c r="S70" s="198"/>
      <c r="T70" s="198"/>
      <c r="U70" s="198"/>
    </row>
    <row r="71" spans="1:21" s="12" customFormat="1" x14ac:dyDescent="0.25">
      <c r="A71" s="214" t="s">
        <v>883</v>
      </c>
      <c r="B71" s="64">
        <v>7.92</v>
      </c>
      <c r="C71" s="64">
        <v>2.97</v>
      </c>
      <c r="D71" s="64">
        <v>11.68</v>
      </c>
      <c r="E71" s="64">
        <v>5</v>
      </c>
      <c r="F71" s="64">
        <v>3.16</v>
      </c>
      <c r="G71" s="64">
        <v>40.61</v>
      </c>
      <c r="H71" s="64">
        <v>26.55</v>
      </c>
      <c r="I71" s="64">
        <v>2.99</v>
      </c>
      <c r="J71" s="64">
        <v>0.45</v>
      </c>
      <c r="K71" s="64">
        <v>328.78</v>
      </c>
      <c r="L71" s="64">
        <v>30.17</v>
      </c>
      <c r="M71" s="64">
        <v>91.93</v>
      </c>
      <c r="N71" s="64">
        <v>192.8</v>
      </c>
      <c r="O71" s="64">
        <v>0</v>
      </c>
      <c r="P71" s="64">
        <v>0.5</v>
      </c>
      <c r="Q71" s="64">
        <v>9.57</v>
      </c>
      <c r="R71" s="198"/>
      <c r="S71" s="198"/>
      <c r="T71" s="198"/>
      <c r="U71" s="198"/>
    </row>
    <row r="72" spans="1:21" s="12" customFormat="1" x14ac:dyDescent="0.25">
      <c r="A72" s="214" t="s">
        <v>884</v>
      </c>
      <c r="B72" s="64">
        <v>7.95</v>
      </c>
      <c r="C72" s="64">
        <v>3.01</v>
      </c>
      <c r="D72" s="64">
        <v>11.72</v>
      </c>
      <c r="E72" s="64">
        <v>4.46</v>
      </c>
      <c r="F72" s="64">
        <v>4.79</v>
      </c>
      <c r="G72" s="64">
        <v>41.74</v>
      </c>
      <c r="H72" s="64">
        <v>22.82</v>
      </c>
      <c r="I72" s="64">
        <v>2.84</v>
      </c>
      <c r="J72" s="64">
        <v>0.27</v>
      </c>
      <c r="K72" s="64">
        <v>310.8</v>
      </c>
      <c r="L72" s="64">
        <v>30.53</v>
      </c>
      <c r="M72" s="64">
        <v>90.93</v>
      </c>
      <c r="N72" s="64">
        <v>211</v>
      </c>
      <c r="O72" s="64">
        <v>0</v>
      </c>
      <c r="P72" s="64">
        <v>0.52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4" t="s">
        <v>885</v>
      </c>
      <c r="B73" s="64">
        <v>7.95</v>
      </c>
      <c r="C73" s="64">
        <v>2.99</v>
      </c>
      <c r="D73" s="64">
        <v>11.71</v>
      </c>
      <c r="E73" s="64">
        <v>3.75</v>
      </c>
      <c r="F73" s="64">
        <v>3.27</v>
      </c>
      <c r="G73" s="64">
        <v>43.77</v>
      </c>
      <c r="H73" s="64">
        <v>18.62</v>
      </c>
      <c r="I73" s="64">
        <v>2.74</v>
      </c>
      <c r="J73" s="64">
        <v>0.2</v>
      </c>
      <c r="K73" s="64">
        <v>312.98</v>
      </c>
      <c r="L73" s="64">
        <v>30.7</v>
      </c>
      <c r="M73" s="64">
        <v>89.86</v>
      </c>
      <c r="N73" s="64">
        <v>230.8</v>
      </c>
      <c r="O73" s="64">
        <v>0</v>
      </c>
      <c r="P73" s="64">
        <v>0.52</v>
      </c>
      <c r="Q73" s="64">
        <v>9.57</v>
      </c>
      <c r="R73" s="198"/>
      <c r="S73" s="198"/>
      <c r="T73" s="198"/>
      <c r="U73" s="198"/>
    </row>
    <row r="74" spans="1:21" s="12" customFormat="1" x14ac:dyDescent="0.25">
      <c r="A74" s="214" t="s">
        <v>886</v>
      </c>
      <c r="B74" s="64">
        <v>7.95</v>
      </c>
      <c r="C74" s="64">
        <v>2.96</v>
      </c>
      <c r="D74" s="64">
        <v>11.7</v>
      </c>
      <c r="E74" s="64">
        <v>4.12</v>
      </c>
      <c r="F74" s="64">
        <v>3.73</v>
      </c>
      <c r="G74" s="64">
        <v>43.77</v>
      </c>
      <c r="H74" s="64">
        <v>18.62</v>
      </c>
      <c r="I74" s="64">
        <v>2.75</v>
      </c>
      <c r="J74" s="64">
        <v>0.2</v>
      </c>
      <c r="K74" s="64">
        <v>329.71</v>
      </c>
      <c r="L74" s="64">
        <v>30.87</v>
      </c>
      <c r="M74" s="64">
        <v>87.42</v>
      </c>
      <c r="N74" s="64">
        <v>229.1</v>
      </c>
      <c r="O74" s="64">
        <v>0</v>
      </c>
      <c r="P74" s="64">
        <v>0.52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14" t="s">
        <v>887</v>
      </c>
      <c r="B75" s="64">
        <v>7.96</v>
      </c>
      <c r="C75" s="64">
        <v>3.03</v>
      </c>
      <c r="D75" s="64">
        <v>11.74</v>
      </c>
      <c r="E75" s="64">
        <v>3.94</v>
      </c>
      <c r="F75" s="64">
        <v>3.73</v>
      </c>
      <c r="G75" s="64">
        <v>43.77</v>
      </c>
      <c r="H75" s="64">
        <v>18.62</v>
      </c>
      <c r="I75" s="64">
        <v>2.65</v>
      </c>
      <c r="J75" s="64">
        <v>0.34</v>
      </c>
      <c r="K75" s="64">
        <v>340.88</v>
      </c>
      <c r="L75" s="64">
        <v>31.19</v>
      </c>
      <c r="M75" s="64">
        <v>84.85</v>
      </c>
      <c r="N75" s="64">
        <v>171.7</v>
      </c>
      <c r="O75" s="64">
        <v>0</v>
      </c>
      <c r="P75" s="64">
        <v>0.56000000000000005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4" t="s">
        <v>888</v>
      </c>
      <c r="B76" s="64">
        <v>7.97</v>
      </c>
      <c r="C76" s="64">
        <v>3</v>
      </c>
      <c r="D76" s="64">
        <v>11.73</v>
      </c>
      <c r="E76" s="64">
        <v>3.67</v>
      </c>
      <c r="F76" s="64">
        <v>3.61</v>
      </c>
      <c r="G76" s="64">
        <v>45.25</v>
      </c>
      <c r="H76" s="64">
        <v>20.93</v>
      </c>
      <c r="I76" s="64">
        <v>2.68</v>
      </c>
      <c r="J76" s="64">
        <v>0.28000000000000003</v>
      </c>
      <c r="K76" s="64">
        <v>149.12</v>
      </c>
      <c r="L76" s="64">
        <v>30.66</v>
      </c>
      <c r="M76" s="64">
        <v>82.55</v>
      </c>
      <c r="N76" s="64">
        <v>113.2</v>
      </c>
      <c r="O76" s="64">
        <v>0</v>
      </c>
      <c r="P76" s="64">
        <v>0.57999999999999996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4" t="s">
        <v>889</v>
      </c>
      <c r="B77" s="64">
        <v>7.95</v>
      </c>
      <c r="C77" s="64">
        <v>2.98</v>
      </c>
      <c r="D77" s="64">
        <v>11.7</v>
      </c>
      <c r="E77" s="64">
        <v>3.88</v>
      </c>
      <c r="F77" s="64">
        <v>3.93</v>
      </c>
      <c r="G77" s="64">
        <v>47.93</v>
      </c>
      <c r="H77" s="64">
        <v>29.05</v>
      </c>
      <c r="I77" s="64">
        <v>3.09</v>
      </c>
      <c r="J77" s="64">
        <v>0.14000000000000001</v>
      </c>
      <c r="K77" s="64">
        <v>156.68</v>
      </c>
      <c r="L77" s="64">
        <v>29.96</v>
      </c>
      <c r="M77" s="64">
        <v>85.92</v>
      </c>
      <c r="N77" s="64">
        <v>87.6</v>
      </c>
      <c r="O77" s="64">
        <v>0</v>
      </c>
      <c r="P77" s="64">
        <v>0.61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890</v>
      </c>
      <c r="B78" s="64">
        <v>7.96</v>
      </c>
      <c r="C78" s="64">
        <v>2.96</v>
      </c>
      <c r="D78" s="64">
        <v>11.7</v>
      </c>
      <c r="E78" s="64">
        <v>4.0599999999999996</v>
      </c>
      <c r="F78" s="64">
        <v>3.72</v>
      </c>
      <c r="G78" s="64">
        <v>47.93</v>
      </c>
      <c r="H78" s="64">
        <v>29.05</v>
      </c>
      <c r="I78" s="64">
        <v>3.71</v>
      </c>
      <c r="J78" s="64">
        <v>0.05</v>
      </c>
      <c r="K78" s="64">
        <v>300.77</v>
      </c>
      <c r="L78" s="64">
        <v>29.47</v>
      </c>
      <c r="M78" s="64">
        <v>93.24</v>
      </c>
      <c r="N78" s="64">
        <v>69.3</v>
      </c>
      <c r="O78" s="64">
        <v>0</v>
      </c>
      <c r="P78" s="64">
        <v>0.63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891</v>
      </c>
      <c r="B79" s="64">
        <v>7.98</v>
      </c>
      <c r="C79" s="64">
        <v>2.99</v>
      </c>
      <c r="D79" s="64">
        <v>11.74</v>
      </c>
      <c r="E79" s="64">
        <v>4.1399999999999997</v>
      </c>
      <c r="F79" s="64">
        <v>3.59</v>
      </c>
      <c r="G79" s="64">
        <v>47.93</v>
      </c>
      <c r="H79" s="64">
        <v>29.05</v>
      </c>
      <c r="I79" s="64">
        <v>4.29</v>
      </c>
      <c r="J79" s="64">
        <v>0.21</v>
      </c>
      <c r="K79" s="64">
        <v>127.05</v>
      </c>
      <c r="L79" s="64">
        <v>29.27</v>
      </c>
      <c r="M79" s="64">
        <v>97.53</v>
      </c>
      <c r="N79" s="64">
        <v>57.3</v>
      </c>
      <c r="O79" s="64">
        <v>0</v>
      </c>
      <c r="P79" s="64">
        <v>0.67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4" t="s">
        <v>892</v>
      </c>
      <c r="B80" s="64">
        <v>7.97</v>
      </c>
      <c r="C80" s="64">
        <v>2.97</v>
      </c>
      <c r="D80" s="64">
        <v>11.71</v>
      </c>
      <c r="E80" s="64">
        <v>3.83</v>
      </c>
      <c r="F80" s="64">
        <v>3.97</v>
      </c>
      <c r="G80" s="64">
        <v>52.1</v>
      </c>
      <c r="H80" s="64">
        <v>36.15</v>
      </c>
      <c r="I80" s="64">
        <v>4.79</v>
      </c>
      <c r="J80" s="64">
        <v>0.3</v>
      </c>
      <c r="K80" s="64">
        <v>141.94999999999999</v>
      </c>
      <c r="L80" s="64">
        <v>29.17</v>
      </c>
      <c r="M80" s="64">
        <v>94.93</v>
      </c>
      <c r="N80" s="64">
        <v>51.5</v>
      </c>
      <c r="O80" s="64">
        <v>0</v>
      </c>
      <c r="P80" s="64">
        <v>0.72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4" t="s">
        <v>893</v>
      </c>
      <c r="B81" s="64">
        <v>7.96</v>
      </c>
      <c r="C81" s="64">
        <v>2.94</v>
      </c>
      <c r="D81" s="64">
        <v>11.69</v>
      </c>
      <c r="E81" s="64">
        <v>3.98</v>
      </c>
      <c r="F81" s="64">
        <v>4.5599999999999996</v>
      </c>
      <c r="G81" s="64">
        <v>59.67</v>
      </c>
      <c r="H81" s="64">
        <v>44.18</v>
      </c>
      <c r="I81" s="64">
        <v>5.32</v>
      </c>
      <c r="J81" s="64">
        <v>0.08</v>
      </c>
      <c r="K81" s="64">
        <v>17.64</v>
      </c>
      <c r="L81" s="64">
        <v>29.01</v>
      </c>
      <c r="M81" s="64">
        <v>95.58</v>
      </c>
      <c r="N81" s="64">
        <v>45.6</v>
      </c>
      <c r="O81" s="64">
        <v>0</v>
      </c>
      <c r="P81" s="64">
        <v>0.74</v>
      </c>
      <c r="Q81" s="64">
        <v>9.66</v>
      </c>
      <c r="R81" s="198"/>
      <c r="S81" s="198"/>
      <c r="T81" s="198"/>
      <c r="U81" s="198"/>
    </row>
    <row r="82" spans="1:26" s="12" customFormat="1" x14ac:dyDescent="0.25">
      <c r="A82" s="214" t="s">
        <v>894</v>
      </c>
      <c r="B82" s="64">
        <v>7.94</v>
      </c>
      <c r="C82" s="64">
        <v>2.95</v>
      </c>
      <c r="D82" s="64">
        <v>11.68</v>
      </c>
      <c r="E82" s="64">
        <v>4</v>
      </c>
      <c r="F82" s="64">
        <v>3.9</v>
      </c>
      <c r="G82" s="64">
        <v>59.67</v>
      </c>
      <c r="H82" s="64">
        <v>44.18</v>
      </c>
      <c r="I82" s="64">
        <v>5.84</v>
      </c>
      <c r="J82" s="64">
        <v>0.09</v>
      </c>
      <c r="K82" s="64">
        <v>112.56</v>
      </c>
      <c r="L82" s="64">
        <v>28.82</v>
      </c>
      <c r="M82" s="64">
        <v>95.13</v>
      </c>
      <c r="N82" s="64">
        <v>44</v>
      </c>
      <c r="O82" s="64">
        <v>0</v>
      </c>
      <c r="P82" s="64">
        <v>0.75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895</v>
      </c>
      <c r="B83" s="64">
        <v>7.94</v>
      </c>
      <c r="C83" s="64">
        <v>2.94</v>
      </c>
      <c r="D83" s="64">
        <v>11.68</v>
      </c>
      <c r="E83" s="64">
        <v>4.29</v>
      </c>
      <c r="F83" s="64">
        <v>3.22</v>
      </c>
      <c r="G83" s="64">
        <v>59.67</v>
      </c>
      <c r="H83" s="64">
        <v>44.18</v>
      </c>
      <c r="I83" s="64">
        <v>5.96</v>
      </c>
      <c r="J83" s="64">
        <v>0.08</v>
      </c>
      <c r="K83" s="64">
        <v>131.94999999999999</v>
      </c>
      <c r="L83" s="64">
        <v>28.68</v>
      </c>
      <c r="M83" s="64">
        <v>96.92</v>
      </c>
      <c r="N83" s="64">
        <v>44</v>
      </c>
      <c r="O83" s="64">
        <v>0</v>
      </c>
      <c r="P83" s="64">
        <v>0.75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4" t="s">
        <v>896</v>
      </c>
      <c r="B84" s="64">
        <v>7.93</v>
      </c>
      <c r="C84" s="64">
        <v>2.93</v>
      </c>
      <c r="D84" s="64">
        <v>11.66</v>
      </c>
      <c r="E84" s="64">
        <v>4.2300000000000004</v>
      </c>
      <c r="F84" s="64">
        <v>4.32</v>
      </c>
      <c r="G84" s="64">
        <v>59.98</v>
      </c>
      <c r="H84" s="64">
        <v>38.450000000000003</v>
      </c>
      <c r="I84" s="64">
        <v>6.07</v>
      </c>
      <c r="J84" s="64">
        <v>0.02</v>
      </c>
      <c r="K84" s="64">
        <v>137.56</v>
      </c>
      <c r="L84" s="64">
        <v>28.66</v>
      </c>
      <c r="M84" s="64">
        <v>97</v>
      </c>
      <c r="N84" s="64">
        <v>43.8</v>
      </c>
      <c r="O84" s="64">
        <v>0</v>
      </c>
      <c r="P84" s="64">
        <v>0.76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4" t="s">
        <v>897</v>
      </c>
      <c r="B85" s="64">
        <v>7.92</v>
      </c>
      <c r="C85" s="64">
        <v>2.92</v>
      </c>
      <c r="D85" s="64">
        <v>11.65</v>
      </c>
      <c r="E85" s="64">
        <v>4.0999999999999996</v>
      </c>
      <c r="F85" s="64">
        <v>3.3</v>
      </c>
      <c r="G85" s="64">
        <v>60.55</v>
      </c>
      <c r="H85" s="64">
        <v>32.18</v>
      </c>
      <c r="I85" s="64">
        <v>5.99</v>
      </c>
      <c r="J85" s="64">
        <v>0.09</v>
      </c>
      <c r="K85" s="64">
        <v>86.37</v>
      </c>
      <c r="L85" s="64">
        <v>28.57</v>
      </c>
      <c r="M85" s="64">
        <v>99.45</v>
      </c>
      <c r="N85" s="64">
        <v>43.8</v>
      </c>
      <c r="O85" s="64">
        <v>0</v>
      </c>
      <c r="P85" s="64">
        <v>0.64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4" t="s">
        <v>898</v>
      </c>
      <c r="B86" s="64">
        <v>7.91</v>
      </c>
      <c r="C86" s="64">
        <v>2.9</v>
      </c>
      <c r="D86" s="64">
        <v>11.63</v>
      </c>
      <c r="E86" s="64">
        <v>4.17</v>
      </c>
      <c r="F86" s="64">
        <v>3.69</v>
      </c>
      <c r="G86" s="64">
        <v>60.55</v>
      </c>
      <c r="H86" s="64">
        <v>32.18</v>
      </c>
      <c r="I86" s="64">
        <v>5.94</v>
      </c>
      <c r="J86" s="64">
        <v>0.04</v>
      </c>
      <c r="K86" s="64">
        <v>330</v>
      </c>
      <c r="L86" s="64">
        <v>28.45</v>
      </c>
      <c r="M86" s="64">
        <v>99.83</v>
      </c>
      <c r="N86" s="64">
        <v>43.8</v>
      </c>
      <c r="O86" s="64">
        <v>0</v>
      </c>
      <c r="P86" s="64">
        <v>0.72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4" t="s">
        <v>899</v>
      </c>
      <c r="B87" s="64">
        <v>7.92</v>
      </c>
      <c r="C87" s="64">
        <v>2.98</v>
      </c>
      <c r="D87" s="64">
        <v>11.69</v>
      </c>
      <c r="E87" s="64">
        <v>4.25</v>
      </c>
      <c r="F87" s="64">
        <v>3.91</v>
      </c>
      <c r="G87" s="64">
        <v>60.55</v>
      </c>
      <c r="H87" s="64">
        <v>32.18</v>
      </c>
      <c r="I87" s="64">
        <v>5.98</v>
      </c>
      <c r="J87" s="64">
        <v>0.08</v>
      </c>
      <c r="K87" s="64">
        <v>172.3</v>
      </c>
      <c r="L87" s="64">
        <v>28.4</v>
      </c>
      <c r="M87" s="64">
        <v>96.79</v>
      </c>
      <c r="N87" s="64">
        <v>43.8</v>
      </c>
      <c r="O87" s="64">
        <v>0</v>
      </c>
      <c r="P87" s="64">
        <v>0.78</v>
      </c>
      <c r="Q87" s="64">
        <v>9.57</v>
      </c>
      <c r="R87" s="198"/>
      <c r="S87" s="198"/>
      <c r="T87" s="198"/>
      <c r="U87" s="198"/>
    </row>
    <row r="88" spans="1:26" s="12" customFormat="1" x14ac:dyDescent="0.25">
      <c r="A88" s="214" t="s">
        <v>900</v>
      </c>
      <c r="B88" s="64">
        <v>7.96</v>
      </c>
      <c r="C88" s="64">
        <v>3.09</v>
      </c>
      <c r="D88" s="64">
        <v>11.77</v>
      </c>
      <c r="E88" s="64">
        <v>4.92</v>
      </c>
      <c r="F88" s="64">
        <v>3.55</v>
      </c>
      <c r="G88" s="64">
        <v>61.51</v>
      </c>
      <c r="H88" s="64">
        <v>31.36</v>
      </c>
      <c r="I88" s="64">
        <v>6.06</v>
      </c>
      <c r="J88" s="64">
        <v>0.05</v>
      </c>
      <c r="K88" s="64">
        <v>260.64999999999998</v>
      </c>
      <c r="L88" s="64">
        <v>28.32</v>
      </c>
      <c r="M88" s="64">
        <v>94.46</v>
      </c>
      <c r="N88" s="64">
        <v>43.7</v>
      </c>
      <c r="O88" s="64">
        <v>0</v>
      </c>
      <c r="P88" s="64">
        <v>0.81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4" t="s">
        <v>901</v>
      </c>
      <c r="B89" s="64">
        <v>7.96</v>
      </c>
      <c r="C89" s="64">
        <v>3.02</v>
      </c>
      <c r="D89" s="64">
        <v>11.74</v>
      </c>
      <c r="E89" s="64">
        <v>5.14</v>
      </c>
      <c r="F89" s="64">
        <v>3.64</v>
      </c>
      <c r="G89" s="64">
        <v>63.25</v>
      </c>
      <c r="H89" s="64">
        <v>30.43</v>
      </c>
      <c r="I89" s="64">
        <v>6.24</v>
      </c>
      <c r="J89" s="64">
        <v>0.04</v>
      </c>
      <c r="K89" s="64">
        <v>256.33</v>
      </c>
      <c r="L89" s="64">
        <v>28.41</v>
      </c>
      <c r="M89" s="64">
        <v>95.69</v>
      </c>
      <c r="N89" s="64">
        <v>43.7</v>
      </c>
      <c r="O89" s="64">
        <v>0</v>
      </c>
      <c r="P89" s="64">
        <v>0.85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4" t="s">
        <v>902</v>
      </c>
      <c r="B90" s="64">
        <v>7.95</v>
      </c>
      <c r="C90" s="64">
        <v>2.97</v>
      </c>
      <c r="D90" s="64">
        <v>11.7</v>
      </c>
      <c r="E90" s="64">
        <v>4.79</v>
      </c>
      <c r="F90" s="64">
        <v>3.43</v>
      </c>
      <c r="G90" s="64">
        <v>63.25</v>
      </c>
      <c r="H90" s="64">
        <v>30.43</v>
      </c>
      <c r="I90" s="64">
        <v>6.3</v>
      </c>
      <c r="J90" s="64">
        <v>0.1</v>
      </c>
      <c r="K90" s="64">
        <v>210.13</v>
      </c>
      <c r="L90" s="64">
        <v>28.4</v>
      </c>
      <c r="M90" s="64">
        <v>98.44</v>
      </c>
      <c r="N90" s="64">
        <v>43.7</v>
      </c>
      <c r="O90" s="64">
        <v>0</v>
      </c>
      <c r="P90" s="64">
        <v>0.87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4" t="s">
        <v>903</v>
      </c>
      <c r="B91" s="64">
        <v>7.98</v>
      </c>
      <c r="C91" s="64">
        <v>2.99</v>
      </c>
      <c r="D91" s="64">
        <v>11.73</v>
      </c>
      <c r="E91" s="64">
        <v>4.7</v>
      </c>
      <c r="F91" s="64">
        <v>3.66</v>
      </c>
      <c r="G91" s="64">
        <v>63.25</v>
      </c>
      <c r="H91" s="64">
        <v>30.43</v>
      </c>
      <c r="I91" s="64">
        <v>6.43</v>
      </c>
      <c r="J91" s="64">
        <v>0.3</v>
      </c>
      <c r="K91" s="64">
        <v>340.5</v>
      </c>
      <c r="L91" s="64">
        <v>28.01</v>
      </c>
      <c r="M91" s="64">
        <v>101.42</v>
      </c>
      <c r="N91" s="64">
        <v>44</v>
      </c>
      <c r="O91" s="64">
        <v>0.6</v>
      </c>
      <c r="P91" s="64">
        <v>0.92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4" t="s">
        <v>904</v>
      </c>
      <c r="B92" s="64">
        <v>7.98</v>
      </c>
      <c r="C92" s="64">
        <v>3</v>
      </c>
      <c r="D92" s="64">
        <v>11.74</v>
      </c>
      <c r="E92" s="64">
        <v>4.97</v>
      </c>
      <c r="F92" s="64">
        <v>3.52</v>
      </c>
      <c r="G92" s="64">
        <v>67.569999999999993</v>
      </c>
      <c r="H92" s="64">
        <v>31.69</v>
      </c>
      <c r="I92" s="64">
        <v>6.59</v>
      </c>
      <c r="J92" s="64">
        <v>0.17</v>
      </c>
      <c r="K92" s="64">
        <v>352.11</v>
      </c>
      <c r="L92" s="64">
        <v>27.47</v>
      </c>
      <c r="M92" s="64">
        <v>101.62</v>
      </c>
      <c r="N92" s="64">
        <v>44</v>
      </c>
      <c r="O92" s="64">
        <v>0.2</v>
      </c>
      <c r="P92" s="64">
        <v>0.98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4" t="s">
        <v>905</v>
      </c>
      <c r="B93" s="64">
        <v>8</v>
      </c>
      <c r="C93" s="64">
        <v>2.96</v>
      </c>
      <c r="D93" s="64">
        <v>11.73</v>
      </c>
      <c r="E93" s="64">
        <v>4.72</v>
      </c>
      <c r="F93" s="64">
        <v>3.54</v>
      </c>
      <c r="G93" s="64">
        <v>75.39</v>
      </c>
      <c r="H93" s="64">
        <v>35.68</v>
      </c>
      <c r="I93" s="64">
        <v>6.92</v>
      </c>
      <c r="J93" s="64">
        <v>0.14000000000000001</v>
      </c>
      <c r="K93" s="64">
        <v>125.26</v>
      </c>
      <c r="L93" s="64">
        <v>27.12</v>
      </c>
      <c r="M93" s="64">
        <v>101.66</v>
      </c>
      <c r="N93" s="64">
        <v>43.8</v>
      </c>
      <c r="O93" s="64">
        <v>0</v>
      </c>
      <c r="P93" s="64">
        <v>1.03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4" t="s">
        <v>906</v>
      </c>
      <c r="B94" s="64">
        <v>8.0299999999999994</v>
      </c>
      <c r="C94" s="64">
        <v>3.03</v>
      </c>
      <c r="D94" s="64">
        <v>11.79</v>
      </c>
      <c r="E94" s="64">
        <v>5.29</v>
      </c>
      <c r="F94" s="64">
        <v>2.96</v>
      </c>
      <c r="G94" s="64">
        <v>75.39</v>
      </c>
      <c r="H94" s="64">
        <v>35.68</v>
      </c>
      <c r="I94" s="64">
        <v>7.29</v>
      </c>
      <c r="J94" s="64">
        <v>0.08</v>
      </c>
      <c r="K94" s="64">
        <v>302.3</v>
      </c>
      <c r="L94" s="64">
        <v>26.97</v>
      </c>
      <c r="M94" s="64">
        <v>101.68</v>
      </c>
      <c r="N94" s="64">
        <v>43.7</v>
      </c>
      <c r="O94" s="64">
        <v>0.2</v>
      </c>
      <c r="P94" s="64">
        <v>1.08</v>
      </c>
      <c r="Q94" s="64">
        <v>9.76</v>
      </c>
      <c r="R94" s="198"/>
      <c r="S94" s="198"/>
      <c r="T94" s="198"/>
      <c r="U94" s="198"/>
    </row>
    <row r="95" spans="1:26" s="12" customFormat="1" x14ac:dyDescent="0.25">
      <c r="A95" s="214" t="s">
        <v>907</v>
      </c>
      <c r="B95" s="64">
        <v>8.01</v>
      </c>
      <c r="C95" s="64">
        <v>3</v>
      </c>
      <c r="D95" s="64">
        <v>11.77</v>
      </c>
      <c r="E95" s="64">
        <v>4.8499999999999996</v>
      </c>
      <c r="F95" s="64">
        <v>3.34</v>
      </c>
      <c r="G95" s="64">
        <v>75.39</v>
      </c>
      <c r="H95" s="64">
        <v>35.68</v>
      </c>
      <c r="I95" s="64">
        <v>7.61</v>
      </c>
      <c r="J95" s="64">
        <v>0.1</v>
      </c>
      <c r="K95" s="64">
        <v>163.13999999999999</v>
      </c>
      <c r="L95" s="64">
        <v>26.78</v>
      </c>
      <c r="M95" s="64">
        <v>101.68</v>
      </c>
      <c r="N95" s="64">
        <v>43.8</v>
      </c>
      <c r="O95" s="64">
        <v>0</v>
      </c>
      <c r="P95" s="64">
        <v>1.1499999999999999</v>
      </c>
      <c r="Q95" s="64">
        <v>9.7799999999999994</v>
      </c>
      <c r="R95" s="198"/>
      <c r="S95" s="198"/>
      <c r="T95" s="198"/>
      <c r="U95" s="198"/>
    </row>
    <row r="96" spans="1:26" s="12" customFormat="1" x14ac:dyDescent="0.25">
      <c r="A96" s="214" t="s">
        <v>908</v>
      </c>
      <c r="B96" s="64">
        <v>8</v>
      </c>
      <c r="C96" s="64">
        <v>2.97</v>
      </c>
      <c r="D96" s="64">
        <v>11.74</v>
      </c>
      <c r="E96" s="64">
        <v>5.33</v>
      </c>
      <c r="F96" s="64">
        <v>3.63</v>
      </c>
      <c r="G96" s="64">
        <v>75.28</v>
      </c>
      <c r="H96" s="64">
        <v>36.64</v>
      </c>
      <c r="I96" s="64">
        <v>7.97</v>
      </c>
      <c r="J96" s="64">
        <v>7.0000000000000007E-2</v>
      </c>
      <c r="K96" s="64">
        <v>238.54</v>
      </c>
      <c r="L96" s="64">
        <v>26.58</v>
      </c>
      <c r="M96" s="64">
        <v>101.68</v>
      </c>
      <c r="N96" s="64">
        <v>43.7</v>
      </c>
      <c r="O96" s="64">
        <v>0</v>
      </c>
      <c r="P96" s="64">
        <v>1.19</v>
      </c>
      <c r="Q96" s="64">
        <v>9.86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909</v>
      </c>
      <c r="B97" s="64">
        <v>8</v>
      </c>
      <c r="C97" s="64">
        <v>3</v>
      </c>
      <c r="D97" s="64">
        <v>11.76</v>
      </c>
      <c r="E97" s="64">
        <v>4.9000000000000004</v>
      </c>
      <c r="F97" s="64">
        <v>3.5</v>
      </c>
      <c r="G97" s="64">
        <v>75.069999999999993</v>
      </c>
      <c r="H97" s="64">
        <v>37.72</v>
      </c>
      <c r="I97" s="64">
        <v>8.31</v>
      </c>
      <c r="J97" s="64">
        <v>0.1</v>
      </c>
      <c r="K97" s="64">
        <v>89.22</v>
      </c>
      <c r="L97" s="64">
        <v>26.56</v>
      </c>
      <c r="M97" s="64">
        <v>101.68</v>
      </c>
      <c r="N97" s="64">
        <v>43.7</v>
      </c>
      <c r="O97" s="64">
        <v>0</v>
      </c>
      <c r="P97" s="64">
        <v>1.24</v>
      </c>
      <c r="Q97" s="64">
        <v>9.94</v>
      </c>
      <c r="R97" s="198"/>
      <c r="S97" s="198"/>
      <c r="T97" s="198"/>
      <c r="U97" s="198"/>
    </row>
    <row r="98" spans="1:33" s="12" customFormat="1" x14ac:dyDescent="0.25">
      <c r="A98" s="214" t="s">
        <v>910</v>
      </c>
      <c r="B98" s="64">
        <v>8.01</v>
      </c>
      <c r="C98" s="64">
        <v>3.02</v>
      </c>
      <c r="D98" s="64">
        <v>11.77</v>
      </c>
      <c r="E98" s="64">
        <v>5.38</v>
      </c>
      <c r="F98" s="64">
        <v>3.44</v>
      </c>
      <c r="G98" s="64">
        <v>75.069999999999993</v>
      </c>
      <c r="H98" s="64">
        <v>37.72</v>
      </c>
      <c r="I98" s="64">
        <v>8.6</v>
      </c>
      <c r="J98" s="64">
        <v>0.15</v>
      </c>
      <c r="K98" s="64">
        <v>195.67</v>
      </c>
      <c r="L98" s="64">
        <v>26.76</v>
      </c>
      <c r="M98" s="64">
        <v>101.68</v>
      </c>
      <c r="N98" s="64">
        <v>43.5</v>
      </c>
      <c r="O98" s="64">
        <v>0</v>
      </c>
      <c r="P98" s="64">
        <v>1.28</v>
      </c>
      <c r="Q98" s="64">
        <v>10.08</v>
      </c>
      <c r="R98" s="198"/>
      <c r="S98" s="198"/>
      <c r="T98" s="198"/>
      <c r="U98" s="198"/>
    </row>
    <row r="99" spans="1:33" s="12" customFormat="1" x14ac:dyDescent="0.25">
      <c r="A99" s="214" t="s">
        <v>911</v>
      </c>
      <c r="B99" s="64">
        <v>8</v>
      </c>
      <c r="C99" s="64">
        <v>3</v>
      </c>
      <c r="D99" s="64">
        <v>11.76</v>
      </c>
      <c r="E99" s="64">
        <v>5.29</v>
      </c>
      <c r="F99" s="64">
        <v>3.81</v>
      </c>
      <c r="G99" s="64">
        <v>75.069999999999993</v>
      </c>
      <c r="H99" s="64">
        <v>37.72</v>
      </c>
      <c r="I99" s="64">
        <v>8.84</v>
      </c>
      <c r="J99" s="64">
        <v>7.0000000000000007E-2</v>
      </c>
      <c r="K99" s="64">
        <v>309.11</v>
      </c>
      <c r="L99" s="64">
        <v>26.81</v>
      </c>
      <c r="M99" s="64">
        <v>101.68</v>
      </c>
      <c r="N99" s="64">
        <v>43.9</v>
      </c>
      <c r="O99" s="64">
        <v>0</v>
      </c>
      <c r="P99" s="64">
        <v>1.31</v>
      </c>
      <c r="Q99" s="64">
        <v>10.11</v>
      </c>
      <c r="R99" s="198"/>
      <c r="S99" s="198"/>
      <c r="T99" s="198"/>
      <c r="U99" s="198"/>
    </row>
    <row r="100" spans="1:33" s="12" customFormat="1" x14ac:dyDescent="0.25">
      <c r="A100" s="214" t="s">
        <v>912</v>
      </c>
      <c r="B100" s="64">
        <v>8</v>
      </c>
      <c r="C100" s="64">
        <v>3.05</v>
      </c>
      <c r="D100" s="64">
        <v>11.78</v>
      </c>
      <c r="E100" s="64">
        <v>5.45</v>
      </c>
      <c r="F100" s="64">
        <v>3.6</v>
      </c>
      <c r="G100" s="64">
        <v>73.22</v>
      </c>
      <c r="H100" s="64">
        <v>38.32</v>
      </c>
      <c r="I100" s="64">
        <v>8.9</v>
      </c>
      <c r="J100" s="64">
        <v>0.08</v>
      </c>
      <c r="K100" s="64">
        <v>335.34</v>
      </c>
      <c r="L100" s="64">
        <v>26.85</v>
      </c>
      <c r="M100" s="64">
        <v>101.68</v>
      </c>
      <c r="N100" s="64">
        <v>43.8</v>
      </c>
      <c r="O100" s="64">
        <v>0</v>
      </c>
      <c r="P100" s="64">
        <v>1.37</v>
      </c>
      <c r="Q100" s="64">
        <v>10.15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913</v>
      </c>
      <c r="B101" s="64">
        <v>8</v>
      </c>
      <c r="C101" s="64">
        <v>3.08</v>
      </c>
      <c r="D101" s="64">
        <v>11.8</v>
      </c>
      <c r="E101" s="64">
        <v>5.4</v>
      </c>
      <c r="F101" s="64">
        <v>3.02</v>
      </c>
      <c r="G101" s="64">
        <v>69.88</v>
      </c>
      <c r="H101" s="64">
        <v>38.979999999999997</v>
      </c>
      <c r="I101" s="64">
        <v>8.9600000000000009</v>
      </c>
      <c r="J101" s="64">
        <v>0.12</v>
      </c>
      <c r="K101" s="64">
        <v>342.3</v>
      </c>
      <c r="L101" s="64">
        <v>26.81</v>
      </c>
      <c r="M101" s="64">
        <v>101.68</v>
      </c>
      <c r="N101" s="64">
        <v>43.7</v>
      </c>
      <c r="O101" s="64">
        <v>0</v>
      </c>
      <c r="P101" s="64">
        <v>1.43</v>
      </c>
      <c r="Q101" s="64">
        <v>10.199999999999999</v>
      </c>
      <c r="R101" s="198"/>
      <c r="S101" s="198"/>
      <c r="T101" s="198"/>
      <c r="U101" s="198"/>
    </row>
    <row r="102" spans="1:33" s="12" customFormat="1" x14ac:dyDescent="0.25">
      <c r="A102" s="214" t="s">
        <v>914</v>
      </c>
      <c r="B102" s="64">
        <v>8.0500000000000007</v>
      </c>
      <c r="C102" s="64">
        <v>3.18</v>
      </c>
      <c r="D102" s="64">
        <v>11.89</v>
      </c>
      <c r="E102" s="64">
        <v>5.66</v>
      </c>
      <c r="F102" s="64">
        <v>4.12</v>
      </c>
      <c r="G102" s="64">
        <v>69.88</v>
      </c>
      <c r="H102" s="64">
        <v>38.979999999999997</v>
      </c>
      <c r="I102" s="64">
        <v>9.16</v>
      </c>
      <c r="J102" s="64">
        <v>0.09</v>
      </c>
      <c r="K102" s="64">
        <v>343.44</v>
      </c>
      <c r="L102" s="64">
        <v>26.7</v>
      </c>
      <c r="M102" s="64">
        <v>101.68</v>
      </c>
      <c r="N102" s="64">
        <v>43.8</v>
      </c>
      <c r="O102" s="64">
        <v>0</v>
      </c>
      <c r="P102" s="64">
        <v>1.47</v>
      </c>
      <c r="Q102" s="64">
        <v>10.24</v>
      </c>
      <c r="R102" s="198"/>
      <c r="S102" s="198"/>
      <c r="T102" s="198"/>
      <c r="U102" s="198"/>
    </row>
    <row r="103" spans="1:33" s="12" customFormat="1" x14ac:dyDescent="0.25">
      <c r="A103" s="214" t="s">
        <v>915</v>
      </c>
      <c r="B103" s="64">
        <v>8.02</v>
      </c>
      <c r="C103" s="64">
        <v>3.08</v>
      </c>
      <c r="D103" s="64">
        <v>11.81</v>
      </c>
      <c r="E103" s="64">
        <v>5.76</v>
      </c>
      <c r="F103" s="64">
        <v>3.73</v>
      </c>
      <c r="G103" s="64">
        <v>69.88</v>
      </c>
      <c r="H103" s="64">
        <v>38.979999999999997</v>
      </c>
      <c r="I103" s="64">
        <v>9.25</v>
      </c>
      <c r="J103" s="64">
        <v>0.08</v>
      </c>
      <c r="K103" s="64">
        <v>347.36</v>
      </c>
      <c r="L103" s="64">
        <v>26.67</v>
      </c>
      <c r="M103" s="64">
        <v>101.68</v>
      </c>
      <c r="N103" s="64">
        <v>43.8</v>
      </c>
      <c r="O103" s="64">
        <v>0</v>
      </c>
      <c r="P103" s="64">
        <v>1.51</v>
      </c>
      <c r="Q103" s="64">
        <v>10.220000000000001</v>
      </c>
      <c r="R103" s="198"/>
      <c r="S103" s="198"/>
      <c r="T103" s="198"/>
      <c r="U103" s="198"/>
    </row>
    <row r="104" spans="1:33" s="12" customFormat="1" x14ac:dyDescent="0.25">
      <c r="A104" s="214" t="s">
        <v>916</v>
      </c>
      <c r="B104" s="64">
        <v>8.1</v>
      </c>
      <c r="C104" s="64">
        <v>3.21</v>
      </c>
      <c r="D104" s="64">
        <v>11.95</v>
      </c>
      <c r="E104" s="64">
        <v>5.04</v>
      </c>
      <c r="F104" s="64">
        <v>2.88</v>
      </c>
      <c r="G104" s="64">
        <v>68.56</v>
      </c>
      <c r="H104" s="64">
        <v>39.08</v>
      </c>
      <c r="I104" s="64">
        <v>8.83</v>
      </c>
      <c r="J104" s="64">
        <v>0.16</v>
      </c>
      <c r="K104" s="64">
        <v>91.17</v>
      </c>
      <c r="L104" s="64">
        <v>26.69</v>
      </c>
      <c r="M104" s="64">
        <v>101.68</v>
      </c>
      <c r="N104" s="64">
        <v>43.6</v>
      </c>
      <c r="O104" s="64">
        <v>0</v>
      </c>
      <c r="P104" s="64">
        <v>1.56</v>
      </c>
      <c r="Q104" s="64">
        <v>10.31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7.91</v>
      </c>
      <c r="C106" s="67">
        <f>MIN(C9:C104)</f>
        <v>2.88</v>
      </c>
      <c r="D106" s="67">
        <f t="shared" ref="D106:Q106" si="0">MIN(D9:D104)</f>
        <v>11.63</v>
      </c>
      <c r="E106" s="67">
        <f t="shared" si="0"/>
        <v>3.67</v>
      </c>
      <c r="F106" s="67">
        <f t="shared" si="0"/>
        <v>2.7</v>
      </c>
      <c r="G106" s="67">
        <f t="shared" si="0"/>
        <v>17.04</v>
      </c>
      <c r="H106" s="67">
        <f t="shared" si="0"/>
        <v>7.85</v>
      </c>
      <c r="I106" s="67">
        <f t="shared" si="0"/>
        <v>2.65</v>
      </c>
      <c r="J106" s="67">
        <f t="shared" si="0"/>
        <v>0.01</v>
      </c>
      <c r="K106" s="67">
        <f t="shared" si="0"/>
        <v>8.66</v>
      </c>
      <c r="L106" s="67">
        <f t="shared" si="0"/>
        <v>25.52</v>
      </c>
      <c r="M106" s="67">
        <f t="shared" si="0"/>
        <v>63.27</v>
      </c>
      <c r="N106" s="67">
        <f t="shared" si="0"/>
        <v>40.4</v>
      </c>
      <c r="O106" s="67">
        <f t="shared" si="0"/>
        <v>0</v>
      </c>
      <c r="P106" s="67">
        <f t="shared" si="0"/>
        <v>0.36</v>
      </c>
      <c r="Q106" s="67">
        <f t="shared" si="0"/>
        <v>9.5399999999999991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8.1</v>
      </c>
      <c r="C107" s="66">
        <f t="shared" ref="C107:Q107" si="1">MAX(C9:C104)</f>
        <v>3.21</v>
      </c>
      <c r="D107" s="66">
        <f t="shared" si="1"/>
        <v>11.95</v>
      </c>
      <c r="E107" s="66">
        <f t="shared" si="1"/>
        <v>5.76</v>
      </c>
      <c r="F107" s="66">
        <f t="shared" si="1"/>
        <v>5.01</v>
      </c>
      <c r="G107" s="66">
        <f t="shared" si="1"/>
        <v>75.39</v>
      </c>
      <c r="H107" s="66">
        <f t="shared" si="1"/>
        <v>44.18</v>
      </c>
      <c r="I107" s="66">
        <f t="shared" si="1"/>
        <v>9.25</v>
      </c>
      <c r="J107" s="66">
        <f t="shared" si="1"/>
        <v>0.8</v>
      </c>
      <c r="K107" s="66">
        <f t="shared" si="1"/>
        <v>353</v>
      </c>
      <c r="L107" s="66">
        <f t="shared" si="1"/>
        <v>36.630000000000003</v>
      </c>
      <c r="M107" s="66">
        <f t="shared" si="1"/>
        <v>101.68</v>
      </c>
      <c r="N107" s="66">
        <f t="shared" si="1"/>
        <v>803.9</v>
      </c>
      <c r="O107" s="66">
        <f t="shared" si="1"/>
        <v>1.4</v>
      </c>
      <c r="P107" s="66">
        <f t="shared" si="1"/>
        <v>1.56</v>
      </c>
      <c r="Q107" s="66">
        <f t="shared" si="1"/>
        <v>10.31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7.9704166666666696</v>
      </c>
      <c r="C108" s="67">
        <f t="shared" ref="C108:Q108" si="2">AVERAGE(C9:C104)</f>
        <v>2.9836458333333322</v>
      </c>
      <c r="D108" s="67">
        <f t="shared" si="2"/>
        <v>11.724062500000002</v>
      </c>
      <c r="E108" s="67">
        <f t="shared" si="2"/>
        <v>4.6355208333333335</v>
      </c>
      <c r="F108" s="67">
        <f t="shared" si="2"/>
        <v>3.7255208333333338</v>
      </c>
      <c r="G108" s="67">
        <f t="shared" si="2"/>
        <v>41.78197916666668</v>
      </c>
      <c r="H108" s="67">
        <f t="shared" si="2"/>
        <v>22.190104166666668</v>
      </c>
      <c r="I108" s="67">
        <f t="shared" si="2"/>
        <v>4.8359375</v>
      </c>
      <c r="J108" s="67">
        <f t="shared" si="2"/>
        <v>0.1628125</v>
      </c>
      <c r="K108" s="67">
        <f t="shared" si="2"/>
        <v>240.5169791666666</v>
      </c>
      <c r="L108" s="67">
        <f t="shared" si="2"/>
        <v>28.805937499999999</v>
      </c>
      <c r="M108" s="67">
        <f t="shared" si="2"/>
        <v>93.874687500000036</v>
      </c>
      <c r="N108" s="67">
        <f t="shared" si="2"/>
        <v>178.92291666666668</v>
      </c>
      <c r="O108" s="67">
        <f t="shared" si="2"/>
        <v>2.5000000000000005E-2</v>
      </c>
      <c r="P108" s="67">
        <f t="shared" si="2"/>
        <v>0.63406249999999997</v>
      </c>
      <c r="Q108" s="67">
        <f t="shared" si="2"/>
        <v>9.7347916666666698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3.1984096925508902E-2</v>
      </c>
      <c r="C109" s="67">
        <f t="shared" ref="C109:Q109" si="3">STDEV(C9:C104)</f>
        <v>5.0723601724737784E-2</v>
      </c>
      <c r="D109" s="67">
        <f t="shared" si="3"/>
        <v>4.7408152197030824E-2</v>
      </c>
      <c r="E109" s="67">
        <f t="shared" si="3"/>
        <v>0.48399841189749254</v>
      </c>
      <c r="F109" s="67">
        <f t="shared" si="3"/>
        <v>0.51792271277045598</v>
      </c>
      <c r="G109" s="67">
        <f t="shared" si="3"/>
        <v>18.20377506365044</v>
      </c>
      <c r="H109" s="67">
        <f t="shared" si="3"/>
        <v>10.464999056483148</v>
      </c>
      <c r="I109" s="67">
        <f t="shared" si="3"/>
        <v>1.604576073297866</v>
      </c>
      <c r="J109" s="67">
        <f t="shared" si="3"/>
        <v>0.14059799448296401</v>
      </c>
      <c r="K109" s="67">
        <f t="shared" si="3"/>
        <v>102.58941757387535</v>
      </c>
      <c r="L109" s="67">
        <f t="shared" si="3"/>
        <v>2.971176473748804</v>
      </c>
      <c r="M109" s="67">
        <f t="shared" si="3"/>
        <v>10.786301834721765</v>
      </c>
      <c r="N109" s="67">
        <f t="shared" si="3"/>
        <v>202.48936371243482</v>
      </c>
      <c r="O109" s="67">
        <f t="shared" si="3"/>
        <v>0.15694450913417909</v>
      </c>
      <c r="P109" s="67">
        <f t="shared" si="3"/>
        <v>0.28957892524727752</v>
      </c>
      <c r="Q109" s="67">
        <f t="shared" si="3"/>
        <v>0.15440874782054542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917</v>
      </c>
      <c r="B9" s="64">
        <v>8.07</v>
      </c>
      <c r="C9" s="64">
        <v>3.14</v>
      </c>
      <c r="D9" s="64">
        <v>11.89</v>
      </c>
      <c r="E9" s="64">
        <v>4.6399999999999997</v>
      </c>
      <c r="F9" s="64">
        <v>3.68</v>
      </c>
      <c r="G9" s="64">
        <v>66.17</v>
      </c>
      <c r="H9" s="64">
        <v>39.19</v>
      </c>
      <c r="I9" s="64">
        <v>8.9600000000000009</v>
      </c>
      <c r="J9" s="64">
        <v>0.09</v>
      </c>
      <c r="K9" s="64">
        <v>138.53</v>
      </c>
      <c r="L9" s="64">
        <v>26.66</v>
      </c>
      <c r="M9" s="64">
        <v>101.68</v>
      </c>
      <c r="N9" s="64">
        <v>43.8</v>
      </c>
      <c r="O9" s="64">
        <v>0</v>
      </c>
      <c r="P9" s="64">
        <v>1.59</v>
      </c>
      <c r="Q9" s="64">
        <v>10.32</v>
      </c>
      <c r="R9" s="198"/>
      <c r="S9" s="198"/>
      <c r="T9" s="198"/>
      <c r="U9" s="198"/>
    </row>
    <row r="10" spans="1:21" s="12" customFormat="1" x14ac:dyDescent="0.25">
      <c r="A10" s="214" t="s">
        <v>918</v>
      </c>
      <c r="B10" s="64">
        <v>8.11</v>
      </c>
      <c r="C10" s="64">
        <v>3.21</v>
      </c>
      <c r="D10" s="64">
        <v>11.96</v>
      </c>
      <c r="E10" s="64">
        <v>4.8600000000000003</v>
      </c>
      <c r="F10" s="64">
        <v>2.85</v>
      </c>
      <c r="G10" s="64">
        <v>66.17</v>
      </c>
      <c r="H10" s="64">
        <v>39.19</v>
      </c>
      <c r="I10" s="64">
        <v>9.1199999999999992</v>
      </c>
      <c r="J10" s="64">
        <v>0.05</v>
      </c>
      <c r="K10" s="64">
        <v>5.98</v>
      </c>
      <c r="L10" s="64">
        <v>26.66</v>
      </c>
      <c r="M10" s="64">
        <v>101.68</v>
      </c>
      <c r="N10" s="64">
        <v>43.6</v>
      </c>
      <c r="O10" s="64">
        <v>0</v>
      </c>
      <c r="P10" s="64">
        <v>1.62</v>
      </c>
      <c r="Q10" s="64">
        <v>10.29</v>
      </c>
      <c r="R10" s="198"/>
      <c r="S10" s="198"/>
      <c r="T10" s="198"/>
      <c r="U10" s="198"/>
    </row>
    <row r="11" spans="1:21" s="12" customFormat="1" x14ac:dyDescent="0.25">
      <c r="A11" s="214" t="s">
        <v>919</v>
      </c>
      <c r="B11" s="64">
        <v>8.1199999999999992</v>
      </c>
      <c r="C11" s="64">
        <v>3.26</v>
      </c>
      <c r="D11" s="64">
        <v>11.99</v>
      </c>
      <c r="E11" s="64">
        <v>4.9800000000000004</v>
      </c>
      <c r="F11" s="64">
        <v>3.35</v>
      </c>
      <c r="G11" s="64">
        <v>66.17</v>
      </c>
      <c r="H11" s="64">
        <v>39.19</v>
      </c>
      <c r="I11" s="64">
        <v>9.2100000000000009</v>
      </c>
      <c r="J11" s="64">
        <v>0.11</v>
      </c>
      <c r="K11" s="64">
        <v>324.74</v>
      </c>
      <c r="L11" s="64">
        <v>26.68</v>
      </c>
      <c r="M11" s="64">
        <v>101.68</v>
      </c>
      <c r="N11" s="64">
        <v>43.7</v>
      </c>
      <c r="O11" s="64">
        <v>0</v>
      </c>
      <c r="P11" s="64">
        <v>1.65</v>
      </c>
      <c r="Q11" s="64">
        <v>10.33</v>
      </c>
      <c r="R11" s="198"/>
      <c r="S11" s="198"/>
      <c r="T11" s="198"/>
      <c r="U11" s="198"/>
    </row>
    <row r="12" spans="1:21" s="12" customFormat="1" x14ac:dyDescent="0.25">
      <c r="A12" s="214" t="s">
        <v>920</v>
      </c>
      <c r="B12" s="64">
        <v>8.14</v>
      </c>
      <c r="C12" s="64">
        <v>3.19</v>
      </c>
      <c r="D12" s="64">
        <v>11.97</v>
      </c>
      <c r="E12" s="64">
        <v>4.8099999999999996</v>
      </c>
      <c r="F12" s="64">
        <v>3.78</v>
      </c>
      <c r="G12" s="64">
        <v>66.17</v>
      </c>
      <c r="H12" s="64">
        <v>43.1</v>
      </c>
      <c r="I12" s="64">
        <v>9.36</v>
      </c>
      <c r="J12" s="64">
        <v>0.1</v>
      </c>
      <c r="K12" s="64">
        <v>293.43</v>
      </c>
      <c r="L12" s="64">
        <v>26.64</v>
      </c>
      <c r="M12" s="64">
        <v>101.68</v>
      </c>
      <c r="N12" s="64">
        <v>43.7</v>
      </c>
      <c r="O12" s="64">
        <v>0</v>
      </c>
      <c r="P12" s="64">
        <v>1.67</v>
      </c>
      <c r="Q12" s="64">
        <v>10.37</v>
      </c>
      <c r="R12" s="198"/>
      <c r="S12" s="198"/>
      <c r="T12" s="198"/>
      <c r="U12" s="198"/>
    </row>
    <row r="13" spans="1:21" s="12" customFormat="1" x14ac:dyDescent="0.25">
      <c r="A13" s="214" t="s">
        <v>921</v>
      </c>
      <c r="B13" s="64">
        <v>8.08</v>
      </c>
      <c r="C13" s="64">
        <v>3.13</v>
      </c>
      <c r="D13" s="64">
        <v>11.89</v>
      </c>
      <c r="E13" s="64">
        <v>4.9400000000000004</v>
      </c>
      <c r="F13" s="64">
        <v>3.11</v>
      </c>
      <c r="G13" s="64">
        <v>66.180000000000007</v>
      </c>
      <c r="H13" s="64">
        <v>55.53</v>
      </c>
      <c r="I13" s="64">
        <v>9.57</v>
      </c>
      <c r="J13" s="64">
        <v>0.08</v>
      </c>
      <c r="K13" s="64">
        <v>275.93</v>
      </c>
      <c r="L13" s="64">
        <v>26.71</v>
      </c>
      <c r="M13" s="64">
        <v>101.68</v>
      </c>
      <c r="N13" s="64">
        <v>43.8</v>
      </c>
      <c r="O13" s="64">
        <v>0</v>
      </c>
      <c r="P13" s="64">
        <v>1.5</v>
      </c>
      <c r="Q13" s="64">
        <v>10.35</v>
      </c>
      <c r="R13" s="198"/>
      <c r="S13" s="198"/>
      <c r="T13" s="198"/>
      <c r="U13" s="198"/>
    </row>
    <row r="14" spans="1:21" s="12" customFormat="1" x14ac:dyDescent="0.25">
      <c r="A14" s="214" t="s">
        <v>922</v>
      </c>
      <c r="B14" s="64">
        <v>8.0500000000000007</v>
      </c>
      <c r="C14" s="64">
        <v>3.15</v>
      </c>
      <c r="D14" s="64">
        <v>11.88</v>
      </c>
      <c r="E14" s="64">
        <v>4.58</v>
      </c>
      <c r="F14" s="64">
        <v>3.75</v>
      </c>
      <c r="G14" s="64">
        <v>66.180000000000007</v>
      </c>
      <c r="H14" s="64">
        <v>55.53</v>
      </c>
      <c r="I14" s="64">
        <v>9.83</v>
      </c>
      <c r="J14" s="64">
        <v>0.11</v>
      </c>
      <c r="K14" s="64">
        <v>143.97</v>
      </c>
      <c r="L14" s="64">
        <v>26.6</v>
      </c>
      <c r="M14" s="64">
        <v>101.68</v>
      </c>
      <c r="N14" s="64">
        <v>43.8</v>
      </c>
      <c r="O14" s="64">
        <v>0</v>
      </c>
      <c r="P14" s="64">
        <v>1.58</v>
      </c>
      <c r="Q14" s="64">
        <v>10.35</v>
      </c>
      <c r="R14" s="198"/>
      <c r="S14" s="198"/>
      <c r="T14" s="198"/>
      <c r="U14" s="198"/>
    </row>
    <row r="15" spans="1:21" s="12" customFormat="1" x14ac:dyDescent="0.25">
      <c r="A15" s="214" t="s">
        <v>923</v>
      </c>
      <c r="B15" s="64">
        <v>8.06</v>
      </c>
      <c r="C15" s="64">
        <v>3.11</v>
      </c>
      <c r="D15" s="64">
        <v>11.86</v>
      </c>
      <c r="E15" s="64">
        <v>5.05</v>
      </c>
      <c r="F15" s="64">
        <v>3.52</v>
      </c>
      <c r="G15" s="64">
        <v>66.180000000000007</v>
      </c>
      <c r="H15" s="64">
        <v>55.53</v>
      </c>
      <c r="I15" s="64">
        <v>10.029999999999999</v>
      </c>
      <c r="J15" s="64">
        <v>0.18</v>
      </c>
      <c r="K15" s="64">
        <v>95.3</v>
      </c>
      <c r="L15" s="64">
        <v>26.64</v>
      </c>
      <c r="M15" s="64">
        <v>101.68</v>
      </c>
      <c r="N15" s="64">
        <v>43.7</v>
      </c>
      <c r="O15" s="64">
        <v>0</v>
      </c>
      <c r="P15" s="64">
        <v>1.6</v>
      </c>
      <c r="Q15" s="64">
        <v>10.33</v>
      </c>
      <c r="R15" s="198"/>
      <c r="S15" s="198"/>
      <c r="T15" s="198"/>
      <c r="U15" s="198"/>
    </row>
    <row r="16" spans="1:21" s="12" customFormat="1" x14ac:dyDescent="0.25">
      <c r="A16" s="214" t="s">
        <v>924</v>
      </c>
      <c r="B16" s="64">
        <v>8.0500000000000007</v>
      </c>
      <c r="C16" s="64">
        <v>3.07</v>
      </c>
      <c r="D16" s="64">
        <v>11.83</v>
      </c>
      <c r="E16" s="64">
        <v>4.99</v>
      </c>
      <c r="F16" s="64">
        <v>3.27</v>
      </c>
      <c r="G16" s="64">
        <v>64.650000000000006</v>
      </c>
      <c r="H16" s="64">
        <v>19.61</v>
      </c>
      <c r="I16" s="64">
        <v>10.210000000000001</v>
      </c>
      <c r="J16" s="64">
        <v>0.09</v>
      </c>
      <c r="K16" s="64">
        <v>117.31</v>
      </c>
      <c r="L16" s="64">
        <v>26.63</v>
      </c>
      <c r="M16" s="64">
        <v>101.68</v>
      </c>
      <c r="N16" s="64">
        <v>43.7</v>
      </c>
      <c r="O16" s="64">
        <v>0</v>
      </c>
      <c r="P16" s="64">
        <v>1.6</v>
      </c>
      <c r="Q16" s="64">
        <v>10.33</v>
      </c>
      <c r="R16" s="198"/>
      <c r="S16" s="198"/>
      <c r="T16" s="198"/>
      <c r="U16" s="198"/>
    </row>
    <row r="17" spans="1:21" s="12" customFormat="1" x14ac:dyDescent="0.25">
      <c r="A17" s="214" t="s">
        <v>925</v>
      </c>
      <c r="B17" s="64">
        <v>8.02</v>
      </c>
      <c r="C17" s="64">
        <v>3.02</v>
      </c>
      <c r="D17" s="64">
        <v>11.78</v>
      </c>
      <c r="E17" s="64">
        <v>4.78</v>
      </c>
      <c r="F17" s="64">
        <v>3.83</v>
      </c>
      <c r="G17" s="64">
        <v>61.88</v>
      </c>
      <c r="H17" s="64">
        <v>15.77</v>
      </c>
      <c r="I17" s="64">
        <v>10.4</v>
      </c>
      <c r="J17" s="64">
        <v>0.12</v>
      </c>
      <c r="K17" s="64">
        <v>338.73</v>
      </c>
      <c r="L17" s="64">
        <v>26.51</v>
      </c>
      <c r="M17" s="64">
        <v>101.68</v>
      </c>
      <c r="N17" s="64">
        <v>43.8</v>
      </c>
      <c r="O17" s="64">
        <v>0</v>
      </c>
      <c r="P17" s="64">
        <v>1.61</v>
      </c>
      <c r="Q17" s="64">
        <v>10.32</v>
      </c>
      <c r="R17" s="198"/>
      <c r="S17" s="198"/>
      <c r="T17" s="198"/>
      <c r="U17" s="198"/>
    </row>
    <row r="18" spans="1:21" s="12" customFormat="1" x14ac:dyDescent="0.25">
      <c r="A18" s="214" t="s">
        <v>926</v>
      </c>
      <c r="B18" s="64">
        <v>8.01</v>
      </c>
      <c r="C18" s="64">
        <v>2.98</v>
      </c>
      <c r="D18" s="64">
        <v>11.76</v>
      </c>
      <c r="E18" s="64">
        <v>4.8499999999999996</v>
      </c>
      <c r="F18" s="64">
        <v>3.71</v>
      </c>
      <c r="G18" s="64">
        <v>61.88</v>
      </c>
      <c r="H18" s="64">
        <v>15.77</v>
      </c>
      <c r="I18" s="64">
        <v>11.21</v>
      </c>
      <c r="J18" s="64">
        <v>0.12</v>
      </c>
      <c r="K18" s="64">
        <v>261.67</v>
      </c>
      <c r="L18" s="64">
        <v>26.45</v>
      </c>
      <c r="M18" s="64">
        <v>101.68</v>
      </c>
      <c r="N18" s="64">
        <v>43.9</v>
      </c>
      <c r="O18" s="64">
        <v>0</v>
      </c>
      <c r="P18" s="64">
        <v>1.61</v>
      </c>
      <c r="Q18" s="64">
        <v>10.34</v>
      </c>
      <c r="R18" s="198"/>
      <c r="S18" s="198"/>
      <c r="T18" s="198"/>
      <c r="U18" s="198"/>
    </row>
    <row r="19" spans="1:21" s="12" customFormat="1" x14ac:dyDescent="0.25">
      <c r="A19" s="214" t="s">
        <v>927</v>
      </c>
      <c r="B19" s="64">
        <v>8.0299999999999994</v>
      </c>
      <c r="C19" s="64">
        <v>3.06</v>
      </c>
      <c r="D19" s="64">
        <v>11.81</v>
      </c>
      <c r="E19" s="64">
        <v>5</v>
      </c>
      <c r="F19" s="64">
        <v>3.5</v>
      </c>
      <c r="G19" s="64">
        <v>61.88</v>
      </c>
      <c r="H19" s="64">
        <v>15.77</v>
      </c>
      <c r="I19" s="64">
        <v>11.39</v>
      </c>
      <c r="J19" s="64">
        <v>0.13</v>
      </c>
      <c r="K19" s="64">
        <v>236.09</v>
      </c>
      <c r="L19" s="64">
        <v>26.27</v>
      </c>
      <c r="M19" s="64">
        <v>101.68</v>
      </c>
      <c r="N19" s="64">
        <v>44</v>
      </c>
      <c r="O19" s="64">
        <v>0</v>
      </c>
      <c r="P19" s="64">
        <v>1.61</v>
      </c>
      <c r="Q19" s="64">
        <v>10.33</v>
      </c>
      <c r="R19" s="198"/>
      <c r="S19" s="198"/>
      <c r="T19" s="198"/>
      <c r="U19" s="198"/>
    </row>
    <row r="20" spans="1:21" s="12" customFormat="1" x14ac:dyDescent="0.25">
      <c r="A20" s="214" t="s">
        <v>928</v>
      </c>
      <c r="B20" s="64">
        <v>8</v>
      </c>
      <c r="C20" s="64">
        <v>3.05</v>
      </c>
      <c r="D20" s="64">
        <v>11.79</v>
      </c>
      <c r="E20" s="64">
        <v>4.99</v>
      </c>
      <c r="F20" s="64">
        <v>3.98</v>
      </c>
      <c r="G20" s="64">
        <v>65.06</v>
      </c>
      <c r="H20" s="64">
        <v>17.43</v>
      </c>
      <c r="I20" s="64">
        <v>11.4</v>
      </c>
      <c r="J20" s="64">
        <v>0.09</v>
      </c>
      <c r="K20" s="64">
        <v>237.42</v>
      </c>
      <c r="L20" s="64">
        <v>26.29</v>
      </c>
      <c r="M20" s="64">
        <v>101.68</v>
      </c>
      <c r="N20" s="64">
        <v>43.7</v>
      </c>
      <c r="O20" s="64">
        <v>0</v>
      </c>
      <c r="P20" s="64">
        <v>1.6</v>
      </c>
      <c r="Q20" s="64">
        <v>10.28</v>
      </c>
      <c r="R20" s="198"/>
      <c r="S20" s="198"/>
      <c r="T20" s="198"/>
      <c r="U20" s="198"/>
    </row>
    <row r="21" spans="1:21" s="12" customFormat="1" x14ac:dyDescent="0.25">
      <c r="A21" s="214" t="s">
        <v>929</v>
      </c>
      <c r="B21" s="64">
        <v>8.06</v>
      </c>
      <c r="C21" s="64">
        <v>3.13</v>
      </c>
      <c r="D21" s="64">
        <v>11.87</v>
      </c>
      <c r="E21" s="64">
        <v>4.8499999999999996</v>
      </c>
      <c r="F21" s="64">
        <v>3.09</v>
      </c>
      <c r="G21" s="64">
        <v>70.83</v>
      </c>
      <c r="H21" s="64">
        <v>52.86</v>
      </c>
      <c r="I21" s="64">
        <v>10.69</v>
      </c>
      <c r="J21" s="64">
        <v>0.05</v>
      </c>
      <c r="K21" s="64">
        <v>221.28</v>
      </c>
      <c r="L21" s="64">
        <v>26.4</v>
      </c>
      <c r="M21" s="64">
        <v>101.68</v>
      </c>
      <c r="N21" s="64">
        <v>43.8</v>
      </c>
      <c r="O21" s="64">
        <v>0</v>
      </c>
      <c r="P21" s="64">
        <v>1.6</v>
      </c>
      <c r="Q21" s="64">
        <v>10.210000000000001</v>
      </c>
      <c r="R21" s="198"/>
      <c r="S21" s="198"/>
      <c r="T21" s="198"/>
      <c r="U21" s="198"/>
    </row>
    <row r="22" spans="1:21" s="12" customFormat="1" x14ac:dyDescent="0.25">
      <c r="A22" s="214" t="s">
        <v>930</v>
      </c>
      <c r="B22" s="64">
        <v>8.06</v>
      </c>
      <c r="C22" s="64">
        <v>3.14</v>
      </c>
      <c r="D22" s="64">
        <v>11.88</v>
      </c>
      <c r="E22" s="64">
        <v>5.01</v>
      </c>
      <c r="F22" s="64">
        <v>2.89</v>
      </c>
      <c r="G22" s="64">
        <v>70.83</v>
      </c>
      <c r="H22" s="64">
        <v>52.86</v>
      </c>
      <c r="I22" s="64">
        <v>10.61</v>
      </c>
      <c r="J22" s="64">
        <v>0.09</v>
      </c>
      <c r="K22" s="64">
        <v>350.1</v>
      </c>
      <c r="L22" s="64">
        <v>26.38</v>
      </c>
      <c r="M22" s="64">
        <v>101.68</v>
      </c>
      <c r="N22" s="64">
        <v>43.7</v>
      </c>
      <c r="O22" s="64">
        <v>0</v>
      </c>
      <c r="P22" s="64">
        <v>1.61</v>
      </c>
      <c r="Q22" s="64">
        <v>10.18</v>
      </c>
      <c r="R22" s="198"/>
      <c r="S22" s="198"/>
      <c r="T22" s="198"/>
      <c r="U22" s="198"/>
    </row>
    <row r="23" spans="1:21" s="12" customFormat="1" x14ac:dyDescent="0.25">
      <c r="A23" s="214" t="s">
        <v>931</v>
      </c>
      <c r="B23" s="64">
        <v>8.02</v>
      </c>
      <c r="C23" s="64">
        <v>3.1</v>
      </c>
      <c r="D23" s="64">
        <v>11.83</v>
      </c>
      <c r="E23" s="64">
        <v>4.79</v>
      </c>
      <c r="F23" s="64">
        <v>5.15</v>
      </c>
      <c r="G23" s="64">
        <v>70.83</v>
      </c>
      <c r="H23" s="64">
        <v>52.86</v>
      </c>
      <c r="I23" s="64">
        <v>10.58</v>
      </c>
      <c r="J23" s="64">
        <v>0.09</v>
      </c>
      <c r="K23" s="64">
        <v>337.11</v>
      </c>
      <c r="L23" s="64">
        <v>26.36</v>
      </c>
      <c r="M23" s="64">
        <v>101.68</v>
      </c>
      <c r="N23" s="64">
        <v>43.7</v>
      </c>
      <c r="O23" s="64">
        <v>0</v>
      </c>
      <c r="P23" s="64">
        <v>1.61</v>
      </c>
      <c r="Q23" s="64">
        <v>10.17</v>
      </c>
      <c r="R23" s="198"/>
      <c r="S23" s="198"/>
      <c r="T23" s="198"/>
      <c r="U23" s="198"/>
    </row>
    <row r="24" spans="1:21" s="12" customFormat="1" x14ac:dyDescent="0.25">
      <c r="A24" s="214" t="s">
        <v>932</v>
      </c>
      <c r="B24" s="64">
        <v>8.01</v>
      </c>
      <c r="C24" s="64">
        <v>3</v>
      </c>
      <c r="D24" s="64">
        <v>11.77</v>
      </c>
      <c r="E24" s="64">
        <v>4.08</v>
      </c>
      <c r="F24" s="64">
        <v>2.71</v>
      </c>
      <c r="G24" s="64">
        <v>75.53</v>
      </c>
      <c r="H24" s="64">
        <v>63.83</v>
      </c>
      <c r="I24" s="64">
        <v>10.52</v>
      </c>
      <c r="J24" s="64">
        <v>0.27</v>
      </c>
      <c r="K24" s="64">
        <v>346.34</v>
      </c>
      <c r="L24" s="64">
        <v>26.31</v>
      </c>
      <c r="M24" s="64">
        <v>101.68</v>
      </c>
      <c r="N24" s="64">
        <v>43.6</v>
      </c>
      <c r="O24" s="64">
        <v>0</v>
      </c>
      <c r="P24" s="64">
        <v>1.6</v>
      </c>
      <c r="Q24" s="64">
        <v>10.17</v>
      </c>
      <c r="R24" s="198"/>
      <c r="S24" s="198"/>
      <c r="T24" s="198"/>
      <c r="U24" s="198"/>
    </row>
    <row r="25" spans="1:21" s="12" customFormat="1" x14ac:dyDescent="0.25">
      <c r="A25" s="214" t="s">
        <v>933</v>
      </c>
      <c r="B25" s="64">
        <v>7.99</v>
      </c>
      <c r="C25" s="64">
        <v>3.01</v>
      </c>
      <c r="D25" s="64">
        <v>11.76</v>
      </c>
      <c r="E25" s="64">
        <v>4.1100000000000003</v>
      </c>
      <c r="F25" s="64">
        <v>3.45</v>
      </c>
      <c r="G25" s="64">
        <v>84.04</v>
      </c>
      <c r="H25" s="64">
        <v>76.23</v>
      </c>
      <c r="I25" s="64">
        <v>10.51</v>
      </c>
      <c r="J25" s="64">
        <v>0.28000000000000003</v>
      </c>
      <c r="K25" s="64">
        <v>331.37</v>
      </c>
      <c r="L25" s="64">
        <v>26.28</v>
      </c>
      <c r="M25" s="64">
        <v>101.68</v>
      </c>
      <c r="N25" s="64">
        <v>43.6</v>
      </c>
      <c r="O25" s="64">
        <v>0</v>
      </c>
      <c r="P25" s="64">
        <v>1.58</v>
      </c>
      <c r="Q25" s="64">
        <v>10.16</v>
      </c>
      <c r="R25" s="198"/>
      <c r="S25" s="198"/>
      <c r="T25" s="198"/>
      <c r="U25" s="198"/>
    </row>
    <row r="26" spans="1:21" s="12" customFormat="1" x14ac:dyDescent="0.25">
      <c r="A26" s="214" t="s">
        <v>934</v>
      </c>
      <c r="B26" s="64">
        <v>8.02</v>
      </c>
      <c r="C26" s="64">
        <v>3.06</v>
      </c>
      <c r="D26" s="64">
        <v>11.8</v>
      </c>
      <c r="E26" s="64">
        <v>3.92</v>
      </c>
      <c r="F26" s="64">
        <v>3.43</v>
      </c>
      <c r="G26" s="64">
        <v>84.04</v>
      </c>
      <c r="H26" s="64">
        <v>76.23</v>
      </c>
      <c r="I26" s="64">
        <v>10.47</v>
      </c>
      <c r="J26" s="64">
        <v>0.44</v>
      </c>
      <c r="K26" s="64">
        <v>342.78</v>
      </c>
      <c r="L26" s="64">
        <v>26.34</v>
      </c>
      <c r="M26" s="64">
        <v>101.68</v>
      </c>
      <c r="N26" s="64">
        <v>43.7</v>
      </c>
      <c r="O26" s="64">
        <v>0</v>
      </c>
      <c r="P26" s="64">
        <v>1.55</v>
      </c>
      <c r="Q26" s="64">
        <v>10.14</v>
      </c>
      <c r="R26" s="198"/>
      <c r="S26" s="198"/>
      <c r="T26" s="198"/>
      <c r="U26" s="198"/>
    </row>
    <row r="27" spans="1:21" s="12" customFormat="1" x14ac:dyDescent="0.25">
      <c r="A27" s="214" t="s">
        <v>935</v>
      </c>
      <c r="B27" s="64">
        <v>8.01</v>
      </c>
      <c r="C27" s="64">
        <v>3.08</v>
      </c>
      <c r="D27" s="64">
        <v>11.81</v>
      </c>
      <c r="E27" s="64">
        <v>4</v>
      </c>
      <c r="F27" s="64">
        <v>3.12</v>
      </c>
      <c r="G27" s="64">
        <v>84.04</v>
      </c>
      <c r="H27" s="64">
        <v>76.23</v>
      </c>
      <c r="I27" s="64">
        <v>10.38</v>
      </c>
      <c r="J27" s="64">
        <v>0.36</v>
      </c>
      <c r="K27" s="64">
        <v>341.22</v>
      </c>
      <c r="L27" s="64">
        <v>26.32</v>
      </c>
      <c r="M27" s="64">
        <v>101.68</v>
      </c>
      <c r="N27" s="64">
        <v>43.8</v>
      </c>
      <c r="O27" s="64">
        <v>0</v>
      </c>
      <c r="P27" s="64">
        <v>1.53</v>
      </c>
      <c r="Q27" s="64">
        <v>10.14</v>
      </c>
      <c r="R27" s="198"/>
      <c r="S27" s="198"/>
      <c r="T27" s="198"/>
      <c r="U27" s="198"/>
    </row>
    <row r="28" spans="1:21" s="12" customFormat="1" x14ac:dyDescent="0.25">
      <c r="A28" s="214" t="s">
        <v>936</v>
      </c>
      <c r="B28" s="64">
        <v>8.06</v>
      </c>
      <c r="C28" s="64">
        <v>3.13</v>
      </c>
      <c r="D28" s="64">
        <v>11.87</v>
      </c>
      <c r="E28" s="64">
        <v>3.94</v>
      </c>
      <c r="F28" s="64">
        <v>3.6</v>
      </c>
      <c r="G28" s="64">
        <v>82.77</v>
      </c>
      <c r="H28" s="64">
        <v>68.349999999999994</v>
      </c>
      <c r="I28" s="64">
        <v>10.23</v>
      </c>
      <c r="J28" s="64">
        <v>0.15</v>
      </c>
      <c r="K28" s="64">
        <v>318.97000000000003</v>
      </c>
      <c r="L28" s="64">
        <v>26.3</v>
      </c>
      <c r="M28" s="64">
        <v>101.68</v>
      </c>
      <c r="N28" s="64">
        <v>43.5</v>
      </c>
      <c r="O28" s="64">
        <v>0</v>
      </c>
      <c r="P28" s="64">
        <v>1.51</v>
      </c>
      <c r="Q28" s="64">
        <v>10.11</v>
      </c>
      <c r="R28" s="198"/>
      <c r="S28" s="198"/>
      <c r="T28" s="198"/>
      <c r="U28" s="198"/>
    </row>
    <row r="29" spans="1:21" s="12" customFormat="1" x14ac:dyDescent="0.25">
      <c r="A29" s="214" t="s">
        <v>937</v>
      </c>
      <c r="B29" s="64">
        <v>8.07</v>
      </c>
      <c r="C29" s="64">
        <v>3.1</v>
      </c>
      <c r="D29" s="64">
        <v>11.87</v>
      </c>
      <c r="E29" s="64">
        <v>4.0199999999999996</v>
      </c>
      <c r="F29" s="64">
        <v>2.96</v>
      </c>
      <c r="G29" s="64">
        <v>80.48</v>
      </c>
      <c r="H29" s="64">
        <v>43.3</v>
      </c>
      <c r="I29" s="64">
        <v>10.15</v>
      </c>
      <c r="J29" s="64">
        <v>0.1</v>
      </c>
      <c r="K29" s="64">
        <v>315.63</v>
      </c>
      <c r="L29" s="64">
        <v>26.38</v>
      </c>
      <c r="M29" s="64">
        <v>101.68</v>
      </c>
      <c r="N29" s="64">
        <v>43.6</v>
      </c>
      <c r="O29" s="64">
        <v>0</v>
      </c>
      <c r="P29" s="64">
        <v>1.5</v>
      </c>
      <c r="Q29" s="64">
        <v>10.130000000000001</v>
      </c>
      <c r="R29" s="198"/>
      <c r="S29" s="198"/>
      <c r="T29" s="198"/>
      <c r="U29" s="198"/>
    </row>
    <row r="30" spans="1:21" s="12" customFormat="1" x14ac:dyDescent="0.25">
      <c r="A30" s="214" t="s">
        <v>938</v>
      </c>
      <c r="B30" s="64">
        <v>8.08</v>
      </c>
      <c r="C30" s="64">
        <v>3.11</v>
      </c>
      <c r="D30" s="64">
        <v>11.87</v>
      </c>
      <c r="E30" s="64">
        <v>4.13</v>
      </c>
      <c r="F30" s="64">
        <v>2.9</v>
      </c>
      <c r="G30" s="64">
        <v>80.48</v>
      </c>
      <c r="H30" s="64">
        <v>43.3</v>
      </c>
      <c r="I30" s="64">
        <v>10.35</v>
      </c>
      <c r="J30" s="64">
        <v>0.08</v>
      </c>
      <c r="K30" s="64">
        <v>347.44</v>
      </c>
      <c r="L30" s="64">
        <v>26.39</v>
      </c>
      <c r="M30" s="64">
        <v>101.68</v>
      </c>
      <c r="N30" s="64">
        <v>43.7</v>
      </c>
      <c r="O30" s="64">
        <v>0</v>
      </c>
      <c r="P30" s="64">
        <v>1.48</v>
      </c>
      <c r="Q30" s="64">
        <v>10.15</v>
      </c>
      <c r="R30" s="198"/>
      <c r="S30" s="198"/>
      <c r="T30" s="198"/>
      <c r="U30" s="198"/>
    </row>
    <row r="31" spans="1:21" s="12" customFormat="1" x14ac:dyDescent="0.25">
      <c r="A31" s="214" t="s">
        <v>939</v>
      </c>
      <c r="B31" s="64">
        <v>8.1</v>
      </c>
      <c r="C31" s="64">
        <v>3.17</v>
      </c>
      <c r="D31" s="64">
        <v>11.93</v>
      </c>
      <c r="E31" s="64">
        <v>3.87</v>
      </c>
      <c r="F31" s="64">
        <v>3.22</v>
      </c>
      <c r="G31" s="64">
        <v>80.48</v>
      </c>
      <c r="H31" s="64">
        <v>43.3</v>
      </c>
      <c r="I31" s="64">
        <v>10.46</v>
      </c>
      <c r="J31" s="64">
        <v>7.0000000000000007E-2</v>
      </c>
      <c r="K31" s="64">
        <v>220.16</v>
      </c>
      <c r="L31" s="64">
        <v>26.44</v>
      </c>
      <c r="M31" s="64">
        <v>101.68</v>
      </c>
      <c r="N31" s="64">
        <v>44.1</v>
      </c>
      <c r="O31" s="64">
        <v>0</v>
      </c>
      <c r="P31" s="64">
        <v>1.45</v>
      </c>
      <c r="Q31" s="64">
        <v>10.17</v>
      </c>
      <c r="R31" s="198"/>
      <c r="S31" s="198"/>
      <c r="T31" s="198"/>
      <c r="U31" s="198"/>
    </row>
    <row r="32" spans="1:21" s="12" customFormat="1" x14ac:dyDescent="0.25">
      <c r="A32" s="214" t="s">
        <v>940</v>
      </c>
      <c r="B32" s="64">
        <v>8.0399999999999991</v>
      </c>
      <c r="C32" s="64">
        <v>3.05</v>
      </c>
      <c r="D32" s="64">
        <v>11.81</v>
      </c>
      <c r="E32" s="64">
        <v>4.29</v>
      </c>
      <c r="F32" s="64">
        <v>3.13</v>
      </c>
      <c r="G32" s="64">
        <v>78.67</v>
      </c>
      <c r="H32" s="64">
        <v>31.75</v>
      </c>
      <c r="I32" s="64">
        <v>10.5</v>
      </c>
      <c r="J32" s="64">
        <v>0.18</v>
      </c>
      <c r="K32" s="64">
        <v>311.62</v>
      </c>
      <c r="L32" s="64">
        <v>26.54</v>
      </c>
      <c r="M32" s="64">
        <v>101.68</v>
      </c>
      <c r="N32" s="64">
        <v>46.9</v>
      </c>
      <c r="O32" s="64">
        <v>0</v>
      </c>
      <c r="P32" s="64">
        <v>1.42</v>
      </c>
      <c r="Q32" s="64">
        <v>10.18</v>
      </c>
      <c r="R32" s="198"/>
      <c r="S32" s="198"/>
      <c r="T32" s="198"/>
      <c r="U32" s="198"/>
    </row>
    <row r="33" spans="1:21" s="12" customFormat="1" x14ac:dyDescent="0.25">
      <c r="A33" s="214" t="s">
        <v>941</v>
      </c>
      <c r="B33" s="64">
        <v>8.02</v>
      </c>
      <c r="C33" s="64">
        <v>2.99</v>
      </c>
      <c r="D33" s="64">
        <v>11.77</v>
      </c>
      <c r="E33" s="64">
        <v>4.1900000000000004</v>
      </c>
      <c r="F33" s="64">
        <v>3.11</v>
      </c>
      <c r="G33" s="64">
        <v>75.38</v>
      </c>
      <c r="H33" s="64">
        <v>19.12</v>
      </c>
      <c r="I33" s="64">
        <v>10.52</v>
      </c>
      <c r="J33" s="64">
        <v>0.2</v>
      </c>
      <c r="K33" s="64">
        <v>323.45999999999998</v>
      </c>
      <c r="L33" s="64">
        <v>26.59</v>
      </c>
      <c r="M33" s="64">
        <v>101.68</v>
      </c>
      <c r="N33" s="64">
        <v>55.9</v>
      </c>
      <c r="O33" s="64">
        <v>0</v>
      </c>
      <c r="P33" s="64">
        <v>1.39</v>
      </c>
      <c r="Q33" s="64">
        <v>10.18</v>
      </c>
      <c r="R33" s="198"/>
      <c r="S33" s="198"/>
      <c r="T33" s="198"/>
      <c r="U33" s="198"/>
    </row>
    <row r="34" spans="1:21" s="12" customFormat="1" x14ac:dyDescent="0.25">
      <c r="A34" s="214" t="s">
        <v>942</v>
      </c>
      <c r="B34" s="64">
        <v>8.0299999999999994</v>
      </c>
      <c r="C34" s="64">
        <v>2.99</v>
      </c>
      <c r="D34" s="64">
        <v>11.78</v>
      </c>
      <c r="E34" s="64">
        <v>3.95</v>
      </c>
      <c r="F34" s="64">
        <v>3.15</v>
      </c>
      <c r="G34" s="64">
        <v>75.38</v>
      </c>
      <c r="H34" s="64">
        <v>19.12</v>
      </c>
      <c r="I34" s="64">
        <v>10.45</v>
      </c>
      <c r="J34" s="64">
        <v>0.06</v>
      </c>
      <c r="K34" s="64">
        <v>281.87</v>
      </c>
      <c r="L34" s="64">
        <v>26.69</v>
      </c>
      <c r="M34" s="64">
        <v>101.68</v>
      </c>
      <c r="N34" s="64">
        <v>65</v>
      </c>
      <c r="O34" s="64">
        <v>0</v>
      </c>
      <c r="P34" s="64">
        <v>1.35</v>
      </c>
      <c r="Q34" s="64">
        <v>10.17</v>
      </c>
      <c r="R34" s="198"/>
      <c r="S34" s="198"/>
      <c r="T34" s="198"/>
      <c r="U34" s="198"/>
    </row>
    <row r="35" spans="1:21" s="12" customFormat="1" x14ac:dyDescent="0.25">
      <c r="A35" s="214" t="s">
        <v>943</v>
      </c>
      <c r="B35" s="64">
        <v>8</v>
      </c>
      <c r="C35" s="64">
        <v>2.99</v>
      </c>
      <c r="D35" s="64">
        <v>11.75</v>
      </c>
      <c r="E35" s="64">
        <v>4.26</v>
      </c>
      <c r="F35" s="64">
        <v>3.71</v>
      </c>
      <c r="G35" s="64">
        <v>75.38</v>
      </c>
      <c r="H35" s="64">
        <v>19.12</v>
      </c>
      <c r="I35" s="64">
        <v>10.29</v>
      </c>
      <c r="J35" s="64">
        <v>0.13</v>
      </c>
      <c r="K35" s="64">
        <v>344.81</v>
      </c>
      <c r="L35" s="64">
        <v>26.77</v>
      </c>
      <c r="M35" s="64">
        <v>101.68</v>
      </c>
      <c r="N35" s="64">
        <v>75</v>
      </c>
      <c r="O35" s="64">
        <v>0</v>
      </c>
      <c r="P35" s="64">
        <v>1.31</v>
      </c>
      <c r="Q35" s="64">
        <v>10.210000000000001</v>
      </c>
      <c r="R35" s="198"/>
      <c r="S35" s="198"/>
      <c r="T35" s="198"/>
      <c r="U35" s="198"/>
    </row>
    <row r="36" spans="1:21" s="12" customFormat="1" x14ac:dyDescent="0.25">
      <c r="A36" s="214" t="s">
        <v>944</v>
      </c>
      <c r="B36" s="64">
        <v>8</v>
      </c>
      <c r="C36" s="64">
        <v>3.05</v>
      </c>
      <c r="D36" s="64">
        <v>11.79</v>
      </c>
      <c r="E36" s="64">
        <v>4.04</v>
      </c>
      <c r="F36" s="64">
        <v>3.53</v>
      </c>
      <c r="G36" s="64">
        <v>75.84</v>
      </c>
      <c r="H36" s="64">
        <v>23.33</v>
      </c>
      <c r="I36" s="64">
        <v>10.72</v>
      </c>
      <c r="J36" s="64">
        <v>0.13</v>
      </c>
      <c r="K36" s="64">
        <v>317.02999999999997</v>
      </c>
      <c r="L36" s="64">
        <v>26.95</v>
      </c>
      <c r="M36" s="64">
        <v>101.68</v>
      </c>
      <c r="N36" s="64">
        <v>71.7</v>
      </c>
      <c r="O36" s="64">
        <v>0</v>
      </c>
      <c r="P36" s="64">
        <v>1.26</v>
      </c>
      <c r="Q36" s="64">
        <v>10.220000000000001</v>
      </c>
      <c r="R36" s="198"/>
      <c r="S36" s="198"/>
      <c r="T36" s="198"/>
      <c r="U36" s="198"/>
    </row>
    <row r="37" spans="1:21" s="12" customFormat="1" x14ac:dyDescent="0.25">
      <c r="A37" s="214" t="s">
        <v>945</v>
      </c>
      <c r="B37" s="64">
        <v>7.98</v>
      </c>
      <c r="C37" s="64">
        <v>3.01</v>
      </c>
      <c r="D37" s="64">
        <v>11.75</v>
      </c>
      <c r="E37" s="64">
        <v>4.25</v>
      </c>
      <c r="F37" s="64">
        <v>4.0599999999999996</v>
      </c>
      <c r="G37" s="64">
        <v>76.680000000000007</v>
      </c>
      <c r="H37" s="64">
        <v>28.07</v>
      </c>
      <c r="I37" s="64">
        <v>10.45</v>
      </c>
      <c r="J37" s="64">
        <v>0.31</v>
      </c>
      <c r="K37" s="64">
        <v>323.70999999999998</v>
      </c>
      <c r="L37" s="64">
        <v>27.09</v>
      </c>
      <c r="M37" s="64">
        <v>101.68</v>
      </c>
      <c r="N37" s="64">
        <v>68</v>
      </c>
      <c r="O37" s="64">
        <v>0</v>
      </c>
      <c r="P37" s="64">
        <v>1.19</v>
      </c>
      <c r="Q37" s="64">
        <v>10.18</v>
      </c>
      <c r="R37" s="198"/>
      <c r="S37" s="198"/>
      <c r="T37" s="198"/>
      <c r="U37" s="198"/>
    </row>
    <row r="38" spans="1:21" s="12" customFormat="1" x14ac:dyDescent="0.25">
      <c r="A38" s="214" t="s">
        <v>946</v>
      </c>
      <c r="B38" s="64">
        <v>8</v>
      </c>
      <c r="C38" s="64">
        <v>3</v>
      </c>
      <c r="D38" s="64">
        <v>11.75</v>
      </c>
      <c r="E38" s="64">
        <v>4.3</v>
      </c>
      <c r="F38" s="64">
        <v>3.51</v>
      </c>
      <c r="G38" s="64">
        <v>76.680000000000007</v>
      </c>
      <c r="H38" s="64">
        <v>28.07</v>
      </c>
      <c r="I38" s="64">
        <v>10.06</v>
      </c>
      <c r="J38" s="64">
        <v>0.36</v>
      </c>
      <c r="K38" s="64">
        <v>332.64</v>
      </c>
      <c r="L38" s="64">
        <v>27.18</v>
      </c>
      <c r="M38" s="64">
        <v>101.68</v>
      </c>
      <c r="N38" s="64">
        <v>75.8</v>
      </c>
      <c r="O38" s="64">
        <v>0</v>
      </c>
      <c r="P38" s="64">
        <v>1.21</v>
      </c>
      <c r="Q38" s="64">
        <v>10.16</v>
      </c>
      <c r="R38" s="198"/>
      <c r="S38" s="198"/>
      <c r="T38" s="198"/>
      <c r="U38" s="198"/>
    </row>
    <row r="39" spans="1:21" s="12" customFormat="1" x14ac:dyDescent="0.25">
      <c r="A39" s="214" t="s">
        <v>947</v>
      </c>
      <c r="B39" s="64">
        <v>8.0399999999999991</v>
      </c>
      <c r="C39" s="64">
        <v>3.05</v>
      </c>
      <c r="D39" s="64">
        <v>11.81</v>
      </c>
      <c r="E39" s="64">
        <v>4.05</v>
      </c>
      <c r="F39" s="64">
        <v>3.88</v>
      </c>
      <c r="G39" s="64">
        <v>76.680000000000007</v>
      </c>
      <c r="H39" s="64">
        <v>28.07</v>
      </c>
      <c r="I39" s="64">
        <v>9.68</v>
      </c>
      <c r="J39" s="64">
        <v>0.48</v>
      </c>
      <c r="K39" s="64">
        <v>334.33</v>
      </c>
      <c r="L39" s="64">
        <v>27.48</v>
      </c>
      <c r="M39" s="64">
        <v>101.67</v>
      </c>
      <c r="N39" s="64">
        <v>137.69999999999999</v>
      </c>
      <c r="O39" s="64">
        <v>0</v>
      </c>
      <c r="P39" s="64">
        <v>1.1599999999999999</v>
      </c>
      <c r="Q39" s="64">
        <v>10.17</v>
      </c>
      <c r="R39" s="198"/>
      <c r="S39" s="198"/>
      <c r="T39" s="198"/>
      <c r="U39" s="198"/>
    </row>
    <row r="40" spans="1:21" s="12" customFormat="1" x14ac:dyDescent="0.25">
      <c r="A40" s="214" t="s">
        <v>948</v>
      </c>
      <c r="B40" s="64">
        <v>8.0299999999999994</v>
      </c>
      <c r="C40" s="64">
        <v>3.08</v>
      </c>
      <c r="D40" s="64">
        <v>11.82</v>
      </c>
      <c r="E40" s="64">
        <v>5.36</v>
      </c>
      <c r="F40" s="64">
        <v>3.6</v>
      </c>
      <c r="G40" s="64">
        <v>75.349999999999994</v>
      </c>
      <c r="H40" s="64">
        <v>29.15</v>
      </c>
      <c r="I40" s="64">
        <v>8.73</v>
      </c>
      <c r="J40" s="64">
        <v>0.41</v>
      </c>
      <c r="K40" s="64">
        <v>325.62</v>
      </c>
      <c r="L40" s="64">
        <v>28.21</v>
      </c>
      <c r="M40" s="64">
        <v>101.64</v>
      </c>
      <c r="N40" s="64">
        <v>175.3</v>
      </c>
      <c r="O40" s="64">
        <v>0</v>
      </c>
      <c r="P40" s="64">
        <v>1.1200000000000001</v>
      </c>
      <c r="Q40" s="64">
        <v>10.19</v>
      </c>
      <c r="R40" s="198"/>
      <c r="S40" s="198"/>
      <c r="T40" s="198"/>
      <c r="U40" s="198"/>
    </row>
    <row r="41" spans="1:21" s="12" customFormat="1" x14ac:dyDescent="0.25">
      <c r="A41" s="214" t="s">
        <v>949</v>
      </c>
      <c r="B41" s="64">
        <v>8.06</v>
      </c>
      <c r="C41" s="64">
        <v>3.13</v>
      </c>
      <c r="D41" s="64">
        <v>11.88</v>
      </c>
      <c r="E41" s="64">
        <v>6.08</v>
      </c>
      <c r="F41" s="64">
        <v>3.51</v>
      </c>
      <c r="G41" s="64">
        <v>72.959999999999994</v>
      </c>
      <c r="H41" s="64">
        <v>30.34</v>
      </c>
      <c r="I41" s="64">
        <v>8.36</v>
      </c>
      <c r="J41" s="64">
        <v>0.42</v>
      </c>
      <c r="K41" s="64">
        <v>323.89999999999998</v>
      </c>
      <c r="L41" s="64">
        <v>28.87</v>
      </c>
      <c r="M41" s="64">
        <v>101.63</v>
      </c>
      <c r="N41" s="64">
        <v>226.5</v>
      </c>
      <c r="O41" s="64">
        <v>0</v>
      </c>
      <c r="P41" s="64">
        <v>1.0900000000000001</v>
      </c>
      <c r="Q41" s="64">
        <v>10.19</v>
      </c>
      <c r="R41" s="198"/>
      <c r="S41" s="198"/>
      <c r="T41" s="198"/>
      <c r="U41" s="198"/>
    </row>
    <row r="42" spans="1:21" s="12" customFormat="1" x14ac:dyDescent="0.25">
      <c r="A42" s="214" t="s">
        <v>950</v>
      </c>
      <c r="B42" s="64">
        <v>8.07</v>
      </c>
      <c r="C42" s="64">
        <v>3.18</v>
      </c>
      <c r="D42" s="64">
        <v>11.91</v>
      </c>
      <c r="E42" s="64">
        <v>5.95</v>
      </c>
      <c r="F42" s="64">
        <v>3.17</v>
      </c>
      <c r="G42" s="64">
        <v>72.959999999999994</v>
      </c>
      <c r="H42" s="64">
        <v>30.34</v>
      </c>
      <c r="I42" s="64">
        <v>8.06</v>
      </c>
      <c r="J42" s="64">
        <v>0.79</v>
      </c>
      <c r="K42" s="64">
        <v>341.15</v>
      </c>
      <c r="L42" s="64">
        <v>30.28</v>
      </c>
      <c r="M42" s="64">
        <v>99.91</v>
      </c>
      <c r="N42" s="64">
        <v>370.2</v>
      </c>
      <c r="O42" s="64">
        <v>0</v>
      </c>
      <c r="P42" s="64">
        <v>1.05</v>
      </c>
      <c r="Q42" s="64">
        <v>10.18</v>
      </c>
      <c r="R42" s="198"/>
      <c r="S42" s="198"/>
      <c r="T42" s="198"/>
      <c r="U42" s="198"/>
    </row>
    <row r="43" spans="1:21" s="12" customFormat="1" x14ac:dyDescent="0.25">
      <c r="A43" s="214" t="s">
        <v>951</v>
      </c>
      <c r="B43" s="64">
        <v>7.99</v>
      </c>
      <c r="C43" s="64">
        <v>3.07</v>
      </c>
      <c r="D43" s="64">
        <v>11.78</v>
      </c>
      <c r="E43" s="64">
        <v>5.88</v>
      </c>
      <c r="F43" s="64">
        <v>3.49</v>
      </c>
      <c r="G43" s="64">
        <v>72.959999999999994</v>
      </c>
      <c r="H43" s="64">
        <v>30.34</v>
      </c>
      <c r="I43" s="64">
        <v>7.7</v>
      </c>
      <c r="J43" s="64">
        <v>0.98</v>
      </c>
      <c r="K43" s="64">
        <v>333.26</v>
      </c>
      <c r="L43" s="64">
        <v>31.53</v>
      </c>
      <c r="M43" s="64">
        <v>93.45</v>
      </c>
      <c r="N43" s="64">
        <v>466.1</v>
      </c>
      <c r="O43" s="64">
        <v>0</v>
      </c>
      <c r="P43" s="64">
        <v>1.01</v>
      </c>
      <c r="Q43" s="64">
        <v>10.210000000000001</v>
      </c>
      <c r="R43" s="198"/>
      <c r="S43" s="198"/>
      <c r="T43" s="198"/>
      <c r="U43" s="198"/>
    </row>
    <row r="44" spans="1:21" s="12" customFormat="1" x14ac:dyDescent="0.25">
      <c r="A44" s="214" t="s">
        <v>952</v>
      </c>
      <c r="B44" s="64">
        <v>8</v>
      </c>
      <c r="C44" s="64">
        <v>3.02</v>
      </c>
      <c r="D44" s="64">
        <v>11.77</v>
      </c>
      <c r="E44" s="64">
        <v>5.8</v>
      </c>
      <c r="F44" s="64">
        <v>3.09</v>
      </c>
      <c r="G44" s="64">
        <v>74.83</v>
      </c>
      <c r="H44" s="64">
        <v>30.57</v>
      </c>
      <c r="I44" s="64">
        <v>7.37</v>
      </c>
      <c r="J44" s="64">
        <v>0.99</v>
      </c>
      <c r="K44" s="64">
        <v>339.2</v>
      </c>
      <c r="L44" s="64">
        <v>32.83</v>
      </c>
      <c r="M44" s="64">
        <v>85.94</v>
      </c>
      <c r="N44" s="64">
        <v>434.4</v>
      </c>
      <c r="O44" s="64">
        <v>0</v>
      </c>
      <c r="P44" s="64">
        <v>0.97</v>
      </c>
      <c r="Q44" s="64">
        <v>10.17</v>
      </c>
      <c r="R44" s="198"/>
      <c r="S44" s="198"/>
      <c r="T44" s="198"/>
      <c r="U44" s="198"/>
    </row>
    <row r="45" spans="1:21" s="12" customFormat="1" x14ac:dyDescent="0.25">
      <c r="A45" s="214" t="s">
        <v>953</v>
      </c>
      <c r="B45" s="64">
        <v>8.0399999999999991</v>
      </c>
      <c r="C45" s="64">
        <v>3.04</v>
      </c>
      <c r="D45" s="64">
        <v>11.81</v>
      </c>
      <c r="E45" s="64">
        <v>5.44</v>
      </c>
      <c r="F45" s="64">
        <v>3.9</v>
      </c>
      <c r="G45" s="64">
        <v>78.23</v>
      </c>
      <c r="H45" s="64">
        <v>31.31</v>
      </c>
      <c r="I45" s="64">
        <v>7.04</v>
      </c>
      <c r="J45" s="64">
        <v>0.99</v>
      </c>
      <c r="K45" s="64">
        <v>331.56</v>
      </c>
      <c r="L45" s="64">
        <v>32.93</v>
      </c>
      <c r="M45" s="64">
        <v>84.87</v>
      </c>
      <c r="N45" s="64">
        <v>372.8</v>
      </c>
      <c r="O45" s="64">
        <v>0</v>
      </c>
      <c r="P45" s="64">
        <v>0.95</v>
      </c>
      <c r="Q45" s="64">
        <v>10.18</v>
      </c>
      <c r="R45" s="198"/>
      <c r="S45" s="198"/>
      <c r="T45" s="198"/>
      <c r="U45" s="198"/>
    </row>
    <row r="46" spans="1:21" s="12" customFormat="1" x14ac:dyDescent="0.25">
      <c r="A46" s="214" t="s">
        <v>954</v>
      </c>
      <c r="B46" s="64">
        <v>8.11</v>
      </c>
      <c r="C46" s="64">
        <v>3.2</v>
      </c>
      <c r="D46" s="64">
        <v>11.95</v>
      </c>
      <c r="E46" s="64">
        <v>5.44</v>
      </c>
      <c r="F46" s="64">
        <v>3.27</v>
      </c>
      <c r="G46" s="64">
        <v>78.23</v>
      </c>
      <c r="H46" s="64">
        <v>31.31</v>
      </c>
      <c r="I46" s="64">
        <v>6.72</v>
      </c>
      <c r="J46" s="64">
        <v>1.21</v>
      </c>
      <c r="K46" s="64">
        <v>337.76</v>
      </c>
      <c r="L46" s="64">
        <v>33.01</v>
      </c>
      <c r="M46" s="64">
        <v>83.54</v>
      </c>
      <c r="N46" s="64">
        <v>532</v>
      </c>
      <c r="O46" s="64">
        <v>0</v>
      </c>
      <c r="P46" s="64">
        <v>0.92</v>
      </c>
      <c r="Q46" s="64">
        <v>10.199999999999999</v>
      </c>
      <c r="R46" s="198"/>
      <c r="S46" s="198"/>
      <c r="T46" s="198"/>
      <c r="U46" s="198"/>
    </row>
    <row r="47" spans="1:21" s="12" customFormat="1" x14ac:dyDescent="0.25">
      <c r="A47" s="214" t="s">
        <v>955</v>
      </c>
      <c r="B47" s="64">
        <v>8.0299999999999994</v>
      </c>
      <c r="C47" s="64">
        <v>3.08</v>
      </c>
      <c r="D47" s="64">
        <v>11.82</v>
      </c>
      <c r="E47" s="64">
        <v>5.65</v>
      </c>
      <c r="F47" s="64">
        <v>2.99</v>
      </c>
      <c r="G47" s="64">
        <v>78.23</v>
      </c>
      <c r="H47" s="64">
        <v>31.31</v>
      </c>
      <c r="I47" s="64">
        <v>6.58</v>
      </c>
      <c r="J47" s="64">
        <v>1.1100000000000001</v>
      </c>
      <c r="K47" s="64">
        <v>336.36</v>
      </c>
      <c r="L47" s="64">
        <v>34.61</v>
      </c>
      <c r="M47" s="64">
        <v>76.38</v>
      </c>
      <c r="N47" s="64">
        <v>660.3</v>
      </c>
      <c r="O47" s="64">
        <v>0</v>
      </c>
      <c r="P47" s="64">
        <v>0.89</v>
      </c>
      <c r="Q47" s="64">
        <v>10.18</v>
      </c>
      <c r="R47" s="198"/>
      <c r="S47" s="198"/>
      <c r="T47" s="198"/>
      <c r="U47" s="198"/>
    </row>
    <row r="48" spans="1:21" s="12" customFormat="1" x14ac:dyDescent="0.25">
      <c r="A48" s="214" t="s">
        <v>956</v>
      </c>
      <c r="B48" s="64">
        <v>8.0500000000000007</v>
      </c>
      <c r="C48" s="64">
        <v>3.11</v>
      </c>
      <c r="D48" s="64">
        <v>11.85</v>
      </c>
      <c r="E48" s="64">
        <v>5.97</v>
      </c>
      <c r="F48" s="64">
        <v>3.47</v>
      </c>
      <c r="G48" s="64">
        <v>79.36</v>
      </c>
      <c r="H48" s="64">
        <v>33.729999999999997</v>
      </c>
      <c r="I48" s="64">
        <v>6.26</v>
      </c>
      <c r="J48" s="64">
        <v>0.94</v>
      </c>
      <c r="K48" s="64">
        <v>333.79</v>
      </c>
      <c r="L48" s="64">
        <v>35.04</v>
      </c>
      <c r="M48" s="64">
        <v>75.19</v>
      </c>
      <c r="N48" s="64">
        <v>476.9</v>
      </c>
      <c r="O48" s="64">
        <v>0</v>
      </c>
      <c r="P48" s="64">
        <v>0.87</v>
      </c>
      <c r="Q48" s="64">
        <v>10.18</v>
      </c>
      <c r="R48" s="198"/>
      <c r="S48" s="198"/>
      <c r="T48" s="198"/>
      <c r="U48" s="198"/>
    </row>
    <row r="49" spans="1:21" s="12" customFormat="1" x14ac:dyDescent="0.25">
      <c r="A49" s="214" t="s">
        <v>957</v>
      </c>
      <c r="B49" s="64">
        <v>8.02</v>
      </c>
      <c r="C49" s="64">
        <v>3.03</v>
      </c>
      <c r="D49" s="64">
        <v>11.78</v>
      </c>
      <c r="E49" s="64">
        <v>5.35</v>
      </c>
      <c r="F49" s="64">
        <v>3</v>
      </c>
      <c r="G49" s="64">
        <v>81.42</v>
      </c>
      <c r="H49" s="64">
        <v>36.36</v>
      </c>
      <c r="I49" s="64">
        <v>6.09</v>
      </c>
      <c r="J49" s="64">
        <v>0.9</v>
      </c>
      <c r="K49" s="64">
        <v>332.45</v>
      </c>
      <c r="L49" s="64">
        <v>34.64</v>
      </c>
      <c r="M49" s="64">
        <v>76.959999999999994</v>
      </c>
      <c r="N49" s="64">
        <v>506.8</v>
      </c>
      <c r="O49" s="64">
        <v>0</v>
      </c>
      <c r="P49" s="64">
        <v>0.85</v>
      </c>
      <c r="Q49" s="64">
        <v>10.18</v>
      </c>
      <c r="R49" s="198"/>
      <c r="S49" s="198"/>
      <c r="T49" s="198"/>
      <c r="U49" s="198"/>
    </row>
    <row r="50" spans="1:21" s="12" customFormat="1" x14ac:dyDescent="0.25">
      <c r="A50" s="214" t="s">
        <v>958</v>
      </c>
      <c r="B50" s="64">
        <v>8.0500000000000007</v>
      </c>
      <c r="C50" s="64">
        <v>3.09</v>
      </c>
      <c r="D50" s="64">
        <v>11.85</v>
      </c>
      <c r="E50" s="64">
        <v>5.62</v>
      </c>
      <c r="F50" s="64">
        <v>3.55</v>
      </c>
      <c r="G50" s="64">
        <v>81.42</v>
      </c>
      <c r="H50" s="64">
        <v>36.36</v>
      </c>
      <c r="I50" s="64">
        <v>5.95</v>
      </c>
      <c r="J50" s="64">
        <v>0.9</v>
      </c>
      <c r="K50" s="64">
        <v>328.92</v>
      </c>
      <c r="L50" s="64">
        <v>35.54</v>
      </c>
      <c r="M50" s="64">
        <v>73.959999999999994</v>
      </c>
      <c r="N50" s="64">
        <v>680.1</v>
      </c>
      <c r="O50" s="64">
        <v>0</v>
      </c>
      <c r="P50" s="64">
        <v>0.83</v>
      </c>
      <c r="Q50" s="64">
        <v>10.17</v>
      </c>
      <c r="R50" s="198"/>
      <c r="S50" s="198"/>
      <c r="T50" s="198"/>
      <c r="U50" s="198"/>
    </row>
    <row r="51" spans="1:21" s="12" customFormat="1" x14ac:dyDescent="0.25">
      <c r="A51" s="214" t="s">
        <v>959</v>
      </c>
      <c r="B51" s="64">
        <v>8.08</v>
      </c>
      <c r="C51" s="64">
        <v>3.17</v>
      </c>
      <c r="D51" s="64">
        <v>11.91</v>
      </c>
      <c r="E51" s="64">
        <v>5.47</v>
      </c>
      <c r="F51" s="64">
        <v>4.03</v>
      </c>
      <c r="G51" s="64">
        <v>81.42</v>
      </c>
      <c r="H51" s="64">
        <v>36.36</v>
      </c>
      <c r="I51" s="64">
        <v>5.74</v>
      </c>
      <c r="J51" s="64">
        <v>0.92</v>
      </c>
      <c r="K51" s="64">
        <v>333.59</v>
      </c>
      <c r="L51" s="64">
        <v>36.28</v>
      </c>
      <c r="M51" s="64">
        <v>69.569999999999993</v>
      </c>
      <c r="N51" s="64">
        <v>645.9</v>
      </c>
      <c r="O51" s="64">
        <v>0</v>
      </c>
      <c r="P51" s="64">
        <v>0.81</v>
      </c>
      <c r="Q51" s="64">
        <v>10.14</v>
      </c>
      <c r="R51" s="198"/>
      <c r="S51" s="198"/>
      <c r="T51" s="198"/>
      <c r="U51" s="198"/>
    </row>
    <row r="52" spans="1:21" s="12" customFormat="1" x14ac:dyDescent="0.25">
      <c r="A52" s="214" t="s">
        <v>960</v>
      </c>
      <c r="B52" s="64">
        <v>8.0500000000000007</v>
      </c>
      <c r="C52" s="64">
        <v>3.08</v>
      </c>
      <c r="D52" s="64">
        <v>11.84</v>
      </c>
      <c r="E52" s="64">
        <v>5.67</v>
      </c>
      <c r="F52" s="64">
        <v>3.69</v>
      </c>
      <c r="G52" s="64">
        <v>81.72</v>
      </c>
      <c r="H52" s="64">
        <v>39.76</v>
      </c>
      <c r="I52" s="64">
        <v>5.53</v>
      </c>
      <c r="J52" s="64">
        <v>0.84</v>
      </c>
      <c r="K52" s="64">
        <v>329.23</v>
      </c>
      <c r="L52" s="64">
        <v>35.04</v>
      </c>
      <c r="M52" s="64">
        <v>73.900000000000006</v>
      </c>
      <c r="N52" s="64">
        <v>314.10000000000002</v>
      </c>
      <c r="O52" s="64">
        <v>0</v>
      </c>
      <c r="P52" s="64">
        <v>0.79</v>
      </c>
      <c r="Q52" s="64">
        <v>10.18</v>
      </c>
      <c r="R52" s="198"/>
      <c r="S52" s="198"/>
      <c r="T52" s="198"/>
      <c r="U52" s="198"/>
    </row>
    <row r="53" spans="1:21" s="12" customFormat="1" x14ac:dyDescent="0.25">
      <c r="A53" s="214" t="s">
        <v>961</v>
      </c>
      <c r="B53" s="64">
        <v>7.98</v>
      </c>
      <c r="C53" s="64">
        <v>3</v>
      </c>
      <c r="D53" s="64">
        <v>11.74</v>
      </c>
      <c r="E53" s="64">
        <v>5.86</v>
      </c>
      <c r="F53" s="64">
        <v>3.94</v>
      </c>
      <c r="G53" s="64">
        <v>82.26</v>
      </c>
      <c r="H53" s="64">
        <v>43.57</v>
      </c>
      <c r="I53" s="64">
        <v>5.33</v>
      </c>
      <c r="J53" s="64">
        <v>0.73</v>
      </c>
      <c r="K53" s="64">
        <v>330.48</v>
      </c>
      <c r="L53" s="64">
        <v>34.49</v>
      </c>
      <c r="M53" s="64">
        <v>75.849999999999994</v>
      </c>
      <c r="N53" s="64">
        <v>441.7</v>
      </c>
      <c r="O53" s="64">
        <v>0</v>
      </c>
      <c r="P53" s="64">
        <v>0.77</v>
      </c>
      <c r="Q53" s="64">
        <v>10.11</v>
      </c>
      <c r="R53" s="198"/>
      <c r="S53" s="198"/>
      <c r="T53" s="198"/>
      <c r="U53" s="198"/>
    </row>
    <row r="54" spans="1:21" s="12" customFormat="1" x14ac:dyDescent="0.25">
      <c r="A54" s="214" t="s">
        <v>962</v>
      </c>
      <c r="B54" s="64">
        <v>7.96</v>
      </c>
      <c r="C54" s="64">
        <v>3.02</v>
      </c>
      <c r="D54" s="64">
        <v>11.74</v>
      </c>
      <c r="E54" s="64">
        <v>5.64</v>
      </c>
      <c r="F54" s="64">
        <v>3.36</v>
      </c>
      <c r="G54" s="64">
        <v>82.26</v>
      </c>
      <c r="H54" s="64">
        <v>43.57</v>
      </c>
      <c r="I54" s="64">
        <v>5.16</v>
      </c>
      <c r="J54" s="64">
        <v>0.93</v>
      </c>
      <c r="K54" s="64">
        <v>336.21</v>
      </c>
      <c r="L54" s="64">
        <v>34.909999999999997</v>
      </c>
      <c r="M54" s="64">
        <v>74.150000000000006</v>
      </c>
      <c r="N54" s="64">
        <v>665.6</v>
      </c>
      <c r="O54" s="64">
        <v>0</v>
      </c>
      <c r="P54" s="64">
        <v>0.75</v>
      </c>
      <c r="Q54" s="64">
        <v>10.039999999999999</v>
      </c>
      <c r="R54" s="198"/>
      <c r="S54" s="198"/>
      <c r="T54" s="198"/>
      <c r="U54" s="198"/>
    </row>
    <row r="55" spans="1:21" s="12" customFormat="1" x14ac:dyDescent="0.25">
      <c r="A55" s="214" t="s">
        <v>963</v>
      </c>
      <c r="B55" s="64">
        <v>7.96</v>
      </c>
      <c r="C55" s="64">
        <v>3.03</v>
      </c>
      <c r="D55" s="64">
        <v>11.74</v>
      </c>
      <c r="E55" s="64">
        <v>5.62</v>
      </c>
      <c r="F55" s="64">
        <v>4.33</v>
      </c>
      <c r="G55" s="64">
        <v>82.26</v>
      </c>
      <c r="H55" s="64">
        <v>43.57</v>
      </c>
      <c r="I55" s="64">
        <v>4.92</v>
      </c>
      <c r="J55" s="64">
        <v>0.82</v>
      </c>
      <c r="K55" s="64">
        <v>331.98</v>
      </c>
      <c r="L55" s="64">
        <v>35.28</v>
      </c>
      <c r="M55" s="64">
        <v>73.290000000000006</v>
      </c>
      <c r="N55" s="64">
        <v>572.1</v>
      </c>
      <c r="O55" s="64">
        <v>0</v>
      </c>
      <c r="P55" s="64">
        <v>0.74</v>
      </c>
      <c r="Q55" s="64">
        <v>10.01</v>
      </c>
      <c r="R55" s="198"/>
      <c r="S55" s="198"/>
      <c r="T55" s="198"/>
      <c r="U55" s="198"/>
    </row>
    <row r="56" spans="1:21" s="12" customFormat="1" x14ac:dyDescent="0.25">
      <c r="A56" s="214" t="s">
        <v>964</v>
      </c>
      <c r="B56" s="64">
        <v>7.97</v>
      </c>
      <c r="C56" s="64">
        <v>3.03</v>
      </c>
      <c r="D56" s="64">
        <v>11.74</v>
      </c>
      <c r="E56" s="64">
        <v>3.95</v>
      </c>
      <c r="F56" s="64">
        <v>2.79</v>
      </c>
      <c r="G56" s="64">
        <v>82.35</v>
      </c>
      <c r="H56" s="64">
        <v>41.24</v>
      </c>
      <c r="I56" s="64">
        <v>4.7300000000000004</v>
      </c>
      <c r="J56" s="64">
        <v>1.1299999999999999</v>
      </c>
      <c r="K56" s="64">
        <v>333.9</v>
      </c>
      <c r="L56" s="64">
        <v>35.46</v>
      </c>
      <c r="M56" s="64">
        <v>71.760000000000005</v>
      </c>
      <c r="N56" s="64">
        <v>649.1</v>
      </c>
      <c r="O56" s="64">
        <v>0</v>
      </c>
      <c r="P56" s="64">
        <v>0.72</v>
      </c>
      <c r="Q56" s="64">
        <v>10.01</v>
      </c>
      <c r="R56" s="198"/>
      <c r="S56" s="198"/>
      <c r="T56" s="198"/>
      <c r="U56" s="198"/>
    </row>
    <row r="57" spans="1:21" s="12" customFormat="1" x14ac:dyDescent="0.25">
      <c r="A57" s="214" t="s">
        <v>965</v>
      </c>
      <c r="B57" s="64">
        <v>7.96</v>
      </c>
      <c r="C57" s="64">
        <v>2.99</v>
      </c>
      <c r="D57" s="64">
        <v>11.72</v>
      </c>
      <c r="E57" s="64">
        <v>3.05</v>
      </c>
      <c r="F57" s="64">
        <v>4.29</v>
      </c>
      <c r="G57" s="64">
        <v>82.51</v>
      </c>
      <c r="H57" s="64">
        <v>38.69</v>
      </c>
      <c r="I57" s="64">
        <v>4.66</v>
      </c>
      <c r="J57" s="64">
        <v>1.26</v>
      </c>
      <c r="K57" s="64">
        <v>336.19</v>
      </c>
      <c r="L57" s="64">
        <v>35.24</v>
      </c>
      <c r="M57" s="64">
        <v>71.38</v>
      </c>
      <c r="N57" s="64">
        <v>395</v>
      </c>
      <c r="O57" s="64">
        <v>0</v>
      </c>
      <c r="P57" s="64">
        <v>0.71</v>
      </c>
      <c r="Q57" s="64">
        <v>10</v>
      </c>
      <c r="R57" s="198"/>
      <c r="S57" s="198"/>
      <c r="T57" s="198"/>
      <c r="U57" s="198"/>
    </row>
    <row r="58" spans="1:21" s="12" customFormat="1" x14ac:dyDescent="0.25">
      <c r="A58" s="214" t="s">
        <v>966</v>
      </c>
      <c r="B58" s="64">
        <v>8.01</v>
      </c>
      <c r="C58" s="64">
        <v>3.12</v>
      </c>
      <c r="D58" s="64">
        <v>11.82</v>
      </c>
      <c r="E58" s="64">
        <v>2.97</v>
      </c>
      <c r="F58" s="64">
        <v>2.62</v>
      </c>
      <c r="G58" s="64">
        <v>82.51</v>
      </c>
      <c r="H58" s="64">
        <v>38.69</v>
      </c>
      <c r="I58" s="64">
        <v>4.4800000000000004</v>
      </c>
      <c r="J58" s="64">
        <v>1.33</v>
      </c>
      <c r="K58" s="64">
        <v>334.76</v>
      </c>
      <c r="L58" s="64">
        <v>34.65</v>
      </c>
      <c r="M58" s="64">
        <v>73.510000000000005</v>
      </c>
      <c r="N58" s="64">
        <v>594.20000000000005</v>
      </c>
      <c r="O58" s="64">
        <v>0</v>
      </c>
      <c r="P58" s="64">
        <v>0.68</v>
      </c>
      <c r="Q58" s="64">
        <v>9.94</v>
      </c>
      <c r="R58" s="198"/>
      <c r="S58" s="198"/>
      <c r="T58" s="198"/>
      <c r="U58" s="198"/>
    </row>
    <row r="59" spans="1:21" s="12" customFormat="1" x14ac:dyDescent="0.25">
      <c r="A59" s="214" t="s">
        <v>967</v>
      </c>
      <c r="B59" s="64">
        <v>8</v>
      </c>
      <c r="C59" s="64">
        <v>3.1</v>
      </c>
      <c r="D59" s="64">
        <v>11.81</v>
      </c>
      <c r="E59" s="64">
        <v>3.03</v>
      </c>
      <c r="F59" s="64">
        <v>4.4000000000000004</v>
      </c>
      <c r="G59" s="64">
        <v>82.51</v>
      </c>
      <c r="H59" s="64">
        <v>38.69</v>
      </c>
      <c r="I59" s="64">
        <v>4.4000000000000004</v>
      </c>
      <c r="J59" s="64">
        <v>1.37</v>
      </c>
      <c r="K59" s="64">
        <v>338.3</v>
      </c>
      <c r="L59" s="64">
        <v>35.21</v>
      </c>
      <c r="M59" s="64">
        <v>71.239999999999995</v>
      </c>
      <c r="N59" s="64">
        <v>586.4</v>
      </c>
      <c r="O59" s="64">
        <v>0</v>
      </c>
      <c r="P59" s="64">
        <v>0.66</v>
      </c>
      <c r="Q59" s="64">
        <v>9.93</v>
      </c>
      <c r="R59" s="198"/>
      <c r="S59" s="198"/>
      <c r="T59" s="198"/>
      <c r="U59" s="198"/>
    </row>
    <row r="60" spans="1:21" s="12" customFormat="1" x14ac:dyDescent="0.25">
      <c r="A60" s="214" t="s">
        <v>968</v>
      </c>
      <c r="B60" s="64">
        <v>7.97</v>
      </c>
      <c r="C60" s="64">
        <v>3.06</v>
      </c>
      <c r="D60" s="64">
        <v>11.76</v>
      </c>
      <c r="E60" s="64">
        <v>3.14</v>
      </c>
      <c r="F60" s="64">
        <v>2.93</v>
      </c>
      <c r="G60" s="64">
        <v>79.95</v>
      </c>
      <c r="H60" s="64">
        <v>37.22</v>
      </c>
      <c r="I60" s="64">
        <v>4.12</v>
      </c>
      <c r="J60" s="64">
        <v>1.4</v>
      </c>
      <c r="K60" s="64">
        <v>337.77</v>
      </c>
      <c r="L60" s="64">
        <v>35.5</v>
      </c>
      <c r="M60" s="64">
        <v>68.540000000000006</v>
      </c>
      <c r="N60" s="64">
        <v>597.70000000000005</v>
      </c>
      <c r="O60" s="64">
        <v>0</v>
      </c>
      <c r="P60" s="64">
        <v>0.64</v>
      </c>
      <c r="Q60" s="64">
        <v>9.9</v>
      </c>
      <c r="R60" s="198"/>
      <c r="S60" s="198"/>
      <c r="T60" s="198"/>
      <c r="U60" s="198"/>
    </row>
    <row r="61" spans="1:21" s="12" customFormat="1" x14ac:dyDescent="0.25">
      <c r="A61" s="214" t="s">
        <v>969</v>
      </c>
      <c r="B61" s="64">
        <v>7.97</v>
      </c>
      <c r="C61" s="64">
        <v>3.02</v>
      </c>
      <c r="D61" s="64">
        <v>11.74</v>
      </c>
      <c r="E61" s="64">
        <v>2.87</v>
      </c>
      <c r="F61" s="64">
        <v>3.32</v>
      </c>
      <c r="G61" s="64">
        <v>75.33</v>
      </c>
      <c r="H61" s="64">
        <v>32.54</v>
      </c>
      <c r="I61" s="64">
        <v>4.03</v>
      </c>
      <c r="J61" s="64">
        <v>1.41</v>
      </c>
      <c r="K61" s="64">
        <v>335.24</v>
      </c>
      <c r="L61" s="64">
        <v>35.32</v>
      </c>
      <c r="M61" s="64">
        <v>69.41</v>
      </c>
      <c r="N61" s="64">
        <v>617.79999999999995</v>
      </c>
      <c r="O61" s="64">
        <v>0</v>
      </c>
      <c r="P61" s="64">
        <v>0.69</v>
      </c>
      <c r="Q61" s="64">
        <v>9.85</v>
      </c>
      <c r="R61" s="198"/>
      <c r="S61" s="198"/>
      <c r="T61" s="198"/>
      <c r="U61" s="198"/>
    </row>
    <row r="62" spans="1:21" s="12" customFormat="1" x14ac:dyDescent="0.25">
      <c r="A62" s="214" t="s">
        <v>970</v>
      </c>
      <c r="B62" s="64">
        <v>7.98</v>
      </c>
      <c r="C62" s="64">
        <v>2.98</v>
      </c>
      <c r="D62" s="64">
        <v>11.73</v>
      </c>
      <c r="E62" s="64">
        <v>2.38</v>
      </c>
      <c r="F62" s="64">
        <v>3.62</v>
      </c>
      <c r="G62" s="64">
        <v>75.33</v>
      </c>
      <c r="H62" s="64">
        <v>32.54</v>
      </c>
      <c r="I62" s="64">
        <v>3.87</v>
      </c>
      <c r="J62" s="64">
        <v>0.88</v>
      </c>
      <c r="K62" s="64">
        <v>321.33</v>
      </c>
      <c r="L62" s="64">
        <v>35.46</v>
      </c>
      <c r="M62" s="64">
        <v>70.319999999999993</v>
      </c>
      <c r="N62" s="64">
        <v>534.4</v>
      </c>
      <c r="O62" s="64">
        <v>0</v>
      </c>
      <c r="P62" s="64">
        <v>0.7</v>
      </c>
      <c r="Q62" s="64">
        <v>9.86</v>
      </c>
      <c r="R62" s="198"/>
      <c r="S62" s="198"/>
      <c r="T62" s="198"/>
      <c r="U62" s="198"/>
    </row>
    <row r="63" spans="1:21" s="12" customFormat="1" x14ac:dyDescent="0.25">
      <c r="A63" s="214" t="s">
        <v>971</v>
      </c>
      <c r="B63" s="64">
        <v>7.98</v>
      </c>
      <c r="C63" s="64">
        <v>3.02</v>
      </c>
      <c r="D63" s="64">
        <v>11.75</v>
      </c>
      <c r="E63" s="64">
        <v>3.37</v>
      </c>
      <c r="F63" s="64">
        <v>3.61</v>
      </c>
      <c r="G63" s="64">
        <v>75.33</v>
      </c>
      <c r="H63" s="64">
        <v>32.54</v>
      </c>
      <c r="I63" s="64">
        <v>3.81</v>
      </c>
      <c r="J63" s="64">
        <v>1.44</v>
      </c>
      <c r="K63" s="64">
        <v>339.48</v>
      </c>
      <c r="L63" s="64">
        <v>35.479999999999997</v>
      </c>
      <c r="M63" s="64">
        <v>67.39</v>
      </c>
      <c r="N63" s="64">
        <v>523.29999999999995</v>
      </c>
      <c r="O63" s="64">
        <v>0</v>
      </c>
      <c r="P63" s="64">
        <v>0.68</v>
      </c>
      <c r="Q63" s="64">
        <v>9.82</v>
      </c>
      <c r="R63" s="198"/>
      <c r="S63" s="198"/>
      <c r="T63" s="198"/>
      <c r="U63" s="198"/>
    </row>
    <row r="64" spans="1:21" s="12" customFormat="1" x14ac:dyDescent="0.25">
      <c r="A64" s="214" t="s">
        <v>972</v>
      </c>
      <c r="B64" s="64">
        <v>8</v>
      </c>
      <c r="C64" s="64">
        <v>3.02</v>
      </c>
      <c r="D64" s="64">
        <v>11.76</v>
      </c>
      <c r="E64" s="64">
        <v>2.5499999999999998</v>
      </c>
      <c r="F64" s="64">
        <v>3.55</v>
      </c>
      <c r="G64" s="64">
        <v>73.91</v>
      </c>
      <c r="H64" s="64">
        <v>32.1</v>
      </c>
      <c r="I64" s="64">
        <v>3.62</v>
      </c>
      <c r="J64" s="64">
        <v>0.87</v>
      </c>
      <c r="K64" s="64">
        <v>333.12</v>
      </c>
      <c r="L64" s="64">
        <v>35.200000000000003</v>
      </c>
      <c r="M64" s="64">
        <v>68.790000000000006</v>
      </c>
      <c r="N64" s="64">
        <v>282</v>
      </c>
      <c r="O64" s="64">
        <v>0</v>
      </c>
      <c r="P64" s="64">
        <v>0.67</v>
      </c>
      <c r="Q64" s="64">
        <v>9.84</v>
      </c>
      <c r="R64" s="198"/>
      <c r="S64" s="198"/>
      <c r="T64" s="198"/>
      <c r="U64" s="198"/>
    </row>
    <row r="65" spans="1:21" s="12" customFormat="1" x14ac:dyDescent="0.25">
      <c r="A65" s="214" t="s">
        <v>973</v>
      </c>
      <c r="B65" s="64">
        <v>8.01</v>
      </c>
      <c r="C65" s="64">
        <v>3.02</v>
      </c>
      <c r="D65" s="64">
        <v>11.77</v>
      </c>
      <c r="E65" s="64">
        <v>2.54</v>
      </c>
      <c r="F65" s="64">
        <v>3.61</v>
      </c>
      <c r="G65" s="64">
        <v>71.34</v>
      </c>
      <c r="H65" s="64">
        <v>31.59</v>
      </c>
      <c r="I65" s="64">
        <v>3.54</v>
      </c>
      <c r="J65" s="64">
        <v>1.37</v>
      </c>
      <c r="K65" s="64">
        <v>334.25</v>
      </c>
      <c r="L65" s="64">
        <v>34.74</v>
      </c>
      <c r="M65" s="64">
        <v>70.23</v>
      </c>
      <c r="N65" s="64">
        <v>291</v>
      </c>
      <c r="O65" s="64">
        <v>0</v>
      </c>
      <c r="P65" s="64">
        <v>0.67</v>
      </c>
      <c r="Q65" s="64">
        <v>9.83</v>
      </c>
      <c r="R65" s="198"/>
      <c r="S65" s="198"/>
      <c r="T65" s="198"/>
      <c r="U65" s="198"/>
    </row>
    <row r="66" spans="1:21" s="12" customFormat="1" x14ac:dyDescent="0.25">
      <c r="A66" s="214" t="s">
        <v>974</v>
      </c>
      <c r="B66" s="64">
        <v>7.99</v>
      </c>
      <c r="C66" s="64">
        <v>2.98</v>
      </c>
      <c r="D66" s="64">
        <v>11.74</v>
      </c>
      <c r="E66" s="64">
        <v>2.83</v>
      </c>
      <c r="F66" s="64">
        <v>3.53</v>
      </c>
      <c r="G66" s="64">
        <v>71.34</v>
      </c>
      <c r="H66" s="64">
        <v>31.59</v>
      </c>
      <c r="I66" s="64">
        <v>3.54</v>
      </c>
      <c r="J66" s="64">
        <v>0.81</v>
      </c>
      <c r="K66" s="64">
        <v>321.8</v>
      </c>
      <c r="L66" s="64">
        <v>34.78</v>
      </c>
      <c r="M66" s="64">
        <v>72.31</v>
      </c>
      <c r="N66" s="64">
        <v>307.89999999999998</v>
      </c>
      <c r="O66" s="64">
        <v>0</v>
      </c>
      <c r="P66" s="64">
        <v>0.64</v>
      </c>
      <c r="Q66" s="64">
        <v>9.82</v>
      </c>
      <c r="R66" s="198"/>
      <c r="S66" s="198"/>
      <c r="T66" s="198"/>
      <c r="U66" s="198"/>
    </row>
    <row r="67" spans="1:21" s="12" customFormat="1" x14ac:dyDescent="0.25">
      <c r="A67" s="214" t="s">
        <v>975</v>
      </c>
      <c r="B67" s="64">
        <v>8.01</v>
      </c>
      <c r="C67" s="64">
        <v>3.04</v>
      </c>
      <c r="D67" s="64">
        <v>11.79</v>
      </c>
      <c r="E67" s="64">
        <v>2.94</v>
      </c>
      <c r="F67" s="64">
        <v>3.98</v>
      </c>
      <c r="G67" s="64">
        <v>71.34</v>
      </c>
      <c r="H67" s="64">
        <v>31.59</v>
      </c>
      <c r="I67" s="64">
        <v>3.51</v>
      </c>
      <c r="J67" s="64">
        <v>0.87</v>
      </c>
      <c r="K67" s="64">
        <v>324.52999999999997</v>
      </c>
      <c r="L67" s="64">
        <v>34.729999999999997</v>
      </c>
      <c r="M67" s="64">
        <v>71.67</v>
      </c>
      <c r="N67" s="64">
        <v>267.10000000000002</v>
      </c>
      <c r="O67" s="64">
        <v>0</v>
      </c>
      <c r="P67" s="64">
        <v>0.62</v>
      </c>
      <c r="Q67" s="64">
        <v>9.83</v>
      </c>
      <c r="R67" s="198"/>
      <c r="S67" s="198"/>
      <c r="T67" s="198"/>
      <c r="U67" s="198"/>
    </row>
    <row r="68" spans="1:21" s="12" customFormat="1" x14ac:dyDescent="0.25">
      <c r="A68" s="214" t="s">
        <v>976</v>
      </c>
      <c r="B68" s="64">
        <v>8.0299999999999994</v>
      </c>
      <c r="C68" s="64">
        <v>3.07</v>
      </c>
      <c r="D68" s="64">
        <v>11.82</v>
      </c>
      <c r="E68" s="64">
        <v>2.63</v>
      </c>
      <c r="F68" s="64">
        <v>4.6500000000000004</v>
      </c>
      <c r="G68" s="64">
        <v>69.400000000000006</v>
      </c>
      <c r="H68" s="64">
        <v>22.18</v>
      </c>
      <c r="I68" s="64">
        <v>3.36</v>
      </c>
      <c r="J68" s="64">
        <v>0.88</v>
      </c>
      <c r="K68" s="64">
        <v>326.72000000000003</v>
      </c>
      <c r="L68" s="64">
        <v>34.61</v>
      </c>
      <c r="M68" s="64">
        <v>71.19</v>
      </c>
      <c r="N68" s="64">
        <v>238.2</v>
      </c>
      <c r="O68" s="64">
        <v>0</v>
      </c>
      <c r="P68" s="64">
        <v>0.61</v>
      </c>
      <c r="Q68" s="64">
        <v>9.84</v>
      </c>
      <c r="R68" s="198"/>
      <c r="S68" s="198"/>
      <c r="T68" s="198"/>
      <c r="U68" s="198"/>
    </row>
    <row r="69" spans="1:21" s="12" customFormat="1" x14ac:dyDescent="0.25">
      <c r="A69" s="214" t="s">
        <v>977</v>
      </c>
      <c r="B69" s="64">
        <v>8</v>
      </c>
      <c r="C69" s="64">
        <v>3.02</v>
      </c>
      <c r="D69" s="64">
        <v>11.77</v>
      </c>
      <c r="E69" s="64">
        <v>2.5499999999999998</v>
      </c>
      <c r="F69" s="64">
        <v>4.17</v>
      </c>
      <c r="G69" s="64">
        <v>65.900000000000006</v>
      </c>
      <c r="H69" s="64">
        <v>11.56</v>
      </c>
      <c r="I69" s="64">
        <v>3.15</v>
      </c>
      <c r="J69" s="64">
        <v>0.92</v>
      </c>
      <c r="K69" s="64">
        <v>331.89</v>
      </c>
      <c r="L69" s="64">
        <v>34.119999999999997</v>
      </c>
      <c r="M69" s="64">
        <v>73.87</v>
      </c>
      <c r="N69" s="64">
        <v>177.8</v>
      </c>
      <c r="O69" s="64">
        <v>0</v>
      </c>
      <c r="P69" s="64">
        <v>0.59</v>
      </c>
      <c r="Q69" s="64">
        <v>9.8800000000000008</v>
      </c>
      <c r="R69" s="198"/>
      <c r="S69" s="198"/>
      <c r="T69" s="198"/>
      <c r="U69" s="198"/>
    </row>
    <row r="70" spans="1:21" s="12" customFormat="1" x14ac:dyDescent="0.25">
      <c r="A70" s="214" t="s">
        <v>978</v>
      </c>
      <c r="B70" s="64">
        <v>7.96</v>
      </c>
      <c r="C70" s="64">
        <v>3.01</v>
      </c>
      <c r="D70" s="64">
        <v>11.73</v>
      </c>
      <c r="E70" s="64">
        <v>2.95</v>
      </c>
      <c r="F70" s="64">
        <v>4.58</v>
      </c>
      <c r="G70" s="64">
        <v>65.900000000000006</v>
      </c>
      <c r="H70" s="64">
        <v>11.56</v>
      </c>
      <c r="I70" s="64">
        <v>3.04</v>
      </c>
      <c r="J70" s="64">
        <v>1.24</v>
      </c>
      <c r="K70" s="64">
        <v>331</v>
      </c>
      <c r="L70" s="64">
        <v>33.799999999999997</v>
      </c>
      <c r="M70" s="64">
        <v>74.319999999999993</v>
      </c>
      <c r="N70" s="64">
        <v>219.5</v>
      </c>
      <c r="O70" s="64">
        <v>0</v>
      </c>
      <c r="P70" s="64">
        <v>0.57999999999999996</v>
      </c>
      <c r="Q70" s="64">
        <v>9.7899999999999991</v>
      </c>
      <c r="R70" s="198"/>
      <c r="S70" s="198"/>
      <c r="T70" s="198"/>
      <c r="U70" s="198"/>
    </row>
    <row r="71" spans="1:21" s="12" customFormat="1" x14ac:dyDescent="0.25">
      <c r="A71" s="214" t="s">
        <v>979</v>
      </c>
      <c r="B71" s="64">
        <v>7.96</v>
      </c>
      <c r="C71" s="64">
        <v>3.04</v>
      </c>
      <c r="D71" s="64">
        <v>11.75</v>
      </c>
      <c r="E71" s="64">
        <v>2.78</v>
      </c>
      <c r="F71" s="64">
        <v>2.79</v>
      </c>
      <c r="G71" s="64">
        <v>65.900000000000006</v>
      </c>
      <c r="H71" s="64">
        <v>11.56</v>
      </c>
      <c r="I71" s="64">
        <v>2.92</v>
      </c>
      <c r="J71" s="64">
        <v>1.1399999999999999</v>
      </c>
      <c r="K71" s="64">
        <v>330.95</v>
      </c>
      <c r="L71" s="64">
        <v>33.67</v>
      </c>
      <c r="M71" s="64">
        <v>74.260000000000005</v>
      </c>
      <c r="N71" s="64">
        <v>206.5</v>
      </c>
      <c r="O71" s="64">
        <v>0</v>
      </c>
      <c r="P71" s="64">
        <v>0.56000000000000005</v>
      </c>
      <c r="Q71" s="64">
        <v>9.76</v>
      </c>
      <c r="R71" s="198"/>
      <c r="S71" s="198"/>
      <c r="T71" s="198"/>
      <c r="U71" s="198"/>
    </row>
    <row r="72" spans="1:21" s="12" customFormat="1" x14ac:dyDescent="0.25">
      <c r="A72" s="214" t="s">
        <v>980</v>
      </c>
      <c r="B72" s="64">
        <v>7.95</v>
      </c>
      <c r="C72" s="64">
        <v>3</v>
      </c>
      <c r="D72" s="64">
        <v>11.71</v>
      </c>
      <c r="E72" s="64">
        <v>3.88</v>
      </c>
      <c r="F72" s="64">
        <v>4.08</v>
      </c>
      <c r="G72" s="64">
        <v>63.46</v>
      </c>
      <c r="H72" s="64">
        <v>19.440000000000001</v>
      </c>
      <c r="I72" s="64">
        <v>2.81</v>
      </c>
      <c r="J72" s="64">
        <v>0.7</v>
      </c>
      <c r="K72" s="64">
        <v>319.47000000000003</v>
      </c>
      <c r="L72" s="64">
        <v>32.56</v>
      </c>
      <c r="M72" s="64">
        <v>80.989999999999995</v>
      </c>
      <c r="N72" s="64">
        <v>133.5</v>
      </c>
      <c r="O72" s="64">
        <v>0</v>
      </c>
      <c r="P72" s="64">
        <v>0.54</v>
      </c>
      <c r="Q72" s="64">
        <v>9.77</v>
      </c>
      <c r="R72" s="198"/>
      <c r="S72" s="198"/>
      <c r="T72" s="198"/>
      <c r="U72" s="198"/>
    </row>
    <row r="73" spans="1:21" s="12" customFormat="1" x14ac:dyDescent="0.25">
      <c r="A73" s="214" t="s">
        <v>981</v>
      </c>
      <c r="B73" s="64">
        <v>7.95</v>
      </c>
      <c r="C73" s="64">
        <v>3.02</v>
      </c>
      <c r="D73" s="64">
        <v>11.73</v>
      </c>
      <c r="E73" s="64">
        <v>4.45</v>
      </c>
      <c r="F73" s="64">
        <v>3.19</v>
      </c>
      <c r="G73" s="64">
        <v>59.06</v>
      </c>
      <c r="H73" s="64">
        <v>28.33</v>
      </c>
      <c r="I73" s="64">
        <v>2.63</v>
      </c>
      <c r="J73" s="64">
        <v>0.54</v>
      </c>
      <c r="K73" s="64">
        <v>316.01</v>
      </c>
      <c r="L73" s="64">
        <v>31.25</v>
      </c>
      <c r="M73" s="64">
        <v>86.66</v>
      </c>
      <c r="N73" s="64">
        <v>143.80000000000001</v>
      </c>
      <c r="O73" s="64">
        <v>0</v>
      </c>
      <c r="P73" s="64">
        <v>0.51</v>
      </c>
      <c r="Q73" s="64">
        <v>9.77</v>
      </c>
      <c r="R73" s="198"/>
      <c r="S73" s="198"/>
      <c r="T73" s="198"/>
      <c r="U73" s="198"/>
    </row>
    <row r="74" spans="1:21" s="12" customFormat="1" x14ac:dyDescent="0.25">
      <c r="A74" s="214" t="s">
        <v>982</v>
      </c>
      <c r="B74" s="64">
        <v>7.97</v>
      </c>
      <c r="C74" s="64">
        <v>3.01</v>
      </c>
      <c r="D74" s="64">
        <v>11.74</v>
      </c>
      <c r="E74" s="64">
        <v>4.3899999999999997</v>
      </c>
      <c r="F74" s="64">
        <v>4.3099999999999996</v>
      </c>
      <c r="G74" s="64">
        <v>59.06</v>
      </c>
      <c r="H74" s="64">
        <v>28.33</v>
      </c>
      <c r="I74" s="64">
        <v>2.4700000000000002</v>
      </c>
      <c r="J74" s="64">
        <v>0.35</v>
      </c>
      <c r="K74" s="64">
        <v>314.67</v>
      </c>
      <c r="L74" s="64">
        <v>30.78</v>
      </c>
      <c r="M74" s="64">
        <v>85</v>
      </c>
      <c r="N74" s="64">
        <v>121.9</v>
      </c>
      <c r="O74" s="64">
        <v>0</v>
      </c>
      <c r="P74" s="64">
        <v>0.49</v>
      </c>
      <c r="Q74" s="64">
        <v>9.6999999999999993</v>
      </c>
      <c r="R74" s="198"/>
      <c r="S74" s="198"/>
      <c r="T74" s="198"/>
      <c r="U74" s="198"/>
    </row>
    <row r="75" spans="1:21" s="12" customFormat="1" x14ac:dyDescent="0.25">
      <c r="A75" s="214" t="s">
        <v>983</v>
      </c>
      <c r="B75" s="64">
        <v>7.94</v>
      </c>
      <c r="C75" s="64">
        <v>2.92</v>
      </c>
      <c r="D75" s="64">
        <v>11.67</v>
      </c>
      <c r="E75" s="64">
        <v>4.2699999999999996</v>
      </c>
      <c r="F75" s="64">
        <v>2.54</v>
      </c>
      <c r="G75" s="64">
        <v>59.06</v>
      </c>
      <c r="H75" s="64">
        <v>28.33</v>
      </c>
      <c r="I75" s="64">
        <v>2.29</v>
      </c>
      <c r="J75" s="64">
        <v>0.28999999999999998</v>
      </c>
      <c r="K75" s="64">
        <v>335.9</v>
      </c>
      <c r="L75" s="64">
        <v>28</v>
      </c>
      <c r="M75" s="64">
        <v>99.89</v>
      </c>
      <c r="N75" s="64">
        <v>88.3</v>
      </c>
      <c r="O75" s="64">
        <v>6.2</v>
      </c>
      <c r="P75" s="64">
        <v>0.46</v>
      </c>
      <c r="Q75" s="64">
        <v>9.69</v>
      </c>
      <c r="R75" s="198"/>
      <c r="S75" s="198"/>
      <c r="T75" s="198"/>
      <c r="U75" s="198"/>
    </row>
    <row r="76" spans="1:21" s="12" customFormat="1" x14ac:dyDescent="0.25">
      <c r="A76" s="214" t="s">
        <v>984</v>
      </c>
      <c r="B76" s="64">
        <v>7.93</v>
      </c>
      <c r="C76" s="64">
        <v>2.95</v>
      </c>
      <c r="D76" s="64">
        <v>11.67</v>
      </c>
      <c r="E76" s="64">
        <v>4.33</v>
      </c>
      <c r="F76" s="64">
        <v>5.03</v>
      </c>
      <c r="G76" s="64">
        <v>54.17</v>
      </c>
      <c r="H76" s="64">
        <v>26.62</v>
      </c>
      <c r="I76" s="64">
        <v>2.16</v>
      </c>
      <c r="J76" s="64">
        <v>1.04</v>
      </c>
      <c r="K76" s="64">
        <v>336.91</v>
      </c>
      <c r="L76" s="64">
        <v>26.62</v>
      </c>
      <c r="M76" s="64">
        <v>101.69</v>
      </c>
      <c r="N76" s="64">
        <v>56.7</v>
      </c>
      <c r="O76" s="64">
        <v>1</v>
      </c>
      <c r="P76" s="64">
        <v>0.44</v>
      </c>
      <c r="Q76" s="64">
        <v>9.69</v>
      </c>
      <c r="R76" s="198"/>
      <c r="S76" s="198"/>
      <c r="T76" s="198"/>
      <c r="U76" s="198"/>
    </row>
    <row r="77" spans="1:21" s="12" customFormat="1" x14ac:dyDescent="0.25">
      <c r="A77" s="214" t="s">
        <v>985</v>
      </c>
      <c r="B77" s="64">
        <v>7.95</v>
      </c>
      <c r="C77" s="64">
        <v>3.03</v>
      </c>
      <c r="D77" s="64">
        <v>11.73</v>
      </c>
      <c r="E77" s="64">
        <v>4.0599999999999996</v>
      </c>
      <c r="F77" s="64">
        <v>3.13</v>
      </c>
      <c r="G77" s="64">
        <v>45.32</v>
      </c>
      <c r="H77" s="64">
        <v>20.64</v>
      </c>
      <c r="I77" s="64">
        <v>1.97</v>
      </c>
      <c r="J77" s="64">
        <v>1.39</v>
      </c>
      <c r="K77" s="64">
        <v>339.79</v>
      </c>
      <c r="L77" s="64">
        <v>25.8</v>
      </c>
      <c r="M77" s="64">
        <v>101.7</v>
      </c>
      <c r="N77" s="64">
        <v>49.4</v>
      </c>
      <c r="O77" s="64">
        <v>14</v>
      </c>
      <c r="P77" s="64">
        <v>0.43</v>
      </c>
      <c r="Q77" s="64">
        <v>9.67</v>
      </c>
      <c r="R77" s="198"/>
      <c r="S77" s="198"/>
      <c r="T77" s="198"/>
      <c r="U77" s="198"/>
    </row>
    <row r="78" spans="1:21" s="12" customFormat="1" x14ac:dyDescent="0.25">
      <c r="A78" s="214" t="s">
        <v>986</v>
      </c>
      <c r="B78" s="64">
        <v>7.97</v>
      </c>
      <c r="C78" s="64">
        <v>3.08</v>
      </c>
      <c r="D78" s="64">
        <v>11.77</v>
      </c>
      <c r="E78" s="64">
        <v>4.34</v>
      </c>
      <c r="F78" s="64">
        <v>3.4</v>
      </c>
      <c r="G78" s="64">
        <v>45.32</v>
      </c>
      <c r="H78" s="64">
        <v>20.64</v>
      </c>
      <c r="I78" s="64">
        <v>1.87</v>
      </c>
      <c r="J78" s="64">
        <v>0.34</v>
      </c>
      <c r="K78" s="64">
        <v>112.41</v>
      </c>
      <c r="L78" s="64">
        <v>24.63</v>
      </c>
      <c r="M78" s="64">
        <v>101.7</v>
      </c>
      <c r="N78" s="64">
        <v>49.7</v>
      </c>
      <c r="O78" s="64">
        <v>2.4</v>
      </c>
      <c r="P78" s="64">
        <v>0.4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4" t="s">
        <v>987</v>
      </c>
      <c r="B79" s="64">
        <v>7.97</v>
      </c>
      <c r="C79" s="64">
        <v>3</v>
      </c>
      <c r="D79" s="64">
        <v>11.73</v>
      </c>
      <c r="E79" s="64">
        <v>4.04</v>
      </c>
      <c r="F79" s="64">
        <v>3.75</v>
      </c>
      <c r="G79" s="64">
        <v>45.32</v>
      </c>
      <c r="H79" s="64">
        <v>20.64</v>
      </c>
      <c r="I79" s="64">
        <v>1.79</v>
      </c>
      <c r="J79" s="64">
        <v>0.38</v>
      </c>
      <c r="K79" s="64">
        <v>332.47</v>
      </c>
      <c r="L79" s="64">
        <v>25.01</v>
      </c>
      <c r="M79" s="64">
        <v>101.7</v>
      </c>
      <c r="N79" s="64">
        <v>42.7</v>
      </c>
      <c r="O79" s="64">
        <v>0.4</v>
      </c>
      <c r="P79" s="64">
        <v>0.4</v>
      </c>
      <c r="Q79" s="64">
        <v>9.6300000000000008</v>
      </c>
      <c r="R79" s="198"/>
      <c r="S79" s="198"/>
      <c r="T79" s="198"/>
      <c r="U79" s="198"/>
    </row>
    <row r="80" spans="1:21" s="12" customFormat="1" x14ac:dyDescent="0.25">
      <c r="A80" s="214" t="s">
        <v>988</v>
      </c>
      <c r="B80" s="64">
        <v>7.97</v>
      </c>
      <c r="C80" s="64">
        <v>2.98</v>
      </c>
      <c r="D80" s="64">
        <v>11.72</v>
      </c>
      <c r="E80" s="64">
        <v>4.1500000000000004</v>
      </c>
      <c r="F80" s="64">
        <v>3.42</v>
      </c>
      <c r="G80" s="64">
        <v>42.26</v>
      </c>
      <c r="H80" s="64">
        <v>16.07</v>
      </c>
      <c r="I80" s="64">
        <v>2.08</v>
      </c>
      <c r="J80" s="64">
        <v>0.95</v>
      </c>
      <c r="K80" s="64">
        <v>338.32</v>
      </c>
      <c r="L80" s="64">
        <v>25.25</v>
      </c>
      <c r="M80" s="64">
        <v>101.7</v>
      </c>
      <c r="N80" s="64">
        <v>41.6</v>
      </c>
      <c r="O80" s="64">
        <v>0.2</v>
      </c>
      <c r="P80" s="64">
        <v>0.4</v>
      </c>
      <c r="Q80" s="64">
        <v>9.66</v>
      </c>
      <c r="R80" s="198"/>
      <c r="S80" s="198"/>
      <c r="T80" s="198"/>
      <c r="U80" s="198"/>
    </row>
    <row r="81" spans="1:26" s="12" customFormat="1" x14ac:dyDescent="0.25">
      <c r="A81" s="214" t="s">
        <v>989</v>
      </c>
      <c r="B81" s="64">
        <v>7.97</v>
      </c>
      <c r="C81" s="64">
        <v>3.03</v>
      </c>
      <c r="D81" s="64">
        <v>11.75</v>
      </c>
      <c r="E81" s="64">
        <v>4.1500000000000004</v>
      </c>
      <c r="F81" s="64">
        <v>3.16</v>
      </c>
      <c r="G81" s="64">
        <v>36.72</v>
      </c>
      <c r="H81" s="64">
        <v>11.07</v>
      </c>
      <c r="I81" s="64">
        <v>2.2200000000000002</v>
      </c>
      <c r="J81" s="64">
        <v>0.04</v>
      </c>
      <c r="K81" s="64">
        <v>3.93</v>
      </c>
      <c r="L81" s="64">
        <v>25.23</v>
      </c>
      <c r="M81" s="64">
        <v>101.7</v>
      </c>
      <c r="N81" s="64">
        <v>40.799999999999997</v>
      </c>
      <c r="O81" s="64">
        <v>0</v>
      </c>
      <c r="P81" s="64">
        <v>0.42</v>
      </c>
      <c r="Q81" s="64">
        <v>9.69</v>
      </c>
      <c r="R81" s="198"/>
      <c r="S81" s="198"/>
      <c r="T81" s="198"/>
      <c r="U81" s="198"/>
    </row>
    <row r="82" spans="1:26" s="12" customFormat="1" x14ac:dyDescent="0.25">
      <c r="A82" s="214" t="s">
        <v>990</v>
      </c>
      <c r="B82" s="64">
        <v>7.98</v>
      </c>
      <c r="C82" s="64">
        <v>2.99</v>
      </c>
      <c r="D82" s="64">
        <v>11.74</v>
      </c>
      <c r="E82" s="64">
        <v>4.22</v>
      </c>
      <c r="F82" s="64">
        <v>3.29</v>
      </c>
      <c r="G82" s="64">
        <v>36.72</v>
      </c>
      <c r="H82" s="64">
        <v>11.07</v>
      </c>
      <c r="I82" s="64">
        <v>2.46</v>
      </c>
      <c r="J82" s="64">
        <v>0.09</v>
      </c>
      <c r="K82" s="64">
        <v>302.64999999999998</v>
      </c>
      <c r="L82" s="64">
        <v>25.28</v>
      </c>
      <c r="M82" s="64">
        <v>101.7</v>
      </c>
      <c r="N82" s="64">
        <v>40.700000000000003</v>
      </c>
      <c r="O82" s="64">
        <v>0</v>
      </c>
      <c r="P82" s="64">
        <v>0.43</v>
      </c>
      <c r="Q82" s="64">
        <v>9.7200000000000006</v>
      </c>
      <c r="R82" s="198"/>
      <c r="S82" s="198"/>
      <c r="T82" s="198"/>
      <c r="U82" s="198"/>
    </row>
    <row r="83" spans="1:26" s="12" customFormat="1" x14ac:dyDescent="0.25">
      <c r="A83" s="214" t="s">
        <v>991</v>
      </c>
      <c r="B83" s="64">
        <v>7.97</v>
      </c>
      <c r="C83" s="64">
        <v>3</v>
      </c>
      <c r="D83" s="64">
        <v>11.73</v>
      </c>
      <c r="E83" s="64">
        <v>4.54</v>
      </c>
      <c r="F83" s="64">
        <v>3.13</v>
      </c>
      <c r="G83" s="64">
        <v>36.72</v>
      </c>
      <c r="H83" s="64">
        <v>11.07</v>
      </c>
      <c r="I83" s="64">
        <v>2.65</v>
      </c>
      <c r="J83" s="64">
        <v>0.06</v>
      </c>
      <c r="K83" s="64">
        <v>199.52</v>
      </c>
      <c r="L83" s="64">
        <v>25.52</v>
      </c>
      <c r="M83" s="64">
        <v>101.7</v>
      </c>
      <c r="N83" s="64">
        <v>40.5</v>
      </c>
      <c r="O83" s="64">
        <v>0</v>
      </c>
      <c r="P83" s="64">
        <v>0.44</v>
      </c>
      <c r="Q83" s="64">
        <v>9.74</v>
      </c>
      <c r="R83" s="198"/>
      <c r="S83" s="198"/>
      <c r="T83" s="198"/>
      <c r="U83" s="198"/>
    </row>
    <row r="84" spans="1:26" s="12" customFormat="1" x14ac:dyDescent="0.25">
      <c r="A84" s="214" t="s">
        <v>992</v>
      </c>
      <c r="B84" s="64">
        <v>7.98</v>
      </c>
      <c r="C84" s="64">
        <v>3.01</v>
      </c>
      <c r="D84" s="64">
        <v>11.75</v>
      </c>
      <c r="E84" s="64">
        <v>4.24</v>
      </c>
      <c r="F84" s="64">
        <v>3.28</v>
      </c>
      <c r="G84" s="64">
        <v>34.909999999999997</v>
      </c>
      <c r="H84" s="64">
        <v>16.059999999999999</v>
      </c>
      <c r="I84" s="64">
        <v>2.84</v>
      </c>
      <c r="J84" s="64">
        <v>0.09</v>
      </c>
      <c r="K84" s="64">
        <v>308.47000000000003</v>
      </c>
      <c r="L84" s="64">
        <v>25.65</v>
      </c>
      <c r="M84" s="64">
        <v>101.7</v>
      </c>
      <c r="N84" s="64">
        <v>40.4</v>
      </c>
      <c r="O84" s="64">
        <v>0</v>
      </c>
      <c r="P84" s="64">
        <v>0.46</v>
      </c>
      <c r="Q84" s="64">
        <v>9.74</v>
      </c>
      <c r="R84" s="198"/>
      <c r="S84" s="198"/>
      <c r="T84" s="198"/>
      <c r="U84" s="198"/>
    </row>
    <row r="85" spans="1:26" s="12" customFormat="1" x14ac:dyDescent="0.25">
      <c r="A85" s="214" t="s">
        <v>993</v>
      </c>
      <c r="B85" s="64">
        <v>8</v>
      </c>
      <c r="C85" s="64">
        <v>2.95</v>
      </c>
      <c r="D85" s="64">
        <v>11.73</v>
      </c>
      <c r="E85" s="64">
        <v>4.29</v>
      </c>
      <c r="F85" s="64">
        <v>4.21</v>
      </c>
      <c r="G85" s="64">
        <v>31.62</v>
      </c>
      <c r="H85" s="64">
        <v>21.51</v>
      </c>
      <c r="I85" s="64">
        <v>3.04</v>
      </c>
      <c r="J85" s="64">
        <v>0.25</v>
      </c>
      <c r="K85" s="64">
        <v>353.82</v>
      </c>
      <c r="L85" s="64">
        <v>25.75</v>
      </c>
      <c r="M85" s="64">
        <v>101.33</v>
      </c>
      <c r="N85" s="64">
        <v>40.700000000000003</v>
      </c>
      <c r="O85" s="64">
        <v>0</v>
      </c>
      <c r="P85" s="64">
        <v>0.52</v>
      </c>
      <c r="Q85" s="64">
        <v>9.82</v>
      </c>
      <c r="R85" s="198"/>
      <c r="S85" s="198"/>
      <c r="T85" s="198"/>
      <c r="U85" s="198"/>
    </row>
    <row r="86" spans="1:26" s="12" customFormat="1" x14ac:dyDescent="0.25">
      <c r="A86" s="214" t="s">
        <v>994</v>
      </c>
      <c r="B86" s="64">
        <v>7.99</v>
      </c>
      <c r="C86" s="64">
        <v>3.03</v>
      </c>
      <c r="D86" s="64">
        <v>11.76</v>
      </c>
      <c r="E86" s="64">
        <v>4.4000000000000004</v>
      </c>
      <c r="F86" s="64">
        <v>3.2</v>
      </c>
      <c r="G86" s="64">
        <v>31.62</v>
      </c>
      <c r="H86" s="64">
        <v>21.51</v>
      </c>
      <c r="I86" s="64">
        <v>3.27</v>
      </c>
      <c r="J86" s="64">
        <v>0.33</v>
      </c>
      <c r="K86" s="64">
        <v>349.98</v>
      </c>
      <c r="L86" s="64">
        <v>25.64</v>
      </c>
      <c r="M86" s="64">
        <v>101.7</v>
      </c>
      <c r="N86" s="64">
        <v>40.799999999999997</v>
      </c>
      <c r="O86" s="64">
        <v>0.2</v>
      </c>
      <c r="P86" s="64">
        <v>0.6</v>
      </c>
      <c r="Q86" s="64">
        <v>9.86</v>
      </c>
      <c r="R86" s="198"/>
      <c r="S86" s="198"/>
      <c r="T86" s="198"/>
      <c r="U86" s="198"/>
    </row>
    <row r="87" spans="1:26" s="12" customFormat="1" x14ac:dyDescent="0.25">
      <c r="A87" s="214" t="s">
        <v>995</v>
      </c>
      <c r="B87" s="64">
        <v>7.98</v>
      </c>
      <c r="C87" s="64">
        <v>3.02</v>
      </c>
      <c r="D87" s="64">
        <v>11.75</v>
      </c>
      <c r="E87" s="64">
        <v>4.4800000000000004</v>
      </c>
      <c r="F87" s="64">
        <v>4.07</v>
      </c>
      <c r="G87" s="64">
        <v>31.62</v>
      </c>
      <c r="H87" s="64">
        <v>21.51</v>
      </c>
      <c r="I87" s="64">
        <v>3.38</v>
      </c>
      <c r="J87" s="64">
        <v>0.27</v>
      </c>
      <c r="K87" s="64">
        <v>339.42</v>
      </c>
      <c r="L87" s="64">
        <v>25.64</v>
      </c>
      <c r="M87" s="64">
        <v>101.15</v>
      </c>
      <c r="N87" s="64">
        <v>40.299999999999997</v>
      </c>
      <c r="O87" s="64">
        <v>0</v>
      </c>
      <c r="P87" s="64">
        <v>0.65</v>
      </c>
      <c r="Q87" s="64">
        <v>9.85</v>
      </c>
      <c r="R87" s="198"/>
      <c r="S87" s="198"/>
      <c r="T87" s="198"/>
      <c r="U87" s="198"/>
    </row>
    <row r="88" spans="1:26" s="12" customFormat="1" x14ac:dyDescent="0.25">
      <c r="A88" s="214" t="s">
        <v>996</v>
      </c>
      <c r="B88" s="64">
        <v>7.97</v>
      </c>
      <c r="C88" s="64">
        <v>2.99</v>
      </c>
      <c r="D88" s="64">
        <v>11.73</v>
      </c>
      <c r="E88" s="64">
        <v>4.5</v>
      </c>
      <c r="F88" s="64">
        <v>3.93</v>
      </c>
      <c r="G88" s="64">
        <v>36.369999999999997</v>
      </c>
      <c r="H88" s="64">
        <v>26.47</v>
      </c>
      <c r="I88" s="64">
        <v>3.56</v>
      </c>
      <c r="J88" s="64">
        <v>0.32</v>
      </c>
      <c r="K88" s="64">
        <v>338.98</v>
      </c>
      <c r="L88" s="64">
        <v>25.78</v>
      </c>
      <c r="M88" s="64">
        <v>101.15</v>
      </c>
      <c r="N88" s="64">
        <v>40.5</v>
      </c>
      <c r="O88" s="64">
        <v>0</v>
      </c>
      <c r="P88" s="64">
        <v>0.71</v>
      </c>
      <c r="Q88" s="64">
        <v>9.85</v>
      </c>
      <c r="R88" s="198"/>
      <c r="S88" s="198"/>
      <c r="T88" s="198"/>
      <c r="U88" s="198"/>
    </row>
    <row r="89" spans="1:26" s="12" customFormat="1" x14ac:dyDescent="0.25">
      <c r="A89" s="214" t="s">
        <v>997</v>
      </c>
      <c r="B89" s="64">
        <v>8.02</v>
      </c>
      <c r="C89" s="64">
        <v>3.08</v>
      </c>
      <c r="D89" s="64">
        <v>11.81</v>
      </c>
      <c r="E89" s="64">
        <v>2.81</v>
      </c>
      <c r="F89" s="64">
        <v>2.99</v>
      </c>
      <c r="G89" s="64">
        <v>44.98</v>
      </c>
      <c r="H89" s="64">
        <v>31.9</v>
      </c>
      <c r="I89" s="64">
        <v>3.65</v>
      </c>
      <c r="J89" s="64">
        <v>0.27</v>
      </c>
      <c r="K89" s="64">
        <v>330.35</v>
      </c>
      <c r="L89" s="64">
        <v>25.8</v>
      </c>
      <c r="M89" s="64">
        <v>101.15</v>
      </c>
      <c r="N89" s="64">
        <v>40.5</v>
      </c>
      <c r="O89" s="64">
        <v>0.2</v>
      </c>
      <c r="P89" s="64">
        <v>0.77</v>
      </c>
      <c r="Q89" s="64">
        <v>9.93</v>
      </c>
      <c r="R89" s="198"/>
      <c r="S89" s="198"/>
      <c r="T89" s="198"/>
      <c r="U89" s="198"/>
    </row>
    <row r="90" spans="1:26" s="12" customFormat="1" x14ac:dyDescent="0.25">
      <c r="A90" s="214" t="s">
        <v>998</v>
      </c>
      <c r="B90" s="64">
        <v>7.98</v>
      </c>
      <c r="C90" s="64">
        <v>3.01</v>
      </c>
      <c r="D90" s="64">
        <v>11.75</v>
      </c>
      <c r="E90" s="64">
        <v>3.05</v>
      </c>
      <c r="F90" s="64">
        <v>3.83</v>
      </c>
      <c r="G90" s="64">
        <v>44.98</v>
      </c>
      <c r="H90" s="64">
        <v>31.9</v>
      </c>
      <c r="I90" s="64">
        <v>3.88</v>
      </c>
      <c r="J90" s="64">
        <v>0.21</v>
      </c>
      <c r="K90" s="64">
        <v>323.99</v>
      </c>
      <c r="L90" s="64">
        <v>25.69</v>
      </c>
      <c r="M90" s="64">
        <v>101.7</v>
      </c>
      <c r="N90" s="64">
        <v>40.5</v>
      </c>
      <c r="O90" s="64">
        <v>0</v>
      </c>
      <c r="P90" s="64">
        <v>0.8</v>
      </c>
      <c r="Q90" s="64">
        <v>9.9499999999999993</v>
      </c>
      <c r="R90" s="198"/>
      <c r="S90" s="198"/>
      <c r="T90" s="198"/>
      <c r="U90" s="198"/>
    </row>
    <row r="91" spans="1:26" s="12" customFormat="1" x14ac:dyDescent="0.25">
      <c r="A91" s="214" t="s">
        <v>999</v>
      </c>
      <c r="B91" s="64">
        <v>8.02</v>
      </c>
      <c r="C91" s="64">
        <v>3.11</v>
      </c>
      <c r="D91" s="64">
        <v>11.83</v>
      </c>
      <c r="E91" s="64">
        <v>3.03</v>
      </c>
      <c r="F91" s="64">
        <v>2.58</v>
      </c>
      <c r="G91" s="64">
        <v>44.98</v>
      </c>
      <c r="H91" s="64">
        <v>31.9</v>
      </c>
      <c r="I91" s="64">
        <v>4</v>
      </c>
      <c r="J91" s="64">
        <v>7.0000000000000007E-2</v>
      </c>
      <c r="K91" s="64">
        <v>339.76</v>
      </c>
      <c r="L91" s="64">
        <v>25.73</v>
      </c>
      <c r="M91" s="64">
        <v>101.15</v>
      </c>
      <c r="N91" s="64">
        <v>40.4</v>
      </c>
      <c r="O91" s="64">
        <v>0.2</v>
      </c>
      <c r="P91" s="64">
        <v>0.81</v>
      </c>
      <c r="Q91" s="64">
        <v>9.9600000000000009</v>
      </c>
      <c r="R91" s="198"/>
      <c r="S91" s="198"/>
      <c r="T91" s="198"/>
      <c r="U91" s="198"/>
    </row>
    <row r="92" spans="1:26" s="12" customFormat="1" x14ac:dyDescent="0.25">
      <c r="A92" s="214" t="s">
        <v>1000</v>
      </c>
      <c r="B92" s="64">
        <v>8.0399999999999991</v>
      </c>
      <c r="C92" s="64">
        <v>3.17</v>
      </c>
      <c r="D92" s="64">
        <v>11.88</v>
      </c>
      <c r="E92" s="64">
        <v>3.12</v>
      </c>
      <c r="F92" s="64">
        <v>3.95</v>
      </c>
      <c r="G92" s="64">
        <v>44.64</v>
      </c>
      <c r="H92" s="64">
        <v>32.06</v>
      </c>
      <c r="I92" s="64">
        <v>4.04</v>
      </c>
      <c r="J92" s="64">
        <v>0.17</v>
      </c>
      <c r="K92" s="64">
        <v>326.02</v>
      </c>
      <c r="L92" s="64">
        <v>25.74</v>
      </c>
      <c r="M92" s="64">
        <v>101.15</v>
      </c>
      <c r="N92" s="64">
        <v>40.4</v>
      </c>
      <c r="O92" s="64">
        <v>0</v>
      </c>
      <c r="P92" s="64">
        <v>0.82</v>
      </c>
      <c r="Q92" s="64">
        <v>10.02</v>
      </c>
      <c r="R92" s="198"/>
      <c r="S92" s="198"/>
      <c r="T92" s="198"/>
      <c r="U92" s="198"/>
    </row>
    <row r="93" spans="1:26" s="12" customFormat="1" x14ac:dyDescent="0.25">
      <c r="A93" s="214" t="s">
        <v>1001</v>
      </c>
      <c r="B93" s="64">
        <v>8.02</v>
      </c>
      <c r="C93" s="64">
        <v>3.1</v>
      </c>
      <c r="D93" s="64">
        <v>11.83</v>
      </c>
      <c r="E93" s="64">
        <v>3.5</v>
      </c>
      <c r="F93" s="64">
        <v>3.02</v>
      </c>
      <c r="G93" s="64">
        <v>44.03</v>
      </c>
      <c r="H93" s="64">
        <v>32.65</v>
      </c>
      <c r="I93" s="64">
        <v>4.0599999999999996</v>
      </c>
      <c r="J93" s="64">
        <v>0.14000000000000001</v>
      </c>
      <c r="K93" s="64">
        <v>315.60000000000002</v>
      </c>
      <c r="L93" s="64">
        <v>25.9</v>
      </c>
      <c r="M93" s="64">
        <v>101.15</v>
      </c>
      <c r="N93" s="64">
        <v>40.4</v>
      </c>
      <c r="O93" s="64">
        <v>0</v>
      </c>
      <c r="P93" s="64">
        <v>0.82</v>
      </c>
      <c r="Q93" s="64">
        <v>10.050000000000001</v>
      </c>
      <c r="R93" s="198"/>
      <c r="S93" s="198"/>
      <c r="T93" s="198"/>
      <c r="U93" s="198"/>
    </row>
    <row r="94" spans="1:26" s="12" customFormat="1" x14ac:dyDescent="0.25">
      <c r="A94" s="214" t="s">
        <v>1002</v>
      </c>
      <c r="B94" s="64">
        <v>7.98</v>
      </c>
      <c r="C94" s="64">
        <v>3.05</v>
      </c>
      <c r="D94" s="64">
        <v>11.77</v>
      </c>
      <c r="E94" s="64">
        <v>2.71</v>
      </c>
      <c r="F94" s="64">
        <v>3.2</v>
      </c>
      <c r="G94" s="64">
        <v>44.03</v>
      </c>
      <c r="H94" s="64">
        <v>32.65</v>
      </c>
      <c r="I94" s="64">
        <v>4.0199999999999996</v>
      </c>
      <c r="J94" s="64">
        <v>0.2</v>
      </c>
      <c r="K94" s="64">
        <v>321.63</v>
      </c>
      <c r="L94" s="64">
        <v>25.77</v>
      </c>
      <c r="M94" s="64">
        <v>101.7</v>
      </c>
      <c r="N94" s="64">
        <v>40.700000000000003</v>
      </c>
      <c r="O94" s="64">
        <v>0</v>
      </c>
      <c r="P94" s="64">
        <v>0.82</v>
      </c>
      <c r="Q94" s="64">
        <v>10.01</v>
      </c>
      <c r="R94" s="198"/>
      <c r="S94" s="198"/>
      <c r="T94" s="198"/>
      <c r="U94" s="198"/>
    </row>
    <row r="95" spans="1:26" s="12" customFormat="1" x14ac:dyDescent="0.25">
      <c r="A95" s="214" t="s">
        <v>1003</v>
      </c>
      <c r="B95" s="64">
        <v>7.97</v>
      </c>
      <c r="C95" s="64">
        <v>2.98</v>
      </c>
      <c r="D95" s="64">
        <v>11.72</v>
      </c>
      <c r="E95" s="64">
        <v>3.11</v>
      </c>
      <c r="F95" s="64">
        <v>3.81</v>
      </c>
      <c r="G95" s="64">
        <v>44.03</v>
      </c>
      <c r="H95" s="64">
        <v>32.65</v>
      </c>
      <c r="I95" s="64">
        <v>4.08</v>
      </c>
      <c r="J95" s="64">
        <v>0.44</v>
      </c>
      <c r="K95" s="64">
        <v>321.87</v>
      </c>
      <c r="L95" s="64">
        <v>25.71</v>
      </c>
      <c r="M95" s="64">
        <v>101.15</v>
      </c>
      <c r="N95" s="64">
        <v>40.9</v>
      </c>
      <c r="O95" s="64">
        <v>0</v>
      </c>
      <c r="P95" s="64">
        <v>0.8</v>
      </c>
      <c r="Q95" s="64">
        <v>9.99</v>
      </c>
      <c r="R95" s="198"/>
      <c r="S95" s="198"/>
      <c r="T95" s="198"/>
      <c r="U95" s="198"/>
    </row>
    <row r="96" spans="1:26" s="12" customFormat="1" x14ac:dyDescent="0.25">
      <c r="A96" s="214" t="s">
        <v>1004</v>
      </c>
      <c r="B96" s="64">
        <v>8</v>
      </c>
      <c r="C96" s="64">
        <v>3</v>
      </c>
      <c r="D96" s="64">
        <v>11.76</v>
      </c>
      <c r="E96" s="64">
        <v>3.06</v>
      </c>
      <c r="F96" s="64">
        <v>3.53</v>
      </c>
      <c r="G96" s="64">
        <v>42.43</v>
      </c>
      <c r="H96" s="64">
        <v>27.64</v>
      </c>
      <c r="I96" s="64">
        <v>4.05</v>
      </c>
      <c r="J96" s="64">
        <v>0.15</v>
      </c>
      <c r="K96" s="64">
        <v>306.45</v>
      </c>
      <c r="L96" s="64">
        <v>25.73</v>
      </c>
      <c r="M96" s="64">
        <v>101.15</v>
      </c>
      <c r="N96" s="64">
        <v>40.799999999999997</v>
      </c>
      <c r="O96" s="64">
        <v>0</v>
      </c>
      <c r="P96" s="64">
        <v>0.8</v>
      </c>
      <c r="Q96" s="64">
        <v>10.06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1005</v>
      </c>
      <c r="B97" s="64">
        <v>8.02</v>
      </c>
      <c r="C97" s="64">
        <v>3.09</v>
      </c>
      <c r="D97" s="64">
        <v>11.82</v>
      </c>
      <c r="E97" s="64">
        <v>2.97</v>
      </c>
      <c r="F97" s="64">
        <v>3.13</v>
      </c>
      <c r="G97" s="64">
        <v>39.53</v>
      </c>
      <c r="H97" s="64">
        <v>22.17</v>
      </c>
      <c r="I97" s="64">
        <v>4.05</v>
      </c>
      <c r="J97" s="64">
        <v>0.16</v>
      </c>
      <c r="K97" s="64">
        <v>322.27</v>
      </c>
      <c r="L97" s="64">
        <v>25.87</v>
      </c>
      <c r="M97" s="64">
        <v>101.15</v>
      </c>
      <c r="N97" s="64">
        <v>40.799999999999997</v>
      </c>
      <c r="O97" s="64">
        <v>0</v>
      </c>
      <c r="P97" s="64">
        <v>0.8</v>
      </c>
      <c r="Q97" s="64">
        <v>10.08</v>
      </c>
      <c r="R97" s="198"/>
      <c r="S97" s="198"/>
      <c r="T97" s="198"/>
      <c r="U97" s="198"/>
    </row>
    <row r="98" spans="1:33" s="12" customFormat="1" x14ac:dyDescent="0.25">
      <c r="A98" s="214" t="s">
        <v>1006</v>
      </c>
      <c r="B98" s="64">
        <v>8.07</v>
      </c>
      <c r="C98" s="64">
        <v>3.12</v>
      </c>
      <c r="D98" s="64">
        <v>11.87</v>
      </c>
      <c r="E98" s="64">
        <v>2.97</v>
      </c>
      <c r="F98" s="64">
        <v>3.65</v>
      </c>
      <c r="G98" s="64">
        <v>39.53</v>
      </c>
      <c r="H98" s="64">
        <v>22.17</v>
      </c>
      <c r="I98" s="64">
        <v>4.0599999999999996</v>
      </c>
      <c r="J98" s="64">
        <v>0.15</v>
      </c>
      <c r="K98" s="64">
        <v>308.73</v>
      </c>
      <c r="L98" s="64">
        <v>25.87</v>
      </c>
      <c r="M98" s="64">
        <v>101.69</v>
      </c>
      <c r="N98" s="64">
        <v>40.700000000000003</v>
      </c>
      <c r="O98" s="64">
        <v>0</v>
      </c>
      <c r="P98" s="64">
        <v>0.8</v>
      </c>
      <c r="Q98" s="64">
        <v>10.08</v>
      </c>
      <c r="R98" s="198"/>
      <c r="S98" s="198"/>
      <c r="T98" s="198"/>
      <c r="U98" s="198"/>
    </row>
    <row r="99" spans="1:33" s="12" customFormat="1" x14ac:dyDescent="0.25">
      <c r="A99" s="214" t="s">
        <v>1007</v>
      </c>
      <c r="B99" s="64">
        <v>8.0500000000000007</v>
      </c>
      <c r="C99" s="64">
        <v>3.08</v>
      </c>
      <c r="D99" s="64">
        <v>11.84</v>
      </c>
      <c r="E99" s="64">
        <v>2.81</v>
      </c>
      <c r="F99" s="64">
        <v>3.38</v>
      </c>
      <c r="G99" s="64">
        <v>39.53</v>
      </c>
      <c r="H99" s="64">
        <v>22.17</v>
      </c>
      <c r="I99" s="64">
        <v>4.18</v>
      </c>
      <c r="J99" s="64">
        <v>0.19</v>
      </c>
      <c r="K99" s="64">
        <v>314.24</v>
      </c>
      <c r="L99" s="64">
        <v>25.87</v>
      </c>
      <c r="M99" s="64">
        <v>101.16</v>
      </c>
      <c r="N99" s="64">
        <v>40.799999999999997</v>
      </c>
      <c r="O99" s="64">
        <v>0</v>
      </c>
      <c r="P99" s="64">
        <v>0.79</v>
      </c>
      <c r="Q99" s="64">
        <v>10.07</v>
      </c>
      <c r="R99" s="198"/>
      <c r="S99" s="198"/>
      <c r="T99" s="198"/>
      <c r="U99" s="198"/>
    </row>
    <row r="100" spans="1:33" s="12" customFormat="1" x14ac:dyDescent="0.25">
      <c r="A100" s="214" t="s">
        <v>1008</v>
      </c>
      <c r="B100" s="64">
        <v>8.0399999999999991</v>
      </c>
      <c r="C100" s="64">
        <v>3.07</v>
      </c>
      <c r="D100" s="64">
        <v>11.83</v>
      </c>
      <c r="E100" s="64">
        <v>2.93</v>
      </c>
      <c r="F100" s="64">
        <v>3.25</v>
      </c>
      <c r="G100" s="64">
        <v>37.01</v>
      </c>
      <c r="H100" s="64">
        <v>19.77</v>
      </c>
      <c r="I100" s="64">
        <v>4.32</v>
      </c>
      <c r="J100" s="64">
        <v>0.18</v>
      </c>
      <c r="K100" s="64">
        <v>318.39</v>
      </c>
      <c r="L100" s="64">
        <v>25.93</v>
      </c>
      <c r="M100" s="64">
        <v>101.15</v>
      </c>
      <c r="N100" s="64">
        <v>40.700000000000003</v>
      </c>
      <c r="O100" s="64">
        <v>0</v>
      </c>
      <c r="P100" s="64">
        <v>0.78</v>
      </c>
      <c r="Q100" s="64">
        <v>10.08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1009</v>
      </c>
      <c r="B101" s="64">
        <v>8.01</v>
      </c>
      <c r="C101" s="64">
        <v>3</v>
      </c>
      <c r="D101" s="64">
        <v>11.77</v>
      </c>
      <c r="E101" s="64">
        <v>3.14</v>
      </c>
      <c r="F101" s="64">
        <v>3.19</v>
      </c>
      <c r="G101" s="64">
        <v>32.450000000000003</v>
      </c>
      <c r="H101" s="64">
        <v>17.149999999999999</v>
      </c>
      <c r="I101" s="64">
        <v>4.3600000000000003</v>
      </c>
      <c r="J101" s="64">
        <v>0.31</v>
      </c>
      <c r="K101" s="64">
        <v>317.01</v>
      </c>
      <c r="L101" s="64">
        <v>26.05</v>
      </c>
      <c r="M101" s="64">
        <v>101.15</v>
      </c>
      <c r="N101" s="64">
        <v>40.9</v>
      </c>
      <c r="O101" s="64">
        <v>0</v>
      </c>
      <c r="P101" s="64">
        <v>0.76</v>
      </c>
      <c r="Q101" s="64">
        <v>10.1</v>
      </c>
      <c r="R101" s="198"/>
      <c r="S101" s="198"/>
      <c r="T101" s="198"/>
      <c r="U101" s="198"/>
    </row>
    <row r="102" spans="1:33" s="12" customFormat="1" x14ac:dyDescent="0.25">
      <c r="A102" s="214" t="s">
        <v>1010</v>
      </c>
      <c r="B102" s="64">
        <v>8</v>
      </c>
      <c r="C102" s="64">
        <v>2.99</v>
      </c>
      <c r="D102" s="64">
        <v>11.75</v>
      </c>
      <c r="E102" s="64">
        <v>3.13</v>
      </c>
      <c r="F102" s="64">
        <v>3.79</v>
      </c>
      <c r="G102" s="64">
        <v>32.450000000000003</v>
      </c>
      <c r="H102" s="64">
        <v>17.149999999999999</v>
      </c>
      <c r="I102" s="64">
        <v>4.38</v>
      </c>
      <c r="J102" s="64">
        <v>0.42</v>
      </c>
      <c r="K102" s="64">
        <v>320.69</v>
      </c>
      <c r="L102" s="64">
        <v>26.01</v>
      </c>
      <c r="M102" s="64">
        <v>101.64</v>
      </c>
      <c r="N102" s="64">
        <v>40.799999999999997</v>
      </c>
      <c r="O102" s="64">
        <v>0</v>
      </c>
      <c r="P102" s="64">
        <v>0.75</v>
      </c>
      <c r="Q102" s="64">
        <v>10.14</v>
      </c>
      <c r="R102" s="198"/>
      <c r="S102" s="198"/>
      <c r="T102" s="198"/>
      <c r="U102" s="198"/>
    </row>
    <row r="103" spans="1:33" s="12" customFormat="1" x14ac:dyDescent="0.25">
      <c r="A103" s="214" t="s">
        <v>1011</v>
      </c>
      <c r="B103" s="64">
        <v>8.01</v>
      </c>
      <c r="C103" s="64">
        <v>3.03</v>
      </c>
      <c r="D103" s="64">
        <v>11.78</v>
      </c>
      <c r="E103" s="64">
        <v>2.72</v>
      </c>
      <c r="F103" s="64">
        <v>4.57</v>
      </c>
      <c r="G103" s="64">
        <v>32.450000000000003</v>
      </c>
      <c r="H103" s="64">
        <v>17.149999999999999</v>
      </c>
      <c r="I103" s="64">
        <v>4.37</v>
      </c>
      <c r="J103" s="64">
        <v>0.71</v>
      </c>
      <c r="K103" s="64">
        <v>326.27999999999997</v>
      </c>
      <c r="L103" s="64">
        <v>26.02</v>
      </c>
      <c r="M103" s="64">
        <v>101.21</v>
      </c>
      <c r="N103" s="64">
        <v>41.1</v>
      </c>
      <c r="O103" s="64">
        <v>0</v>
      </c>
      <c r="P103" s="64">
        <v>0.73</v>
      </c>
      <c r="Q103" s="64">
        <v>10.08</v>
      </c>
      <c r="R103" s="198"/>
      <c r="S103" s="198"/>
      <c r="T103" s="198"/>
      <c r="U103" s="198"/>
    </row>
    <row r="104" spans="1:33" s="12" customFormat="1" x14ac:dyDescent="0.25">
      <c r="A104" s="214" t="s">
        <v>1012</v>
      </c>
      <c r="B104" s="64">
        <v>8</v>
      </c>
      <c r="C104" s="64">
        <v>3.05</v>
      </c>
      <c r="D104" s="64">
        <v>11.78</v>
      </c>
      <c r="E104" s="64">
        <v>4.38</v>
      </c>
      <c r="F104" s="64">
        <v>3.89</v>
      </c>
      <c r="G104" s="64">
        <v>30.99</v>
      </c>
      <c r="H104" s="64">
        <v>16.38</v>
      </c>
      <c r="I104" s="64">
        <v>4.2</v>
      </c>
      <c r="J104" s="64">
        <v>0.68</v>
      </c>
      <c r="K104" s="64">
        <v>330.21</v>
      </c>
      <c r="L104" s="64">
        <v>26.14</v>
      </c>
      <c r="M104" s="64">
        <v>101.63</v>
      </c>
      <c r="N104" s="64">
        <v>41.1</v>
      </c>
      <c r="O104" s="64">
        <v>0</v>
      </c>
      <c r="P104" s="64">
        <v>0.7</v>
      </c>
      <c r="Q104" s="64">
        <v>10.050000000000001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7.93</v>
      </c>
      <c r="C106" s="67">
        <f>MIN(C9:C104)</f>
        <v>2.92</v>
      </c>
      <c r="D106" s="67">
        <f t="shared" ref="D106:Q106" si="0">MIN(D9:D104)</f>
        <v>11.67</v>
      </c>
      <c r="E106" s="67">
        <f t="shared" si="0"/>
        <v>2.38</v>
      </c>
      <c r="F106" s="67">
        <f t="shared" si="0"/>
        <v>2.54</v>
      </c>
      <c r="G106" s="67">
        <f t="shared" si="0"/>
        <v>30.99</v>
      </c>
      <c r="H106" s="67">
        <f t="shared" si="0"/>
        <v>11.07</v>
      </c>
      <c r="I106" s="67">
        <f t="shared" si="0"/>
        <v>1.79</v>
      </c>
      <c r="J106" s="67">
        <f t="shared" si="0"/>
        <v>0.04</v>
      </c>
      <c r="K106" s="67">
        <f t="shared" si="0"/>
        <v>3.93</v>
      </c>
      <c r="L106" s="67">
        <f t="shared" si="0"/>
        <v>24.63</v>
      </c>
      <c r="M106" s="67">
        <f t="shared" si="0"/>
        <v>67.39</v>
      </c>
      <c r="N106" s="67">
        <f t="shared" si="0"/>
        <v>40.299999999999997</v>
      </c>
      <c r="O106" s="67">
        <f t="shared" si="0"/>
        <v>0</v>
      </c>
      <c r="P106" s="67">
        <f t="shared" si="0"/>
        <v>0.4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8.14</v>
      </c>
      <c r="C107" s="66">
        <f t="shared" ref="C107:Q107" si="1">MAX(C9:C104)</f>
        <v>3.26</v>
      </c>
      <c r="D107" s="66">
        <f t="shared" si="1"/>
        <v>11.99</v>
      </c>
      <c r="E107" s="66">
        <f t="shared" si="1"/>
        <v>6.08</v>
      </c>
      <c r="F107" s="66">
        <f t="shared" si="1"/>
        <v>5.15</v>
      </c>
      <c r="G107" s="66">
        <f t="shared" si="1"/>
        <v>84.04</v>
      </c>
      <c r="H107" s="66">
        <f t="shared" si="1"/>
        <v>76.23</v>
      </c>
      <c r="I107" s="66">
        <f t="shared" si="1"/>
        <v>11.4</v>
      </c>
      <c r="J107" s="66">
        <f t="shared" si="1"/>
        <v>1.44</v>
      </c>
      <c r="K107" s="66">
        <f t="shared" si="1"/>
        <v>353.82</v>
      </c>
      <c r="L107" s="66">
        <f t="shared" si="1"/>
        <v>36.28</v>
      </c>
      <c r="M107" s="66">
        <f t="shared" si="1"/>
        <v>101.7</v>
      </c>
      <c r="N107" s="66">
        <f t="shared" si="1"/>
        <v>680.1</v>
      </c>
      <c r="O107" s="66">
        <f t="shared" si="1"/>
        <v>14</v>
      </c>
      <c r="P107" s="66">
        <f t="shared" si="1"/>
        <v>1.67</v>
      </c>
      <c r="Q107" s="66">
        <f t="shared" si="1"/>
        <v>10.37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8.0133333333333354</v>
      </c>
      <c r="C108" s="67">
        <f t="shared" ref="C108:Q108" si="2">AVERAGE(C9:C104)</f>
        <v>3.0554166666666664</v>
      </c>
      <c r="D108" s="67">
        <f t="shared" si="2"/>
        <v>11.796562499999999</v>
      </c>
      <c r="E108" s="67">
        <f t="shared" si="2"/>
        <v>4.1460416666666671</v>
      </c>
      <c r="F108" s="67">
        <f t="shared" si="2"/>
        <v>3.5274999999999994</v>
      </c>
      <c r="G108" s="67">
        <f t="shared" si="2"/>
        <v>63.413541666666646</v>
      </c>
      <c r="H108" s="67">
        <f t="shared" si="2"/>
        <v>31.752187500000002</v>
      </c>
      <c r="I108" s="67">
        <f t="shared" si="2"/>
        <v>6.1856250000000008</v>
      </c>
      <c r="J108" s="67">
        <f t="shared" si="2"/>
        <v>0.51229166666666703</v>
      </c>
      <c r="K108" s="67">
        <f t="shared" si="2"/>
        <v>304.5194791666666</v>
      </c>
      <c r="L108" s="67">
        <f t="shared" si="2"/>
        <v>28.995937500000007</v>
      </c>
      <c r="M108" s="67">
        <f t="shared" si="2"/>
        <v>92.778437499999896</v>
      </c>
      <c r="N108" s="67">
        <f t="shared" si="2"/>
        <v>180.5677083333334</v>
      </c>
      <c r="O108" s="67">
        <f t="shared" si="2"/>
        <v>0.25833333333333325</v>
      </c>
      <c r="P108" s="67">
        <f t="shared" si="2"/>
        <v>0.96072916666666686</v>
      </c>
      <c r="Q108" s="67">
        <f t="shared" si="2"/>
        <v>10.03802083333334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4.3253637916162095E-2</v>
      </c>
      <c r="C109" s="67">
        <f t="shared" ref="C109:Q109" si="3">STDEV(C9:C104)</f>
        <v>6.4464052270142888E-2</v>
      </c>
      <c r="D109" s="67">
        <f t="shared" si="3"/>
        <v>6.5851957170291395E-2</v>
      </c>
      <c r="E109" s="67">
        <f t="shared" si="3"/>
        <v>0.99708995441383363</v>
      </c>
      <c r="F109" s="67">
        <f t="shared" si="3"/>
        <v>0.51717043917639227</v>
      </c>
      <c r="G109" s="67">
        <f t="shared" si="3"/>
        <v>17.212209863268477</v>
      </c>
      <c r="H109" s="67">
        <f t="shared" si="3"/>
        <v>14.474159421325547</v>
      </c>
      <c r="I109" s="67">
        <f t="shared" si="3"/>
        <v>3.153691842403453</v>
      </c>
      <c r="J109" s="67">
        <f t="shared" si="3"/>
        <v>0.43396453691315046</v>
      </c>
      <c r="K109" s="67">
        <f t="shared" si="3"/>
        <v>68.548410574990243</v>
      </c>
      <c r="L109" s="67">
        <f t="shared" si="3"/>
        <v>3.9366671926295345</v>
      </c>
      <c r="M109" s="67">
        <f t="shared" si="3"/>
        <v>12.931889048975863</v>
      </c>
      <c r="N109" s="67">
        <f t="shared" si="3"/>
        <v>206.96869607937865</v>
      </c>
      <c r="O109" s="67">
        <f t="shared" si="3"/>
        <v>1.5731742411387417</v>
      </c>
      <c r="P109" s="67">
        <f t="shared" si="3"/>
        <v>0.41029192378024881</v>
      </c>
      <c r="Q109" s="67">
        <f t="shared" si="3"/>
        <v>0.202643684133748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1013</v>
      </c>
      <c r="B9" s="64">
        <v>7.96</v>
      </c>
      <c r="C9" s="64">
        <v>2.95</v>
      </c>
      <c r="D9" s="64">
        <v>11.7</v>
      </c>
      <c r="E9" s="64">
        <v>4.34</v>
      </c>
      <c r="F9" s="64">
        <v>3.57</v>
      </c>
      <c r="G9" s="64">
        <v>28.35</v>
      </c>
      <c r="H9" s="64">
        <v>15.5</v>
      </c>
      <c r="I9" s="64">
        <v>4.01</v>
      </c>
      <c r="J9" s="64">
        <v>0.79</v>
      </c>
      <c r="K9" s="64">
        <v>336.18</v>
      </c>
      <c r="L9" s="64">
        <v>26.18</v>
      </c>
      <c r="M9" s="64">
        <v>101.7</v>
      </c>
      <c r="N9" s="64">
        <v>41.1</v>
      </c>
      <c r="O9" s="64">
        <v>0</v>
      </c>
      <c r="P9" s="64">
        <v>0.67</v>
      </c>
      <c r="Q9" s="64">
        <v>10.01</v>
      </c>
      <c r="R9" s="198"/>
      <c r="S9" s="198"/>
      <c r="T9" s="198"/>
      <c r="U9" s="198"/>
    </row>
    <row r="10" spans="1:21" s="12" customFormat="1" x14ac:dyDescent="0.25">
      <c r="A10" s="214" t="s">
        <v>1014</v>
      </c>
      <c r="B10" s="64">
        <v>7.94</v>
      </c>
      <c r="C10" s="64">
        <v>2.91</v>
      </c>
      <c r="D10" s="64">
        <v>11.66</v>
      </c>
      <c r="E10" s="64">
        <v>4.13</v>
      </c>
      <c r="F10" s="64">
        <v>3.17</v>
      </c>
      <c r="G10" s="64">
        <v>28.35</v>
      </c>
      <c r="H10" s="64">
        <v>15.5</v>
      </c>
      <c r="I10" s="64">
        <v>3.82</v>
      </c>
      <c r="J10" s="64">
        <v>0.91</v>
      </c>
      <c r="K10" s="64">
        <v>338.08</v>
      </c>
      <c r="L10" s="64">
        <v>26.22</v>
      </c>
      <c r="M10" s="64">
        <v>101.7</v>
      </c>
      <c r="N10" s="64">
        <v>41.4</v>
      </c>
      <c r="O10" s="64">
        <v>0</v>
      </c>
      <c r="P10" s="64">
        <v>0.66</v>
      </c>
      <c r="Q10" s="64">
        <v>9.9700000000000006</v>
      </c>
      <c r="R10" s="198"/>
      <c r="S10" s="198"/>
      <c r="T10" s="198"/>
      <c r="U10" s="198"/>
    </row>
    <row r="11" spans="1:21" s="12" customFormat="1" x14ac:dyDescent="0.25">
      <c r="A11" s="214" t="s">
        <v>1015</v>
      </c>
      <c r="B11" s="64">
        <v>7.96</v>
      </c>
      <c r="C11" s="64">
        <v>2.95</v>
      </c>
      <c r="D11" s="64">
        <v>11.7</v>
      </c>
      <c r="E11" s="64">
        <v>3.83</v>
      </c>
      <c r="F11" s="64">
        <v>3.61</v>
      </c>
      <c r="G11" s="64">
        <v>28.35</v>
      </c>
      <c r="H11" s="64">
        <v>15.5</v>
      </c>
      <c r="I11" s="64">
        <v>3.7</v>
      </c>
      <c r="J11" s="64">
        <v>0.87</v>
      </c>
      <c r="K11" s="64">
        <v>333.81</v>
      </c>
      <c r="L11" s="64">
        <v>26.24</v>
      </c>
      <c r="M11" s="64">
        <v>101.7</v>
      </c>
      <c r="N11" s="64">
        <v>41.5</v>
      </c>
      <c r="O11" s="64">
        <v>0</v>
      </c>
      <c r="P11" s="64">
        <v>0.63</v>
      </c>
      <c r="Q11" s="64">
        <v>9.94</v>
      </c>
      <c r="R11" s="198"/>
      <c r="S11" s="198"/>
      <c r="T11" s="198"/>
      <c r="U11" s="198"/>
    </row>
    <row r="12" spans="1:21" s="12" customFormat="1" x14ac:dyDescent="0.25">
      <c r="A12" s="214" t="s">
        <v>1016</v>
      </c>
      <c r="B12" s="64">
        <v>7.98</v>
      </c>
      <c r="C12" s="64">
        <v>3.01</v>
      </c>
      <c r="D12" s="64">
        <v>11.75</v>
      </c>
      <c r="E12" s="64">
        <v>4.13</v>
      </c>
      <c r="F12" s="64">
        <v>3.83</v>
      </c>
      <c r="G12" s="64">
        <v>27.4</v>
      </c>
      <c r="H12" s="64">
        <v>13.97</v>
      </c>
      <c r="I12" s="64">
        <v>3.59</v>
      </c>
      <c r="J12" s="64">
        <v>0.73</v>
      </c>
      <c r="K12" s="64">
        <v>334.82</v>
      </c>
      <c r="L12" s="64">
        <v>26.26</v>
      </c>
      <c r="M12" s="64">
        <v>101.7</v>
      </c>
      <c r="N12" s="64">
        <v>41.2</v>
      </c>
      <c r="O12" s="64">
        <v>0</v>
      </c>
      <c r="P12" s="64">
        <v>0.61</v>
      </c>
      <c r="Q12" s="64">
        <v>9.9499999999999993</v>
      </c>
      <c r="R12" s="198"/>
      <c r="S12" s="198"/>
      <c r="T12" s="198"/>
      <c r="U12" s="198"/>
    </row>
    <row r="13" spans="1:21" s="12" customFormat="1" x14ac:dyDescent="0.25">
      <c r="A13" s="214" t="s">
        <v>1017</v>
      </c>
      <c r="B13" s="64">
        <v>8.01</v>
      </c>
      <c r="C13" s="64">
        <v>3.05</v>
      </c>
      <c r="D13" s="64">
        <v>11.79</v>
      </c>
      <c r="E13" s="64">
        <v>4.37</v>
      </c>
      <c r="F13" s="64">
        <v>3.16</v>
      </c>
      <c r="G13" s="64">
        <v>25.66</v>
      </c>
      <c r="H13" s="64">
        <v>9.11</v>
      </c>
      <c r="I13" s="64">
        <v>3.45</v>
      </c>
      <c r="J13" s="64">
        <v>1.1000000000000001</v>
      </c>
      <c r="K13" s="64">
        <v>336.04</v>
      </c>
      <c r="L13" s="64">
        <v>26.31</v>
      </c>
      <c r="M13" s="64">
        <v>101.7</v>
      </c>
      <c r="N13" s="64">
        <v>41.5</v>
      </c>
      <c r="O13" s="64">
        <v>0</v>
      </c>
      <c r="P13" s="64">
        <v>0.51</v>
      </c>
      <c r="Q13" s="64">
        <v>9.92</v>
      </c>
      <c r="R13" s="198"/>
      <c r="S13" s="198"/>
      <c r="T13" s="198"/>
      <c r="U13" s="198"/>
    </row>
    <row r="14" spans="1:21" s="12" customFormat="1" x14ac:dyDescent="0.25">
      <c r="A14" s="214" t="s">
        <v>1018</v>
      </c>
      <c r="B14" s="64">
        <v>7.96</v>
      </c>
      <c r="C14" s="64">
        <v>3.01</v>
      </c>
      <c r="D14" s="64">
        <v>11.73</v>
      </c>
      <c r="E14" s="64">
        <v>4.07</v>
      </c>
      <c r="F14" s="64">
        <v>3.84</v>
      </c>
      <c r="G14" s="64">
        <v>25.66</v>
      </c>
      <c r="H14" s="64">
        <v>9.11</v>
      </c>
      <c r="I14" s="64">
        <v>3.34</v>
      </c>
      <c r="J14" s="64">
        <v>2.06</v>
      </c>
      <c r="K14" s="64">
        <v>336.24</v>
      </c>
      <c r="L14" s="64">
        <v>26.32</v>
      </c>
      <c r="M14" s="64">
        <v>101.7</v>
      </c>
      <c r="N14" s="64">
        <v>41.6</v>
      </c>
      <c r="O14" s="64">
        <v>0.2</v>
      </c>
      <c r="P14" s="64">
        <v>0.54</v>
      </c>
      <c r="Q14" s="64">
        <v>9.8699999999999992</v>
      </c>
      <c r="R14" s="198"/>
      <c r="S14" s="198"/>
      <c r="T14" s="198"/>
      <c r="U14" s="198"/>
    </row>
    <row r="15" spans="1:21" s="12" customFormat="1" x14ac:dyDescent="0.25">
      <c r="A15" s="214" t="s">
        <v>1019</v>
      </c>
      <c r="B15" s="64">
        <v>7.96</v>
      </c>
      <c r="C15" s="64">
        <v>3.01</v>
      </c>
      <c r="D15" s="64">
        <v>11.73</v>
      </c>
      <c r="E15" s="64">
        <v>4.3899999999999997</v>
      </c>
      <c r="F15" s="64">
        <v>2.69</v>
      </c>
      <c r="G15" s="64">
        <v>25.66</v>
      </c>
      <c r="H15" s="64">
        <v>9.11</v>
      </c>
      <c r="I15" s="64">
        <v>3.21</v>
      </c>
      <c r="J15" s="64">
        <v>1.39</v>
      </c>
      <c r="K15" s="64">
        <v>333.66</v>
      </c>
      <c r="L15" s="64">
        <v>26.14</v>
      </c>
      <c r="M15" s="64">
        <v>101.72</v>
      </c>
      <c r="N15" s="64">
        <v>41.3</v>
      </c>
      <c r="O15" s="64">
        <v>0.6</v>
      </c>
      <c r="P15" s="64">
        <v>0.51</v>
      </c>
      <c r="Q15" s="64">
        <v>9.83</v>
      </c>
      <c r="R15" s="198"/>
      <c r="S15" s="198"/>
      <c r="T15" s="198"/>
      <c r="U15" s="198"/>
    </row>
    <row r="16" spans="1:21" s="12" customFormat="1" x14ac:dyDescent="0.25">
      <c r="A16" s="214" t="s">
        <v>1020</v>
      </c>
      <c r="B16" s="64">
        <v>7.99</v>
      </c>
      <c r="C16" s="64">
        <v>3</v>
      </c>
      <c r="D16" s="64">
        <v>11.75</v>
      </c>
      <c r="E16" s="64">
        <v>4</v>
      </c>
      <c r="F16" s="64">
        <v>3.34</v>
      </c>
      <c r="G16" s="64">
        <v>25.63</v>
      </c>
      <c r="H16" s="64">
        <v>10.95</v>
      </c>
      <c r="I16" s="64">
        <v>3.06</v>
      </c>
      <c r="J16" s="64">
        <v>0.93</v>
      </c>
      <c r="K16" s="64">
        <v>332.5</v>
      </c>
      <c r="L16" s="64">
        <v>26.02</v>
      </c>
      <c r="M16" s="64">
        <v>101.73</v>
      </c>
      <c r="N16" s="64">
        <v>40.700000000000003</v>
      </c>
      <c r="O16" s="64">
        <v>0</v>
      </c>
      <c r="P16" s="64">
        <v>0.5</v>
      </c>
      <c r="Q16" s="64">
        <v>9.7799999999999994</v>
      </c>
      <c r="R16" s="198"/>
      <c r="S16" s="198"/>
      <c r="T16" s="198"/>
      <c r="U16" s="198"/>
    </row>
    <row r="17" spans="1:21" s="12" customFormat="1" x14ac:dyDescent="0.25">
      <c r="A17" s="214" t="s">
        <v>1021</v>
      </c>
      <c r="B17" s="64">
        <v>7.98</v>
      </c>
      <c r="C17" s="64">
        <v>2.95</v>
      </c>
      <c r="D17" s="64">
        <v>11.71</v>
      </c>
      <c r="E17" s="64">
        <v>4.08</v>
      </c>
      <c r="F17" s="64">
        <v>3.44</v>
      </c>
      <c r="G17" s="64">
        <v>25.57</v>
      </c>
      <c r="H17" s="64">
        <v>13.02</v>
      </c>
      <c r="I17" s="64">
        <v>2.82</v>
      </c>
      <c r="J17" s="64">
        <v>1.06</v>
      </c>
      <c r="K17" s="64">
        <v>333.4</v>
      </c>
      <c r="L17" s="64">
        <v>26.02</v>
      </c>
      <c r="M17" s="64">
        <v>101.73</v>
      </c>
      <c r="N17" s="64">
        <v>41.1</v>
      </c>
      <c r="O17" s="64">
        <v>0</v>
      </c>
      <c r="P17" s="64">
        <v>0.5</v>
      </c>
      <c r="Q17" s="64">
        <v>9.81</v>
      </c>
      <c r="R17" s="198"/>
      <c r="S17" s="198"/>
      <c r="T17" s="198"/>
      <c r="U17" s="198"/>
    </row>
    <row r="18" spans="1:21" s="12" customFormat="1" x14ac:dyDescent="0.25">
      <c r="A18" s="214" t="s">
        <v>1022</v>
      </c>
      <c r="B18" s="64">
        <v>7.99</v>
      </c>
      <c r="C18" s="64">
        <v>2.99</v>
      </c>
      <c r="D18" s="64">
        <v>11.74</v>
      </c>
      <c r="E18" s="64">
        <v>3.98</v>
      </c>
      <c r="F18" s="64">
        <v>3.64</v>
      </c>
      <c r="G18" s="64">
        <v>25.57</v>
      </c>
      <c r="H18" s="64">
        <v>13.02</v>
      </c>
      <c r="I18" s="64">
        <v>2.74</v>
      </c>
      <c r="J18" s="64">
        <v>0.79</v>
      </c>
      <c r="K18" s="64">
        <v>334.26</v>
      </c>
      <c r="L18" s="64">
        <v>26.01</v>
      </c>
      <c r="M18" s="64">
        <v>101.73</v>
      </c>
      <c r="N18" s="64">
        <v>41.1</v>
      </c>
      <c r="O18" s="64">
        <v>0</v>
      </c>
      <c r="P18" s="64">
        <v>0.48</v>
      </c>
      <c r="Q18" s="64">
        <v>9.83</v>
      </c>
      <c r="R18" s="198"/>
      <c r="S18" s="198"/>
      <c r="T18" s="198"/>
      <c r="U18" s="198"/>
    </row>
    <row r="19" spans="1:21" s="12" customFormat="1" x14ac:dyDescent="0.25">
      <c r="A19" s="214" t="s">
        <v>1023</v>
      </c>
      <c r="B19" s="64">
        <v>8</v>
      </c>
      <c r="C19" s="64">
        <v>3</v>
      </c>
      <c r="D19" s="64">
        <v>11.76</v>
      </c>
      <c r="E19" s="64">
        <v>4.24</v>
      </c>
      <c r="F19" s="64">
        <v>3.68</v>
      </c>
      <c r="G19" s="64">
        <v>25.57</v>
      </c>
      <c r="H19" s="64">
        <v>13.02</v>
      </c>
      <c r="I19" s="64">
        <v>2.66</v>
      </c>
      <c r="J19" s="64">
        <v>0.78</v>
      </c>
      <c r="K19" s="64">
        <v>338.98</v>
      </c>
      <c r="L19" s="64">
        <v>26.09</v>
      </c>
      <c r="M19" s="64">
        <v>101.73</v>
      </c>
      <c r="N19" s="64">
        <v>40.9</v>
      </c>
      <c r="O19" s="64">
        <v>0</v>
      </c>
      <c r="P19" s="64">
        <v>0.47</v>
      </c>
      <c r="Q19" s="64">
        <v>9.83</v>
      </c>
      <c r="R19" s="198"/>
      <c r="S19" s="198"/>
      <c r="T19" s="198"/>
      <c r="U19" s="198"/>
    </row>
    <row r="20" spans="1:21" s="12" customFormat="1" x14ac:dyDescent="0.25">
      <c r="A20" s="214" t="s">
        <v>1024</v>
      </c>
      <c r="B20" s="64">
        <v>8</v>
      </c>
      <c r="C20" s="64">
        <v>3.02</v>
      </c>
      <c r="D20" s="64">
        <v>11.76</v>
      </c>
      <c r="E20" s="64">
        <v>4.0599999999999996</v>
      </c>
      <c r="F20" s="64">
        <v>3.51</v>
      </c>
      <c r="G20" s="64">
        <v>29.98</v>
      </c>
      <c r="H20" s="64">
        <v>21.88</v>
      </c>
      <c r="I20" s="64">
        <v>2.61</v>
      </c>
      <c r="J20" s="64">
        <v>0.65</v>
      </c>
      <c r="K20" s="64">
        <v>338.71</v>
      </c>
      <c r="L20" s="64">
        <v>26.15</v>
      </c>
      <c r="M20" s="64">
        <v>101.73</v>
      </c>
      <c r="N20" s="64">
        <v>40.9</v>
      </c>
      <c r="O20" s="64">
        <v>0</v>
      </c>
      <c r="P20" s="64">
        <v>0.47</v>
      </c>
      <c r="Q20" s="64">
        <v>9.82</v>
      </c>
      <c r="R20" s="198"/>
      <c r="S20" s="198"/>
      <c r="T20" s="198"/>
      <c r="U20" s="198"/>
    </row>
    <row r="21" spans="1:21" s="12" customFormat="1" x14ac:dyDescent="0.25">
      <c r="A21" s="214" t="s">
        <v>1025</v>
      </c>
      <c r="B21" s="64">
        <v>8.01</v>
      </c>
      <c r="C21" s="64">
        <v>2.97</v>
      </c>
      <c r="D21" s="64">
        <v>11.75</v>
      </c>
      <c r="E21" s="64">
        <v>3.79</v>
      </c>
      <c r="F21" s="64">
        <v>3.02</v>
      </c>
      <c r="G21" s="64">
        <v>37.97</v>
      </c>
      <c r="H21" s="64">
        <v>31.87</v>
      </c>
      <c r="I21" s="64">
        <v>2.68</v>
      </c>
      <c r="J21" s="64">
        <v>0.98</v>
      </c>
      <c r="K21" s="64">
        <v>338.41</v>
      </c>
      <c r="L21" s="64">
        <v>26.14</v>
      </c>
      <c r="M21" s="64">
        <v>101.73</v>
      </c>
      <c r="N21" s="64">
        <v>41.1</v>
      </c>
      <c r="O21" s="64">
        <v>0</v>
      </c>
      <c r="P21" s="64">
        <v>0.47</v>
      </c>
      <c r="Q21" s="64">
        <v>9.8000000000000007</v>
      </c>
      <c r="R21" s="198"/>
      <c r="S21" s="198"/>
      <c r="T21" s="198"/>
      <c r="U21" s="198"/>
    </row>
    <row r="22" spans="1:21" s="12" customFormat="1" x14ac:dyDescent="0.25">
      <c r="A22" s="214" t="s">
        <v>1026</v>
      </c>
      <c r="B22" s="64">
        <v>7.98</v>
      </c>
      <c r="C22" s="64">
        <v>2.99</v>
      </c>
      <c r="D22" s="64">
        <v>11.73</v>
      </c>
      <c r="E22" s="64">
        <v>3.97</v>
      </c>
      <c r="F22" s="64">
        <v>3.82</v>
      </c>
      <c r="G22" s="64">
        <v>37.97</v>
      </c>
      <c r="H22" s="64">
        <v>31.87</v>
      </c>
      <c r="I22" s="64">
        <v>2.82</v>
      </c>
      <c r="J22" s="64">
        <v>1.01</v>
      </c>
      <c r="K22" s="64">
        <v>335.69</v>
      </c>
      <c r="L22" s="64">
        <v>26.16</v>
      </c>
      <c r="M22" s="64">
        <v>101.72</v>
      </c>
      <c r="N22" s="64">
        <v>41.6</v>
      </c>
      <c r="O22" s="64">
        <v>0</v>
      </c>
      <c r="P22" s="64">
        <v>0.47</v>
      </c>
      <c r="Q22" s="64">
        <v>9.7899999999999991</v>
      </c>
      <c r="R22" s="198"/>
      <c r="S22" s="198"/>
      <c r="T22" s="198"/>
      <c r="U22" s="198"/>
    </row>
    <row r="23" spans="1:21" s="12" customFormat="1" x14ac:dyDescent="0.25">
      <c r="A23" s="214" t="s">
        <v>1027</v>
      </c>
      <c r="B23" s="64">
        <v>7.95</v>
      </c>
      <c r="C23" s="64">
        <v>2.99</v>
      </c>
      <c r="D23" s="64">
        <v>11.71</v>
      </c>
      <c r="E23" s="64">
        <v>4.46</v>
      </c>
      <c r="F23" s="64">
        <v>3.56</v>
      </c>
      <c r="G23" s="64">
        <v>37.97</v>
      </c>
      <c r="H23" s="64">
        <v>31.87</v>
      </c>
      <c r="I23" s="64">
        <v>3.04</v>
      </c>
      <c r="J23" s="64">
        <v>0.53</v>
      </c>
      <c r="K23" s="64">
        <v>335.08</v>
      </c>
      <c r="L23" s="64">
        <v>26.19</v>
      </c>
      <c r="M23" s="64">
        <v>101.7</v>
      </c>
      <c r="N23" s="64">
        <v>41.3</v>
      </c>
      <c r="O23" s="64">
        <v>0</v>
      </c>
      <c r="P23" s="64">
        <v>0.46</v>
      </c>
      <c r="Q23" s="64">
        <v>9.7899999999999991</v>
      </c>
      <c r="R23" s="198"/>
      <c r="S23" s="198"/>
      <c r="T23" s="198"/>
      <c r="U23" s="198"/>
    </row>
    <row r="24" spans="1:21" s="12" customFormat="1" x14ac:dyDescent="0.25">
      <c r="A24" s="214" t="s">
        <v>1028</v>
      </c>
      <c r="B24" s="64">
        <v>7.94</v>
      </c>
      <c r="C24" s="64">
        <v>2.97</v>
      </c>
      <c r="D24" s="64">
        <v>11.69</v>
      </c>
      <c r="E24" s="64">
        <v>5.93</v>
      </c>
      <c r="F24" s="64">
        <v>3.7</v>
      </c>
      <c r="G24" s="64">
        <v>40.659999999999997</v>
      </c>
      <c r="H24" s="64">
        <v>31.3</v>
      </c>
      <c r="I24" s="64">
        <v>3.08</v>
      </c>
      <c r="J24" s="64">
        <v>0.4</v>
      </c>
      <c r="K24" s="64">
        <v>332.15</v>
      </c>
      <c r="L24" s="64">
        <v>26.21</v>
      </c>
      <c r="M24" s="64">
        <v>101.72</v>
      </c>
      <c r="N24" s="64">
        <v>40.4</v>
      </c>
      <c r="O24" s="64">
        <v>0</v>
      </c>
      <c r="P24" s="64">
        <v>0.45</v>
      </c>
      <c r="Q24" s="64">
        <v>9.77</v>
      </c>
      <c r="R24" s="198"/>
      <c r="S24" s="198"/>
      <c r="T24" s="198"/>
      <c r="U24" s="198"/>
    </row>
    <row r="25" spans="1:21" s="12" customFormat="1" x14ac:dyDescent="0.25">
      <c r="A25" s="214" t="s">
        <v>1029</v>
      </c>
      <c r="B25" s="64">
        <v>7.94</v>
      </c>
      <c r="C25" s="64">
        <v>2.97</v>
      </c>
      <c r="D25" s="64">
        <v>11.7</v>
      </c>
      <c r="E25" s="64">
        <v>4.91</v>
      </c>
      <c r="F25" s="64">
        <v>3.89</v>
      </c>
      <c r="G25" s="64">
        <v>45.54</v>
      </c>
      <c r="H25" s="64">
        <v>30.62</v>
      </c>
      <c r="I25" s="64">
        <v>3.08</v>
      </c>
      <c r="J25" s="64">
        <v>0.55000000000000004</v>
      </c>
      <c r="K25" s="64">
        <v>337.57</v>
      </c>
      <c r="L25" s="64">
        <v>26.25</v>
      </c>
      <c r="M25" s="64">
        <v>101.74</v>
      </c>
      <c r="N25" s="64">
        <v>40.700000000000003</v>
      </c>
      <c r="O25" s="64">
        <v>0</v>
      </c>
      <c r="P25" s="64">
        <v>0.45</v>
      </c>
      <c r="Q25" s="64">
        <v>9.74</v>
      </c>
      <c r="R25" s="198"/>
      <c r="S25" s="198"/>
      <c r="T25" s="198"/>
      <c r="U25" s="198"/>
    </row>
    <row r="26" spans="1:21" s="12" customFormat="1" x14ac:dyDescent="0.25">
      <c r="A26" s="214" t="s">
        <v>1030</v>
      </c>
      <c r="B26" s="64">
        <v>7.93</v>
      </c>
      <c r="C26" s="64">
        <v>2.99</v>
      </c>
      <c r="D26" s="64">
        <v>11.7</v>
      </c>
      <c r="E26" s="64">
        <v>4.53</v>
      </c>
      <c r="F26" s="64">
        <v>3.41</v>
      </c>
      <c r="G26" s="64">
        <v>45.54</v>
      </c>
      <c r="H26" s="64">
        <v>30.62</v>
      </c>
      <c r="I26" s="64">
        <v>3.16</v>
      </c>
      <c r="J26" s="64">
        <v>0.71</v>
      </c>
      <c r="K26" s="64">
        <v>335.43</v>
      </c>
      <c r="L26" s="64">
        <v>26.29</v>
      </c>
      <c r="M26" s="64">
        <v>101.71</v>
      </c>
      <c r="N26" s="64">
        <v>40.799999999999997</v>
      </c>
      <c r="O26" s="64">
        <v>0</v>
      </c>
      <c r="P26" s="64">
        <v>0.45</v>
      </c>
      <c r="Q26" s="64">
        <v>9.74</v>
      </c>
      <c r="R26" s="198"/>
      <c r="S26" s="198"/>
      <c r="T26" s="198"/>
      <c r="U26" s="198"/>
    </row>
    <row r="27" spans="1:21" s="12" customFormat="1" x14ac:dyDescent="0.25">
      <c r="A27" s="214" t="s">
        <v>1031</v>
      </c>
      <c r="B27" s="64">
        <v>7.99</v>
      </c>
      <c r="C27" s="64">
        <v>3.01</v>
      </c>
      <c r="D27" s="64">
        <v>11.75</v>
      </c>
      <c r="E27" s="64">
        <v>4.5199999999999996</v>
      </c>
      <c r="F27" s="64">
        <v>3.01</v>
      </c>
      <c r="G27" s="64">
        <v>45.54</v>
      </c>
      <c r="H27" s="64">
        <v>30.62</v>
      </c>
      <c r="I27" s="64">
        <v>3.23</v>
      </c>
      <c r="J27" s="64">
        <v>0.84</v>
      </c>
      <c r="K27" s="64">
        <v>338.96</v>
      </c>
      <c r="L27" s="64">
        <v>26.33</v>
      </c>
      <c r="M27" s="64">
        <v>101.7</v>
      </c>
      <c r="N27" s="64">
        <v>41.1</v>
      </c>
      <c r="O27" s="64">
        <v>0</v>
      </c>
      <c r="P27" s="64">
        <v>0.47</v>
      </c>
      <c r="Q27" s="64">
        <v>9.7200000000000006</v>
      </c>
      <c r="R27" s="198"/>
      <c r="S27" s="198"/>
      <c r="T27" s="198"/>
      <c r="U27" s="198"/>
    </row>
    <row r="28" spans="1:21" s="12" customFormat="1" x14ac:dyDescent="0.25">
      <c r="A28" s="214" t="s">
        <v>1032</v>
      </c>
      <c r="B28" s="64">
        <v>7.95</v>
      </c>
      <c r="C28" s="64">
        <v>2.95</v>
      </c>
      <c r="D28" s="64">
        <v>11.69</v>
      </c>
      <c r="E28" s="64">
        <v>4.55</v>
      </c>
      <c r="F28" s="64">
        <v>3.17</v>
      </c>
      <c r="G28" s="64">
        <v>44.31</v>
      </c>
      <c r="H28" s="64">
        <v>30.12</v>
      </c>
      <c r="I28" s="64">
        <v>3.3</v>
      </c>
      <c r="J28" s="64">
        <v>0.82</v>
      </c>
      <c r="K28" s="64">
        <v>337.41</v>
      </c>
      <c r="L28" s="64">
        <v>26.36</v>
      </c>
      <c r="M28" s="64">
        <v>101.7</v>
      </c>
      <c r="N28" s="64">
        <v>41.1</v>
      </c>
      <c r="O28" s="64">
        <v>0</v>
      </c>
      <c r="P28" s="64">
        <v>0.48</v>
      </c>
      <c r="Q28" s="64">
        <v>9.75</v>
      </c>
      <c r="R28" s="198"/>
      <c r="S28" s="198"/>
      <c r="T28" s="198"/>
      <c r="U28" s="198"/>
    </row>
    <row r="29" spans="1:21" s="12" customFormat="1" x14ac:dyDescent="0.25">
      <c r="A29" s="214" t="s">
        <v>1033</v>
      </c>
      <c r="B29" s="64">
        <v>7.94</v>
      </c>
      <c r="C29" s="64">
        <v>2.98</v>
      </c>
      <c r="D29" s="64">
        <v>11.7</v>
      </c>
      <c r="E29" s="64">
        <v>5.0599999999999996</v>
      </c>
      <c r="F29" s="64">
        <v>3.49</v>
      </c>
      <c r="G29" s="64">
        <v>42.06</v>
      </c>
      <c r="H29" s="64">
        <v>28.31</v>
      </c>
      <c r="I29" s="64">
        <v>3.29</v>
      </c>
      <c r="J29" s="64">
        <v>0.78</v>
      </c>
      <c r="K29" s="64">
        <v>336.27</v>
      </c>
      <c r="L29" s="64">
        <v>26.42</v>
      </c>
      <c r="M29" s="64">
        <v>101.7</v>
      </c>
      <c r="N29" s="64">
        <v>41.1</v>
      </c>
      <c r="O29" s="64">
        <v>0</v>
      </c>
      <c r="P29" s="64">
        <v>0.48</v>
      </c>
      <c r="Q29" s="64">
        <v>9.76</v>
      </c>
      <c r="R29" s="198"/>
      <c r="S29" s="198"/>
      <c r="T29" s="198"/>
      <c r="U29" s="198"/>
    </row>
    <row r="30" spans="1:21" s="12" customFormat="1" x14ac:dyDescent="0.25">
      <c r="A30" s="214" t="s">
        <v>1034</v>
      </c>
      <c r="B30" s="64">
        <v>7.96</v>
      </c>
      <c r="C30" s="64">
        <v>3.01</v>
      </c>
      <c r="D30" s="64">
        <v>11.73</v>
      </c>
      <c r="E30" s="64">
        <v>4.68</v>
      </c>
      <c r="F30" s="64">
        <v>3.7</v>
      </c>
      <c r="G30" s="64">
        <v>42.06</v>
      </c>
      <c r="H30" s="64">
        <v>28.31</v>
      </c>
      <c r="I30" s="64">
        <v>3.33</v>
      </c>
      <c r="J30" s="64">
        <v>1.21</v>
      </c>
      <c r="K30" s="64">
        <v>335.8</v>
      </c>
      <c r="L30" s="64">
        <v>26.43</v>
      </c>
      <c r="M30" s="64">
        <v>101.7</v>
      </c>
      <c r="N30" s="64">
        <v>41.5</v>
      </c>
      <c r="O30" s="64">
        <v>0</v>
      </c>
      <c r="P30" s="64">
        <v>0.48</v>
      </c>
      <c r="Q30" s="64">
        <v>9.73</v>
      </c>
      <c r="R30" s="198"/>
      <c r="S30" s="198"/>
      <c r="T30" s="198"/>
      <c r="U30" s="198"/>
    </row>
    <row r="31" spans="1:21" s="12" customFormat="1" x14ac:dyDescent="0.25">
      <c r="A31" s="214" t="s">
        <v>1035</v>
      </c>
      <c r="B31" s="64">
        <v>7.94</v>
      </c>
      <c r="C31" s="64">
        <v>2.96</v>
      </c>
      <c r="D31" s="64">
        <v>11.69</v>
      </c>
      <c r="E31" s="64">
        <v>4.7300000000000004</v>
      </c>
      <c r="F31" s="64">
        <v>2.64</v>
      </c>
      <c r="G31" s="64">
        <v>42.06</v>
      </c>
      <c r="H31" s="64">
        <v>28.31</v>
      </c>
      <c r="I31" s="64">
        <v>3.16</v>
      </c>
      <c r="J31" s="64">
        <v>1.33</v>
      </c>
      <c r="K31" s="64">
        <v>334.15</v>
      </c>
      <c r="L31" s="64">
        <v>26.45</v>
      </c>
      <c r="M31" s="64">
        <v>101.71</v>
      </c>
      <c r="N31" s="64">
        <v>41.9</v>
      </c>
      <c r="O31" s="64">
        <v>0</v>
      </c>
      <c r="P31" s="64">
        <v>0.48</v>
      </c>
      <c r="Q31" s="64">
        <v>9.75</v>
      </c>
      <c r="R31" s="198"/>
      <c r="S31" s="198"/>
      <c r="T31" s="198"/>
      <c r="U31" s="198"/>
    </row>
    <row r="32" spans="1:21" s="12" customFormat="1" x14ac:dyDescent="0.25">
      <c r="A32" s="214" t="s">
        <v>1036</v>
      </c>
      <c r="B32" s="64">
        <v>7.95</v>
      </c>
      <c r="C32" s="64">
        <v>2.95</v>
      </c>
      <c r="D32" s="64">
        <v>11.69</v>
      </c>
      <c r="E32" s="64">
        <v>4.5999999999999996</v>
      </c>
      <c r="F32" s="64">
        <v>3.25</v>
      </c>
      <c r="G32" s="64">
        <v>44.01</v>
      </c>
      <c r="H32" s="64">
        <v>29.88</v>
      </c>
      <c r="I32" s="64">
        <v>3.23</v>
      </c>
      <c r="J32" s="64">
        <v>1.48</v>
      </c>
      <c r="K32" s="64">
        <v>339.33</v>
      </c>
      <c r="L32" s="64">
        <v>26.5</v>
      </c>
      <c r="M32" s="64">
        <v>101.68</v>
      </c>
      <c r="N32" s="64">
        <v>44</v>
      </c>
      <c r="O32" s="64">
        <v>0</v>
      </c>
      <c r="P32" s="64">
        <v>0.48</v>
      </c>
      <c r="Q32" s="64">
        <v>9.7100000000000009</v>
      </c>
      <c r="R32" s="198"/>
      <c r="S32" s="198"/>
      <c r="T32" s="198"/>
      <c r="U32" s="198"/>
    </row>
    <row r="33" spans="1:21" s="12" customFormat="1" x14ac:dyDescent="0.25">
      <c r="A33" s="214" t="s">
        <v>1037</v>
      </c>
      <c r="B33" s="64">
        <v>7.98</v>
      </c>
      <c r="C33" s="64">
        <v>3.01</v>
      </c>
      <c r="D33" s="64">
        <v>11.74</v>
      </c>
      <c r="E33" s="64">
        <v>4.18</v>
      </c>
      <c r="F33" s="64">
        <v>3.62</v>
      </c>
      <c r="G33" s="64">
        <v>47.54</v>
      </c>
      <c r="H33" s="64">
        <v>31.65</v>
      </c>
      <c r="I33" s="64">
        <v>3.2</v>
      </c>
      <c r="J33" s="64">
        <v>1.21</v>
      </c>
      <c r="K33" s="64">
        <v>338.57</v>
      </c>
      <c r="L33" s="64">
        <v>26.55</v>
      </c>
      <c r="M33" s="64">
        <v>101.68</v>
      </c>
      <c r="N33" s="64">
        <v>49.9</v>
      </c>
      <c r="O33" s="64">
        <v>0</v>
      </c>
      <c r="P33" s="64">
        <v>0.48</v>
      </c>
      <c r="Q33" s="64">
        <v>9.74</v>
      </c>
      <c r="R33" s="198"/>
      <c r="S33" s="198"/>
      <c r="T33" s="198"/>
      <c r="U33" s="198"/>
    </row>
    <row r="34" spans="1:21" s="12" customFormat="1" x14ac:dyDescent="0.25">
      <c r="A34" s="214" t="s">
        <v>1038</v>
      </c>
      <c r="B34" s="64">
        <v>8.02</v>
      </c>
      <c r="C34" s="64">
        <v>3.05</v>
      </c>
      <c r="D34" s="64">
        <v>11.8</v>
      </c>
      <c r="E34" s="64">
        <v>4.32</v>
      </c>
      <c r="F34" s="64">
        <v>3.63</v>
      </c>
      <c r="G34" s="64">
        <v>47.54</v>
      </c>
      <c r="H34" s="64">
        <v>31.65</v>
      </c>
      <c r="I34" s="64">
        <v>3.17</v>
      </c>
      <c r="J34" s="64">
        <v>1.0900000000000001</v>
      </c>
      <c r="K34" s="64">
        <v>339.41</v>
      </c>
      <c r="L34" s="64">
        <v>26.61</v>
      </c>
      <c r="M34" s="64">
        <v>101.68</v>
      </c>
      <c r="N34" s="64">
        <v>57.2</v>
      </c>
      <c r="O34" s="64">
        <v>0</v>
      </c>
      <c r="P34" s="64">
        <v>0.48</v>
      </c>
      <c r="Q34" s="64">
        <v>9.76</v>
      </c>
      <c r="R34" s="198"/>
      <c r="S34" s="198"/>
      <c r="T34" s="198"/>
      <c r="U34" s="198"/>
    </row>
    <row r="35" spans="1:21" s="12" customFormat="1" x14ac:dyDescent="0.25">
      <c r="A35" s="214" t="s">
        <v>1039</v>
      </c>
      <c r="B35" s="64">
        <v>7.99</v>
      </c>
      <c r="C35" s="64">
        <v>3.04</v>
      </c>
      <c r="D35" s="64">
        <v>11.77</v>
      </c>
      <c r="E35" s="64">
        <v>4.51</v>
      </c>
      <c r="F35" s="64">
        <v>3.36</v>
      </c>
      <c r="G35" s="64">
        <v>47.54</v>
      </c>
      <c r="H35" s="64">
        <v>31.65</v>
      </c>
      <c r="I35" s="64">
        <v>3.15</v>
      </c>
      <c r="J35" s="64">
        <v>1.39</v>
      </c>
      <c r="K35" s="64">
        <v>338.01</v>
      </c>
      <c r="L35" s="64">
        <v>26.74</v>
      </c>
      <c r="M35" s="64">
        <v>101.67</v>
      </c>
      <c r="N35" s="64">
        <v>85.1</v>
      </c>
      <c r="O35" s="64">
        <v>0</v>
      </c>
      <c r="P35" s="64">
        <v>0.49</v>
      </c>
      <c r="Q35" s="64">
        <v>9.81</v>
      </c>
      <c r="R35" s="198"/>
      <c r="S35" s="198"/>
      <c r="T35" s="198"/>
      <c r="U35" s="198"/>
    </row>
    <row r="36" spans="1:21" s="12" customFormat="1" x14ac:dyDescent="0.25">
      <c r="A36" s="214" t="s">
        <v>1040</v>
      </c>
      <c r="B36" s="64">
        <v>7.96</v>
      </c>
      <c r="C36" s="64">
        <v>2.97</v>
      </c>
      <c r="D36" s="64">
        <v>11.71</v>
      </c>
      <c r="E36" s="64">
        <v>4.3600000000000003</v>
      </c>
      <c r="F36" s="64">
        <v>3.48</v>
      </c>
      <c r="G36" s="64">
        <v>49.11</v>
      </c>
      <c r="H36" s="64">
        <v>29.96</v>
      </c>
      <c r="I36" s="64">
        <v>3.25</v>
      </c>
      <c r="J36" s="64">
        <v>1.59</v>
      </c>
      <c r="K36" s="64">
        <v>338.6</v>
      </c>
      <c r="L36" s="64">
        <v>26.94</v>
      </c>
      <c r="M36" s="64">
        <v>101.68</v>
      </c>
      <c r="N36" s="64">
        <v>99.4</v>
      </c>
      <c r="O36" s="64">
        <v>0</v>
      </c>
      <c r="P36" s="64">
        <v>0.48</v>
      </c>
      <c r="Q36" s="64">
        <v>9.82</v>
      </c>
      <c r="R36" s="198"/>
      <c r="S36" s="198"/>
      <c r="T36" s="198"/>
      <c r="U36" s="198"/>
    </row>
    <row r="37" spans="1:21" s="12" customFormat="1" x14ac:dyDescent="0.25">
      <c r="A37" s="214" t="s">
        <v>1041</v>
      </c>
      <c r="B37" s="64">
        <v>7.98</v>
      </c>
      <c r="C37" s="64">
        <v>2.93</v>
      </c>
      <c r="D37" s="64">
        <v>11.7</v>
      </c>
      <c r="E37" s="64">
        <v>4.57</v>
      </c>
      <c r="F37" s="64">
        <v>3.74</v>
      </c>
      <c r="G37" s="64">
        <v>51.96</v>
      </c>
      <c r="H37" s="64">
        <v>27.99</v>
      </c>
      <c r="I37" s="64">
        <v>3.29</v>
      </c>
      <c r="J37" s="64">
        <v>1.26</v>
      </c>
      <c r="K37" s="64">
        <v>338.23</v>
      </c>
      <c r="L37" s="64">
        <v>27.06</v>
      </c>
      <c r="M37" s="64">
        <v>101.67</v>
      </c>
      <c r="N37" s="64">
        <v>99</v>
      </c>
      <c r="O37" s="64">
        <v>0</v>
      </c>
      <c r="P37" s="64">
        <v>0.46</v>
      </c>
      <c r="Q37" s="64">
        <v>9.83</v>
      </c>
      <c r="R37" s="198"/>
      <c r="S37" s="198"/>
      <c r="T37" s="198"/>
      <c r="U37" s="198"/>
    </row>
    <row r="38" spans="1:21" s="12" customFormat="1" x14ac:dyDescent="0.25">
      <c r="A38" s="214" t="s">
        <v>1042</v>
      </c>
      <c r="B38" s="64">
        <v>7.98</v>
      </c>
      <c r="C38" s="64">
        <v>2.92</v>
      </c>
      <c r="D38" s="64">
        <v>11.7</v>
      </c>
      <c r="E38" s="64">
        <v>4.5</v>
      </c>
      <c r="F38" s="64">
        <v>3.31</v>
      </c>
      <c r="G38" s="64">
        <v>51.96</v>
      </c>
      <c r="H38" s="64">
        <v>27.99</v>
      </c>
      <c r="I38" s="64">
        <v>3.26</v>
      </c>
      <c r="J38" s="64">
        <v>1.01</v>
      </c>
      <c r="K38" s="64">
        <v>336.18</v>
      </c>
      <c r="L38" s="64">
        <v>27.31</v>
      </c>
      <c r="M38" s="64">
        <v>101.64</v>
      </c>
      <c r="N38" s="64">
        <v>121.6</v>
      </c>
      <c r="O38" s="64">
        <v>0</v>
      </c>
      <c r="P38" s="64">
        <v>0.49</v>
      </c>
      <c r="Q38" s="64">
        <v>9.83</v>
      </c>
      <c r="R38" s="198"/>
      <c r="S38" s="198"/>
      <c r="T38" s="198"/>
      <c r="U38" s="198"/>
    </row>
    <row r="39" spans="1:21" s="12" customFormat="1" x14ac:dyDescent="0.25">
      <c r="A39" s="214" t="s">
        <v>1043</v>
      </c>
      <c r="B39" s="64">
        <v>7.98</v>
      </c>
      <c r="C39" s="64">
        <v>2.99</v>
      </c>
      <c r="D39" s="64">
        <v>11.74</v>
      </c>
      <c r="E39" s="64">
        <v>4.51</v>
      </c>
      <c r="F39" s="64">
        <v>4.24</v>
      </c>
      <c r="G39" s="64">
        <v>51.96</v>
      </c>
      <c r="H39" s="64">
        <v>27.99</v>
      </c>
      <c r="I39" s="64">
        <v>3.3</v>
      </c>
      <c r="J39" s="64">
        <v>1.22</v>
      </c>
      <c r="K39" s="64">
        <v>334.26</v>
      </c>
      <c r="L39" s="64">
        <v>27.48</v>
      </c>
      <c r="M39" s="64">
        <v>101.63</v>
      </c>
      <c r="N39" s="64">
        <v>111.8</v>
      </c>
      <c r="O39" s="64">
        <v>0</v>
      </c>
      <c r="P39" s="64">
        <v>0.51</v>
      </c>
      <c r="Q39" s="64">
        <v>9.8800000000000008</v>
      </c>
      <c r="R39" s="198"/>
      <c r="S39" s="198"/>
      <c r="T39" s="198"/>
      <c r="U39" s="198"/>
    </row>
    <row r="40" spans="1:21" s="12" customFormat="1" x14ac:dyDescent="0.25">
      <c r="A40" s="214" t="s">
        <v>1044</v>
      </c>
      <c r="B40" s="64">
        <v>7.95</v>
      </c>
      <c r="C40" s="64">
        <v>2.96</v>
      </c>
      <c r="D40" s="64">
        <v>11.7</v>
      </c>
      <c r="E40" s="64">
        <v>3.65</v>
      </c>
      <c r="F40" s="64">
        <v>3.37</v>
      </c>
      <c r="G40" s="64">
        <v>54.19</v>
      </c>
      <c r="H40" s="64">
        <v>29.9</v>
      </c>
      <c r="I40" s="64">
        <v>3.37</v>
      </c>
      <c r="J40" s="64">
        <v>0.88</v>
      </c>
      <c r="K40" s="64">
        <v>337.02</v>
      </c>
      <c r="L40" s="64">
        <v>27.55</v>
      </c>
      <c r="M40" s="64">
        <v>101.63</v>
      </c>
      <c r="N40" s="64">
        <v>141</v>
      </c>
      <c r="O40" s="64">
        <v>0</v>
      </c>
      <c r="P40" s="64">
        <v>0.53</v>
      </c>
      <c r="Q40" s="64">
        <v>9.9</v>
      </c>
      <c r="R40" s="198"/>
      <c r="S40" s="198"/>
      <c r="T40" s="198"/>
      <c r="U40" s="198"/>
    </row>
    <row r="41" spans="1:21" s="12" customFormat="1" x14ac:dyDescent="0.25">
      <c r="A41" s="214" t="s">
        <v>1045</v>
      </c>
      <c r="B41" s="64">
        <v>7.96</v>
      </c>
      <c r="C41" s="64">
        <v>2.97</v>
      </c>
      <c r="D41" s="64">
        <v>11.71</v>
      </c>
      <c r="E41" s="64">
        <v>4.03</v>
      </c>
      <c r="F41" s="64">
        <v>3.19</v>
      </c>
      <c r="G41" s="64">
        <v>58.24</v>
      </c>
      <c r="H41" s="64">
        <v>32.06</v>
      </c>
      <c r="I41" s="64">
        <v>3.42</v>
      </c>
      <c r="J41" s="64">
        <v>0.97</v>
      </c>
      <c r="K41" s="64">
        <v>335.59</v>
      </c>
      <c r="L41" s="64">
        <v>28.61</v>
      </c>
      <c r="M41" s="64">
        <v>101.48</v>
      </c>
      <c r="N41" s="64">
        <v>255.5</v>
      </c>
      <c r="O41" s="64">
        <v>0</v>
      </c>
      <c r="P41" s="64">
        <v>0.55000000000000004</v>
      </c>
      <c r="Q41" s="64">
        <v>9.89</v>
      </c>
      <c r="R41" s="198"/>
      <c r="S41" s="198"/>
      <c r="T41" s="198"/>
      <c r="U41" s="198"/>
    </row>
    <row r="42" spans="1:21" s="12" customFormat="1" x14ac:dyDescent="0.25">
      <c r="A42" s="214" t="s">
        <v>1046</v>
      </c>
      <c r="B42" s="64">
        <v>7.94</v>
      </c>
      <c r="C42" s="64">
        <v>2.98</v>
      </c>
      <c r="D42" s="64">
        <v>11.7</v>
      </c>
      <c r="E42" s="64">
        <v>4.4000000000000004</v>
      </c>
      <c r="F42" s="64">
        <v>3.78</v>
      </c>
      <c r="G42" s="64">
        <v>58.24</v>
      </c>
      <c r="H42" s="64">
        <v>32.06</v>
      </c>
      <c r="I42" s="64">
        <v>3.43</v>
      </c>
      <c r="J42" s="64">
        <v>0.77</v>
      </c>
      <c r="K42" s="64">
        <v>336.46</v>
      </c>
      <c r="L42" s="64">
        <v>29.38</v>
      </c>
      <c r="M42" s="64">
        <v>99.95</v>
      </c>
      <c r="N42" s="64">
        <v>261.39999999999998</v>
      </c>
      <c r="O42" s="64">
        <v>0</v>
      </c>
      <c r="P42" s="64">
        <v>0.59</v>
      </c>
      <c r="Q42" s="64">
        <v>9.8800000000000008</v>
      </c>
      <c r="R42" s="198"/>
      <c r="S42" s="198"/>
      <c r="T42" s="198"/>
      <c r="U42" s="198"/>
    </row>
    <row r="43" spans="1:21" s="12" customFormat="1" x14ac:dyDescent="0.25">
      <c r="A43" s="214" t="s">
        <v>1047</v>
      </c>
      <c r="B43" s="64">
        <v>7.95</v>
      </c>
      <c r="C43" s="64">
        <v>2.98</v>
      </c>
      <c r="D43" s="64">
        <v>11.7</v>
      </c>
      <c r="E43" s="64">
        <v>4.1100000000000003</v>
      </c>
      <c r="F43" s="64">
        <v>3.64</v>
      </c>
      <c r="G43" s="64">
        <v>58.24</v>
      </c>
      <c r="H43" s="64">
        <v>32.06</v>
      </c>
      <c r="I43" s="64">
        <v>3.46</v>
      </c>
      <c r="J43" s="64">
        <v>0.5</v>
      </c>
      <c r="K43" s="64">
        <v>324.58</v>
      </c>
      <c r="L43" s="64">
        <v>29.47</v>
      </c>
      <c r="M43" s="64">
        <v>99.88</v>
      </c>
      <c r="N43" s="64">
        <v>260.2</v>
      </c>
      <c r="O43" s="64">
        <v>0</v>
      </c>
      <c r="P43" s="64">
        <v>0.61</v>
      </c>
      <c r="Q43" s="64">
        <v>9.8800000000000008</v>
      </c>
      <c r="R43" s="198"/>
      <c r="S43" s="198"/>
      <c r="T43" s="198"/>
      <c r="U43" s="198"/>
    </row>
    <row r="44" spans="1:21" s="12" customFormat="1" x14ac:dyDescent="0.25">
      <c r="A44" s="214" t="s">
        <v>1048</v>
      </c>
      <c r="B44" s="64">
        <v>8.01</v>
      </c>
      <c r="C44" s="64">
        <v>3.1</v>
      </c>
      <c r="D44" s="64">
        <v>11.81</v>
      </c>
      <c r="E44" s="64">
        <v>4.12</v>
      </c>
      <c r="F44" s="64">
        <v>3.02</v>
      </c>
      <c r="G44" s="64">
        <v>62.75</v>
      </c>
      <c r="H44" s="64">
        <v>33.21</v>
      </c>
      <c r="I44" s="64">
        <v>3.44</v>
      </c>
      <c r="J44" s="64">
        <v>0.12</v>
      </c>
      <c r="K44" s="64">
        <v>65.84</v>
      </c>
      <c r="L44" s="64">
        <v>29.22</v>
      </c>
      <c r="M44" s="64">
        <v>99.68</v>
      </c>
      <c r="N44" s="64">
        <v>203.7</v>
      </c>
      <c r="O44" s="64">
        <v>0</v>
      </c>
      <c r="P44" s="64">
        <v>0.64</v>
      </c>
      <c r="Q44" s="64">
        <v>9.9600000000000009</v>
      </c>
      <c r="R44" s="198"/>
      <c r="S44" s="198"/>
      <c r="T44" s="198"/>
      <c r="U44" s="198"/>
    </row>
    <row r="45" spans="1:21" s="12" customFormat="1" x14ac:dyDescent="0.25">
      <c r="A45" s="214" t="s">
        <v>1049</v>
      </c>
      <c r="B45" s="64">
        <v>8.09</v>
      </c>
      <c r="C45" s="64">
        <v>3.29</v>
      </c>
      <c r="D45" s="64">
        <v>11.98</v>
      </c>
      <c r="E45" s="64">
        <v>4.2300000000000004</v>
      </c>
      <c r="F45" s="64">
        <v>4.33</v>
      </c>
      <c r="G45" s="64">
        <v>70.92</v>
      </c>
      <c r="H45" s="64">
        <v>37.24</v>
      </c>
      <c r="I45" s="64">
        <v>3.76</v>
      </c>
      <c r="J45" s="64">
        <v>0.69</v>
      </c>
      <c r="K45" s="64">
        <v>331.04</v>
      </c>
      <c r="L45" s="64">
        <v>29.35</v>
      </c>
      <c r="M45" s="64">
        <v>98.53</v>
      </c>
      <c r="N45" s="64">
        <v>383.8</v>
      </c>
      <c r="O45" s="64">
        <v>0</v>
      </c>
      <c r="P45" s="64">
        <v>0.64</v>
      </c>
      <c r="Q45" s="64">
        <v>10.01</v>
      </c>
      <c r="R45" s="198"/>
      <c r="S45" s="198"/>
      <c r="T45" s="198"/>
      <c r="U45" s="198"/>
    </row>
    <row r="46" spans="1:21" s="12" customFormat="1" x14ac:dyDescent="0.25">
      <c r="A46" s="214" t="s">
        <v>1050</v>
      </c>
      <c r="B46" s="64">
        <v>8.0299999999999994</v>
      </c>
      <c r="C46" s="64">
        <v>3.18</v>
      </c>
      <c r="D46" s="64">
        <v>11.88</v>
      </c>
      <c r="E46" s="64">
        <v>4.3499999999999996</v>
      </c>
      <c r="F46" s="64">
        <v>3.16</v>
      </c>
      <c r="G46" s="64">
        <v>70.92</v>
      </c>
      <c r="H46" s="64">
        <v>37.24</v>
      </c>
      <c r="I46" s="64">
        <v>3.91</v>
      </c>
      <c r="J46" s="64">
        <v>1.32</v>
      </c>
      <c r="K46" s="64">
        <v>336.74</v>
      </c>
      <c r="L46" s="64">
        <v>32.51</v>
      </c>
      <c r="M46" s="64">
        <v>85.1</v>
      </c>
      <c r="N46" s="64">
        <v>617</v>
      </c>
      <c r="O46" s="64">
        <v>0</v>
      </c>
      <c r="P46" s="64">
        <v>0.64</v>
      </c>
      <c r="Q46" s="64">
        <v>9.98</v>
      </c>
      <c r="R46" s="198"/>
      <c r="S46" s="198"/>
      <c r="T46" s="198"/>
      <c r="U46" s="198"/>
    </row>
    <row r="47" spans="1:21" s="12" customFormat="1" x14ac:dyDescent="0.25">
      <c r="A47" s="214" t="s">
        <v>1051</v>
      </c>
      <c r="B47" s="64">
        <v>7.96</v>
      </c>
      <c r="C47" s="64">
        <v>3.05</v>
      </c>
      <c r="D47" s="64">
        <v>11.76</v>
      </c>
      <c r="E47" s="64">
        <v>4.24</v>
      </c>
      <c r="F47" s="64">
        <v>3.54</v>
      </c>
      <c r="G47" s="64">
        <v>70.92</v>
      </c>
      <c r="H47" s="64">
        <v>37.24</v>
      </c>
      <c r="I47" s="64">
        <v>4.16</v>
      </c>
      <c r="J47" s="64">
        <v>1.61</v>
      </c>
      <c r="K47" s="64">
        <v>337.24</v>
      </c>
      <c r="L47" s="64">
        <v>33.94</v>
      </c>
      <c r="M47" s="64">
        <v>78.150000000000006</v>
      </c>
      <c r="N47" s="64">
        <v>592.79999999999995</v>
      </c>
      <c r="O47" s="64">
        <v>0</v>
      </c>
      <c r="P47" s="64">
        <v>0.67</v>
      </c>
      <c r="Q47" s="64">
        <v>10</v>
      </c>
      <c r="R47" s="198"/>
      <c r="S47" s="198"/>
      <c r="T47" s="198"/>
      <c r="U47" s="198"/>
    </row>
    <row r="48" spans="1:21" s="12" customFormat="1" x14ac:dyDescent="0.25">
      <c r="A48" s="214" t="s">
        <v>1052</v>
      </c>
      <c r="B48" s="64">
        <v>8.0299999999999994</v>
      </c>
      <c r="C48" s="64">
        <v>3.16</v>
      </c>
      <c r="D48" s="64">
        <v>11.86</v>
      </c>
      <c r="E48" s="64">
        <v>4.17</v>
      </c>
      <c r="F48" s="64">
        <v>3.06</v>
      </c>
      <c r="G48" s="64">
        <v>71.459999999999994</v>
      </c>
      <c r="H48" s="64">
        <v>35.1</v>
      </c>
      <c r="I48" s="64">
        <v>4.13</v>
      </c>
      <c r="J48" s="64">
        <v>1.61</v>
      </c>
      <c r="K48" s="64">
        <v>338.4</v>
      </c>
      <c r="L48" s="64">
        <v>34.11</v>
      </c>
      <c r="M48" s="64">
        <v>77.8</v>
      </c>
      <c r="N48" s="64">
        <v>572.29999999999995</v>
      </c>
      <c r="O48" s="64">
        <v>0</v>
      </c>
      <c r="P48" s="64">
        <v>0.67</v>
      </c>
      <c r="Q48" s="64">
        <v>9.9499999999999993</v>
      </c>
      <c r="R48" s="198"/>
      <c r="S48" s="198"/>
      <c r="T48" s="198"/>
      <c r="U48" s="198"/>
    </row>
    <row r="49" spans="1:21" s="12" customFormat="1" x14ac:dyDescent="0.25">
      <c r="A49" s="214" t="s">
        <v>1053</v>
      </c>
      <c r="B49" s="64">
        <v>8.01</v>
      </c>
      <c r="C49" s="64">
        <v>3.07</v>
      </c>
      <c r="D49" s="64">
        <v>11.8</v>
      </c>
      <c r="E49" s="64">
        <v>4.17</v>
      </c>
      <c r="F49" s="64">
        <v>3.5</v>
      </c>
      <c r="G49" s="64">
        <v>72.45</v>
      </c>
      <c r="H49" s="64">
        <v>32.69</v>
      </c>
      <c r="I49" s="64">
        <v>3.97</v>
      </c>
      <c r="J49" s="64">
        <v>1.62</v>
      </c>
      <c r="K49" s="64">
        <v>338.57</v>
      </c>
      <c r="L49" s="64">
        <v>34.06</v>
      </c>
      <c r="M49" s="64">
        <v>78.900000000000006</v>
      </c>
      <c r="N49" s="64">
        <v>538.1</v>
      </c>
      <c r="O49" s="64">
        <v>0</v>
      </c>
      <c r="P49" s="64">
        <v>0.68</v>
      </c>
      <c r="Q49" s="64">
        <v>9.99</v>
      </c>
      <c r="R49" s="198"/>
      <c r="S49" s="198"/>
      <c r="T49" s="198"/>
      <c r="U49" s="198"/>
    </row>
    <row r="50" spans="1:21" s="12" customFormat="1" x14ac:dyDescent="0.25">
      <c r="A50" s="214" t="s">
        <v>1054</v>
      </c>
      <c r="B50" s="64">
        <v>8.01</v>
      </c>
      <c r="C50" s="64">
        <v>3.02</v>
      </c>
      <c r="D50" s="64">
        <v>11.77</v>
      </c>
      <c r="E50" s="64">
        <v>4.0199999999999996</v>
      </c>
      <c r="F50" s="64">
        <v>3.87</v>
      </c>
      <c r="G50" s="64">
        <v>72.45</v>
      </c>
      <c r="H50" s="64">
        <v>32.69</v>
      </c>
      <c r="I50" s="64">
        <v>3.86</v>
      </c>
      <c r="J50" s="64">
        <v>1.71</v>
      </c>
      <c r="K50" s="64">
        <v>337.15</v>
      </c>
      <c r="L50" s="64">
        <v>34.08</v>
      </c>
      <c r="M50" s="64">
        <v>78.73</v>
      </c>
      <c r="N50" s="64">
        <v>634.70000000000005</v>
      </c>
      <c r="O50" s="64">
        <v>0</v>
      </c>
      <c r="P50" s="64">
        <v>0.68</v>
      </c>
      <c r="Q50" s="64">
        <v>10.029999999999999</v>
      </c>
      <c r="R50" s="198"/>
      <c r="S50" s="198"/>
      <c r="T50" s="198"/>
      <c r="U50" s="198"/>
    </row>
    <row r="51" spans="1:21" s="12" customFormat="1" x14ac:dyDescent="0.25">
      <c r="A51" s="214" t="s">
        <v>1055</v>
      </c>
      <c r="B51" s="64">
        <v>8.0299999999999994</v>
      </c>
      <c r="C51" s="64">
        <v>3.06</v>
      </c>
      <c r="D51" s="64">
        <v>11.81</v>
      </c>
      <c r="E51" s="64">
        <v>4.1500000000000004</v>
      </c>
      <c r="F51" s="64">
        <v>3.84</v>
      </c>
      <c r="G51" s="64">
        <v>72.45</v>
      </c>
      <c r="H51" s="64">
        <v>32.69</v>
      </c>
      <c r="I51" s="64">
        <v>3.81</v>
      </c>
      <c r="J51" s="64">
        <v>1.54</v>
      </c>
      <c r="K51" s="64">
        <v>337.34</v>
      </c>
      <c r="L51" s="64">
        <v>34.26</v>
      </c>
      <c r="M51" s="64">
        <v>77.16</v>
      </c>
      <c r="N51" s="64">
        <v>414</v>
      </c>
      <c r="O51" s="64">
        <v>0</v>
      </c>
      <c r="P51" s="64">
        <v>0.69</v>
      </c>
      <c r="Q51" s="64">
        <v>10.050000000000001</v>
      </c>
      <c r="R51" s="198"/>
      <c r="S51" s="198"/>
      <c r="T51" s="198"/>
      <c r="U51" s="198"/>
    </row>
    <row r="52" spans="1:21" s="12" customFormat="1" x14ac:dyDescent="0.25">
      <c r="A52" s="214" t="s">
        <v>1056</v>
      </c>
      <c r="B52" s="64">
        <v>8</v>
      </c>
      <c r="C52" s="64">
        <v>3</v>
      </c>
      <c r="D52" s="64">
        <v>11.76</v>
      </c>
      <c r="E52" s="64">
        <v>3.91</v>
      </c>
      <c r="F52" s="64">
        <v>3.51</v>
      </c>
      <c r="G52" s="64">
        <v>73.78</v>
      </c>
      <c r="H52" s="64">
        <v>34.93</v>
      </c>
      <c r="I52" s="64">
        <v>3.72</v>
      </c>
      <c r="J52" s="64">
        <v>1.37</v>
      </c>
      <c r="K52" s="64">
        <v>340.83</v>
      </c>
      <c r="L52" s="64">
        <v>33.799999999999997</v>
      </c>
      <c r="M52" s="64">
        <v>79.540000000000006</v>
      </c>
      <c r="N52" s="64">
        <v>586.70000000000005</v>
      </c>
      <c r="O52" s="64">
        <v>0</v>
      </c>
      <c r="P52" s="64">
        <v>0.69</v>
      </c>
      <c r="Q52" s="64">
        <v>10.06</v>
      </c>
      <c r="R52" s="198"/>
      <c r="S52" s="198"/>
      <c r="T52" s="198"/>
      <c r="U52" s="198"/>
    </row>
    <row r="53" spans="1:21" s="12" customFormat="1" x14ac:dyDescent="0.25">
      <c r="A53" s="214" t="s">
        <v>1057</v>
      </c>
      <c r="B53" s="64">
        <v>7.97</v>
      </c>
      <c r="C53" s="64">
        <v>3.05</v>
      </c>
      <c r="D53" s="64">
        <v>11.76</v>
      </c>
      <c r="E53" s="64">
        <v>4.3499999999999996</v>
      </c>
      <c r="F53" s="64">
        <v>14.18</v>
      </c>
      <c r="G53" s="64">
        <v>76.2</v>
      </c>
      <c r="H53" s="64">
        <v>37.46</v>
      </c>
      <c r="I53" s="64">
        <v>3.67</v>
      </c>
      <c r="J53" s="64">
        <v>1.51</v>
      </c>
      <c r="K53" s="64">
        <v>335.88</v>
      </c>
      <c r="L53" s="64">
        <v>34.770000000000003</v>
      </c>
      <c r="M53" s="64">
        <v>73.23</v>
      </c>
      <c r="N53" s="64">
        <v>587.9</v>
      </c>
      <c r="O53" s="64">
        <v>0</v>
      </c>
      <c r="P53" s="64">
        <v>0.69</v>
      </c>
      <c r="Q53" s="64">
        <v>10.1</v>
      </c>
      <c r="R53" s="198"/>
      <c r="S53" s="198"/>
      <c r="T53" s="198"/>
      <c r="U53" s="198"/>
    </row>
    <row r="54" spans="1:21" s="12" customFormat="1" x14ac:dyDescent="0.25">
      <c r="A54" s="214" t="s">
        <v>1058</v>
      </c>
      <c r="B54" s="64">
        <v>7.95</v>
      </c>
      <c r="C54" s="64">
        <v>3</v>
      </c>
      <c r="D54" s="64">
        <v>11.72</v>
      </c>
      <c r="E54" s="64">
        <v>4.8600000000000003</v>
      </c>
      <c r="F54" s="64">
        <v>16.14</v>
      </c>
      <c r="G54" s="64">
        <v>76.2</v>
      </c>
      <c r="H54" s="64">
        <v>37.46</v>
      </c>
      <c r="I54" s="64">
        <v>3.67</v>
      </c>
      <c r="J54" s="64">
        <v>1.35</v>
      </c>
      <c r="K54" s="64">
        <v>339.29</v>
      </c>
      <c r="L54" s="64">
        <v>34.700000000000003</v>
      </c>
      <c r="M54" s="64">
        <v>72.900000000000006</v>
      </c>
      <c r="N54" s="64">
        <v>580.4</v>
      </c>
      <c r="O54" s="64">
        <v>0</v>
      </c>
      <c r="P54" s="64">
        <v>0.68</v>
      </c>
      <c r="Q54" s="64">
        <v>10.039999999999999</v>
      </c>
      <c r="R54" s="198"/>
      <c r="S54" s="198"/>
      <c r="T54" s="198"/>
      <c r="U54" s="198"/>
    </row>
    <row r="55" spans="1:21" s="12" customFormat="1" x14ac:dyDescent="0.25">
      <c r="A55" s="214" t="s">
        <v>1059</v>
      </c>
      <c r="B55" s="64">
        <v>7.93</v>
      </c>
      <c r="C55" s="64">
        <v>3.05</v>
      </c>
      <c r="D55" s="64">
        <v>11.72</v>
      </c>
      <c r="E55" s="64">
        <v>4.92</v>
      </c>
      <c r="F55" s="64">
        <v>12.88</v>
      </c>
      <c r="G55" s="64">
        <v>76.2</v>
      </c>
      <c r="H55" s="64">
        <v>37.46</v>
      </c>
      <c r="I55" s="64">
        <v>2.54</v>
      </c>
      <c r="J55" s="64">
        <v>0.6</v>
      </c>
      <c r="K55" s="64">
        <v>336.13</v>
      </c>
      <c r="L55" s="64">
        <v>32.89</v>
      </c>
      <c r="M55" s="64">
        <v>77.52</v>
      </c>
      <c r="N55" s="64">
        <v>326.60000000000002</v>
      </c>
      <c r="O55" s="64">
        <v>0</v>
      </c>
      <c r="P55" s="64">
        <v>0.7</v>
      </c>
      <c r="Q55" s="64">
        <v>9.9600000000000009</v>
      </c>
      <c r="R55" s="198"/>
      <c r="S55" s="198"/>
      <c r="T55" s="198"/>
      <c r="U55" s="198"/>
    </row>
    <row r="56" spans="1:21" s="12" customFormat="1" x14ac:dyDescent="0.25">
      <c r="A56" s="214" t="s">
        <v>1060</v>
      </c>
      <c r="B56" s="64">
        <v>7.91</v>
      </c>
      <c r="C56" s="64">
        <v>3.02</v>
      </c>
      <c r="D56" s="64">
        <v>11.7</v>
      </c>
      <c r="E56" s="64">
        <v>5.65</v>
      </c>
      <c r="F56" s="64">
        <v>13.79</v>
      </c>
      <c r="G56" s="64">
        <v>70.63</v>
      </c>
      <c r="H56" s="64">
        <v>33.64</v>
      </c>
      <c r="I56" s="64">
        <v>2.25</v>
      </c>
      <c r="J56" s="64">
        <v>0.56999999999999995</v>
      </c>
      <c r="K56" s="64">
        <v>333.79</v>
      </c>
      <c r="L56" s="64">
        <v>32.86</v>
      </c>
      <c r="M56" s="64">
        <v>78.11</v>
      </c>
      <c r="N56" s="64">
        <v>396.6</v>
      </c>
      <c r="O56" s="64">
        <v>0</v>
      </c>
      <c r="P56" s="64">
        <v>0.73</v>
      </c>
      <c r="Q56" s="64">
        <v>10.08</v>
      </c>
      <c r="R56" s="198"/>
      <c r="S56" s="198"/>
      <c r="T56" s="198"/>
      <c r="U56" s="198"/>
    </row>
    <row r="57" spans="1:21" s="12" customFormat="1" x14ac:dyDescent="0.25">
      <c r="A57" s="214" t="s">
        <v>1061</v>
      </c>
      <c r="B57" s="64">
        <v>7.9</v>
      </c>
      <c r="C57" s="64">
        <v>2.96</v>
      </c>
      <c r="D57" s="64">
        <v>11.65</v>
      </c>
      <c r="E57" s="64">
        <v>5.3</v>
      </c>
      <c r="F57" s="64">
        <v>16.829999999999998</v>
      </c>
      <c r="G57" s="64">
        <v>60.53</v>
      </c>
      <c r="H57" s="64">
        <v>29.46</v>
      </c>
      <c r="I57" s="64">
        <v>2.34</v>
      </c>
      <c r="J57" s="64">
        <v>1.04</v>
      </c>
      <c r="K57" s="64">
        <v>333.67</v>
      </c>
      <c r="L57" s="64">
        <v>32.17</v>
      </c>
      <c r="M57" s="64">
        <v>82.74</v>
      </c>
      <c r="N57" s="64">
        <v>512.6</v>
      </c>
      <c r="O57" s="64">
        <v>0</v>
      </c>
      <c r="P57" s="64">
        <v>0.61</v>
      </c>
      <c r="Q57" s="64">
        <v>9.83</v>
      </c>
      <c r="R57" s="198"/>
      <c r="S57" s="198"/>
      <c r="T57" s="198"/>
      <c r="U57" s="198"/>
    </row>
    <row r="58" spans="1:21" s="12" customFormat="1" x14ac:dyDescent="0.25">
      <c r="A58" s="214" t="s">
        <v>1062</v>
      </c>
      <c r="B58" s="64">
        <v>7.89</v>
      </c>
      <c r="C58" s="64">
        <v>2.99</v>
      </c>
      <c r="D58" s="64">
        <v>11.67</v>
      </c>
      <c r="E58" s="64">
        <v>5.6</v>
      </c>
      <c r="F58" s="64">
        <v>10.64</v>
      </c>
      <c r="G58" s="64">
        <v>60.53</v>
      </c>
      <c r="H58" s="64">
        <v>29.46</v>
      </c>
      <c r="I58" s="64">
        <v>2.23</v>
      </c>
      <c r="J58" s="64">
        <v>1.23</v>
      </c>
      <c r="K58" s="64">
        <v>333.68</v>
      </c>
      <c r="L58" s="64">
        <v>33.67</v>
      </c>
      <c r="M58" s="64">
        <v>75.319999999999993</v>
      </c>
      <c r="N58" s="64">
        <v>448.1</v>
      </c>
      <c r="O58" s="64">
        <v>0</v>
      </c>
      <c r="P58" s="64">
        <v>0.6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4" t="s">
        <v>1063</v>
      </c>
      <c r="B59" s="64">
        <v>7.91</v>
      </c>
      <c r="C59" s="64">
        <v>2.99</v>
      </c>
      <c r="D59" s="64">
        <v>11.68</v>
      </c>
      <c r="E59" s="64">
        <v>5.1100000000000003</v>
      </c>
      <c r="F59" s="64">
        <v>8.08</v>
      </c>
      <c r="G59" s="64">
        <v>60.53</v>
      </c>
      <c r="H59" s="64">
        <v>29.46</v>
      </c>
      <c r="I59" s="64">
        <v>1.97</v>
      </c>
      <c r="J59" s="64">
        <v>0.44</v>
      </c>
      <c r="K59" s="64">
        <v>329.92</v>
      </c>
      <c r="L59" s="64">
        <v>32.270000000000003</v>
      </c>
      <c r="M59" s="64">
        <v>80.09</v>
      </c>
      <c r="N59" s="64">
        <v>178.6</v>
      </c>
      <c r="O59" s="64">
        <v>0</v>
      </c>
      <c r="P59" s="64">
        <v>0.6</v>
      </c>
      <c r="Q59" s="64">
        <v>9.51</v>
      </c>
      <c r="R59" s="198"/>
      <c r="S59" s="198"/>
      <c r="T59" s="198"/>
      <c r="U59" s="198"/>
    </row>
    <row r="60" spans="1:21" s="12" customFormat="1" x14ac:dyDescent="0.25">
      <c r="A60" s="214" t="s">
        <v>1064</v>
      </c>
      <c r="B60" s="64">
        <v>7.91</v>
      </c>
      <c r="C60" s="64">
        <v>3.02</v>
      </c>
      <c r="D60" s="64">
        <v>11.69</v>
      </c>
      <c r="E60" s="64">
        <v>4.5599999999999996</v>
      </c>
      <c r="F60" s="64">
        <v>7.31</v>
      </c>
      <c r="G60" s="64">
        <v>58.15</v>
      </c>
      <c r="H60" s="64">
        <v>29.69</v>
      </c>
      <c r="I60" s="64">
        <v>1.93</v>
      </c>
      <c r="J60" s="64">
        <v>1.63</v>
      </c>
      <c r="K60" s="64">
        <v>336.27</v>
      </c>
      <c r="L60" s="64">
        <v>32.56</v>
      </c>
      <c r="M60" s="64">
        <v>82</v>
      </c>
      <c r="N60" s="64">
        <v>536</v>
      </c>
      <c r="O60" s="64">
        <v>0</v>
      </c>
      <c r="P60" s="64">
        <v>0.6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4" t="s">
        <v>1065</v>
      </c>
      <c r="B61" s="64">
        <v>7.92</v>
      </c>
      <c r="C61" s="64">
        <v>3.04</v>
      </c>
      <c r="D61" s="64">
        <v>11.72</v>
      </c>
      <c r="E61" s="64">
        <v>4.7699999999999996</v>
      </c>
      <c r="F61" s="64">
        <v>6.04</v>
      </c>
      <c r="G61" s="64">
        <v>53.85</v>
      </c>
      <c r="H61" s="64">
        <v>30.45</v>
      </c>
      <c r="I61" s="64">
        <v>2.16</v>
      </c>
      <c r="J61" s="64">
        <v>1.8</v>
      </c>
      <c r="K61" s="64">
        <v>337.97</v>
      </c>
      <c r="L61" s="64">
        <v>32.869999999999997</v>
      </c>
      <c r="M61" s="64">
        <v>79.23</v>
      </c>
      <c r="N61" s="64">
        <v>393.1</v>
      </c>
      <c r="O61" s="64">
        <v>0</v>
      </c>
      <c r="P61" s="64">
        <v>0.57999999999999996</v>
      </c>
      <c r="Q61" s="64">
        <v>9.6999999999999993</v>
      </c>
      <c r="R61" s="198"/>
      <c r="S61" s="198"/>
      <c r="T61" s="198"/>
      <c r="U61" s="198"/>
    </row>
    <row r="62" spans="1:21" s="12" customFormat="1" x14ac:dyDescent="0.25">
      <c r="A62" s="214" t="s">
        <v>1066</v>
      </c>
      <c r="B62" s="64">
        <v>7.97</v>
      </c>
      <c r="C62" s="64">
        <v>3.24</v>
      </c>
      <c r="D62" s="64">
        <v>11.86</v>
      </c>
      <c r="E62" s="64">
        <v>5.16</v>
      </c>
      <c r="F62" s="64">
        <v>10.039999999999999</v>
      </c>
      <c r="G62" s="64">
        <v>53.85</v>
      </c>
      <c r="H62" s="64">
        <v>30.45</v>
      </c>
      <c r="I62" s="64">
        <v>2.2799999999999998</v>
      </c>
      <c r="J62" s="64">
        <v>1.5</v>
      </c>
      <c r="K62" s="64">
        <v>338.99</v>
      </c>
      <c r="L62" s="64">
        <v>33.46</v>
      </c>
      <c r="M62" s="64">
        <v>77.73</v>
      </c>
      <c r="N62" s="64">
        <v>651.9</v>
      </c>
      <c r="O62" s="64">
        <v>0</v>
      </c>
      <c r="P62" s="64">
        <v>0.56999999999999995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4" t="s">
        <v>1067</v>
      </c>
      <c r="B63" s="64">
        <v>7.97</v>
      </c>
      <c r="C63" s="64">
        <v>3.15</v>
      </c>
      <c r="D63" s="64">
        <v>11.81</v>
      </c>
      <c r="E63" s="64">
        <v>6.77</v>
      </c>
      <c r="F63" s="64">
        <v>8.1300000000000008</v>
      </c>
      <c r="G63" s="64">
        <v>53.85</v>
      </c>
      <c r="H63" s="64">
        <v>30.45</v>
      </c>
      <c r="I63" s="64">
        <v>2.31</v>
      </c>
      <c r="J63" s="64">
        <v>1.4</v>
      </c>
      <c r="K63" s="64">
        <v>336.3</v>
      </c>
      <c r="L63" s="64">
        <v>34.200000000000003</v>
      </c>
      <c r="M63" s="64">
        <v>74.92</v>
      </c>
      <c r="N63" s="64">
        <v>558.9</v>
      </c>
      <c r="O63" s="64">
        <v>0</v>
      </c>
      <c r="P63" s="64">
        <v>0.55000000000000004</v>
      </c>
      <c r="Q63" s="64">
        <v>9.66</v>
      </c>
      <c r="R63" s="198"/>
      <c r="S63" s="198"/>
      <c r="T63" s="198"/>
      <c r="U63" s="198"/>
    </row>
    <row r="64" spans="1:21" s="12" customFormat="1" x14ac:dyDescent="0.25">
      <c r="A64" s="214" t="s">
        <v>1068</v>
      </c>
      <c r="B64" s="64">
        <v>7.96</v>
      </c>
      <c r="C64" s="64">
        <v>3.1</v>
      </c>
      <c r="D64" s="64">
        <v>11.78</v>
      </c>
      <c r="E64" s="64">
        <v>4.57</v>
      </c>
      <c r="F64" s="64">
        <v>4.5999999999999996</v>
      </c>
      <c r="G64" s="64">
        <v>63.1</v>
      </c>
      <c r="H64" s="64">
        <v>29.29</v>
      </c>
      <c r="I64" s="64">
        <v>2.21</v>
      </c>
      <c r="J64" s="64">
        <v>1.31</v>
      </c>
      <c r="K64" s="64">
        <v>337.81</v>
      </c>
      <c r="L64" s="64">
        <v>33.96</v>
      </c>
      <c r="M64" s="64">
        <v>74.45</v>
      </c>
      <c r="N64" s="64">
        <v>216.8</v>
      </c>
      <c r="O64" s="64">
        <v>0</v>
      </c>
      <c r="P64" s="64">
        <v>0.55000000000000004</v>
      </c>
      <c r="Q64" s="64">
        <v>9.73</v>
      </c>
      <c r="R64" s="198"/>
      <c r="S64" s="198"/>
      <c r="T64" s="198"/>
      <c r="U64" s="198"/>
    </row>
    <row r="65" spans="1:21" s="12" customFormat="1" x14ac:dyDescent="0.25">
      <c r="A65" s="214" t="s">
        <v>1069</v>
      </c>
      <c r="B65" s="64">
        <v>7.98</v>
      </c>
      <c r="C65" s="64">
        <v>3.07</v>
      </c>
      <c r="D65" s="64">
        <v>11.77</v>
      </c>
      <c r="E65" s="64">
        <v>4.33</v>
      </c>
      <c r="F65" s="64">
        <v>3.88</v>
      </c>
      <c r="G65" s="64">
        <v>79.86</v>
      </c>
      <c r="H65" s="64">
        <v>27.99</v>
      </c>
      <c r="I65" s="64">
        <v>2.15</v>
      </c>
      <c r="J65" s="64">
        <v>1.1499999999999999</v>
      </c>
      <c r="K65" s="64">
        <v>334.41</v>
      </c>
      <c r="L65" s="64">
        <v>32.950000000000003</v>
      </c>
      <c r="M65" s="64">
        <v>79.8</v>
      </c>
      <c r="N65" s="64">
        <v>204.7</v>
      </c>
      <c r="O65" s="64">
        <v>0</v>
      </c>
      <c r="P65" s="64">
        <v>0.55000000000000004</v>
      </c>
      <c r="Q65" s="64">
        <v>9.76</v>
      </c>
      <c r="R65" s="198"/>
      <c r="S65" s="198"/>
      <c r="T65" s="198"/>
      <c r="U65" s="198"/>
    </row>
    <row r="66" spans="1:21" s="12" customFormat="1" x14ac:dyDescent="0.25">
      <c r="A66" s="214" t="s">
        <v>1070</v>
      </c>
      <c r="B66" s="64">
        <v>7.96</v>
      </c>
      <c r="C66" s="64">
        <v>3.01</v>
      </c>
      <c r="D66" s="64">
        <v>11.73</v>
      </c>
      <c r="E66" s="64">
        <v>4.74</v>
      </c>
      <c r="F66" s="64">
        <v>9.3000000000000007</v>
      </c>
      <c r="G66" s="64">
        <v>79.86</v>
      </c>
      <c r="H66" s="64">
        <v>27.99</v>
      </c>
      <c r="I66" s="64">
        <v>2.2200000000000002</v>
      </c>
      <c r="J66" s="64">
        <v>1.05</v>
      </c>
      <c r="K66" s="64">
        <v>338.54</v>
      </c>
      <c r="L66" s="64">
        <v>33.19</v>
      </c>
      <c r="M66" s="64">
        <v>77.010000000000005</v>
      </c>
      <c r="N66" s="64">
        <v>296.2</v>
      </c>
      <c r="O66" s="64">
        <v>0</v>
      </c>
      <c r="P66" s="64">
        <v>0.57999999999999996</v>
      </c>
      <c r="Q66" s="64">
        <v>9.83</v>
      </c>
      <c r="R66" s="198"/>
      <c r="S66" s="198"/>
      <c r="T66" s="198"/>
      <c r="U66" s="198"/>
    </row>
    <row r="67" spans="1:21" s="12" customFormat="1" x14ac:dyDescent="0.25">
      <c r="A67" s="214" t="s">
        <v>1071</v>
      </c>
      <c r="B67" s="64">
        <v>7.93</v>
      </c>
      <c r="C67" s="64">
        <v>3.01</v>
      </c>
      <c r="D67" s="64">
        <v>11.71</v>
      </c>
      <c r="E67" s="64">
        <v>5.3</v>
      </c>
      <c r="F67" s="64">
        <v>18.920000000000002</v>
      </c>
      <c r="G67" s="64">
        <v>79.86</v>
      </c>
      <c r="H67" s="64">
        <v>27.99</v>
      </c>
      <c r="I67" s="64">
        <v>2.37</v>
      </c>
      <c r="J67" s="64">
        <v>1.1399999999999999</v>
      </c>
      <c r="K67" s="64">
        <v>336.69</v>
      </c>
      <c r="L67" s="64">
        <v>33.700000000000003</v>
      </c>
      <c r="M67" s="64">
        <v>73.98</v>
      </c>
      <c r="N67" s="64">
        <v>311.7</v>
      </c>
      <c r="O67" s="64">
        <v>0</v>
      </c>
      <c r="P67" s="64">
        <v>0.7</v>
      </c>
      <c r="Q67" s="64">
        <v>9.99</v>
      </c>
      <c r="R67" s="198"/>
      <c r="S67" s="198"/>
      <c r="T67" s="198"/>
      <c r="U67" s="198"/>
    </row>
    <row r="68" spans="1:21" s="12" customFormat="1" x14ac:dyDescent="0.25">
      <c r="A68" s="214" t="s">
        <v>1072</v>
      </c>
      <c r="B68" s="64">
        <v>7.92</v>
      </c>
      <c r="C68" s="64">
        <v>3.06</v>
      </c>
      <c r="D68" s="64">
        <v>11.72</v>
      </c>
      <c r="E68" s="64">
        <v>4.75</v>
      </c>
      <c r="F68" s="64">
        <v>10.27</v>
      </c>
      <c r="G68" s="64">
        <v>68.77</v>
      </c>
      <c r="H68" s="64">
        <v>26.87</v>
      </c>
      <c r="I68" s="64">
        <v>2.1800000000000002</v>
      </c>
      <c r="J68" s="64">
        <v>1.18</v>
      </c>
      <c r="K68" s="64">
        <v>338.35</v>
      </c>
      <c r="L68" s="64">
        <v>33.46</v>
      </c>
      <c r="M68" s="64">
        <v>75.08</v>
      </c>
      <c r="N68" s="64">
        <v>170.6</v>
      </c>
      <c r="O68" s="64">
        <v>0</v>
      </c>
      <c r="P68" s="64">
        <v>0.7</v>
      </c>
      <c r="Q68" s="64">
        <v>9.8699999999999992</v>
      </c>
      <c r="R68" s="198"/>
      <c r="S68" s="198"/>
      <c r="T68" s="198"/>
      <c r="U68" s="198"/>
    </row>
    <row r="69" spans="1:21" s="12" customFormat="1" x14ac:dyDescent="0.25">
      <c r="A69" s="214" t="s">
        <v>1073</v>
      </c>
      <c r="B69" s="64">
        <v>7.92</v>
      </c>
      <c r="C69" s="64">
        <v>3.02</v>
      </c>
      <c r="D69" s="64">
        <v>11.7</v>
      </c>
      <c r="E69" s="64">
        <v>4.43</v>
      </c>
      <c r="F69" s="64">
        <v>6.42</v>
      </c>
      <c r="G69" s="64">
        <v>48.68</v>
      </c>
      <c r="H69" s="64">
        <v>25.64</v>
      </c>
      <c r="I69" s="64">
        <v>1.88</v>
      </c>
      <c r="J69" s="64">
        <v>1.05</v>
      </c>
      <c r="K69" s="64">
        <v>337.52</v>
      </c>
      <c r="L69" s="64">
        <v>32.049999999999997</v>
      </c>
      <c r="M69" s="64">
        <v>80.709999999999994</v>
      </c>
      <c r="N69" s="64">
        <v>100.7</v>
      </c>
      <c r="O69" s="64">
        <v>0</v>
      </c>
      <c r="P69" s="64">
        <v>0.71</v>
      </c>
      <c r="Q69" s="64">
        <v>9.73</v>
      </c>
      <c r="R69" s="198"/>
      <c r="S69" s="198"/>
      <c r="T69" s="198"/>
      <c r="U69" s="198"/>
    </row>
    <row r="70" spans="1:21" s="12" customFormat="1" x14ac:dyDescent="0.25">
      <c r="A70" s="214" t="s">
        <v>1074</v>
      </c>
      <c r="B70" s="64">
        <v>7.94</v>
      </c>
      <c r="C70" s="64">
        <v>3</v>
      </c>
      <c r="D70" s="64">
        <v>11.71</v>
      </c>
      <c r="E70" s="64">
        <v>4.3099999999999996</v>
      </c>
      <c r="F70" s="64">
        <v>4.54</v>
      </c>
      <c r="G70" s="64">
        <v>48.68</v>
      </c>
      <c r="H70" s="64">
        <v>25.64</v>
      </c>
      <c r="I70" s="64">
        <v>1.89</v>
      </c>
      <c r="J70" s="64">
        <v>0.56000000000000005</v>
      </c>
      <c r="K70" s="64">
        <v>100.67</v>
      </c>
      <c r="L70" s="64">
        <v>30.48</v>
      </c>
      <c r="M70" s="64">
        <v>88.03</v>
      </c>
      <c r="N70" s="64">
        <v>138.6</v>
      </c>
      <c r="O70" s="64">
        <v>0</v>
      </c>
      <c r="P70" s="64">
        <v>0.71</v>
      </c>
      <c r="Q70" s="64">
        <v>9.7200000000000006</v>
      </c>
      <c r="R70" s="198"/>
      <c r="S70" s="198"/>
      <c r="T70" s="198"/>
      <c r="U70" s="198"/>
    </row>
    <row r="71" spans="1:21" s="12" customFormat="1" x14ac:dyDescent="0.25">
      <c r="A71" s="214" t="s">
        <v>1075</v>
      </c>
      <c r="B71" s="64">
        <v>7.94</v>
      </c>
      <c r="C71" s="64">
        <v>3.01</v>
      </c>
      <c r="D71" s="64">
        <v>11.72</v>
      </c>
      <c r="E71" s="64">
        <v>3.98</v>
      </c>
      <c r="F71" s="64">
        <v>3.88</v>
      </c>
      <c r="G71" s="64">
        <v>48.68</v>
      </c>
      <c r="H71" s="64">
        <v>25.64</v>
      </c>
      <c r="I71" s="64">
        <v>2.15</v>
      </c>
      <c r="J71" s="64">
        <v>0.61</v>
      </c>
      <c r="K71" s="64">
        <v>109.5</v>
      </c>
      <c r="L71" s="64">
        <v>29.13</v>
      </c>
      <c r="M71" s="64">
        <v>96.15</v>
      </c>
      <c r="N71" s="64">
        <v>157.80000000000001</v>
      </c>
      <c r="O71" s="64">
        <v>0</v>
      </c>
      <c r="P71" s="64">
        <v>0.71</v>
      </c>
      <c r="Q71" s="64">
        <v>9.74</v>
      </c>
      <c r="R71" s="198"/>
      <c r="S71" s="198"/>
      <c r="T71" s="198"/>
      <c r="U71" s="198"/>
    </row>
    <row r="72" spans="1:21" s="12" customFormat="1" x14ac:dyDescent="0.25">
      <c r="A72" s="214" t="s">
        <v>1076</v>
      </c>
      <c r="B72" s="64">
        <v>7.95</v>
      </c>
      <c r="C72" s="64">
        <v>2.98</v>
      </c>
      <c r="D72" s="64">
        <v>11.7</v>
      </c>
      <c r="E72" s="64">
        <v>4.8600000000000003</v>
      </c>
      <c r="F72" s="64">
        <v>4.22</v>
      </c>
      <c r="G72" s="64">
        <v>56.16</v>
      </c>
      <c r="H72" s="64">
        <v>26.6</v>
      </c>
      <c r="I72" s="64">
        <v>2.5499999999999998</v>
      </c>
      <c r="J72" s="64">
        <v>0.12</v>
      </c>
      <c r="K72" s="64">
        <v>35.25</v>
      </c>
      <c r="L72" s="64">
        <v>29.89</v>
      </c>
      <c r="M72" s="64">
        <v>93.07</v>
      </c>
      <c r="N72" s="64">
        <v>178.4</v>
      </c>
      <c r="O72" s="64">
        <v>0</v>
      </c>
      <c r="P72" s="64">
        <v>0.7</v>
      </c>
      <c r="Q72" s="64">
        <v>9.76</v>
      </c>
      <c r="R72" s="198"/>
      <c r="S72" s="198"/>
      <c r="T72" s="198"/>
      <c r="U72" s="198"/>
    </row>
    <row r="73" spans="1:21" s="12" customFormat="1" x14ac:dyDescent="0.25">
      <c r="A73" s="214" t="s">
        <v>1077</v>
      </c>
      <c r="B73" s="64">
        <v>7.93</v>
      </c>
      <c r="C73" s="64">
        <v>2.99</v>
      </c>
      <c r="D73" s="64">
        <v>11.7</v>
      </c>
      <c r="E73" s="64">
        <v>4.01</v>
      </c>
      <c r="F73" s="64">
        <v>5.1100000000000003</v>
      </c>
      <c r="G73" s="64">
        <v>69.72</v>
      </c>
      <c r="H73" s="64">
        <v>27.68</v>
      </c>
      <c r="I73" s="64">
        <v>3.44</v>
      </c>
      <c r="J73" s="64">
        <v>0.38</v>
      </c>
      <c r="K73" s="64">
        <v>351.39</v>
      </c>
      <c r="L73" s="64">
        <v>30.89</v>
      </c>
      <c r="M73" s="64">
        <v>90.23</v>
      </c>
      <c r="N73" s="64">
        <v>180.8</v>
      </c>
      <c r="O73" s="64">
        <v>0</v>
      </c>
      <c r="P73" s="64">
        <v>0.7</v>
      </c>
      <c r="Q73" s="64">
        <v>9.8800000000000008</v>
      </c>
      <c r="R73" s="198"/>
      <c r="S73" s="198"/>
      <c r="T73" s="198"/>
      <c r="U73" s="198"/>
    </row>
    <row r="74" spans="1:21" s="12" customFormat="1" x14ac:dyDescent="0.25">
      <c r="A74" s="214" t="s">
        <v>1078</v>
      </c>
      <c r="B74" s="64">
        <v>7.93</v>
      </c>
      <c r="C74" s="64">
        <v>3.03</v>
      </c>
      <c r="D74" s="64">
        <v>11.71</v>
      </c>
      <c r="E74" s="64">
        <v>4.2300000000000004</v>
      </c>
      <c r="F74" s="64">
        <v>2.5099999999999998</v>
      </c>
      <c r="G74" s="64">
        <v>69.72</v>
      </c>
      <c r="H74" s="64">
        <v>27.68</v>
      </c>
      <c r="I74" s="64">
        <v>3.67</v>
      </c>
      <c r="J74" s="64">
        <v>0.72</v>
      </c>
      <c r="K74" s="64">
        <v>342.62</v>
      </c>
      <c r="L74" s="64">
        <v>31.68</v>
      </c>
      <c r="M74" s="64">
        <v>85.29</v>
      </c>
      <c r="N74" s="64">
        <v>160.19999999999999</v>
      </c>
      <c r="O74" s="64">
        <v>0</v>
      </c>
      <c r="P74" s="64">
        <v>0.71</v>
      </c>
      <c r="Q74" s="64">
        <v>9.68</v>
      </c>
      <c r="R74" s="198"/>
      <c r="S74" s="198"/>
      <c r="T74" s="198"/>
      <c r="U74" s="198"/>
    </row>
    <row r="75" spans="1:21" s="12" customFormat="1" x14ac:dyDescent="0.25">
      <c r="A75" s="214" t="s">
        <v>1079</v>
      </c>
      <c r="B75" s="64">
        <v>7.94</v>
      </c>
      <c r="C75" s="64">
        <v>3</v>
      </c>
      <c r="D75" s="64">
        <v>11.71</v>
      </c>
      <c r="E75" s="64">
        <v>3.61</v>
      </c>
      <c r="F75" s="64">
        <v>3.25</v>
      </c>
      <c r="G75" s="64">
        <v>69.72</v>
      </c>
      <c r="H75" s="64">
        <v>27.68</v>
      </c>
      <c r="I75" s="64">
        <v>3.69</v>
      </c>
      <c r="J75" s="64">
        <v>0.03</v>
      </c>
      <c r="K75" s="64">
        <v>305.55</v>
      </c>
      <c r="L75" s="64">
        <v>31.36</v>
      </c>
      <c r="M75" s="64">
        <v>87.12</v>
      </c>
      <c r="N75" s="64">
        <v>129.1</v>
      </c>
      <c r="O75" s="64">
        <v>0</v>
      </c>
      <c r="P75" s="64">
        <v>0.72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4" t="s">
        <v>1080</v>
      </c>
      <c r="B76" s="64">
        <v>7.97</v>
      </c>
      <c r="C76" s="64">
        <v>3.03</v>
      </c>
      <c r="D76" s="64">
        <v>11.75</v>
      </c>
      <c r="E76" s="64">
        <v>4.0599999999999996</v>
      </c>
      <c r="F76" s="64">
        <v>4.0199999999999996</v>
      </c>
      <c r="G76" s="64">
        <v>66.98</v>
      </c>
      <c r="H76" s="64">
        <v>25.41</v>
      </c>
      <c r="I76" s="64">
        <v>3.69</v>
      </c>
      <c r="J76" s="64">
        <v>0.48</v>
      </c>
      <c r="K76" s="64">
        <v>143.09</v>
      </c>
      <c r="L76" s="64">
        <v>30.16</v>
      </c>
      <c r="M76" s="64">
        <v>96.14</v>
      </c>
      <c r="N76" s="64">
        <v>97</v>
      </c>
      <c r="O76" s="64">
        <v>0</v>
      </c>
      <c r="P76" s="64">
        <v>0.7</v>
      </c>
      <c r="Q76" s="64">
        <v>9.7200000000000006</v>
      </c>
      <c r="R76" s="198"/>
      <c r="S76" s="198"/>
      <c r="T76" s="198"/>
      <c r="U76" s="198"/>
    </row>
    <row r="77" spans="1:21" s="12" customFormat="1" x14ac:dyDescent="0.25">
      <c r="A77" s="214" t="s">
        <v>1081</v>
      </c>
      <c r="B77" s="64">
        <v>7.94</v>
      </c>
      <c r="C77" s="64">
        <v>2.97</v>
      </c>
      <c r="D77" s="64">
        <v>11.7</v>
      </c>
      <c r="E77" s="64">
        <v>4.0199999999999996</v>
      </c>
      <c r="F77" s="64">
        <v>4.95</v>
      </c>
      <c r="G77" s="64">
        <v>62</v>
      </c>
      <c r="H77" s="64">
        <v>18.16</v>
      </c>
      <c r="I77" s="64">
        <v>3.77</v>
      </c>
      <c r="J77" s="64">
        <v>0.02</v>
      </c>
      <c r="K77" s="64">
        <v>357.87</v>
      </c>
      <c r="L77" s="64">
        <v>29.18</v>
      </c>
      <c r="M77" s="64">
        <v>101.19</v>
      </c>
      <c r="N77" s="64">
        <v>56.5</v>
      </c>
      <c r="O77" s="64">
        <v>0.8</v>
      </c>
      <c r="P77" s="64">
        <v>0.69</v>
      </c>
      <c r="Q77" s="64">
        <v>9.8699999999999992</v>
      </c>
      <c r="R77" s="198"/>
      <c r="S77" s="198"/>
      <c r="T77" s="198"/>
      <c r="U77" s="198"/>
    </row>
    <row r="78" spans="1:21" s="12" customFormat="1" x14ac:dyDescent="0.25">
      <c r="A78" s="214" t="s">
        <v>1082</v>
      </c>
      <c r="B78" s="64">
        <v>7.93</v>
      </c>
      <c r="C78" s="64">
        <v>3.02</v>
      </c>
      <c r="D78" s="64">
        <v>11.71</v>
      </c>
      <c r="E78" s="64">
        <v>4.1399999999999997</v>
      </c>
      <c r="F78" s="64">
        <v>2.5499999999999998</v>
      </c>
      <c r="G78" s="64">
        <v>62</v>
      </c>
      <c r="H78" s="64">
        <v>18.16</v>
      </c>
      <c r="I78" s="64">
        <v>3.88</v>
      </c>
      <c r="J78" s="64">
        <v>0.26</v>
      </c>
      <c r="K78" s="64">
        <v>150.94</v>
      </c>
      <c r="L78" s="64">
        <v>28.37</v>
      </c>
      <c r="M78" s="64">
        <v>101.7</v>
      </c>
      <c r="N78" s="64">
        <v>50.9</v>
      </c>
      <c r="O78" s="64">
        <v>0.2</v>
      </c>
      <c r="P78" s="64">
        <v>0.67</v>
      </c>
      <c r="Q78" s="64">
        <v>9.77</v>
      </c>
      <c r="R78" s="198"/>
      <c r="S78" s="198"/>
      <c r="T78" s="198"/>
      <c r="U78" s="198"/>
    </row>
    <row r="79" spans="1:21" s="12" customFormat="1" x14ac:dyDescent="0.25">
      <c r="A79" s="214" t="s">
        <v>1083</v>
      </c>
      <c r="B79" s="64">
        <v>7.95</v>
      </c>
      <c r="C79" s="64">
        <v>2.97</v>
      </c>
      <c r="D79" s="64">
        <v>11.7</v>
      </c>
      <c r="E79" s="64">
        <v>4.28</v>
      </c>
      <c r="F79" s="64">
        <v>3.09</v>
      </c>
      <c r="G79" s="64">
        <v>62</v>
      </c>
      <c r="H79" s="64">
        <v>18.16</v>
      </c>
      <c r="I79" s="64">
        <v>3.82</v>
      </c>
      <c r="J79" s="64">
        <v>0.08</v>
      </c>
      <c r="K79" s="64">
        <v>70.680000000000007</v>
      </c>
      <c r="L79" s="64">
        <v>28.02</v>
      </c>
      <c r="M79" s="64">
        <v>101.71</v>
      </c>
      <c r="N79" s="64">
        <v>50.8</v>
      </c>
      <c r="O79" s="64">
        <v>0</v>
      </c>
      <c r="P79" s="64">
        <v>0.65</v>
      </c>
      <c r="Q79" s="64">
        <v>9.6999999999999993</v>
      </c>
      <c r="R79" s="198"/>
      <c r="S79" s="198"/>
      <c r="T79" s="198"/>
      <c r="U79" s="198"/>
    </row>
    <row r="80" spans="1:21" s="12" customFormat="1" x14ac:dyDescent="0.25">
      <c r="A80" s="214" t="s">
        <v>1084</v>
      </c>
      <c r="B80" s="64">
        <v>7.97</v>
      </c>
      <c r="C80" s="64">
        <v>3</v>
      </c>
      <c r="D80" s="64">
        <v>11.73</v>
      </c>
      <c r="E80" s="64">
        <v>3.99</v>
      </c>
      <c r="F80" s="64">
        <v>4.3</v>
      </c>
      <c r="G80" s="64">
        <v>56.49</v>
      </c>
      <c r="H80" s="212" t="s">
        <v>42</v>
      </c>
      <c r="I80" s="64">
        <v>3.81</v>
      </c>
      <c r="J80" s="64">
        <v>0.87</v>
      </c>
      <c r="K80" s="64">
        <v>339.79</v>
      </c>
      <c r="L80" s="64">
        <v>27.88</v>
      </c>
      <c r="M80" s="64">
        <v>101.71</v>
      </c>
      <c r="N80" s="64">
        <v>42.8</v>
      </c>
      <c r="O80" s="64">
        <v>0.6</v>
      </c>
      <c r="P80" s="64">
        <v>0.65</v>
      </c>
      <c r="Q80" s="64">
        <v>9.73</v>
      </c>
      <c r="R80" s="198"/>
      <c r="S80" s="198"/>
      <c r="T80" s="198"/>
      <c r="U80" s="198"/>
    </row>
    <row r="81" spans="1:26" s="12" customFormat="1" x14ac:dyDescent="0.25">
      <c r="A81" s="214" t="s">
        <v>1085</v>
      </c>
      <c r="B81" s="64">
        <v>7.94</v>
      </c>
      <c r="C81" s="64">
        <v>2.94</v>
      </c>
      <c r="D81" s="64">
        <v>11.68</v>
      </c>
      <c r="E81" s="64">
        <v>3.94</v>
      </c>
      <c r="F81" s="64">
        <v>3.93</v>
      </c>
      <c r="G81" s="64">
        <v>46.51</v>
      </c>
      <c r="H81" s="212" t="s">
        <v>42</v>
      </c>
      <c r="I81" s="64">
        <v>3.77</v>
      </c>
      <c r="J81" s="64">
        <v>0.8</v>
      </c>
      <c r="K81" s="64">
        <v>339.29</v>
      </c>
      <c r="L81" s="64">
        <v>27.05</v>
      </c>
      <c r="M81" s="64">
        <v>101.69</v>
      </c>
      <c r="N81" s="64">
        <v>41.4</v>
      </c>
      <c r="O81" s="64">
        <v>0</v>
      </c>
      <c r="P81" s="64">
        <v>0.67</v>
      </c>
      <c r="Q81" s="64">
        <v>9.7899999999999991</v>
      </c>
      <c r="R81" s="198"/>
      <c r="S81" s="198"/>
      <c r="T81" s="198"/>
      <c r="U81" s="198"/>
    </row>
    <row r="82" spans="1:26" s="12" customFormat="1" x14ac:dyDescent="0.25">
      <c r="A82" s="214" t="s">
        <v>1086</v>
      </c>
      <c r="B82" s="64">
        <v>8.01</v>
      </c>
      <c r="C82" s="64">
        <v>3.1</v>
      </c>
      <c r="D82" s="64">
        <v>11.82</v>
      </c>
      <c r="E82" s="64">
        <v>4.32</v>
      </c>
      <c r="F82" s="64">
        <v>3.63</v>
      </c>
      <c r="G82" s="64">
        <v>46.51</v>
      </c>
      <c r="H82" s="212" t="s">
        <v>42</v>
      </c>
      <c r="I82" s="64">
        <v>3.78</v>
      </c>
      <c r="J82" s="64">
        <v>0.41</v>
      </c>
      <c r="K82" s="64">
        <v>320.06</v>
      </c>
      <c r="L82" s="64">
        <v>26.42</v>
      </c>
      <c r="M82" s="64">
        <v>101.73</v>
      </c>
      <c r="N82" s="64">
        <v>40.799999999999997</v>
      </c>
      <c r="O82" s="64">
        <v>1.2</v>
      </c>
      <c r="P82" s="64">
        <v>0.66</v>
      </c>
      <c r="Q82" s="64">
        <v>9.68</v>
      </c>
      <c r="R82" s="198"/>
      <c r="S82" s="198"/>
      <c r="T82" s="198"/>
      <c r="U82" s="198"/>
    </row>
    <row r="83" spans="1:26" s="12" customFormat="1" x14ac:dyDescent="0.25">
      <c r="A83" s="214" t="s">
        <v>1087</v>
      </c>
      <c r="B83" s="64">
        <v>7.99</v>
      </c>
      <c r="C83" s="64">
        <v>3.02</v>
      </c>
      <c r="D83" s="64">
        <v>11.76</v>
      </c>
      <c r="E83" s="64">
        <v>3.72</v>
      </c>
      <c r="F83" s="64">
        <v>3.67</v>
      </c>
      <c r="G83" s="64">
        <v>46.51</v>
      </c>
      <c r="H83" s="212" t="s">
        <v>42</v>
      </c>
      <c r="I83" s="64">
        <v>3.76</v>
      </c>
      <c r="J83" s="64">
        <v>0.06</v>
      </c>
      <c r="K83" s="64">
        <v>321.37</v>
      </c>
      <c r="L83" s="64">
        <v>26</v>
      </c>
      <c r="M83" s="64">
        <v>101.75</v>
      </c>
      <c r="N83" s="64">
        <v>39.9</v>
      </c>
      <c r="O83" s="64">
        <v>0</v>
      </c>
      <c r="P83" s="64">
        <v>0.66</v>
      </c>
      <c r="Q83" s="64">
        <v>9.6999999999999993</v>
      </c>
      <c r="R83" s="198"/>
      <c r="S83" s="198"/>
      <c r="T83" s="198"/>
      <c r="U83" s="198"/>
    </row>
    <row r="84" spans="1:26" s="12" customFormat="1" x14ac:dyDescent="0.25">
      <c r="A84" s="214" t="s">
        <v>1088</v>
      </c>
      <c r="B84" s="64">
        <v>7.98</v>
      </c>
      <c r="C84" s="64">
        <v>2.97</v>
      </c>
      <c r="D84" s="64">
        <v>11.73</v>
      </c>
      <c r="E84" s="64">
        <v>3.54</v>
      </c>
      <c r="F84" s="64">
        <v>3.63</v>
      </c>
      <c r="G84" s="64">
        <v>44.48</v>
      </c>
      <c r="H84" s="212" t="s">
        <v>42</v>
      </c>
      <c r="I84" s="64">
        <v>3.8</v>
      </c>
      <c r="J84" s="64">
        <v>0.08</v>
      </c>
      <c r="K84" s="64">
        <v>312.63</v>
      </c>
      <c r="L84" s="64">
        <v>26.01</v>
      </c>
      <c r="M84" s="64">
        <v>101.75</v>
      </c>
      <c r="N84" s="64">
        <v>40.1</v>
      </c>
      <c r="O84" s="64">
        <v>0</v>
      </c>
      <c r="P84" s="64">
        <v>0.65</v>
      </c>
      <c r="Q84" s="64">
        <v>9.7799999999999994</v>
      </c>
      <c r="R84" s="198"/>
      <c r="S84" s="198"/>
      <c r="T84" s="198"/>
      <c r="U84" s="198"/>
    </row>
    <row r="85" spans="1:26" s="12" customFormat="1" x14ac:dyDescent="0.25">
      <c r="A85" s="214" t="s">
        <v>1089</v>
      </c>
      <c r="B85" s="64">
        <v>7.98</v>
      </c>
      <c r="C85" s="64">
        <v>2.95</v>
      </c>
      <c r="D85" s="64">
        <v>11.72</v>
      </c>
      <c r="E85" s="64">
        <v>4.24</v>
      </c>
      <c r="F85" s="64">
        <v>2.99</v>
      </c>
      <c r="G85" s="64">
        <v>40.79</v>
      </c>
      <c r="H85" s="212" t="s">
        <v>42</v>
      </c>
      <c r="I85" s="64">
        <v>3.79</v>
      </c>
      <c r="J85" s="64">
        <v>0.11</v>
      </c>
      <c r="K85" s="64">
        <v>335.66</v>
      </c>
      <c r="L85" s="64">
        <v>26.04</v>
      </c>
      <c r="M85" s="64">
        <v>101.75</v>
      </c>
      <c r="N85" s="64">
        <v>40.4</v>
      </c>
      <c r="O85" s="64">
        <v>0</v>
      </c>
      <c r="P85" s="64">
        <v>0.63</v>
      </c>
      <c r="Q85" s="64">
        <v>9.82</v>
      </c>
      <c r="R85" s="198"/>
      <c r="S85" s="198"/>
      <c r="T85" s="198"/>
      <c r="U85" s="198"/>
    </row>
    <row r="86" spans="1:26" s="12" customFormat="1" x14ac:dyDescent="0.25">
      <c r="A86" s="214" t="s">
        <v>1090</v>
      </c>
      <c r="B86" s="64">
        <v>7.98</v>
      </c>
      <c r="C86" s="64">
        <v>2.95</v>
      </c>
      <c r="D86" s="64">
        <v>11.71</v>
      </c>
      <c r="E86" s="64">
        <v>4</v>
      </c>
      <c r="F86" s="64">
        <v>3.61</v>
      </c>
      <c r="G86" s="64">
        <v>40.79</v>
      </c>
      <c r="H86" s="212" t="s">
        <v>42</v>
      </c>
      <c r="I86" s="64">
        <v>3.79</v>
      </c>
      <c r="J86" s="64">
        <v>0.21</v>
      </c>
      <c r="K86" s="64">
        <v>339.76</v>
      </c>
      <c r="L86" s="64">
        <v>26.04</v>
      </c>
      <c r="M86" s="64">
        <v>101.75</v>
      </c>
      <c r="N86" s="64">
        <v>40.799999999999997</v>
      </c>
      <c r="O86" s="64">
        <v>0</v>
      </c>
      <c r="P86" s="64">
        <v>0.67</v>
      </c>
      <c r="Q86" s="64">
        <v>9.84</v>
      </c>
      <c r="R86" s="198"/>
      <c r="S86" s="198"/>
      <c r="T86" s="198"/>
      <c r="U86" s="198"/>
    </row>
    <row r="87" spans="1:26" s="12" customFormat="1" x14ac:dyDescent="0.25">
      <c r="A87" s="214" t="s">
        <v>1091</v>
      </c>
      <c r="B87" s="64">
        <v>8.0299999999999994</v>
      </c>
      <c r="C87" s="64">
        <v>3.02</v>
      </c>
      <c r="D87" s="64">
        <v>11.79</v>
      </c>
      <c r="E87" s="64">
        <v>4.09</v>
      </c>
      <c r="F87" s="64">
        <v>3.54</v>
      </c>
      <c r="G87" s="64">
        <v>40.79</v>
      </c>
      <c r="H87" s="212" t="s">
        <v>42</v>
      </c>
      <c r="I87" s="64">
        <v>3.85</v>
      </c>
      <c r="J87" s="64">
        <v>7.0000000000000007E-2</v>
      </c>
      <c r="K87" s="64">
        <v>2.38</v>
      </c>
      <c r="L87" s="64">
        <v>26.06</v>
      </c>
      <c r="M87" s="64">
        <v>101.75</v>
      </c>
      <c r="N87" s="64">
        <v>40.200000000000003</v>
      </c>
      <c r="O87" s="64">
        <v>0</v>
      </c>
      <c r="P87" s="64">
        <v>0.66</v>
      </c>
      <c r="Q87" s="64">
        <v>9.85</v>
      </c>
      <c r="R87" s="198"/>
      <c r="S87" s="198"/>
      <c r="T87" s="198"/>
      <c r="U87" s="198"/>
    </row>
    <row r="88" spans="1:26" s="12" customFormat="1" x14ac:dyDescent="0.25">
      <c r="A88" s="214" t="s">
        <v>1092</v>
      </c>
      <c r="B88" s="64">
        <v>7.99</v>
      </c>
      <c r="C88" s="64">
        <v>2.99</v>
      </c>
      <c r="D88" s="64">
        <v>11.74</v>
      </c>
      <c r="E88" s="64">
        <v>4.37</v>
      </c>
      <c r="F88" s="64">
        <v>3.31</v>
      </c>
      <c r="G88" s="64">
        <v>37.409999999999997</v>
      </c>
      <c r="H88" s="212" t="s">
        <v>42</v>
      </c>
      <c r="I88" s="64">
        <v>3.78</v>
      </c>
      <c r="J88" s="64">
        <v>0.13</v>
      </c>
      <c r="K88" s="64">
        <v>355.15</v>
      </c>
      <c r="L88" s="64">
        <v>26.07</v>
      </c>
      <c r="M88" s="64">
        <v>101.75</v>
      </c>
      <c r="N88" s="64">
        <v>40</v>
      </c>
      <c r="O88" s="64">
        <v>0</v>
      </c>
      <c r="P88" s="64">
        <v>0.66</v>
      </c>
      <c r="Q88" s="64">
        <v>9.84</v>
      </c>
      <c r="R88" s="198"/>
      <c r="S88" s="198"/>
      <c r="T88" s="198"/>
      <c r="U88" s="198"/>
    </row>
    <row r="89" spans="1:26" s="12" customFormat="1" x14ac:dyDescent="0.25">
      <c r="A89" s="214" t="s">
        <v>1093</v>
      </c>
      <c r="B89" s="64">
        <v>7.97</v>
      </c>
      <c r="C89" s="64">
        <v>2.99</v>
      </c>
      <c r="D89" s="64">
        <v>11.73</v>
      </c>
      <c r="E89" s="64">
        <v>4.47</v>
      </c>
      <c r="F89" s="64">
        <v>3.43</v>
      </c>
      <c r="G89" s="64">
        <v>31.28</v>
      </c>
      <c r="H89" s="212" t="s">
        <v>42</v>
      </c>
      <c r="I89" s="64">
        <v>3.76</v>
      </c>
      <c r="J89" s="64">
        <v>0.18</v>
      </c>
      <c r="K89" s="64">
        <v>352.23</v>
      </c>
      <c r="L89" s="64">
        <v>26.02</v>
      </c>
      <c r="M89" s="64">
        <v>101.75</v>
      </c>
      <c r="N89" s="64">
        <v>40.1</v>
      </c>
      <c r="O89" s="64">
        <v>0.2</v>
      </c>
      <c r="P89" s="64">
        <v>0.66</v>
      </c>
      <c r="Q89" s="64">
        <v>9.86</v>
      </c>
      <c r="R89" s="198"/>
      <c r="S89" s="198"/>
      <c r="T89" s="198"/>
      <c r="U89" s="198"/>
    </row>
    <row r="90" spans="1:26" s="12" customFormat="1" x14ac:dyDescent="0.25">
      <c r="A90" s="214" t="s">
        <v>1094</v>
      </c>
      <c r="B90" s="64">
        <v>7.94</v>
      </c>
      <c r="C90" s="64">
        <v>2.97</v>
      </c>
      <c r="D90" s="64">
        <v>11.69</v>
      </c>
      <c r="E90" s="64">
        <v>4.5</v>
      </c>
      <c r="F90" s="64">
        <v>4</v>
      </c>
      <c r="G90" s="64">
        <v>31.28</v>
      </c>
      <c r="H90" s="212" t="s">
        <v>42</v>
      </c>
      <c r="I90" s="64">
        <v>3.79</v>
      </c>
      <c r="J90" s="64">
        <v>0.13</v>
      </c>
      <c r="K90" s="64">
        <v>95.56</v>
      </c>
      <c r="L90" s="64">
        <v>26.01</v>
      </c>
      <c r="M90" s="64">
        <v>101.75</v>
      </c>
      <c r="N90" s="64">
        <v>40.1</v>
      </c>
      <c r="O90" s="64">
        <v>5</v>
      </c>
      <c r="P90" s="64">
        <v>0.66</v>
      </c>
      <c r="Q90" s="64">
        <v>9.8699999999999992</v>
      </c>
      <c r="R90" s="198"/>
      <c r="S90" s="198"/>
      <c r="T90" s="198"/>
      <c r="U90" s="198"/>
    </row>
    <row r="91" spans="1:26" s="12" customFormat="1" x14ac:dyDescent="0.25">
      <c r="A91" s="214" t="s">
        <v>1095</v>
      </c>
      <c r="B91" s="64">
        <v>7.93</v>
      </c>
      <c r="C91" s="64">
        <v>2.95</v>
      </c>
      <c r="D91" s="64">
        <v>11.67</v>
      </c>
      <c r="E91" s="64">
        <v>4.6500000000000004</v>
      </c>
      <c r="F91" s="64">
        <v>2.69</v>
      </c>
      <c r="G91" s="64">
        <v>31.28</v>
      </c>
      <c r="H91" s="212" t="s">
        <v>42</v>
      </c>
      <c r="I91" s="64">
        <v>3.73</v>
      </c>
      <c r="J91" s="64">
        <v>0.28999999999999998</v>
      </c>
      <c r="K91" s="64">
        <v>335</v>
      </c>
      <c r="L91" s="64">
        <v>25.7</v>
      </c>
      <c r="M91" s="64">
        <v>101.75</v>
      </c>
      <c r="N91" s="64">
        <v>40.799999999999997</v>
      </c>
      <c r="O91" s="64">
        <v>3.8</v>
      </c>
      <c r="P91" s="64">
        <v>0.65</v>
      </c>
      <c r="Q91" s="64">
        <v>9.76</v>
      </c>
      <c r="R91" s="198"/>
      <c r="S91" s="198"/>
      <c r="T91" s="198"/>
      <c r="U91" s="198"/>
    </row>
    <row r="92" spans="1:26" s="12" customFormat="1" x14ac:dyDescent="0.25">
      <c r="A92" s="214" t="s">
        <v>1096</v>
      </c>
      <c r="B92" s="64">
        <v>7.99</v>
      </c>
      <c r="C92" s="64">
        <v>3.05</v>
      </c>
      <c r="D92" s="64">
        <v>11.77</v>
      </c>
      <c r="E92" s="64">
        <v>4.6399999999999997</v>
      </c>
      <c r="F92" s="64">
        <v>3.83</v>
      </c>
      <c r="G92" s="64">
        <v>28.57</v>
      </c>
      <c r="H92" s="212" t="s">
        <v>42</v>
      </c>
      <c r="I92" s="64">
        <v>3.72</v>
      </c>
      <c r="J92" s="64">
        <v>0.23</v>
      </c>
      <c r="K92" s="64">
        <v>350.59</v>
      </c>
      <c r="L92" s="64">
        <v>25.37</v>
      </c>
      <c r="M92" s="64">
        <v>101.75</v>
      </c>
      <c r="N92" s="64">
        <v>40.4</v>
      </c>
      <c r="O92" s="64">
        <v>1.8</v>
      </c>
      <c r="P92" s="64">
        <v>0.65</v>
      </c>
      <c r="Q92" s="64">
        <v>9.81</v>
      </c>
      <c r="R92" s="198"/>
      <c r="S92" s="198"/>
      <c r="T92" s="198"/>
      <c r="U92" s="198"/>
    </row>
    <row r="93" spans="1:26" s="12" customFormat="1" x14ac:dyDescent="0.25">
      <c r="A93" s="214" t="s">
        <v>1097</v>
      </c>
      <c r="B93" s="64">
        <v>7.95</v>
      </c>
      <c r="C93" s="64">
        <v>2.98</v>
      </c>
      <c r="D93" s="64">
        <v>11.71</v>
      </c>
      <c r="E93" s="64">
        <v>4.8099999999999996</v>
      </c>
      <c r="F93" s="64">
        <v>4.05</v>
      </c>
      <c r="G93" s="64">
        <v>23.64</v>
      </c>
      <c r="H93" s="212" t="s">
        <v>42</v>
      </c>
      <c r="I93" s="64">
        <v>3.56</v>
      </c>
      <c r="J93" s="64">
        <v>0.21</v>
      </c>
      <c r="K93" s="64">
        <v>0.4</v>
      </c>
      <c r="L93" s="64">
        <v>25.31</v>
      </c>
      <c r="M93" s="64">
        <v>101.75</v>
      </c>
      <c r="N93" s="64">
        <v>40.200000000000003</v>
      </c>
      <c r="O93" s="64">
        <v>1.4</v>
      </c>
      <c r="P93" s="64">
        <v>0.66</v>
      </c>
      <c r="Q93" s="64">
        <v>9.92</v>
      </c>
      <c r="R93" s="198"/>
      <c r="S93" s="198"/>
      <c r="T93" s="198"/>
      <c r="U93" s="198"/>
    </row>
    <row r="94" spans="1:26" s="12" customFormat="1" x14ac:dyDescent="0.25">
      <c r="A94" s="214" t="s">
        <v>1098</v>
      </c>
      <c r="B94" s="64">
        <v>7.96</v>
      </c>
      <c r="C94" s="64">
        <v>2.97</v>
      </c>
      <c r="D94" s="64">
        <v>11.71</v>
      </c>
      <c r="E94" s="64">
        <v>4.5</v>
      </c>
      <c r="F94" s="64">
        <v>2.69</v>
      </c>
      <c r="G94" s="64">
        <v>23.64</v>
      </c>
      <c r="H94" s="212" t="s">
        <v>42</v>
      </c>
      <c r="I94" s="64">
        <v>3.42</v>
      </c>
      <c r="J94" s="64">
        <v>0.28000000000000003</v>
      </c>
      <c r="K94" s="64">
        <v>356.95</v>
      </c>
      <c r="L94" s="64">
        <v>25.31</v>
      </c>
      <c r="M94" s="64">
        <v>101.75</v>
      </c>
      <c r="N94" s="64">
        <v>40.200000000000003</v>
      </c>
      <c r="O94" s="64">
        <v>0.2</v>
      </c>
      <c r="P94" s="64">
        <v>0.67</v>
      </c>
      <c r="Q94" s="64">
        <v>9.7899999999999991</v>
      </c>
      <c r="R94" s="198"/>
      <c r="S94" s="198"/>
      <c r="T94" s="198"/>
      <c r="U94" s="198"/>
    </row>
    <row r="95" spans="1:26" s="12" customFormat="1" x14ac:dyDescent="0.25">
      <c r="A95" s="214" t="s">
        <v>1099</v>
      </c>
      <c r="B95" s="64">
        <v>7.97</v>
      </c>
      <c r="C95" s="64">
        <v>2.99</v>
      </c>
      <c r="D95" s="64">
        <v>11.73</v>
      </c>
      <c r="E95" s="64">
        <v>4.5</v>
      </c>
      <c r="F95" s="64">
        <v>3.97</v>
      </c>
      <c r="G95" s="64">
        <v>23.64</v>
      </c>
      <c r="H95" s="212" t="s">
        <v>42</v>
      </c>
      <c r="I95" s="64">
        <v>3.34</v>
      </c>
      <c r="J95" s="64">
        <v>0.25</v>
      </c>
      <c r="K95" s="64">
        <v>6.55</v>
      </c>
      <c r="L95" s="64">
        <v>25.24</v>
      </c>
      <c r="M95" s="64">
        <v>101.75</v>
      </c>
      <c r="N95" s="64">
        <v>40.200000000000003</v>
      </c>
      <c r="O95" s="64">
        <v>0</v>
      </c>
      <c r="P95" s="64">
        <v>0.68</v>
      </c>
      <c r="Q95" s="64">
        <v>9.8000000000000007</v>
      </c>
      <c r="R95" s="198"/>
      <c r="S95" s="198"/>
      <c r="T95" s="198"/>
      <c r="U95" s="198"/>
    </row>
    <row r="96" spans="1:26" s="12" customFormat="1" x14ac:dyDescent="0.25">
      <c r="A96" s="214" t="s">
        <v>1100</v>
      </c>
      <c r="B96" s="64">
        <v>7.97</v>
      </c>
      <c r="C96" s="64">
        <v>3.01</v>
      </c>
      <c r="D96" s="64">
        <v>11.74</v>
      </c>
      <c r="E96" s="64">
        <v>4.2300000000000004</v>
      </c>
      <c r="F96" s="64">
        <v>4.82</v>
      </c>
      <c r="G96" s="64">
        <v>21.83</v>
      </c>
      <c r="H96" s="212" t="s">
        <v>42</v>
      </c>
      <c r="I96" s="64">
        <v>3.3</v>
      </c>
      <c r="J96" s="64">
        <v>0.25</v>
      </c>
      <c r="K96" s="64">
        <v>8.0399999999999991</v>
      </c>
      <c r="L96" s="64">
        <v>25.26</v>
      </c>
      <c r="M96" s="64">
        <v>101.75</v>
      </c>
      <c r="N96" s="64">
        <v>40.200000000000003</v>
      </c>
      <c r="O96" s="64">
        <v>0.4</v>
      </c>
      <c r="P96" s="64">
        <v>0.72</v>
      </c>
      <c r="Q96" s="64">
        <v>9.9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1101</v>
      </c>
      <c r="B97" s="64">
        <v>7.98</v>
      </c>
      <c r="C97" s="64">
        <v>2.98</v>
      </c>
      <c r="D97" s="64">
        <v>11.73</v>
      </c>
      <c r="E97" s="64">
        <v>4.47</v>
      </c>
      <c r="F97" s="64">
        <v>2.36</v>
      </c>
      <c r="G97" s="64">
        <v>18.559999999999999</v>
      </c>
      <c r="H97" s="212" t="s">
        <v>42</v>
      </c>
      <c r="I97" s="64">
        <v>3.09</v>
      </c>
      <c r="J97" s="64">
        <v>0.27</v>
      </c>
      <c r="K97" s="64">
        <v>7.55</v>
      </c>
      <c r="L97" s="64">
        <v>25.27</v>
      </c>
      <c r="M97" s="64">
        <v>101.75</v>
      </c>
      <c r="N97" s="64">
        <v>40.200000000000003</v>
      </c>
      <c r="O97" s="64">
        <v>0.2</v>
      </c>
      <c r="P97" s="64">
        <v>0.69</v>
      </c>
      <c r="Q97" s="64">
        <v>9.82</v>
      </c>
      <c r="R97" s="198"/>
      <c r="S97" s="198"/>
      <c r="T97" s="198"/>
      <c r="U97" s="198"/>
    </row>
    <row r="98" spans="1:33" s="12" customFormat="1" x14ac:dyDescent="0.25">
      <c r="A98" s="214" t="s">
        <v>1102</v>
      </c>
      <c r="B98" s="64">
        <v>7.97</v>
      </c>
      <c r="C98" s="64">
        <v>3.06</v>
      </c>
      <c r="D98" s="64">
        <v>11.77</v>
      </c>
      <c r="E98" s="64">
        <v>4.62</v>
      </c>
      <c r="F98" s="64">
        <v>3.17</v>
      </c>
      <c r="G98" s="64">
        <v>18.559999999999999</v>
      </c>
      <c r="H98" s="212" t="s">
        <v>42</v>
      </c>
      <c r="I98" s="64">
        <v>3.27</v>
      </c>
      <c r="J98" s="64">
        <v>0.22</v>
      </c>
      <c r="K98" s="64">
        <v>348.37</v>
      </c>
      <c r="L98" s="64">
        <v>25.18</v>
      </c>
      <c r="M98" s="64">
        <v>101.75</v>
      </c>
      <c r="N98" s="64">
        <v>40.4</v>
      </c>
      <c r="O98" s="64">
        <v>0.6</v>
      </c>
      <c r="P98" s="64">
        <v>0.65</v>
      </c>
      <c r="Q98" s="64">
        <v>9.76</v>
      </c>
      <c r="R98" s="198"/>
      <c r="S98" s="198"/>
      <c r="T98" s="198"/>
      <c r="U98" s="198"/>
    </row>
    <row r="99" spans="1:33" s="12" customFormat="1" x14ac:dyDescent="0.25">
      <c r="A99" s="214" t="s">
        <v>1103</v>
      </c>
      <c r="B99" s="64">
        <v>7.99</v>
      </c>
      <c r="C99" s="64">
        <v>3.1</v>
      </c>
      <c r="D99" s="64">
        <v>11.8</v>
      </c>
      <c r="E99" s="64">
        <v>4.58</v>
      </c>
      <c r="F99" s="64">
        <v>3.47</v>
      </c>
      <c r="G99" s="64">
        <v>18.559999999999999</v>
      </c>
      <c r="H99" s="212" t="s">
        <v>42</v>
      </c>
      <c r="I99" s="64">
        <v>3.15</v>
      </c>
      <c r="J99" s="64">
        <v>0.25</v>
      </c>
      <c r="K99" s="64">
        <v>7.38</v>
      </c>
      <c r="L99" s="64">
        <v>25.23</v>
      </c>
      <c r="M99" s="64">
        <v>101.75</v>
      </c>
      <c r="N99" s="64">
        <v>40.200000000000003</v>
      </c>
      <c r="O99" s="64">
        <v>0.4</v>
      </c>
      <c r="P99" s="64">
        <v>0.65</v>
      </c>
      <c r="Q99" s="64">
        <v>9.7799999999999994</v>
      </c>
      <c r="R99" s="198"/>
      <c r="S99" s="198"/>
      <c r="T99" s="198"/>
      <c r="U99" s="198"/>
    </row>
    <row r="100" spans="1:33" s="12" customFormat="1" x14ac:dyDescent="0.25">
      <c r="A100" s="214" t="s">
        <v>1104</v>
      </c>
      <c r="B100" s="64">
        <v>7.97</v>
      </c>
      <c r="C100" s="64">
        <v>3</v>
      </c>
      <c r="D100" s="64">
        <v>11.74</v>
      </c>
      <c r="E100" s="64">
        <v>4.46</v>
      </c>
      <c r="F100" s="64">
        <v>3.36</v>
      </c>
      <c r="G100" s="64">
        <v>17.87</v>
      </c>
      <c r="H100" s="64">
        <v>8</v>
      </c>
      <c r="I100" s="64">
        <v>2.93</v>
      </c>
      <c r="J100" s="64">
        <v>0.08</v>
      </c>
      <c r="K100" s="64">
        <v>31.84</v>
      </c>
      <c r="L100" s="64">
        <v>25.21</v>
      </c>
      <c r="M100" s="64">
        <v>101.75</v>
      </c>
      <c r="N100" s="64">
        <v>40.4</v>
      </c>
      <c r="O100" s="64">
        <v>0.6</v>
      </c>
      <c r="P100" s="64">
        <v>0.68</v>
      </c>
      <c r="Q100" s="64">
        <v>9.77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1105</v>
      </c>
      <c r="B101" s="64">
        <v>7.97</v>
      </c>
      <c r="C101" s="64">
        <v>2.94</v>
      </c>
      <c r="D101" s="64">
        <v>11.7</v>
      </c>
      <c r="E101" s="64">
        <v>4.55</v>
      </c>
      <c r="F101" s="64">
        <v>3.07</v>
      </c>
      <c r="G101" s="64">
        <v>16.62</v>
      </c>
      <c r="H101" s="64">
        <v>15.98</v>
      </c>
      <c r="I101" s="64">
        <v>2.85</v>
      </c>
      <c r="J101" s="64">
        <v>0.2</v>
      </c>
      <c r="K101" s="64">
        <v>314.83999999999997</v>
      </c>
      <c r="L101" s="64">
        <v>25.17</v>
      </c>
      <c r="M101" s="64">
        <v>101.75</v>
      </c>
      <c r="N101" s="64">
        <v>40.299999999999997</v>
      </c>
      <c r="O101" s="64">
        <v>9</v>
      </c>
      <c r="P101" s="64">
        <v>0.69</v>
      </c>
      <c r="Q101" s="64">
        <v>9.77</v>
      </c>
      <c r="R101" s="198"/>
      <c r="S101" s="198"/>
      <c r="T101" s="198"/>
      <c r="U101" s="198"/>
    </row>
    <row r="102" spans="1:33" s="12" customFormat="1" x14ac:dyDescent="0.25">
      <c r="A102" s="214" t="s">
        <v>1106</v>
      </c>
      <c r="B102" s="64">
        <v>7.97</v>
      </c>
      <c r="C102" s="64">
        <v>3</v>
      </c>
      <c r="D102" s="64">
        <v>11.73</v>
      </c>
      <c r="E102" s="64">
        <v>4.4000000000000004</v>
      </c>
      <c r="F102" s="64">
        <v>3.16</v>
      </c>
      <c r="G102" s="64">
        <v>16.62</v>
      </c>
      <c r="H102" s="64">
        <v>15.98</v>
      </c>
      <c r="I102" s="64">
        <v>2.99</v>
      </c>
      <c r="J102" s="64">
        <v>0.18</v>
      </c>
      <c r="K102" s="64">
        <v>345.8</v>
      </c>
      <c r="L102" s="64">
        <v>24.94</v>
      </c>
      <c r="M102" s="64">
        <v>101.75</v>
      </c>
      <c r="N102" s="64">
        <v>40.6</v>
      </c>
      <c r="O102" s="64">
        <v>2.2000000000000002</v>
      </c>
      <c r="P102" s="64">
        <v>0.7</v>
      </c>
      <c r="Q102" s="64">
        <v>9.8000000000000007</v>
      </c>
      <c r="R102" s="198"/>
      <c r="S102" s="198"/>
      <c r="T102" s="198"/>
      <c r="U102" s="198"/>
    </row>
    <row r="103" spans="1:33" s="12" customFormat="1" x14ac:dyDescent="0.25">
      <c r="A103" s="214" t="s">
        <v>1107</v>
      </c>
      <c r="B103" s="64">
        <v>7.99</v>
      </c>
      <c r="C103" s="64">
        <v>3.06</v>
      </c>
      <c r="D103" s="64">
        <v>11.78</v>
      </c>
      <c r="E103" s="64">
        <v>4.87</v>
      </c>
      <c r="F103" s="64">
        <v>3.41</v>
      </c>
      <c r="G103" s="64">
        <v>16.62</v>
      </c>
      <c r="H103" s="64">
        <v>15.98</v>
      </c>
      <c r="I103" s="64">
        <v>3.31</v>
      </c>
      <c r="J103" s="64">
        <v>0.45</v>
      </c>
      <c r="K103" s="64">
        <v>347.69</v>
      </c>
      <c r="L103" s="64">
        <v>25.02</v>
      </c>
      <c r="M103" s="64">
        <v>101.75</v>
      </c>
      <c r="N103" s="64">
        <v>40.200000000000003</v>
      </c>
      <c r="O103" s="64">
        <v>1.8</v>
      </c>
      <c r="P103" s="64">
        <v>0.69</v>
      </c>
      <c r="Q103" s="64">
        <v>9.83</v>
      </c>
      <c r="R103" s="198"/>
      <c r="S103" s="198"/>
      <c r="T103" s="198"/>
      <c r="U103" s="198"/>
    </row>
    <row r="104" spans="1:33" s="12" customFormat="1" x14ac:dyDescent="0.25">
      <c r="A104" s="214" t="s">
        <v>1108</v>
      </c>
      <c r="B104" s="64">
        <v>8</v>
      </c>
      <c r="C104" s="64">
        <v>3</v>
      </c>
      <c r="D104" s="64">
        <v>11.76</v>
      </c>
      <c r="E104" s="64">
        <v>4.7699999999999996</v>
      </c>
      <c r="F104" s="64">
        <v>3.43</v>
      </c>
      <c r="G104" s="64">
        <v>16.18</v>
      </c>
      <c r="H104" s="64">
        <v>9.51</v>
      </c>
      <c r="I104" s="64">
        <v>3.38</v>
      </c>
      <c r="J104" s="64">
        <v>0.41</v>
      </c>
      <c r="K104" s="64">
        <v>335.26</v>
      </c>
      <c r="L104" s="64">
        <v>25.09</v>
      </c>
      <c r="M104" s="64">
        <v>101.75</v>
      </c>
      <c r="N104" s="64">
        <v>40.299999999999997</v>
      </c>
      <c r="O104" s="64">
        <v>0.8</v>
      </c>
      <c r="P104" s="64">
        <v>0.69</v>
      </c>
      <c r="Q104" s="64">
        <v>9.8000000000000007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7.89</v>
      </c>
      <c r="C106" s="67">
        <f>MIN(C9:C104)</f>
        <v>2.91</v>
      </c>
      <c r="D106" s="67">
        <f t="shared" ref="D106:Q106" si="0">MIN(D9:D104)</f>
        <v>11.65</v>
      </c>
      <c r="E106" s="67">
        <f t="shared" si="0"/>
        <v>3.54</v>
      </c>
      <c r="F106" s="67">
        <f t="shared" si="0"/>
        <v>2.36</v>
      </c>
      <c r="G106" s="67">
        <f t="shared" si="0"/>
        <v>16.18</v>
      </c>
      <c r="H106" s="67">
        <f t="shared" si="0"/>
        <v>8</v>
      </c>
      <c r="I106" s="67">
        <f t="shared" si="0"/>
        <v>1.88</v>
      </c>
      <c r="J106" s="67">
        <f t="shared" si="0"/>
        <v>0.02</v>
      </c>
      <c r="K106" s="67">
        <f t="shared" si="0"/>
        <v>0.4</v>
      </c>
      <c r="L106" s="67">
        <f t="shared" si="0"/>
        <v>24.94</v>
      </c>
      <c r="M106" s="67">
        <f t="shared" si="0"/>
        <v>72.900000000000006</v>
      </c>
      <c r="N106" s="67">
        <f t="shared" si="0"/>
        <v>39.9</v>
      </c>
      <c r="O106" s="67">
        <f t="shared" si="0"/>
        <v>0</v>
      </c>
      <c r="P106" s="67">
        <f t="shared" si="0"/>
        <v>0.45</v>
      </c>
      <c r="Q106" s="67">
        <f t="shared" si="0"/>
        <v>9.51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8.09</v>
      </c>
      <c r="C107" s="66">
        <f t="shared" ref="C107:Q107" si="1">MAX(C9:C104)</f>
        <v>3.29</v>
      </c>
      <c r="D107" s="66">
        <f t="shared" si="1"/>
        <v>11.98</v>
      </c>
      <c r="E107" s="66">
        <f t="shared" si="1"/>
        <v>6.77</v>
      </c>
      <c r="F107" s="66">
        <f t="shared" si="1"/>
        <v>18.920000000000002</v>
      </c>
      <c r="G107" s="66">
        <f t="shared" si="1"/>
        <v>79.86</v>
      </c>
      <c r="H107" s="66">
        <f t="shared" si="1"/>
        <v>37.46</v>
      </c>
      <c r="I107" s="66">
        <f t="shared" si="1"/>
        <v>4.16</v>
      </c>
      <c r="J107" s="66">
        <f t="shared" si="1"/>
        <v>2.06</v>
      </c>
      <c r="K107" s="66">
        <f t="shared" si="1"/>
        <v>357.87</v>
      </c>
      <c r="L107" s="66">
        <f t="shared" si="1"/>
        <v>34.770000000000003</v>
      </c>
      <c r="M107" s="66">
        <f t="shared" si="1"/>
        <v>101.75</v>
      </c>
      <c r="N107" s="66">
        <f t="shared" si="1"/>
        <v>651.9</v>
      </c>
      <c r="O107" s="66">
        <f t="shared" si="1"/>
        <v>9</v>
      </c>
      <c r="P107" s="66">
        <f t="shared" si="1"/>
        <v>0.73</v>
      </c>
      <c r="Q107" s="66">
        <f t="shared" si="1"/>
        <v>10.1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7.9664583333333381</v>
      </c>
      <c r="C108" s="67">
        <f t="shared" ref="C108:Q108" si="2">AVERAGE(C9:C104)</f>
        <v>3.0113541666666674</v>
      </c>
      <c r="D108" s="67">
        <f t="shared" si="2"/>
        <v>11.735937500000006</v>
      </c>
      <c r="E108" s="67">
        <f t="shared" si="2"/>
        <v>4.4348958333333339</v>
      </c>
      <c r="F108" s="67">
        <f t="shared" si="2"/>
        <v>4.7543750000000031</v>
      </c>
      <c r="G108" s="67">
        <f t="shared" si="2"/>
        <v>47.22291666666667</v>
      </c>
      <c r="H108" s="67">
        <f t="shared" si="2"/>
        <v>26.300657894736858</v>
      </c>
      <c r="I108" s="67">
        <f t="shared" si="2"/>
        <v>3.2093750000000001</v>
      </c>
      <c r="J108" s="67">
        <f t="shared" si="2"/>
        <v>0.7917708333333332</v>
      </c>
      <c r="K108" s="67">
        <f t="shared" si="2"/>
        <v>292.87395833333329</v>
      </c>
      <c r="L108" s="67">
        <f t="shared" si="2"/>
        <v>28.505312500000013</v>
      </c>
      <c r="M108" s="67">
        <f t="shared" si="2"/>
        <v>94.878541666666607</v>
      </c>
      <c r="N108" s="67">
        <f t="shared" si="2"/>
        <v>164.1541666666667</v>
      </c>
      <c r="O108" s="67">
        <f t="shared" si="2"/>
        <v>0.33333333333333331</v>
      </c>
      <c r="P108" s="67">
        <f t="shared" si="2"/>
        <v>0.60624999999999996</v>
      </c>
      <c r="Q108" s="67">
        <f t="shared" si="2"/>
        <v>9.8231249999999992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3.3149713554900054E-2</v>
      </c>
      <c r="C109" s="67">
        <f t="shared" ref="C109:Q109" si="3">STDEV(C9:C104)</f>
        <v>6.1740028671445187E-2</v>
      </c>
      <c r="D109" s="67">
        <f t="shared" si="3"/>
        <v>5.0295508327232792E-2</v>
      </c>
      <c r="E109" s="67">
        <f t="shared" si="3"/>
        <v>0.49196917916227917</v>
      </c>
      <c r="F109" s="67">
        <f t="shared" si="3"/>
        <v>3.2438147823365666</v>
      </c>
      <c r="G109" s="67">
        <f t="shared" si="3"/>
        <v>18.437689598192513</v>
      </c>
      <c r="H109" s="67">
        <f t="shared" si="3"/>
        <v>8.139813975847515</v>
      </c>
      <c r="I109" s="67">
        <f t="shared" si="3"/>
        <v>0.59363077750399429</v>
      </c>
      <c r="J109" s="67">
        <f t="shared" si="3"/>
        <v>0.51518008050668795</v>
      </c>
      <c r="K109" s="67">
        <f t="shared" si="3"/>
        <v>104.87796345205658</v>
      </c>
      <c r="L109" s="67">
        <f t="shared" si="3"/>
        <v>3.2166523798654634</v>
      </c>
      <c r="M109" s="67">
        <f t="shared" si="3"/>
        <v>10.397369604519779</v>
      </c>
      <c r="N109" s="67">
        <f t="shared" si="3"/>
        <v>187.3750626089803</v>
      </c>
      <c r="O109" s="67">
        <f t="shared" si="3"/>
        <v>1.1595522426819638</v>
      </c>
      <c r="P109" s="67">
        <f t="shared" si="3"/>
        <v>8.9103724300451187E-2</v>
      </c>
      <c r="Q109" s="67">
        <f t="shared" si="3"/>
        <v>0.11408503292212398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COUNT(H9:H104)+20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7" sqref="H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1109</v>
      </c>
      <c r="B9" s="64">
        <v>7.99</v>
      </c>
      <c r="C9" s="64">
        <v>3.03</v>
      </c>
      <c r="D9" s="64">
        <v>11.77</v>
      </c>
      <c r="E9" s="64">
        <v>4.4000000000000004</v>
      </c>
      <c r="F9" s="64">
        <v>3.13</v>
      </c>
      <c r="G9" s="64">
        <v>15.4</v>
      </c>
      <c r="H9" s="64">
        <v>2.4500000000000002</v>
      </c>
      <c r="I9" s="64">
        <v>3.35</v>
      </c>
      <c r="J9" s="64">
        <v>0.16</v>
      </c>
      <c r="K9" s="64">
        <v>333.24</v>
      </c>
      <c r="L9" s="64">
        <v>25.13</v>
      </c>
      <c r="M9" s="64">
        <v>101.75</v>
      </c>
      <c r="N9" s="64">
        <v>39.9</v>
      </c>
      <c r="O9" s="64">
        <v>0.4</v>
      </c>
      <c r="P9" s="64">
        <v>0.68</v>
      </c>
      <c r="Q9" s="64">
        <v>9.7799999999999994</v>
      </c>
      <c r="R9" s="198"/>
      <c r="S9" s="198"/>
      <c r="T9" s="198"/>
      <c r="U9" s="198"/>
    </row>
    <row r="10" spans="1:21" s="12" customFormat="1" x14ac:dyDescent="0.25">
      <c r="A10" s="214" t="s">
        <v>1110</v>
      </c>
      <c r="B10" s="64">
        <v>7.98</v>
      </c>
      <c r="C10" s="64">
        <v>2.96</v>
      </c>
      <c r="D10" s="64">
        <v>11.72</v>
      </c>
      <c r="E10" s="64">
        <v>4.72</v>
      </c>
      <c r="F10" s="64">
        <v>4.42</v>
      </c>
      <c r="G10" s="64">
        <v>15.4</v>
      </c>
      <c r="H10" s="64">
        <v>2.4500000000000002</v>
      </c>
      <c r="I10" s="64">
        <v>3.48</v>
      </c>
      <c r="J10" s="64">
        <v>0.18</v>
      </c>
      <c r="K10" s="64">
        <v>336.77</v>
      </c>
      <c r="L10" s="64">
        <v>25.14</v>
      </c>
      <c r="M10" s="64">
        <v>101.75</v>
      </c>
      <c r="N10" s="64">
        <v>40.1</v>
      </c>
      <c r="O10" s="64">
        <v>0.4</v>
      </c>
      <c r="P10" s="64">
        <v>0.67</v>
      </c>
      <c r="Q10" s="64">
        <v>9.81</v>
      </c>
      <c r="R10" s="198"/>
      <c r="S10" s="198"/>
      <c r="T10" s="198"/>
      <c r="U10" s="198"/>
    </row>
    <row r="11" spans="1:21" s="12" customFormat="1" x14ac:dyDescent="0.25">
      <c r="A11" s="214" t="s">
        <v>1111</v>
      </c>
      <c r="B11" s="64">
        <v>7.97</v>
      </c>
      <c r="C11" s="64">
        <v>2.95</v>
      </c>
      <c r="D11" s="64">
        <v>11.71</v>
      </c>
      <c r="E11" s="64">
        <v>4.3899999999999997</v>
      </c>
      <c r="F11" s="64">
        <v>4.42</v>
      </c>
      <c r="G11" s="64">
        <v>15.4</v>
      </c>
      <c r="H11" s="64">
        <v>2.4500000000000002</v>
      </c>
      <c r="I11" s="64">
        <v>3.59</v>
      </c>
      <c r="J11" s="64">
        <v>0.47</v>
      </c>
      <c r="K11" s="64">
        <v>322.05</v>
      </c>
      <c r="L11" s="64">
        <v>25.12</v>
      </c>
      <c r="M11" s="64">
        <v>101.75</v>
      </c>
      <c r="N11" s="64">
        <v>40.5</v>
      </c>
      <c r="O11" s="64">
        <v>0.4</v>
      </c>
      <c r="P11" s="64">
        <v>0.67</v>
      </c>
      <c r="Q11" s="64">
        <v>9.73</v>
      </c>
      <c r="R11" s="198"/>
      <c r="S11" s="198"/>
      <c r="T11" s="198"/>
      <c r="U11" s="198"/>
    </row>
    <row r="12" spans="1:21" s="12" customFormat="1" x14ac:dyDescent="0.25">
      <c r="A12" s="214" t="s">
        <v>1112</v>
      </c>
      <c r="B12" s="64">
        <v>7.96</v>
      </c>
      <c r="C12" s="64">
        <v>2.99</v>
      </c>
      <c r="D12" s="64">
        <v>11.71</v>
      </c>
      <c r="E12" s="64">
        <v>4.8099999999999996</v>
      </c>
      <c r="F12" s="64">
        <v>2.1800000000000002</v>
      </c>
      <c r="G12" s="64">
        <v>13.78</v>
      </c>
      <c r="H12" s="64">
        <v>2.27</v>
      </c>
      <c r="I12" s="64">
        <v>3.56</v>
      </c>
      <c r="J12" s="64">
        <v>0.35</v>
      </c>
      <c r="K12" s="64">
        <v>329.36</v>
      </c>
      <c r="L12" s="64">
        <v>25.01</v>
      </c>
      <c r="M12" s="64">
        <v>101.75</v>
      </c>
      <c r="N12" s="64">
        <v>40.4</v>
      </c>
      <c r="O12" s="64">
        <v>0.8</v>
      </c>
      <c r="P12" s="64">
        <v>0.62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4" t="s">
        <v>1113</v>
      </c>
      <c r="B13" s="64">
        <v>7.96</v>
      </c>
      <c r="C13" s="64">
        <v>2.98</v>
      </c>
      <c r="D13" s="64">
        <v>11.71</v>
      </c>
      <c r="E13" s="64">
        <v>4.42</v>
      </c>
      <c r="F13" s="64">
        <v>4.09</v>
      </c>
      <c r="G13" s="64">
        <v>10.84</v>
      </c>
      <c r="H13" s="64">
        <v>1.65</v>
      </c>
      <c r="I13" s="64">
        <v>3.5</v>
      </c>
      <c r="J13" s="64">
        <v>0.3</v>
      </c>
      <c r="K13" s="64">
        <v>330.27</v>
      </c>
      <c r="L13" s="64">
        <v>24.99</v>
      </c>
      <c r="M13" s="64">
        <v>101.75</v>
      </c>
      <c r="N13" s="64">
        <v>40.299999999999997</v>
      </c>
      <c r="O13" s="64">
        <v>0.4</v>
      </c>
      <c r="P13" s="64">
        <v>0.57999999999999996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14" t="s">
        <v>1114</v>
      </c>
      <c r="B14" s="64">
        <v>7.94</v>
      </c>
      <c r="C14" s="64">
        <v>2.93</v>
      </c>
      <c r="D14" s="64">
        <v>11.67</v>
      </c>
      <c r="E14" s="64">
        <v>4.4800000000000004</v>
      </c>
      <c r="F14" s="64">
        <v>4.51</v>
      </c>
      <c r="G14" s="64">
        <v>10.84</v>
      </c>
      <c r="H14" s="64">
        <v>1.65</v>
      </c>
      <c r="I14" s="64">
        <v>3.28</v>
      </c>
      <c r="J14" s="64">
        <v>0.31</v>
      </c>
      <c r="K14" s="64">
        <v>319.38</v>
      </c>
      <c r="L14" s="64">
        <v>25.04</v>
      </c>
      <c r="M14" s="64">
        <v>101.75</v>
      </c>
      <c r="N14" s="64">
        <v>40.200000000000003</v>
      </c>
      <c r="O14" s="64">
        <v>0.4</v>
      </c>
      <c r="P14" s="64">
        <v>0.57999999999999996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4" t="s">
        <v>1115</v>
      </c>
      <c r="B15" s="64">
        <v>7.95</v>
      </c>
      <c r="C15" s="64">
        <v>2.99</v>
      </c>
      <c r="D15" s="64">
        <v>11.71</v>
      </c>
      <c r="E15" s="64">
        <v>4.4800000000000004</v>
      </c>
      <c r="F15" s="64">
        <v>2.1800000000000002</v>
      </c>
      <c r="G15" s="64">
        <v>10.84</v>
      </c>
      <c r="H15" s="64">
        <v>1.65</v>
      </c>
      <c r="I15" s="64">
        <v>3.13</v>
      </c>
      <c r="J15" s="64">
        <v>0.22</v>
      </c>
      <c r="K15" s="64">
        <v>323.49</v>
      </c>
      <c r="L15" s="64">
        <v>24.99</v>
      </c>
      <c r="M15" s="64">
        <v>101.75</v>
      </c>
      <c r="N15" s="64">
        <v>40.299999999999997</v>
      </c>
      <c r="O15" s="64">
        <v>0.8</v>
      </c>
      <c r="P15" s="64">
        <v>0.54</v>
      </c>
      <c r="Q15" s="64">
        <v>9.59</v>
      </c>
      <c r="R15" s="198"/>
      <c r="S15" s="198"/>
      <c r="T15" s="198"/>
      <c r="U15" s="198"/>
    </row>
    <row r="16" spans="1:21" s="12" customFormat="1" x14ac:dyDescent="0.25">
      <c r="A16" s="214" t="s">
        <v>1116</v>
      </c>
      <c r="B16" s="64">
        <v>7.95</v>
      </c>
      <c r="C16" s="64">
        <v>2.94</v>
      </c>
      <c r="D16" s="64">
        <v>11.68</v>
      </c>
      <c r="E16" s="64">
        <v>4.32</v>
      </c>
      <c r="F16" s="64">
        <v>3.71</v>
      </c>
      <c r="G16" s="64">
        <v>9.7899999999999991</v>
      </c>
      <c r="H16" s="64">
        <v>1.55</v>
      </c>
      <c r="I16" s="64">
        <v>3.03</v>
      </c>
      <c r="J16" s="64">
        <v>0.12</v>
      </c>
      <c r="K16" s="64">
        <v>357.01</v>
      </c>
      <c r="L16" s="64">
        <v>25</v>
      </c>
      <c r="M16" s="64">
        <v>101.75</v>
      </c>
      <c r="N16" s="64">
        <v>40.1</v>
      </c>
      <c r="O16" s="64">
        <v>0.8</v>
      </c>
      <c r="P16" s="64">
        <v>0.52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4" t="s">
        <v>1117</v>
      </c>
      <c r="B17" s="64">
        <v>7.95</v>
      </c>
      <c r="C17" s="64">
        <v>2.96</v>
      </c>
      <c r="D17" s="64">
        <v>11.69</v>
      </c>
      <c r="E17" s="64">
        <v>4.47</v>
      </c>
      <c r="F17" s="64">
        <v>4.5</v>
      </c>
      <c r="G17" s="64">
        <v>7.88</v>
      </c>
      <c r="H17" s="64">
        <v>1.43</v>
      </c>
      <c r="I17" s="64">
        <v>2.85</v>
      </c>
      <c r="J17" s="64">
        <v>0.12</v>
      </c>
      <c r="K17" s="64">
        <v>354.9</v>
      </c>
      <c r="L17" s="64">
        <v>25.01</v>
      </c>
      <c r="M17" s="64">
        <v>101.75</v>
      </c>
      <c r="N17" s="64">
        <v>40.1</v>
      </c>
      <c r="O17" s="64">
        <v>0.8</v>
      </c>
      <c r="P17" s="64">
        <v>0.51</v>
      </c>
      <c r="Q17" s="64">
        <v>9.7200000000000006</v>
      </c>
      <c r="R17" s="198"/>
      <c r="S17" s="198"/>
      <c r="T17" s="198"/>
      <c r="U17" s="198"/>
    </row>
    <row r="18" spans="1:21" s="12" customFormat="1" x14ac:dyDescent="0.25">
      <c r="A18" s="214" t="s">
        <v>1118</v>
      </c>
      <c r="B18" s="64">
        <v>7.95</v>
      </c>
      <c r="C18" s="64">
        <v>3.02</v>
      </c>
      <c r="D18" s="64">
        <v>11.72</v>
      </c>
      <c r="E18" s="64">
        <v>4.53</v>
      </c>
      <c r="F18" s="64">
        <v>2.81</v>
      </c>
      <c r="G18" s="64">
        <v>7.88</v>
      </c>
      <c r="H18" s="64">
        <v>1.43</v>
      </c>
      <c r="I18" s="64">
        <v>2.75</v>
      </c>
      <c r="J18" s="64">
        <v>0.28000000000000003</v>
      </c>
      <c r="K18" s="64">
        <v>330.39</v>
      </c>
      <c r="L18" s="64">
        <v>24.97</v>
      </c>
      <c r="M18" s="64">
        <v>101.75</v>
      </c>
      <c r="N18" s="64">
        <v>40.200000000000003</v>
      </c>
      <c r="O18" s="64">
        <v>2.4</v>
      </c>
      <c r="P18" s="64">
        <v>0.49</v>
      </c>
      <c r="Q18" s="64">
        <v>9.66</v>
      </c>
      <c r="R18" s="198"/>
      <c r="S18" s="198"/>
      <c r="T18" s="198"/>
      <c r="U18" s="198"/>
    </row>
    <row r="19" spans="1:21" s="12" customFormat="1" x14ac:dyDescent="0.25">
      <c r="A19" s="214" t="s">
        <v>1119</v>
      </c>
      <c r="B19" s="64">
        <v>7.99</v>
      </c>
      <c r="C19" s="64">
        <v>3.07</v>
      </c>
      <c r="D19" s="64">
        <v>11.78</v>
      </c>
      <c r="E19" s="64">
        <v>4.5999999999999996</v>
      </c>
      <c r="F19" s="64">
        <v>3.18</v>
      </c>
      <c r="G19" s="64">
        <v>7.88</v>
      </c>
      <c r="H19" s="64">
        <v>1.43</v>
      </c>
      <c r="I19" s="64">
        <v>2.72</v>
      </c>
      <c r="J19" s="64">
        <v>0.36</v>
      </c>
      <c r="K19" s="64">
        <v>315.66000000000003</v>
      </c>
      <c r="L19" s="64">
        <v>24.95</v>
      </c>
      <c r="M19" s="64">
        <v>101.75</v>
      </c>
      <c r="N19" s="64">
        <v>40</v>
      </c>
      <c r="O19" s="64">
        <v>2.6</v>
      </c>
      <c r="P19" s="64">
        <v>0.46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4" t="s">
        <v>1120</v>
      </c>
      <c r="B20" s="64">
        <v>7.96</v>
      </c>
      <c r="C20" s="64">
        <v>2.98</v>
      </c>
      <c r="D20" s="64">
        <v>11.72</v>
      </c>
      <c r="E20" s="64">
        <v>4.0999999999999996</v>
      </c>
      <c r="F20" s="64">
        <v>3.78</v>
      </c>
      <c r="G20" s="64">
        <v>7.15</v>
      </c>
      <c r="H20" s="64">
        <v>0.94</v>
      </c>
      <c r="I20" s="64">
        <v>2.59</v>
      </c>
      <c r="J20" s="64">
        <v>0.51</v>
      </c>
      <c r="K20" s="64">
        <v>337.81</v>
      </c>
      <c r="L20" s="64">
        <v>24.95</v>
      </c>
      <c r="M20" s="64">
        <v>101.75</v>
      </c>
      <c r="N20" s="64">
        <v>40</v>
      </c>
      <c r="O20" s="64">
        <v>1</v>
      </c>
      <c r="P20" s="64">
        <v>0.44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4" t="s">
        <v>1121</v>
      </c>
      <c r="B21" s="64">
        <v>7.97</v>
      </c>
      <c r="C21" s="64">
        <v>3</v>
      </c>
      <c r="D21" s="64">
        <v>11.73</v>
      </c>
      <c r="E21" s="64">
        <v>4.3099999999999996</v>
      </c>
      <c r="F21" s="64">
        <v>3.49</v>
      </c>
      <c r="G21" s="64">
        <v>5.84</v>
      </c>
      <c r="H21" s="64">
        <v>0.39</v>
      </c>
      <c r="I21" s="64">
        <v>2.42</v>
      </c>
      <c r="J21" s="64">
        <v>0.38</v>
      </c>
      <c r="K21" s="64">
        <v>330.74</v>
      </c>
      <c r="L21" s="64">
        <v>24.98</v>
      </c>
      <c r="M21" s="64">
        <v>101.75</v>
      </c>
      <c r="N21" s="64">
        <v>40</v>
      </c>
      <c r="O21" s="64">
        <v>1</v>
      </c>
      <c r="P21" s="64">
        <v>0.44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4" t="s">
        <v>1122</v>
      </c>
      <c r="B22" s="64">
        <v>7.99</v>
      </c>
      <c r="C22" s="64">
        <v>3</v>
      </c>
      <c r="D22" s="64">
        <v>11.74</v>
      </c>
      <c r="E22" s="64">
        <v>4.2</v>
      </c>
      <c r="F22" s="64">
        <v>3.66</v>
      </c>
      <c r="G22" s="64">
        <v>5.84</v>
      </c>
      <c r="H22" s="64">
        <v>0.39</v>
      </c>
      <c r="I22" s="64">
        <v>2.38</v>
      </c>
      <c r="J22" s="64">
        <v>0.42</v>
      </c>
      <c r="K22" s="64">
        <v>328.02</v>
      </c>
      <c r="L22" s="64">
        <v>25.04</v>
      </c>
      <c r="M22" s="64">
        <v>101.75</v>
      </c>
      <c r="N22" s="64">
        <v>39.9</v>
      </c>
      <c r="O22" s="64">
        <v>0.6</v>
      </c>
      <c r="P22" s="64">
        <v>0.43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4" t="s">
        <v>1123</v>
      </c>
      <c r="B23" s="64">
        <v>7.99</v>
      </c>
      <c r="C23" s="64">
        <v>2.95</v>
      </c>
      <c r="D23" s="64">
        <v>11.72</v>
      </c>
      <c r="E23" s="64">
        <v>4.2699999999999996</v>
      </c>
      <c r="F23" s="64">
        <v>3.57</v>
      </c>
      <c r="G23" s="64">
        <v>5.84</v>
      </c>
      <c r="H23" s="64">
        <v>0.39</v>
      </c>
      <c r="I23" s="64">
        <v>2.46</v>
      </c>
      <c r="J23" s="64">
        <v>0.39</v>
      </c>
      <c r="K23" s="64">
        <v>327.84</v>
      </c>
      <c r="L23" s="64">
        <v>24.98</v>
      </c>
      <c r="M23" s="64">
        <v>101.75</v>
      </c>
      <c r="N23" s="64">
        <v>40</v>
      </c>
      <c r="O23" s="64">
        <v>0</v>
      </c>
      <c r="P23" s="64">
        <v>0.42</v>
      </c>
      <c r="Q23" s="64">
        <v>9.68</v>
      </c>
      <c r="R23" s="198"/>
      <c r="S23" s="198"/>
      <c r="T23" s="198"/>
      <c r="U23" s="198"/>
    </row>
    <row r="24" spans="1:21" s="12" customFormat="1" x14ac:dyDescent="0.25">
      <c r="A24" s="214" t="s">
        <v>1124</v>
      </c>
      <c r="B24" s="64">
        <v>7.97</v>
      </c>
      <c r="C24" s="64">
        <v>2.92</v>
      </c>
      <c r="D24" s="64">
        <v>11.69</v>
      </c>
      <c r="E24" s="64">
        <v>5.65</v>
      </c>
      <c r="F24" s="64">
        <v>3.86</v>
      </c>
      <c r="G24" s="64">
        <v>7.6</v>
      </c>
      <c r="H24" s="64">
        <v>4.0999999999999996</v>
      </c>
      <c r="I24" s="64">
        <v>2.5299999999999998</v>
      </c>
      <c r="J24" s="64">
        <v>0.05</v>
      </c>
      <c r="K24" s="64">
        <v>334.27</v>
      </c>
      <c r="L24" s="64">
        <v>24.92</v>
      </c>
      <c r="M24" s="64">
        <v>101.75</v>
      </c>
      <c r="N24" s="64">
        <v>39.9</v>
      </c>
      <c r="O24" s="64">
        <v>0.4</v>
      </c>
      <c r="P24" s="64">
        <v>0.41</v>
      </c>
      <c r="Q24" s="64">
        <v>9.69</v>
      </c>
      <c r="R24" s="198"/>
      <c r="S24" s="198"/>
      <c r="T24" s="198"/>
      <c r="U24" s="198"/>
    </row>
    <row r="25" spans="1:21" s="12" customFormat="1" x14ac:dyDescent="0.25">
      <c r="A25" s="214" t="s">
        <v>1125</v>
      </c>
      <c r="B25" s="64">
        <v>7.96</v>
      </c>
      <c r="C25" s="64">
        <v>2.94</v>
      </c>
      <c r="D25" s="64">
        <v>11.7</v>
      </c>
      <c r="E25" s="64">
        <v>4.8499999999999996</v>
      </c>
      <c r="F25" s="64">
        <v>3.78</v>
      </c>
      <c r="G25" s="64">
        <v>10.8</v>
      </c>
      <c r="H25" s="64">
        <v>8.2899999999999991</v>
      </c>
      <c r="I25" s="64">
        <v>2.5</v>
      </c>
      <c r="J25" s="64">
        <v>0.09</v>
      </c>
      <c r="K25" s="64">
        <v>334.78</v>
      </c>
      <c r="L25" s="64">
        <v>25.03</v>
      </c>
      <c r="M25" s="64">
        <v>101.75</v>
      </c>
      <c r="N25" s="64">
        <v>39.6</v>
      </c>
      <c r="O25" s="64">
        <v>0.2</v>
      </c>
      <c r="P25" s="64">
        <v>0.4</v>
      </c>
      <c r="Q25" s="64">
        <v>9.68</v>
      </c>
      <c r="R25" s="198"/>
      <c r="S25" s="198"/>
      <c r="T25" s="198"/>
      <c r="U25" s="198"/>
    </row>
    <row r="26" spans="1:21" s="12" customFormat="1" x14ac:dyDescent="0.25">
      <c r="A26" s="214" t="s">
        <v>1126</v>
      </c>
      <c r="B26" s="64">
        <v>7.96</v>
      </c>
      <c r="C26" s="64">
        <v>2.94</v>
      </c>
      <c r="D26" s="64">
        <v>11.69</v>
      </c>
      <c r="E26" s="64">
        <v>4.82</v>
      </c>
      <c r="F26" s="64">
        <v>3.71</v>
      </c>
      <c r="G26" s="64">
        <v>10.8</v>
      </c>
      <c r="H26" s="64">
        <v>8.2899999999999991</v>
      </c>
      <c r="I26" s="64">
        <v>2.5299999999999998</v>
      </c>
      <c r="J26" s="64">
        <v>0.12</v>
      </c>
      <c r="K26" s="64">
        <v>0.81</v>
      </c>
      <c r="L26" s="64">
        <v>25.11</v>
      </c>
      <c r="M26" s="64">
        <v>101.75</v>
      </c>
      <c r="N26" s="64">
        <v>39.700000000000003</v>
      </c>
      <c r="O26" s="64">
        <v>0.2</v>
      </c>
      <c r="P26" s="64">
        <v>0.39</v>
      </c>
      <c r="Q26" s="64">
        <v>9.68</v>
      </c>
      <c r="R26" s="198"/>
      <c r="S26" s="198"/>
      <c r="T26" s="198"/>
      <c r="U26" s="198"/>
    </row>
    <row r="27" spans="1:21" s="12" customFormat="1" x14ac:dyDescent="0.25">
      <c r="A27" s="214" t="s">
        <v>1127</v>
      </c>
      <c r="B27" s="64">
        <v>7.97</v>
      </c>
      <c r="C27" s="64">
        <v>2.93</v>
      </c>
      <c r="D27" s="64">
        <v>11.7</v>
      </c>
      <c r="E27" s="64">
        <v>4.55</v>
      </c>
      <c r="F27" s="64">
        <v>4.8499999999999996</v>
      </c>
      <c r="G27" s="64">
        <v>10.8</v>
      </c>
      <c r="H27" s="64">
        <v>8.2899999999999991</v>
      </c>
      <c r="I27" s="64">
        <v>2.59</v>
      </c>
      <c r="J27" s="64">
        <v>0.15</v>
      </c>
      <c r="K27" s="64">
        <v>334.52</v>
      </c>
      <c r="L27" s="64">
        <v>25.18</v>
      </c>
      <c r="M27" s="64">
        <v>101.75</v>
      </c>
      <c r="N27" s="64">
        <v>39.9</v>
      </c>
      <c r="O27" s="64">
        <v>0.2</v>
      </c>
      <c r="P27" s="64">
        <v>0.39</v>
      </c>
      <c r="Q27" s="64">
        <v>9.68</v>
      </c>
      <c r="R27" s="198"/>
      <c r="S27" s="198"/>
      <c r="T27" s="198"/>
      <c r="U27" s="198"/>
    </row>
    <row r="28" spans="1:21" s="12" customFormat="1" x14ac:dyDescent="0.25">
      <c r="A28" s="214" t="s">
        <v>1128</v>
      </c>
      <c r="B28" s="64">
        <v>7.92</v>
      </c>
      <c r="C28" s="64">
        <v>2.94</v>
      </c>
      <c r="D28" s="64">
        <v>11.66</v>
      </c>
      <c r="E28" s="64">
        <v>4.83</v>
      </c>
      <c r="F28" s="64">
        <v>4.2699999999999996</v>
      </c>
      <c r="G28" s="64">
        <v>9.75</v>
      </c>
      <c r="H28" s="64">
        <v>6.9</v>
      </c>
      <c r="I28" s="64">
        <v>2.58</v>
      </c>
      <c r="J28" s="64">
        <v>0.22</v>
      </c>
      <c r="K28" s="64">
        <v>324.31</v>
      </c>
      <c r="L28" s="64">
        <v>25.13</v>
      </c>
      <c r="M28" s="64">
        <v>101.76</v>
      </c>
      <c r="N28" s="64">
        <v>39.9</v>
      </c>
      <c r="O28" s="64">
        <v>0.4</v>
      </c>
      <c r="P28" s="64">
        <v>0.39</v>
      </c>
      <c r="Q28" s="64">
        <v>9.58</v>
      </c>
      <c r="R28" s="198"/>
      <c r="S28" s="198"/>
      <c r="T28" s="198"/>
      <c r="U28" s="198"/>
    </row>
    <row r="29" spans="1:21" s="12" customFormat="1" x14ac:dyDescent="0.25">
      <c r="A29" s="214" t="s">
        <v>1129</v>
      </c>
      <c r="B29" s="64">
        <v>7.94</v>
      </c>
      <c r="C29" s="64">
        <v>2.95</v>
      </c>
      <c r="D29" s="64">
        <v>11.68</v>
      </c>
      <c r="E29" s="64">
        <v>5.12</v>
      </c>
      <c r="F29" s="64">
        <v>2.2200000000000002</v>
      </c>
      <c r="G29" s="64">
        <v>7.86</v>
      </c>
      <c r="H29" s="64">
        <v>1.91</v>
      </c>
      <c r="I29" s="64">
        <v>2.5</v>
      </c>
      <c r="J29" s="64">
        <v>0.3</v>
      </c>
      <c r="K29" s="64">
        <v>314.83</v>
      </c>
      <c r="L29" s="64">
        <v>25.14</v>
      </c>
      <c r="M29" s="64">
        <v>101.75</v>
      </c>
      <c r="N29" s="64">
        <v>39.9</v>
      </c>
      <c r="O29" s="64">
        <v>0.2</v>
      </c>
      <c r="P29" s="64">
        <v>0.37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14" t="s">
        <v>1130</v>
      </c>
      <c r="B30" s="64">
        <v>7.96</v>
      </c>
      <c r="C30" s="64">
        <v>2.91</v>
      </c>
      <c r="D30" s="64">
        <v>11.68</v>
      </c>
      <c r="E30" s="64">
        <v>4.6399999999999997</v>
      </c>
      <c r="F30" s="64">
        <v>4.2</v>
      </c>
      <c r="G30" s="64">
        <v>7.86</v>
      </c>
      <c r="H30" s="64">
        <v>1.91</v>
      </c>
      <c r="I30" s="64">
        <v>2.46</v>
      </c>
      <c r="J30" s="64">
        <v>0.47</v>
      </c>
      <c r="K30" s="64">
        <v>324.22000000000003</v>
      </c>
      <c r="L30" s="64">
        <v>25.14</v>
      </c>
      <c r="M30" s="64">
        <v>101.75</v>
      </c>
      <c r="N30" s="64">
        <v>40</v>
      </c>
      <c r="O30" s="64">
        <v>0</v>
      </c>
      <c r="P30" s="64">
        <v>0.35</v>
      </c>
      <c r="Q30" s="64">
        <v>9.57</v>
      </c>
      <c r="R30" s="198"/>
      <c r="S30" s="198"/>
      <c r="T30" s="198"/>
      <c r="U30" s="198"/>
    </row>
    <row r="31" spans="1:21" s="12" customFormat="1" x14ac:dyDescent="0.25">
      <c r="A31" s="214" t="s">
        <v>1131</v>
      </c>
      <c r="B31" s="64">
        <v>7.95</v>
      </c>
      <c r="C31" s="64">
        <v>2.94</v>
      </c>
      <c r="D31" s="64">
        <v>11.68</v>
      </c>
      <c r="E31" s="64">
        <v>4.7699999999999996</v>
      </c>
      <c r="F31" s="64">
        <v>5.0999999999999996</v>
      </c>
      <c r="G31" s="64">
        <v>7.86</v>
      </c>
      <c r="H31" s="64">
        <v>1.91</v>
      </c>
      <c r="I31" s="64">
        <v>2.56</v>
      </c>
      <c r="J31" s="64">
        <v>0.61</v>
      </c>
      <c r="K31" s="64">
        <v>329.58</v>
      </c>
      <c r="L31" s="64">
        <v>25.05</v>
      </c>
      <c r="M31" s="64">
        <v>101.75</v>
      </c>
      <c r="N31" s="64">
        <v>40.299999999999997</v>
      </c>
      <c r="O31" s="64">
        <v>0</v>
      </c>
      <c r="P31" s="64">
        <v>0.36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4" t="s">
        <v>1132</v>
      </c>
      <c r="B32" s="64">
        <v>7.93</v>
      </c>
      <c r="C32" s="64">
        <v>2.98</v>
      </c>
      <c r="D32" s="64">
        <v>11.69</v>
      </c>
      <c r="E32" s="64">
        <v>5.07</v>
      </c>
      <c r="F32" s="64">
        <v>2.35</v>
      </c>
      <c r="G32" s="64">
        <v>7.27</v>
      </c>
      <c r="H32" s="64">
        <v>1.2</v>
      </c>
      <c r="I32" s="64">
        <v>2.2400000000000002</v>
      </c>
      <c r="J32" s="64">
        <v>0.18</v>
      </c>
      <c r="K32" s="64">
        <v>323.66000000000003</v>
      </c>
      <c r="L32" s="64">
        <v>25.03</v>
      </c>
      <c r="M32" s="64">
        <v>101.75</v>
      </c>
      <c r="N32" s="64">
        <v>40</v>
      </c>
      <c r="O32" s="64">
        <v>0</v>
      </c>
      <c r="P32" s="64">
        <v>0.34</v>
      </c>
      <c r="Q32" s="64">
        <v>9.58</v>
      </c>
      <c r="R32" s="198"/>
      <c r="S32" s="198"/>
      <c r="T32" s="198"/>
      <c r="U32" s="198"/>
    </row>
    <row r="33" spans="1:21" s="12" customFormat="1" x14ac:dyDescent="0.25">
      <c r="A33" s="214" t="s">
        <v>1133</v>
      </c>
      <c r="B33" s="64">
        <v>7.94</v>
      </c>
      <c r="C33" s="64">
        <v>2.95</v>
      </c>
      <c r="D33" s="64">
        <v>11.68</v>
      </c>
      <c r="E33" s="64">
        <v>4.88</v>
      </c>
      <c r="F33" s="64">
        <v>3.51</v>
      </c>
      <c r="G33" s="64">
        <v>6.2</v>
      </c>
      <c r="H33" s="64">
        <v>0.42</v>
      </c>
      <c r="I33" s="64">
        <v>2.15</v>
      </c>
      <c r="J33" s="64">
        <v>0.3</v>
      </c>
      <c r="K33" s="64">
        <v>335.91</v>
      </c>
      <c r="L33" s="64">
        <v>25.03</v>
      </c>
      <c r="M33" s="64">
        <v>101.75</v>
      </c>
      <c r="N33" s="64">
        <v>40.700000000000003</v>
      </c>
      <c r="O33" s="64">
        <v>0.4</v>
      </c>
      <c r="P33" s="64">
        <v>0.32</v>
      </c>
      <c r="Q33" s="64">
        <v>9.59</v>
      </c>
      <c r="R33" s="198"/>
      <c r="S33" s="198"/>
      <c r="T33" s="198"/>
      <c r="U33" s="198"/>
    </row>
    <row r="34" spans="1:21" s="12" customFormat="1" x14ac:dyDescent="0.25">
      <c r="A34" s="214" t="s">
        <v>1134</v>
      </c>
      <c r="B34" s="64">
        <v>7.93</v>
      </c>
      <c r="C34" s="64">
        <v>2.92</v>
      </c>
      <c r="D34" s="64">
        <v>11.66</v>
      </c>
      <c r="E34" s="64">
        <v>4.83</v>
      </c>
      <c r="F34" s="64">
        <v>4.79</v>
      </c>
      <c r="G34" s="64">
        <v>6.2</v>
      </c>
      <c r="H34" s="64">
        <v>0.42</v>
      </c>
      <c r="I34" s="64">
        <v>2.19</v>
      </c>
      <c r="J34" s="64">
        <v>0.5</v>
      </c>
      <c r="K34" s="64">
        <v>330.06</v>
      </c>
      <c r="L34" s="64">
        <v>24.98</v>
      </c>
      <c r="M34" s="64">
        <v>101.75</v>
      </c>
      <c r="N34" s="64">
        <v>41.2</v>
      </c>
      <c r="O34" s="64">
        <v>5</v>
      </c>
      <c r="P34" s="64">
        <v>0.33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4" t="s">
        <v>1135</v>
      </c>
      <c r="B35" s="64">
        <v>7.94</v>
      </c>
      <c r="C35" s="64">
        <v>2.98</v>
      </c>
      <c r="D35" s="64">
        <v>11.69</v>
      </c>
      <c r="E35" s="64">
        <v>4.97</v>
      </c>
      <c r="F35" s="64">
        <v>2.96</v>
      </c>
      <c r="G35" s="64">
        <v>6.2</v>
      </c>
      <c r="H35" s="64">
        <v>0.42</v>
      </c>
      <c r="I35" s="64">
        <v>2.0699999999999998</v>
      </c>
      <c r="J35" s="64">
        <v>0.3</v>
      </c>
      <c r="K35" s="64">
        <v>342.19</v>
      </c>
      <c r="L35" s="64">
        <v>24.92</v>
      </c>
      <c r="M35" s="64">
        <v>101.76</v>
      </c>
      <c r="N35" s="64">
        <v>41.8</v>
      </c>
      <c r="O35" s="64">
        <v>3.4</v>
      </c>
      <c r="P35" s="64">
        <v>0.32</v>
      </c>
      <c r="Q35" s="64">
        <v>9.58</v>
      </c>
      <c r="R35" s="198"/>
      <c r="S35" s="198"/>
      <c r="T35" s="198"/>
      <c r="U35" s="198"/>
    </row>
    <row r="36" spans="1:21" s="12" customFormat="1" x14ac:dyDescent="0.25">
      <c r="A36" s="214" t="s">
        <v>1136</v>
      </c>
      <c r="B36" s="64">
        <v>7.96</v>
      </c>
      <c r="C36" s="64">
        <v>2.97</v>
      </c>
      <c r="D36" s="64">
        <v>11.71</v>
      </c>
      <c r="E36" s="64">
        <v>4.55</v>
      </c>
      <c r="F36" s="64">
        <v>3.89</v>
      </c>
      <c r="G36" s="64">
        <v>5.72</v>
      </c>
      <c r="H36" s="64">
        <v>0.27</v>
      </c>
      <c r="I36" s="64">
        <v>2.0699999999999998</v>
      </c>
      <c r="J36" s="64">
        <v>0.32</v>
      </c>
      <c r="K36" s="64">
        <v>347.23</v>
      </c>
      <c r="L36" s="64">
        <v>24.96</v>
      </c>
      <c r="M36" s="64">
        <v>101.76</v>
      </c>
      <c r="N36" s="64">
        <v>45.2</v>
      </c>
      <c r="O36" s="64">
        <v>2.4</v>
      </c>
      <c r="P36" s="64">
        <v>0.28999999999999998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4" t="s">
        <v>1137</v>
      </c>
      <c r="B37" s="64">
        <v>7.99</v>
      </c>
      <c r="C37" s="64">
        <v>2.98</v>
      </c>
      <c r="D37" s="64">
        <v>11.74</v>
      </c>
      <c r="E37" s="64">
        <v>4.67</v>
      </c>
      <c r="F37" s="64">
        <v>3.92</v>
      </c>
      <c r="G37" s="64">
        <v>4.8499999999999996</v>
      </c>
      <c r="H37" s="64">
        <v>0.1</v>
      </c>
      <c r="I37" s="64">
        <v>1.78</v>
      </c>
      <c r="J37" s="64">
        <v>0.23</v>
      </c>
      <c r="K37" s="64">
        <v>0.43</v>
      </c>
      <c r="L37" s="64">
        <v>24.96</v>
      </c>
      <c r="M37" s="64">
        <v>101.75</v>
      </c>
      <c r="N37" s="64">
        <v>44.1</v>
      </c>
      <c r="O37" s="64">
        <v>4.8</v>
      </c>
      <c r="P37" s="64">
        <v>0.33</v>
      </c>
      <c r="Q37" s="64">
        <v>9.59</v>
      </c>
      <c r="R37" s="198"/>
      <c r="S37" s="198"/>
      <c r="T37" s="198"/>
      <c r="U37" s="198"/>
    </row>
    <row r="38" spans="1:21" s="12" customFormat="1" x14ac:dyDescent="0.25">
      <c r="A38" s="214" t="s">
        <v>1138</v>
      </c>
      <c r="B38" s="64">
        <v>7.97</v>
      </c>
      <c r="C38" s="64">
        <v>2.92</v>
      </c>
      <c r="D38" s="64">
        <v>11.7</v>
      </c>
      <c r="E38" s="64">
        <v>4.51</v>
      </c>
      <c r="F38" s="64">
        <v>3.99</v>
      </c>
      <c r="G38" s="64">
        <v>4.8499999999999996</v>
      </c>
      <c r="H38" s="64">
        <v>0.1</v>
      </c>
      <c r="I38" s="64">
        <v>1.67</v>
      </c>
      <c r="J38" s="64">
        <v>0.28999999999999998</v>
      </c>
      <c r="K38" s="64">
        <v>341.09</v>
      </c>
      <c r="L38" s="64">
        <v>24.99</v>
      </c>
      <c r="M38" s="64">
        <v>101.75</v>
      </c>
      <c r="N38" s="64">
        <v>42.6</v>
      </c>
      <c r="O38" s="64">
        <v>4</v>
      </c>
      <c r="P38" s="64">
        <v>0.35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4" t="s">
        <v>1139</v>
      </c>
      <c r="B39" s="64">
        <v>7.98</v>
      </c>
      <c r="C39" s="64">
        <v>2.9</v>
      </c>
      <c r="D39" s="64">
        <v>11.69</v>
      </c>
      <c r="E39" s="64">
        <v>4.4400000000000004</v>
      </c>
      <c r="F39" s="64">
        <v>3.83</v>
      </c>
      <c r="G39" s="64">
        <v>4.8499999999999996</v>
      </c>
      <c r="H39" s="64">
        <v>0.1</v>
      </c>
      <c r="I39" s="64">
        <v>1.57</v>
      </c>
      <c r="J39" s="64">
        <v>0.25</v>
      </c>
      <c r="K39" s="64">
        <v>355.37</v>
      </c>
      <c r="L39" s="64">
        <v>24.99</v>
      </c>
      <c r="M39" s="64">
        <v>101.75</v>
      </c>
      <c r="N39" s="64">
        <v>44.4</v>
      </c>
      <c r="O39" s="64">
        <v>6.4</v>
      </c>
      <c r="P39" s="64">
        <v>0.34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4" t="s">
        <v>1140</v>
      </c>
      <c r="B40" s="64">
        <v>7.99</v>
      </c>
      <c r="C40" s="64">
        <v>2.95</v>
      </c>
      <c r="D40" s="64">
        <v>11.73</v>
      </c>
      <c r="E40" s="64">
        <v>4.92</v>
      </c>
      <c r="F40" s="64">
        <v>3.48</v>
      </c>
      <c r="G40" s="64">
        <v>4.33</v>
      </c>
      <c r="H40" s="64">
        <v>7.0000000000000007E-2</v>
      </c>
      <c r="I40" s="64">
        <v>1.55</v>
      </c>
      <c r="J40" s="64">
        <v>0.37</v>
      </c>
      <c r="K40" s="64">
        <v>325.2</v>
      </c>
      <c r="L40" s="64">
        <v>24.98</v>
      </c>
      <c r="M40" s="64">
        <v>101.76</v>
      </c>
      <c r="N40" s="64">
        <v>45.9</v>
      </c>
      <c r="O40" s="64">
        <v>7</v>
      </c>
      <c r="P40" s="64">
        <v>0.35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4" t="s">
        <v>1141</v>
      </c>
      <c r="B41" s="64">
        <v>7.97</v>
      </c>
      <c r="C41" s="64">
        <v>2.98</v>
      </c>
      <c r="D41" s="64">
        <v>11.72</v>
      </c>
      <c r="E41" s="64">
        <v>4.75</v>
      </c>
      <c r="F41" s="64">
        <v>3.23</v>
      </c>
      <c r="G41" s="64">
        <v>3.39</v>
      </c>
      <c r="H41" s="64">
        <v>0.03</v>
      </c>
      <c r="I41" s="64">
        <v>1.53</v>
      </c>
      <c r="J41" s="64">
        <v>0.44</v>
      </c>
      <c r="K41" s="64">
        <v>326.92</v>
      </c>
      <c r="L41" s="64">
        <v>24.96</v>
      </c>
      <c r="M41" s="64">
        <v>101.76</v>
      </c>
      <c r="N41" s="64">
        <v>49.2</v>
      </c>
      <c r="O41" s="64">
        <v>6</v>
      </c>
      <c r="P41" s="64">
        <v>0.35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4" t="s">
        <v>1142</v>
      </c>
      <c r="B42" s="64">
        <v>7.98</v>
      </c>
      <c r="C42" s="64">
        <v>2.96</v>
      </c>
      <c r="D42" s="64">
        <v>11.72</v>
      </c>
      <c r="E42" s="64">
        <v>4.83</v>
      </c>
      <c r="F42" s="64">
        <v>3.47</v>
      </c>
      <c r="G42" s="64">
        <v>3.39</v>
      </c>
      <c r="H42" s="64">
        <v>0.03</v>
      </c>
      <c r="I42" s="64">
        <v>1.53</v>
      </c>
      <c r="J42" s="64">
        <v>0.2</v>
      </c>
      <c r="K42" s="64">
        <v>347.68</v>
      </c>
      <c r="L42" s="64">
        <v>24.94</v>
      </c>
      <c r="M42" s="64">
        <v>101.76</v>
      </c>
      <c r="N42" s="64">
        <v>52.2</v>
      </c>
      <c r="O42" s="64">
        <v>3</v>
      </c>
      <c r="P42" s="64">
        <v>0.35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1143</v>
      </c>
      <c r="B43" s="64">
        <v>7.96</v>
      </c>
      <c r="C43" s="64">
        <v>2.98</v>
      </c>
      <c r="D43" s="64">
        <v>11.71</v>
      </c>
      <c r="E43" s="64">
        <v>4.79</v>
      </c>
      <c r="F43" s="64">
        <v>4.08</v>
      </c>
      <c r="G43" s="64">
        <v>3.39</v>
      </c>
      <c r="H43" s="64">
        <v>0.03</v>
      </c>
      <c r="I43" s="64">
        <v>1.53</v>
      </c>
      <c r="J43" s="64">
        <v>0.36</v>
      </c>
      <c r="K43" s="64">
        <v>333.12</v>
      </c>
      <c r="L43" s="64">
        <v>25.01</v>
      </c>
      <c r="M43" s="64">
        <v>101.75</v>
      </c>
      <c r="N43" s="64">
        <v>59.4</v>
      </c>
      <c r="O43" s="64">
        <v>1</v>
      </c>
      <c r="P43" s="64">
        <v>0.35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4" t="s">
        <v>1144</v>
      </c>
      <c r="B44" s="64">
        <v>7.94</v>
      </c>
      <c r="C44" s="64">
        <v>2.96</v>
      </c>
      <c r="D44" s="64">
        <v>11.69</v>
      </c>
      <c r="E44" s="64">
        <v>4.63</v>
      </c>
      <c r="F44" s="64">
        <v>4.49</v>
      </c>
      <c r="G44" s="64">
        <v>3.24</v>
      </c>
      <c r="H44" s="64">
        <v>1.2</v>
      </c>
      <c r="I44" s="64">
        <v>1.62</v>
      </c>
      <c r="J44" s="64">
        <v>0.28999999999999998</v>
      </c>
      <c r="K44" s="64">
        <v>353.27</v>
      </c>
      <c r="L44" s="64">
        <v>25.03</v>
      </c>
      <c r="M44" s="64">
        <v>101.75</v>
      </c>
      <c r="N44" s="64">
        <v>74.099999999999994</v>
      </c>
      <c r="O44" s="64">
        <v>0.2</v>
      </c>
      <c r="P44" s="64">
        <v>0.36</v>
      </c>
      <c r="Q44" s="64">
        <v>9.73</v>
      </c>
      <c r="R44" s="198"/>
      <c r="S44" s="198"/>
      <c r="T44" s="198"/>
      <c r="U44" s="198"/>
    </row>
    <row r="45" spans="1:21" s="12" customFormat="1" x14ac:dyDescent="0.25">
      <c r="A45" s="214" t="s">
        <v>1145</v>
      </c>
      <c r="B45" s="64">
        <v>7.96</v>
      </c>
      <c r="C45" s="64">
        <v>2.98</v>
      </c>
      <c r="D45" s="64">
        <v>11.72</v>
      </c>
      <c r="E45" s="64">
        <v>4.82</v>
      </c>
      <c r="F45" s="64">
        <v>3</v>
      </c>
      <c r="G45" s="64">
        <v>2.96</v>
      </c>
      <c r="H45" s="64">
        <v>5.29</v>
      </c>
      <c r="I45" s="64">
        <v>1.53</v>
      </c>
      <c r="J45" s="64">
        <v>0.31</v>
      </c>
      <c r="K45" s="64">
        <v>7.67</v>
      </c>
      <c r="L45" s="64">
        <v>24.97</v>
      </c>
      <c r="M45" s="64">
        <v>101.76</v>
      </c>
      <c r="N45" s="64">
        <v>73.2</v>
      </c>
      <c r="O45" s="64">
        <v>0.2</v>
      </c>
      <c r="P45" s="64">
        <v>0.36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14" t="s">
        <v>1146</v>
      </c>
      <c r="B46" s="64">
        <v>7.99</v>
      </c>
      <c r="C46" s="64">
        <v>3.07</v>
      </c>
      <c r="D46" s="64">
        <v>11.78</v>
      </c>
      <c r="E46" s="64">
        <v>5.03</v>
      </c>
      <c r="F46" s="64">
        <v>3.47</v>
      </c>
      <c r="G46" s="64">
        <v>2.96</v>
      </c>
      <c r="H46" s="64">
        <v>5.29</v>
      </c>
      <c r="I46" s="64">
        <v>1.56</v>
      </c>
      <c r="J46" s="64">
        <v>0.28000000000000003</v>
      </c>
      <c r="K46" s="64">
        <v>1.29</v>
      </c>
      <c r="L46" s="64">
        <v>25.03</v>
      </c>
      <c r="M46" s="64">
        <v>101.75</v>
      </c>
      <c r="N46" s="64">
        <v>81.3</v>
      </c>
      <c r="O46" s="64">
        <v>0</v>
      </c>
      <c r="P46" s="64">
        <v>0.37</v>
      </c>
      <c r="Q46" s="64">
        <v>9.59</v>
      </c>
      <c r="R46" s="198"/>
      <c r="S46" s="198"/>
      <c r="T46" s="198"/>
      <c r="U46" s="198"/>
    </row>
    <row r="47" spans="1:21" s="12" customFormat="1" x14ac:dyDescent="0.25">
      <c r="A47" s="214" t="s">
        <v>1147</v>
      </c>
      <c r="B47" s="64">
        <v>7.95</v>
      </c>
      <c r="C47" s="64">
        <v>3.02</v>
      </c>
      <c r="D47" s="64">
        <v>11.73</v>
      </c>
      <c r="E47" s="64">
        <v>4.4000000000000004</v>
      </c>
      <c r="F47" s="64">
        <v>4.7300000000000004</v>
      </c>
      <c r="G47" s="64">
        <v>2.96</v>
      </c>
      <c r="H47" s="64">
        <v>5.29</v>
      </c>
      <c r="I47" s="64">
        <v>1.56</v>
      </c>
      <c r="J47" s="64">
        <v>0.43</v>
      </c>
      <c r="K47" s="64">
        <v>338.36</v>
      </c>
      <c r="L47" s="64">
        <v>25.05</v>
      </c>
      <c r="M47" s="64">
        <v>101.75</v>
      </c>
      <c r="N47" s="64">
        <v>66.400000000000006</v>
      </c>
      <c r="O47" s="64">
        <v>0</v>
      </c>
      <c r="P47" s="64">
        <v>0.4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4" t="s">
        <v>1148</v>
      </c>
      <c r="B48" s="64">
        <v>7.93</v>
      </c>
      <c r="C48" s="64">
        <v>2.94</v>
      </c>
      <c r="D48" s="64">
        <v>11.67</v>
      </c>
      <c r="E48" s="64">
        <v>4.7699999999999996</v>
      </c>
      <c r="F48" s="64">
        <v>2.57</v>
      </c>
      <c r="G48" s="64">
        <v>4.33</v>
      </c>
      <c r="H48" s="64">
        <v>4.34</v>
      </c>
      <c r="I48" s="64">
        <v>1.55</v>
      </c>
      <c r="J48" s="64">
        <v>0.35</v>
      </c>
      <c r="K48" s="64">
        <v>353.73</v>
      </c>
      <c r="L48" s="64">
        <v>24.94</v>
      </c>
      <c r="M48" s="64">
        <v>101.75</v>
      </c>
      <c r="N48" s="64">
        <v>59.7</v>
      </c>
      <c r="O48" s="64">
        <v>0.2</v>
      </c>
      <c r="P48" s="64">
        <v>0.42</v>
      </c>
      <c r="Q48" s="64">
        <v>9.69</v>
      </c>
      <c r="R48" s="198"/>
      <c r="S48" s="198"/>
      <c r="T48" s="198"/>
      <c r="U48" s="198"/>
    </row>
    <row r="49" spans="1:21" s="12" customFormat="1" x14ac:dyDescent="0.25">
      <c r="A49" s="214" t="s">
        <v>1149</v>
      </c>
      <c r="B49" s="64">
        <v>7.95</v>
      </c>
      <c r="C49" s="64">
        <v>3</v>
      </c>
      <c r="D49" s="64">
        <v>11.72</v>
      </c>
      <c r="E49" s="64">
        <v>4.63</v>
      </c>
      <c r="F49" s="64">
        <v>3.61</v>
      </c>
      <c r="G49" s="64">
        <v>6.81</v>
      </c>
      <c r="H49" s="64">
        <v>3.31</v>
      </c>
      <c r="I49" s="64">
        <v>1.67</v>
      </c>
      <c r="J49" s="64">
        <v>0.34</v>
      </c>
      <c r="K49" s="64">
        <v>2.0099999999999998</v>
      </c>
      <c r="L49" s="64">
        <v>24.92</v>
      </c>
      <c r="M49" s="64">
        <v>101.75</v>
      </c>
      <c r="N49" s="64">
        <v>96.3</v>
      </c>
      <c r="O49" s="64">
        <v>0.2</v>
      </c>
      <c r="P49" s="64">
        <v>0.45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4" t="s">
        <v>1150</v>
      </c>
      <c r="B50" s="64">
        <v>7.93</v>
      </c>
      <c r="C50" s="64">
        <v>2.95</v>
      </c>
      <c r="D50" s="64">
        <v>11.67</v>
      </c>
      <c r="E50" s="64">
        <v>4.8499999999999996</v>
      </c>
      <c r="F50" s="64">
        <v>4.97</v>
      </c>
      <c r="G50" s="64">
        <v>6.81</v>
      </c>
      <c r="H50" s="64">
        <v>3.31</v>
      </c>
      <c r="I50" s="64">
        <v>1.7</v>
      </c>
      <c r="J50" s="64">
        <v>0.37</v>
      </c>
      <c r="K50" s="64">
        <v>3.26</v>
      </c>
      <c r="L50" s="64">
        <v>24.99</v>
      </c>
      <c r="M50" s="64">
        <v>101.76</v>
      </c>
      <c r="N50" s="64">
        <v>145.80000000000001</v>
      </c>
      <c r="O50" s="64">
        <v>0.2</v>
      </c>
      <c r="P50" s="64">
        <v>0.48</v>
      </c>
      <c r="Q50" s="64">
        <v>9.73</v>
      </c>
      <c r="R50" s="198"/>
      <c r="S50" s="198"/>
      <c r="T50" s="198"/>
      <c r="U50" s="198"/>
    </row>
    <row r="51" spans="1:21" s="12" customFormat="1" x14ac:dyDescent="0.25">
      <c r="A51" s="214" t="s">
        <v>1151</v>
      </c>
      <c r="B51" s="64">
        <v>7.91</v>
      </c>
      <c r="C51" s="64">
        <v>2.89</v>
      </c>
      <c r="D51" s="64">
        <v>11.63</v>
      </c>
      <c r="E51" s="64">
        <v>4.3099999999999996</v>
      </c>
      <c r="F51" s="64">
        <v>2.2200000000000002</v>
      </c>
      <c r="G51" s="64">
        <v>6.81</v>
      </c>
      <c r="H51" s="64">
        <v>3.31</v>
      </c>
      <c r="I51" s="64">
        <v>1.77</v>
      </c>
      <c r="J51" s="64">
        <v>0.39</v>
      </c>
      <c r="K51" s="64">
        <v>3.17</v>
      </c>
      <c r="L51" s="64">
        <v>24.92</v>
      </c>
      <c r="M51" s="64">
        <v>101.76</v>
      </c>
      <c r="N51" s="64">
        <v>113.8</v>
      </c>
      <c r="O51" s="64">
        <v>0</v>
      </c>
      <c r="P51" s="64">
        <v>0.48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4" t="s">
        <v>1152</v>
      </c>
      <c r="B52" s="64">
        <v>7.95</v>
      </c>
      <c r="C52" s="64">
        <v>2.97</v>
      </c>
      <c r="D52" s="64">
        <v>11.7</v>
      </c>
      <c r="E52" s="64">
        <v>4.58</v>
      </c>
      <c r="F52" s="64">
        <v>3.61</v>
      </c>
      <c r="G52" s="64">
        <v>6.71</v>
      </c>
      <c r="H52" s="64">
        <v>4</v>
      </c>
      <c r="I52" s="64">
        <v>1.79</v>
      </c>
      <c r="J52" s="64">
        <v>0.35</v>
      </c>
      <c r="K52" s="64">
        <v>3.29</v>
      </c>
      <c r="L52" s="64">
        <v>24.99</v>
      </c>
      <c r="M52" s="64">
        <v>101.75</v>
      </c>
      <c r="N52" s="64">
        <v>162.80000000000001</v>
      </c>
      <c r="O52" s="64">
        <v>0.2</v>
      </c>
      <c r="P52" s="64">
        <v>0.47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4" t="s">
        <v>1153</v>
      </c>
      <c r="B53" s="64">
        <v>7.97</v>
      </c>
      <c r="C53" s="64">
        <v>2.99</v>
      </c>
      <c r="D53" s="64">
        <v>11.73</v>
      </c>
      <c r="E53" s="64">
        <v>4.5199999999999996</v>
      </c>
      <c r="F53" s="64">
        <v>4.21</v>
      </c>
      <c r="G53" s="64">
        <v>6.53</v>
      </c>
      <c r="H53" s="64">
        <v>4.79</v>
      </c>
      <c r="I53" s="64">
        <v>1.75</v>
      </c>
      <c r="J53" s="64">
        <v>0.38</v>
      </c>
      <c r="K53" s="64">
        <v>0.74</v>
      </c>
      <c r="L53" s="64">
        <v>25.17</v>
      </c>
      <c r="M53" s="64">
        <v>101.76</v>
      </c>
      <c r="N53" s="64">
        <v>193.6</v>
      </c>
      <c r="O53" s="64">
        <v>0.2</v>
      </c>
      <c r="P53" s="64">
        <v>0.47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1154</v>
      </c>
      <c r="B54" s="64">
        <v>7.98</v>
      </c>
      <c r="C54" s="64">
        <v>3.01</v>
      </c>
      <c r="D54" s="64">
        <v>11.75</v>
      </c>
      <c r="E54" s="64">
        <v>4.3600000000000003</v>
      </c>
      <c r="F54" s="64">
        <v>3.8</v>
      </c>
      <c r="G54" s="64">
        <v>6.53</v>
      </c>
      <c r="H54" s="64">
        <v>4.79</v>
      </c>
      <c r="I54" s="64">
        <v>1.69</v>
      </c>
      <c r="J54" s="64">
        <v>0.3</v>
      </c>
      <c r="K54" s="64">
        <v>5.18</v>
      </c>
      <c r="L54" s="64">
        <v>25.31</v>
      </c>
      <c r="M54" s="64">
        <v>101.75</v>
      </c>
      <c r="N54" s="64">
        <v>215.4</v>
      </c>
      <c r="O54" s="64">
        <v>0</v>
      </c>
      <c r="P54" s="64">
        <v>0.48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4" t="s">
        <v>1155</v>
      </c>
      <c r="B55" s="64">
        <v>8.01</v>
      </c>
      <c r="C55" s="64">
        <v>3.09</v>
      </c>
      <c r="D55" s="64">
        <v>11.82</v>
      </c>
      <c r="E55" s="64">
        <v>4.54</v>
      </c>
      <c r="F55" s="64">
        <v>3.76</v>
      </c>
      <c r="G55" s="64">
        <v>6.53</v>
      </c>
      <c r="H55" s="64">
        <v>4.79</v>
      </c>
      <c r="I55" s="64">
        <v>1.62</v>
      </c>
      <c r="J55" s="64">
        <v>0.28000000000000003</v>
      </c>
      <c r="K55" s="64">
        <v>1.8</v>
      </c>
      <c r="L55" s="64">
        <v>25.49</v>
      </c>
      <c r="M55" s="64">
        <v>101.75</v>
      </c>
      <c r="N55" s="64">
        <v>151.19999999999999</v>
      </c>
      <c r="O55" s="64">
        <v>0</v>
      </c>
      <c r="P55" s="64">
        <v>0.54</v>
      </c>
      <c r="Q55" s="64">
        <v>9.66</v>
      </c>
      <c r="R55" s="198"/>
      <c r="S55" s="198"/>
      <c r="T55" s="198"/>
      <c r="U55" s="198"/>
    </row>
    <row r="56" spans="1:21" s="12" customFormat="1" x14ac:dyDescent="0.25">
      <c r="A56" s="214" t="s">
        <v>1156</v>
      </c>
      <c r="B56" s="64">
        <v>7.99</v>
      </c>
      <c r="C56" s="64">
        <v>3.04</v>
      </c>
      <c r="D56" s="64">
        <v>11.77</v>
      </c>
      <c r="E56" s="64">
        <v>4.58</v>
      </c>
      <c r="F56" s="64">
        <v>3.59</v>
      </c>
      <c r="G56" s="64">
        <v>6.38</v>
      </c>
      <c r="H56" s="64">
        <v>4.25</v>
      </c>
      <c r="I56" s="64">
        <v>1.59</v>
      </c>
      <c r="J56" s="64">
        <v>0.27</v>
      </c>
      <c r="K56" s="64">
        <v>356.66</v>
      </c>
      <c r="L56" s="64">
        <v>25.43</v>
      </c>
      <c r="M56" s="64">
        <v>101.75</v>
      </c>
      <c r="N56" s="64">
        <v>102.7</v>
      </c>
      <c r="O56" s="64">
        <v>0</v>
      </c>
      <c r="P56" s="64">
        <v>0.61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4" t="s">
        <v>1157</v>
      </c>
      <c r="B57" s="64">
        <v>7.97</v>
      </c>
      <c r="C57" s="64">
        <v>3.02</v>
      </c>
      <c r="D57" s="64">
        <v>11.74</v>
      </c>
      <c r="E57" s="64">
        <v>3.56</v>
      </c>
      <c r="F57" s="64">
        <v>3.11</v>
      </c>
      <c r="G57" s="64">
        <v>6.11</v>
      </c>
      <c r="H57" s="64">
        <v>5.0199999999999996</v>
      </c>
      <c r="I57" s="64">
        <v>1.7</v>
      </c>
      <c r="J57" s="64">
        <v>0.23</v>
      </c>
      <c r="K57" s="64">
        <v>349</v>
      </c>
      <c r="L57" s="64">
        <v>25.71</v>
      </c>
      <c r="M57" s="64">
        <v>101.75</v>
      </c>
      <c r="N57" s="64">
        <v>178.3</v>
      </c>
      <c r="O57" s="64">
        <v>0</v>
      </c>
      <c r="P57" s="64">
        <v>0.65</v>
      </c>
      <c r="Q57" s="64">
        <v>9.68</v>
      </c>
      <c r="R57" s="198"/>
      <c r="S57" s="198"/>
      <c r="T57" s="198"/>
      <c r="U57" s="198"/>
    </row>
    <row r="58" spans="1:21" s="12" customFormat="1" x14ac:dyDescent="0.25">
      <c r="A58" s="214" t="s">
        <v>1158</v>
      </c>
      <c r="B58" s="64">
        <v>7.94</v>
      </c>
      <c r="C58" s="64">
        <v>2.98</v>
      </c>
      <c r="D58" s="64">
        <v>11.7</v>
      </c>
      <c r="E58" s="64">
        <v>3.91</v>
      </c>
      <c r="F58" s="64">
        <v>3.51</v>
      </c>
      <c r="G58" s="64">
        <v>6.11</v>
      </c>
      <c r="H58" s="64">
        <v>4.0199999999999996</v>
      </c>
      <c r="I58" s="64">
        <v>2.19</v>
      </c>
      <c r="J58" s="64">
        <v>0.28000000000000003</v>
      </c>
      <c r="K58" s="64">
        <v>353.8</v>
      </c>
      <c r="L58" s="64">
        <v>25.95</v>
      </c>
      <c r="M58" s="64">
        <v>101.75</v>
      </c>
      <c r="N58" s="64">
        <v>185.8</v>
      </c>
      <c r="O58" s="64">
        <v>0</v>
      </c>
      <c r="P58" s="64">
        <v>0.65</v>
      </c>
      <c r="Q58" s="64">
        <v>9.7100000000000009</v>
      </c>
      <c r="R58" s="198"/>
      <c r="S58" s="198"/>
      <c r="T58" s="198"/>
      <c r="U58" s="198"/>
    </row>
    <row r="59" spans="1:21" s="12" customFormat="1" x14ac:dyDescent="0.25">
      <c r="A59" s="214" t="s">
        <v>1159</v>
      </c>
      <c r="B59" s="64">
        <v>7.96</v>
      </c>
      <c r="C59" s="64">
        <v>2.97</v>
      </c>
      <c r="D59" s="64">
        <v>11.71</v>
      </c>
      <c r="E59" s="64">
        <v>3.66</v>
      </c>
      <c r="F59" s="64">
        <v>3.43</v>
      </c>
      <c r="G59" s="64">
        <v>6.11</v>
      </c>
      <c r="H59" s="64">
        <v>4.0199999999999996</v>
      </c>
      <c r="I59" s="64">
        <v>2.4700000000000002</v>
      </c>
      <c r="J59" s="64">
        <v>0.24</v>
      </c>
      <c r="K59" s="64">
        <v>345.55</v>
      </c>
      <c r="L59" s="64">
        <v>26.19</v>
      </c>
      <c r="M59" s="64">
        <v>101.78</v>
      </c>
      <c r="N59" s="64">
        <v>128.1</v>
      </c>
      <c r="O59" s="64">
        <v>0</v>
      </c>
      <c r="P59" s="64">
        <v>0.64</v>
      </c>
      <c r="Q59" s="64">
        <v>9.75</v>
      </c>
      <c r="R59" s="198"/>
      <c r="S59" s="198"/>
      <c r="T59" s="198"/>
      <c r="U59" s="198"/>
    </row>
    <row r="60" spans="1:21" s="12" customFormat="1" x14ac:dyDescent="0.25">
      <c r="A60" s="214" t="s">
        <v>1160</v>
      </c>
      <c r="B60" s="64">
        <v>7.96</v>
      </c>
      <c r="C60" s="64">
        <v>2.97</v>
      </c>
      <c r="D60" s="64">
        <v>11.7</v>
      </c>
      <c r="E60" s="64">
        <v>3.78</v>
      </c>
      <c r="F60" s="64">
        <v>4.72</v>
      </c>
      <c r="G60" s="64">
        <v>7.63</v>
      </c>
      <c r="H60" s="64">
        <v>5.45</v>
      </c>
      <c r="I60" s="64">
        <v>2.5</v>
      </c>
      <c r="J60" s="64">
        <v>0.3</v>
      </c>
      <c r="K60" s="64">
        <v>1.27</v>
      </c>
      <c r="L60" s="64">
        <v>26.15</v>
      </c>
      <c r="M60" s="64">
        <v>101.8</v>
      </c>
      <c r="N60" s="64">
        <v>173.9</v>
      </c>
      <c r="O60" s="64">
        <v>0</v>
      </c>
      <c r="P60" s="64">
        <v>0.64</v>
      </c>
      <c r="Q60" s="64">
        <v>9.8000000000000007</v>
      </c>
      <c r="R60" s="198"/>
      <c r="S60" s="198"/>
      <c r="T60" s="198"/>
      <c r="U60" s="198"/>
    </row>
    <row r="61" spans="1:21" s="12" customFormat="1" x14ac:dyDescent="0.25">
      <c r="A61" s="214" t="s">
        <v>1161</v>
      </c>
      <c r="B61" s="64">
        <v>7.96</v>
      </c>
      <c r="C61" s="64">
        <v>2.97</v>
      </c>
      <c r="D61" s="64">
        <v>11.71</v>
      </c>
      <c r="E61" s="64">
        <v>4.07</v>
      </c>
      <c r="F61" s="64">
        <v>4.97</v>
      </c>
      <c r="G61" s="64">
        <v>10.39</v>
      </c>
      <c r="H61" s="64">
        <v>5.45</v>
      </c>
      <c r="I61" s="64">
        <v>2.5</v>
      </c>
      <c r="J61" s="64">
        <v>0.33</v>
      </c>
      <c r="K61" s="64">
        <v>344.45</v>
      </c>
      <c r="L61" s="64">
        <v>26.34</v>
      </c>
      <c r="M61" s="64">
        <v>101.78</v>
      </c>
      <c r="N61" s="64">
        <v>186.4</v>
      </c>
      <c r="O61" s="64">
        <v>0</v>
      </c>
      <c r="P61" s="64">
        <v>0.6</v>
      </c>
      <c r="Q61" s="64">
        <v>9.7200000000000006</v>
      </c>
      <c r="R61" s="198"/>
      <c r="S61" s="198"/>
      <c r="T61" s="198"/>
      <c r="U61" s="198"/>
    </row>
    <row r="62" spans="1:21" s="12" customFormat="1" x14ac:dyDescent="0.25">
      <c r="A62" s="214" t="s">
        <v>1162</v>
      </c>
      <c r="B62" s="64">
        <v>7.95</v>
      </c>
      <c r="C62" s="64">
        <v>3.02</v>
      </c>
      <c r="D62" s="64">
        <v>11.73</v>
      </c>
      <c r="E62" s="64">
        <v>3.96</v>
      </c>
      <c r="F62" s="64">
        <v>2.2799999999999998</v>
      </c>
      <c r="G62" s="64">
        <v>10.39</v>
      </c>
      <c r="H62" s="64">
        <v>5.45</v>
      </c>
      <c r="I62" s="64">
        <v>2.4500000000000002</v>
      </c>
      <c r="J62" s="64">
        <v>0.31</v>
      </c>
      <c r="K62" s="64">
        <v>353.05</v>
      </c>
      <c r="L62" s="64">
        <v>26.66</v>
      </c>
      <c r="M62" s="64">
        <v>101.74</v>
      </c>
      <c r="N62" s="64">
        <v>250.2</v>
      </c>
      <c r="O62" s="64">
        <v>0</v>
      </c>
      <c r="P62" s="64">
        <v>0.57999999999999996</v>
      </c>
      <c r="Q62" s="64">
        <v>9.5399999999999991</v>
      </c>
      <c r="R62" s="198"/>
      <c r="S62" s="198"/>
      <c r="T62" s="198"/>
      <c r="U62" s="198"/>
    </row>
    <row r="63" spans="1:21" s="12" customFormat="1" x14ac:dyDescent="0.25">
      <c r="A63" s="214" t="s">
        <v>1163</v>
      </c>
      <c r="B63" s="64">
        <v>7.93</v>
      </c>
      <c r="C63" s="64">
        <v>2.95</v>
      </c>
      <c r="D63" s="64">
        <v>11.67</v>
      </c>
      <c r="E63" s="64">
        <v>3.67</v>
      </c>
      <c r="F63" s="64">
        <v>4.32</v>
      </c>
      <c r="G63" s="64">
        <v>10.39</v>
      </c>
      <c r="H63" s="64">
        <v>5.45</v>
      </c>
      <c r="I63" s="64">
        <v>2.35</v>
      </c>
      <c r="J63" s="64">
        <v>0.31</v>
      </c>
      <c r="K63" s="64">
        <v>351.65</v>
      </c>
      <c r="L63" s="64">
        <v>26.87</v>
      </c>
      <c r="M63" s="64">
        <v>101.72</v>
      </c>
      <c r="N63" s="64">
        <v>230.9</v>
      </c>
      <c r="O63" s="64">
        <v>0</v>
      </c>
      <c r="P63" s="64">
        <v>0.56000000000000005</v>
      </c>
      <c r="Q63" s="64">
        <v>9.57</v>
      </c>
      <c r="R63" s="198"/>
      <c r="S63" s="198"/>
      <c r="T63" s="198"/>
      <c r="U63" s="198"/>
    </row>
    <row r="64" spans="1:21" s="12" customFormat="1" x14ac:dyDescent="0.25">
      <c r="A64" s="214" t="s">
        <v>1164</v>
      </c>
      <c r="B64" s="64">
        <v>7.91</v>
      </c>
      <c r="C64" s="64">
        <v>2.96</v>
      </c>
      <c r="D64" s="64">
        <v>11.66</v>
      </c>
      <c r="E64" s="64">
        <v>3.27</v>
      </c>
      <c r="F64" s="64">
        <v>5.8</v>
      </c>
      <c r="G64" s="64">
        <v>9.2799999999999994</v>
      </c>
      <c r="H64" s="64">
        <v>3.84</v>
      </c>
      <c r="I64" s="64">
        <v>2.1800000000000002</v>
      </c>
      <c r="J64" s="64">
        <v>0.37</v>
      </c>
      <c r="K64" s="64">
        <v>353.11</v>
      </c>
      <c r="L64" s="64">
        <v>27</v>
      </c>
      <c r="M64" s="64">
        <v>101.71</v>
      </c>
      <c r="N64" s="64">
        <v>304.7</v>
      </c>
      <c r="O64" s="64">
        <v>0</v>
      </c>
      <c r="P64" s="64">
        <v>0.55000000000000004</v>
      </c>
      <c r="Q64" s="64">
        <v>9.66</v>
      </c>
      <c r="R64" s="198"/>
      <c r="S64" s="198"/>
      <c r="T64" s="198"/>
      <c r="U64" s="198"/>
    </row>
    <row r="65" spans="1:21" s="12" customFormat="1" x14ac:dyDescent="0.25">
      <c r="A65" s="214" t="s">
        <v>1165</v>
      </c>
      <c r="B65" s="64">
        <v>7.94</v>
      </c>
      <c r="C65" s="64">
        <v>3</v>
      </c>
      <c r="D65" s="64">
        <v>11.71</v>
      </c>
      <c r="E65" s="64">
        <v>3.36</v>
      </c>
      <c r="F65" s="64">
        <v>2.4900000000000002</v>
      </c>
      <c r="G65" s="64">
        <v>7.29</v>
      </c>
      <c r="H65" s="64">
        <v>2.0699999999999998</v>
      </c>
      <c r="I65" s="64">
        <v>2.0499999999999998</v>
      </c>
      <c r="J65" s="64">
        <v>0.28999999999999998</v>
      </c>
      <c r="K65" s="64">
        <v>351.61</v>
      </c>
      <c r="L65" s="64">
        <v>27.24</v>
      </c>
      <c r="M65" s="64">
        <v>101.7</v>
      </c>
      <c r="N65" s="64">
        <v>239.6</v>
      </c>
      <c r="O65" s="64">
        <v>0</v>
      </c>
      <c r="P65" s="64">
        <v>0.52</v>
      </c>
      <c r="Q65" s="64">
        <v>9.56</v>
      </c>
      <c r="R65" s="198"/>
      <c r="S65" s="198"/>
      <c r="T65" s="198"/>
      <c r="U65" s="198"/>
    </row>
    <row r="66" spans="1:21" s="12" customFormat="1" x14ac:dyDescent="0.25">
      <c r="A66" s="214" t="s">
        <v>1166</v>
      </c>
      <c r="B66" s="64">
        <v>7.96</v>
      </c>
      <c r="C66" s="64">
        <v>2.99</v>
      </c>
      <c r="D66" s="64">
        <v>11.72</v>
      </c>
      <c r="E66" s="64">
        <v>3.78</v>
      </c>
      <c r="F66" s="64">
        <v>3.47</v>
      </c>
      <c r="G66" s="64">
        <v>7.29</v>
      </c>
      <c r="H66" s="64">
        <v>2.0699999999999998</v>
      </c>
      <c r="I66" s="64">
        <v>1.95</v>
      </c>
      <c r="J66" s="64">
        <v>0.24</v>
      </c>
      <c r="K66" s="64">
        <v>343.87</v>
      </c>
      <c r="L66" s="64">
        <v>26.9</v>
      </c>
      <c r="M66" s="64">
        <v>101.69</v>
      </c>
      <c r="N66" s="64">
        <v>152.9</v>
      </c>
      <c r="O66" s="64">
        <v>0</v>
      </c>
      <c r="P66" s="64">
        <v>0.49</v>
      </c>
      <c r="Q66" s="64">
        <v>9.5399999999999991</v>
      </c>
      <c r="R66" s="198"/>
      <c r="S66" s="198"/>
      <c r="T66" s="198"/>
      <c r="U66" s="198"/>
    </row>
    <row r="67" spans="1:21" s="12" customFormat="1" x14ac:dyDescent="0.25">
      <c r="A67" s="214" t="s">
        <v>1167</v>
      </c>
      <c r="B67" s="64">
        <v>7.96</v>
      </c>
      <c r="C67" s="64">
        <v>3</v>
      </c>
      <c r="D67" s="64">
        <v>11.73</v>
      </c>
      <c r="E67" s="64">
        <v>3.6</v>
      </c>
      <c r="F67" s="64">
        <v>5.04</v>
      </c>
      <c r="G67" s="64">
        <v>7.29</v>
      </c>
      <c r="H67" s="64">
        <v>2.0699999999999998</v>
      </c>
      <c r="I67" s="64">
        <v>1.8</v>
      </c>
      <c r="J67" s="64">
        <v>0.16</v>
      </c>
      <c r="K67" s="64">
        <v>348.71</v>
      </c>
      <c r="L67" s="64">
        <v>26.8</v>
      </c>
      <c r="M67" s="64">
        <v>101.7</v>
      </c>
      <c r="N67" s="64">
        <v>104.8</v>
      </c>
      <c r="O67" s="64">
        <v>0</v>
      </c>
      <c r="P67" s="64">
        <v>0.49</v>
      </c>
      <c r="Q67" s="64">
        <v>9.65</v>
      </c>
      <c r="R67" s="198"/>
      <c r="S67" s="198"/>
      <c r="T67" s="198"/>
      <c r="U67" s="198"/>
    </row>
    <row r="68" spans="1:21" s="12" customFormat="1" x14ac:dyDescent="0.25">
      <c r="A68" s="214" t="s">
        <v>1168</v>
      </c>
      <c r="B68" s="64">
        <v>7.92</v>
      </c>
      <c r="C68" s="64">
        <v>2.95</v>
      </c>
      <c r="D68" s="64">
        <v>11.67</v>
      </c>
      <c r="E68" s="64">
        <v>3.66</v>
      </c>
      <c r="F68" s="64">
        <v>3.83</v>
      </c>
      <c r="G68" s="64">
        <v>7.81</v>
      </c>
      <c r="H68" s="64">
        <v>1.48</v>
      </c>
      <c r="I68" s="64">
        <v>1.69</v>
      </c>
      <c r="J68" s="64">
        <v>0.17</v>
      </c>
      <c r="K68" s="64">
        <v>342.92</v>
      </c>
      <c r="L68" s="64">
        <v>26.74</v>
      </c>
      <c r="M68" s="64">
        <v>101.7</v>
      </c>
      <c r="N68" s="64">
        <v>153.6</v>
      </c>
      <c r="O68" s="64">
        <v>0</v>
      </c>
      <c r="P68" s="64">
        <v>0.49</v>
      </c>
      <c r="Q68" s="64">
        <v>9.65</v>
      </c>
      <c r="R68" s="198"/>
      <c r="S68" s="198"/>
      <c r="T68" s="198"/>
      <c r="U68" s="198"/>
    </row>
    <row r="69" spans="1:21" s="12" customFormat="1" x14ac:dyDescent="0.25">
      <c r="A69" s="214" t="s">
        <v>1169</v>
      </c>
      <c r="B69" s="64">
        <v>7.92</v>
      </c>
      <c r="C69" s="64">
        <v>2.91</v>
      </c>
      <c r="D69" s="64">
        <v>11.65</v>
      </c>
      <c r="E69" s="64">
        <v>3.97</v>
      </c>
      <c r="F69" s="64">
        <v>3.31</v>
      </c>
      <c r="G69" s="64">
        <v>8.74</v>
      </c>
      <c r="H69" s="64">
        <v>0.83</v>
      </c>
      <c r="I69" s="64">
        <v>1.67</v>
      </c>
      <c r="J69" s="64">
        <v>0.13</v>
      </c>
      <c r="K69" s="64">
        <v>349.69</v>
      </c>
      <c r="L69" s="64">
        <v>27.22</v>
      </c>
      <c r="M69" s="64">
        <v>101.69</v>
      </c>
      <c r="N69" s="64">
        <v>211</v>
      </c>
      <c r="O69" s="64">
        <v>0</v>
      </c>
      <c r="P69" s="64">
        <v>0.47</v>
      </c>
      <c r="Q69" s="64">
        <v>9.57</v>
      </c>
      <c r="R69" s="198"/>
      <c r="S69" s="198"/>
      <c r="T69" s="198"/>
      <c r="U69" s="198"/>
    </row>
    <row r="70" spans="1:21" s="12" customFormat="1" x14ac:dyDescent="0.25">
      <c r="A70" s="214" t="s">
        <v>1170</v>
      </c>
      <c r="B70" s="64">
        <v>7.93</v>
      </c>
      <c r="C70" s="64">
        <v>2.94</v>
      </c>
      <c r="D70" s="64">
        <v>11.67</v>
      </c>
      <c r="E70" s="64">
        <v>3.93</v>
      </c>
      <c r="F70" s="64">
        <v>4.1900000000000004</v>
      </c>
      <c r="G70" s="64">
        <v>8.74</v>
      </c>
      <c r="H70" s="64">
        <v>0.83</v>
      </c>
      <c r="I70" s="64">
        <v>1.63</v>
      </c>
      <c r="J70" s="64">
        <v>0.24</v>
      </c>
      <c r="K70" s="64">
        <v>345.38</v>
      </c>
      <c r="L70" s="64">
        <v>27.49</v>
      </c>
      <c r="M70" s="64">
        <v>101.68</v>
      </c>
      <c r="N70" s="64">
        <v>206.1</v>
      </c>
      <c r="O70" s="64">
        <v>0</v>
      </c>
      <c r="P70" s="64">
        <v>0.45</v>
      </c>
      <c r="Q70" s="64">
        <v>9.58</v>
      </c>
      <c r="R70" s="198"/>
      <c r="S70" s="198"/>
      <c r="T70" s="198"/>
      <c r="U70" s="198"/>
    </row>
    <row r="71" spans="1:21" s="12" customFormat="1" x14ac:dyDescent="0.25">
      <c r="A71" s="214" t="s">
        <v>1171</v>
      </c>
      <c r="B71" s="64">
        <v>7.96</v>
      </c>
      <c r="C71" s="64">
        <v>2.98</v>
      </c>
      <c r="D71" s="64">
        <v>11.72</v>
      </c>
      <c r="E71" s="64">
        <v>3.6</v>
      </c>
      <c r="F71" s="64">
        <v>4.5199999999999996</v>
      </c>
      <c r="G71" s="64">
        <v>8.74</v>
      </c>
      <c r="H71" s="64">
        <v>0.83</v>
      </c>
      <c r="I71" s="64">
        <v>1.55</v>
      </c>
      <c r="J71" s="64">
        <v>0.14000000000000001</v>
      </c>
      <c r="K71" s="64">
        <v>339.13</v>
      </c>
      <c r="L71" s="64">
        <v>27.37</v>
      </c>
      <c r="M71" s="64">
        <v>101.68</v>
      </c>
      <c r="N71" s="64">
        <v>156.5</v>
      </c>
      <c r="O71" s="64">
        <v>0</v>
      </c>
      <c r="P71" s="64">
        <v>0.44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4" t="s">
        <v>1172</v>
      </c>
      <c r="B72" s="64">
        <v>7.95</v>
      </c>
      <c r="C72" s="64">
        <v>2.94</v>
      </c>
      <c r="D72" s="64">
        <v>11.69</v>
      </c>
      <c r="E72" s="64">
        <v>4.26</v>
      </c>
      <c r="F72" s="64">
        <v>4.42</v>
      </c>
      <c r="G72" s="64">
        <v>8.57</v>
      </c>
      <c r="H72" s="64">
        <v>3.33</v>
      </c>
      <c r="I72" s="64">
        <v>1.49</v>
      </c>
      <c r="J72" s="64">
        <v>0.15</v>
      </c>
      <c r="K72" s="64">
        <v>339.24</v>
      </c>
      <c r="L72" s="64">
        <v>27.29</v>
      </c>
      <c r="M72" s="64">
        <v>101.68</v>
      </c>
      <c r="N72" s="64">
        <v>161.19999999999999</v>
      </c>
      <c r="O72" s="64">
        <v>0</v>
      </c>
      <c r="P72" s="64">
        <v>0.42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4" t="s">
        <v>1173</v>
      </c>
      <c r="B73" s="64">
        <v>7.95</v>
      </c>
      <c r="C73" s="64">
        <v>2.91</v>
      </c>
      <c r="D73" s="64">
        <v>11.67</v>
      </c>
      <c r="E73" s="64">
        <v>3.65</v>
      </c>
      <c r="F73" s="64">
        <v>4.22</v>
      </c>
      <c r="G73" s="64">
        <v>8.27</v>
      </c>
      <c r="H73" s="64">
        <v>6.16</v>
      </c>
      <c r="I73" s="64">
        <v>1.42</v>
      </c>
      <c r="J73" s="64">
        <v>0.3</v>
      </c>
      <c r="K73" s="64">
        <v>349.01</v>
      </c>
      <c r="L73" s="64">
        <v>27.22</v>
      </c>
      <c r="M73" s="64">
        <v>101.67</v>
      </c>
      <c r="N73" s="64">
        <v>121.1</v>
      </c>
      <c r="O73" s="64">
        <v>0</v>
      </c>
      <c r="P73" s="64">
        <v>0.4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4" t="s">
        <v>1174</v>
      </c>
      <c r="B74" s="64">
        <v>7.97</v>
      </c>
      <c r="C74" s="64">
        <v>2.94</v>
      </c>
      <c r="D74" s="64">
        <v>11.7</v>
      </c>
      <c r="E74" s="64">
        <v>3.83</v>
      </c>
      <c r="F74" s="64">
        <v>4.33</v>
      </c>
      <c r="G74" s="64">
        <v>8.27</v>
      </c>
      <c r="H74" s="64">
        <v>6.16</v>
      </c>
      <c r="I74" s="64">
        <v>1.4</v>
      </c>
      <c r="J74" s="64">
        <v>0.14000000000000001</v>
      </c>
      <c r="K74" s="64">
        <v>329.79</v>
      </c>
      <c r="L74" s="64">
        <v>27.17</v>
      </c>
      <c r="M74" s="64">
        <v>101.68</v>
      </c>
      <c r="N74" s="64">
        <v>97.8</v>
      </c>
      <c r="O74" s="64">
        <v>0</v>
      </c>
      <c r="P74" s="64">
        <v>0.39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1175</v>
      </c>
      <c r="B75" s="64">
        <v>7.96</v>
      </c>
      <c r="C75" s="64">
        <v>2.99</v>
      </c>
      <c r="D75" s="64">
        <v>11.72</v>
      </c>
      <c r="E75" s="64">
        <v>3.74</v>
      </c>
      <c r="F75" s="64">
        <v>4.37</v>
      </c>
      <c r="G75" s="64">
        <v>8.27</v>
      </c>
      <c r="H75" s="64">
        <v>6.16</v>
      </c>
      <c r="I75" s="64">
        <v>1.33</v>
      </c>
      <c r="J75" s="64">
        <v>0.14000000000000001</v>
      </c>
      <c r="K75" s="64">
        <v>332.48</v>
      </c>
      <c r="L75" s="64">
        <v>27.07</v>
      </c>
      <c r="M75" s="64">
        <v>101.68</v>
      </c>
      <c r="N75" s="64">
        <v>77.099999999999994</v>
      </c>
      <c r="O75" s="64">
        <v>0</v>
      </c>
      <c r="P75" s="64">
        <v>0.39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1176</v>
      </c>
      <c r="B76" s="64">
        <v>7.95</v>
      </c>
      <c r="C76" s="64">
        <v>2.95</v>
      </c>
      <c r="D76" s="64">
        <v>11.69</v>
      </c>
      <c r="E76" s="64">
        <v>3.95</v>
      </c>
      <c r="F76" s="64">
        <v>4.71</v>
      </c>
      <c r="G76" s="64">
        <v>9.0500000000000007</v>
      </c>
      <c r="H76" s="64">
        <v>5.48</v>
      </c>
      <c r="I76" s="64">
        <v>1.29</v>
      </c>
      <c r="J76" s="64">
        <v>0.1</v>
      </c>
      <c r="K76" s="64">
        <v>339.21</v>
      </c>
      <c r="L76" s="64">
        <v>27.06</v>
      </c>
      <c r="M76" s="64">
        <v>101.67</v>
      </c>
      <c r="N76" s="64">
        <v>90.4</v>
      </c>
      <c r="O76" s="64">
        <v>0</v>
      </c>
      <c r="P76" s="64">
        <v>0.39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4" t="s">
        <v>1177</v>
      </c>
      <c r="B77" s="64">
        <v>7.94</v>
      </c>
      <c r="C77" s="64">
        <v>2.93</v>
      </c>
      <c r="D77" s="64">
        <v>11.67</v>
      </c>
      <c r="E77" s="64">
        <v>4.04</v>
      </c>
      <c r="F77" s="64">
        <v>5.43</v>
      </c>
      <c r="G77" s="64">
        <v>10.47</v>
      </c>
      <c r="H77" s="64">
        <v>3.29</v>
      </c>
      <c r="I77" s="64">
        <v>1.27</v>
      </c>
      <c r="J77" s="64">
        <v>0.17</v>
      </c>
      <c r="K77" s="64">
        <v>357.66</v>
      </c>
      <c r="L77" s="64">
        <v>27.12</v>
      </c>
      <c r="M77" s="64">
        <v>101.66</v>
      </c>
      <c r="N77" s="64">
        <v>87.2</v>
      </c>
      <c r="O77" s="64">
        <v>0</v>
      </c>
      <c r="P77" s="64">
        <v>0.39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1178</v>
      </c>
      <c r="B78" s="64">
        <v>7.9</v>
      </c>
      <c r="C78" s="64">
        <v>2.92</v>
      </c>
      <c r="D78" s="64">
        <v>11.64</v>
      </c>
      <c r="E78" s="64">
        <v>4.29</v>
      </c>
      <c r="F78" s="64">
        <v>3.14</v>
      </c>
      <c r="G78" s="64">
        <v>10.47</v>
      </c>
      <c r="H78" s="64">
        <v>3.29</v>
      </c>
      <c r="I78" s="64">
        <v>1.25</v>
      </c>
      <c r="J78" s="64">
        <v>0.19</v>
      </c>
      <c r="K78" s="64">
        <v>348.04</v>
      </c>
      <c r="L78" s="64">
        <v>27.07</v>
      </c>
      <c r="M78" s="64">
        <v>101.67</v>
      </c>
      <c r="N78" s="64">
        <v>67.400000000000006</v>
      </c>
      <c r="O78" s="64">
        <v>0</v>
      </c>
      <c r="P78" s="64">
        <v>0.38</v>
      </c>
      <c r="Q78" s="64">
        <v>9.52</v>
      </c>
      <c r="R78" s="198"/>
      <c r="S78" s="198"/>
      <c r="T78" s="198"/>
      <c r="U78" s="198"/>
    </row>
    <row r="79" spans="1:21" s="12" customFormat="1" x14ac:dyDescent="0.25">
      <c r="A79" s="214" t="s">
        <v>1179</v>
      </c>
      <c r="B79" s="64">
        <v>7.94</v>
      </c>
      <c r="C79" s="64">
        <v>2.95</v>
      </c>
      <c r="D79" s="64">
        <v>11.68</v>
      </c>
      <c r="E79" s="64">
        <v>3.95</v>
      </c>
      <c r="F79" s="64">
        <v>2.94</v>
      </c>
      <c r="G79" s="64">
        <v>10.47</v>
      </c>
      <c r="H79" s="64">
        <v>3.29</v>
      </c>
      <c r="I79" s="64">
        <v>1.28</v>
      </c>
      <c r="J79" s="64">
        <v>0.04</v>
      </c>
      <c r="K79" s="64">
        <v>355.74</v>
      </c>
      <c r="L79" s="64">
        <v>27</v>
      </c>
      <c r="M79" s="64">
        <v>101.66</v>
      </c>
      <c r="N79" s="64">
        <v>58.6</v>
      </c>
      <c r="O79" s="64">
        <v>0</v>
      </c>
      <c r="P79" s="64">
        <v>0.36</v>
      </c>
      <c r="Q79" s="64">
        <v>9.49</v>
      </c>
      <c r="R79" s="198"/>
      <c r="S79" s="198"/>
      <c r="T79" s="198"/>
      <c r="U79" s="198"/>
    </row>
    <row r="80" spans="1:21" s="12" customFormat="1" x14ac:dyDescent="0.25">
      <c r="A80" s="214" t="s">
        <v>1180</v>
      </c>
      <c r="B80" s="64">
        <v>7.93</v>
      </c>
      <c r="C80" s="64">
        <v>2.95</v>
      </c>
      <c r="D80" s="64">
        <v>11.68</v>
      </c>
      <c r="E80" s="64">
        <v>3.75</v>
      </c>
      <c r="F80" s="64">
        <v>4.97</v>
      </c>
      <c r="G80" s="64">
        <v>10.64</v>
      </c>
      <c r="H80" s="64">
        <v>2.8</v>
      </c>
      <c r="I80" s="64">
        <v>1.37</v>
      </c>
      <c r="J80" s="64">
        <v>7.0000000000000007E-2</v>
      </c>
      <c r="K80" s="64">
        <v>306.33999999999997</v>
      </c>
      <c r="L80" s="64">
        <v>26.85</v>
      </c>
      <c r="M80" s="64">
        <v>101.67</v>
      </c>
      <c r="N80" s="64">
        <v>47</v>
      </c>
      <c r="O80" s="64">
        <v>0</v>
      </c>
      <c r="P80" s="64">
        <v>0.37</v>
      </c>
      <c r="Q80" s="64">
        <v>9.58</v>
      </c>
      <c r="R80" s="198"/>
      <c r="S80" s="198"/>
      <c r="T80" s="198"/>
      <c r="U80" s="198"/>
    </row>
    <row r="81" spans="1:26" s="12" customFormat="1" x14ac:dyDescent="0.25">
      <c r="A81" s="214" t="s">
        <v>1181</v>
      </c>
      <c r="B81" s="64">
        <v>7.94</v>
      </c>
      <c r="C81" s="64">
        <v>2.95</v>
      </c>
      <c r="D81" s="64">
        <v>11.68</v>
      </c>
      <c r="E81" s="64">
        <v>3.88</v>
      </c>
      <c r="F81" s="64">
        <v>4.45</v>
      </c>
      <c r="G81" s="64">
        <v>10.94</v>
      </c>
      <c r="H81" s="64">
        <v>2.25</v>
      </c>
      <c r="I81" s="64">
        <v>1.28</v>
      </c>
      <c r="J81" s="64">
        <v>0.12</v>
      </c>
      <c r="K81" s="64">
        <v>148.94</v>
      </c>
      <c r="L81" s="64">
        <v>26.71</v>
      </c>
      <c r="M81" s="64">
        <v>101.7</v>
      </c>
      <c r="N81" s="64">
        <v>41.1</v>
      </c>
      <c r="O81" s="64">
        <v>0</v>
      </c>
      <c r="P81" s="64">
        <v>0.38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4" t="s">
        <v>1182</v>
      </c>
      <c r="B82" s="64">
        <v>7.93</v>
      </c>
      <c r="C82" s="64">
        <v>2.95</v>
      </c>
      <c r="D82" s="64">
        <v>11.67</v>
      </c>
      <c r="E82" s="64">
        <v>4.42</v>
      </c>
      <c r="F82" s="64">
        <v>2.27</v>
      </c>
      <c r="G82" s="64">
        <v>10.94</v>
      </c>
      <c r="H82" s="64">
        <v>2.25</v>
      </c>
      <c r="I82" s="64">
        <v>1.3</v>
      </c>
      <c r="J82" s="64">
        <v>7.0000000000000007E-2</v>
      </c>
      <c r="K82" s="64">
        <v>214.04</v>
      </c>
      <c r="L82" s="64">
        <v>26.57</v>
      </c>
      <c r="M82" s="64">
        <v>101.7</v>
      </c>
      <c r="N82" s="64">
        <v>40</v>
      </c>
      <c r="O82" s="64">
        <v>0</v>
      </c>
      <c r="P82" s="64">
        <v>0.36</v>
      </c>
      <c r="Q82" s="64">
        <v>9.49</v>
      </c>
      <c r="R82" s="198"/>
      <c r="S82" s="198"/>
      <c r="T82" s="198"/>
      <c r="U82" s="198"/>
    </row>
    <row r="83" spans="1:26" s="12" customFormat="1" x14ac:dyDescent="0.25">
      <c r="A83" s="214" t="s">
        <v>1183</v>
      </c>
      <c r="B83" s="64">
        <v>7.93</v>
      </c>
      <c r="C83" s="64">
        <v>2.93</v>
      </c>
      <c r="D83" s="64">
        <v>11.66</v>
      </c>
      <c r="E83" s="64">
        <v>4.4400000000000004</v>
      </c>
      <c r="F83" s="64">
        <v>3.57</v>
      </c>
      <c r="G83" s="64">
        <v>10.94</v>
      </c>
      <c r="H83" s="64">
        <v>2.25</v>
      </c>
      <c r="I83" s="64">
        <v>1.36</v>
      </c>
      <c r="J83" s="64">
        <v>0.09</v>
      </c>
      <c r="K83" s="64">
        <v>89.94</v>
      </c>
      <c r="L83" s="64">
        <v>26.51</v>
      </c>
      <c r="M83" s="64">
        <v>101.7</v>
      </c>
      <c r="N83" s="64">
        <v>39.9</v>
      </c>
      <c r="O83" s="64">
        <v>0</v>
      </c>
      <c r="P83" s="64">
        <v>0.35</v>
      </c>
      <c r="Q83" s="64">
        <v>9.5299999999999994</v>
      </c>
      <c r="R83" s="198"/>
      <c r="S83" s="198"/>
      <c r="T83" s="198"/>
      <c r="U83" s="198"/>
    </row>
    <row r="84" spans="1:26" s="12" customFormat="1" x14ac:dyDescent="0.25">
      <c r="A84" s="214" t="s">
        <v>1184</v>
      </c>
      <c r="B84" s="64">
        <v>7.94</v>
      </c>
      <c r="C84" s="64">
        <v>2.97</v>
      </c>
      <c r="D84" s="64">
        <v>11.69</v>
      </c>
      <c r="E84" s="64">
        <v>4.21</v>
      </c>
      <c r="F84" s="64">
        <v>4.7699999999999996</v>
      </c>
      <c r="G84" s="64">
        <v>10.19</v>
      </c>
      <c r="H84" s="64">
        <v>2.3199999999999998</v>
      </c>
      <c r="I84" s="64">
        <v>1.41</v>
      </c>
      <c r="J84" s="64">
        <v>0.11</v>
      </c>
      <c r="K84" s="64">
        <v>329.55</v>
      </c>
      <c r="L84" s="64">
        <v>26.39</v>
      </c>
      <c r="M84" s="64">
        <v>101.7</v>
      </c>
      <c r="N84" s="64">
        <v>40</v>
      </c>
      <c r="O84" s="64">
        <v>0</v>
      </c>
      <c r="P84" s="64">
        <v>0.37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4" t="s">
        <v>1185</v>
      </c>
      <c r="B85" s="64">
        <v>7.92</v>
      </c>
      <c r="C85" s="64">
        <v>2.91</v>
      </c>
      <c r="D85" s="64">
        <v>11.65</v>
      </c>
      <c r="E85" s="64">
        <v>4.32</v>
      </c>
      <c r="F85" s="64">
        <v>4.26</v>
      </c>
      <c r="G85" s="64">
        <v>8.84</v>
      </c>
      <c r="H85" s="64">
        <v>2.4</v>
      </c>
      <c r="I85" s="64">
        <v>1.47</v>
      </c>
      <c r="J85" s="64">
        <v>0.01</v>
      </c>
      <c r="K85" s="64">
        <v>52.51</v>
      </c>
      <c r="L85" s="64">
        <v>26.2</v>
      </c>
      <c r="M85" s="64">
        <v>101.73</v>
      </c>
      <c r="N85" s="64">
        <v>39.5</v>
      </c>
      <c r="O85" s="64">
        <v>0</v>
      </c>
      <c r="P85" s="64">
        <v>0.36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14" t="s">
        <v>1186</v>
      </c>
      <c r="B86" s="64">
        <v>7.91</v>
      </c>
      <c r="C86" s="64">
        <v>2.9</v>
      </c>
      <c r="D86" s="64">
        <v>11.63</v>
      </c>
      <c r="E86" s="64">
        <v>4.68</v>
      </c>
      <c r="F86" s="64">
        <v>2.99</v>
      </c>
      <c r="G86" s="64">
        <v>8.84</v>
      </c>
      <c r="H86" s="64">
        <v>2.4</v>
      </c>
      <c r="I86" s="64">
        <v>1.48</v>
      </c>
      <c r="J86" s="64">
        <v>0.18</v>
      </c>
      <c r="K86" s="64">
        <v>157.30000000000001</v>
      </c>
      <c r="L86" s="64">
        <v>26.03</v>
      </c>
      <c r="M86" s="64">
        <v>101.79</v>
      </c>
      <c r="N86" s="64">
        <v>39.299999999999997</v>
      </c>
      <c r="O86" s="64">
        <v>0</v>
      </c>
      <c r="P86" s="64">
        <v>0.35</v>
      </c>
      <c r="Q86" s="64">
        <v>9.5299999999999994</v>
      </c>
      <c r="R86" s="198"/>
      <c r="S86" s="198"/>
      <c r="T86" s="198"/>
      <c r="U86" s="198"/>
    </row>
    <row r="87" spans="1:26" s="12" customFormat="1" x14ac:dyDescent="0.25">
      <c r="A87" s="214" t="s">
        <v>1187</v>
      </c>
      <c r="B87" s="64">
        <v>7.94</v>
      </c>
      <c r="C87" s="64">
        <v>2.92</v>
      </c>
      <c r="D87" s="64">
        <v>11.67</v>
      </c>
      <c r="E87" s="64">
        <v>4.0199999999999996</v>
      </c>
      <c r="F87" s="64">
        <v>3.77</v>
      </c>
      <c r="G87" s="64">
        <v>8.84</v>
      </c>
      <c r="H87" s="64">
        <v>2.4</v>
      </c>
      <c r="I87" s="64">
        <v>1.66</v>
      </c>
      <c r="J87" s="64">
        <v>7.0000000000000007E-2</v>
      </c>
      <c r="K87" s="64">
        <v>41.29</v>
      </c>
      <c r="L87" s="64">
        <v>25.98</v>
      </c>
      <c r="M87" s="64">
        <v>101.75</v>
      </c>
      <c r="N87" s="64">
        <v>39.6</v>
      </c>
      <c r="O87" s="64">
        <v>0</v>
      </c>
      <c r="P87" s="64">
        <v>0.35</v>
      </c>
      <c r="Q87" s="64">
        <v>9.5500000000000007</v>
      </c>
      <c r="R87" s="198"/>
      <c r="S87" s="198"/>
      <c r="T87" s="198"/>
      <c r="U87" s="198"/>
    </row>
    <row r="88" spans="1:26" s="12" customFormat="1" x14ac:dyDescent="0.25">
      <c r="A88" s="214" t="s">
        <v>1188</v>
      </c>
      <c r="B88" s="64">
        <v>7.95</v>
      </c>
      <c r="C88" s="64">
        <v>2.94</v>
      </c>
      <c r="D88" s="64">
        <v>11.69</v>
      </c>
      <c r="E88" s="64">
        <v>2.63</v>
      </c>
      <c r="F88" s="64">
        <v>3.92</v>
      </c>
      <c r="G88" s="64">
        <v>8.9600000000000009</v>
      </c>
      <c r="H88" s="64">
        <v>6.75</v>
      </c>
      <c r="I88" s="64">
        <v>1.72</v>
      </c>
      <c r="J88" s="64">
        <v>0.1</v>
      </c>
      <c r="K88" s="64">
        <v>353.98</v>
      </c>
      <c r="L88" s="64">
        <v>26.05</v>
      </c>
      <c r="M88" s="64">
        <v>101.75</v>
      </c>
      <c r="N88" s="64">
        <v>39.6</v>
      </c>
      <c r="O88" s="64">
        <v>0</v>
      </c>
      <c r="P88" s="64">
        <v>0.35</v>
      </c>
      <c r="Q88" s="64">
        <v>9.58</v>
      </c>
      <c r="R88" s="198"/>
      <c r="S88" s="198"/>
      <c r="T88" s="198"/>
      <c r="U88" s="198"/>
    </row>
    <row r="89" spans="1:26" s="12" customFormat="1" x14ac:dyDescent="0.25">
      <c r="A89" s="214" t="s">
        <v>1189</v>
      </c>
      <c r="B89" s="64">
        <v>7.97</v>
      </c>
      <c r="C89" s="64">
        <v>2.97</v>
      </c>
      <c r="D89" s="64">
        <v>11.71</v>
      </c>
      <c r="E89" s="64">
        <v>2.87</v>
      </c>
      <c r="F89" s="64">
        <v>3.88</v>
      </c>
      <c r="G89" s="64">
        <v>9.16</v>
      </c>
      <c r="H89" s="64">
        <v>5.13</v>
      </c>
      <c r="I89" s="64">
        <v>1.88</v>
      </c>
      <c r="J89" s="64">
        <v>0.01</v>
      </c>
      <c r="K89" s="64">
        <v>130</v>
      </c>
      <c r="L89" s="64">
        <v>26.11</v>
      </c>
      <c r="M89" s="64">
        <v>101.75</v>
      </c>
      <c r="N89" s="64">
        <v>39.799999999999997</v>
      </c>
      <c r="O89" s="64">
        <v>0</v>
      </c>
      <c r="P89" s="64">
        <v>0.35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4" t="s">
        <v>1190</v>
      </c>
      <c r="B90" s="64">
        <v>7.98</v>
      </c>
      <c r="C90" s="64">
        <v>3</v>
      </c>
      <c r="D90" s="64">
        <v>11.74</v>
      </c>
      <c r="E90" s="64">
        <v>2.95</v>
      </c>
      <c r="F90" s="64">
        <v>3.97</v>
      </c>
      <c r="G90" s="64">
        <v>9.16</v>
      </c>
      <c r="H90" s="64">
        <v>5.13</v>
      </c>
      <c r="I90" s="64">
        <v>1.92</v>
      </c>
      <c r="J90" s="64">
        <v>0.28999999999999998</v>
      </c>
      <c r="K90" s="64">
        <v>145.13999999999999</v>
      </c>
      <c r="L90" s="64">
        <v>26.1</v>
      </c>
      <c r="M90" s="64">
        <v>101.75</v>
      </c>
      <c r="N90" s="64">
        <v>39.799999999999997</v>
      </c>
      <c r="O90" s="64">
        <v>0</v>
      </c>
      <c r="P90" s="64">
        <v>0.35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4" t="s">
        <v>1191</v>
      </c>
      <c r="B91" s="64">
        <v>8</v>
      </c>
      <c r="C91" s="64">
        <v>2.94</v>
      </c>
      <c r="D91" s="64">
        <v>11.73</v>
      </c>
      <c r="E91" s="64">
        <v>3.16</v>
      </c>
      <c r="F91" s="64">
        <v>3.73</v>
      </c>
      <c r="G91" s="64">
        <v>9.16</v>
      </c>
      <c r="H91" s="64">
        <v>5.13</v>
      </c>
      <c r="I91" s="64">
        <v>1.87</v>
      </c>
      <c r="J91" s="64">
        <v>0.13</v>
      </c>
      <c r="K91" s="64">
        <v>327.93</v>
      </c>
      <c r="L91" s="64">
        <v>26.21</v>
      </c>
      <c r="M91" s="64">
        <v>101.75</v>
      </c>
      <c r="N91" s="64">
        <v>39.700000000000003</v>
      </c>
      <c r="O91" s="64">
        <v>0</v>
      </c>
      <c r="P91" s="64">
        <v>0.34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4" t="s">
        <v>1192</v>
      </c>
      <c r="B92" s="64">
        <v>7.99</v>
      </c>
      <c r="C92" s="64">
        <v>2.96</v>
      </c>
      <c r="D92" s="64">
        <v>11.72</v>
      </c>
      <c r="E92" s="64">
        <v>2.95</v>
      </c>
      <c r="F92" s="64">
        <v>3.97</v>
      </c>
      <c r="G92" s="64">
        <v>9.41</v>
      </c>
      <c r="H92" s="64">
        <v>5.14</v>
      </c>
      <c r="I92" s="64">
        <v>1.94</v>
      </c>
      <c r="J92" s="64">
        <v>7.0000000000000007E-2</v>
      </c>
      <c r="K92" s="64">
        <v>101.77</v>
      </c>
      <c r="L92" s="64">
        <v>26.42</v>
      </c>
      <c r="M92" s="64">
        <v>101.75</v>
      </c>
      <c r="N92" s="64">
        <v>39.6</v>
      </c>
      <c r="O92" s="64">
        <v>0</v>
      </c>
      <c r="P92" s="64">
        <v>0.34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4" t="s">
        <v>1193</v>
      </c>
      <c r="B93" s="64">
        <v>7.95</v>
      </c>
      <c r="C93" s="64">
        <v>3</v>
      </c>
      <c r="D93" s="64">
        <v>11.71</v>
      </c>
      <c r="E93" s="64">
        <v>2.79</v>
      </c>
      <c r="F93" s="64">
        <v>3.71</v>
      </c>
      <c r="G93" s="64">
        <v>9.86</v>
      </c>
      <c r="H93" s="64">
        <v>4</v>
      </c>
      <c r="I93" s="64">
        <v>1.9</v>
      </c>
      <c r="J93" s="64">
        <v>0.13</v>
      </c>
      <c r="K93" s="64">
        <v>318.55</v>
      </c>
      <c r="L93" s="64">
        <v>26.45</v>
      </c>
      <c r="M93" s="64">
        <v>101.74</v>
      </c>
      <c r="N93" s="64">
        <v>39.9</v>
      </c>
      <c r="O93" s="64">
        <v>0</v>
      </c>
      <c r="P93" s="64">
        <v>0.34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4" t="s">
        <v>1194</v>
      </c>
      <c r="B94" s="64">
        <v>7.93</v>
      </c>
      <c r="C94" s="64">
        <v>2.93</v>
      </c>
      <c r="D94" s="64">
        <v>11.66</v>
      </c>
      <c r="E94" s="64">
        <v>3.46</v>
      </c>
      <c r="F94" s="64">
        <v>4.4800000000000004</v>
      </c>
      <c r="G94" s="64">
        <v>9.86</v>
      </c>
      <c r="H94" s="64">
        <v>4.0999999999999996</v>
      </c>
      <c r="I94" s="64">
        <v>1.83</v>
      </c>
      <c r="J94" s="64">
        <v>0.18</v>
      </c>
      <c r="K94" s="64">
        <v>342.29</v>
      </c>
      <c r="L94" s="64">
        <v>26.45</v>
      </c>
      <c r="M94" s="64">
        <v>101.75</v>
      </c>
      <c r="N94" s="64">
        <v>40</v>
      </c>
      <c r="O94" s="64">
        <v>0</v>
      </c>
      <c r="P94" s="64">
        <v>0.33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4" t="s">
        <v>1195</v>
      </c>
      <c r="B95" s="64">
        <v>7.92</v>
      </c>
      <c r="C95" s="64">
        <v>2.92</v>
      </c>
      <c r="D95" s="64">
        <v>11.65</v>
      </c>
      <c r="E95" s="64">
        <v>3.5</v>
      </c>
      <c r="F95" s="64">
        <v>3.65</v>
      </c>
      <c r="G95" s="64">
        <v>9.86</v>
      </c>
      <c r="H95" s="64">
        <v>3.12</v>
      </c>
      <c r="I95" s="64">
        <v>1.76</v>
      </c>
      <c r="J95" s="64">
        <v>0.04</v>
      </c>
      <c r="K95" s="64">
        <v>303.31</v>
      </c>
      <c r="L95" s="64">
        <v>26.46</v>
      </c>
      <c r="M95" s="64">
        <v>101.74</v>
      </c>
      <c r="N95" s="64">
        <v>39.799999999999997</v>
      </c>
      <c r="O95" s="64">
        <v>0</v>
      </c>
      <c r="P95" s="64">
        <v>0.33</v>
      </c>
      <c r="Q95" s="64">
        <v>9.56</v>
      </c>
      <c r="R95" s="198"/>
      <c r="S95" s="198"/>
      <c r="T95" s="198"/>
      <c r="U95" s="198"/>
    </row>
    <row r="96" spans="1:26" s="12" customFormat="1" x14ac:dyDescent="0.25">
      <c r="A96" s="214" t="s">
        <v>1196</v>
      </c>
      <c r="B96" s="64">
        <v>7.93</v>
      </c>
      <c r="C96" s="64">
        <v>2.92</v>
      </c>
      <c r="D96" s="64">
        <v>11.66</v>
      </c>
      <c r="E96" s="64">
        <v>3.08</v>
      </c>
      <c r="F96" s="64">
        <v>4.5599999999999996</v>
      </c>
      <c r="G96" s="64">
        <v>8.9</v>
      </c>
      <c r="H96" s="64">
        <v>2.8</v>
      </c>
      <c r="I96" s="64">
        <v>1.67</v>
      </c>
      <c r="J96" s="64">
        <v>0.17</v>
      </c>
      <c r="K96" s="64">
        <v>344.18</v>
      </c>
      <c r="L96" s="64">
        <v>26.52</v>
      </c>
      <c r="M96" s="64">
        <v>101.72</v>
      </c>
      <c r="N96" s="64">
        <v>39.799999999999997</v>
      </c>
      <c r="O96" s="64">
        <v>0</v>
      </c>
      <c r="P96" s="64">
        <v>0.32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1197</v>
      </c>
      <c r="B97" s="64">
        <v>7.93</v>
      </c>
      <c r="C97" s="64">
        <v>2.9</v>
      </c>
      <c r="D97" s="64">
        <v>11.65</v>
      </c>
      <c r="E97" s="64">
        <v>3.3</v>
      </c>
      <c r="F97" s="64">
        <v>5.0599999999999996</v>
      </c>
      <c r="G97" s="64">
        <v>7.16</v>
      </c>
      <c r="H97" s="64">
        <v>4.54</v>
      </c>
      <c r="I97" s="64">
        <v>1.56</v>
      </c>
      <c r="J97" s="64">
        <v>0.12</v>
      </c>
      <c r="K97" s="64">
        <v>357.62</v>
      </c>
      <c r="L97" s="64">
        <v>26.58</v>
      </c>
      <c r="M97" s="64">
        <v>101.72</v>
      </c>
      <c r="N97" s="64">
        <v>39.700000000000003</v>
      </c>
      <c r="O97" s="64">
        <v>0</v>
      </c>
      <c r="P97" s="64">
        <v>0.33</v>
      </c>
      <c r="Q97" s="64">
        <v>9.59</v>
      </c>
      <c r="R97" s="198"/>
      <c r="S97" s="198"/>
      <c r="T97" s="198"/>
      <c r="U97" s="198"/>
    </row>
    <row r="98" spans="1:33" s="12" customFormat="1" x14ac:dyDescent="0.25">
      <c r="A98" s="214" t="s">
        <v>1198</v>
      </c>
      <c r="B98" s="64">
        <v>7.92</v>
      </c>
      <c r="C98" s="64">
        <v>2.89</v>
      </c>
      <c r="D98" s="64">
        <v>11.64</v>
      </c>
      <c r="E98" s="64">
        <v>3.72</v>
      </c>
      <c r="F98" s="64">
        <v>3.04</v>
      </c>
      <c r="G98" s="64">
        <v>7.16</v>
      </c>
      <c r="H98" s="64">
        <v>4.54</v>
      </c>
      <c r="I98" s="64">
        <v>1.51</v>
      </c>
      <c r="J98" s="64">
        <v>0.02</v>
      </c>
      <c r="K98" s="64">
        <v>356.37</v>
      </c>
      <c r="L98" s="64">
        <v>26.55</v>
      </c>
      <c r="M98" s="64">
        <v>101.73</v>
      </c>
      <c r="N98" s="64">
        <v>40</v>
      </c>
      <c r="O98" s="64">
        <v>0</v>
      </c>
      <c r="P98" s="64">
        <v>0.32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4" t="s">
        <v>1199</v>
      </c>
      <c r="B99" s="64">
        <v>7.92</v>
      </c>
      <c r="C99" s="64">
        <v>2.92</v>
      </c>
      <c r="D99" s="64">
        <v>11.65</v>
      </c>
      <c r="E99" s="64">
        <v>3.07</v>
      </c>
      <c r="F99" s="64">
        <v>4.1900000000000004</v>
      </c>
      <c r="G99" s="64">
        <v>7.16</v>
      </c>
      <c r="H99" s="64">
        <v>4.54</v>
      </c>
      <c r="I99" s="64">
        <v>1.45</v>
      </c>
      <c r="J99" s="64">
        <v>0</v>
      </c>
      <c r="K99" s="64">
        <v>268.62</v>
      </c>
      <c r="L99" s="64">
        <v>26.48</v>
      </c>
      <c r="M99" s="64">
        <v>101.73</v>
      </c>
      <c r="N99" s="64">
        <v>40</v>
      </c>
      <c r="O99" s="64">
        <v>0</v>
      </c>
      <c r="P99" s="64">
        <v>0.31</v>
      </c>
      <c r="Q99" s="64">
        <v>9.5500000000000007</v>
      </c>
      <c r="R99" s="198"/>
      <c r="S99" s="198"/>
      <c r="T99" s="198"/>
      <c r="U99" s="198"/>
    </row>
    <row r="100" spans="1:33" s="12" customFormat="1" x14ac:dyDescent="0.25">
      <c r="A100" s="214" t="s">
        <v>1200</v>
      </c>
      <c r="B100" s="64">
        <v>7.93</v>
      </c>
      <c r="C100" s="64">
        <v>2.93</v>
      </c>
      <c r="D100" s="64">
        <v>11.66</v>
      </c>
      <c r="E100" s="64">
        <v>3.48</v>
      </c>
      <c r="F100" s="64">
        <v>5.26</v>
      </c>
      <c r="G100" s="64">
        <v>6.93</v>
      </c>
      <c r="H100" s="64">
        <v>2.81</v>
      </c>
      <c r="I100" s="64">
        <v>1.39</v>
      </c>
      <c r="J100" s="64">
        <v>0.08</v>
      </c>
      <c r="K100" s="64">
        <v>26.07</v>
      </c>
      <c r="L100" s="64">
        <v>26.38</v>
      </c>
      <c r="M100" s="64">
        <v>101.73</v>
      </c>
      <c r="N100" s="64">
        <v>39.9</v>
      </c>
      <c r="O100" s="64">
        <v>0</v>
      </c>
      <c r="P100" s="64">
        <v>0.32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1201</v>
      </c>
      <c r="B101" s="64">
        <v>7.9</v>
      </c>
      <c r="C101" s="64">
        <v>2.94</v>
      </c>
      <c r="D101" s="64">
        <v>11.65</v>
      </c>
      <c r="E101" s="64">
        <v>3.47</v>
      </c>
      <c r="F101" s="64">
        <v>3.59</v>
      </c>
      <c r="G101" s="64">
        <v>6.5</v>
      </c>
      <c r="H101" s="64">
        <v>2.2200000000000002</v>
      </c>
      <c r="I101" s="64">
        <v>1.35</v>
      </c>
      <c r="J101" s="64">
        <v>0.11</v>
      </c>
      <c r="K101" s="64">
        <v>359.7</v>
      </c>
      <c r="L101" s="64">
        <v>26.43</v>
      </c>
      <c r="M101" s="64">
        <v>101.73</v>
      </c>
      <c r="N101" s="64">
        <v>39.799999999999997</v>
      </c>
      <c r="O101" s="64">
        <v>0</v>
      </c>
      <c r="P101" s="64">
        <v>0.31</v>
      </c>
      <c r="Q101" s="64">
        <v>9.57</v>
      </c>
      <c r="R101" s="198"/>
      <c r="S101" s="198"/>
      <c r="T101" s="198"/>
      <c r="U101" s="198"/>
    </row>
    <row r="102" spans="1:33" s="12" customFormat="1" x14ac:dyDescent="0.25">
      <c r="A102" s="214" t="s">
        <v>1202</v>
      </c>
      <c r="B102" s="64">
        <v>7.92</v>
      </c>
      <c r="C102" s="64">
        <v>2.93</v>
      </c>
      <c r="D102" s="64">
        <v>11.66</v>
      </c>
      <c r="E102" s="64">
        <v>3.32</v>
      </c>
      <c r="F102" s="64">
        <v>3.61</v>
      </c>
      <c r="G102" s="64">
        <v>6.5</v>
      </c>
      <c r="H102" s="64">
        <v>2.2200000000000002</v>
      </c>
      <c r="I102" s="64">
        <v>1.37</v>
      </c>
      <c r="J102" s="64">
        <v>0.17</v>
      </c>
      <c r="K102" s="64">
        <v>353.5</v>
      </c>
      <c r="L102" s="64">
        <v>26.43</v>
      </c>
      <c r="M102" s="64">
        <v>101.73</v>
      </c>
      <c r="N102" s="64">
        <v>39.9</v>
      </c>
      <c r="O102" s="64">
        <v>0</v>
      </c>
      <c r="P102" s="64">
        <v>0.28999999999999998</v>
      </c>
      <c r="Q102" s="64">
        <v>9.5399999999999991</v>
      </c>
      <c r="R102" s="198"/>
      <c r="S102" s="198"/>
      <c r="T102" s="198"/>
      <c r="U102" s="198"/>
    </row>
    <row r="103" spans="1:33" s="12" customFormat="1" x14ac:dyDescent="0.25">
      <c r="A103" s="214" t="s">
        <v>1203</v>
      </c>
      <c r="B103" s="64">
        <v>7.93</v>
      </c>
      <c r="C103" s="64">
        <v>2.94</v>
      </c>
      <c r="D103" s="64">
        <v>11.67</v>
      </c>
      <c r="E103" s="64">
        <v>3.2</v>
      </c>
      <c r="F103" s="64">
        <v>4.3</v>
      </c>
      <c r="G103" s="64">
        <v>6.5</v>
      </c>
      <c r="H103" s="64">
        <v>2.2200000000000002</v>
      </c>
      <c r="I103" s="64">
        <v>1.33</v>
      </c>
      <c r="J103" s="64">
        <v>0.16</v>
      </c>
      <c r="K103" s="64">
        <v>0.09</v>
      </c>
      <c r="L103" s="64">
        <v>26.39</v>
      </c>
      <c r="M103" s="64">
        <v>101.73</v>
      </c>
      <c r="N103" s="64">
        <v>40</v>
      </c>
      <c r="O103" s="64">
        <v>0</v>
      </c>
      <c r="P103" s="64">
        <v>0.28000000000000003</v>
      </c>
      <c r="Q103" s="64">
        <v>9.57</v>
      </c>
      <c r="R103" s="198"/>
      <c r="S103" s="198"/>
      <c r="T103" s="198"/>
      <c r="U103" s="198"/>
    </row>
    <row r="104" spans="1:33" s="12" customFormat="1" x14ac:dyDescent="0.25">
      <c r="A104" s="214" t="s">
        <v>1204</v>
      </c>
      <c r="B104" s="64">
        <v>7.95</v>
      </c>
      <c r="C104" s="64">
        <v>2.9</v>
      </c>
      <c r="D104" s="64">
        <v>11.66</v>
      </c>
      <c r="E104" s="64">
        <v>2.93</v>
      </c>
      <c r="F104" s="64">
        <v>4.55</v>
      </c>
      <c r="G104" s="64">
        <v>8.07</v>
      </c>
      <c r="H104" s="64">
        <v>1.65</v>
      </c>
      <c r="I104" s="64">
        <v>1.37</v>
      </c>
      <c r="J104" s="64">
        <v>0.12</v>
      </c>
      <c r="K104" s="64">
        <v>1.71</v>
      </c>
      <c r="L104" s="64">
        <v>26.33</v>
      </c>
      <c r="M104" s="64">
        <v>101.73</v>
      </c>
      <c r="N104" s="64">
        <v>39.799999999999997</v>
      </c>
      <c r="O104" s="64">
        <v>0</v>
      </c>
      <c r="P104" s="64">
        <v>0.28000000000000003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</v>
      </c>
      <c r="C106" s="67">
        <f>MIN(C9:C104)</f>
        <v>2.89</v>
      </c>
      <c r="D106" s="67">
        <f t="shared" ref="D106:Q106" si="0">MIN(D9:D104)</f>
        <v>11.63</v>
      </c>
      <c r="E106" s="67">
        <f t="shared" si="0"/>
        <v>2.63</v>
      </c>
      <c r="F106" s="67">
        <f t="shared" si="0"/>
        <v>2.1800000000000002</v>
      </c>
      <c r="G106" s="67">
        <f t="shared" si="0"/>
        <v>2.96</v>
      </c>
      <c r="H106" s="67">
        <f t="shared" si="0"/>
        <v>0.03</v>
      </c>
      <c r="I106" s="67">
        <f t="shared" si="0"/>
        <v>1.25</v>
      </c>
      <c r="J106" s="67">
        <f t="shared" si="0"/>
        <v>0</v>
      </c>
      <c r="K106" s="67">
        <f t="shared" si="0"/>
        <v>0.09</v>
      </c>
      <c r="L106" s="67">
        <f t="shared" si="0"/>
        <v>24.92</v>
      </c>
      <c r="M106" s="67">
        <f t="shared" si="0"/>
        <v>101.66</v>
      </c>
      <c r="N106" s="67">
        <f t="shared" si="0"/>
        <v>39.299999999999997</v>
      </c>
      <c r="O106" s="67">
        <f t="shared" si="0"/>
        <v>0</v>
      </c>
      <c r="P106" s="67">
        <f t="shared" si="0"/>
        <v>0.28000000000000003</v>
      </c>
      <c r="Q106" s="67">
        <f t="shared" si="0"/>
        <v>9.49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8.01</v>
      </c>
      <c r="C107" s="66">
        <f t="shared" ref="C107:Q107" si="1">MAX(C9:C104)</f>
        <v>3.09</v>
      </c>
      <c r="D107" s="66">
        <f t="shared" si="1"/>
        <v>11.82</v>
      </c>
      <c r="E107" s="66">
        <f t="shared" si="1"/>
        <v>5.65</v>
      </c>
      <c r="F107" s="66">
        <f t="shared" si="1"/>
        <v>5.8</v>
      </c>
      <c r="G107" s="66">
        <f t="shared" si="1"/>
        <v>15.4</v>
      </c>
      <c r="H107" s="66">
        <f t="shared" si="1"/>
        <v>8.2899999999999991</v>
      </c>
      <c r="I107" s="66">
        <f t="shared" si="1"/>
        <v>3.59</v>
      </c>
      <c r="J107" s="66">
        <f t="shared" si="1"/>
        <v>0.61</v>
      </c>
      <c r="K107" s="66">
        <f t="shared" si="1"/>
        <v>359.7</v>
      </c>
      <c r="L107" s="66">
        <f t="shared" si="1"/>
        <v>27.49</v>
      </c>
      <c r="M107" s="66">
        <f t="shared" si="1"/>
        <v>101.8</v>
      </c>
      <c r="N107" s="66">
        <f t="shared" si="1"/>
        <v>304.7</v>
      </c>
      <c r="O107" s="66">
        <f t="shared" si="1"/>
        <v>7</v>
      </c>
      <c r="P107" s="66">
        <f t="shared" si="1"/>
        <v>0.68</v>
      </c>
      <c r="Q107" s="66">
        <f t="shared" si="1"/>
        <v>9.81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7.951249999999999</v>
      </c>
      <c r="C108" s="67">
        <f t="shared" ref="C108:Q108" si="2">AVERAGE(C9:C104)</f>
        <v>2.9598958333333325</v>
      </c>
      <c r="D108" s="67">
        <f t="shared" si="2"/>
        <v>11.696562500000011</v>
      </c>
      <c r="E108" s="67">
        <f t="shared" si="2"/>
        <v>4.1463541666666677</v>
      </c>
      <c r="F108" s="67">
        <f t="shared" si="2"/>
        <v>3.8564583333333342</v>
      </c>
      <c r="G108" s="67">
        <f t="shared" si="2"/>
        <v>8.0287500000000005</v>
      </c>
      <c r="H108" s="67">
        <f t="shared" si="2"/>
        <v>3.0460416666666679</v>
      </c>
      <c r="I108" s="67">
        <f t="shared" si="2"/>
        <v>1.9706250000000001</v>
      </c>
      <c r="J108" s="67">
        <f t="shared" si="2"/>
        <v>0.23177083333333329</v>
      </c>
      <c r="K108" s="67">
        <f t="shared" si="2"/>
        <v>265.29833333333335</v>
      </c>
      <c r="L108" s="67">
        <f t="shared" si="2"/>
        <v>25.824999999999999</v>
      </c>
      <c r="M108" s="67">
        <f t="shared" si="2"/>
        <v>101.7355208333333</v>
      </c>
      <c r="N108" s="67">
        <f t="shared" si="2"/>
        <v>79.492708333333354</v>
      </c>
      <c r="O108" s="67">
        <f t="shared" si="2"/>
        <v>0.61666666666666681</v>
      </c>
      <c r="P108" s="67">
        <f t="shared" si="2"/>
        <v>0.42437500000000011</v>
      </c>
      <c r="Q108" s="67">
        <f t="shared" si="2"/>
        <v>9.6234375000000014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2.3896707546834751E-2</v>
      </c>
      <c r="C109" s="67">
        <f t="shared" ref="C109:Q109" si="3">STDEV(C9:C104)</f>
        <v>3.9669550610185067E-2</v>
      </c>
      <c r="D109" s="67">
        <f t="shared" si="3"/>
        <v>3.5178585740999364E-2</v>
      </c>
      <c r="E109" s="67">
        <f t="shared" si="3"/>
        <v>0.6328783366770302</v>
      </c>
      <c r="F109" s="67">
        <f t="shared" si="3"/>
        <v>0.78704775373967029</v>
      </c>
      <c r="G109" s="67">
        <f t="shared" si="3"/>
        <v>2.5896588883277087</v>
      </c>
      <c r="H109" s="67">
        <f t="shared" si="3"/>
        <v>2.0620671688312964</v>
      </c>
      <c r="I109" s="67">
        <f t="shared" si="3"/>
        <v>0.60152755110372269</v>
      </c>
      <c r="J109" s="67">
        <f t="shared" si="3"/>
        <v>0.12921621856543725</v>
      </c>
      <c r="K109" s="67">
        <f t="shared" si="3"/>
        <v>131.22067731530615</v>
      </c>
      <c r="L109" s="67">
        <f t="shared" si="3"/>
        <v>0.84844005463897676</v>
      </c>
      <c r="M109" s="67">
        <f t="shared" si="3"/>
        <v>3.0012972341504459E-2</v>
      </c>
      <c r="N109" s="67">
        <f t="shared" si="3"/>
        <v>62.558370628922333</v>
      </c>
      <c r="O109" s="67">
        <f t="shared" si="3"/>
        <v>1.4508557668287878</v>
      </c>
      <c r="P109" s="67">
        <f t="shared" si="3"/>
        <v>0.10440621578592221</v>
      </c>
      <c r="Q109" s="67">
        <f t="shared" si="3"/>
        <v>6.4233588934205055E-2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1205</v>
      </c>
      <c r="B9" s="64">
        <v>7.96</v>
      </c>
      <c r="C9" s="64">
        <v>2.93</v>
      </c>
      <c r="D9" s="64">
        <v>11.69</v>
      </c>
      <c r="E9" s="64">
        <v>2.52</v>
      </c>
      <c r="F9" s="64">
        <v>3.99</v>
      </c>
      <c r="G9" s="64">
        <v>10.9</v>
      </c>
      <c r="H9" s="64">
        <v>1.03</v>
      </c>
      <c r="I9" s="64">
        <v>1.18</v>
      </c>
      <c r="J9" s="64">
        <v>0.03</v>
      </c>
      <c r="K9" s="64">
        <v>34.68</v>
      </c>
      <c r="L9" s="64">
        <v>26.3</v>
      </c>
      <c r="M9" s="64">
        <v>101.73</v>
      </c>
      <c r="N9" s="64">
        <v>39.9</v>
      </c>
      <c r="O9" s="64">
        <v>0</v>
      </c>
      <c r="P9" s="64">
        <v>0.28000000000000003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4" t="s">
        <v>1206</v>
      </c>
      <c r="B10" s="64">
        <v>7.97</v>
      </c>
      <c r="C10" s="64">
        <v>2.96</v>
      </c>
      <c r="D10" s="64">
        <v>11.71</v>
      </c>
      <c r="E10" s="64">
        <v>2.76</v>
      </c>
      <c r="F10" s="64">
        <v>3.68</v>
      </c>
      <c r="G10" s="64">
        <v>10.9</v>
      </c>
      <c r="H10" s="64">
        <v>1.03</v>
      </c>
      <c r="I10" s="64">
        <v>1.26</v>
      </c>
      <c r="J10" s="64">
        <v>0.23</v>
      </c>
      <c r="K10" s="64">
        <v>166.45</v>
      </c>
      <c r="L10" s="64">
        <v>26.22</v>
      </c>
      <c r="M10" s="64">
        <v>101.73</v>
      </c>
      <c r="N10" s="64">
        <v>40</v>
      </c>
      <c r="O10" s="64">
        <v>0</v>
      </c>
      <c r="P10" s="64">
        <v>0.27</v>
      </c>
      <c r="Q10" s="64">
        <v>9.58</v>
      </c>
      <c r="R10" s="198"/>
      <c r="S10" s="198"/>
      <c r="T10" s="198"/>
      <c r="U10" s="198"/>
    </row>
    <row r="11" spans="1:21" s="12" customFormat="1" x14ac:dyDescent="0.25">
      <c r="A11" s="214" t="s">
        <v>1207</v>
      </c>
      <c r="B11" s="64">
        <v>7.97</v>
      </c>
      <c r="C11" s="64">
        <v>2.93</v>
      </c>
      <c r="D11" s="64">
        <v>11.7</v>
      </c>
      <c r="E11" s="64">
        <v>3.06</v>
      </c>
      <c r="F11" s="64">
        <v>3.66</v>
      </c>
      <c r="G11" s="64">
        <v>10.9</v>
      </c>
      <c r="H11" s="64">
        <v>1.03</v>
      </c>
      <c r="I11" s="64">
        <v>1.26</v>
      </c>
      <c r="J11" s="64">
        <v>0.28000000000000003</v>
      </c>
      <c r="K11" s="64">
        <v>139.16999999999999</v>
      </c>
      <c r="L11" s="64">
        <v>26.05</v>
      </c>
      <c r="M11" s="64">
        <v>101.77</v>
      </c>
      <c r="N11" s="64">
        <v>40</v>
      </c>
      <c r="O11" s="64">
        <v>0</v>
      </c>
      <c r="P11" s="64">
        <v>0.27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4" t="s">
        <v>1208</v>
      </c>
      <c r="B12" s="64">
        <v>7.97</v>
      </c>
      <c r="C12" s="64">
        <v>3</v>
      </c>
      <c r="D12" s="64">
        <v>11.74</v>
      </c>
      <c r="E12" s="64">
        <v>3.18</v>
      </c>
      <c r="F12" s="64">
        <v>3.81</v>
      </c>
      <c r="G12" s="64">
        <v>11.48</v>
      </c>
      <c r="H12" s="64">
        <v>0.92</v>
      </c>
      <c r="I12" s="64">
        <v>1.35</v>
      </c>
      <c r="J12" s="64">
        <v>0.16</v>
      </c>
      <c r="K12" s="64">
        <v>113.92</v>
      </c>
      <c r="L12" s="64">
        <v>25.94</v>
      </c>
      <c r="M12" s="64">
        <v>101.78</v>
      </c>
      <c r="N12" s="64">
        <v>40.1</v>
      </c>
      <c r="O12" s="64">
        <v>0</v>
      </c>
      <c r="P12" s="64">
        <v>0.26</v>
      </c>
      <c r="Q12" s="64">
        <v>9.59</v>
      </c>
      <c r="R12" s="198"/>
      <c r="S12" s="198"/>
      <c r="T12" s="198"/>
      <c r="U12" s="198"/>
    </row>
    <row r="13" spans="1:21" s="12" customFormat="1" x14ac:dyDescent="0.25">
      <c r="A13" s="214" t="s">
        <v>1209</v>
      </c>
      <c r="B13" s="64">
        <v>7.96</v>
      </c>
      <c r="C13" s="64">
        <v>2.97</v>
      </c>
      <c r="D13" s="64">
        <v>11.71</v>
      </c>
      <c r="E13" s="64">
        <v>2.74</v>
      </c>
      <c r="F13" s="64">
        <v>3.31</v>
      </c>
      <c r="G13" s="64">
        <v>12.53</v>
      </c>
      <c r="H13" s="64">
        <v>0.55000000000000004</v>
      </c>
      <c r="I13" s="64">
        <v>1.51</v>
      </c>
      <c r="J13" s="64">
        <v>0.04</v>
      </c>
      <c r="K13" s="64">
        <v>80.349999999999994</v>
      </c>
      <c r="L13" s="64">
        <v>25.99</v>
      </c>
      <c r="M13" s="64">
        <v>101.78</v>
      </c>
      <c r="N13" s="64">
        <v>39.9</v>
      </c>
      <c r="O13" s="64">
        <v>0</v>
      </c>
      <c r="P13" s="64">
        <v>0.25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14" t="s">
        <v>1210</v>
      </c>
      <c r="B14" s="64">
        <v>7.94</v>
      </c>
      <c r="C14" s="64">
        <v>2.95</v>
      </c>
      <c r="D14" s="64">
        <v>11.68</v>
      </c>
      <c r="E14" s="64">
        <v>3.3</v>
      </c>
      <c r="F14" s="64">
        <v>4.8899999999999997</v>
      </c>
      <c r="G14" s="64">
        <v>12.53</v>
      </c>
      <c r="H14" s="64">
        <v>0.55000000000000004</v>
      </c>
      <c r="I14" s="64">
        <v>1.81</v>
      </c>
      <c r="J14" s="64">
        <v>0.04</v>
      </c>
      <c r="K14" s="64">
        <v>152.34</v>
      </c>
      <c r="L14" s="64">
        <v>26.06</v>
      </c>
      <c r="M14" s="64">
        <v>101.74</v>
      </c>
      <c r="N14" s="64">
        <v>39.799999999999997</v>
      </c>
      <c r="O14" s="64">
        <v>0</v>
      </c>
      <c r="P14" s="64">
        <v>0.27</v>
      </c>
      <c r="Q14" s="64">
        <v>9.59</v>
      </c>
      <c r="R14" s="198"/>
      <c r="S14" s="198"/>
      <c r="T14" s="198"/>
      <c r="U14" s="198"/>
    </row>
    <row r="15" spans="1:21" s="12" customFormat="1" x14ac:dyDescent="0.25">
      <c r="A15" s="214" t="s">
        <v>1211</v>
      </c>
      <c r="B15" s="64">
        <v>7.93</v>
      </c>
      <c r="C15" s="64">
        <v>2.95</v>
      </c>
      <c r="D15" s="64">
        <v>11.68</v>
      </c>
      <c r="E15" s="64">
        <v>3.11</v>
      </c>
      <c r="F15" s="64">
        <v>4.5</v>
      </c>
      <c r="G15" s="64">
        <v>12.53</v>
      </c>
      <c r="H15" s="64">
        <v>0.55000000000000004</v>
      </c>
      <c r="I15" s="64">
        <v>1.93</v>
      </c>
      <c r="J15" s="64">
        <v>0.09</v>
      </c>
      <c r="K15" s="64">
        <v>8.02</v>
      </c>
      <c r="L15" s="64">
        <v>26.19</v>
      </c>
      <c r="M15" s="64">
        <v>101.73</v>
      </c>
      <c r="N15" s="64">
        <v>39.799999999999997</v>
      </c>
      <c r="O15" s="64">
        <v>0</v>
      </c>
      <c r="P15" s="64">
        <v>0.27</v>
      </c>
      <c r="Q15" s="64">
        <v>9.5399999999999991</v>
      </c>
      <c r="R15" s="198"/>
      <c r="S15" s="198"/>
      <c r="T15" s="198"/>
      <c r="U15" s="198"/>
    </row>
    <row r="16" spans="1:21" s="12" customFormat="1" x14ac:dyDescent="0.25">
      <c r="A16" s="214" t="s">
        <v>1212</v>
      </c>
      <c r="B16" s="64">
        <v>7.93</v>
      </c>
      <c r="C16" s="64">
        <v>2.92</v>
      </c>
      <c r="D16" s="64">
        <v>11.66</v>
      </c>
      <c r="E16" s="64">
        <v>2.95</v>
      </c>
      <c r="F16" s="64">
        <v>2.38</v>
      </c>
      <c r="G16" s="64">
        <v>12.26</v>
      </c>
      <c r="H16" s="64">
        <v>0.32</v>
      </c>
      <c r="I16" s="64">
        <v>1.85</v>
      </c>
      <c r="J16" s="64">
        <v>0.1</v>
      </c>
      <c r="K16" s="64">
        <v>24.35</v>
      </c>
      <c r="L16" s="64">
        <v>26.18</v>
      </c>
      <c r="M16" s="64">
        <v>101.73</v>
      </c>
      <c r="N16" s="64">
        <v>39.9</v>
      </c>
      <c r="O16" s="64">
        <v>0</v>
      </c>
      <c r="P16" s="64">
        <v>0.26</v>
      </c>
      <c r="Q16" s="64">
        <v>9.49</v>
      </c>
      <c r="R16" s="198"/>
      <c r="S16" s="198"/>
      <c r="T16" s="198"/>
      <c r="U16" s="198"/>
    </row>
    <row r="17" spans="1:21" s="12" customFormat="1" x14ac:dyDescent="0.25">
      <c r="A17" s="214" t="s">
        <v>1213</v>
      </c>
      <c r="B17" s="64">
        <v>7.95</v>
      </c>
      <c r="C17" s="64">
        <v>2.93</v>
      </c>
      <c r="D17" s="64">
        <v>11.68</v>
      </c>
      <c r="E17" s="64">
        <v>2.7</v>
      </c>
      <c r="F17" s="64">
        <v>4.32</v>
      </c>
      <c r="G17" s="64">
        <v>11.75</v>
      </c>
      <c r="H17" s="64">
        <v>0.06</v>
      </c>
      <c r="I17" s="64">
        <v>1.8</v>
      </c>
      <c r="J17" s="64">
        <v>0.09</v>
      </c>
      <c r="K17" s="64">
        <v>345.79</v>
      </c>
      <c r="L17" s="64">
        <v>26.13</v>
      </c>
      <c r="M17" s="64">
        <v>101.73</v>
      </c>
      <c r="N17" s="64">
        <v>39.799999999999997</v>
      </c>
      <c r="O17" s="64">
        <v>0</v>
      </c>
      <c r="P17" s="64">
        <v>0.25</v>
      </c>
      <c r="Q17" s="64">
        <v>9.51</v>
      </c>
      <c r="R17" s="198"/>
      <c r="S17" s="198"/>
      <c r="T17" s="198"/>
      <c r="U17" s="198"/>
    </row>
    <row r="18" spans="1:21" s="12" customFormat="1" x14ac:dyDescent="0.25">
      <c r="A18" s="214" t="s">
        <v>1214</v>
      </c>
      <c r="B18" s="64">
        <v>7.93</v>
      </c>
      <c r="C18" s="64">
        <v>2.91</v>
      </c>
      <c r="D18" s="64">
        <v>11.66</v>
      </c>
      <c r="E18" s="64">
        <v>3.23</v>
      </c>
      <c r="F18" s="64">
        <v>5.46</v>
      </c>
      <c r="G18" s="64">
        <v>11.75</v>
      </c>
      <c r="H18" s="64">
        <v>0.06</v>
      </c>
      <c r="I18" s="64">
        <v>1.74</v>
      </c>
      <c r="J18" s="64">
        <v>0.12</v>
      </c>
      <c r="K18" s="64">
        <v>21.13</v>
      </c>
      <c r="L18" s="64">
        <v>25.95</v>
      </c>
      <c r="M18" s="64">
        <v>101.74</v>
      </c>
      <c r="N18" s="64">
        <v>39.9</v>
      </c>
      <c r="O18" s="64">
        <v>0</v>
      </c>
      <c r="P18" s="64">
        <v>0.26</v>
      </c>
      <c r="Q18" s="64">
        <v>9.5399999999999991</v>
      </c>
      <c r="R18" s="198"/>
      <c r="S18" s="198"/>
      <c r="T18" s="198"/>
      <c r="U18" s="198"/>
    </row>
    <row r="19" spans="1:21" s="12" customFormat="1" x14ac:dyDescent="0.25">
      <c r="A19" s="214" t="s">
        <v>1215</v>
      </c>
      <c r="B19" s="64">
        <v>7.93</v>
      </c>
      <c r="C19" s="64">
        <v>2.9</v>
      </c>
      <c r="D19" s="64">
        <v>11.65</v>
      </c>
      <c r="E19" s="64">
        <v>3.21</v>
      </c>
      <c r="F19" s="64">
        <v>2.84</v>
      </c>
      <c r="G19" s="64">
        <v>11.75</v>
      </c>
      <c r="H19" s="64">
        <v>0.06</v>
      </c>
      <c r="I19" s="64">
        <v>1.68</v>
      </c>
      <c r="J19" s="64">
        <v>0.03</v>
      </c>
      <c r="K19" s="64">
        <v>342.99</v>
      </c>
      <c r="L19" s="64">
        <v>25.85</v>
      </c>
      <c r="M19" s="64">
        <v>101.78</v>
      </c>
      <c r="N19" s="64">
        <v>40</v>
      </c>
      <c r="O19" s="64">
        <v>0</v>
      </c>
      <c r="P19" s="64">
        <v>0.26</v>
      </c>
      <c r="Q19" s="64">
        <v>9.5</v>
      </c>
      <c r="R19" s="198"/>
      <c r="S19" s="198"/>
      <c r="T19" s="198"/>
      <c r="U19" s="198"/>
    </row>
    <row r="20" spans="1:21" s="12" customFormat="1" x14ac:dyDescent="0.25">
      <c r="A20" s="214" t="s">
        <v>1216</v>
      </c>
      <c r="B20" s="64">
        <v>7.96</v>
      </c>
      <c r="C20" s="64">
        <v>2.91</v>
      </c>
      <c r="D20" s="64">
        <v>11.68</v>
      </c>
      <c r="E20" s="64">
        <v>3.01</v>
      </c>
      <c r="F20" s="64">
        <v>3.8</v>
      </c>
      <c r="G20" s="64">
        <v>11.95</v>
      </c>
      <c r="H20" s="64">
        <v>0.03</v>
      </c>
      <c r="I20" s="64">
        <v>1.58</v>
      </c>
      <c r="J20" s="64">
        <v>0.05</v>
      </c>
      <c r="K20" s="64">
        <v>5.0599999999999996</v>
      </c>
      <c r="L20" s="64">
        <v>25.71</v>
      </c>
      <c r="M20" s="64">
        <v>101.76</v>
      </c>
      <c r="N20" s="64">
        <v>39.700000000000003</v>
      </c>
      <c r="O20" s="64">
        <v>0</v>
      </c>
      <c r="P20" s="64">
        <v>0.24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14" t="s">
        <v>1217</v>
      </c>
      <c r="B21" s="64">
        <v>7.93</v>
      </c>
      <c r="C21" s="64">
        <v>2.9</v>
      </c>
      <c r="D21" s="64">
        <v>11.65</v>
      </c>
      <c r="E21" s="64">
        <v>2.96</v>
      </c>
      <c r="F21" s="64">
        <v>5.03</v>
      </c>
      <c r="G21" s="64">
        <v>12.3</v>
      </c>
      <c r="H21" s="64">
        <v>0.01</v>
      </c>
      <c r="I21" s="64">
        <v>1.57</v>
      </c>
      <c r="J21" s="64">
        <v>0.08</v>
      </c>
      <c r="K21" s="64">
        <v>49.94</v>
      </c>
      <c r="L21" s="64">
        <v>25.63</v>
      </c>
      <c r="M21" s="64">
        <v>101.77</v>
      </c>
      <c r="N21" s="64">
        <v>39.700000000000003</v>
      </c>
      <c r="O21" s="64">
        <v>0</v>
      </c>
      <c r="P21" s="64">
        <v>0.26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14" t="s">
        <v>1218</v>
      </c>
      <c r="B22" s="64">
        <v>7.91</v>
      </c>
      <c r="C22" s="64">
        <v>2.92</v>
      </c>
      <c r="D22" s="64">
        <v>11.64</v>
      </c>
      <c r="E22" s="64">
        <v>3.21</v>
      </c>
      <c r="F22" s="64">
        <v>2.88</v>
      </c>
      <c r="G22" s="64">
        <v>12.3</v>
      </c>
      <c r="H22" s="64">
        <v>0.01</v>
      </c>
      <c r="I22" s="64">
        <v>1.55</v>
      </c>
      <c r="J22" s="64">
        <v>0.03</v>
      </c>
      <c r="K22" s="64">
        <v>220.89</v>
      </c>
      <c r="L22" s="64">
        <v>25.69</v>
      </c>
      <c r="M22" s="64">
        <v>101.78</v>
      </c>
      <c r="N22" s="64">
        <v>39.700000000000003</v>
      </c>
      <c r="O22" s="64">
        <v>0</v>
      </c>
      <c r="P22" s="64">
        <v>0.26</v>
      </c>
      <c r="Q22" s="64">
        <v>9.5</v>
      </c>
      <c r="R22" s="198"/>
      <c r="S22" s="198"/>
      <c r="T22" s="198"/>
      <c r="U22" s="198"/>
    </row>
    <row r="23" spans="1:21" s="12" customFormat="1" x14ac:dyDescent="0.25">
      <c r="A23" s="214" t="s">
        <v>1219</v>
      </c>
      <c r="B23" s="64">
        <v>7.93</v>
      </c>
      <c r="C23" s="64">
        <v>2.92</v>
      </c>
      <c r="D23" s="64">
        <v>11.66</v>
      </c>
      <c r="E23" s="64">
        <v>3.13</v>
      </c>
      <c r="F23" s="64">
        <v>3.49</v>
      </c>
      <c r="G23" s="64">
        <v>12.3</v>
      </c>
      <c r="H23" s="64">
        <v>0.01</v>
      </c>
      <c r="I23" s="64">
        <v>1.57</v>
      </c>
      <c r="J23" s="64">
        <v>0.06</v>
      </c>
      <c r="K23" s="64">
        <v>336.47</v>
      </c>
      <c r="L23" s="64">
        <v>25.84</v>
      </c>
      <c r="M23" s="64">
        <v>101.75</v>
      </c>
      <c r="N23" s="64">
        <v>39.799999999999997</v>
      </c>
      <c r="O23" s="64">
        <v>0</v>
      </c>
      <c r="P23" s="64">
        <v>0.24</v>
      </c>
      <c r="Q23" s="64">
        <v>9.52</v>
      </c>
      <c r="R23" s="198"/>
      <c r="S23" s="198"/>
      <c r="T23" s="198"/>
      <c r="U23" s="198"/>
    </row>
    <row r="24" spans="1:21" s="12" customFormat="1" x14ac:dyDescent="0.25">
      <c r="A24" s="214" t="s">
        <v>1220</v>
      </c>
      <c r="B24" s="64">
        <v>7.93</v>
      </c>
      <c r="C24" s="64">
        <v>2.92</v>
      </c>
      <c r="D24" s="64">
        <v>11.66</v>
      </c>
      <c r="E24" s="64">
        <v>3.63</v>
      </c>
      <c r="F24" s="64">
        <v>4.1900000000000004</v>
      </c>
      <c r="G24" s="64">
        <v>13.24</v>
      </c>
      <c r="H24" s="64">
        <v>2.48</v>
      </c>
      <c r="I24" s="64">
        <v>1.56</v>
      </c>
      <c r="J24" s="64">
        <v>0.02</v>
      </c>
      <c r="K24" s="64">
        <v>191.93</v>
      </c>
      <c r="L24" s="64">
        <v>25.82</v>
      </c>
      <c r="M24" s="64">
        <v>101.75</v>
      </c>
      <c r="N24" s="64">
        <v>39.799999999999997</v>
      </c>
      <c r="O24" s="64">
        <v>0</v>
      </c>
      <c r="P24" s="64">
        <v>0.24</v>
      </c>
      <c r="Q24" s="64">
        <v>9.5399999999999991</v>
      </c>
      <c r="R24" s="198"/>
      <c r="S24" s="198"/>
      <c r="T24" s="198"/>
      <c r="U24" s="198"/>
    </row>
    <row r="25" spans="1:21" s="12" customFormat="1" x14ac:dyDescent="0.25">
      <c r="A25" s="214" t="s">
        <v>1221</v>
      </c>
      <c r="B25" s="64">
        <v>7.96</v>
      </c>
      <c r="C25" s="64">
        <v>2.89</v>
      </c>
      <c r="D25" s="64">
        <v>11.67</v>
      </c>
      <c r="E25" s="64">
        <v>3.56</v>
      </c>
      <c r="F25" s="64">
        <v>3.79</v>
      </c>
      <c r="G25" s="64">
        <v>14.94</v>
      </c>
      <c r="H25" s="64">
        <v>5.19</v>
      </c>
      <c r="I25" s="64">
        <v>1.5</v>
      </c>
      <c r="J25" s="64">
        <v>0.1</v>
      </c>
      <c r="K25" s="64">
        <v>350.09</v>
      </c>
      <c r="L25" s="64">
        <v>25.73</v>
      </c>
      <c r="M25" s="64">
        <v>101.77</v>
      </c>
      <c r="N25" s="64">
        <v>39.700000000000003</v>
      </c>
      <c r="O25" s="64">
        <v>0</v>
      </c>
      <c r="P25" s="64">
        <v>0.24</v>
      </c>
      <c r="Q25" s="64">
        <v>9.57</v>
      </c>
      <c r="R25" s="198"/>
      <c r="S25" s="198"/>
      <c r="T25" s="198"/>
      <c r="U25" s="198"/>
    </row>
    <row r="26" spans="1:21" s="12" customFormat="1" x14ac:dyDescent="0.25">
      <c r="A26" s="214" t="s">
        <v>1222</v>
      </c>
      <c r="B26" s="64">
        <v>7.98</v>
      </c>
      <c r="C26" s="64">
        <v>2.94</v>
      </c>
      <c r="D26" s="64">
        <v>11.71</v>
      </c>
      <c r="E26" s="64">
        <v>3.88</v>
      </c>
      <c r="F26" s="64">
        <v>3.84</v>
      </c>
      <c r="G26" s="64">
        <v>14.94</v>
      </c>
      <c r="H26" s="64">
        <v>5.19</v>
      </c>
      <c r="I26" s="64">
        <v>1.51</v>
      </c>
      <c r="J26" s="64">
        <v>0.06</v>
      </c>
      <c r="K26" s="64">
        <v>49</v>
      </c>
      <c r="L26" s="64">
        <v>25.8</v>
      </c>
      <c r="M26" s="64">
        <v>101.73</v>
      </c>
      <c r="N26" s="64">
        <v>39.799999999999997</v>
      </c>
      <c r="O26" s="64">
        <v>0</v>
      </c>
      <c r="P26" s="64">
        <v>0.24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14" t="s">
        <v>1223</v>
      </c>
      <c r="B27" s="64">
        <v>7.95</v>
      </c>
      <c r="C27" s="64">
        <v>2.91</v>
      </c>
      <c r="D27" s="64">
        <v>11.67</v>
      </c>
      <c r="E27" s="64">
        <v>3.79</v>
      </c>
      <c r="F27" s="64">
        <v>3.44</v>
      </c>
      <c r="G27" s="64">
        <v>14.94</v>
      </c>
      <c r="H27" s="64">
        <v>5.19</v>
      </c>
      <c r="I27" s="64">
        <v>1.52</v>
      </c>
      <c r="J27" s="64">
        <v>0.04</v>
      </c>
      <c r="K27" s="64">
        <v>202.1</v>
      </c>
      <c r="L27" s="64">
        <v>25.77</v>
      </c>
      <c r="M27" s="64">
        <v>101.76</v>
      </c>
      <c r="N27" s="64">
        <v>39.9</v>
      </c>
      <c r="O27" s="64">
        <v>0</v>
      </c>
      <c r="P27" s="64">
        <v>0.24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4" t="s">
        <v>1224</v>
      </c>
      <c r="B28" s="64">
        <v>7.94</v>
      </c>
      <c r="C28" s="64">
        <v>2.91</v>
      </c>
      <c r="D28" s="64">
        <v>11.66</v>
      </c>
      <c r="E28" s="64">
        <v>3.83</v>
      </c>
      <c r="F28" s="64">
        <v>3.72</v>
      </c>
      <c r="G28" s="64">
        <v>13.5</v>
      </c>
      <c r="H28" s="64">
        <v>4.22</v>
      </c>
      <c r="I28" s="64">
        <v>1.56</v>
      </c>
      <c r="J28" s="64">
        <v>0.04</v>
      </c>
      <c r="K28" s="64">
        <v>74.02</v>
      </c>
      <c r="L28" s="64">
        <v>25.74</v>
      </c>
      <c r="M28" s="64">
        <v>101.78</v>
      </c>
      <c r="N28" s="64">
        <v>40</v>
      </c>
      <c r="O28" s="64">
        <v>0</v>
      </c>
      <c r="P28" s="64">
        <v>0.24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1225</v>
      </c>
      <c r="B29" s="64">
        <v>7.95</v>
      </c>
      <c r="C29" s="64">
        <v>2.9</v>
      </c>
      <c r="D29" s="64">
        <v>11.67</v>
      </c>
      <c r="E29" s="64">
        <v>3.78</v>
      </c>
      <c r="F29" s="64">
        <v>3.75</v>
      </c>
      <c r="G29" s="64">
        <v>10.88</v>
      </c>
      <c r="H29" s="64">
        <v>0.83</v>
      </c>
      <c r="I29" s="64">
        <v>1.61</v>
      </c>
      <c r="J29" s="64">
        <v>0.16</v>
      </c>
      <c r="K29" s="64">
        <v>165.06</v>
      </c>
      <c r="L29" s="64">
        <v>25.73</v>
      </c>
      <c r="M29" s="64">
        <v>101.78</v>
      </c>
      <c r="N29" s="64">
        <v>40</v>
      </c>
      <c r="O29" s="64">
        <v>0</v>
      </c>
      <c r="P29" s="64">
        <v>0.24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4" t="s">
        <v>1226</v>
      </c>
      <c r="B30" s="64">
        <v>7.96</v>
      </c>
      <c r="C30" s="64">
        <v>2.9</v>
      </c>
      <c r="D30" s="64">
        <v>11.67</v>
      </c>
      <c r="E30" s="64">
        <v>3.53</v>
      </c>
      <c r="F30" s="64">
        <v>3.83</v>
      </c>
      <c r="G30" s="64">
        <v>10.88</v>
      </c>
      <c r="H30" s="64">
        <v>0.83</v>
      </c>
      <c r="I30" s="64">
        <v>1.68</v>
      </c>
      <c r="J30" s="64">
        <v>0.03</v>
      </c>
      <c r="K30" s="64">
        <v>161.79</v>
      </c>
      <c r="L30" s="64">
        <v>25.71</v>
      </c>
      <c r="M30" s="64">
        <v>101.78</v>
      </c>
      <c r="N30" s="64">
        <v>40</v>
      </c>
      <c r="O30" s="64">
        <v>0</v>
      </c>
      <c r="P30" s="64">
        <v>0.24</v>
      </c>
      <c r="Q30" s="64">
        <v>9.59</v>
      </c>
      <c r="R30" s="198"/>
      <c r="S30" s="198"/>
      <c r="T30" s="198"/>
      <c r="U30" s="198"/>
    </row>
    <row r="31" spans="1:21" s="12" customFormat="1" x14ac:dyDescent="0.25">
      <c r="A31" s="214" t="s">
        <v>1227</v>
      </c>
      <c r="B31" s="64">
        <v>7.95</v>
      </c>
      <c r="C31" s="64">
        <v>2.9</v>
      </c>
      <c r="D31" s="64">
        <v>11.66</v>
      </c>
      <c r="E31" s="64">
        <v>3.69</v>
      </c>
      <c r="F31" s="64">
        <v>5.2</v>
      </c>
      <c r="G31" s="64">
        <v>10.88</v>
      </c>
      <c r="H31" s="64">
        <v>0.83</v>
      </c>
      <c r="I31" s="64">
        <v>1.79</v>
      </c>
      <c r="J31" s="64">
        <v>7.0000000000000007E-2</v>
      </c>
      <c r="K31" s="64">
        <v>338.89</v>
      </c>
      <c r="L31" s="64">
        <v>25.83</v>
      </c>
      <c r="M31" s="64">
        <v>101.73</v>
      </c>
      <c r="N31" s="64">
        <v>39.9</v>
      </c>
      <c r="O31" s="64">
        <v>0</v>
      </c>
      <c r="P31" s="64">
        <v>0.25</v>
      </c>
      <c r="Q31" s="64">
        <v>9.57</v>
      </c>
      <c r="R31" s="198"/>
      <c r="S31" s="198"/>
      <c r="T31" s="198"/>
      <c r="U31" s="198"/>
    </row>
    <row r="32" spans="1:21" s="12" customFormat="1" x14ac:dyDescent="0.25">
      <c r="A32" s="214" t="s">
        <v>1228</v>
      </c>
      <c r="B32" s="64">
        <v>7.93</v>
      </c>
      <c r="C32" s="64">
        <v>2.89</v>
      </c>
      <c r="D32" s="64">
        <v>11.64</v>
      </c>
      <c r="E32" s="64">
        <v>4.0599999999999996</v>
      </c>
      <c r="F32" s="64">
        <v>3.68</v>
      </c>
      <c r="G32" s="64">
        <v>12.2</v>
      </c>
      <c r="H32" s="64">
        <v>0.75</v>
      </c>
      <c r="I32" s="64">
        <v>1.89</v>
      </c>
      <c r="J32" s="64">
        <v>0.08</v>
      </c>
      <c r="K32" s="64">
        <v>314.27999999999997</v>
      </c>
      <c r="L32" s="64">
        <v>25.93</v>
      </c>
      <c r="M32" s="64">
        <v>101.74</v>
      </c>
      <c r="N32" s="64">
        <v>41</v>
      </c>
      <c r="O32" s="64">
        <v>0</v>
      </c>
      <c r="P32" s="64">
        <v>0.26</v>
      </c>
      <c r="Q32" s="64">
        <v>9.5</v>
      </c>
      <c r="R32" s="198"/>
      <c r="S32" s="198"/>
      <c r="T32" s="198"/>
      <c r="U32" s="198"/>
    </row>
    <row r="33" spans="1:21" s="12" customFormat="1" x14ac:dyDescent="0.25">
      <c r="A33" s="214" t="s">
        <v>1229</v>
      </c>
      <c r="B33" s="64">
        <v>7.94</v>
      </c>
      <c r="C33" s="64">
        <v>2.88</v>
      </c>
      <c r="D33" s="64">
        <v>11.65</v>
      </c>
      <c r="E33" s="64">
        <v>4.1100000000000003</v>
      </c>
      <c r="F33" s="64">
        <v>2.46</v>
      </c>
      <c r="G33" s="64">
        <v>14.58</v>
      </c>
      <c r="H33" s="64">
        <v>0.65</v>
      </c>
      <c r="I33" s="64">
        <v>1.82</v>
      </c>
      <c r="J33" s="64">
        <v>0.1</v>
      </c>
      <c r="K33" s="64">
        <v>350.63</v>
      </c>
      <c r="L33" s="64">
        <v>25.97</v>
      </c>
      <c r="M33" s="64">
        <v>101.73</v>
      </c>
      <c r="N33" s="64">
        <v>51.8</v>
      </c>
      <c r="O33" s="64">
        <v>0</v>
      </c>
      <c r="P33" s="64">
        <v>0.24</v>
      </c>
      <c r="Q33" s="64">
        <v>9.4700000000000006</v>
      </c>
      <c r="R33" s="198"/>
      <c r="S33" s="198"/>
      <c r="T33" s="198"/>
      <c r="U33" s="198"/>
    </row>
    <row r="34" spans="1:21" s="12" customFormat="1" x14ac:dyDescent="0.25">
      <c r="A34" s="214" t="s">
        <v>1230</v>
      </c>
      <c r="B34" s="64">
        <v>7.93</v>
      </c>
      <c r="C34" s="64">
        <v>2.91</v>
      </c>
      <c r="D34" s="64">
        <v>11.65</v>
      </c>
      <c r="E34" s="64">
        <v>3.98</v>
      </c>
      <c r="F34" s="64">
        <v>4.38</v>
      </c>
      <c r="G34" s="64">
        <v>14.58</v>
      </c>
      <c r="H34" s="64">
        <v>0.65</v>
      </c>
      <c r="I34" s="64">
        <v>1.76</v>
      </c>
      <c r="J34" s="64">
        <v>0.03</v>
      </c>
      <c r="K34" s="64">
        <v>314.58999999999997</v>
      </c>
      <c r="L34" s="64">
        <v>26.05</v>
      </c>
      <c r="M34" s="64">
        <v>101.73</v>
      </c>
      <c r="N34" s="64">
        <v>78.2</v>
      </c>
      <c r="O34" s="64">
        <v>0</v>
      </c>
      <c r="P34" s="64">
        <v>0.25</v>
      </c>
      <c r="Q34" s="64">
        <v>9.51</v>
      </c>
      <c r="R34" s="198"/>
      <c r="S34" s="198"/>
      <c r="T34" s="198"/>
      <c r="U34" s="198"/>
    </row>
    <row r="35" spans="1:21" s="12" customFormat="1" x14ac:dyDescent="0.25">
      <c r="A35" s="214" t="s">
        <v>1231</v>
      </c>
      <c r="B35" s="64">
        <v>7.91</v>
      </c>
      <c r="C35" s="64">
        <v>2.9</v>
      </c>
      <c r="D35" s="64">
        <v>11.64</v>
      </c>
      <c r="E35" s="64">
        <v>3.58</v>
      </c>
      <c r="F35" s="64">
        <v>5.0199999999999996</v>
      </c>
      <c r="G35" s="64">
        <v>14.58</v>
      </c>
      <c r="H35" s="64">
        <v>0.65</v>
      </c>
      <c r="I35" s="64">
        <v>1.72</v>
      </c>
      <c r="J35" s="64">
        <v>0.06</v>
      </c>
      <c r="K35" s="64">
        <v>159.31</v>
      </c>
      <c r="L35" s="64">
        <v>26.21</v>
      </c>
      <c r="M35" s="64">
        <v>101.73</v>
      </c>
      <c r="N35" s="64">
        <v>101.3</v>
      </c>
      <c r="O35" s="64">
        <v>0</v>
      </c>
      <c r="P35" s="64">
        <v>0.26</v>
      </c>
      <c r="Q35" s="64">
        <v>9.5299999999999994</v>
      </c>
      <c r="R35" s="198"/>
      <c r="S35" s="198"/>
      <c r="T35" s="198"/>
      <c r="U35" s="198"/>
    </row>
    <row r="36" spans="1:21" s="12" customFormat="1" x14ac:dyDescent="0.25">
      <c r="A36" s="214" t="s">
        <v>1232</v>
      </c>
      <c r="B36" s="64">
        <v>7.94</v>
      </c>
      <c r="C36" s="64">
        <v>2.92</v>
      </c>
      <c r="D36" s="64">
        <v>11.66</v>
      </c>
      <c r="E36" s="64">
        <v>4.4000000000000004</v>
      </c>
      <c r="F36" s="64">
        <v>2.14</v>
      </c>
      <c r="G36" s="64">
        <v>13.86</v>
      </c>
      <c r="H36" s="64">
        <v>3.75</v>
      </c>
      <c r="I36" s="64">
        <v>1.69</v>
      </c>
      <c r="J36" s="64">
        <v>0.08</v>
      </c>
      <c r="K36" s="64">
        <v>151.41</v>
      </c>
      <c r="L36" s="64">
        <v>26.35</v>
      </c>
      <c r="M36" s="64">
        <v>101.73</v>
      </c>
      <c r="N36" s="64">
        <v>124.6</v>
      </c>
      <c r="O36" s="64">
        <v>0</v>
      </c>
      <c r="P36" s="64">
        <v>0.25</v>
      </c>
      <c r="Q36" s="64">
        <v>9.48</v>
      </c>
      <c r="R36" s="198"/>
      <c r="S36" s="198"/>
      <c r="T36" s="198"/>
      <c r="U36" s="198"/>
    </row>
    <row r="37" spans="1:21" s="12" customFormat="1" x14ac:dyDescent="0.25">
      <c r="A37" s="214" t="s">
        <v>1233</v>
      </c>
      <c r="B37" s="64">
        <v>7.96</v>
      </c>
      <c r="C37" s="64">
        <v>2.93</v>
      </c>
      <c r="D37" s="64">
        <v>11.68</v>
      </c>
      <c r="E37" s="64">
        <v>3.74</v>
      </c>
      <c r="F37" s="64">
        <v>3.5</v>
      </c>
      <c r="G37" s="64">
        <v>12.55</v>
      </c>
      <c r="H37" s="64">
        <v>7.14</v>
      </c>
      <c r="I37" s="64">
        <v>1.7</v>
      </c>
      <c r="J37" s="64">
        <v>0.12</v>
      </c>
      <c r="K37" s="64">
        <v>336.07</v>
      </c>
      <c r="L37" s="64">
        <v>26.64</v>
      </c>
      <c r="M37" s="64">
        <v>101.72</v>
      </c>
      <c r="N37" s="64">
        <v>152.30000000000001</v>
      </c>
      <c r="O37" s="64">
        <v>0</v>
      </c>
      <c r="P37" s="64">
        <v>0.24</v>
      </c>
      <c r="Q37" s="64">
        <v>9.5</v>
      </c>
      <c r="R37" s="198"/>
      <c r="S37" s="198"/>
      <c r="T37" s="198"/>
      <c r="U37" s="198"/>
    </row>
    <row r="38" spans="1:21" s="12" customFormat="1" x14ac:dyDescent="0.25">
      <c r="A38" s="214" t="s">
        <v>1234</v>
      </c>
      <c r="B38" s="64">
        <v>7.95</v>
      </c>
      <c r="C38" s="64">
        <v>2.91</v>
      </c>
      <c r="D38" s="64">
        <v>11.66</v>
      </c>
      <c r="E38" s="64">
        <v>3.65</v>
      </c>
      <c r="F38" s="64">
        <v>4.72</v>
      </c>
      <c r="G38" s="64">
        <v>12.55</v>
      </c>
      <c r="H38" s="64">
        <v>7.14</v>
      </c>
      <c r="I38" s="64">
        <v>1.8</v>
      </c>
      <c r="J38" s="64">
        <v>0.1</v>
      </c>
      <c r="K38" s="64">
        <v>328.44</v>
      </c>
      <c r="L38" s="64">
        <v>26.86</v>
      </c>
      <c r="M38" s="64">
        <v>101.71</v>
      </c>
      <c r="N38" s="64">
        <v>145.9</v>
      </c>
      <c r="O38" s="64">
        <v>0</v>
      </c>
      <c r="P38" s="64">
        <v>0.27</v>
      </c>
      <c r="Q38" s="64">
        <v>9.5500000000000007</v>
      </c>
      <c r="R38" s="198"/>
      <c r="S38" s="198"/>
      <c r="T38" s="198"/>
      <c r="U38" s="198"/>
    </row>
    <row r="39" spans="1:21" s="12" customFormat="1" x14ac:dyDescent="0.25">
      <c r="A39" s="214" t="s">
        <v>1235</v>
      </c>
      <c r="B39" s="64">
        <v>7.93</v>
      </c>
      <c r="C39" s="64">
        <v>2.87</v>
      </c>
      <c r="D39" s="64">
        <v>11.63</v>
      </c>
      <c r="E39" s="64">
        <v>3.81</v>
      </c>
      <c r="F39" s="64">
        <v>2.59</v>
      </c>
      <c r="G39" s="64">
        <v>12.55</v>
      </c>
      <c r="H39" s="64">
        <v>7.14</v>
      </c>
      <c r="I39" s="64">
        <v>1.83</v>
      </c>
      <c r="J39" s="64">
        <v>0.12</v>
      </c>
      <c r="K39" s="64">
        <v>351.91</v>
      </c>
      <c r="L39" s="64">
        <v>26.89</v>
      </c>
      <c r="M39" s="64">
        <v>101.7</v>
      </c>
      <c r="N39" s="64">
        <v>155.69999999999999</v>
      </c>
      <c r="O39" s="64">
        <v>0</v>
      </c>
      <c r="P39" s="64">
        <v>0.26</v>
      </c>
      <c r="Q39" s="64">
        <v>9.5</v>
      </c>
      <c r="R39" s="198"/>
      <c r="S39" s="198"/>
      <c r="T39" s="198"/>
      <c r="U39" s="198"/>
    </row>
    <row r="40" spans="1:21" s="12" customFormat="1" x14ac:dyDescent="0.25">
      <c r="A40" s="214" t="s">
        <v>1236</v>
      </c>
      <c r="B40" s="64">
        <v>7.93</v>
      </c>
      <c r="C40" s="64">
        <v>2.91</v>
      </c>
      <c r="D40" s="64">
        <v>11.65</v>
      </c>
      <c r="E40" s="64">
        <v>3.85</v>
      </c>
      <c r="F40" s="64">
        <v>3.47</v>
      </c>
      <c r="G40" s="64">
        <v>12.05</v>
      </c>
      <c r="H40" s="64">
        <v>7.03</v>
      </c>
      <c r="I40" s="64">
        <v>1.78</v>
      </c>
      <c r="J40" s="64">
        <v>0.04</v>
      </c>
      <c r="K40" s="64">
        <v>342.57</v>
      </c>
      <c r="L40" s="64">
        <v>26.96</v>
      </c>
      <c r="M40" s="64">
        <v>101.7</v>
      </c>
      <c r="N40" s="64">
        <v>149.4</v>
      </c>
      <c r="O40" s="64">
        <v>0</v>
      </c>
      <c r="P40" s="64">
        <v>0.25</v>
      </c>
      <c r="Q40" s="64">
        <v>9.5</v>
      </c>
      <c r="R40" s="198"/>
      <c r="S40" s="198"/>
      <c r="T40" s="198"/>
      <c r="U40" s="198"/>
    </row>
    <row r="41" spans="1:21" s="12" customFormat="1" x14ac:dyDescent="0.25">
      <c r="A41" s="214" t="s">
        <v>1237</v>
      </c>
      <c r="B41" s="64">
        <v>7.95</v>
      </c>
      <c r="C41" s="64">
        <v>2.96</v>
      </c>
      <c r="D41" s="64">
        <v>11.69</v>
      </c>
      <c r="E41" s="64">
        <v>4.24</v>
      </c>
      <c r="F41" s="64">
        <v>4.16</v>
      </c>
      <c r="G41" s="64">
        <v>11.14</v>
      </c>
      <c r="H41" s="64">
        <v>6.92</v>
      </c>
      <c r="I41" s="64">
        <v>1.72</v>
      </c>
      <c r="J41" s="64">
        <v>0.18</v>
      </c>
      <c r="K41" s="64">
        <v>344.7</v>
      </c>
      <c r="L41" s="64">
        <v>26.96</v>
      </c>
      <c r="M41" s="64">
        <v>101.7</v>
      </c>
      <c r="N41" s="64">
        <v>155.69999999999999</v>
      </c>
      <c r="O41" s="64">
        <v>0</v>
      </c>
      <c r="P41" s="64">
        <v>0.26</v>
      </c>
      <c r="Q41" s="64">
        <v>9.5399999999999991</v>
      </c>
      <c r="R41" s="198"/>
      <c r="S41" s="198"/>
      <c r="T41" s="198"/>
      <c r="U41" s="198"/>
    </row>
    <row r="42" spans="1:21" s="12" customFormat="1" x14ac:dyDescent="0.25">
      <c r="A42" s="214" t="s">
        <v>1238</v>
      </c>
      <c r="B42" s="64">
        <v>7.97</v>
      </c>
      <c r="C42" s="64">
        <v>2.94</v>
      </c>
      <c r="D42" s="64">
        <v>11.7</v>
      </c>
      <c r="E42" s="64">
        <v>3.98</v>
      </c>
      <c r="F42" s="64">
        <v>4.1399999999999997</v>
      </c>
      <c r="G42" s="64">
        <v>11.14</v>
      </c>
      <c r="H42" s="64">
        <v>6.92</v>
      </c>
      <c r="I42" s="64">
        <v>1.7</v>
      </c>
      <c r="J42" s="64">
        <v>0.11</v>
      </c>
      <c r="K42" s="64">
        <v>352.05</v>
      </c>
      <c r="L42" s="64">
        <v>27.44</v>
      </c>
      <c r="M42" s="64">
        <v>101.67</v>
      </c>
      <c r="N42" s="64">
        <v>251</v>
      </c>
      <c r="O42" s="64">
        <v>0</v>
      </c>
      <c r="P42" s="64">
        <v>0.27</v>
      </c>
      <c r="Q42" s="64">
        <v>9.56</v>
      </c>
      <c r="R42" s="198"/>
      <c r="S42" s="198"/>
      <c r="T42" s="198"/>
      <c r="U42" s="198"/>
    </row>
    <row r="43" spans="1:21" s="12" customFormat="1" x14ac:dyDescent="0.25">
      <c r="A43" s="214" t="s">
        <v>1239</v>
      </c>
      <c r="B43" s="64">
        <v>7.97</v>
      </c>
      <c r="C43" s="64">
        <v>2.94</v>
      </c>
      <c r="D43" s="64">
        <v>11.7</v>
      </c>
      <c r="E43" s="64">
        <v>3.76</v>
      </c>
      <c r="F43" s="64">
        <v>3.34</v>
      </c>
      <c r="G43" s="64">
        <v>11.14</v>
      </c>
      <c r="H43" s="64">
        <v>6.92</v>
      </c>
      <c r="I43" s="64">
        <v>1.68</v>
      </c>
      <c r="J43" s="64">
        <v>0.14000000000000001</v>
      </c>
      <c r="K43" s="64">
        <v>340.38</v>
      </c>
      <c r="L43" s="64">
        <v>27.86</v>
      </c>
      <c r="M43" s="64">
        <v>101.1</v>
      </c>
      <c r="N43" s="64">
        <v>270.7</v>
      </c>
      <c r="O43" s="64">
        <v>0</v>
      </c>
      <c r="P43" s="64">
        <v>0.27</v>
      </c>
      <c r="Q43" s="64">
        <v>9.56</v>
      </c>
      <c r="R43" s="198"/>
      <c r="S43" s="198"/>
      <c r="T43" s="198"/>
      <c r="U43" s="198"/>
    </row>
    <row r="44" spans="1:21" s="12" customFormat="1" x14ac:dyDescent="0.25">
      <c r="A44" s="214" t="s">
        <v>1240</v>
      </c>
      <c r="B44" s="64">
        <v>7.97</v>
      </c>
      <c r="C44" s="64">
        <v>2.99</v>
      </c>
      <c r="D44" s="64">
        <v>11.73</v>
      </c>
      <c r="E44" s="64">
        <v>4.18</v>
      </c>
      <c r="F44" s="64">
        <v>4.09</v>
      </c>
      <c r="G44" s="64">
        <v>16.23</v>
      </c>
      <c r="H44" s="64">
        <v>8.41</v>
      </c>
      <c r="I44" s="64">
        <v>1.68</v>
      </c>
      <c r="J44" s="64">
        <v>0.01</v>
      </c>
      <c r="K44" s="64">
        <v>284.45</v>
      </c>
      <c r="L44" s="64">
        <v>28.32</v>
      </c>
      <c r="M44" s="64">
        <v>98.81</v>
      </c>
      <c r="N44" s="64">
        <v>349.8</v>
      </c>
      <c r="O44" s="64">
        <v>0</v>
      </c>
      <c r="P44" s="64">
        <v>0.27</v>
      </c>
      <c r="Q44" s="64">
        <v>9.58</v>
      </c>
      <c r="R44" s="198"/>
      <c r="S44" s="198"/>
      <c r="T44" s="198"/>
      <c r="U44" s="198"/>
    </row>
    <row r="45" spans="1:21" s="12" customFormat="1" x14ac:dyDescent="0.25">
      <c r="A45" s="214" t="s">
        <v>1241</v>
      </c>
      <c r="B45" s="64">
        <v>7.96</v>
      </c>
      <c r="C45" s="64">
        <v>2.95</v>
      </c>
      <c r="D45" s="64">
        <v>11.7</v>
      </c>
      <c r="E45" s="64">
        <v>4.1100000000000003</v>
      </c>
      <c r="F45" s="64">
        <v>3.48</v>
      </c>
      <c r="G45" s="64">
        <v>25.45</v>
      </c>
      <c r="H45" s="64">
        <v>13.66</v>
      </c>
      <c r="I45" s="64">
        <v>1.67</v>
      </c>
      <c r="J45" s="64">
        <v>0.19</v>
      </c>
      <c r="K45" s="64">
        <v>345.63</v>
      </c>
      <c r="L45" s="64">
        <v>28.39</v>
      </c>
      <c r="M45" s="64">
        <v>98.42</v>
      </c>
      <c r="N45" s="64">
        <v>259.2</v>
      </c>
      <c r="O45" s="64">
        <v>0</v>
      </c>
      <c r="P45" s="64">
        <v>0.28000000000000003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4" t="s">
        <v>1242</v>
      </c>
      <c r="B46" s="64">
        <v>7.97</v>
      </c>
      <c r="C46" s="64">
        <v>2.93</v>
      </c>
      <c r="D46" s="64">
        <v>11.69</v>
      </c>
      <c r="E46" s="64">
        <v>4.1500000000000004</v>
      </c>
      <c r="F46" s="64">
        <v>4.1900000000000004</v>
      </c>
      <c r="G46" s="64">
        <v>25.45</v>
      </c>
      <c r="H46" s="64">
        <v>13.66</v>
      </c>
      <c r="I46" s="64">
        <v>1.55</v>
      </c>
      <c r="J46" s="64">
        <v>0.23</v>
      </c>
      <c r="K46" s="64">
        <v>344.39</v>
      </c>
      <c r="L46" s="64">
        <v>28.07</v>
      </c>
      <c r="M46" s="64">
        <v>98.88</v>
      </c>
      <c r="N46" s="64">
        <v>239</v>
      </c>
      <c r="O46" s="64">
        <v>0</v>
      </c>
      <c r="P46" s="64">
        <v>0.28999999999999998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4" t="s">
        <v>1243</v>
      </c>
      <c r="B47" s="64">
        <v>7.98</v>
      </c>
      <c r="C47" s="64">
        <v>3.01</v>
      </c>
      <c r="D47" s="64">
        <v>11.75</v>
      </c>
      <c r="E47" s="64">
        <v>4.22</v>
      </c>
      <c r="F47" s="64">
        <v>4.4400000000000004</v>
      </c>
      <c r="G47" s="64">
        <v>25.45</v>
      </c>
      <c r="H47" s="64">
        <v>13.66</v>
      </c>
      <c r="I47" s="64">
        <v>1.6</v>
      </c>
      <c r="J47" s="64">
        <v>0.24</v>
      </c>
      <c r="K47" s="64">
        <v>337.39</v>
      </c>
      <c r="L47" s="64">
        <v>27.96</v>
      </c>
      <c r="M47" s="64">
        <v>99.58</v>
      </c>
      <c r="N47" s="64">
        <v>225.2</v>
      </c>
      <c r="O47" s="64">
        <v>0</v>
      </c>
      <c r="P47" s="64">
        <v>0.3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4" t="s">
        <v>1244</v>
      </c>
      <c r="B48" s="64">
        <v>7.94</v>
      </c>
      <c r="C48" s="64">
        <v>2.97</v>
      </c>
      <c r="D48" s="64">
        <v>11.69</v>
      </c>
      <c r="E48" s="64">
        <v>4.29</v>
      </c>
      <c r="F48" s="64">
        <v>4.99</v>
      </c>
      <c r="G48" s="64">
        <v>25.81</v>
      </c>
      <c r="H48" s="64">
        <v>13.66</v>
      </c>
      <c r="I48" s="64">
        <v>1.51</v>
      </c>
      <c r="J48" s="64">
        <v>0.25</v>
      </c>
      <c r="K48" s="64">
        <v>341.89</v>
      </c>
      <c r="L48" s="64">
        <v>28.2</v>
      </c>
      <c r="M48" s="64">
        <v>97.99</v>
      </c>
      <c r="N48" s="64">
        <v>335.4</v>
      </c>
      <c r="O48" s="64">
        <v>0</v>
      </c>
      <c r="P48" s="64">
        <v>0.32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4" t="s">
        <v>1245</v>
      </c>
      <c r="B49" s="64">
        <v>7.92</v>
      </c>
      <c r="C49" s="64">
        <v>2.91</v>
      </c>
      <c r="D49" s="64">
        <v>11.65</v>
      </c>
      <c r="E49" s="64">
        <v>4.82</v>
      </c>
      <c r="F49" s="64">
        <v>3.49</v>
      </c>
      <c r="G49" s="64">
        <v>26.48</v>
      </c>
      <c r="H49" s="64">
        <v>18.66</v>
      </c>
      <c r="I49" s="64">
        <v>1.41</v>
      </c>
      <c r="J49" s="64">
        <v>0.28000000000000003</v>
      </c>
      <c r="K49" s="64">
        <v>343.47</v>
      </c>
      <c r="L49" s="64">
        <v>28.63</v>
      </c>
      <c r="M49" s="64">
        <v>95.07</v>
      </c>
      <c r="N49" s="64">
        <v>457.5</v>
      </c>
      <c r="O49" s="64">
        <v>0</v>
      </c>
      <c r="P49" s="64">
        <v>0.33</v>
      </c>
      <c r="Q49" s="64">
        <v>9.5399999999999991</v>
      </c>
      <c r="R49" s="198"/>
      <c r="S49" s="198"/>
      <c r="T49" s="198"/>
      <c r="U49" s="198"/>
    </row>
    <row r="50" spans="1:21" s="12" customFormat="1" x14ac:dyDescent="0.25">
      <c r="A50" s="214" t="s">
        <v>1246</v>
      </c>
      <c r="B50" s="64">
        <v>7.93</v>
      </c>
      <c r="C50" s="64">
        <v>2.92</v>
      </c>
      <c r="D50" s="64">
        <v>11.66</v>
      </c>
      <c r="E50" s="64">
        <v>4.45</v>
      </c>
      <c r="F50" s="64">
        <v>4.32</v>
      </c>
      <c r="G50" s="64">
        <v>26.48</v>
      </c>
      <c r="H50" s="64">
        <v>18.66</v>
      </c>
      <c r="I50" s="64">
        <v>1.51</v>
      </c>
      <c r="J50" s="64">
        <v>0.3</v>
      </c>
      <c r="K50" s="64">
        <v>344.77</v>
      </c>
      <c r="L50" s="64">
        <v>28.11</v>
      </c>
      <c r="M50" s="64">
        <v>96.09</v>
      </c>
      <c r="N50" s="64">
        <v>264.39999999999998</v>
      </c>
      <c r="O50" s="64">
        <v>0</v>
      </c>
      <c r="P50" s="64">
        <v>0.32</v>
      </c>
      <c r="Q50" s="64">
        <v>9.5</v>
      </c>
      <c r="R50" s="198"/>
      <c r="S50" s="198"/>
      <c r="T50" s="198"/>
      <c r="U50" s="198"/>
    </row>
    <row r="51" spans="1:21" s="12" customFormat="1" x14ac:dyDescent="0.25">
      <c r="A51" s="214" t="s">
        <v>1247</v>
      </c>
      <c r="B51" s="64">
        <v>7.97</v>
      </c>
      <c r="C51" s="64">
        <v>2.94</v>
      </c>
      <c r="D51" s="64">
        <v>11.7</v>
      </c>
      <c r="E51" s="64">
        <v>4.25</v>
      </c>
      <c r="F51" s="64">
        <v>5.49</v>
      </c>
      <c r="G51" s="64">
        <v>26.48</v>
      </c>
      <c r="H51" s="64">
        <v>12.99</v>
      </c>
      <c r="I51" s="64">
        <v>1.43</v>
      </c>
      <c r="J51" s="64">
        <v>0.33</v>
      </c>
      <c r="K51" s="64">
        <v>354.57</v>
      </c>
      <c r="L51" s="64">
        <v>28.13</v>
      </c>
      <c r="M51" s="64">
        <v>95.79</v>
      </c>
      <c r="N51" s="64">
        <v>283.89999999999998</v>
      </c>
      <c r="O51" s="64">
        <v>0</v>
      </c>
      <c r="P51" s="64">
        <v>0.34</v>
      </c>
      <c r="Q51" s="64">
        <v>9.5399999999999991</v>
      </c>
      <c r="R51" s="198"/>
      <c r="S51" s="198"/>
      <c r="T51" s="198"/>
      <c r="U51" s="198"/>
    </row>
    <row r="52" spans="1:21" s="12" customFormat="1" x14ac:dyDescent="0.25">
      <c r="A52" s="214" t="s">
        <v>1248</v>
      </c>
      <c r="B52" s="64">
        <v>7.98</v>
      </c>
      <c r="C52" s="64">
        <v>3.03</v>
      </c>
      <c r="D52" s="64">
        <v>11.75</v>
      </c>
      <c r="E52" s="64">
        <v>4.04</v>
      </c>
      <c r="F52" s="64">
        <v>5.79</v>
      </c>
      <c r="G52" s="64">
        <v>26.38</v>
      </c>
      <c r="H52" s="64">
        <v>7.03</v>
      </c>
      <c r="I52" s="64">
        <v>1.34</v>
      </c>
      <c r="J52" s="64">
        <v>0.3</v>
      </c>
      <c r="K52" s="64">
        <v>342.95</v>
      </c>
      <c r="L52" s="64">
        <v>28.23</v>
      </c>
      <c r="M52" s="64">
        <v>94.6</v>
      </c>
      <c r="N52" s="64">
        <v>357.3</v>
      </c>
      <c r="O52" s="64">
        <v>0</v>
      </c>
      <c r="P52" s="64">
        <v>0.35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4" t="s">
        <v>1249</v>
      </c>
      <c r="B53" s="64">
        <v>7.92</v>
      </c>
      <c r="C53" s="64">
        <v>2.94</v>
      </c>
      <c r="D53" s="64">
        <v>11.66</v>
      </c>
      <c r="E53" s="64">
        <v>4.41</v>
      </c>
      <c r="F53" s="64">
        <v>3.22</v>
      </c>
      <c r="G53" s="64">
        <v>26.19</v>
      </c>
      <c r="H53" s="64">
        <v>13.74</v>
      </c>
      <c r="I53" s="64">
        <v>1.18</v>
      </c>
      <c r="J53" s="64">
        <v>0.32</v>
      </c>
      <c r="K53" s="64">
        <v>341.15</v>
      </c>
      <c r="L53" s="64">
        <v>28.09</v>
      </c>
      <c r="M53" s="64">
        <v>95.18</v>
      </c>
      <c r="N53" s="64">
        <v>230.4</v>
      </c>
      <c r="O53" s="64">
        <v>0</v>
      </c>
      <c r="P53" s="64">
        <v>0.36</v>
      </c>
      <c r="Q53" s="64">
        <v>9.51</v>
      </c>
      <c r="R53" s="198"/>
      <c r="S53" s="198"/>
      <c r="T53" s="198"/>
      <c r="U53" s="198"/>
    </row>
    <row r="54" spans="1:21" s="12" customFormat="1" x14ac:dyDescent="0.25">
      <c r="A54" s="214" t="s">
        <v>1250</v>
      </c>
      <c r="B54" s="64">
        <v>7.92</v>
      </c>
      <c r="C54" s="64">
        <v>2.92</v>
      </c>
      <c r="D54" s="64">
        <v>11.65</v>
      </c>
      <c r="E54" s="64">
        <v>4.26</v>
      </c>
      <c r="F54" s="64">
        <v>4.8099999999999996</v>
      </c>
      <c r="G54" s="64">
        <v>26.19</v>
      </c>
      <c r="H54" s="64">
        <v>13.74</v>
      </c>
      <c r="I54" s="64">
        <v>1.1499999999999999</v>
      </c>
      <c r="J54" s="64">
        <v>0.25</v>
      </c>
      <c r="K54" s="64">
        <v>346.12</v>
      </c>
      <c r="L54" s="64">
        <v>27.98</v>
      </c>
      <c r="M54" s="64">
        <v>96.33</v>
      </c>
      <c r="N54" s="64">
        <v>195.4</v>
      </c>
      <c r="O54" s="64">
        <v>0</v>
      </c>
      <c r="P54" s="64">
        <v>0.35</v>
      </c>
      <c r="Q54" s="64">
        <v>9.49</v>
      </c>
      <c r="R54" s="198"/>
      <c r="S54" s="198"/>
      <c r="T54" s="198"/>
      <c r="U54" s="198"/>
    </row>
    <row r="55" spans="1:21" s="12" customFormat="1" x14ac:dyDescent="0.25">
      <c r="A55" s="214" t="s">
        <v>1251</v>
      </c>
      <c r="B55" s="64">
        <v>7.94</v>
      </c>
      <c r="C55" s="64">
        <v>2.95</v>
      </c>
      <c r="D55" s="64">
        <v>11.68</v>
      </c>
      <c r="E55" s="64">
        <v>4.07</v>
      </c>
      <c r="F55" s="64">
        <v>6.1</v>
      </c>
      <c r="G55" s="64">
        <v>26.19</v>
      </c>
      <c r="H55" s="64">
        <v>13.74</v>
      </c>
      <c r="I55" s="64">
        <v>1.0900000000000001</v>
      </c>
      <c r="J55" s="64">
        <v>0.24</v>
      </c>
      <c r="K55" s="64">
        <v>340.95</v>
      </c>
      <c r="L55" s="64">
        <v>28.3</v>
      </c>
      <c r="M55" s="64">
        <v>95.14</v>
      </c>
      <c r="N55" s="64">
        <v>534.70000000000005</v>
      </c>
      <c r="O55" s="64">
        <v>0</v>
      </c>
      <c r="P55" s="64">
        <v>0.36</v>
      </c>
      <c r="Q55" s="64">
        <v>9.5399999999999991</v>
      </c>
      <c r="R55" s="198"/>
      <c r="S55" s="198"/>
      <c r="T55" s="198"/>
      <c r="U55" s="198"/>
    </row>
    <row r="56" spans="1:21" s="12" customFormat="1" x14ac:dyDescent="0.25">
      <c r="A56" s="214" t="s">
        <v>1252</v>
      </c>
      <c r="B56" s="64">
        <v>7.91</v>
      </c>
      <c r="C56" s="64">
        <v>2.91</v>
      </c>
      <c r="D56" s="64">
        <v>11.64</v>
      </c>
      <c r="E56" s="64">
        <v>3.84</v>
      </c>
      <c r="F56" s="64">
        <v>4.2300000000000004</v>
      </c>
      <c r="G56" s="64">
        <v>24.93</v>
      </c>
      <c r="H56" s="64">
        <v>15.1</v>
      </c>
      <c r="I56" s="64">
        <v>1.1299999999999999</v>
      </c>
      <c r="J56" s="64">
        <v>0.22</v>
      </c>
      <c r="K56" s="64">
        <v>327.49</v>
      </c>
      <c r="L56" s="64">
        <v>28.87</v>
      </c>
      <c r="M56" s="64">
        <v>93.31</v>
      </c>
      <c r="N56" s="64">
        <v>431.8</v>
      </c>
      <c r="O56" s="64">
        <v>0</v>
      </c>
      <c r="P56" s="64">
        <v>0.37</v>
      </c>
      <c r="Q56" s="64">
        <v>9.5500000000000007</v>
      </c>
      <c r="R56" s="198"/>
      <c r="S56" s="198"/>
      <c r="T56" s="198"/>
      <c r="U56" s="198"/>
    </row>
    <row r="57" spans="1:21" s="12" customFormat="1" x14ac:dyDescent="0.25">
      <c r="A57" s="214" t="s">
        <v>1253</v>
      </c>
      <c r="B57" s="64">
        <v>7.93</v>
      </c>
      <c r="C57" s="64">
        <v>2.89</v>
      </c>
      <c r="D57" s="64">
        <v>11.65</v>
      </c>
      <c r="E57" s="64">
        <v>3.91</v>
      </c>
      <c r="F57" s="64">
        <v>5.12</v>
      </c>
      <c r="G57" s="64">
        <v>22.66</v>
      </c>
      <c r="H57" s="64">
        <v>16.59</v>
      </c>
      <c r="I57" s="64">
        <v>1.06</v>
      </c>
      <c r="J57" s="64">
        <v>0.14000000000000001</v>
      </c>
      <c r="K57" s="64">
        <v>337.83</v>
      </c>
      <c r="L57" s="64">
        <v>28.71</v>
      </c>
      <c r="M57" s="64">
        <v>93.17</v>
      </c>
      <c r="N57" s="64">
        <v>410</v>
      </c>
      <c r="O57" s="64">
        <v>0</v>
      </c>
      <c r="P57" s="64">
        <v>0.34</v>
      </c>
      <c r="Q57" s="64">
        <v>9.49</v>
      </c>
      <c r="R57" s="198"/>
      <c r="S57" s="198"/>
      <c r="T57" s="198"/>
      <c r="U57" s="198"/>
    </row>
    <row r="58" spans="1:21" s="12" customFormat="1" x14ac:dyDescent="0.25">
      <c r="A58" s="214" t="s">
        <v>1254</v>
      </c>
      <c r="B58" s="64">
        <v>7.94</v>
      </c>
      <c r="C58" s="64">
        <v>2.91</v>
      </c>
      <c r="D58" s="64">
        <v>11.66</v>
      </c>
      <c r="E58" s="64">
        <v>3.75</v>
      </c>
      <c r="F58" s="64">
        <v>5.31</v>
      </c>
      <c r="G58" s="64">
        <v>22.66</v>
      </c>
      <c r="H58" s="64">
        <v>16.59</v>
      </c>
      <c r="I58" s="64">
        <v>1.05</v>
      </c>
      <c r="J58" s="64">
        <v>0.23</v>
      </c>
      <c r="K58" s="64">
        <v>328.26</v>
      </c>
      <c r="L58" s="64">
        <v>29.05</v>
      </c>
      <c r="M58" s="64">
        <v>91.03</v>
      </c>
      <c r="N58" s="64">
        <v>698.5</v>
      </c>
      <c r="O58" s="64">
        <v>0</v>
      </c>
      <c r="P58" s="64">
        <v>0.34</v>
      </c>
      <c r="Q58" s="64">
        <v>9.52</v>
      </c>
      <c r="R58" s="198"/>
      <c r="S58" s="198"/>
      <c r="T58" s="198"/>
      <c r="U58" s="198"/>
    </row>
    <row r="59" spans="1:21" s="12" customFormat="1" x14ac:dyDescent="0.25">
      <c r="A59" s="214" t="s">
        <v>1255</v>
      </c>
      <c r="B59" s="64">
        <v>7.96</v>
      </c>
      <c r="C59" s="64">
        <v>2.96</v>
      </c>
      <c r="D59" s="64">
        <v>11.71</v>
      </c>
      <c r="E59" s="64">
        <v>3.72</v>
      </c>
      <c r="F59" s="64">
        <v>5.65</v>
      </c>
      <c r="G59" s="64">
        <v>22.66</v>
      </c>
      <c r="H59" s="64">
        <v>16.59</v>
      </c>
      <c r="I59" s="64">
        <v>1.02</v>
      </c>
      <c r="J59" s="64">
        <v>0.11</v>
      </c>
      <c r="K59" s="64">
        <v>321.75</v>
      </c>
      <c r="L59" s="64">
        <v>29</v>
      </c>
      <c r="M59" s="64">
        <v>91.11</v>
      </c>
      <c r="N59" s="64">
        <v>495.7</v>
      </c>
      <c r="O59" s="64">
        <v>0</v>
      </c>
      <c r="P59" s="64">
        <v>0.34</v>
      </c>
      <c r="Q59" s="64">
        <v>9.5500000000000007</v>
      </c>
      <c r="R59" s="198"/>
      <c r="S59" s="198"/>
      <c r="T59" s="198"/>
      <c r="U59" s="198"/>
    </row>
    <row r="60" spans="1:21" s="12" customFormat="1" x14ac:dyDescent="0.25">
      <c r="A60" s="214" t="s">
        <v>1256</v>
      </c>
      <c r="B60" s="64">
        <v>7.95</v>
      </c>
      <c r="C60" s="64">
        <v>2.95</v>
      </c>
      <c r="D60" s="64">
        <v>11.69</v>
      </c>
      <c r="E60" s="64">
        <v>3.33</v>
      </c>
      <c r="F60" s="64">
        <v>5.24</v>
      </c>
      <c r="G60" s="64">
        <v>24.03</v>
      </c>
      <c r="H60" s="64">
        <v>17.75</v>
      </c>
      <c r="I60" s="64">
        <v>1.01</v>
      </c>
      <c r="J60" s="64">
        <v>0.08</v>
      </c>
      <c r="K60" s="64">
        <v>5.0599999999999996</v>
      </c>
      <c r="L60" s="64">
        <v>28.95</v>
      </c>
      <c r="M60" s="64">
        <v>91.73</v>
      </c>
      <c r="N60" s="64">
        <v>450.6</v>
      </c>
      <c r="O60" s="64">
        <v>0</v>
      </c>
      <c r="P60" s="64">
        <v>0.32</v>
      </c>
      <c r="Q60" s="64">
        <v>9.5500000000000007</v>
      </c>
      <c r="R60" s="198"/>
      <c r="S60" s="198"/>
      <c r="T60" s="198"/>
      <c r="U60" s="198"/>
    </row>
    <row r="61" spans="1:21" s="12" customFormat="1" x14ac:dyDescent="0.25">
      <c r="A61" s="214" t="s">
        <v>1257</v>
      </c>
      <c r="B61" s="64">
        <v>7.97</v>
      </c>
      <c r="C61" s="64">
        <v>2.97</v>
      </c>
      <c r="D61" s="64">
        <v>11.71</v>
      </c>
      <c r="E61" s="64">
        <v>3.74</v>
      </c>
      <c r="F61" s="64">
        <v>5.0999999999999996</v>
      </c>
      <c r="G61" s="64">
        <v>26.53</v>
      </c>
      <c r="H61" s="64">
        <v>21.83</v>
      </c>
      <c r="I61" s="64">
        <v>0.99</v>
      </c>
      <c r="J61" s="64">
        <v>0.25</v>
      </c>
      <c r="K61" s="64">
        <v>345.38</v>
      </c>
      <c r="L61" s="64">
        <v>28.8</v>
      </c>
      <c r="M61" s="64">
        <v>91.81</v>
      </c>
      <c r="N61" s="64">
        <v>250.4</v>
      </c>
      <c r="O61" s="64">
        <v>0</v>
      </c>
      <c r="P61" s="64">
        <v>0.31</v>
      </c>
      <c r="Q61" s="64">
        <v>9.5500000000000007</v>
      </c>
      <c r="R61" s="198"/>
      <c r="S61" s="198"/>
      <c r="T61" s="198"/>
      <c r="U61" s="198"/>
    </row>
    <row r="62" spans="1:21" s="12" customFormat="1" x14ac:dyDescent="0.25">
      <c r="A62" s="214" t="s">
        <v>1258</v>
      </c>
      <c r="B62" s="64">
        <v>7.97</v>
      </c>
      <c r="C62" s="64">
        <v>2.93</v>
      </c>
      <c r="D62" s="64">
        <v>11.7</v>
      </c>
      <c r="E62" s="64">
        <v>3.75</v>
      </c>
      <c r="F62" s="64">
        <v>5.5</v>
      </c>
      <c r="G62" s="64">
        <v>26.53</v>
      </c>
      <c r="H62" s="64">
        <v>21.83</v>
      </c>
      <c r="I62" s="64">
        <v>0.95</v>
      </c>
      <c r="J62" s="64">
        <v>0.21</v>
      </c>
      <c r="K62" s="64">
        <v>350.84</v>
      </c>
      <c r="L62" s="64">
        <v>28.36</v>
      </c>
      <c r="M62" s="64">
        <v>94.63</v>
      </c>
      <c r="N62" s="64">
        <v>209.5</v>
      </c>
      <c r="O62" s="64">
        <v>0</v>
      </c>
      <c r="P62" s="64">
        <v>0.31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4" t="s">
        <v>1259</v>
      </c>
      <c r="B63" s="64">
        <v>7.98</v>
      </c>
      <c r="C63" s="64">
        <v>2.96</v>
      </c>
      <c r="D63" s="64">
        <v>11.72</v>
      </c>
      <c r="E63" s="64">
        <v>4</v>
      </c>
      <c r="F63" s="64">
        <v>4.83</v>
      </c>
      <c r="G63" s="64">
        <v>26.53</v>
      </c>
      <c r="H63" s="64">
        <v>21.83</v>
      </c>
      <c r="I63" s="64">
        <v>1.06</v>
      </c>
      <c r="J63" s="64">
        <v>0.21</v>
      </c>
      <c r="K63" s="64">
        <v>347.68</v>
      </c>
      <c r="L63" s="64">
        <v>28.79</v>
      </c>
      <c r="M63" s="64">
        <v>93.35</v>
      </c>
      <c r="N63" s="64">
        <v>289.2</v>
      </c>
      <c r="O63" s="64">
        <v>0</v>
      </c>
      <c r="P63" s="64">
        <v>0.31</v>
      </c>
      <c r="Q63" s="64">
        <v>9.5299999999999994</v>
      </c>
      <c r="R63" s="198"/>
      <c r="S63" s="198"/>
      <c r="T63" s="198"/>
      <c r="U63" s="198"/>
    </row>
    <row r="64" spans="1:21" s="12" customFormat="1" x14ac:dyDescent="0.25">
      <c r="A64" s="214" t="s">
        <v>1260</v>
      </c>
      <c r="B64" s="64">
        <v>7.96</v>
      </c>
      <c r="C64" s="64">
        <v>2.97</v>
      </c>
      <c r="D64" s="64">
        <v>11.71</v>
      </c>
      <c r="E64" s="64">
        <v>3.32</v>
      </c>
      <c r="F64" s="64">
        <v>5.04</v>
      </c>
      <c r="G64" s="64">
        <v>25.74</v>
      </c>
      <c r="H64" s="64">
        <v>12.81</v>
      </c>
      <c r="I64" s="64">
        <v>1</v>
      </c>
      <c r="J64" s="64">
        <v>0.11</v>
      </c>
      <c r="K64" s="64">
        <v>329.78</v>
      </c>
      <c r="L64" s="64">
        <v>28.87</v>
      </c>
      <c r="M64" s="64">
        <v>93.49</v>
      </c>
      <c r="N64" s="64">
        <v>306</v>
      </c>
      <c r="O64" s="64">
        <v>0</v>
      </c>
      <c r="P64" s="64">
        <v>0.31</v>
      </c>
      <c r="Q64" s="64">
        <v>9.57</v>
      </c>
      <c r="R64" s="198"/>
      <c r="S64" s="198"/>
      <c r="T64" s="198"/>
      <c r="U64" s="198"/>
    </row>
    <row r="65" spans="1:21" s="12" customFormat="1" x14ac:dyDescent="0.25">
      <c r="A65" s="214" t="s">
        <v>1261</v>
      </c>
      <c r="B65" s="64">
        <v>7.92</v>
      </c>
      <c r="C65" s="64">
        <v>2.9</v>
      </c>
      <c r="D65" s="64">
        <v>11.64</v>
      </c>
      <c r="E65" s="64">
        <v>3.62</v>
      </c>
      <c r="F65" s="64">
        <v>4.1900000000000004</v>
      </c>
      <c r="G65" s="64">
        <v>24.3</v>
      </c>
      <c r="H65" s="64">
        <v>2.93</v>
      </c>
      <c r="I65" s="64">
        <v>1.02</v>
      </c>
      <c r="J65" s="64">
        <v>0.22</v>
      </c>
      <c r="K65" s="64">
        <v>339.66</v>
      </c>
      <c r="L65" s="64">
        <v>29.07</v>
      </c>
      <c r="M65" s="64">
        <v>91.86</v>
      </c>
      <c r="N65" s="64">
        <v>270.10000000000002</v>
      </c>
      <c r="O65" s="64">
        <v>0</v>
      </c>
      <c r="P65" s="64">
        <v>0.31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4" t="s">
        <v>1262</v>
      </c>
      <c r="B66" s="64">
        <v>7.92</v>
      </c>
      <c r="C66" s="64">
        <v>2.89</v>
      </c>
      <c r="D66" s="64">
        <v>11.64</v>
      </c>
      <c r="E66" s="64">
        <v>3.66</v>
      </c>
      <c r="F66" s="64">
        <v>4.34</v>
      </c>
      <c r="G66" s="64">
        <v>24.3</v>
      </c>
      <c r="H66" s="64">
        <v>2.93</v>
      </c>
      <c r="I66" s="64">
        <v>1.03</v>
      </c>
      <c r="J66" s="64">
        <v>0.11</v>
      </c>
      <c r="K66" s="64">
        <v>329.64</v>
      </c>
      <c r="L66" s="64">
        <v>29.16</v>
      </c>
      <c r="M66" s="64">
        <v>92.25</v>
      </c>
      <c r="N66" s="64">
        <v>248.4</v>
      </c>
      <c r="O66" s="64">
        <v>0</v>
      </c>
      <c r="P66" s="64">
        <v>0.3</v>
      </c>
      <c r="Q66" s="64">
        <v>9.5299999999999994</v>
      </c>
      <c r="R66" s="198"/>
      <c r="S66" s="198"/>
      <c r="T66" s="198"/>
      <c r="U66" s="198"/>
    </row>
    <row r="67" spans="1:21" s="12" customFormat="1" x14ac:dyDescent="0.25">
      <c r="A67" s="214" t="s">
        <v>1263</v>
      </c>
      <c r="B67" s="64">
        <v>7.95</v>
      </c>
      <c r="C67" s="64">
        <v>2.92</v>
      </c>
      <c r="D67" s="64">
        <v>11.67</v>
      </c>
      <c r="E67" s="64">
        <v>3.64</v>
      </c>
      <c r="F67" s="64">
        <v>5.82</v>
      </c>
      <c r="G67" s="64">
        <v>24.3</v>
      </c>
      <c r="H67" s="64">
        <v>2.93</v>
      </c>
      <c r="I67" s="64">
        <v>0.89</v>
      </c>
      <c r="J67" s="64">
        <v>0.26</v>
      </c>
      <c r="K67" s="64">
        <v>338.42</v>
      </c>
      <c r="L67" s="64">
        <v>29.41</v>
      </c>
      <c r="M67" s="64">
        <v>89.96</v>
      </c>
      <c r="N67" s="64">
        <v>232.4</v>
      </c>
      <c r="O67" s="64">
        <v>0</v>
      </c>
      <c r="P67" s="64">
        <v>0.3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4" t="s">
        <v>1264</v>
      </c>
      <c r="B68" s="64">
        <v>7.94</v>
      </c>
      <c r="C68" s="64">
        <v>2.93</v>
      </c>
      <c r="D68" s="64">
        <v>11.67</v>
      </c>
      <c r="E68" s="64">
        <v>3.48</v>
      </c>
      <c r="F68" s="64">
        <v>6.12</v>
      </c>
      <c r="G68" s="64">
        <v>22.08</v>
      </c>
      <c r="H68" s="64">
        <v>6.09</v>
      </c>
      <c r="I68" s="64">
        <v>0.98</v>
      </c>
      <c r="J68" s="64">
        <v>0.21</v>
      </c>
      <c r="K68" s="64">
        <v>334.8</v>
      </c>
      <c r="L68" s="64">
        <v>29.19</v>
      </c>
      <c r="M68" s="64">
        <v>91.09</v>
      </c>
      <c r="N68" s="64">
        <v>198.8</v>
      </c>
      <c r="O68" s="64">
        <v>0</v>
      </c>
      <c r="P68" s="64">
        <v>0.31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4" t="s">
        <v>1265</v>
      </c>
      <c r="B69" s="64">
        <v>7.94</v>
      </c>
      <c r="C69" s="64">
        <v>2.93</v>
      </c>
      <c r="D69" s="64">
        <v>11.67</v>
      </c>
      <c r="E69" s="64">
        <v>3.37</v>
      </c>
      <c r="F69" s="64">
        <v>2.87</v>
      </c>
      <c r="G69" s="64">
        <v>18.05</v>
      </c>
      <c r="H69" s="64">
        <v>9.5399999999999991</v>
      </c>
      <c r="I69" s="64">
        <v>0.94</v>
      </c>
      <c r="J69" s="64">
        <v>0.19</v>
      </c>
      <c r="K69" s="64">
        <v>339.77</v>
      </c>
      <c r="L69" s="64">
        <v>29.19</v>
      </c>
      <c r="M69" s="64">
        <v>90.29</v>
      </c>
      <c r="N69" s="64">
        <v>161.19999999999999</v>
      </c>
      <c r="O69" s="64">
        <v>0</v>
      </c>
      <c r="P69" s="64">
        <v>0.3</v>
      </c>
      <c r="Q69" s="64">
        <v>9.52</v>
      </c>
      <c r="R69" s="198"/>
      <c r="S69" s="198"/>
      <c r="T69" s="198"/>
      <c r="U69" s="198"/>
    </row>
    <row r="70" spans="1:21" s="12" customFormat="1" x14ac:dyDescent="0.25">
      <c r="A70" s="214" t="s">
        <v>1266</v>
      </c>
      <c r="B70" s="64">
        <v>7.94</v>
      </c>
      <c r="C70" s="64">
        <v>2.91</v>
      </c>
      <c r="D70" s="64">
        <v>11.67</v>
      </c>
      <c r="E70" s="64">
        <v>3.6</v>
      </c>
      <c r="F70" s="64">
        <v>4.37</v>
      </c>
      <c r="G70" s="64">
        <v>18.05</v>
      </c>
      <c r="H70" s="64">
        <v>9.5399999999999991</v>
      </c>
      <c r="I70" s="64">
        <v>0.9</v>
      </c>
      <c r="J70" s="64">
        <v>0.23</v>
      </c>
      <c r="K70" s="64">
        <v>331.39</v>
      </c>
      <c r="L70" s="64">
        <v>29.28</v>
      </c>
      <c r="M70" s="64">
        <v>89.61</v>
      </c>
      <c r="N70" s="64">
        <v>160.19999999999999</v>
      </c>
      <c r="O70" s="64">
        <v>0</v>
      </c>
      <c r="P70" s="64">
        <v>0.28999999999999998</v>
      </c>
      <c r="Q70" s="64">
        <v>9.49</v>
      </c>
      <c r="R70" s="198"/>
      <c r="S70" s="198"/>
      <c r="T70" s="198"/>
      <c r="U70" s="198"/>
    </row>
    <row r="71" spans="1:21" s="12" customFormat="1" x14ac:dyDescent="0.25">
      <c r="A71" s="214" t="s">
        <v>1267</v>
      </c>
      <c r="B71" s="64">
        <v>7.94</v>
      </c>
      <c r="C71" s="64">
        <v>2.91</v>
      </c>
      <c r="D71" s="64">
        <v>11.66</v>
      </c>
      <c r="E71" s="64">
        <v>3.42</v>
      </c>
      <c r="F71" s="64">
        <v>5.43</v>
      </c>
      <c r="G71" s="64">
        <v>18.05</v>
      </c>
      <c r="H71" s="64">
        <v>9.5399999999999991</v>
      </c>
      <c r="I71" s="64">
        <v>0.91</v>
      </c>
      <c r="J71" s="64">
        <v>0.28000000000000003</v>
      </c>
      <c r="K71" s="64">
        <v>356.11</v>
      </c>
      <c r="L71" s="64">
        <v>29.32</v>
      </c>
      <c r="M71" s="64">
        <v>89.83</v>
      </c>
      <c r="N71" s="64">
        <v>134.6</v>
      </c>
      <c r="O71" s="64">
        <v>0</v>
      </c>
      <c r="P71" s="64">
        <v>0.28999999999999998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4" t="s">
        <v>1268</v>
      </c>
      <c r="B72" s="64">
        <v>7.91</v>
      </c>
      <c r="C72" s="64">
        <v>2.91</v>
      </c>
      <c r="D72" s="64">
        <v>11.64</v>
      </c>
      <c r="E72" s="64">
        <v>4.58</v>
      </c>
      <c r="F72" s="64">
        <v>6.33</v>
      </c>
      <c r="G72" s="64">
        <v>21.24</v>
      </c>
      <c r="H72" s="64">
        <v>6.07</v>
      </c>
      <c r="I72" s="64">
        <v>0.86</v>
      </c>
      <c r="J72" s="64">
        <v>0.23</v>
      </c>
      <c r="K72" s="64">
        <v>357.91</v>
      </c>
      <c r="L72" s="64">
        <v>29.28</v>
      </c>
      <c r="M72" s="64">
        <v>90.26</v>
      </c>
      <c r="N72" s="64">
        <v>126.1</v>
      </c>
      <c r="O72" s="64">
        <v>0</v>
      </c>
      <c r="P72" s="64">
        <v>0.31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4" t="s">
        <v>1269</v>
      </c>
      <c r="B73" s="64">
        <v>7.92</v>
      </c>
      <c r="C73" s="64">
        <v>2.98</v>
      </c>
      <c r="D73" s="64">
        <v>11.68</v>
      </c>
      <c r="E73" s="64">
        <v>4.68</v>
      </c>
      <c r="F73" s="64">
        <v>3.7</v>
      </c>
      <c r="G73" s="64">
        <v>27.03</v>
      </c>
      <c r="H73" s="64">
        <v>2.2799999999999998</v>
      </c>
      <c r="I73" s="64">
        <v>0.88</v>
      </c>
      <c r="J73" s="64">
        <v>0.18</v>
      </c>
      <c r="K73" s="64">
        <v>356.89</v>
      </c>
      <c r="L73" s="64">
        <v>29.32</v>
      </c>
      <c r="M73" s="64">
        <v>89.79</v>
      </c>
      <c r="N73" s="64">
        <v>127.9</v>
      </c>
      <c r="O73" s="64">
        <v>0</v>
      </c>
      <c r="P73" s="64">
        <v>0.31</v>
      </c>
      <c r="Q73" s="64">
        <v>9.52</v>
      </c>
      <c r="R73" s="198"/>
      <c r="S73" s="198"/>
      <c r="T73" s="198"/>
      <c r="U73" s="198"/>
    </row>
    <row r="74" spans="1:21" s="12" customFormat="1" x14ac:dyDescent="0.25">
      <c r="A74" s="214" t="s">
        <v>1270</v>
      </c>
      <c r="B74" s="64">
        <v>7.94</v>
      </c>
      <c r="C74" s="64">
        <v>2.89</v>
      </c>
      <c r="D74" s="64">
        <v>11.65</v>
      </c>
      <c r="E74" s="64">
        <v>4.16</v>
      </c>
      <c r="F74" s="64">
        <v>6.04</v>
      </c>
      <c r="G74" s="64">
        <v>27.03</v>
      </c>
      <c r="H74" s="64">
        <v>2.2799999999999998</v>
      </c>
      <c r="I74" s="64">
        <v>0.88</v>
      </c>
      <c r="J74" s="64">
        <v>0.28999999999999998</v>
      </c>
      <c r="K74" s="64">
        <v>348.16</v>
      </c>
      <c r="L74" s="64">
        <v>29.37</v>
      </c>
      <c r="M74" s="64">
        <v>88.61</v>
      </c>
      <c r="N74" s="64">
        <v>108.5</v>
      </c>
      <c r="O74" s="64">
        <v>0</v>
      </c>
      <c r="P74" s="64">
        <v>0.3</v>
      </c>
      <c r="Q74" s="64">
        <v>9.49</v>
      </c>
      <c r="R74" s="198"/>
      <c r="S74" s="198"/>
      <c r="T74" s="198"/>
      <c r="U74" s="198"/>
    </row>
    <row r="75" spans="1:21" s="12" customFormat="1" x14ac:dyDescent="0.25">
      <c r="A75" s="214" t="s">
        <v>1271</v>
      </c>
      <c r="B75" s="64">
        <v>7.96</v>
      </c>
      <c r="C75" s="64">
        <v>2.95</v>
      </c>
      <c r="D75" s="64">
        <v>11.7</v>
      </c>
      <c r="E75" s="64">
        <v>3.93</v>
      </c>
      <c r="F75" s="64">
        <v>6.15</v>
      </c>
      <c r="G75" s="64">
        <v>27.03</v>
      </c>
      <c r="H75" s="64">
        <v>2.2799999999999998</v>
      </c>
      <c r="I75" s="64">
        <v>0.83</v>
      </c>
      <c r="J75" s="64">
        <v>0.15</v>
      </c>
      <c r="K75" s="64">
        <v>355.12</v>
      </c>
      <c r="L75" s="64">
        <v>29.28</v>
      </c>
      <c r="M75" s="64">
        <v>89.87</v>
      </c>
      <c r="N75" s="64">
        <v>102.5</v>
      </c>
      <c r="O75" s="64">
        <v>0</v>
      </c>
      <c r="P75" s="64">
        <v>0.3</v>
      </c>
      <c r="Q75" s="64">
        <v>9.5</v>
      </c>
      <c r="R75" s="198"/>
      <c r="S75" s="198"/>
      <c r="T75" s="198"/>
      <c r="U75" s="198"/>
    </row>
    <row r="76" spans="1:21" s="12" customFormat="1" x14ac:dyDescent="0.25">
      <c r="A76" s="214" t="s">
        <v>1272</v>
      </c>
      <c r="B76" s="64">
        <v>7.97</v>
      </c>
      <c r="C76" s="64">
        <v>2.96</v>
      </c>
      <c r="D76" s="64">
        <v>11.71</v>
      </c>
      <c r="E76" s="64">
        <v>3.97</v>
      </c>
      <c r="F76" s="64">
        <v>5.22</v>
      </c>
      <c r="G76" s="64">
        <v>26.13</v>
      </c>
      <c r="H76" s="64">
        <v>4.4000000000000004</v>
      </c>
      <c r="I76" s="64">
        <v>0.83</v>
      </c>
      <c r="J76" s="64">
        <v>0.23</v>
      </c>
      <c r="K76" s="64">
        <v>358.32</v>
      </c>
      <c r="L76" s="64">
        <v>28.89</v>
      </c>
      <c r="M76" s="64">
        <v>92.56</v>
      </c>
      <c r="N76" s="64">
        <v>94.3</v>
      </c>
      <c r="O76" s="64">
        <v>0</v>
      </c>
      <c r="P76" s="64">
        <v>0.32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14" t="s">
        <v>1273</v>
      </c>
      <c r="B77" s="64">
        <v>7.96</v>
      </c>
      <c r="C77" s="64">
        <v>2.95</v>
      </c>
      <c r="D77" s="64">
        <v>11.69</v>
      </c>
      <c r="E77" s="64">
        <v>4.46</v>
      </c>
      <c r="F77" s="64">
        <v>4.49</v>
      </c>
      <c r="G77" s="64">
        <v>24.49</v>
      </c>
      <c r="H77" s="64">
        <v>11.14</v>
      </c>
      <c r="I77" s="64">
        <v>0.81</v>
      </c>
      <c r="J77" s="64">
        <v>0.22</v>
      </c>
      <c r="K77" s="64">
        <v>358.52</v>
      </c>
      <c r="L77" s="64">
        <v>28.97</v>
      </c>
      <c r="M77" s="64">
        <v>93.15</v>
      </c>
      <c r="N77" s="64">
        <v>109.4</v>
      </c>
      <c r="O77" s="64">
        <v>0</v>
      </c>
      <c r="P77" s="64">
        <v>0.33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4" t="s">
        <v>1274</v>
      </c>
      <c r="B78" s="64">
        <v>7.97</v>
      </c>
      <c r="C78" s="64">
        <v>2.94</v>
      </c>
      <c r="D78" s="64">
        <v>11.7</v>
      </c>
      <c r="E78" s="64">
        <v>4.41</v>
      </c>
      <c r="F78" s="64">
        <v>4.47</v>
      </c>
      <c r="G78" s="64">
        <v>24.49</v>
      </c>
      <c r="H78" s="64">
        <v>11.14</v>
      </c>
      <c r="I78" s="64">
        <v>0.86</v>
      </c>
      <c r="J78" s="64">
        <v>0.15</v>
      </c>
      <c r="K78" s="64">
        <v>3.78</v>
      </c>
      <c r="L78" s="64">
        <v>28.85</v>
      </c>
      <c r="M78" s="64">
        <v>94.62</v>
      </c>
      <c r="N78" s="64">
        <v>77</v>
      </c>
      <c r="O78" s="64">
        <v>0</v>
      </c>
      <c r="P78" s="64">
        <v>0.33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14" t="s">
        <v>1275</v>
      </c>
      <c r="B79" s="64">
        <v>7.99</v>
      </c>
      <c r="C79" s="64">
        <v>2.99</v>
      </c>
      <c r="D79" s="64">
        <v>11.7</v>
      </c>
      <c r="E79" s="64">
        <v>4.0199999999999996</v>
      </c>
      <c r="F79" s="64">
        <v>4.1500000000000004</v>
      </c>
      <c r="G79" s="64">
        <v>24.49</v>
      </c>
      <c r="H79" s="64">
        <v>11.14</v>
      </c>
      <c r="I79" s="64">
        <v>0.9</v>
      </c>
      <c r="J79" s="64">
        <v>0.17</v>
      </c>
      <c r="K79" s="64">
        <v>354.81</v>
      </c>
      <c r="L79" s="64">
        <v>28.38</v>
      </c>
      <c r="M79" s="64">
        <v>97.3</v>
      </c>
      <c r="N79" s="64">
        <v>55.8</v>
      </c>
      <c r="O79" s="64">
        <v>0</v>
      </c>
      <c r="P79" s="64">
        <v>0.34</v>
      </c>
      <c r="Q79" s="64">
        <v>0</v>
      </c>
      <c r="R79" s="198"/>
      <c r="S79" s="198"/>
      <c r="T79" s="198"/>
      <c r="U79" s="198"/>
    </row>
    <row r="80" spans="1:21" s="12" customFormat="1" x14ac:dyDescent="0.25">
      <c r="A80" s="214" t="s">
        <v>1276</v>
      </c>
      <c r="B80" s="64">
        <v>7.95</v>
      </c>
      <c r="C80" s="64">
        <v>2.94</v>
      </c>
      <c r="D80" s="64">
        <v>11.69</v>
      </c>
      <c r="E80" s="64">
        <v>3.96</v>
      </c>
      <c r="F80" s="64">
        <v>3.39</v>
      </c>
      <c r="G80" s="64">
        <v>24.3</v>
      </c>
      <c r="H80" s="64">
        <v>8.3800000000000008</v>
      </c>
      <c r="I80" s="64">
        <v>0.96</v>
      </c>
      <c r="J80" s="64">
        <v>0.16</v>
      </c>
      <c r="K80" s="64">
        <v>359.56</v>
      </c>
      <c r="L80" s="64">
        <v>28.14</v>
      </c>
      <c r="M80" s="64">
        <v>97.52</v>
      </c>
      <c r="N80" s="64">
        <v>50.5</v>
      </c>
      <c r="O80" s="64">
        <v>0</v>
      </c>
      <c r="P80" s="64">
        <v>0.34</v>
      </c>
      <c r="Q80" s="64">
        <v>9.57</v>
      </c>
      <c r="R80" s="198"/>
      <c r="S80" s="198"/>
      <c r="T80" s="198"/>
      <c r="U80" s="198"/>
    </row>
    <row r="81" spans="1:26" s="12" customFormat="1" x14ac:dyDescent="0.25">
      <c r="A81" s="214" t="s">
        <v>1277</v>
      </c>
      <c r="B81" s="64">
        <v>7.94</v>
      </c>
      <c r="C81" s="64">
        <v>2.92</v>
      </c>
      <c r="D81" s="64">
        <v>11.66</v>
      </c>
      <c r="E81" s="64">
        <v>4.16</v>
      </c>
      <c r="F81" s="64">
        <v>3.81</v>
      </c>
      <c r="G81" s="64">
        <v>23.97</v>
      </c>
      <c r="H81" s="64">
        <v>5.29</v>
      </c>
      <c r="I81" s="64">
        <v>1.06</v>
      </c>
      <c r="J81" s="64">
        <v>0.08</v>
      </c>
      <c r="K81" s="64">
        <v>324.77</v>
      </c>
      <c r="L81" s="64">
        <v>27.95</v>
      </c>
      <c r="M81" s="64">
        <v>98.42</v>
      </c>
      <c r="N81" s="64">
        <v>42.2</v>
      </c>
      <c r="O81" s="64">
        <v>0</v>
      </c>
      <c r="P81" s="64">
        <v>0.34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1278</v>
      </c>
      <c r="B82" s="64">
        <v>7.93</v>
      </c>
      <c r="C82" s="64">
        <v>2.94</v>
      </c>
      <c r="D82" s="64">
        <v>11.67</v>
      </c>
      <c r="E82" s="64">
        <v>4.75</v>
      </c>
      <c r="F82" s="64">
        <v>3.98</v>
      </c>
      <c r="G82" s="64">
        <v>23.97</v>
      </c>
      <c r="H82" s="64">
        <v>5.29</v>
      </c>
      <c r="I82" s="64">
        <v>1.23</v>
      </c>
      <c r="J82" s="64">
        <v>0.1</v>
      </c>
      <c r="K82" s="64">
        <v>349.2</v>
      </c>
      <c r="L82" s="64">
        <v>27.78</v>
      </c>
      <c r="M82" s="64">
        <v>99.37</v>
      </c>
      <c r="N82" s="64">
        <v>39.799999999999997</v>
      </c>
      <c r="O82" s="64">
        <v>0</v>
      </c>
      <c r="P82" s="64">
        <v>0.35</v>
      </c>
      <c r="Q82" s="64">
        <v>9.57</v>
      </c>
      <c r="R82" s="198"/>
      <c r="S82" s="198"/>
      <c r="T82" s="198"/>
      <c r="U82" s="198"/>
    </row>
    <row r="83" spans="1:26" s="12" customFormat="1" x14ac:dyDescent="0.25">
      <c r="A83" s="214" t="s">
        <v>1279</v>
      </c>
      <c r="B83" s="64">
        <v>7.92</v>
      </c>
      <c r="C83" s="64">
        <v>3.01</v>
      </c>
      <c r="D83" s="64">
        <v>11.7</v>
      </c>
      <c r="E83" s="64">
        <v>4.1500000000000004</v>
      </c>
      <c r="F83" s="64">
        <v>4.68</v>
      </c>
      <c r="G83" s="64">
        <v>23.97</v>
      </c>
      <c r="H83" s="64">
        <v>5.29</v>
      </c>
      <c r="I83" s="64">
        <v>1.31</v>
      </c>
      <c r="J83" s="64">
        <v>0.14000000000000001</v>
      </c>
      <c r="K83" s="64">
        <v>356.85</v>
      </c>
      <c r="L83" s="64">
        <v>27.57</v>
      </c>
      <c r="M83" s="64">
        <v>100.44</v>
      </c>
      <c r="N83" s="64">
        <v>39.6</v>
      </c>
      <c r="O83" s="64">
        <v>0</v>
      </c>
      <c r="P83" s="64">
        <v>0.35</v>
      </c>
      <c r="Q83" s="64">
        <v>9.57</v>
      </c>
      <c r="R83" s="198"/>
      <c r="S83" s="198"/>
      <c r="T83" s="198"/>
      <c r="U83" s="198"/>
    </row>
    <row r="84" spans="1:26" s="12" customFormat="1" x14ac:dyDescent="0.25">
      <c r="A84" s="214" t="s">
        <v>1280</v>
      </c>
      <c r="B84" s="64">
        <v>7.91</v>
      </c>
      <c r="C84" s="64">
        <v>2.98</v>
      </c>
      <c r="D84" s="64">
        <v>11.68</v>
      </c>
      <c r="E84" s="64">
        <v>4.16</v>
      </c>
      <c r="F84" s="64">
        <v>4.5199999999999996</v>
      </c>
      <c r="G84" s="64">
        <v>24.39</v>
      </c>
      <c r="H84" s="64">
        <v>27.7</v>
      </c>
      <c r="I84" s="64">
        <v>1.37</v>
      </c>
      <c r="J84" s="64">
        <v>0.03</v>
      </c>
      <c r="K84" s="64">
        <v>258.17</v>
      </c>
      <c r="L84" s="64">
        <v>27.46</v>
      </c>
      <c r="M84" s="64">
        <v>100.84</v>
      </c>
      <c r="N84" s="64">
        <v>39.6</v>
      </c>
      <c r="O84" s="64">
        <v>0</v>
      </c>
      <c r="P84" s="64">
        <v>0.37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4" t="s">
        <v>1281</v>
      </c>
      <c r="B85" s="64">
        <v>7.9</v>
      </c>
      <c r="C85" s="64">
        <v>2.96</v>
      </c>
      <c r="D85" s="64">
        <v>11.65</v>
      </c>
      <c r="E85" s="64">
        <v>4.53</v>
      </c>
      <c r="F85" s="64">
        <v>2.81</v>
      </c>
      <c r="G85" s="64">
        <v>25.14</v>
      </c>
      <c r="H85" s="64">
        <v>13.01</v>
      </c>
      <c r="I85" s="64">
        <v>1.32</v>
      </c>
      <c r="J85" s="64">
        <v>0.1</v>
      </c>
      <c r="K85" s="64">
        <v>347.7</v>
      </c>
      <c r="L85" s="64">
        <v>27.32</v>
      </c>
      <c r="M85" s="64">
        <v>101.15</v>
      </c>
      <c r="N85" s="64">
        <v>39.6</v>
      </c>
      <c r="O85" s="64">
        <v>0</v>
      </c>
      <c r="P85" s="64">
        <v>0.35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4" t="s">
        <v>1282</v>
      </c>
      <c r="B86" s="64">
        <v>7.94</v>
      </c>
      <c r="C86" s="64">
        <v>3</v>
      </c>
      <c r="D86" s="64">
        <v>11.7</v>
      </c>
      <c r="E86" s="64">
        <v>3.96</v>
      </c>
      <c r="F86" s="64">
        <v>3.8</v>
      </c>
      <c r="G86" s="64">
        <v>25.14</v>
      </c>
      <c r="H86" s="64">
        <v>13.01</v>
      </c>
      <c r="I86" s="64">
        <v>1.52</v>
      </c>
      <c r="J86" s="64">
        <v>0.04</v>
      </c>
      <c r="K86" s="64">
        <v>337.65</v>
      </c>
      <c r="L86" s="64">
        <v>27.35</v>
      </c>
      <c r="M86" s="64">
        <v>101.22</v>
      </c>
      <c r="N86" s="64">
        <v>39.6</v>
      </c>
      <c r="O86" s="64">
        <v>0</v>
      </c>
      <c r="P86" s="64">
        <v>0.36</v>
      </c>
      <c r="Q86" s="64">
        <v>9.57</v>
      </c>
      <c r="R86" s="198"/>
      <c r="S86" s="198"/>
      <c r="T86" s="198"/>
      <c r="U86" s="198"/>
    </row>
    <row r="87" spans="1:26" s="12" customFormat="1" x14ac:dyDescent="0.25">
      <c r="A87" s="214" t="s">
        <v>1283</v>
      </c>
      <c r="B87" s="64">
        <v>7.95</v>
      </c>
      <c r="C87" s="64">
        <v>2.94</v>
      </c>
      <c r="D87" s="64">
        <v>11.68</v>
      </c>
      <c r="E87" s="64">
        <v>4.04</v>
      </c>
      <c r="F87" s="64">
        <v>4.71</v>
      </c>
      <c r="G87" s="64">
        <v>25.14</v>
      </c>
      <c r="H87" s="64">
        <v>13.01</v>
      </c>
      <c r="I87" s="64">
        <v>1.68</v>
      </c>
      <c r="J87" s="64">
        <v>0.01</v>
      </c>
      <c r="K87" s="64">
        <v>71.7</v>
      </c>
      <c r="L87" s="64">
        <v>27.03</v>
      </c>
      <c r="M87" s="64">
        <v>101.72</v>
      </c>
      <c r="N87" s="64">
        <v>39.6</v>
      </c>
      <c r="O87" s="64">
        <v>0</v>
      </c>
      <c r="P87" s="64">
        <v>0.38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4" t="s">
        <v>1284</v>
      </c>
      <c r="B88" s="64">
        <v>7.92</v>
      </c>
      <c r="C88" s="64">
        <v>2.97</v>
      </c>
      <c r="D88" s="64">
        <v>11.68</v>
      </c>
      <c r="E88" s="64">
        <v>3.53</v>
      </c>
      <c r="F88" s="64">
        <v>3.15</v>
      </c>
      <c r="G88" s="64">
        <v>24.43</v>
      </c>
      <c r="H88" s="64">
        <v>14.36</v>
      </c>
      <c r="I88" s="64">
        <v>1.74</v>
      </c>
      <c r="J88" s="64">
        <v>0.06</v>
      </c>
      <c r="K88" s="64">
        <v>5.15</v>
      </c>
      <c r="L88" s="64">
        <v>27.01</v>
      </c>
      <c r="M88" s="64">
        <v>101.74</v>
      </c>
      <c r="N88" s="64">
        <v>39.4</v>
      </c>
      <c r="O88" s="64">
        <v>0</v>
      </c>
      <c r="P88" s="64">
        <v>0.38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4" t="s">
        <v>1285</v>
      </c>
      <c r="B89" s="64">
        <v>7.96</v>
      </c>
      <c r="C89" s="64">
        <v>2.95</v>
      </c>
      <c r="D89" s="64">
        <v>11.7</v>
      </c>
      <c r="E89" s="64">
        <v>4.8</v>
      </c>
      <c r="F89" s="64">
        <v>3.66</v>
      </c>
      <c r="G89" s="64">
        <v>23.14</v>
      </c>
      <c r="H89" s="64">
        <v>9.77</v>
      </c>
      <c r="I89" s="64">
        <v>1.8</v>
      </c>
      <c r="J89" s="64">
        <v>0.15</v>
      </c>
      <c r="K89" s="64">
        <v>15.47</v>
      </c>
      <c r="L89" s="64">
        <v>27.17</v>
      </c>
      <c r="M89" s="64">
        <v>101.71</v>
      </c>
      <c r="N89" s="64">
        <v>39.299999999999997</v>
      </c>
      <c r="O89" s="64">
        <v>0</v>
      </c>
      <c r="P89" s="64">
        <v>0.38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14" t="s">
        <v>1286</v>
      </c>
      <c r="B90" s="64">
        <v>7.96</v>
      </c>
      <c r="C90" s="64">
        <v>2.94</v>
      </c>
      <c r="D90" s="64">
        <v>11.69</v>
      </c>
      <c r="E90" s="64">
        <v>4.4000000000000004</v>
      </c>
      <c r="F90" s="64">
        <v>3.88</v>
      </c>
      <c r="G90" s="64">
        <v>23.14</v>
      </c>
      <c r="H90" s="64">
        <v>9.77</v>
      </c>
      <c r="I90" s="64">
        <v>1.9</v>
      </c>
      <c r="J90" s="64">
        <v>0.02</v>
      </c>
      <c r="K90" s="64">
        <v>243.67</v>
      </c>
      <c r="L90" s="64">
        <v>27.11</v>
      </c>
      <c r="M90" s="64">
        <v>101.72</v>
      </c>
      <c r="N90" s="64">
        <v>39.299999999999997</v>
      </c>
      <c r="O90" s="64">
        <v>0</v>
      </c>
      <c r="P90" s="64">
        <v>0.38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14" t="s">
        <v>1287</v>
      </c>
      <c r="B91" s="64">
        <v>7.95</v>
      </c>
      <c r="C91" s="64">
        <v>2.94</v>
      </c>
      <c r="D91" s="64">
        <v>11.68</v>
      </c>
      <c r="E91" s="64">
        <v>4.43</v>
      </c>
      <c r="F91" s="64">
        <v>3.8</v>
      </c>
      <c r="G91" s="64">
        <v>23.14</v>
      </c>
      <c r="H91" s="64">
        <v>9.77</v>
      </c>
      <c r="I91" s="64">
        <v>1.92</v>
      </c>
      <c r="J91" s="64">
        <v>0.23</v>
      </c>
      <c r="K91" s="64">
        <v>150.13999999999999</v>
      </c>
      <c r="L91" s="64">
        <v>26.85</v>
      </c>
      <c r="M91" s="64">
        <v>101.73</v>
      </c>
      <c r="N91" s="64">
        <v>39.5</v>
      </c>
      <c r="O91" s="64">
        <v>0</v>
      </c>
      <c r="P91" s="64">
        <v>0.38</v>
      </c>
      <c r="Q91" s="64">
        <v>9.58</v>
      </c>
      <c r="R91" s="198"/>
      <c r="S91" s="198"/>
      <c r="T91" s="198"/>
      <c r="U91" s="198"/>
    </row>
    <row r="92" spans="1:26" s="12" customFormat="1" x14ac:dyDescent="0.25">
      <c r="A92" s="214" t="s">
        <v>1288</v>
      </c>
      <c r="B92" s="64">
        <v>7.98</v>
      </c>
      <c r="C92" s="64">
        <v>2.96</v>
      </c>
      <c r="D92" s="64">
        <v>11.72</v>
      </c>
      <c r="E92" s="64">
        <v>4.25</v>
      </c>
      <c r="F92" s="64">
        <v>3.94</v>
      </c>
      <c r="G92" s="64">
        <v>23.94</v>
      </c>
      <c r="H92" s="64">
        <v>7.9</v>
      </c>
      <c r="I92" s="64">
        <v>1.94</v>
      </c>
      <c r="J92" s="64">
        <v>0.05</v>
      </c>
      <c r="K92" s="64">
        <v>124.11</v>
      </c>
      <c r="L92" s="64">
        <v>26.63</v>
      </c>
      <c r="M92" s="64">
        <v>101.75</v>
      </c>
      <c r="N92" s="64">
        <v>39.6</v>
      </c>
      <c r="O92" s="64">
        <v>0</v>
      </c>
      <c r="P92" s="64">
        <v>0.38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4" t="s">
        <v>1289</v>
      </c>
      <c r="B93" s="64">
        <v>7.98</v>
      </c>
      <c r="C93" s="64">
        <v>2.94</v>
      </c>
      <c r="D93" s="64">
        <v>11.71</v>
      </c>
      <c r="E93" s="64">
        <v>4.78</v>
      </c>
      <c r="F93" s="64">
        <v>3.42</v>
      </c>
      <c r="G93" s="64">
        <v>25.4</v>
      </c>
      <c r="H93" s="64">
        <v>1.95</v>
      </c>
      <c r="I93" s="64">
        <v>2.11</v>
      </c>
      <c r="J93" s="64">
        <v>0.04</v>
      </c>
      <c r="K93" s="64">
        <v>155.38</v>
      </c>
      <c r="L93" s="64">
        <v>26.5</v>
      </c>
      <c r="M93" s="64">
        <v>101.75</v>
      </c>
      <c r="N93" s="64">
        <v>39.4</v>
      </c>
      <c r="O93" s="64">
        <v>0</v>
      </c>
      <c r="P93" s="64">
        <v>0.38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4" t="s">
        <v>1290</v>
      </c>
      <c r="B94" s="64">
        <v>7.96</v>
      </c>
      <c r="C94" s="64">
        <v>2.93</v>
      </c>
      <c r="D94" s="64">
        <v>11.69</v>
      </c>
      <c r="E94" s="64">
        <v>4.22</v>
      </c>
      <c r="F94" s="64">
        <v>3.14</v>
      </c>
      <c r="G94" s="64">
        <v>25.4</v>
      </c>
      <c r="H94" s="64">
        <v>1.95</v>
      </c>
      <c r="I94" s="64">
        <v>2.38</v>
      </c>
      <c r="J94" s="64">
        <v>0.05</v>
      </c>
      <c r="K94" s="64">
        <v>158.69999999999999</v>
      </c>
      <c r="L94" s="64">
        <v>26.46</v>
      </c>
      <c r="M94" s="64">
        <v>101.75</v>
      </c>
      <c r="N94" s="64">
        <v>39.299999999999997</v>
      </c>
      <c r="O94" s="64">
        <v>0</v>
      </c>
      <c r="P94" s="64">
        <v>0.38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4" t="s">
        <v>1291</v>
      </c>
      <c r="B95" s="64">
        <v>7.98</v>
      </c>
      <c r="C95" s="64">
        <v>2.95</v>
      </c>
      <c r="D95" s="64">
        <v>11.71</v>
      </c>
      <c r="E95" s="64">
        <v>4.55</v>
      </c>
      <c r="F95" s="64">
        <v>3.77</v>
      </c>
      <c r="G95" s="64">
        <v>25.4</v>
      </c>
      <c r="H95" s="64">
        <v>1.95</v>
      </c>
      <c r="I95" s="64">
        <v>2.6</v>
      </c>
      <c r="J95" s="64">
        <v>0.04</v>
      </c>
      <c r="K95" s="64">
        <v>190.06</v>
      </c>
      <c r="L95" s="64">
        <v>26.37</v>
      </c>
      <c r="M95" s="64">
        <v>101.75</v>
      </c>
      <c r="N95" s="64">
        <v>39.200000000000003</v>
      </c>
      <c r="O95" s="64">
        <v>0</v>
      </c>
      <c r="P95" s="64">
        <v>0.38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4" t="s">
        <v>1292</v>
      </c>
      <c r="B96" s="64">
        <v>7.97</v>
      </c>
      <c r="C96" s="64">
        <v>2.94</v>
      </c>
      <c r="D96" s="64">
        <v>11.7</v>
      </c>
      <c r="E96" s="64">
        <v>4.3499999999999996</v>
      </c>
      <c r="F96" s="64">
        <v>4.16</v>
      </c>
      <c r="G96" s="64">
        <v>26.22</v>
      </c>
      <c r="H96" s="64">
        <v>13.24</v>
      </c>
      <c r="I96" s="64">
        <v>2.76</v>
      </c>
      <c r="J96" s="64">
        <v>0.01</v>
      </c>
      <c r="K96" s="64">
        <v>141.44999999999999</v>
      </c>
      <c r="L96" s="64">
        <v>26.28</v>
      </c>
      <c r="M96" s="64">
        <v>101.75</v>
      </c>
      <c r="N96" s="64">
        <v>39.200000000000003</v>
      </c>
      <c r="O96" s="64">
        <v>0</v>
      </c>
      <c r="P96" s="64">
        <v>0.38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1293</v>
      </c>
      <c r="B97" s="64">
        <v>7.96</v>
      </c>
      <c r="C97" s="64">
        <v>2.91</v>
      </c>
      <c r="D97" s="64">
        <v>11.68</v>
      </c>
      <c r="E97" s="64">
        <v>4.8099999999999996</v>
      </c>
      <c r="F97" s="64">
        <v>4.87</v>
      </c>
      <c r="G97" s="64">
        <v>27.7</v>
      </c>
      <c r="H97" s="64">
        <v>25.98</v>
      </c>
      <c r="I97" s="64">
        <v>2.91</v>
      </c>
      <c r="J97" s="64">
        <v>0.17</v>
      </c>
      <c r="K97" s="64">
        <v>161</v>
      </c>
      <c r="L97" s="64">
        <v>26.24</v>
      </c>
      <c r="M97" s="64">
        <v>101.75</v>
      </c>
      <c r="N97" s="64">
        <v>39.200000000000003</v>
      </c>
      <c r="O97" s="64">
        <v>0</v>
      </c>
      <c r="P97" s="64">
        <v>0.38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4" t="s">
        <v>1294</v>
      </c>
      <c r="B98" s="64">
        <v>7.94</v>
      </c>
      <c r="C98" s="64">
        <v>2.91</v>
      </c>
      <c r="D98" s="64">
        <v>11.66</v>
      </c>
      <c r="E98" s="64">
        <v>4.88</v>
      </c>
      <c r="F98" s="64">
        <v>8.5399999999999991</v>
      </c>
      <c r="G98" s="64">
        <v>27.7</v>
      </c>
      <c r="H98" s="64">
        <v>25.98</v>
      </c>
      <c r="I98" s="64">
        <v>2.99</v>
      </c>
      <c r="J98" s="64">
        <v>0.11</v>
      </c>
      <c r="K98" s="64">
        <v>167.39</v>
      </c>
      <c r="L98" s="64">
        <v>26.21</v>
      </c>
      <c r="M98" s="64">
        <v>101.75</v>
      </c>
      <c r="N98" s="64">
        <v>39.200000000000003</v>
      </c>
      <c r="O98" s="64">
        <v>0</v>
      </c>
      <c r="P98" s="64">
        <v>0.39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14" t="s">
        <v>1295</v>
      </c>
      <c r="B99" s="64">
        <v>7.93</v>
      </c>
      <c r="C99" s="64">
        <v>2.95</v>
      </c>
      <c r="D99" s="64">
        <v>11.68</v>
      </c>
      <c r="E99" s="64">
        <v>4.84</v>
      </c>
      <c r="F99" s="64">
        <v>2.86</v>
      </c>
      <c r="G99" s="64">
        <v>27.7</v>
      </c>
      <c r="H99" s="64">
        <v>25.98</v>
      </c>
      <c r="I99" s="64">
        <v>3.04</v>
      </c>
      <c r="J99" s="64">
        <v>0.06</v>
      </c>
      <c r="K99" s="64">
        <v>179.37</v>
      </c>
      <c r="L99" s="64">
        <v>26.2</v>
      </c>
      <c r="M99" s="64">
        <v>101.75</v>
      </c>
      <c r="N99" s="64">
        <v>39.299999999999997</v>
      </c>
      <c r="O99" s="64">
        <v>0</v>
      </c>
      <c r="P99" s="64">
        <v>0.39</v>
      </c>
      <c r="Q99" s="64">
        <v>9.52</v>
      </c>
      <c r="R99" s="198"/>
      <c r="S99" s="198"/>
      <c r="T99" s="198"/>
      <c r="U99" s="198"/>
    </row>
    <row r="100" spans="1:33" s="12" customFormat="1" x14ac:dyDescent="0.25">
      <c r="A100" s="214" t="s">
        <v>1296</v>
      </c>
      <c r="B100" s="64">
        <v>7.95</v>
      </c>
      <c r="C100" s="64">
        <v>2.98</v>
      </c>
      <c r="D100" s="64">
        <v>11.71</v>
      </c>
      <c r="E100" s="64">
        <v>4.46</v>
      </c>
      <c r="F100" s="64">
        <v>3.16</v>
      </c>
      <c r="G100" s="64">
        <v>25.37</v>
      </c>
      <c r="H100" s="64">
        <v>16.98</v>
      </c>
      <c r="I100" s="64">
        <v>2.96</v>
      </c>
      <c r="J100" s="64">
        <v>0.06</v>
      </c>
      <c r="K100" s="64">
        <v>223.46</v>
      </c>
      <c r="L100" s="64">
        <v>26.15</v>
      </c>
      <c r="M100" s="64">
        <v>101.75</v>
      </c>
      <c r="N100" s="64">
        <v>39.299999999999997</v>
      </c>
      <c r="O100" s="64">
        <v>0</v>
      </c>
      <c r="P100" s="64">
        <v>0.36</v>
      </c>
      <c r="Q100" s="64">
        <v>9.5399999999999991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1297</v>
      </c>
      <c r="B101" s="64">
        <v>7.94</v>
      </c>
      <c r="C101" s="64">
        <v>2.94</v>
      </c>
      <c r="D101" s="64">
        <v>11.68</v>
      </c>
      <c r="E101" s="64">
        <v>4.4800000000000004</v>
      </c>
      <c r="F101" s="64">
        <v>5.0199999999999996</v>
      </c>
      <c r="G101" s="64">
        <v>21.15</v>
      </c>
      <c r="H101" s="64">
        <v>6.82</v>
      </c>
      <c r="I101" s="64">
        <v>2.93</v>
      </c>
      <c r="J101" s="64">
        <v>7.0000000000000007E-2</v>
      </c>
      <c r="K101" s="64">
        <v>122.99</v>
      </c>
      <c r="L101" s="64">
        <v>26.08</v>
      </c>
      <c r="M101" s="64">
        <v>101.75</v>
      </c>
      <c r="N101" s="64">
        <v>39.299999999999997</v>
      </c>
      <c r="O101" s="64">
        <v>0</v>
      </c>
      <c r="P101" s="64">
        <v>0.38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14" t="s">
        <v>1298</v>
      </c>
      <c r="B102" s="64">
        <v>7.93</v>
      </c>
      <c r="C102" s="64">
        <v>2.89</v>
      </c>
      <c r="D102" s="64">
        <v>11.65</v>
      </c>
      <c r="E102" s="64">
        <v>4.83</v>
      </c>
      <c r="F102" s="64">
        <v>3.26</v>
      </c>
      <c r="G102" s="64">
        <v>21.15</v>
      </c>
      <c r="H102" s="64">
        <v>6.82</v>
      </c>
      <c r="I102" s="64">
        <v>2.91</v>
      </c>
      <c r="J102" s="64">
        <v>0.01</v>
      </c>
      <c r="K102" s="64">
        <v>313.11</v>
      </c>
      <c r="L102" s="64">
        <v>26.01</v>
      </c>
      <c r="M102" s="64">
        <v>101.75</v>
      </c>
      <c r="N102" s="64">
        <v>39.299999999999997</v>
      </c>
      <c r="O102" s="64">
        <v>0</v>
      </c>
      <c r="P102" s="64">
        <v>0.37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14" t="s">
        <v>1299</v>
      </c>
      <c r="B103" s="64">
        <v>7.95</v>
      </c>
      <c r="C103" s="64">
        <v>2.94</v>
      </c>
      <c r="D103" s="64">
        <v>11.69</v>
      </c>
      <c r="E103" s="64">
        <v>4.78</v>
      </c>
      <c r="F103" s="64">
        <v>2.63</v>
      </c>
      <c r="G103" s="64">
        <v>21.15</v>
      </c>
      <c r="H103" s="64">
        <v>6.82</v>
      </c>
      <c r="I103" s="64">
        <v>2.87</v>
      </c>
      <c r="J103" s="64">
        <v>0.06</v>
      </c>
      <c r="K103" s="64">
        <v>139.05000000000001</v>
      </c>
      <c r="L103" s="64">
        <v>25.95</v>
      </c>
      <c r="M103" s="64">
        <v>101.77</v>
      </c>
      <c r="N103" s="64">
        <v>39.299999999999997</v>
      </c>
      <c r="O103" s="64">
        <v>0</v>
      </c>
      <c r="P103" s="64">
        <v>0.35</v>
      </c>
      <c r="Q103" s="64">
        <v>9.5299999999999994</v>
      </c>
      <c r="R103" s="198"/>
      <c r="S103" s="198"/>
      <c r="T103" s="198"/>
      <c r="U103" s="198"/>
    </row>
    <row r="104" spans="1:33" s="12" customFormat="1" x14ac:dyDescent="0.25">
      <c r="A104" s="214" t="s">
        <v>1300</v>
      </c>
      <c r="B104" s="64">
        <v>7.96</v>
      </c>
      <c r="C104" s="64">
        <v>2.93</v>
      </c>
      <c r="D104" s="64">
        <v>11.69</v>
      </c>
      <c r="E104" s="64">
        <v>4.5599999999999996</v>
      </c>
      <c r="F104" s="64">
        <v>4.0199999999999996</v>
      </c>
      <c r="G104" s="64">
        <v>20.48</v>
      </c>
      <c r="H104" s="64">
        <v>36.729999999999997</v>
      </c>
      <c r="I104" s="64">
        <v>2.85</v>
      </c>
      <c r="J104" s="64">
        <v>0.08</v>
      </c>
      <c r="K104" s="64">
        <v>110.28</v>
      </c>
      <c r="L104" s="64">
        <v>25.89</v>
      </c>
      <c r="M104" s="64">
        <v>101.76</v>
      </c>
      <c r="N104" s="64">
        <v>39.299999999999997</v>
      </c>
      <c r="O104" s="64">
        <v>0</v>
      </c>
      <c r="P104" s="64">
        <v>0.35</v>
      </c>
      <c r="Q104" s="64">
        <v>9.59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</v>
      </c>
      <c r="C106" s="67">
        <f>MIN(C9:C104)</f>
        <v>2.87</v>
      </c>
      <c r="D106" s="67">
        <f t="shared" ref="D106:Q106" si="0">MIN(D9:D104)</f>
        <v>11.63</v>
      </c>
      <c r="E106" s="67">
        <f t="shared" si="0"/>
        <v>2.52</v>
      </c>
      <c r="F106" s="67">
        <f t="shared" si="0"/>
        <v>2.14</v>
      </c>
      <c r="G106" s="67">
        <f t="shared" si="0"/>
        <v>10.88</v>
      </c>
      <c r="H106" s="67">
        <f t="shared" si="0"/>
        <v>0.01</v>
      </c>
      <c r="I106" s="67">
        <f t="shared" si="0"/>
        <v>0.81</v>
      </c>
      <c r="J106" s="67">
        <f t="shared" si="0"/>
        <v>0.01</v>
      </c>
      <c r="K106" s="67">
        <f t="shared" si="0"/>
        <v>3.78</v>
      </c>
      <c r="L106" s="67">
        <f t="shared" si="0"/>
        <v>25.63</v>
      </c>
      <c r="M106" s="67">
        <f t="shared" si="0"/>
        <v>88.61</v>
      </c>
      <c r="N106" s="67">
        <f t="shared" si="0"/>
        <v>39.200000000000003</v>
      </c>
      <c r="O106" s="67">
        <f t="shared" si="0"/>
        <v>0</v>
      </c>
      <c r="P106" s="67">
        <f t="shared" si="0"/>
        <v>0.24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7.99</v>
      </c>
      <c r="C107" s="66">
        <f t="shared" ref="C107:Q107" si="1">MAX(C9:C104)</f>
        <v>3.03</v>
      </c>
      <c r="D107" s="66">
        <f t="shared" si="1"/>
        <v>11.75</v>
      </c>
      <c r="E107" s="66">
        <f t="shared" si="1"/>
        <v>4.88</v>
      </c>
      <c r="F107" s="66">
        <f t="shared" si="1"/>
        <v>8.5399999999999991</v>
      </c>
      <c r="G107" s="66">
        <f t="shared" si="1"/>
        <v>27.7</v>
      </c>
      <c r="H107" s="66">
        <f t="shared" si="1"/>
        <v>36.729999999999997</v>
      </c>
      <c r="I107" s="66">
        <f t="shared" si="1"/>
        <v>3.04</v>
      </c>
      <c r="J107" s="66">
        <f t="shared" si="1"/>
        <v>0.33</v>
      </c>
      <c r="K107" s="66">
        <f t="shared" si="1"/>
        <v>359.56</v>
      </c>
      <c r="L107" s="66">
        <f t="shared" si="1"/>
        <v>29.41</v>
      </c>
      <c r="M107" s="66">
        <f t="shared" si="1"/>
        <v>101.78</v>
      </c>
      <c r="N107" s="66">
        <f t="shared" si="1"/>
        <v>698.5</v>
      </c>
      <c r="O107" s="66">
        <f t="shared" si="1"/>
        <v>0</v>
      </c>
      <c r="P107" s="66">
        <f t="shared" si="1"/>
        <v>0.39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7.9468750000000092</v>
      </c>
      <c r="C108" s="67">
        <f t="shared" ref="C108:Q108" si="2">AVERAGE(C9:C104)</f>
        <v>2.9349999999999992</v>
      </c>
      <c r="D108" s="67">
        <f t="shared" si="2"/>
        <v>11.679687500000005</v>
      </c>
      <c r="E108" s="67">
        <f t="shared" si="2"/>
        <v>3.9186458333333323</v>
      </c>
      <c r="F108" s="67">
        <f t="shared" si="2"/>
        <v>4.2343750000000009</v>
      </c>
      <c r="G108" s="67">
        <f t="shared" si="2"/>
        <v>19.999895833333344</v>
      </c>
      <c r="H108" s="67">
        <f t="shared" si="2"/>
        <v>8.5119791666666682</v>
      </c>
      <c r="I108" s="67">
        <f t="shared" si="2"/>
        <v>1.566979166666667</v>
      </c>
      <c r="J108" s="67">
        <f t="shared" si="2"/>
        <v>0.13187500000000005</v>
      </c>
      <c r="K108" s="67">
        <f t="shared" si="2"/>
        <v>248.87760416666666</v>
      </c>
      <c r="L108" s="67">
        <f t="shared" si="2"/>
        <v>27.296458333333337</v>
      </c>
      <c r="M108" s="67">
        <f t="shared" si="2"/>
        <v>98.513125000000002</v>
      </c>
      <c r="N108" s="67">
        <f t="shared" si="2"/>
        <v>136.19479166666662</v>
      </c>
      <c r="O108" s="67">
        <f t="shared" si="2"/>
        <v>0</v>
      </c>
      <c r="P108" s="67">
        <f t="shared" si="2"/>
        <v>0.30833333333333324</v>
      </c>
      <c r="Q108" s="67">
        <f t="shared" si="2"/>
        <v>9.4559375000000028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2.038123491945731E-2</v>
      </c>
      <c r="C109" s="67">
        <f t="shared" ref="C109:Q109" si="3">STDEV(C9:C104)</f>
        <v>3.1388901826835805E-2</v>
      </c>
      <c r="D109" s="67">
        <f t="shared" si="3"/>
        <v>2.6054724796292152E-2</v>
      </c>
      <c r="E109" s="67">
        <f t="shared" si="3"/>
        <v>0.55526498139303615</v>
      </c>
      <c r="F109" s="67">
        <f t="shared" si="3"/>
        <v>1.0419160613731608</v>
      </c>
      <c r="G109" s="67">
        <f t="shared" si="3"/>
        <v>6.1454807520034915</v>
      </c>
      <c r="H109" s="67">
        <f t="shared" si="3"/>
        <v>7.6306143257954675</v>
      </c>
      <c r="I109" s="67">
        <f t="shared" si="3"/>
        <v>0.57204364903694915</v>
      </c>
      <c r="J109" s="67">
        <f t="shared" si="3"/>
        <v>8.809459628567945E-2</v>
      </c>
      <c r="K109" s="67">
        <f t="shared" si="3"/>
        <v>119.79627874674567</v>
      </c>
      <c r="L109" s="67">
        <f t="shared" si="3"/>
        <v>1.2737280377047089</v>
      </c>
      <c r="M109" s="67">
        <f t="shared" si="3"/>
        <v>4.3527202172289545</v>
      </c>
      <c r="N109" s="67">
        <f t="shared" si="3"/>
        <v>138.24930674217876</v>
      </c>
      <c r="O109" s="67">
        <f t="shared" si="3"/>
        <v>0</v>
      </c>
      <c r="P109" s="67">
        <f t="shared" si="3"/>
        <v>4.9004117263470759E-2</v>
      </c>
      <c r="Q109" s="67">
        <f t="shared" si="3"/>
        <v>0.9761164491843819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26" sqref="F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1301</v>
      </c>
      <c r="B9" s="64">
        <v>7.95</v>
      </c>
      <c r="C9" s="64">
        <v>2.91</v>
      </c>
      <c r="D9" s="64">
        <v>11.67</v>
      </c>
      <c r="E9" s="64">
        <v>4.41</v>
      </c>
      <c r="F9" s="64">
        <v>4.58</v>
      </c>
      <c r="G9" s="64">
        <v>19.260000000000002</v>
      </c>
      <c r="H9" s="64">
        <v>7.51</v>
      </c>
      <c r="I9" s="64">
        <v>2.76</v>
      </c>
      <c r="J9" s="64">
        <v>0.02</v>
      </c>
      <c r="K9" s="64">
        <v>161.55000000000001</v>
      </c>
      <c r="L9" s="64">
        <v>25.89</v>
      </c>
      <c r="M9" s="64">
        <v>101.75</v>
      </c>
      <c r="N9" s="64">
        <v>39.200000000000003</v>
      </c>
      <c r="O9" s="64">
        <v>0</v>
      </c>
      <c r="P9" s="64">
        <v>0.36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1302</v>
      </c>
      <c r="B10" s="64">
        <v>7.94</v>
      </c>
      <c r="C10" s="64">
        <v>2.96</v>
      </c>
      <c r="D10" s="64">
        <v>11.69</v>
      </c>
      <c r="E10" s="64">
        <v>4.3</v>
      </c>
      <c r="F10" s="64">
        <v>3.13</v>
      </c>
      <c r="G10" s="64">
        <v>19.260000000000002</v>
      </c>
      <c r="H10" s="64">
        <v>7.51</v>
      </c>
      <c r="I10" s="64">
        <v>2.77</v>
      </c>
      <c r="J10" s="64">
        <v>0.06</v>
      </c>
      <c r="K10" s="64">
        <v>171.3</v>
      </c>
      <c r="L10" s="64">
        <v>25.86</v>
      </c>
      <c r="M10" s="64">
        <v>101.77</v>
      </c>
      <c r="N10" s="64">
        <v>39.299999999999997</v>
      </c>
      <c r="O10" s="64">
        <v>0</v>
      </c>
      <c r="P10" s="64">
        <v>0.35</v>
      </c>
      <c r="Q10" s="64">
        <v>9.56</v>
      </c>
      <c r="R10" s="198"/>
      <c r="S10" s="198"/>
      <c r="T10" s="198"/>
      <c r="U10" s="198"/>
    </row>
    <row r="11" spans="1:21" s="12" customFormat="1" x14ac:dyDescent="0.25">
      <c r="A11" s="214" t="s">
        <v>1303</v>
      </c>
      <c r="B11" s="64">
        <v>7.94</v>
      </c>
      <c r="C11" s="64">
        <v>2.91</v>
      </c>
      <c r="D11" s="64">
        <v>11.66</v>
      </c>
      <c r="E11" s="64">
        <v>3.82</v>
      </c>
      <c r="F11" s="64">
        <v>3.69</v>
      </c>
      <c r="G11" s="64">
        <v>19.260000000000002</v>
      </c>
      <c r="H11" s="64">
        <v>7.51</v>
      </c>
      <c r="I11" s="64">
        <v>2.73</v>
      </c>
      <c r="J11" s="64">
        <v>0.11</v>
      </c>
      <c r="K11" s="64">
        <v>152.6</v>
      </c>
      <c r="L11" s="64">
        <v>25.83</v>
      </c>
      <c r="M11" s="64">
        <v>101.77</v>
      </c>
      <c r="N11" s="64">
        <v>39.299999999999997</v>
      </c>
      <c r="O11" s="64">
        <v>0</v>
      </c>
      <c r="P11" s="64">
        <v>0.33</v>
      </c>
      <c r="Q11" s="64">
        <v>9.5500000000000007</v>
      </c>
      <c r="R11" s="198"/>
      <c r="S11" s="198"/>
      <c r="T11" s="198"/>
      <c r="U11" s="198"/>
    </row>
    <row r="12" spans="1:21" s="12" customFormat="1" x14ac:dyDescent="0.25">
      <c r="A12" s="214" t="s">
        <v>1304</v>
      </c>
      <c r="B12" s="64">
        <v>7.95</v>
      </c>
      <c r="C12" s="64">
        <v>2.91</v>
      </c>
      <c r="D12" s="64">
        <v>11.67</v>
      </c>
      <c r="E12" s="64">
        <v>3.76</v>
      </c>
      <c r="F12" s="64">
        <v>3.52</v>
      </c>
      <c r="G12" s="64">
        <v>18.59</v>
      </c>
      <c r="H12" s="64">
        <v>5.23</v>
      </c>
      <c r="I12" s="64">
        <v>2.68</v>
      </c>
      <c r="J12" s="64">
        <v>0.21</v>
      </c>
      <c r="K12" s="64">
        <v>146.94</v>
      </c>
      <c r="L12" s="64">
        <v>25.75</v>
      </c>
      <c r="M12" s="64">
        <v>101.77</v>
      </c>
      <c r="N12" s="64">
        <v>39.299999999999997</v>
      </c>
      <c r="O12" s="64">
        <v>0</v>
      </c>
      <c r="P12" s="64">
        <v>0.33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4" t="s">
        <v>1305</v>
      </c>
      <c r="B13" s="64">
        <v>7.96</v>
      </c>
      <c r="C13" s="64">
        <v>2.99</v>
      </c>
      <c r="D13" s="64">
        <v>11.72</v>
      </c>
      <c r="E13" s="64">
        <v>3.67</v>
      </c>
      <c r="F13" s="64">
        <v>3.69</v>
      </c>
      <c r="G13" s="64">
        <v>17.36</v>
      </c>
      <c r="H13" s="64">
        <v>8.74</v>
      </c>
      <c r="I13" s="64">
        <v>2.74</v>
      </c>
      <c r="J13" s="64">
        <v>0.1</v>
      </c>
      <c r="K13" s="64">
        <v>133.12</v>
      </c>
      <c r="L13" s="64">
        <v>25.72</v>
      </c>
      <c r="M13" s="64">
        <v>101.75</v>
      </c>
      <c r="N13" s="64">
        <v>39.200000000000003</v>
      </c>
      <c r="O13" s="64">
        <v>0</v>
      </c>
      <c r="P13" s="64">
        <v>0.31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14" t="s">
        <v>1306</v>
      </c>
      <c r="B14" s="64">
        <v>7.96</v>
      </c>
      <c r="C14" s="64">
        <v>2.91</v>
      </c>
      <c r="D14" s="64">
        <v>11.68</v>
      </c>
      <c r="E14" s="64">
        <v>3.85</v>
      </c>
      <c r="F14" s="64">
        <v>3.75</v>
      </c>
      <c r="G14" s="64">
        <v>17.36</v>
      </c>
      <c r="H14" s="64">
        <v>8.74</v>
      </c>
      <c r="I14" s="64">
        <v>2.71</v>
      </c>
      <c r="J14" s="64">
        <v>0.14000000000000001</v>
      </c>
      <c r="K14" s="64">
        <v>141.65</v>
      </c>
      <c r="L14" s="64">
        <v>25.73</v>
      </c>
      <c r="M14" s="64">
        <v>101.75</v>
      </c>
      <c r="N14" s="64">
        <v>39.299999999999997</v>
      </c>
      <c r="O14" s="64">
        <v>0</v>
      </c>
      <c r="P14" s="64">
        <v>0.32</v>
      </c>
      <c r="Q14" s="64">
        <v>9.58</v>
      </c>
      <c r="R14" s="198"/>
      <c r="S14" s="198"/>
      <c r="T14" s="198"/>
      <c r="U14" s="198"/>
    </row>
    <row r="15" spans="1:21" s="12" customFormat="1" x14ac:dyDescent="0.25">
      <c r="A15" s="214" t="s">
        <v>1307</v>
      </c>
      <c r="B15" s="64">
        <v>7.97</v>
      </c>
      <c r="C15" s="64">
        <v>2.9</v>
      </c>
      <c r="D15" s="64">
        <v>11.68</v>
      </c>
      <c r="E15" s="64">
        <v>3.78</v>
      </c>
      <c r="F15" s="64">
        <v>3.63</v>
      </c>
      <c r="G15" s="64">
        <v>17.36</v>
      </c>
      <c r="H15" s="64">
        <v>8.74</v>
      </c>
      <c r="I15" s="64">
        <v>2.83</v>
      </c>
      <c r="J15" s="64">
        <v>0.1</v>
      </c>
      <c r="K15" s="64">
        <v>116.46</v>
      </c>
      <c r="L15" s="64">
        <v>25.74</v>
      </c>
      <c r="M15" s="64">
        <v>101.76</v>
      </c>
      <c r="N15" s="64">
        <v>39.5</v>
      </c>
      <c r="O15" s="64">
        <v>0</v>
      </c>
      <c r="P15" s="64">
        <v>0.32</v>
      </c>
      <c r="Q15" s="64">
        <v>9.59</v>
      </c>
      <c r="R15" s="198"/>
      <c r="S15" s="198"/>
      <c r="T15" s="198"/>
      <c r="U15" s="198"/>
    </row>
    <row r="16" spans="1:21" s="12" customFormat="1" x14ac:dyDescent="0.25">
      <c r="A16" s="214" t="s">
        <v>1308</v>
      </c>
      <c r="B16" s="64">
        <v>7.96</v>
      </c>
      <c r="C16" s="64">
        <v>2.91</v>
      </c>
      <c r="D16" s="64">
        <v>11.68</v>
      </c>
      <c r="E16" s="64">
        <v>4.1500000000000004</v>
      </c>
      <c r="F16" s="64">
        <v>3.67</v>
      </c>
      <c r="G16" s="64">
        <v>15.53</v>
      </c>
      <c r="H16" s="64">
        <v>13.76</v>
      </c>
      <c r="I16" s="64">
        <v>2.89</v>
      </c>
      <c r="J16" s="64">
        <v>0.08</v>
      </c>
      <c r="K16" s="64">
        <v>97.52</v>
      </c>
      <c r="L16" s="64">
        <v>25.74</v>
      </c>
      <c r="M16" s="64">
        <v>101.75</v>
      </c>
      <c r="N16" s="64">
        <v>39.6</v>
      </c>
      <c r="O16" s="64">
        <v>0</v>
      </c>
      <c r="P16" s="64">
        <v>0.31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14" t="s">
        <v>1309</v>
      </c>
      <c r="B17" s="64">
        <v>7.96</v>
      </c>
      <c r="C17" s="64">
        <v>2.97</v>
      </c>
      <c r="D17" s="64">
        <v>11.71</v>
      </c>
      <c r="E17" s="64">
        <v>4.2699999999999996</v>
      </c>
      <c r="F17" s="64">
        <v>3.52</v>
      </c>
      <c r="G17" s="64">
        <v>12.2</v>
      </c>
      <c r="H17" s="64">
        <v>7.01</v>
      </c>
      <c r="I17" s="64">
        <v>2.97</v>
      </c>
      <c r="J17" s="64">
        <v>0.03</v>
      </c>
      <c r="K17" s="64">
        <v>45.05</v>
      </c>
      <c r="L17" s="64">
        <v>25.76</v>
      </c>
      <c r="M17" s="64">
        <v>101.75</v>
      </c>
      <c r="N17" s="64">
        <v>39.6</v>
      </c>
      <c r="O17" s="64">
        <v>0</v>
      </c>
      <c r="P17" s="64">
        <v>0.3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4" t="s">
        <v>1310</v>
      </c>
      <c r="B18" s="64">
        <v>7.94</v>
      </c>
      <c r="C18" s="64">
        <v>2.92</v>
      </c>
      <c r="D18" s="64">
        <v>11.66</v>
      </c>
      <c r="E18" s="64">
        <v>3.98</v>
      </c>
      <c r="F18" s="64">
        <v>4.1100000000000003</v>
      </c>
      <c r="G18" s="64">
        <v>12.2</v>
      </c>
      <c r="H18" s="64">
        <v>7.01</v>
      </c>
      <c r="I18" s="64">
        <v>3.06</v>
      </c>
      <c r="J18" s="64">
        <v>7.0000000000000007E-2</v>
      </c>
      <c r="K18" s="64">
        <v>169.27</v>
      </c>
      <c r="L18" s="64">
        <v>25.71</v>
      </c>
      <c r="M18" s="64">
        <v>101.75</v>
      </c>
      <c r="N18" s="64">
        <v>39.6</v>
      </c>
      <c r="O18" s="64">
        <v>0</v>
      </c>
      <c r="P18" s="64">
        <v>0.31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4" t="s">
        <v>1311</v>
      </c>
      <c r="B19" s="64">
        <v>7.91</v>
      </c>
      <c r="C19" s="64">
        <v>2.91</v>
      </c>
      <c r="D19" s="64">
        <v>11.64</v>
      </c>
      <c r="E19" s="64">
        <v>4.17</v>
      </c>
      <c r="F19" s="64">
        <v>3.59</v>
      </c>
      <c r="G19" s="64">
        <v>12.2</v>
      </c>
      <c r="H19" s="64">
        <v>7.01</v>
      </c>
      <c r="I19" s="64">
        <v>3.07</v>
      </c>
      <c r="J19" s="64">
        <v>0.06</v>
      </c>
      <c r="K19" s="64">
        <v>124.58</v>
      </c>
      <c r="L19" s="64">
        <v>25.71</v>
      </c>
      <c r="M19" s="64">
        <v>101.76</v>
      </c>
      <c r="N19" s="64">
        <v>39.6</v>
      </c>
      <c r="O19" s="64">
        <v>0</v>
      </c>
      <c r="P19" s="64">
        <v>0.31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4" t="s">
        <v>1312</v>
      </c>
      <c r="B20" s="64">
        <v>7.92</v>
      </c>
      <c r="C20" s="64">
        <v>2.95</v>
      </c>
      <c r="D20" s="64">
        <v>11.66</v>
      </c>
      <c r="E20" s="64">
        <v>4.09</v>
      </c>
      <c r="F20" s="64">
        <v>2.4300000000000002</v>
      </c>
      <c r="G20" s="64">
        <v>12.38</v>
      </c>
      <c r="H20" s="64">
        <v>5.08</v>
      </c>
      <c r="I20" s="64">
        <v>2.99</v>
      </c>
      <c r="J20" s="64">
        <v>0.11</v>
      </c>
      <c r="K20" s="64">
        <v>155.35</v>
      </c>
      <c r="L20" s="64">
        <v>25.68</v>
      </c>
      <c r="M20" s="64">
        <v>101.75</v>
      </c>
      <c r="N20" s="64">
        <v>39.6</v>
      </c>
      <c r="O20" s="64">
        <v>0</v>
      </c>
      <c r="P20" s="64">
        <v>0.28999999999999998</v>
      </c>
      <c r="Q20" s="64">
        <v>9.5299999999999994</v>
      </c>
      <c r="R20" s="198"/>
      <c r="S20" s="198"/>
      <c r="T20" s="198"/>
      <c r="U20" s="198"/>
    </row>
    <row r="21" spans="1:21" s="12" customFormat="1" x14ac:dyDescent="0.25">
      <c r="A21" s="214" t="s">
        <v>1313</v>
      </c>
      <c r="B21" s="64">
        <v>7.92</v>
      </c>
      <c r="C21" s="64">
        <v>2.91</v>
      </c>
      <c r="D21" s="64">
        <v>11.64</v>
      </c>
      <c r="E21" s="64">
        <v>3.74</v>
      </c>
      <c r="F21" s="64">
        <v>4.24</v>
      </c>
      <c r="G21" s="64">
        <v>12.71</v>
      </c>
      <c r="H21" s="64">
        <v>2.89</v>
      </c>
      <c r="I21" s="64">
        <v>2.91</v>
      </c>
      <c r="J21" s="64">
        <v>0.02</v>
      </c>
      <c r="K21" s="64">
        <v>275.14</v>
      </c>
      <c r="L21" s="64">
        <v>25.61</v>
      </c>
      <c r="M21" s="64">
        <v>101.75</v>
      </c>
      <c r="N21" s="64">
        <v>39.6</v>
      </c>
      <c r="O21" s="64">
        <v>0</v>
      </c>
      <c r="P21" s="64">
        <v>0.3</v>
      </c>
      <c r="Q21" s="64">
        <v>9.56</v>
      </c>
      <c r="R21" s="198"/>
      <c r="S21" s="198"/>
      <c r="T21" s="198"/>
      <c r="U21" s="198"/>
    </row>
    <row r="22" spans="1:21" s="12" customFormat="1" x14ac:dyDescent="0.25">
      <c r="A22" s="214" t="s">
        <v>1314</v>
      </c>
      <c r="B22" s="64">
        <v>7.93</v>
      </c>
      <c r="C22" s="64">
        <v>2.91</v>
      </c>
      <c r="D22" s="64">
        <v>11.65</v>
      </c>
      <c r="E22" s="64">
        <v>4.49</v>
      </c>
      <c r="F22" s="64">
        <v>3.74</v>
      </c>
      <c r="G22" s="64">
        <v>12.71</v>
      </c>
      <c r="H22" s="64">
        <v>2.89</v>
      </c>
      <c r="I22" s="64">
        <v>2.83</v>
      </c>
      <c r="J22" s="64">
        <v>0.05</v>
      </c>
      <c r="K22" s="64">
        <v>91.87</v>
      </c>
      <c r="L22" s="64">
        <v>25.5</v>
      </c>
      <c r="M22" s="64">
        <v>101.78</v>
      </c>
      <c r="N22" s="64">
        <v>39.6</v>
      </c>
      <c r="O22" s="64">
        <v>0</v>
      </c>
      <c r="P22" s="64">
        <v>0.3</v>
      </c>
      <c r="Q22" s="64">
        <v>9.5399999999999991</v>
      </c>
      <c r="R22" s="198"/>
      <c r="S22" s="198"/>
      <c r="T22" s="198"/>
      <c r="U22" s="198"/>
    </row>
    <row r="23" spans="1:21" s="12" customFormat="1" x14ac:dyDescent="0.25">
      <c r="A23" s="214" t="s">
        <v>1315</v>
      </c>
      <c r="B23" s="64">
        <v>7.93</v>
      </c>
      <c r="C23" s="64">
        <v>2.93</v>
      </c>
      <c r="D23" s="64">
        <v>11.66</v>
      </c>
      <c r="E23" s="64">
        <v>4.21</v>
      </c>
      <c r="F23" s="64">
        <v>2.4900000000000002</v>
      </c>
      <c r="G23" s="64">
        <v>12.71</v>
      </c>
      <c r="H23" s="64">
        <v>2.89</v>
      </c>
      <c r="I23" s="64">
        <v>2.8</v>
      </c>
      <c r="J23" s="64">
        <v>0.05</v>
      </c>
      <c r="K23" s="64">
        <v>153.16</v>
      </c>
      <c r="L23" s="64">
        <v>25.38</v>
      </c>
      <c r="M23" s="64">
        <v>101.8</v>
      </c>
      <c r="N23" s="64">
        <v>39.5</v>
      </c>
      <c r="O23" s="64">
        <v>0</v>
      </c>
      <c r="P23" s="64">
        <v>0.28000000000000003</v>
      </c>
      <c r="Q23" s="64">
        <v>9.52</v>
      </c>
      <c r="R23" s="198"/>
      <c r="S23" s="198"/>
      <c r="T23" s="198"/>
      <c r="U23" s="198"/>
    </row>
    <row r="24" spans="1:21" s="12" customFormat="1" x14ac:dyDescent="0.25">
      <c r="A24" s="214" t="s">
        <v>1316</v>
      </c>
      <c r="B24" s="64">
        <v>7.95</v>
      </c>
      <c r="C24" s="64">
        <v>2.92</v>
      </c>
      <c r="D24" s="64">
        <v>11.67</v>
      </c>
      <c r="E24" s="64">
        <v>3.14</v>
      </c>
      <c r="F24" s="64">
        <v>4.32</v>
      </c>
      <c r="G24" s="64">
        <v>12.84</v>
      </c>
      <c r="H24" s="64">
        <v>3.51</v>
      </c>
      <c r="I24" s="64">
        <v>2.75</v>
      </c>
      <c r="J24" s="64">
        <v>0.21</v>
      </c>
      <c r="K24" s="64">
        <v>126.47</v>
      </c>
      <c r="L24" s="64">
        <v>25.33</v>
      </c>
      <c r="M24" s="64">
        <v>101.78</v>
      </c>
      <c r="N24" s="64">
        <v>39.4</v>
      </c>
      <c r="O24" s="64">
        <v>0</v>
      </c>
      <c r="P24" s="64">
        <v>0.27</v>
      </c>
      <c r="Q24" s="64">
        <v>9.56</v>
      </c>
      <c r="R24" s="198"/>
      <c r="S24" s="198"/>
      <c r="T24" s="198"/>
      <c r="U24" s="198"/>
    </row>
    <row r="25" spans="1:21" s="12" customFormat="1" x14ac:dyDescent="0.25">
      <c r="A25" s="214" t="s">
        <v>1317</v>
      </c>
      <c r="B25" s="64">
        <v>7.93</v>
      </c>
      <c r="C25" s="64">
        <v>2.91</v>
      </c>
      <c r="D25" s="64">
        <v>11.65</v>
      </c>
      <c r="E25" s="64">
        <v>3.48</v>
      </c>
      <c r="F25" s="64">
        <v>4.54</v>
      </c>
      <c r="G25" s="64">
        <v>13.07</v>
      </c>
      <c r="H25" s="64">
        <v>5.85</v>
      </c>
      <c r="I25" s="64">
        <v>2.88</v>
      </c>
      <c r="J25" s="64">
        <v>0.17</v>
      </c>
      <c r="K25" s="64">
        <v>144.47999999999999</v>
      </c>
      <c r="L25" s="64">
        <v>25.41</v>
      </c>
      <c r="M25" s="64">
        <v>101.79</v>
      </c>
      <c r="N25" s="64">
        <v>39.6</v>
      </c>
      <c r="O25" s="64">
        <v>0</v>
      </c>
      <c r="P25" s="64">
        <v>0.28000000000000003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14" t="s">
        <v>1318</v>
      </c>
      <c r="B26" s="64">
        <v>7.91</v>
      </c>
      <c r="C26" s="64">
        <v>2.91</v>
      </c>
      <c r="D26" s="64">
        <v>11.64</v>
      </c>
      <c r="E26" s="64">
        <v>3.65</v>
      </c>
      <c r="F26" s="64">
        <v>2.38</v>
      </c>
      <c r="G26" s="64">
        <v>13.07</v>
      </c>
      <c r="H26" s="64">
        <v>5.85</v>
      </c>
      <c r="I26" s="64">
        <v>2.9</v>
      </c>
      <c r="J26" s="64">
        <v>0.01</v>
      </c>
      <c r="K26" s="64">
        <v>70.239999999999995</v>
      </c>
      <c r="L26" s="64">
        <v>25.44</v>
      </c>
      <c r="M26" s="64">
        <v>101.78</v>
      </c>
      <c r="N26" s="64">
        <v>39.6</v>
      </c>
      <c r="O26" s="64">
        <v>0</v>
      </c>
      <c r="P26" s="64">
        <v>0.28000000000000003</v>
      </c>
      <c r="Q26" s="64">
        <v>9.52</v>
      </c>
      <c r="R26" s="198"/>
      <c r="S26" s="198"/>
      <c r="T26" s="198"/>
      <c r="U26" s="198"/>
    </row>
    <row r="27" spans="1:21" s="12" customFormat="1" x14ac:dyDescent="0.25">
      <c r="A27" s="214" t="s">
        <v>1319</v>
      </c>
      <c r="B27" s="64">
        <v>7.92</v>
      </c>
      <c r="C27" s="64">
        <v>2.94</v>
      </c>
      <c r="D27" s="64">
        <v>11.66</v>
      </c>
      <c r="E27" s="64">
        <v>3.48</v>
      </c>
      <c r="F27" s="64">
        <v>3.15</v>
      </c>
      <c r="G27" s="64">
        <v>13.07</v>
      </c>
      <c r="H27" s="64">
        <v>5.85</v>
      </c>
      <c r="I27" s="64">
        <v>2.86</v>
      </c>
      <c r="J27" s="64">
        <v>0.3</v>
      </c>
      <c r="K27" s="64">
        <v>130.52000000000001</v>
      </c>
      <c r="L27" s="64">
        <v>25.43</v>
      </c>
      <c r="M27" s="64">
        <v>101.79</v>
      </c>
      <c r="N27" s="64">
        <v>39.6</v>
      </c>
      <c r="O27" s="64">
        <v>0</v>
      </c>
      <c r="P27" s="64">
        <v>0.26</v>
      </c>
      <c r="Q27" s="64">
        <v>9.5399999999999991</v>
      </c>
      <c r="R27" s="198"/>
      <c r="S27" s="198"/>
      <c r="T27" s="198"/>
      <c r="U27" s="198"/>
    </row>
    <row r="28" spans="1:21" s="12" customFormat="1" x14ac:dyDescent="0.25">
      <c r="A28" s="214" t="s">
        <v>1320</v>
      </c>
      <c r="B28" s="64">
        <v>7.96</v>
      </c>
      <c r="C28" s="64">
        <v>2.89</v>
      </c>
      <c r="D28" s="64">
        <v>11.66</v>
      </c>
      <c r="E28" s="64">
        <v>3.05</v>
      </c>
      <c r="F28" s="64">
        <v>3.53</v>
      </c>
      <c r="G28" s="64">
        <v>11.83</v>
      </c>
      <c r="H28" s="64">
        <v>2.42</v>
      </c>
      <c r="I28" s="64">
        <v>2.79</v>
      </c>
      <c r="J28" s="64">
        <v>0.04</v>
      </c>
      <c r="K28" s="64">
        <v>28.64</v>
      </c>
      <c r="L28" s="64">
        <v>25.42</v>
      </c>
      <c r="M28" s="64">
        <v>101.8</v>
      </c>
      <c r="N28" s="64">
        <v>39.6</v>
      </c>
      <c r="O28" s="64">
        <v>0</v>
      </c>
      <c r="P28" s="64">
        <v>0.26</v>
      </c>
      <c r="Q28" s="64">
        <v>9.56</v>
      </c>
      <c r="R28" s="198"/>
      <c r="S28" s="198"/>
      <c r="T28" s="198"/>
      <c r="U28" s="198"/>
    </row>
    <row r="29" spans="1:21" s="12" customFormat="1" x14ac:dyDescent="0.25">
      <c r="A29" s="214" t="s">
        <v>1321</v>
      </c>
      <c r="B29" s="64">
        <v>7.97</v>
      </c>
      <c r="C29" s="64">
        <v>2.94</v>
      </c>
      <c r="D29" s="64">
        <v>11.7</v>
      </c>
      <c r="E29" s="64">
        <v>3.5</v>
      </c>
      <c r="F29" s="64">
        <v>3.36</v>
      </c>
      <c r="G29" s="64">
        <v>9.58</v>
      </c>
      <c r="H29" s="64">
        <v>1.07</v>
      </c>
      <c r="I29" s="64">
        <v>2.87</v>
      </c>
      <c r="J29" s="64">
        <v>0.01</v>
      </c>
      <c r="K29" s="64">
        <v>330.62</v>
      </c>
      <c r="L29" s="64">
        <v>25.38</v>
      </c>
      <c r="M29" s="64">
        <v>101.8</v>
      </c>
      <c r="N29" s="64">
        <v>39.6</v>
      </c>
      <c r="O29" s="64">
        <v>0</v>
      </c>
      <c r="P29" s="64">
        <v>0.26</v>
      </c>
      <c r="Q29" s="64">
        <v>9.58</v>
      </c>
      <c r="R29" s="198"/>
      <c r="S29" s="198"/>
      <c r="T29" s="198"/>
      <c r="U29" s="198"/>
    </row>
    <row r="30" spans="1:21" s="12" customFormat="1" x14ac:dyDescent="0.25">
      <c r="A30" s="214" t="s">
        <v>1322</v>
      </c>
      <c r="B30" s="64">
        <v>7.97</v>
      </c>
      <c r="C30" s="64">
        <v>2.98</v>
      </c>
      <c r="D30" s="64">
        <v>11.72</v>
      </c>
      <c r="E30" s="64">
        <v>3.43</v>
      </c>
      <c r="F30" s="64">
        <v>3.42</v>
      </c>
      <c r="G30" s="64">
        <v>9.58</v>
      </c>
      <c r="H30" s="64">
        <v>4.07</v>
      </c>
      <c r="I30" s="64">
        <v>3.02</v>
      </c>
      <c r="J30" s="64">
        <v>0.21</v>
      </c>
      <c r="K30" s="64">
        <v>140.93</v>
      </c>
      <c r="L30" s="64">
        <v>25.22</v>
      </c>
      <c r="M30" s="64">
        <v>101.8</v>
      </c>
      <c r="N30" s="64">
        <v>39.6</v>
      </c>
      <c r="O30" s="64">
        <v>0</v>
      </c>
      <c r="P30" s="64">
        <v>0.27</v>
      </c>
      <c r="Q30" s="64">
        <v>9.58</v>
      </c>
      <c r="R30" s="198"/>
      <c r="S30" s="198"/>
      <c r="T30" s="198"/>
      <c r="U30" s="198"/>
    </row>
    <row r="31" spans="1:21" s="12" customFormat="1" x14ac:dyDescent="0.25">
      <c r="A31" s="214" t="s">
        <v>1323</v>
      </c>
      <c r="B31" s="64">
        <v>7.98</v>
      </c>
      <c r="C31" s="64">
        <v>3.01</v>
      </c>
      <c r="D31" s="64">
        <v>11.74</v>
      </c>
      <c r="E31" s="64">
        <v>3.46</v>
      </c>
      <c r="F31" s="64">
        <v>3.24</v>
      </c>
      <c r="G31" s="64">
        <v>9.58</v>
      </c>
      <c r="H31" s="64">
        <v>5.07</v>
      </c>
      <c r="I31" s="64">
        <v>3.16</v>
      </c>
      <c r="J31" s="64">
        <v>0.11</v>
      </c>
      <c r="K31" s="64">
        <v>132.53</v>
      </c>
      <c r="L31" s="64">
        <v>25.11</v>
      </c>
      <c r="M31" s="64">
        <v>101.8</v>
      </c>
      <c r="N31" s="64">
        <v>39.5</v>
      </c>
      <c r="O31" s="64">
        <v>0</v>
      </c>
      <c r="P31" s="64">
        <v>0.26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4" t="s">
        <v>1324</v>
      </c>
      <c r="B32" s="64">
        <v>7.99</v>
      </c>
      <c r="C32" s="64">
        <v>2.98</v>
      </c>
      <c r="D32" s="64">
        <v>11.74</v>
      </c>
      <c r="E32" s="64">
        <v>3.66</v>
      </c>
      <c r="F32" s="64">
        <v>3.84</v>
      </c>
      <c r="G32" s="64">
        <v>11.8</v>
      </c>
      <c r="H32" s="64">
        <v>1.97</v>
      </c>
      <c r="I32" s="64">
        <v>3.25</v>
      </c>
      <c r="J32" s="64">
        <v>0.21</v>
      </c>
      <c r="K32" s="64">
        <v>145.55000000000001</v>
      </c>
      <c r="L32" s="64">
        <v>25.13</v>
      </c>
      <c r="M32" s="64">
        <v>101.8</v>
      </c>
      <c r="N32" s="64">
        <v>42.7</v>
      </c>
      <c r="O32" s="64">
        <v>0</v>
      </c>
      <c r="P32" s="64">
        <v>0.26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4" t="s">
        <v>1325</v>
      </c>
      <c r="B33" s="64">
        <v>8.01</v>
      </c>
      <c r="C33" s="64">
        <v>2.98</v>
      </c>
      <c r="D33" s="64">
        <v>11.75</v>
      </c>
      <c r="E33" s="64">
        <v>3.45</v>
      </c>
      <c r="F33" s="64">
        <v>3.6</v>
      </c>
      <c r="G33" s="64">
        <v>15.83</v>
      </c>
      <c r="H33" s="64">
        <v>8.3800000000000008</v>
      </c>
      <c r="I33" s="64">
        <v>3.38</v>
      </c>
      <c r="J33" s="64">
        <v>0.37</v>
      </c>
      <c r="K33" s="64">
        <v>129.74</v>
      </c>
      <c r="L33" s="64">
        <v>25.17</v>
      </c>
      <c r="M33" s="64">
        <v>101.8</v>
      </c>
      <c r="N33" s="64">
        <v>55.2</v>
      </c>
      <c r="O33" s="64">
        <v>0</v>
      </c>
      <c r="P33" s="64">
        <v>0.26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4" t="s">
        <v>1326</v>
      </c>
      <c r="B34" s="64">
        <v>8</v>
      </c>
      <c r="C34" s="64">
        <v>2.95</v>
      </c>
      <c r="D34" s="64">
        <v>11.73</v>
      </c>
      <c r="E34" s="64">
        <v>3.28</v>
      </c>
      <c r="F34" s="64">
        <v>3.36</v>
      </c>
      <c r="G34" s="64">
        <v>15.83</v>
      </c>
      <c r="H34" s="64">
        <v>8.3800000000000008</v>
      </c>
      <c r="I34" s="64">
        <v>3.55</v>
      </c>
      <c r="J34" s="64">
        <v>0.66</v>
      </c>
      <c r="K34" s="64">
        <v>139.56</v>
      </c>
      <c r="L34" s="64">
        <v>25.32</v>
      </c>
      <c r="M34" s="64">
        <v>101.8</v>
      </c>
      <c r="N34" s="64">
        <v>72.599999999999994</v>
      </c>
      <c r="O34" s="64">
        <v>0</v>
      </c>
      <c r="P34" s="64">
        <v>0.26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4" t="s">
        <v>1327</v>
      </c>
      <c r="B35" s="64">
        <v>7.95</v>
      </c>
      <c r="C35" s="64">
        <v>2.95</v>
      </c>
      <c r="D35" s="64">
        <v>11.69</v>
      </c>
      <c r="E35" s="64">
        <v>3.57</v>
      </c>
      <c r="F35" s="64">
        <v>4.41</v>
      </c>
      <c r="G35" s="64">
        <v>15.83</v>
      </c>
      <c r="H35" s="64">
        <v>8.3800000000000008</v>
      </c>
      <c r="I35" s="64">
        <v>3.64</v>
      </c>
      <c r="J35" s="64">
        <v>0.63</v>
      </c>
      <c r="K35" s="64">
        <v>140.19999999999999</v>
      </c>
      <c r="L35" s="64">
        <v>25.58</v>
      </c>
      <c r="M35" s="64">
        <v>101.79</v>
      </c>
      <c r="N35" s="64">
        <v>79.599999999999994</v>
      </c>
      <c r="O35" s="64">
        <v>0</v>
      </c>
      <c r="P35" s="64">
        <v>0.27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4" t="s">
        <v>1328</v>
      </c>
      <c r="B36" s="64">
        <v>7.95</v>
      </c>
      <c r="C36" s="64">
        <v>3.02</v>
      </c>
      <c r="D36" s="64">
        <v>11.72</v>
      </c>
      <c r="E36" s="64">
        <v>4.0599999999999996</v>
      </c>
      <c r="F36" s="64">
        <v>4.26</v>
      </c>
      <c r="G36" s="64">
        <v>15.24</v>
      </c>
      <c r="H36" s="64">
        <v>20.100000000000001</v>
      </c>
      <c r="I36" s="64">
        <v>3.79</v>
      </c>
      <c r="J36" s="64">
        <v>0.89</v>
      </c>
      <c r="K36" s="64">
        <v>140.43</v>
      </c>
      <c r="L36" s="64">
        <v>25.7</v>
      </c>
      <c r="M36" s="64">
        <v>101.77</v>
      </c>
      <c r="N36" s="64">
        <v>87.7</v>
      </c>
      <c r="O36" s="64">
        <v>0</v>
      </c>
      <c r="P36" s="64">
        <v>0.28000000000000003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4" t="s">
        <v>1329</v>
      </c>
      <c r="B37" s="64">
        <v>7.9</v>
      </c>
      <c r="C37" s="64">
        <v>2.95</v>
      </c>
      <c r="D37" s="64">
        <v>11.65</v>
      </c>
      <c r="E37" s="64">
        <v>4.01</v>
      </c>
      <c r="F37" s="64">
        <v>2.34</v>
      </c>
      <c r="G37" s="64">
        <v>14.16</v>
      </c>
      <c r="H37" s="64">
        <v>8.09</v>
      </c>
      <c r="I37" s="64">
        <v>3.72</v>
      </c>
      <c r="J37" s="64">
        <v>0.06</v>
      </c>
      <c r="K37" s="64">
        <v>230.8</v>
      </c>
      <c r="L37" s="64">
        <v>25.97</v>
      </c>
      <c r="M37" s="64">
        <v>101.76</v>
      </c>
      <c r="N37" s="64">
        <v>120.9</v>
      </c>
      <c r="O37" s="64">
        <v>0</v>
      </c>
      <c r="P37" s="64">
        <v>0.26</v>
      </c>
      <c r="Q37" s="64">
        <v>9.5500000000000007</v>
      </c>
      <c r="R37" s="198"/>
      <c r="S37" s="198"/>
      <c r="T37" s="198"/>
      <c r="U37" s="198"/>
    </row>
    <row r="38" spans="1:21" s="12" customFormat="1" x14ac:dyDescent="0.25">
      <c r="A38" s="214" t="s">
        <v>1330</v>
      </c>
      <c r="B38" s="64">
        <v>7.95</v>
      </c>
      <c r="C38" s="64">
        <v>2.96</v>
      </c>
      <c r="D38" s="64">
        <v>11.69</v>
      </c>
      <c r="E38" s="64">
        <v>3.49</v>
      </c>
      <c r="F38" s="64">
        <v>3.54</v>
      </c>
      <c r="G38" s="64">
        <v>14.16</v>
      </c>
      <c r="H38" s="64">
        <v>8.09</v>
      </c>
      <c r="I38" s="64">
        <v>3.72</v>
      </c>
      <c r="J38" s="64">
        <v>7.0000000000000007E-2</v>
      </c>
      <c r="K38" s="64">
        <v>354.64</v>
      </c>
      <c r="L38" s="64">
        <v>26.44</v>
      </c>
      <c r="M38" s="64">
        <v>101.74</v>
      </c>
      <c r="N38" s="64">
        <v>182.3</v>
      </c>
      <c r="O38" s="64">
        <v>0</v>
      </c>
      <c r="P38" s="64">
        <v>0.27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4" t="s">
        <v>1331</v>
      </c>
      <c r="B39" s="64">
        <v>7.93</v>
      </c>
      <c r="C39" s="64">
        <v>2.92</v>
      </c>
      <c r="D39" s="64">
        <v>11.66</v>
      </c>
      <c r="E39" s="64">
        <v>3.15</v>
      </c>
      <c r="F39" s="64">
        <v>4.5199999999999996</v>
      </c>
      <c r="G39" s="64">
        <v>14.16</v>
      </c>
      <c r="H39" s="64">
        <v>5.09</v>
      </c>
      <c r="I39" s="64">
        <v>3.61</v>
      </c>
      <c r="J39" s="64">
        <v>0.15</v>
      </c>
      <c r="K39" s="64">
        <v>2.44</v>
      </c>
      <c r="L39" s="64">
        <v>27.09</v>
      </c>
      <c r="M39" s="64">
        <v>101.7</v>
      </c>
      <c r="N39" s="64">
        <v>221.1</v>
      </c>
      <c r="O39" s="64">
        <v>0</v>
      </c>
      <c r="P39" s="64">
        <v>0.28000000000000003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4" t="s">
        <v>1332</v>
      </c>
      <c r="B40" s="64">
        <v>7.92</v>
      </c>
      <c r="C40" s="64">
        <v>2.91</v>
      </c>
      <c r="D40" s="64">
        <v>11.64</v>
      </c>
      <c r="E40" s="64">
        <v>3.78</v>
      </c>
      <c r="F40" s="64">
        <v>2.71</v>
      </c>
      <c r="G40" s="64">
        <v>14.26</v>
      </c>
      <c r="H40" s="64">
        <v>6.86</v>
      </c>
      <c r="I40" s="64">
        <v>3.38</v>
      </c>
      <c r="J40" s="64">
        <v>0.22</v>
      </c>
      <c r="K40" s="64">
        <v>359.07</v>
      </c>
      <c r="L40" s="64">
        <v>28.29</v>
      </c>
      <c r="M40" s="64">
        <v>97.09</v>
      </c>
      <c r="N40" s="64">
        <v>415.1</v>
      </c>
      <c r="O40" s="64">
        <v>0</v>
      </c>
      <c r="P40" s="64">
        <v>0.28999999999999998</v>
      </c>
      <c r="Q40" s="64">
        <v>9.58</v>
      </c>
      <c r="R40" s="198"/>
      <c r="S40" s="198"/>
      <c r="T40" s="198"/>
      <c r="U40" s="198"/>
    </row>
    <row r="41" spans="1:21" s="12" customFormat="1" x14ac:dyDescent="0.25">
      <c r="A41" s="214" t="s">
        <v>1333</v>
      </c>
      <c r="B41" s="64">
        <v>7.94</v>
      </c>
      <c r="C41" s="64">
        <v>2.96</v>
      </c>
      <c r="D41" s="64">
        <v>11.69</v>
      </c>
      <c r="E41" s="64">
        <v>4.8899999999999997</v>
      </c>
      <c r="F41" s="64">
        <v>2.96</v>
      </c>
      <c r="G41" s="64">
        <v>14.44</v>
      </c>
      <c r="H41" s="64">
        <v>6.95</v>
      </c>
      <c r="I41" s="64">
        <v>3.01</v>
      </c>
      <c r="J41" s="64">
        <v>0.31</v>
      </c>
      <c r="K41" s="64">
        <v>347.89</v>
      </c>
      <c r="L41" s="64">
        <v>29.63</v>
      </c>
      <c r="M41" s="64">
        <v>89.91</v>
      </c>
      <c r="N41" s="64">
        <v>488.2</v>
      </c>
      <c r="O41" s="64">
        <v>0</v>
      </c>
      <c r="P41" s="64">
        <v>0.28000000000000003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4" t="s">
        <v>1334</v>
      </c>
      <c r="B42" s="64">
        <v>7.96</v>
      </c>
      <c r="C42" s="64">
        <v>2.94</v>
      </c>
      <c r="D42" s="64">
        <v>11.69</v>
      </c>
      <c r="E42" s="64">
        <v>5.16</v>
      </c>
      <c r="F42" s="64">
        <v>4.43</v>
      </c>
      <c r="G42" s="64">
        <v>14.44</v>
      </c>
      <c r="H42" s="64">
        <v>10.95</v>
      </c>
      <c r="I42" s="64">
        <v>2.93</v>
      </c>
      <c r="J42" s="64">
        <v>0.22</v>
      </c>
      <c r="K42" s="64">
        <v>345.05</v>
      </c>
      <c r="L42" s="64">
        <v>29.77</v>
      </c>
      <c r="M42" s="64">
        <v>88.73</v>
      </c>
      <c r="N42" s="64">
        <v>555.29999999999995</v>
      </c>
      <c r="O42" s="64">
        <v>0</v>
      </c>
      <c r="P42" s="64">
        <v>0.28999999999999998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4" t="s">
        <v>1335</v>
      </c>
      <c r="B43" s="64">
        <v>7.94</v>
      </c>
      <c r="C43" s="64">
        <v>2.9</v>
      </c>
      <c r="D43" s="64">
        <v>11.65</v>
      </c>
      <c r="E43" s="64">
        <v>5.22</v>
      </c>
      <c r="F43" s="64">
        <v>4.8099999999999996</v>
      </c>
      <c r="G43" s="64">
        <v>14.44</v>
      </c>
      <c r="H43" s="64">
        <v>10.95</v>
      </c>
      <c r="I43" s="64">
        <v>2.46</v>
      </c>
      <c r="J43" s="64">
        <v>0.28000000000000003</v>
      </c>
      <c r="K43" s="64">
        <v>0.84</v>
      </c>
      <c r="L43" s="64">
        <v>30.33</v>
      </c>
      <c r="M43" s="64">
        <v>86.13</v>
      </c>
      <c r="N43" s="64">
        <v>519.79999999999995</v>
      </c>
      <c r="O43" s="64">
        <v>0</v>
      </c>
      <c r="P43" s="64">
        <v>0.31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4" t="s">
        <v>1336</v>
      </c>
      <c r="B44" s="64">
        <v>7.93</v>
      </c>
      <c r="C44" s="64">
        <v>2.94</v>
      </c>
      <c r="D44" s="64">
        <v>11.68</v>
      </c>
      <c r="E44" s="64">
        <v>5.22</v>
      </c>
      <c r="F44" s="64">
        <v>2.73</v>
      </c>
      <c r="G44" s="64">
        <v>15.13</v>
      </c>
      <c r="H44" s="64">
        <v>9.7799999999999994</v>
      </c>
      <c r="I44" s="64">
        <v>2.21</v>
      </c>
      <c r="J44" s="64">
        <v>0.19</v>
      </c>
      <c r="K44" s="64">
        <v>351.47</v>
      </c>
      <c r="L44" s="64">
        <v>30.31</v>
      </c>
      <c r="M44" s="64">
        <v>86.28</v>
      </c>
      <c r="N44" s="64">
        <v>607.29999999999995</v>
      </c>
      <c r="O44" s="64">
        <v>0</v>
      </c>
      <c r="P44" s="64">
        <v>0.31</v>
      </c>
      <c r="Q44" s="64">
        <v>9.56</v>
      </c>
      <c r="R44" s="198"/>
      <c r="S44" s="198"/>
      <c r="T44" s="198"/>
      <c r="U44" s="198"/>
    </row>
    <row r="45" spans="1:21" s="12" customFormat="1" x14ac:dyDescent="0.25">
      <c r="A45" s="214" t="s">
        <v>1337</v>
      </c>
      <c r="B45" s="64">
        <v>7.97</v>
      </c>
      <c r="C45" s="64">
        <v>3.01</v>
      </c>
      <c r="D45" s="64">
        <v>11.74</v>
      </c>
      <c r="E45" s="64">
        <v>4.8499999999999996</v>
      </c>
      <c r="F45" s="64">
        <v>3.9</v>
      </c>
      <c r="G45" s="64">
        <v>16.37</v>
      </c>
      <c r="H45" s="64">
        <v>5.69</v>
      </c>
      <c r="I45" s="64">
        <v>1.99</v>
      </c>
      <c r="J45" s="64">
        <v>0.28999999999999998</v>
      </c>
      <c r="K45" s="64">
        <v>352.2</v>
      </c>
      <c r="L45" s="64">
        <v>31.27</v>
      </c>
      <c r="M45" s="64">
        <v>80.709999999999994</v>
      </c>
      <c r="N45" s="64">
        <v>658.5</v>
      </c>
      <c r="O45" s="64">
        <v>0</v>
      </c>
      <c r="P45" s="64">
        <v>0.31</v>
      </c>
      <c r="Q45" s="64">
        <v>9.57</v>
      </c>
      <c r="R45" s="198"/>
      <c r="S45" s="198"/>
      <c r="T45" s="198"/>
      <c r="U45" s="198"/>
    </row>
    <row r="46" spans="1:21" s="12" customFormat="1" x14ac:dyDescent="0.25">
      <c r="A46" s="214" t="s">
        <v>1338</v>
      </c>
      <c r="B46" s="64">
        <v>7.96</v>
      </c>
      <c r="C46" s="64">
        <v>2.96</v>
      </c>
      <c r="D46" s="64">
        <v>11.7</v>
      </c>
      <c r="E46" s="64">
        <v>5</v>
      </c>
      <c r="F46" s="64">
        <v>4.8499999999999996</v>
      </c>
      <c r="G46" s="64">
        <v>16.37</v>
      </c>
      <c r="H46" s="64">
        <v>5.69</v>
      </c>
      <c r="I46" s="64">
        <v>1.89</v>
      </c>
      <c r="J46" s="64">
        <v>0.28999999999999998</v>
      </c>
      <c r="K46" s="64">
        <v>350.24</v>
      </c>
      <c r="L46" s="64">
        <v>31.02</v>
      </c>
      <c r="M46" s="64">
        <v>80.34</v>
      </c>
      <c r="N46" s="64">
        <v>624.29999999999995</v>
      </c>
      <c r="O46" s="64">
        <v>0</v>
      </c>
      <c r="P46" s="64">
        <v>0.31</v>
      </c>
      <c r="Q46" s="64">
        <v>9.58</v>
      </c>
      <c r="R46" s="198"/>
      <c r="S46" s="198"/>
      <c r="T46" s="198"/>
      <c r="U46" s="198"/>
    </row>
    <row r="47" spans="1:21" s="12" customFormat="1" x14ac:dyDescent="0.25">
      <c r="A47" s="214" t="s">
        <v>1339</v>
      </c>
      <c r="B47" s="64">
        <v>7.96</v>
      </c>
      <c r="C47" s="64">
        <v>2.94</v>
      </c>
      <c r="D47" s="64">
        <v>11.69</v>
      </c>
      <c r="E47" s="64">
        <v>4.9800000000000004</v>
      </c>
      <c r="F47" s="64">
        <v>6.07</v>
      </c>
      <c r="G47" s="64">
        <v>16.37</v>
      </c>
      <c r="H47" s="64">
        <v>5.69</v>
      </c>
      <c r="I47" s="64">
        <v>1.76</v>
      </c>
      <c r="J47" s="64">
        <v>0.25</v>
      </c>
      <c r="K47" s="64">
        <v>347.11</v>
      </c>
      <c r="L47" s="64">
        <v>31.59</v>
      </c>
      <c r="M47" s="64">
        <v>78.28</v>
      </c>
      <c r="N47" s="64">
        <v>846.2</v>
      </c>
      <c r="O47" s="64">
        <v>0</v>
      </c>
      <c r="P47" s="64">
        <v>0.32</v>
      </c>
      <c r="Q47" s="64">
        <v>9.5500000000000007</v>
      </c>
      <c r="R47" s="198"/>
      <c r="S47" s="198"/>
      <c r="T47" s="198"/>
      <c r="U47" s="198"/>
    </row>
    <row r="48" spans="1:21" s="12" customFormat="1" x14ac:dyDescent="0.25">
      <c r="A48" s="214" t="s">
        <v>1340</v>
      </c>
      <c r="B48" s="64">
        <v>7.93</v>
      </c>
      <c r="C48" s="64">
        <v>2.93</v>
      </c>
      <c r="D48" s="64">
        <v>11.66</v>
      </c>
      <c r="E48" s="64">
        <v>5.2</v>
      </c>
      <c r="F48" s="64">
        <v>4.91</v>
      </c>
      <c r="G48" s="64">
        <v>16.55</v>
      </c>
      <c r="H48" s="64">
        <v>4.24</v>
      </c>
      <c r="I48" s="64">
        <v>1.58</v>
      </c>
      <c r="J48" s="64">
        <v>0.3</v>
      </c>
      <c r="K48" s="64">
        <v>349.97</v>
      </c>
      <c r="L48" s="64">
        <v>31.42</v>
      </c>
      <c r="M48" s="64">
        <v>78.430000000000007</v>
      </c>
      <c r="N48" s="64">
        <v>793.4</v>
      </c>
      <c r="O48" s="64">
        <v>0</v>
      </c>
      <c r="P48" s="64">
        <v>0.32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14" t="s">
        <v>1341</v>
      </c>
      <c r="B49" s="64">
        <v>7.94</v>
      </c>
      <c r="C49" s="64">
        <v>2.96</v>
      </c>
      <c r="D49" s="64">
        <v>11.69</v>
      </c>
      <c r="E49" s="64">
        <v>4.92</v>
      </c>
      <c r="F49" s="64">
        <v>5.16</v>
      </c>
      <c r="G49" s="64">
        <v>16.89</v>
      </c>
      <c r="H49" s="64">
        <v>2.62</v>
      </c>
      <c r="I49" s="64">
        <v>1.46</v>
      </c>
      <c r="J49" s="64">
        <v>0.36</v>
      </c>
      <c r="K49" s="64">
        <v>351.09</v>
      </c>
      <c r="L49" s="64">
        <v>32.01</v>
      </c>
      <c r="M49" s="64">
        <v>76.41</v>
      </c>
      <c r="N49" s="64">
        <v>883.7</v>
      </c>
      <c r="O49" s="64">
        <v>0</v>
      </c>
      <c r="P49" s="64">
        <v>0.33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4" t="s">
        <v>1342</v>
      </c>
      <c r="B50" s="64">
        <v>7.96</v>
      </c>
      <c r="C50" s="64">
        <v>2.94</v>
      </c>
      <c r="D50" s="64">
        <v>11.7</v>
      </c>
      <c r="E50" s="64">
        <v>4.93</v>
      </c>
      <c r="F50" s="64">
        <v>5.65</v>
      </c>
      <c r="G50" s="64">
        <v>16.89</v>
      </c>
      <c r="H50" s="64">
        <v>2.62</v>
      </c>
      <c r="I50" s="64">
        <v>1.37</v>
      </c>
      <c r="J50" s="64">
        <v>0.3</v>
      </c>
      <c r="K50" s="64">
        <v>344.91</v>
      </c>
      <c r="L50" s="64">
        <v>32.26</v>
      </c>
      <c r="M50" s="64">
        <v>73.2</v>
      </c>
      <c r="N50" s="64">
        <v>937.2</v>
      </c>
      <c r="O50" s="64">
        <v>0</v>
      </c>
      <c r="P50" s="64">
        <v>0.34</v>
      </c>
      <c r="Q50" s="64">
        <v>9.52</v>
      </c>
      <c r="R50" s="198"/>
      <c r="S50" s="198"/>
      <c r="T50" s="198"/>
      <c r="U50" s="198"/>
    </row>
    <row r="51" spans="1:21" s="12" customFormat="1" x14ac:dyDescent="0.25">
      <c r="A51" s="214" t="s">
        <v>1343</v>
      </c>
      <c r="B51" s="64">
        <v>7.95</v>
      </c>
      <c r="C51" s="64">
        <v>2.96</v>
      </c>
      <c r="D51" s="64">
        <v>11.7</v>
      </c>
      <c r="E51" s="64">
        <v>4.93</v>
      </c>
      <c r="F51" s="64">
        <v>5.79</v>
      </c>
      <c r="G51" s="64">
        <v>16.89</v>
      </c>
      <c r="H51" s="64">
        <v>2.89</v>
      </c>
      <c r="I51" s="64">
        <v>1.17</v>
      </c>
      <c r="J51" s="64">
        <v>0.24</v>
      </c>
      <c r="K51" s="64">
        <v>335.4</v>
      </c>
      <c r="L51" s="64">
        <v>32.57</v>
      </c>
      <c r="M51" s="64">
        <v>73.34</v>
      </c>
      <c r="N51" s="64">
        <v>671.6</v>
      </c>
      <c r="O51" s="64">
        <v>0</v>
      </c>
      <c r="P51" s="64">
        <v>0.34</v>
      </c>
      <c r="Q51" s="64">
        <v>9.5500000000000007</v>
      </c>
      <c r="R51" s="198"/>
      <c r="S51" s="198"/>
      <c r="T51" s="198"/>
      <c r="U51" s="198"/>
    </row>
    <row r="52" spans="1:21" s="12" customFormat="1" x14ac:dyDescent="0.25">
      <c r="A52" s="214" t="s">
        <v>1344</v>
      </c>
      <c r="B52" s="64">
        <v>7.93</v>
      </c>
      <c r="C52" s="64">
        <v>2.94</v>
      </c>
      <c r="D52" s="64">
        <v>11.67</v>
      </c>
      <c r="E52" s="64">
        <v>4.88</v>
      </c>
      <c r="F52" s="64">
        <v>6.23</v>
      </c>
      <c r="G52" s="64">
        <v>15.91</v>
      </c>
      <c r="H52" s="64">
        <v>5.7</v>
      </c>
      <c r="I52" s="64">
        <v>1.1000000000000001</v>
      </c>
      <c r="J52" s="64">
        <v>0.31</v>
      </c>
      <c r="K52" s="64">
        <v>342.65</v>
      </c>
      <c r="L52" s="64">
        <v>30.3</v>
      </c>
      <c r="M52" s="64">
        <v>76.89</v>
      </c>
      <c r="N52" s="64">
        <v>657.2</v>
      </c>
      <c r="O52" s="64">
        <v>0</v>
      </c>
      <c r="P52" s="64">
        <v>0.35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4" t="s">
        <v>1345</v>
      </c>
      <c r="B53" s="64">
        <v>7.57</v>
      </c>
      <c r="C53" s="64">
        <v>2.63</v>
      </c>
      <c r="D53" s="64">
        <v>11.06</v>
      </c>
      <c r="E53" s="64">
        <v>4.79</v>
      </c>
      <c r="F53" s="64">
        <v>7.4</v>
      </c>
      <c r="G53" s="64">
        <v>11.82</v>
      </c>
      <c r="H53" s="64">
        <v>1.26</v>
      </c>
      <c r="I53" s="64">
        <v>1.07</v>
      </c>
      <c r="J53" s="64">
        <v>0.31</v>
      </c>
      <c r="K53" s="64">
        <v>337.68</v>
      </c>
      <c r="L53" s="64">
        <v>29.25</v>
      </c>
      <c r="M53" s="64">
        <v>76.23</v>
      </c>
      <c r="N53" s="64">
        <v>939.1</v>
      </c>
      <c r="O53" s="64">
        <v>0</v>
      </c>
      <c r="P53" s="64">
        <v>0.34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1346</v>
      </c>
      <c r="B54" s="64">
        <v>3.25</v>
      </c>
      <c r="C54" s="64">
        <v>-0.49</v>
      </c>
      <c r="D54" s="64">
        <v>4.38</v>
      </c>
      <c r="E54" s="64">
        <v>4.2300000000000004</v>
      </c>
      <c r="F54" s="64">
        <v>7.21</v>
      </c>
      <c r="G54" s="64">
        <v>11.82</v>
      </c>
      <c r="H54" s="64">
        <v>1.26</v>
      </c>
      <c r="I54" s="64">
        <v>0.98</v>
      </c>
      <c r="J54" s="64">
        <v>0.33</v>
      </c>
      <c r="K54" s="64">
        <v>337.62</v>
      </c>
      <c r="L54" s="64">
        <v>29.53</v>
      </c>
      <c r="M54" s="64">
        <v>74.23</v>
      </c>
      <c r="N54" s="64">
        <v>806.1</v>
      </c>
      <c r="O54" s="64">
        <v>0</v>
      </c>
      <c r="P54" s="64">
        <v>0.36</v>
      </c>
      <c r="Q54" s="64">
        <v>0</v>
      </c>
      <c r="R54" s="198"/>
      <c r="S54" s="198"/>
      <c r="T54" s="198"/>
      <c r="U54" s="198"/>
    </row>
    <row r="55" spans="1:21" s="12" customFormat="1" x14ac:dyDescent="0.25">
      <c r="A55" s="214" t="s">
        <v>1347</v>
      </c>
      <c r="B55" s="64">
        <v>0</v>
      </c>
      <c r="C55" s="64">
        <v>0</v>
      </c>
      <c r="D55" s="64">
        <v>0</v>
      </c>
      <c r="E55" s="64">
        <v>4.9400000000000004</v>
      </c>
      <c r="F55" s="64">
        <v>5.2</v>
      </c>
      <c r="G55" s="64">
        <v>11.82</v>
      </c>
      <c r="H55" s="64">
        <v>1.26</v>
      </c>
      <c r="I55" s="64">
        <v>0.91</v>
      </c>
      <c r="J55" s="64">
        <v>0.31</v>
      </c>
      <c r="K55" s="64">
        <v>326.36</v>
      </c>
      <c r="L55" s="64">
        <v>30.45</v>
      </c>
      <c r="M55" s="64">
        <v>72.06</v>
      </c>
      <c r="N55" s="64">
        <v>895.3</v>
      </c>
      <c r="O55" s="64">
        <v>0</v>
      </c>
      <c r="P55" s="64">
        <v>0.35</v>
      </c>
      <c r="Q55" s="64">
        <v>0</v>
      </c>
      <c r="R55" s="198"/>
      <c r="S55" s="198"/>
      <c r="T55" s="198"/>
      <c r="U55" s="198"/>
    </row>
    <row r="56" spans="1:21" s="12" customFormat="1" x14ac:dyDescent="0.25">
      <c r="A56" s="214" t="s">
        <v>1348</v>
      </c>
      <c r="B56" s="64">
        <v>3.23</v>
      </c>
      <c r="C56" s="64">
        <v>1.1000000000000001</v>
      </c>
      <c r="D56" s="64">
        <v>4.45</v>
      </c>
      <c r="E56" s="64">
        <v>4.3</v>
      </c>
      <c r="F56" s="64">
        <v>4.8899999999999997</v>
      </c>
      <c r="G56" s="64">
        <v>11.82</v>
      </c>
      <c r="H56" s="64">
        <v>1.26</v>
      </c>
      <c r="I56" s="64">
        <v>0.97</v>
      </c>
      <c r="J56" s="64">
        <v>0.28999999999999998</v>
      </c>
      <c r="K56" s="64">
        <v>347.9</v>
      </c>
      <c r="L56" s="64">
        <v>30.55</v>
      </c>
      <c r="M56" s="64">
        <v>72.59</v>
      </c>
      <c r="N56" s="64">
        <v>599.6</v>
      </c>
      <c r="O56" s="64">
        <v>0</v>
      </c>
      <c r="P56" s="64">
        <v>0.34</v>
      </c>
      <c r="Q56" s="64">
        <v>0</v>
      </c>
      <c r="R56" s="198"/>
      <c r="S56" s="198"/>
      <c r="T56" s="198"/>
      <c r="U56" s="198"/>
    </row>
    <row r="57" spans="1:21" s="12" customFormat="1" x14ac:dyDescent="0.25">
      <c r="A57" s="214" t="s">
        <v>1349</v>
      </c>
      <c r="B57" s="64">
        <v>3.14</v>
      </c>
      <c r="C57" s="64">
        <v>1.05</v>
      </c>
      <c r="D57" s="64">
        <v>4.3499999999999996</v>
      </c>
      <c r="E57" s="64">
        <v>14.5</v>
      </c>
      <c r="F57" s="64">
        <v>6.25</v>
      </c>
      <c r="G57" s="64">
        <v>11.82</v>
      </c>
      <c r="H57" s="64">
        <v>1.26</v>
      </c>
      <c r="I57" s="64">
        <v>1</v>
      </c>
      <c r="J57" s="64">
        <v>0.26</v>
      </c>
      <c r="K57" s="64">
        <v>335.03</v>
      </c>
      <c r="L57" s="64">
        <v>30.12</v>
      </c>
      <c r="M57" s="64">
        <v>73.61</v>
      </c>
      <c r="N57" s="64">
        <v>936.1</v>
      </c>
      <c r="O57" s="64">
        <v>0</v>
      </c>
      <c r="P57" s="64">
        <v>0.35</v>
      </c>
      <c r="Q57" s="64">
        <v>0</v>
      </c>
      <c r="R57" s="198"/>
      <c r="S57" s="198"/>
      <c r="T57" s="198"/>
      <c r="U57" s="198"/>
    </row>
    <row r="58" spans="1:21" s="12" customFormat="1" x14ac:dyDescent="0.25">
      <c r="A58" s="214" t="s">
        <v>1350</v>
      </c>
      <c r="B58" s="64">
        <v>3.04</v>
      </c>
      <c r="C58" s="64">
        <v>0.99</v>
      </c>
      <c r="D58" s="64">
        <v>4.2300000000000004</v>
      </c>
      <c r="E58" s="211" t="s">
        <v>40</v>
      </c>
      <c r="F58" s="64">
        <v>4.3899999999999997</v>
      </c>
      <c r="G58" s="64">
        <v>11.82</v>
      </c>
      <c r="H58" s="64">
        <v>1.26</v>
      </c>
      <c r="I58" s="64">
        <v>0.94</v>
      </c>
      <c r="J58" s="64">
        <v>0.27</v>
      </c>
      <c r="K58" s="64">
        <v>337.47</v>
      </c>
      <c r="L58" s="64">
        <v>30.4</v>
      </c>
      <c r="M58" s="64">
        <v>70.5</v>
      </c>
      <c r="N58" s="64">
        <v>999.3</v>
      </c>
      <c r="O58" s="64">
        <v>0</v>
      </c>
      <c r="P58" s="64">
        <v>0.34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4" t="s">
        <v>1351</v>
      </c>
      <c r="B59" s="64">
        <v>3</v>
      </c>
      <c r="C59" s="64">
        <v>0.97</v>
      </c>
      <c r="D59" s="64">
        <v>4.1900000000000004</v>
      </c>
      <c r="E59" s="211" t="s">
        <v>40</v>
      </c>
      <c r="F59" s="64">
        <v>5.14</v>
      </c>
      <c r="G59" s="64">
        <v>11.82</v>
      </c>
      <c r="H59" s="64">
        <v>1.26</v>
      </c>
      <c r="I59" s="64">
        <v>1.75</v>
      </c>
      <c r="J59" s="64">
        <v>0.22</v>
      </c>
      <c r="K59" s="64">
        <v>322</v>
      </c>
      <c r="L59" s="64">
        <v>30.25</v>
      </c>
      <c r="M59" s="64">
        <v>72.7</v>
      </c>
      <c r="N59" s="64">
        <v>949.3</v>
      </c>
      <c r="O59" s="64">
        <v>0</v>
      </c>
      <c r="P59" s="64">
        <v>0.32</v>
      </c>
      <c r="Q59" s="64">
        <v>9.4600000000000009</v>
      </c>
      <c r="R59" s="198"/>
      <c r="S59" s="198"/>
      <c r="T59" s="198"/>
      <c r="U59" s="198"/>
    </row>
    <row r="60" spans="1:21" s="12" customFormat="1" x14ac:dyDescent="0.25">
      <c r="A60" s="214" t="s">
        <v>1352</v>
      </c>
      <c r="B60" s="64">
        <v>2.98</v>
      </c>
      <c r="C60" s="64">
        <v>0.93</v>
      </c>
      <c r="D60" s="64">
        <v>4.1500000000000004</v>
      </c>
      <c r="E60" s="64">
        <v>4.51</v>
      </c>
      <c r="F60" s="64">
        <v>5.4</v>
      </c>
      <c r="G60" s="64">
        <v>11.82</v>
      </c>
      <c r="H60" s="64">
        <v>1.26</v>
      </c>
      <c r="I60" s="64">
        <v>2.89</v>
      </c>
      <c r="J60" s="64">
        <v>0.22</v>
      </c>
      <c r="K60" s="64">
        <v>323.13</v>
      </c>
      <c r="L60" s="64">
        <v>29.82</v>
      </c>
      <c r="M60" s="64">
        <v>73.66</v>
      </c>
      <c r="N60" s="64">
        <v>756.2</v>
      </c>
      <c r="O60" s="64">
        <v>0</v>
      </c>
      <c r="P60" s="64">
        <v>0.32</v>
      </c>
      <c r="Q60" s="64">
        <v>9.48</v>
      </c>
      <c r="R60" s="198"/>
      <c r="S60" s="198"/>
      <c r="T60" s="198"/>
      <c r="U60" s="198"/>
    </row>
    <row r="61" spans="1:21" s="12" customFormat="1" x14ac:dyDescent="0.25">
      <c r="A61" s="214" t="s">
        <v>1353</v>
      </c>
      <c r="B61" s="64">
        <v>2.99</v>
      </c>
      <c r="C61" s="64">
        <v>0.94</v>
      </c>
      <c r="D61" s="64">
        <v>4.17</v>
      </c>
      <c r="E61" s="64">
        <v>3.55</v>
      </c>
      <c r="F61" s="64">
        <v>5.18</v>
      </c>
      <c r="G61" s="64">
        <v>11.82</v>
      </c>
      <c r="H61" s="64">
        <v>1.26</v>
      </c>
      <c r="I61" s="64">
        <v>0</v>
      </c>
      <c r="J61" s="64">
        <v>0.21</v>
      </c>
      <c r="K61" s="64">
        <v>323.10000000000002</v>
      </c>
      <c r="L61" s="64">
        <v>29.78</v>
      </c>
      <c r="M61" s="64">
        <v>73.95</v>
      </c>
      <c r="N61" s="64">
        <v>693.4</v>
      </c>
      <c r="O61" s="64">
        <v>0</v>
      </c>
      <c r="P61" s="64">
        <v>3.15</v>
      </c>
      <c r="Q61" s="64">
        <v>9.4700000000000006</v>
      </c>
      <c r="R61" s="198"/>
      <c r="S61" s="198"/>
      <c r="T61" s="198"/>
      <c r="U61" s="198"/>
    </row>
    <row r="62" spans="1:21" s="12" customFormat="1" x14ac:dyDescent="0.25">
      <c r="A62" s="214" t="s">
        <v>1354</v>
      </c>
      <c r="B62" s="64">
        <v>3</v>
      </c>
      <c r="C62" s="64">
        <v>0.92</v>
      </c>
      <c r="D62" s="64">
        <v>4.17</v>
      </c>
      <c r="E62" s="64">
        <v>3.74</v>
      </c>
      <c r="F62" s="64">
        <v>10.77</v>
      </c>
      <c r="G62" s="64">
        <v>0.92</v>
      </c>
      <c r="H62" s="64">
        <v>0.24</v>
      </c>
      <c r="I62" s="64">
        <v>5.56</v>
      </c>
      <c r="J62" s="64">
        <v>0.17</v>
      </c>
      <c r="K62" s="64">
        <v>332.34</v>
      </c>
      <c r="L62" s="64">
        <v>29.85</v>
      </c>
      <c r="M62" s="64">
        <v>72.45</v>
      </c>
      <c r="N62" s="64">
        <v>793.1</v>
      </c>
      <c r="O62" s="64">
        <v>0</v>
      </c>
      <c r="P62" s="64">
        <v>0.28999999999999998</v>
      </c>
      <c r="Q62" s="64">
        <v>9.4499999999999993</v>
      </c>
      <c r="R62" s="198"/>
      <c r="S62" s="198"/>
      <c r="T62" s="198"/>
      <c r="U62" s="198"/>
    </row>
    <row r="63" spans="1:21" s="12" customFormat="1" x14ac:dyDescent="0.25">
      <c r="A63" s="214" t="s">
        <v>1355</v>
      </c>
      <c r="B63" s="64">
        <v>3.33</v>
      </c>
      <c r="C63" s="64">
        <v>1.29</v>
      </c>
      <c r="D63" s="64">
        <v>4.8</v>
      </c>
      <c r="E63" s="64">
        <v>4.5</v>
      </c>
      <c r="F63" s="64">
        <v>7.11</v>
      </c>
      <c r="G63" s="211" t="s">
        <v>40</v>
      </c>
      <c r="H63" s="211" t="s">
        <v>40</v>
      </c>
      <c r="I63" s="64">
        <v>5.83</v>
      </c>
      <c r="J63" s="64">
        <v>0.02</v>
      </c>
      <c r="K63" s="64">
        <v>32.630000000000003</v>
      </c>
      <c r="L63" s="64">
        <v>30.02</v>
      </c>
      <c r="M63" s="64">
        <v>73.680000000000007</v>
      </c>
      <c r="N63" s="64">
        <v>552.4</v>
      </c>
      <c r="O63" s="64">
        <v>0</v>
      </c>
      <c r="P63" s="64">
        <v>0.3</v>
      </c>
      <c r="Q63" s="64">
        <v>9.4499999999999993</v>
      </c>
      <c r="R63" s="198"/>
      <c r="S63" s="198"/>
      <c r="T63" s="198"/>
      <c r="U63" s="198"/>
    </row>
    <row r="64" spans="1:21" s="12" customFormat="1" x14ac:dyDescent="0.25">
      <c r="A64" s="214" t="s">
        <v>1356</v>
      </c>
      <c r="B64" s="64">
        <v>5.04</v>
      </c>
      <c r="C64" s="64">
        <v>3.94</v>
      </c>
      <c r="D64" s="64">
        <v>9.2100000000000009</v>
      </c>
      <c r="E64" s="64">
        <v>4.1900000000000004</v>
      </c>
      <c r="F64" s="64">
        <v>6.45</v>
      </c>
      <c r="G64" s="211" t="s">
        <v>40</v>
      </c>
      <c r="H64" s="211" t="s">
        <v>40</v>
      </c>
      <c r="I64" s="64">
        <v>4.88</v>
      </c>
      <c r="J64" s="64">
        <v>0.15</v>
      </c>
      <c r="K64" s="64">
        <v>333.98</v>
      </c>
      <c r="L64" s="64">
        <v>29.54</v>
      </c>
      <c r="M64" s="64">
        <v>74.94</v>
      </c>
      <c r="N64" s="64">
        <v>228.4</v>
      </c>
      <c r="O64" s="64">
        <v>0</v>
      </c>
      <c r="P64" s="64">
        <v>0.28999999999999998</v>
      </c>
      <c r="Q64" s="64">
        <v>9.4600000000000009</v>
      </c>
      <c r="R64" s="198"/>
      <c r="S64" s="198"/>
      <c r="T64" s="198"/>
      <c r="U64" s="198"/>
    </row>
    <row r="65" spans="1:21" s="12" customFormat="1" x14ac:dyDescent="0.25">
      <c r="A65" s="214" t="s">
        <v>1357</v>
      </c>
      <c r="B65" s="64">
        <v>4.78</v>
      </c>
      <c r="C65" s="64">
        <v>3.73</v>
      </c>
      <c r="D65" s="64">
        <v>8.7200000000000006</v>
      </c>
      <c r="E65" s="64">
        <v>3.97</v>
      </c>
      <c r="F65" s="64">
        <v>7.36</v>
      </c>
      <c r="G65" s="211" t="s">
        <v>40</v>
      </c>
      <c r="H65" s="211" t="s">
        <v>40</v>
      </c>
      <c r="I65" s="64">
        <v>3.74</v>
      </c>
      <c r="J65" s="64">
        <v>0.2</v>
      </c>
      <c r="K65" s="64">
        <v>350.42</v>
      </c>
      <c r="L65" s="64">
        <v>29.51</v>
      </c>
      <c r="M65" s="64">
        <v>75.59</v>
      </c>
      <c r="N65" s="64">
        <v>204.7</v>
      </c>
      <c r="O65" s="64">
        <v>0</v>
      </c>
      <c r="P65" s="64">
        <v>0.27</v>
      </c>
      <c r="Q65" s="64">
        <v>9.4700000000000006</v>
      </c>
      <c r="R65" s="198"/>
      <c r="S65" s="198"/>
      <c r="T65" s="198"/>
      <c r="U65" s="198"/>
    </row>
    <row r="66" spans="1:21" s="12" customFormat="1" x14ac:dyDescent="0.25">
      <c r="A66" s="214" t="s">
        <v>1358</v>
      </c>
      <c r="B66" s="64">
        <v>4.24</v>
      </c>
      <c r="C66" s="64">
        <v>3.13</v>
      </c>
      <c r="D66" s="64">
        <v>7.22</v>
      </c>
      <c r="E66" s="64">
        <v>3.49</v>
      </c>
      <c r="F66" s="64">
        <v>7.5</v>
      </c>
      <c r="G66" s="64">
        <v>75.73</v>
      </c>
      <c r="H66" s="212" t="s">
        <v>42</v>
      </c>
      <c r="I66" s="64">
        <v>3.26</v>
      </c>
      <c r="J66" s="64">
        <v>0.21</v>
      </c>
      <c r="K66" s="64">
        <v>341.64</v>
      </c>
      <c r="L66" s="64">
        <v>29.72</v>
      </c>
      <c r="M66" s="64">
        <v>73.099999999999994</v>
      </c>
      <c r="N66" s="64">
        <v>184</v>
      </c>
      <c r="O66" s="64">
        <v>0</v>
      </c>
      <c r="P66" s="64">
        <v>0.27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14" t="s">
        <v>1359</v>
      </c>
      <c r="B67" s="64">
        <v>4.24</v>
      </c>
      <c r="C67" s="64">
        <v>3.12</v>
      </c>
      <c r="D67" s="64">
        <v>7.22</v>
      </c>
      <c r="E67" s="64">
        <v>3.82</v>
      </c>
      <c r="F67" s="64">
        <v>5.45</v>
      </c>
      <c r="G67" s="64">
        <v>75.73</v>
      </c>
      <c r="H67" s="212" t="s">
        <v>42</v>
      </c>
      <c r="I67" s="64">
        <v>2.59</v>
      </c>
      <c r="J67" s="64">
        <v>0.15</v>
      </c>
      <c r="K67" s="64">
        <v>351.77</v>
      </c>
      <c r="L67" s="64">
        <v>29.97</v>
      </c>
      <c r="M67" s="64">
        <v>72.510000000000005</v>
      </c>
      <c r="N67" s="64">
        <v>180</v>
      </c>
      <c r="O67" s="64">
        <v>0</v>
      </c>
      <c r="P67" s="64">
        <v>0.27</v>
      </c>
      <c r="Q67" s="64">
        <v>9.49</v>
      </c>
      <c r="R67" s="198"/>
      <c r="S67" s="198"/>
      <c r="T67" s="198"/>
      <c r="U67" s="198"/>
    </row>
    <row r="68" spans="1:21" s="12" customFormat="1" x14ac:dyDescent="0.25">
      <c r="A68" s="214" t="s">
        <v>1360</v>
      </c>
      <c r="B68" s="64">
        <v>4.24</v>
      </c>
      <c r="C68" s="64">
        <v>3.1</v>
      </c>
      <c r="D68" s="64">
        <v>7.21</v>
      </c>
      <c r="E68" s="64">
        <v>3.72</v>
      </c>
      <c r="F68" s="64">
        <v>5.84</v>
      </c>
      <c r="G68" s="64">
        <v>75.73</v>
      </c>
      <c r="H68" s="212" t="s">
        <v>42</v>
      </c>
      <c r="I68" s="64">
        <v>2.16</v>
      </c>
      <c r="J68" s="64">
        <v>0.05</v>
      </c>
      <c r="K68" s="64">
        <v>304.33</v>
      </c>
      <c r="L68" s="64">
        <v>29.33</v>
      </c>
      <c r="M68" s="64">
        <v>75.430000000000007</v>
      </c>
      <c r="N68" s="64">
        <v>169.8</v>
      </c>
      <c r="O68" s="64">
        <v>0</v>
      </c>
      <c r="P68" s="64">
        <v>0.28000000000000003</v>
      </c>
      <c r="Q68" s="64">
        <v>9.51</v>
      </c>
      <c r="R68" s="198"/>
      <c r="S68" s="198"/>
      <c r="T68" s="198"/>
      <c r="U68" s="198"/>
    </row>
    <row r="69" spans="1:21" s="12" customFormat="1" x14ac:dyDescent="0.25">
      <c r="A69" s="214" t="s">
        <v>1361</v>
      </c>
      <c r="B69" s="64">
        <v>4.22</v>
      </c>
      <c r="C69" s="64">
        <v>3.11</v>
      </c>
      <c r="D69" s="64">
        <v>7.2</v>
      </c>
      <c r="E69" s="64">
        <v>4.13</v>
      </c>
      <c r="F69" s="64">
        <v>3.62</v>
      </c>
      <c r="G69" s="64">
        <v>75.73</v>
      </c>
      <c r="H69" s="212" t="s">
        <v>42</v>
      </c>
      <c r="I69" s="64">
        <v>2.0699999999999998</v>
      </c>
      <c r="J69" s="64">
        <v>0.31</v>
      </c>
      <c r="K69" s="64">
        <v>341.39</v>
      </c>
      <c r="L69" s="64">
        <v>29.47</v>
      </c>
      <c r="M69" s="64">
        <v>73.069999999999993</v>
      </c>
      <c r="N69" s="64">
        <v>146.1</v>
      </c>
      <c r="O69" s="64">
        <v>0</v>
      </c>
      <c r="P69" s="64">
        <v>0.28999999999999998</v>
      </c>
      <c r="Q69" s="64">
        <v>9.5</v>
      </c>
      <c r="R69" s="198"/>
      <c r="S69" s="198"/>
      <c r="T69" s="198"/>
      <c r="U69" s="198"/>
    </row>
    <row r="70" spans="1:21" s="12" customFormat="1" x14ac:dyDescent="0.25">
      <c r="A70" s="214" t="s">
        <v>1362</v>
      </c>
      <c r="B70" s="64">
        <v>4.22</v>
      </c>
      <c r="C70" s="64">
        <v>3.07</v>
      </c>
      <c r="D70" s="64">
        <v>7.17</v>
      </c>
      <c r="E70" s="64">
        <v>3.88</v>
      </c>
      <c r="F70" s="64">
        <v>3.59</v>
      </c>
      <c r="G70" s="64">
        <v>70.23</v>
      </c>
      <c r="H70" s="212" t="s">
        <v>42</v>
      </c>
      <c r="I70" s="64">
        <v>2.0499999999999998</v>
      </c>
      <c r="J70" s="64">
        <v>0.27</v>
      </c>
      <c r="K70" s="64">
        <v>352.66</v>
      </c>
      <c r="L70" s="64">
        <v>29.44</v>
      </c>
      <c r="M70" s="64">
        <v>72.05</v>
      </c>
      <c r="N70" s="64">
        <v>123.7</v>
      </c>
      <c r="O70" s="64">
        <v>0</v>
      </c>
      <c r="P70" s="64">
        <v>0.28000000000000003</v>
      </c>
      <c r="Q70" s="64">
        <v>9.4700000000000006</v>
      </c>
      <c r="R70" s="198"/>
      <c r="S70" s="198"/>
      <c r="T70" s="198"/>
      <c r="U70" s="198"/>
    </row>
    <row r="71" spans="1:21" s="12" customFormat="1" x14ac:dyDescent="0.25">
      <c r="A71" s="214" t="s">
        <v>1363</v>
      </c>
      <c r="B71" s="64">
        <v>4.2300000000000004</v>
      </c>
      <c r="C71" s="64">
        <v>3.1</v>
      </c>
      <c r="D71" s="64">
        <v>7.2</v>
      </c>
      <c r="E71" s="64">
        <v>4.2</v>
      </c>
      <c r="F71" s="64">
        <v>4.79</v>
      </c>
      <c r="G71" s="64">
        <v>69.040000000000006</v>
      </c>
      <c r="H71" s="212" t="s">
        <v>42</v>
      </c>
      <c r="I71" s="64">
        <v>1.95</v>
      </c>
      <c r="J71" s="64">
        <v>0.28999999999999998</v>
      </c>
      <c r="K71" s="64">
        <v>349.04</v>
      </c>
      <c r="L71" s="64">
        <v>29.33</v>
      </c>
      <c r="M71" s="64">
        <v>72.33</v>
      </c>
      <c r="N71" s="64">
        <v>124.9</v>
      </c>
      <c r="O71" s="64">
        <v>0</v>
      </c>
      <c r="P71" s="64">
        <v>0.27</v>
      </c>
      <c r="Q71" s="64">
        <v>9.5</v>
      </c>
      <c r="R71" s="198"/>
      <c r="S71" s="198"/>
      <c r="T71" s="198"/>
      <c r="U71" s="198"/>
    </row>
    <row r="72" spans="1:21" s="12" customFormat="1" x14ac:dyDescent="0.25">
      <c r="A72" s="214" t="s">
        <v>1364</v>
      </c>
      <c r="B72" s="64">
        <v>4.22</v>
      </c>
      <c r="C72" s="64">
        <v>3.07</v>
      </c>
      <c r="D72" s="64">
        <v>7.18</v>
      </c>
      <c r="E72" s="64">
        <v>5.22</v>
      </c>
      <c r="F72" s="64">
        <v>4.42</v>
      </c>
      <c r="G72" s="64">
        <v>69.040000000000006</v>
      </c>
      <c r="H72" s="212" t="s">
        <v>42</v>
      </c>
      <c r="I72" s="64">
        <v>1.79</v>
      </c>
      <c r="J72" s="64">
        <v>0.16</v>
      </c>
      <c r="K72" s="64">
        <v>333.91</v>
      </c>
      <c r="L72" s="64">
        <v>29.26</v>
      </c>
      <c r="M72" s="64">
        <v>73.28</v>
      </c>
      <c r="N72" s="64">
        <v>112.3</v>
      </c>
      <c r="O72" s="64">
        <v>0</v>
      </c>
      <c r="P72" s="64">
        <v>0.28000000000000003</v>
      </c>
      <c r="Q72" s="64">
        <v>9.5299999999999994</v>
      </c>
      <c r="R72" s="198"/>
      <c r="S72" s="198"/>
      <c r="T72" s="198"/>
      <c r="U72" s="198"/>
    </row>
    <row r="73" spans="1:21" s="12" customFormat="1" x14ac:dyDescent="0.25">
      <c r="A73" s="214" t="s">
        <v>1365</v>
      </c>
      <c r="B73" s="64">
        <v>4.22</v>
      </c>
      <c r="C73" s="64">
        <v>3.09</v>
      </c>
      <c r="D73" s="64">
        <v>7.19</v>
      </c>
      <c r="E73" s="64">
        <v>4.7300000000000004</v>
      </c>
      <c r="F73" s="64">
        <v>4.3</v>
      </c>
      <c r="G73" s="64">
        <v>69.040000000000006</v>
      </c>
      <c r="H73" s="212" t="s">
        <v>42</v>
      </c>
      <c r="I73" s="64">
        <v>1.68</v>
      </c>
      <c r="J73" s="64">
        <v>0.2</v>
      </c>
      <c r="K73" s="64">
        <v>339.91</v>
      </c>
      <c r="L73" s="64">
        <v>29.11</v>
      </c>
      <c r="M73" s="64">
        <v>75.87</v>
      </c>
      <c r="N73" s="64">
        <v>107.7</v>
      </c>
      <c r="O73" s="64">
        <v>0</v>
      </c>
      <c r="P73" s="64">
        <v>0.28000000000000003</v>
      </c>
      <c r="Q73" s="64">
        <v>9.5299999999999994</v>
      </c>
      <c r="R73" s="198"/>
      <c r="S73" s="198"/>
      <c r="T73" s="198"/>
      <c r="U73" s="198"/>
    </row>
    <row r="74" spans="1:21" s="12" customFormat="1" x14ac:dyDescent="0.25">
      <c r="A74" s="214" t="s">
        <v>1366</v>
      </c>
      <c r="B74" s="64">
        <v>4.22</v>
      </c>
      <c r="C74" s="64">
        <v>3.11</v>
      </c>
      <c r="D74" s="64">
        <v>7.2</v>
      </c>
      <c r="E74" s="64">
        <v>4.63</v>
      </c>
      <c r="F74" s="64">
        <v>5.56</v>
      </c>
      <c r="G74" s="64">
        <v>49.17</v>
      </c>
      <c r="H74" s="212" t="s">
        <v>42</v>
      </c>
      <c r="I74" s="64">
        <v>1.54</v>
      </c>
      <c r="J74" s="64">
        <v>0.17</v>
      </c>
      <c r="K74" s="64">
        <v>351.8</v>
      </c>
      <c r="L74" s="64">
        <v>29.07</v>
      </c>
      <c r="M74" s="64">
        <v>75.400000000000006</v>
      </c>
      <c r="N74" s="64">
        <v>100.7</v>
      </c>
      <c r="O74" s="64">
        <v>0</v>
      </c>
      <c r="P74" s="64">
        <v>0.28000000000000003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14" t="s">
        <v>1367</v>
      </c>
      <c r="B75" s="64">
        <v>4.2</v>
      </c>
      <c r="C75" s="64">
        <v>3.1</v>
      </c>
      <c r="D75" s="64">
        <v>7.18</v>
      </c>
      <c r="E75" s="64">
        <v>4.84</v>
      </c>
      <c r="F75" s="64">
        <v>4.13</v>
      </c>
      <c r="G75" s="64">
        <v>44.88</v>
      </c>
      <c r="H75" s="212" t="s">
        <v>42</v>
      </c>
      <c r="I75" s="64">
        <v>1.41</v>
      </c>
      <c r="J75" s="64">
        <v>0.25</v>
      </c>
      <c r="K75" s="64">
        <v>338.43</v>
      </c>
      <c r="L75" s="64">
        <v>28.95</v>
      </c>
      <c r="M75" s="64">
        <v>75.67</v>
      </c>
      <c r="N75" s="64">
        <v>97.6</v>
      </c>
      <c r="O75" s="64">
        <v>0</v>
      </c>
      <c r="P75" s="64">
        <v>0.28999999999999998</v>
      </c>
      <c r="Q75" s="64">
        <v>9.58</v>
      </c>
      <c r="R75" s="198"/>
      <c r="S75" s="198"/>
      <c r="T75" s="198"/>
      <c r="U75" s="198"/>
    </row>
    <row r="76" spans="1:21" s="12" customFormat="1" x14ac:dyDescent="0.25">
      <c r="A76" s="214" t="s">
        <v>1368</v>
      </c>
      <c r="B76" s="64">
        <v>4.22</v>
      </c>
      <c r="C76" s="64">
        <v>3.09</v>
      </c>
      <c r="D76" s="64">
        <v>7.19</v>
      </c>
      <c r="E76" s="64">
        <v>4.82</v>
      </c>
      <c r="F76" s="64">
        <v>3.87</v>
      </c>
      <c r="G76" s="64">
        <v>44.88</v>
      </c>
      <c r="H76" s="212" t="s">
        <v>42</v>
      </c>
      <c r="I76" s="64">
        <v>1.37</v>
      </c>
      <c r="J76" s="64">
        <v>0.22</v>
      </c>
      <c r="K76" s="64">
        <v>350.6</v>
      </c>
      <c r="L76" s="64">
        <v>28.74</v>
      </c>
      <c r="M76" s="64">
        <v>77.209999999999994</v>
      </c>
      <c r="N76" s="64">
        <v>90.6</v>
      </c>
      <c r="O76" s="64">
        <v>0</v>
      </c>
      <c r="P76" s="64">
        <v>0.28000000000000003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4" t="s">
        <v>1369</v>
      </c>
      <c r="B77" s="64">
        <v>4.24</v>
      </c>
      <c r="C77" s="64">
        <v>3.12</v>
      </c>
      <c r="D77" s="64">
        <v>7.23</v>
      </c>
      <c r="E77" s="64">
        <v>4.8899999999999997</v>
      </c>
      <c r="F77" s="64">
        <v>4.4400000000000004</v>
      </c>
      <c r="G77" s="64">
        <v>44.88</v>
      </c>
      <c r="H77" s="212" t="s">
        <v>42</v>
      </c>
      <c r="I77" s="64">
        <v>1.31</v>
      </c>
      <c r="J77" s="64">
        <v>0.22</v>
      </c>
      <c r="K77" s="64">
        <v>352.68</v>
      </c>
      <c r="L77" s="64">
        <v>28.56</v>
      </c>
      <c r="M77" s="64">
        <v>77.27</v>
      </c>
      <c r="N77" s="64">
        <v>76.7</v>
      </c>
      <c r="O77" s="64">
        <v>0</v>
      </c>
      <c r="P77" s="64">
        <v>0.27</v>
      </c>
      <c r="Q77" s="64">
        <v>9.5299999999999994</v>
      </c>
      <c r="R77" s="198"/>
      <c r="S77" s="198"/>
      <c r="T77" s="198"/>
      <c r="U77" s="198"/>
    </row>
    <row r="78" spans="1:21" s="12" customFormat="1" x14ac:dyDescent="0.25">
      <c r="A78" s="214" t="s">
        <v>1370</v>
      </c>
      <c r="B78" s="64">
        <v>4.24</v>
      </c>
      <c r="C78" s="64">
        <v>3.14</v>
      </c>
      <c r="D78" s="64">
        <v>7.23</v>
      </c>
      <c r="E78" s="64">
        <v>4.75</v>
      </c>
      <c r="F78" s="64">
        <v>3.73</v>
      </c>
      <c r="G78" s="64">
        <v>32.15</v>
      </c>
      <c r="H78" s="212" t="s">
        <v>42</v>
      </c>
      <c r="I78" s="64">
        <v>1.22</v>
      </c>
      <c r="J78" s="64">
        <v>0.18</v>
      </c>
      <c r="K78" s="64">
        <v>349.48</v>
      </c>
      <c r="L78" s="64">
        <v>28.29</v>
      </c>
      <c r="M78" s="64">
        <v>79.790000000000006</v>
      </c>
      <c r="N78" s="64">
        <v>78</v>
      </c>
      <c r="O78" s="64">
        <v>0</v>
      </c>
      <c r="P78" s="64">
        <v>0.27</v>
      </c>
      <c r="Q78" s="64">
        <v>9.5399999999999991</v>
      </c>
      <c r="R78" s="198"/>
      <c r="S78" s="198"/>
      <c r="T78" s="198"/>
      <c r="U78" s="198"/>
    </row>
    <row r="79" spans="1:21" s="12" customFormat="1" x14ac:dyDescent="0.25">
      <c r="A79" s="214" t="s">
        <v>1371</v>
      </c>
      <c r="B79" s="64">
        <v>4.26</v>
      </c>
      <c r="C79" s="64">
        <v>3.11</v>
      </c>
      <c r="D79" s="64">
        <v>7.24</v>
      </c>
      <c r="E79" s="64">
        <v>4.62</v>
      </c>
      <c r="F79" s="64">
        <v>3.12</v>
      </c>
      <c r="G79" s="210" t="s">
        <v>36</v>
      </c>
      <c r="H79" s="212" t="s">
        <v>42</v>
      </c>
      <c r="I79" s="64">
        <v>1.17</v>
      </c>
      <c r="J79" s="64">
        <v>0.17</v>
      </c>
      <c r="K79" s="64">
        <v>1.51</v>
      </c>
      <c r="L79" s="64">
        <v>28.27</v>
      </c>
      <c r="M79" s="64">
        <v>80.92</v>
      </c>
      <c r="N79" s="64">
        <v>59</v>
      </c>
      <c r="O79" s="64">
        <v>0</v>
      </c>
      <c r="P79" s="64">
        <v>0.28000000000000003</v>
      </c>
      <c r="Q79" s="64">
        <v>9.5500000000000007</v>
      </c>
      <c r="R79" s="198"/>
      <c r="S79" s="198"/>
      <c r="T79" s="198"/>
      <c r="U79" s="198"/>
    </row>
    <row r="80" spans="1:21" s="12" customFormat="1" x14ac:dyDescent="0.25">
      <c r="A80" s="214" t="s">
        <v>1372</v>
      </c>
      <c r="B80" s="64">
        <v>4.26</v>
      </c>
      <c r="C80" s="64">
        <v>3.14</v>
      </c>
      <c r="D80" s="64">
        <v>7.25</v>
      </c>
      <c r="E80" s="64">
        <v>4.6500000000000004</v>
      </c>
      <c r="F80" s="64">
        <v>3.45</v>
      </c>
      <c r="G80" s="210" t="s">
        <v>36</v>
      </c>
      <c r="H80" s="212" t="s">
        <v>42</v>
      </c>
      <c r="I80" s="64">
        <v>1.22</v>
      </c>
      <c r="J80" s="64">
        <v>0.17</v>
      </c>
      <c r="K80" s="64">
        <v>359.58</v>
      </c>
      <c r="L80" s="64">
        <v>28.04</v>
      </c>
      <c r="M80" s="64">
        <v>82.49</v>
      </c>
      <c r="N80" s="64">
        <v>48.7</v>
      </c>
      <c r="O80" s="64">
        <v>0</v>
      </c>
      <c r="P80" s="64">
        <v>0.31</v>
      </c>
      <c r="Q80" s="64">
        <v>9.5500000000000007</v>
      </c>
      <c r="R80" s="198"/>
      <c r="S80" s="198"/>
      <c r="T80" s="198"/>
      <c r="U80" s="198"/>
    </row>
    <row r="81" spans="1:26" s="12" customFormat="1" x14ac:dyDescent="0.25">
      <c r="A81" s="214" t="s">
        <v>1373</v>
      </c>
      <c r="B81" s="64">
        <v>4.26</v>
      </c>
      <c r="C81" s="64">
        <v>3.12</v>
      </c>
      <c r="D81" s="64">
        <v>7.24</v>
      </c>
      <c r="E81" s="64">
        <v>4.95</v>
      </c>
      <c r="F81" s="64">
        <v>3.42</v>
      </c>
      <c r="G81" s="210" t="s">
        <v>36</v>
      </c>
      <c r="H81" s="212" t="s">
        <v>42</v>
      </c>
      <c r="I81" s="64">
        <v>1.33</v>
      </c>
      <c r="J81" s="64">
        <v>0.19</v>
      </c>
      <c r="K81" s="64">
        <v>6.37</v>
      </c>
      <c r="L81" s="64">
        <v>27.79</v>
      </c>
      <c r="M81" s="64">
        <v>83.72</v>
      </c>
      <c r="N81" s="64">
        <v>40.799999999999997</v>
      </c>
      <c r="O81" s="64">
        <v>0</v>
      </c>
      <c r="P81" s="64">
        <v>0.32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4" t="s">
        <v>1374</v>
      </c>
      <c r="B82" s="64">
        <v>4.2699999999999996</v>
      </c>
      <c r="C82" s="64">
        <v>3.13</v>
      </c>
      <c r="D82" s="64">
        <v>7.25</v>
      </c>
      <c r="E82" s="64">
        <v>4.8899999999999997</v>
      </c>
      <c r="F82" s="64">
        <v>3.5</v>
      </c>
      <c r="G82" s="64">
        <v>21.43</v>
      </c>
      <c r="H82" s="212" t="s">
        <v>42</v>
      </c>
      <c r="I82" s="64">
        <v>1.44</v>
      </c>
      <c r="J82" s="64">
        <v>0.14000000000000001</v>
      </c>
      <c r="K82" s="64">
        <v>1.1000000000000001</v>
      </c>
      <c r="L82" s="64">
        <v>27.47</v>
      </c>
      <c r="M82" s="64">
        <v>86.62</v>
      </c>
      <c r="N82" s="64">
        <v>38.9</v>
      </c>
      <c r="O82" s="64">
        <v>0</v>
      </c>
      <c r="P82" s="64">
        <v>0.33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4" t="s">
        <v>1375</v>
      </c>
      <c r="B83" s="64">
        <v>4.28</v>
      </c>
      <c r="C83" s="64">
        <v>3.15</v>
      </c>
      <c r="D83" s="64">
        <v>7.27</v>
      </c>
      <c r="E83" s="64">
        <v>4.99</v>
      </c>
      <c r="F83" s="64">
        <v>3.24</v>
      </c>
      <c r="G83" s="64">
        <v>55.1</v>
      </c>
      <c r="H83" s="212" t="s">
        <v>42</v>
      </c>
      <c r="I83" s="64">
        <v>1.55</v>
      </c>
      <c r="J83" s="64">
        <v>0.18</v>
      </c>
      <c r="K83" s="64">
        <v>350.65</v>
      </c>
      <c r="L83" s="64">
        <v>27.15</v>
      </c>
      <c r="M83" s="64">
        <v>88.49</v>
      </c>
      <c r="N83" s="64">
        <v>38.6</v>
      </c>
      <c r="O83" s="64">
        <v>0</v>
      </c>
      <c r="P83" s="64">
        <v>0.35</v>
      </c>
      <c r="Q83" s="64">
        <v>9.65</v>
      </c>
      <c r="R83" s="198"/>
      <c r="S83" s="198"/>
      <c r="T83" s="198"/>
      <c r="U83" s="198"/>
    </row>
    <row r="84" spans="1:26" s="12" customFormat="1" x14ac:dyDescent="0.25">
      <c r="A84" s="214" t="s">
        <v>1376</v>
      </c>
      <c r="B84" s="64">
        <v>4.29</v>
      </c>
      <c r="C84" s="64">
        <v>3.18</v>
      </c>
      <c r="D84" s="64">
        <v>7.29</v>
      </c>
      <c r="E84" s="64">
        <v>4.97</v>
      </c>
      <c r="F84" s="64">
        <v>3.53</v>
      </c>
      <c r="G84" s="64">
        <v>55.1</v>
      </c>
      <c r="H84" s="212" t="s">
        <v>42</v>
      </c>
      <c r="I84" s="64">
        <v>1.69</v>
      </c>
      <c r="J84" s="64">
        <v>0.12</v>
      </c>
      <c r="K84" s="64">
        <v>354.05</v>
      </c>
      <c r="L84" s="64">
        <v>27.06</v>
      </c>
      <c r="M84" s="64">
        <v>89.14</v>
      </c>
      <c r="N84" s="64">
        <v>38.5</v>
      </c>
      <c r="O84" s="64">
        <v>0</v>
      </c>
      <c r="P84" s="64">
        <v>0.37</v>
      </c>
      <c r="Q84" s="64">
        <v>9.67</v>
      </c>
      <c r="R84" s="198"/>
      <c r="S84" s="198"/>
      <c r="T84" s="198"/>
      <c r="U84" s="198"/>
    </row>
    <row r="85" spans="1:26" s="12" customFormat="1" x14ac:dyDescent="0.25">
      <c r="A85" s="214" t="s">
        <v>1377</v>
      </c>
      <c r="B85" s="64">
        <v>4.2699999999999996</v>
      </c>
      <c r="C85" s="64">
        <v>3.13</v>
      </c>
      <c r="D85" s="64">
        <v>7.25</v>
      </c>
      <c r="E85" s="64">
        <v>5.23</v>
      </c>
      <c r="F85" s="64">
        <v>4.6900000000000004</v>
      </c>
      <c r="G85" s="64">
        <v>55.1</v>
      </c>
      <c r="H85" s="212" t="s">
        <v>42</v>
      </c>
      <c r="I85" s="64">
        <v>1.92</v>
      </c>
      <c r="J85" s="64">
        <v>0.11</v>
      </c>
      <c r="K85" s="64">
        <v>10.85</v>
      </c>
      <c r="L85" s="64">
        <v>26.94</v>
      </c>
      <c r="M85" s="64">
        <v>90.93</v>
      </c>
      <c r="N85" s="64">
        <v>38.4</v>
      </c>
      <c r="O85" s="64">
        <v>0</v>
      </c>
      <c r="P85" s="64">
        <v>0.4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4" t="s">
        <v>1378</v>
      </c>
      <c r="B86" s="64">
        <v>4.2699999999999996</v>
      </c>
      <c r="C86" s="64">
        <v>3.17</v>
      </c>
      <c r="D86" s="64">
        <v>7.27</v>
      </c>
      <c r="E86" s="64">
        <v>5.19</v>
      </c>
      <c r="F86" s="64">
        <v>2.93</v>
      </c>
      <c r="G86" s="64">
        <v>52.95</v>
      </c>
      <c r="H86" s="212" t="s">
        <v>42</v>
      </c>
      <c r="I86" s="64">
        <v>2.14</v>
      </c>
      <c r="J86" s="64">
        <v>0.16</v>
      </c>
      <c r="K86" s="64">
        <v>3.81</v>
      </c>
      <c r="L86" s="64">
        <v>26.88</v>
      </c>
      <c r="M86" s="64">
        <v>93.1</v>
      </c>
      <c r="N86" s="64">
        <v>38.299999999999997</v>
      </c>
      <c r="O86" s="64">
        <v>0</v>
      </c>
      <c r="P86" s="64">
        <v>0.44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4" t="s">
        <v>1379</v>
      </c>
      <c r="B87" s="64">
        <v>4.25</v>
      </c>
      <c r="C87" s="64">
        <v>3.11</v>
      </c>
      <c r="D87" s="64">
        <v>7.22</v>
      </c>
      <c r="E87" s="64">
        <v>5.13</v>
      </c>
      <c r="F87" s="64">
        <v>4.71</v>
      </c>
      <c r="G87" s="64">
        <v>49.57</v>
      </c>
      <c r="H87" s="64">
        <v>42.49</v>
      </c>
      <c r="I87" s="64">
        <v>2.2400000000000002</v>
      </c>
      <c r="J87" s="64">
        <v>0.15</v>
      </c>
      <c r="K87" s="64">
        <v>356.04</v>
      </c>
      <c r="L87" s="64">
        <v>26.72</v>
      </c>
      <c r="M87" s="64">
        <v>94.65</v>
      </c>
      <c r="N87" s="64">
        <v>38.5</v>
      </c>
      <c r="O87" s="64">
        <v>0</v>
      </c>
      <c r="P87" s="64">
        <v>0.49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4" t="s">
        <v>1380</v>
      </c>
      <c r="B88" s="64">
        <v>4.24</v>
      </c>
      <c r="C88" s="64">
        <v>3.16</v>
      </c>
      <c r="D88" s="64">
        <v>7.24</v>
      </c>
      <c r="E88" s="64">
        <v>4.5999999999999996</v>
      </c>
      <c r="F88" s="64">
        <v>2.1800000000000002</v>
      </c>
      <c r="G88" s="64">
        <v>49.57</v>
      </c>
      <c r="H88" s="64">
        <v>42.49</v>
      </c>
      <c r="I88" s="64">
        <v>2.36</v>
      </c>
      <c r="J88" s="64">
        <v>0.15</v>
      </c>
      <c r="K88" s="64">
        <v>2.12</v>
      </c>
      <c r="L88" s="64">
        <v>26.51</v>
      </c>
      <c r="M88" s="64">
        <v>95.23</v>
      </c>
      <c r="N88" s="64">
        <v>38.299999999999997</v>
      </c>
      <c r="O88" s="64">
        <v>0</v>
      </c>
      <c r="P88" s="64">
        <v>0.51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4" t="s">
        <v>1381</v>
      </c>
      <c r="B89" s="64">
        <v>4.24</v>
      </c>
      <c r="C89" s="64">
        <v>3.15</v>
      </c>
      <c r="D89" s="64">
        <v>7.23</v>
      </c>
      <c r="E89" s="64">
        <v>4.5199999999999996</v>
      </c>
      <c r="F89" s="64">
        <v>4.01</v>
      </c>
      <c r="G89" s="64">
        <v>49.57</v>
      </c>
      <c r="H89" s="64">
        <v>42.49</v>
      </c>
      <c r="I89" s="64">
        <v>2.48</v>
      </c>
      <c r="J89" s="64">
        <v>0.2</v>
      </c>
      <c r="K89" s="64">
        <v>5.51</v>
      </c>
      <c r="L89" s="64">
        <v>26.49</v>
      </c>
      <c r="M89" s="64">
        <v>93.51</v>
      </c>
      <c r="N89" s="64">
        <v>38.1</v>
      </c>
      <c r="O89" s="64">
        <v>0</v>
      </c>
      <c r="P89" s="64">
        <v>0.54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4" t="s">
        <v>1382</v>
      </c>
      <c r="B90" s="64">
        <v>4.24</v>
      </c>
      <c r="C90" s="64">
        <v>3.12</v>
      </c>
      <c r="D90" s="64">
        <v>7.22</v>
      </c>
      <c r="E90" s="64">
        <v>4.5</v>
      </c>
      <c r="F90" s="64">
        <v>2.85</v>
      </c>
      <c r="G90" s="64">
        <v>49.58</v>
      </c>
      <c r="H90" s="64">
        <v>28.21</v>
      </c>
      <c r="I90" s="64">
        <v>2.5499999999999998</v>
      </c>
      <c r="J90" s="64">
        <v>0.19</v>
      </c>
      <c r="K90" s="64">
        <v>2.86</v>
      </c>
      <c r="L90" s="64">
        <v>26.31</v>
      </c>
      <c r="M90" s="64">
        <v>93.99</v>
      </c>
      <c r="N90" s="64">
        <v>38.4</v>
      </c>
      <c r="O90" s="64">
        <v>0</v>
      </c>
      <c r="P90" s="64">
        <v>0.56999999999999995</v>
      </c>
      <c r="Q90" s="64">
        <v>9.69</v>
      </c>
      <c r="R90" s="198"/>
      <c r="S90" s="198"/>
      <c r="T90" s="198"/>
      <c r="U90" s="198"/>
    </row>
    <row r="91" spans="1:26" s="12" customFormat="1" x14ac:dyDescent="0.25">
      <c r="A91" s="214" t="s">
        <v>1383</v>
      </c>
      <c r="B91" s="64">
        <v>4.26</v>
      </c>
      <c r="C91" s="64">
        <v>3.16</v>
      </c>
      <c r="D91" s="64">
        <v>7.26</v>
      </c>
      <c r="E91" s="64">
        <v>4.0199999999999996</v>
      </c>
      <c r="F91" s="64">
        <v>4.32</v>
      </c>
      <c r="G91" s="64">
        <v>49.61</v>
      </c>
      <c r="H91" s="64">
        <v>14.77</v>
      </c>
      <c r="I91" s="64">
        <v>2.44</v>
      </c>
      <c r="J91" s="64">
        <v>0.11</v>
      </c>
      <c r="K91" s="64">
        <v>343.74</v>
      </c>
      <c r="L91" s="64">
        <v>26.16</v>
      </c>
      <c r="M91" s="64">
        <v>95.71</v>
      </c>
      <c r="N91" s="64">
        <v>38.299999999999997</v>
      </c>
      <c r="O91" s="64">
        <v>0</v>
      </c>
      <c r="P91" s="64">
        <v>0.62</v>
      </c>
      <c r="Q91" s="64">
        <v>9.6999999999999993</v>
      </c>
      <c r="R91" s="198"/>
      <c r="S91" s="198"/>
      <c r="T91" s="198"/>
      <c r="U91" s="198"/>
    </row>
    <row r="92" spans="1:26" s="12" customFormat="1" x14ac:dyDescent="0.25">
      <c r="A92" s="214" t="s">
        <v>1384</v>
      </c>
      <c r="B92" s="64">
        <v>4.28</v>
      </c>
      <c r="C92" s="64">
        <v>3.19</v>
      </c>
      <c r="D92" s="64">
        <v>7.29</v>
      </c>
      <c r="E92" s="64">
        <v>4.51</v>
      </c>
      <c r="F92" s="64">
        <v>2.4900000000000002</v>
      </c>
      <c r="G92" s="64">
        <v>49.61</v>
      </c>
      <c r="H92" s="64">
        <v>14.77</v>
      </c>
      <c r="I92" s="64">
        <v>2.37</v>
      </c>
      <c r="J92" s="64">
        <v>0.09</v>
      </c>
      <c r="K92" s="64">
        <v>353.36</v>
      </c>
      <c r="L92" s="64">
        <v>26.05</v>
      </c>
      <c r="M92" s="64">
        <v>96.33</v>
      </c>
      <c r="N92" s="64">
        <v>38.4</v>
      </c>
      <c r="O92" s="64">
        <v>0</v>
      </c>
      <c r="P92" s="64">
        <v>0.68</v>
      </c>
      <c r="Q92" s="64">
        <v>9.68</v>
      </c>
      <c r="R92" s="198"/>
      <c r="S92" s="198"/>
      <c r="T92" s="198"/>
      <c r="U92" s="198"/>
    </row>
    <row r="93" spans="1:26" s="12" customFormat="1" x14ac:dyDescent="0.25">
      <c r="A93" s="214" t="s">
        <v>1385</v>
      </c>
      <c r="B93" s="64">
        <v>4.26</v>
      </c>
      <c r="C93" s="64">
        <v>3.17</v>
      </c>
      <c r="D93" s="64">
        <v>7.26</v>
      </c>
      <c r="E93" s="64">
        <v>4.4800000000000004</v>
      </c>
      <c r="F93" s="64">
        <v>4.0199999999999996</v>
      </c>
      <c r="G93" s="64">
        <v>49.61</v>
      </c>
      <c r="H93" s="64">
        <v>14.77</v>
      </c>
      <c r="I93" s="64">
        <v>2.5</v>
      </c>
      <c r="J93" s="64">
        <v>0.05</v>
      </c>
      <c r="K93" s="64">
        <v>266</v>
      </c>
      <c r="L93" s="64">
        <v>25.92</v>
      </c>
      <c r="M93" s="64">
        <v>97.46</v>
      </c>
      <c r="N93" s="64">
        <v>38.299999999999997</v>
      </c>
      <c r="O93" s="64">
        <v>0</v>
      </c>
      <c r="P93" s="64">
        <v>0.76</v>
      </c>
      <c r="Q93" s="64">
        <v>9.77</v>
      </c>
      <c r="R93" s="198"/>
      <c r="S93" s="198"/>
      <c r="T93" s="198"/>
      <c r="U93" s="198"/>
    </row>
    <row r="94" spans="1:26" s="12" customFormat="1" x14ac:dyDescent="0.25">
      <c r="A94" s="214" t="s">
        <v>1386</v>
      </c>
      <c r="B94" s="64">
        <v>4.28</v>
      </c>
      <c r="C94" s="64">
        <v>3.19</v>
      </c>
      <c r="D94" s="64">
        <v>7.29</v>
      </c>
      <c r="E94" s="64">
        <v>4.5</v>
      </c>
      <c r="F94" s="64">
        <v>2.84</v>
      </c>
      <c r="G94" s="64">
        <v>49.47</v>
      </c>
      <c r="H94" s="64">
        <v>14.77</v>
      </c>
      <c r="I94" s="64">
        <v>2.79</v>
      </c>
      <c r="J94" s="64">
        <v>0.19</v>
      </c>
      <c r="K94" s="64">
        <v>2.41</v>
      </c>
      <c r="L94" s="64">
        <v>25.9</v>
      </c>
      <c r="M94" s="64">
        <v>97.01</v>
      </c>
      <c r="N94" s="64">
        <v>38.1</v>
      </c>
      <c r="O94" s="64">
        <v>0</v>
      </c>
      <c r="P94" s="64">
        <v>0.8</v>
      </c>
      <c r="Q94" s="64">
        <v>9.82</v>
      </c>
      <c r="R94" s="198"/>
      <c r="S94" s="198"/>
      <c r="T94" s="198"/>
      <c r="U94" s="198"/>
    </row>
    <row r="95" spans="1:26" s="12" customFormat="1" x14ac:dyDescent="0.25">
      <c r="A95" s="214" t="s">
        <v>1387</v>
      </c>
      <c r="B95" s="64">
        <v>4.3099999999999996</v>
      </c>
      <c r="C95" s="64">
        <v>3.21</v>
      </c>
      <c r="D95" s="64">
        <v>7.32</v>
      </c>
      <c r="E95" s="64">
        <v>4.6100000000000003</v>
      </c>
      <c r="F95" s="64">
        <v>3.23</v>
      </c>
      <c r="G95" s="64">
        <v>49.24</v>
      </c>
      <c r="H95" s="64">
        <v>14.77</v>
      </c>
      <c r="I95" s="64">
        <v>3.18</v>
      </c>
      <c r="J95" s="64">
        <v>0.17</v>
      </c>
      <c r="K95" s="64">
        <v>5.73</v>
      </c>
      <c r="L95" s="64">
        <v>25.87</v>
      </c>
      <c r="M95" s="64">
        <v>95.18</v>
      </c>
      <c r="N95" s="64">
        <v>38.1</v>
      </c>
      <c r="O95" s="64">
        <v>0</v>
      </c>
      <c r="P95" s="64">
        <v>0.81</v>
      </c>
      <c r="Q95" s="64">
        <v>9.84</v>
      </c>
      <c r="R95" s="198"/>
      <c r="S95" s="198"/>
      <c r="T95" s="198"/>
      <c r="U95" s="198"/>
    </row>
    <row r="96" spans="1:26" s="12" customFormat="1" x14ac:dyDescent="0.25">
      <c r="A96" s="214" t="s">
        <v>1388</v>
      </c>
      <c r="B96" s="64">
        <v>4.3099999999999996</v>
      </c>
      <c r="C96" s="64">
        <v>3.22</v>
      </c>
      <c r="D96" s="64">
        <v>7.33</v>
      </c>
      <c r="E96" s="64">
        <v>4.6500000000000004</v>
      </c>
      <c r="F96" s="64">
        <v>3.48</v>
      </c>
      <c r="G96" s="64">
        <v>49.24</v>
      </c>
      <c r="H96" s="64">
        <v>14.77</v>
      </c>
      <c r="I96" s="64">
        <v>3.55</v>
      </c>
      <c r="J96" s="64">
        <v>0.13</v>
      </c>
      <c r="K96" s="64">
        <v>358.9</v>
      </c>
      <c r="L96" s="64">
        <v>25.85</v>
      </c>
      <c r="M96" s="64">
        <v>94.07</v>
      </c>
      <c r="N96" s="64">
        <v>38.200000000000003</v>
      </c>
      <c r="O96" s="64">
        <v>0</v>
      </c>
      <c r="P96" s="64">
        <v>0.8</v>
      </c>
      <c r="Q96" s="64">
        <v>9.9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1389</v>
      </c>
      <c r="B97" s="64">
        <v>4.32</v>
      </c>
      <c r="C97" s="64">
        <v>3.21</v>
      </c>
      <c r="D97" s="64">
        <v>7.33</v>
      </c>
      <c r="E97" s="64">
        <v>4.04</v>
      </c>
      <c r="F97" s="64">
        <v>3.19</v>
      </c>
      <c r="G97" s="64">
        <v>49.24</v>
      </c>
      <c r="H97" s="64">
        <v>14.77</v>
      </c>
      <c r="I97" s="64">
        <v>3.7</v>
      </c>
      <c r="J97" s="64">
        <v>0.13</v>
      </c>
      <c r="K97" s="64">
        <v>16.27</v>
      </c>
      <c r="L97" s="64">
        <v>25.56</v>
      </c>
      <c r="M97" s="64">
        <v>96.86</v>
      </c>
      <c r="N97" s="64">
        <v>38.5</v>
      </c>
      <c r="O97" s="64">
        <v>0</v>
      </c>
      <c r="P97" s="64">
        <v>0.79</v>
      </c>
      <c r="Q97" s="64">
        <v>9.89</v>
      </c>
      <c r="R97" s="198"/>
      <c r="S97" s="198"/>
      <c r="T97" s="198"/>
      <c r="U97" s="198"/>
    </row>
    <row r="98" spans="1:33" s="12" customFormat="1" x14ac:dyDescent="0.25">
      <c r="A98" s="214" t="s">
        <v>1390</v>
      </c>
      <c r="B98" s="64">
        <v>4.3099999999999996</v>
      </c>
      <c r="C98" s="64">
        <v>3.21</v>
      </c>
      <c r="D98" s="64">
        <v>7.32</v>
      </c>
      <c r="E98" s="64">
        <v>4.3600000000000003</v>
      </c>
      <c r="F98" s="64">
        <v>3.32</v>
      </c>
      <c r="G98" s="64">
        <v>44.99</v>
      </c>
      <c r="H98" s="64">
        <v>7.75</v>
      </c>
      <c r="I98" s="64">
        <v>3.66</v>
      </c>
      <c r="J98" s="64">
        <v>0.2</v>
      </c>
      <c r="K98" s="64">
        <v>353.05</v>
      </c>
      <c r="L98" s="64">
        <v>25.37</v>
      </c>
      <c r="M98" s="64">
        <v>98.87</v>
      </c>
      <c r="N98" s="64">
        <v>38.200000000000003</v>
      </c>
      <c r="O98" s="64">
        <v>0</v>
      </c>
      <c r="P98" s="64">
        <v>0.78</v>
      </c>
      <c r="Q98" s="64">
        <v>9.9</v>
      </c>
      <c r="R98" s="198"/>
      <c r="S98" s="198"/>
      <c r="T98" s="198"/>
      <c r="U98" s="198"/>
    </row>
    <row r="99" spans="1:33" s="12" customFormat="1" x14ac:dyDescent="0.25">
      <c r="A99" s="214" t="s">
        <v>1391</v>
      </c>
      <c r="B99" s="64">
        <v>4.32</v>
      </c>
      <c r="C99" s="64">
        <v>3.26</v>
      </c>
      <c r="D99" s="64">
        <v>7.36</v>
      </c>
      <c r="E99" s="64">
        <v>4.53</v>
      </c>
      <c r="F99" s="64">
        <v>3.39</v>
      </c>
      <c r="G99" s="64">
        <v>38.32</v>
      </c>
      <c r="H99" s="64">
        <v>1.1499999999999999</v>
      </c>
      <c r="I99" s="64">
        <v>3.67</v>
      </c>
      <c r="J99" s="64">
        <v>0.16</v>
      </c>
      <c r="K99" s="64">
        <v>345.22</v>
      </c>
      <c r="L99" s="64">
        <v>25.36</v>
      </c>
      <c r="M99" s="64">
        <v>99.15</v>
      </c>
      <c r="N99" s="64">
        <v>38.1</v>
      </c>
      <c r="O99" s="64">
        <v>0</v>
      </c>
      <c r="P99" s="64">
        <v>0.77</v>
      </c>
      <c r="Q99" s="64">
        <v>9.91</v>
      </c>
      <c r="R99" s="198"/>
      <c r="S99" s="198"/>
      <c r="T99" s="198"/>
      <c r="U99" s="198"/>
    </row>
    <row r="100" spans="1:33" s="12" customFormat="1" x14ac:dyDescent="0.25">
      <c r="A100" s="214" t="s">
        <v>1392</v>
      </c>
      <c r="B100" s="64">
        <v>4.3499999999999996</v>
      </c>
      <c r="C100" s="64">
        <v>3.24</v>
      </c>
      <c r="D100" s="64">
        <v>7.38</v>
      </c>
      <c r="E100" s="64">
        <v>4.79</v>
      </c>
      <c r="F100" s="64">
        <v>3.28</v>
      </c>
      <c r="G100" s="64">
        <v>38.32</v>
      </c>
      <c r="H100" s="64">
        <v>1.1499999999999999</v>
      </c>
      <c r="I100" s="64">
        <v>3.73</v>
      </c>
      <c r="J100" s="64">
        <v>0.15</v>
      </c>
      <c r="K100" s="64">
        <v>350.83</v>
      </c>
      <c r="L100" s="64">
        <v>25.17</v>
      </c>
      <c r="M100" s="64">
        <v>100.43</v>
      </c>
      <c r="N100" s="64">
        <v>38.299999999999997</v>
      </c>
      <c r="O100" s="64">
        <v>0</v>
      </c>
      <c r="P100" s="64">
        <v>0.75</v>
      </c>
      <c r="Q100" s="64">
        <v>9.91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1393</v>
      </c>
      <c r="B101" s="64">
        <v>4.3499999999999996</v>
      </c>
      <c r="C101" s="64">
        <v>3.24</v>
      </c>
      <c r="D101" s="64">
        <v>7.37</v>
      </c>
      <c r="E101" s="64">
        <v>4.6100000000000003</v>
      </c>
      <c r="F101" s="64">
        <v>3.35</v>
      </c>
      <c r="G101" s="64">
        <v>38.32</v>
      </c>
      <c r="H101" s="64">
        <v>1.1499999999999999</v>
      </c>
      <c r="I101" s="64">
        <v>3.74</v>
      </c>
      <c r="J101" s="64">
        <v>0.14000000000000001</v>
      </c>
      <c r="K101" s="64">
        <v>0.37</v>
      </c>
      <c r="L101" s="64">
        <v>25.09</v>
      </c>
      <c r="M101" s="64">
        <v>101.32</v>
      </c>
      <c r="N101" s="64">
        <v>38.1</v>
      </c>
      <c r="O101" s="64">
        <v>0</v>
      </c>
      <c r="P101" s="64">
        <v>0.73</v>
      </c>
      <c r="Q101" s="64">
        <v>9.9</v>
      </c>
      <c r="R101" s="198"/>
      <c r="S101" s="198"/>
      <c r="T101" s="198"/>
      <c r="U101" s="198"/>
    </row>
    <row r="102" spans="1:33" s="12" customFormat="1" x14ac:dyDescent="0.25">
      <c r="A102" s="214" t="s">
        <v>1394</v>
      </c>
      <c r="B102" s="64">
        <v>4.29</v>
      </c>
      <c r="C102" s="64">
        <v>3.17</v>
      </c>
      <c r="D102" s="64">
        <v>7.29</v>
      </c>
      <c r="E102" s="64">
        <v>4.71</v>
      </c>
      <c r="F102" s="64">
        <v>3.9</v>
      </c>
      <c r="G102" s="64">
        <v>37.96</v>
      </c>
      <c r="H102" s="64">
        <v>3.01</v>
      </c>
      <c r="I102" s="64">
        <v>3.67</v>
      </c>
      <c r="J102" s="64">
        <v>0.17</v>
      </c>
      <c r="K102" s="64">
        <v>356.01</v>
      </c>
      <c r="L102" s="64">
        <v>25</v>
      </c>
      <c r="M102" s="64">
        <v>101.71</v>
      </c>
      <c r="N102" s="64">
        <v>38.200000000000003</v>
      </c>
      <c r="O102" s="64">
        <v>0</v>
      </c>
      <c r="P102" s="64">
        <v>0.71</v>
      </c>
      <c r="Q102" s="64">
        <v>9.8699999999999992</v>
      </c>
      <c r="R102" s="198"/>
      <c r="S102" s="198"/>
      <c r="T102" s="198"/>
      <c r="U102" s="198"/>
    </row>
    <row r="103" spans="1:33" s="12" customFormat="1" x14ac:dyDescent="0.25">
      <c r="A103" s="214" t="s">
        <v>1395</v>
      </c>
      <c r="B103" s="64">
        <v>4.26</v>
      </c>
      <c r="C103" s="64">
        <v>3.1</v>
      </c>
      <c r="D103" s="64">
        <v>7.22</v>
      </c>
      <c r="E103" s="64">
        <v>4.43</v>
      </c>
      <c r="F103" s="64">
        <v>3.81</v>
      </c>
      <c r="G103" s="64">
        <v>37.380000000000003</v>
      </c>
      <c r="H103" s="64">
        <v>4.72</v>
      </c>
      <c r="I103" s="64">
        <v>3.58</v>
      </c>
      <c r="J103" s="64">
        <v>0.13</v>
      </c>
      <c r="K103" s="64">
        <v>358.57</v>
      </c>
      <c r="L103" s="64">
        <v>25.02</v>
      </c>
      <c r="M103" s="64">
        <v>101.74</v>
      </c>
      <c r="N103" s="64">
        <v>38.1</v>
      </c>
      <c r="O103" s="64">
        <v>0</v>
      </c>
      <c r="P103" s="64">
        <v>0.69</v>
      </c>
      <c r="Q103" s="64">
        <v>9.82</v>
      </c>
      <c r="R103" s="198"/>
      <c r="S103" s="198"/>
      <c r="T103" s="198"/>
      <c r="U103" s="198"/>
    </row>
    <row r="104" spans="1:33" s="12" customFormat="1" x14ac:dyDescent="0.25">
      <c r="A104" s="214" t="s">
        <v>1396</v>
      </c>
      <c r="B104" s="64">
        <v>4.2699999999999996</v>
      </c>
      <c r="C104" s="64">
        <v>3.15</v>
      </c>
      <c r="D104" s="64">
        <v>7.26</v>
      </c>
      <c r="E104" s="64">
        <v>4.0599999999999996</v>
      </c>
      <c r="F104" s="64">
        <v>3.45</v>
      </c>
      <c r="G104" s="64">
        <v>37.380000000000003</v>
      </c>
      <c r="H104" s="64">
        <v>4.72</v>
      </c>
      <c r="I104" s="64">
        <v>3.57</v>
      </c>
      <c r="J104" s="64">
        <v>0.19</v>
      </c>
      <c r="K104" s="64">
        <v>2.41</v>
      </c>
      <c r="L104" s="64">
        <v>24.91</v>
      </c>
      <c r="M104" s="64">
        <v>101.75</v>
      </c>
      <c r="N104" s="64">
        <v>38.1</v>
      </c>
      <c r="O104" s="64">
        <v>0</v>
      </c>
      <c r="P104" s="64">
        <v>0.67</v>
      </c>
      <c r="Q104" s="64">
        <v>9.84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-0.49</v>
      </c>
      <c r="D106" s="67">
        <f t="shared" ref="D106:Q106" si="0">MIN(D9:D104)</f>
        <v>0</v>
      </c>
      <c r="E106" s="67">
        <f t="shared" si="0"/>
        <v>3.05</v>
      </c>
      <c r="F106" s="67">
        <f t="shared" si="0"/>
        <v>2.1800000000000002</v>
      </c>
      <c r="G106" s="67">
        <f t="shared" si="0"/>
        <v>0.92</v>
      </c>
      <c r="H106" s="67">
        <f t="shared" si="0"/>
        <v>0.24</v>
      </c>
      <c r="I106" s="67">
        <f t="shared" si="0"/>
        <v>0</v>
      </c>
      <c r="J106" s="67">
        <f t="shared" si="0"/>
        <v>0.01</v>
      </c>
      <c r="K106" s="67">
        <f t="shared" si="0"/>
        <v>0.37</v>
      </c>
      <c r="L106" s="67">
        <f t="shared" si="0"/>
        <v>24.91</v>
      </c>
      <c r="M106" s="67">
        <f t="shared" si="0"/>
        <v>70.5</v>
      </c>
      <c r="N106" s="67">
        <f t="shared" si="0"/>
        <v>38.1</v>
      </c>
      <c r="O106" s="67">
        <f t="shared" si="0"/>
        <v>0</v>
      </c>
      <c r="P106" s="67">
        <f t="shared" si="0"/>
        <v>0.26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8.01</v>
      </c>
      <c r="C107" s="66">
        <f t="shared" ref="C107:Q107" si="1">MAX(C9:C104)</f>
        <v>3.94</v>
      </c>
      <c r="D107" s="66">
        <f t="shared" si="1"/>
        <v>11.75</v>
      </c>
      <c r="E107" s="66">
        <f t="shared" si="1"/>
        <v>14.5</v>
      </c>
      <c r="F107" s="66">
        <f t="shared" si="1"/>
        <v>10.77</v>
      </c>
      <c r="G107" s="66">
        <f t="shared" si="1"/>
        <v>75.73</v>
      </c>
      <c r="H107" s="66">
        <f t="shared" si="1"/>
        <v>42.49</v>
      </c>
      <c r="I107" s="66">
        <f t="shared" si="1"/>
        <v>5.83</v>
      </c>
      <c r="J107" s="66">
        <f t="shared" si="1"/>
        <v>0.89</v>
      </c>
      <c r="K107" s="66">
        <f t="shared" si="1"/>
        <v>359.58</v>
      </c>
      <c r="L107" s="66">
        <f t="shared" si="1"/>
        <v>32.57</v>
      </c>
      <c r="M107" s="66">
        <f t="shared" si="1"/>
        <v>101.8</v>
      </c>
      <c r="N107" s="66">
        <f t="shared" si="1"/>
        <v>999.3</v>
      </c>
      <c r="O107" s="66">
        <f t="shared" si="1"/>
        <v>0</v>
      </c>
      <c r="P107" s="66">
        <f t="shared" si="1"/>
        <v>3.15</v>
      </c>
      <c r="Q107" s="66">
        <f t="shared" si="1"/>
        <v>9.91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5.8468749999999998</v>
      </c>
      <c r="C108" s="67">
        <f t="shared" ref="C108:Q108" si="2">AVERAGE(C9:C104)</f>
        <v>2.8139583333333333</v>
      </c>
      <c r="D108" s="67">
        <f t="shared" si="2"/>
        <v>9.0082291666666716</v>
      </c>
      <c r="E108" s="67">
        <f t="shared" si="2"/>
        <v>4.4190425531914892</v>
      </c>
      <c r="F108" s="67">
        <f t="shared" si="2"/>
        <v>4.223749999999999</v>
      </c>
      <c r="G108" s="67">
        <f t="shared" si="2"/>
        <v>28.954000000000001</v>
      </c>
      <c r="H108" s="67">
        <f t="shared" si="2"/>
        <v>8.0502777777777741</v>
      </c>
      <c r="I108" s="67">
        <f t="shared" si="2"/>
        <v>2.5427083333333327</v>
      </c>
      <c r="J108" s="67">
        <f t="shared" si="2"/>
        <v>0.19218750000000004</v>
      </c>
      <c r="K108" s="67">
        <f t="shared" si="2"/>
        <v>226.72770833333331</v>
      </c>
      <c r="L108" s="67">
        <f t="shared" si="2"/>
        <v>27.56968749999999</v>
      </c>
      <c r="M108" s="67">
        <f t="shared" si="2"/>
        <v>89.585416666666632</v>
      </c>
      <c r="N108" s="67">
        <f t="shared" si="2"/>
        <v>233.36249999999995</v>
      </c>
      <c r="O108" s="67">
        <f t="shared" si="2"/>
        <v>0</v>
      </c>
      <c r="P108" s="67">
        <f t="shared" si="2"/>
        <v>0.40625</v>
      </c>
      <c r="Q108" s="67">
        <f t="shared" si="2"/>
        <v>9.2080208333333307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2.0488740489403132</v>
      </c>
      <c r="C109" s="67">
        <f t="shared" ref="C109:Q109" si="3">STDEV(C9:C104)</f>
        <v>0.7391068282114388</v>
      </c>
      <c r="D109" s="67">
        <f t="shared" si="3"/>
        <v>2.7502658224793755</v>
      </c>
      <c r="E109" s="67">
        <f t="shared" si="3"/>
        <v>1.1998136675665245</v>
      </c>
      <c r="F109" s="67">
        <f t="shared" si="3"/>
        <v>1.376386000020575</v>
      </c>
      <c r="G109" s="67">
        <f t="shared" si="3"/>
        <v>20.442917885795875</v>
      </c>
      <c r="H109" s="67">
        <f t="shared" si="3"/>
        <v>8.84802961629123</v>
      </c>
      <c r="I109" s="67">
        <f t="shared" si="3"/>
        <v>1.0282283989225738</v>
      </c>
      <c r="J109" s="67">
        <f t="shared" si="3"/>
        <v>0.13151908506692891</v>
      </c>
      <c r="K109" s="67">
        <f t="shared" si="3"/>
        <v>136.92818219381846</v>
      </c>
      <c r="L109" s="67">
        <f t="shared" si="3"/>
        <v>2.1867878163981449</v>
      </c>
      <c r="M109" s="67">
        <f t="shared" si="3"/>
        <v>12.002124892277411</v>
      </c>
      <c r="N109" s="67">
        <f t="shared" si="3"/>
        <v>304.35969172570879</v>
      </c>
      <c r="O109" s="67">
        <f t="shared" si="3"/>
        <v>0</v>
      </c>
      <c r="P109" s="67">
        <f t="shared" si="3"/>
        <v>0.32607796936509387</v>
      </c>
      <c r="Q109" s="67">
        <f t="shared" si="3"/>
        <v>1.9333813410933047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COUNT(E9:E104)+2</f>
        <v>96</v>
      </c>
      <c r="F110" s="66">
        <f t="shared" si="4"/>
        <v>96</v>
      </c>
      <c r="G110" s="66">
        <f>COUNT(G9:G104)+6</f>
        <v>96</v>
      </c>
      <c r="H110" s="66">
        <f>COUNT(H9:H104)+24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1397</v>
      </c>
      <c r="B9" s="64">
        <v>4.28</v>
      </c>
      <c r="C9" s="64">
        <v>3.16</v>
      </c>
      <c r="D9" s="64">
        <v>7.27</v>
      </c>
      <c r="E9" s="64">
        <v>4.51</v>
      </c>
      <c r="F9" s="64">
        <v>4.4400000000000004</v>
      </c>
      <c r="G9" s="64">
        <v>37.380000000000003</v>
      </c>
      <c r="H9" s="64">
        <v>4.72</v>
      </c>
      <c r="I9" s="64">
        <v>3.41</v>
      </c>
      <c r="J9" s="64">
        <v>0.11</v>
      </c>
      <c r="K9" s="64">
        <v>3.26</v>
      </c>
      <c r="L9" s="64">
        <v>24.9</v>
      </c>
      <c r="M9" s="64">
        <v>101.75</v>
      </c>
      <c r="N9" s="64">
        <v>38.1</v>
      </c>
      <c r="O9" s="64">
        <v>0</v>
      </c>
      <c r="P9" s="64">
        <v>0.64</v>
      </c>
      <c r="Q9" s="64">
        <v>9.8000000000000007</v>
      </c>
      <c r="R9" s="198"/>
      <c r="S9" s="198"/>
      <c r="T9" s="198"/>
      <c r="U9" s="198"/>
    </row>
    <row r="10" spans="1:21" s="12" customFormat="1" x14ac:dyDescent="0.25">
      <c r="A10" s="214" t="s">
        <v>1398</v>
      </c>
      <c r="B10" s="64">
        <v>4.2699999999999996</v>
      </c>
      <c r="C10" s="64">
        <v>3.16</v>
      </c>
      <c r="D10" s="64">
        <v>7.27</v>
      </c>
      <c r="E10" s="64">
        <v>4.7</v>
      </c>
      <c r="F10" s="64">
        <v>2.9</v>
      </c>
      <c r="G10" s="64">
        <v>34.270000000000003</v>
      </c>
      <c r="H10" s="64">
        <v>10.25</v>
      </c>
      <c r="I10" s="64">
        <v>3.16</v>
      </c>
      <c r="J10" s="64">
        <v>0.15</v>
      </c>
      <c r="K10" s="64">
        <v>7.26</v>
      </c>
      <c r="L10" s="64">
        <v>24.79</v>
      </c>
      <c r="M10" s="64">
        <v>101.75</v>
      </c>
      <c r="N10" s="64">
        <v>38.1</v>
      </c>
      <c r="O10" s="64">
        <v>0</v>
      </c>
      <c r="P10" s="64">
        <v>0.62</v>
      </c>
      <c r="Q10" s="64">
        <v>9.77</v>
      </c>
      <c r="R10" s="198"/>
      <c r="S10" s="198"/>
      <c r="T10" s="198"/>
      <c r="U10" s="198"/>
    </row>
    <row r="11" spans="1:21" s="12" customFormat="1" x14ac:dyDescent="0.25">
      <c r="A11" s="214" t="s">
        <v>1399</v>
      </c>
      <c r="B11" s="64">
        <v>4.26</v>
      </c>
      <c r="C11" s="64">
        <v>3.16</v>
      </c>
      <c r="D11" s="64">
        <v>7.26</v>
      </c>
      <c r="E11" s="64">
        <v>4.9000000000000004</v>
      </c>
      <c r="F11" s="64">
        <v>3.45</v>
      </c>
      <c r="G11" s="64">
        <v>29.37</v>
      </c>
      <c r="H11" s="64">
        <v>15.32</v>
      </c>
      <c r="I11" s="64">
        <v>3.01</v>
      </c>
      <c r="J11" s="64">
        <v>0.18</v>
      </c>
      <c r="K11" s="64">
        <v>7.38</v>
      </c>
      <c r="L11" s="64">
        <v>24.75</v>
      </c>
      <c r="M11" s="64">
        <v>101.75</v>
      </c>
      <c r="N11" s="64">
        <v>38.1</v>
      </c>
      <c r="O11" s="64">
        <v>0</v>
      </c>
      <c r="P11" s="64">
        <v>0.59</v>
      </c>
      <c r="Q11" s="64">
        <v>9.77</v>
      </c>
      <c r="R11" s="198"/>
      <c r="S11" s="198"/>
      <c r="T11" s="198"/>
      <c r="U11" s="198"/>
    </row>
    <row r="12" spans="1:21" s="12" customFormat="1" x14ac:dyDescent="0.25">
      <c r="A12" s="214" t="s">
        <v>1400</v>
      </c>
      <c r="B12" s="64">
        <v>4.26</v>
      </c>
      <c r="C12" s="64">
        <v>3.19</v>
      </c>
      <c r="D12" s="64">
        <v>7.27</v>
      </c>
      <c r="E12" s="64">
        <v>4.66</v>
      </c>
      <c r="F12" s="64">
        <v>4.1399999999999997</v>
      </c>
      <c r="G12" s="64">
        <v>29.37</v>
      </c>
      <c r="H12" s="64">
        <v>15.32</v>
      </c>
      <c r="I12" s="64">
        <v>2.86</v>
      </c>
      <c r="J12" s="64">
        <v>0.15</v>
      </c>
      <c r="K12" s="64">
        <v>8.6999999999999993</v>
      </c>
      <c r="L12" s="64">
        <v>24.65</v>
      </c>
      <c r="M12" s="64">
        <v>101.77</v>
      </c>
      <c r="N12" s="64">
        <v>38.1</v>
      </c>
      <c r="O12" s="64">
        <v>0</v>
      </c>
      <c r="P12" s="64">
        <v>0.57999999999999996</v>
      </c>
      <c r="Q12" s="64">
        <v>9.74</v>
      </c>
      <c r="R12" s="198"/>
      <c r="S12" s="198"/>
      <c r="T12" s="198"/>
      <c r="U12" s="198"/>
    </row>
    <row r="13" spans="1:21" s="12" customFormat="1" x14ac:dyDescent="0.25">
      <c r="A13" s="214" t="s">
        <v>1401</v>
      </c>
      <c r="B13" s="64">
        <v>4.28</v>
      </c>
      <c r="C13" s="64">
        <v>3.22</v>
      </c>
      <c r="D13" s="64">
        <v>7.31</v>
      </c>
      <c r="E13" s="64">
        <v>4.8099999999999996</v>
      </c>
      <c r="F13" s="64">
        <v>2.97</v>
      </c>
      <c r="G13" s="64">
        <v>29.37</v>
      </c>
      <c r="H13" s="64">
        <v>15.32</v>
      </c>
      <c r="I13" s="64">
        <v>2.71</v>
      </c>
      <c r="J13" s="64">
        <v>0.12</v>
      </c>
      <c r="K13" s="64">
        <v>355.29</v>
      </c>
      <c r="L13" s="64">
        <v>24.66</v>
      </c>
      <c r="M13" s="64">
        <v>101.78</v>
      </c>
      <c r="N13" s="64">
        <v>38.1</v>
      </c>
      <c r="O13" s="64">
        <v>0</v>
      </c>
      <c r="P13" s="64">
        <v>0.46</v>
      </c>
      <c r="Q13" s="64">
        <v>9.7200000000000006</v>
      </c>
      <c r="R13" s="198"/>
      <c r="S13" s="198"/>
      <c r="T13" s="198"/>
      <c r="U13" s="198"/>
    </row>
    <row r="14" spans="1:21" s="12" customFormat="1" x14ac:dyDescent="0.25">
      <c r="A14" s="214" t="s">
        <v>1402</v>
      </c>
      <c r="B14" s="64">
        <v>4.3</v>
      </c>
      <c r="C14" s="64">
        <v>3.19</v>
      </c>
      <c r="D14" s="64">
        <v>7.31</v>
      </c>
      <c r="E14" s="64">
        <v>4.9000000000000004</v>
      </c>
      <c r="F14" s="64">
        <v>3.63</v>
      </c>
      <c r="G14" s="64">
        <v>27.84</v>
      </c>
      <c r="H14" s="64">
        <v>13.79</v>
      </c>
      <c r="I14" s="64">
        <v>2.58</v>
      </c>
      <c r="J14" s="64">
        <v>0.14000000000000001</v>
      </c>
      <c r="K14" s="64">
        <v>345.31</v>
      </c>
      <c r="L14" s="64">
        <v>24.53</v>
      </c>
      <c r="M14" s="64">
        <v>101.78</v>
      </c>
      <c r="N14" s="64">
        <v>38.1</v>
      </c>
      <c r="O14" s="64">
        <v>0</v>
      </c>
      <c r="P14" s="64">
        <v>0.47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4" t="s">
        <v>1403</v>
      </c>
      <c r="B15" s="64">
        <v>4.3</v>
      </c>
      <c r="C15" s="64">
        <v>3.18</v>
      </c>
      <c r="D15" s="64">
        <v>7.3</v>
      </c>
      <c r="E15" s="64">
        <v>4.37</v>
      </c>
      <c r="F15" s="64">
        <v>3.01</v>
      </c>
      <c r="G15" s="64">
        <v>25.43</v>
      </c>
      <c r="H15" s="64">
        <v>8.76</v>
      </c>
      <c r="I15" s="64">
        <v>2.46</v>
      </c>
      <c r="J15" s="64">
        <v>0.16</v>
      </c>
      <c r="K15" s="64">
        <v>355.36</v>
      </c>
      <c r="L15" s="64">
        <v>24.58</v>
      </c>
      <c r="M15" s="64">
        <v>101.78</v>
      </c>
      <c r="N15" s="64">
        <v>38.1</v>
      </c>
      <c r="O15" s="64">
        <v>0</v>
      </c>
      <c r="P15" s="64">
        <v>0.45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14" t="s">
        <v>1404</v>
      </c>
      <c r="B16" s="64">
        <v>4.29</v>
      </c>
      <c r="C16" s="64">
        <v>3.17</v>
      </c>
      <c r="D16" s="64">
        <v>7.29</v>
      </c>
      <c r="E16" s="64">
        <v>4.34</v>
      </c>
      <c r="F16" s="64">
        <v>3.31</v>
      </c>
      <c r="G16" s="64">
        <v>25.43</v>
      </c>
      <c r="H16" s="64">
        <v>8.76</v>
      </c>
      <c r="I16" s="64">
        <v>2.35</v>
      </c>
      <c r="J16" s="64">
        <v>0.13</v>
      </c>
      <c r="K16" s="64">
        <v>357.44</v>
      </c>
      <c r="L16" s="64">
        <v>24.49</v>
      </c>
      <c r="M16" s="64">
        <v>101.78</v>
      </c>
      <c r="N16" s="64">
        <v>38.1</v>
      </c>
      <c r="O16" s="64">
        <v>0</v>
      </c>
      <c r="P16" s="64">
        <v>0.44</v>
      </c>
      <c r="Q16" s="64">
        <v>9.69</v>
      </c>
      <c r="R16" s="198"/>
      <c r="S16" s="198"/>
      <c r="T16" s="198"/>
      <c r="U16" s="198"/>
    </row>
    <row r="17" spans="1:21" s="12" customFormat="1" x14ac:dyDescent="0.25">
      <c r="A17" s="214" t="s">
        <v>1405</v>
      </c>
      <c r="B17" s="64">
        <v>4.29</v>
      </c>
      <c r="C17" s="64">
        <v>3.17</v>
      </c>
      <c r="D17" s="64">
        <v>7.28</v>
      </c>
      <c r="E17" s="64">
        <v>4.6100000000000003</v>
      </c>
      <c r="F17" s="64">
        <v>3.3</v>
      </c>
      <c r="G17" s="64">
        <v>25.43</v>
      </c>
      <c r="H17" s="64">
        <v>8.76</v>
      </c>
      <c r="I17" s="64">
        <v>2.2799999999999998</v>
      </c>
      <c r="J17" s="64">
        <v>7.0000000000000007E-2</v>
      </c>
      <c r="K17" s="64">
        <v>340.22</v>
      </c>
      <c r="L17" s="64">
        <v>24.42</v>
      </c>
      <c r="M17" s="64">
        <v>101.78</v>
      </c>
      <c r="N17" s="64">
        <v>38.1</v>
      </c>
      <c r="O17" s="64">
        <v>0</v>
      </c>
      <c r="P17" s="64">
        <v>0.43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4" t="s">
        <v>1406</v>
      </c>
      <c r="B18" s="64">
        <v>4.33</v>
      </c>
      <c r="C18" s="64">
        <v>3.17</v>
      </c>
      <c r="D18" s="64">
        <v>7.32</v>
      </c>
      <c r="E18" s="64">
        <v>4.2300000000000004</v>
      </c>
      <c r="F18" s="64">
        <v>3.57</v>
      </c>
      <c r="G18" s="64">
        <v>23.33</v>
      </c>
      <c r="H18" s="64">
        <v>5.42</v>
      </c>
      <c r="I18" s="64">
        <v>2.27</v>
      </c>
      <c r="J18" s="64">
        <v>0.09</v>
      </c>
      <c r="K18" s="64">
        <v>1.41</v>
      </c>
      <c r="L18" s="64">
        <v>24.35</v>
      </c>
      <c r="M18" s="64">
        <v>101.78</v>
      </c>
      <c r="N18" s="64">
        <v>38.1</v>
      </c>
      <c r="O18" s="64">
        <v>0</v>
      </c>
      <c r="P18" s="64">
        <v>0.42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1407</v>
      </c>
      <c r="B19" s="64">
        <v>4.29</v>
      </c>
      <c r="C19" s="64">
        <v>3.17</v>
      </c>
      <c r="D19" s="64">
        <v>7.29</v>
      </c>
      <c r="E19" s="64">
        <v>4.05</v>
      </c>
      <c r="F19" s="64">
        <v>3.25</v>
      </c>
      <c r="G19" s="64">
        <v>20.04</v>
      </c>
      <c r="H19" s="64">
        <v>2.36</v>
      </c>
      <c r="I19" s="64">
        <v>2.42</v>
      </c>
      <c r="J19" s="64">
        <v>0.1</v>
      </c>
      <c r="K19" s="64">
        <v>315.35000000000002</v>
      </c>
      <c r="L19" s="64">
        <v>24.28</v>
      </c>
      <c r="M19" s="64">
        <v>101.78</v>
      </c>
      <c r="N19" s="64">
        <v>38.1</v>
      </c>
      <c r="O19" s="64">
        <v>0</v>
      </c>
      <c r="P19" s="64">
        <v>0.41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4" t="s">
        <v>1408</v>
      </c>
      <c r="B20" s="64">
        <v>4.28</v>
      </c>
      <c r="C20" s="64">
        <v>3.18</v>
      </c>
      <c r="D20" s="64">
        <v>7.28</v>
      </c>
      <c r="E20" s="64">
        <v>4.42</v>
      </c>
      <c r="F20" s="64">
        <v>3.38</v>
      </c>
      <c r="G20" s="64">
        <v>20.04</v>
      </c>
      <c r="H20" s="64">
        <v>2.36</v>
      </c>
      <c r="I20" s="64">
        <v>2.57</v>
      </c>
      <c r="J20" s="64">
        <v>0.1</v>
      </c>
      <c r="K20" s="64">
        <v>335.91</v>
      </c>
      <c r="L20" s="64">
        <v>24.12</v>
      </c>
      <c r="M20" s="64">
        <v>101.78</v>
      </c>
      <c r="N20" s="64">
        <v>38.200000000000003</v>
      </c>
      <c r="O20" s="64">
        <v>0</v>
      </c>
      <c r="P20" s="64">
        <v>0.4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1409</v>
      </c>
      <c r="B21" s="64">
        <v>4.28</v>
      </c>
      <c r="C21" s="64">
        <v>3.19</v>
      </c>
      <c r="D21" s="64">
        <v>7.29</v>
      </c>
      <c r="E21" s="64">
        <v>4.7699999999999996</v>
      </c>
      <c r="F21" s="64">
        <v>3.47</v>
      </c>
      <c r="G21" s="64">
        <v>20.04</v>
      </c>
      <c r="H21" s="64">
        <v>2.36</v>
      </c>
      <c r="I21" s="64">
        <v>2.64</v>
      </c>
      <c r="J21" s="64">
        <v>0.1</v>
      </c>
      <c r="K21" s="64">
        <v>313.83999999999997</v>
      </c>
      <c r="L21" s="64">
        <v>24.06</v>
      </c>
      <c r="M21" s="64">
        <v>101.78</v>
      </c>
      <c r="N21" s="64">
        <v>38.1</v>
      </c>
      <c r="O21" s="64">
        <v>0</v>
      </c>
      <c r="P21" s="64">
        <v>0.4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4" t="s">
        <v>1410</v>
      </c>
      <c r="B22" s="64">
        <v>4.2699999999999996</v>
      </c>
      <c r="C22" s="64">
        <v>3.15</v>
      </c>
      <c r="D22" s="64">
        <v>7.26</v>
      </c>
      <c r="E22" s="64">
        <v>4.84</v>
      </c>
      <c r="F22" s="64">
        <v>3.43</v>
      </c>
      <c r="G22" s="64">
        <v>20.8</v>
      </c>
      <c r="H22" s="64">
        <v>3.41</v>
      </c>
      <c r="I22" s="64">
        <v>2.73</v>
      </c>
      <c r="J22" s="64">
        <v>0.1</v>
      </c>
      <c r="K22" s="64">
        <v>350.39</v>
      </c>
      <c r="L22" s="64">
        <v>23.97</v>
      </c>
      <c r="M22" s="64">
        <v>101.8</v>
      </c>
      <c r="N22" s="64">
        <v>38.1</v>
      </c>
      <c r="O22" s="64">
        <v>0</v>
      </c>
      <c r="P22" s="64">
        <v>0.39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4" t="s">
        <v>1411</v>
      </c>
      <c r="B23" s="64">
        <v>4.26</v>
      </c>
      <c r="C23" s="64">
        <v>3.11</v>
      </c>
      <c r="D23" s="64">
        <v>7.23</v>
      </c>
      <c r="E23" s="64">
        <v>4.42</v>
      </c>
      <c r="F23" s="64">
        <v>3.31</v>
      </c>
      <c r="G23" s="64">
        <v>21.99</v>
      </c>
      <c r="H23" s="64">
        <v>4.4000000000000004</v>
      </c>
      <c r="I23" s="64">
        <v>2.82</v>
      </c>
      <c r="J23" s="64">
        <v>0.1</v>
      </c>
      <c r="K23" s="64">
        <v>344.77</v>
      </c>
      <c r="L23" s="64">
        <v>23.91</v>
      </c>
      <c r="M23" s="64">
        <v>101.79</v>
      </c>
      <c r="N23" s="64">
        <v>38.1</v>
      </c>
      <c r="O23" s="64">
        <v>0</v>
      </c>
      <c r="P23" s="64">
        <v>0.37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4" t="s">
        <v>1412</v>
      </c>
      <c r="B24" s="64">
        <v>4.24</v>
      </c>
      <c r="C24" s="64">
        <v>3.14</v>
      </c>
      <c r="D24" s="64">
        <v>7.23</v>
      </c>
      <c r="E24" s="64">
        <v>4.01</v>
      </c>
      <c r="F24" s="64">
        <v>3.89</v>
      </c>
      <c r="G24" s="64">
        <v>21.99</v>
      </c>
      <c r="H24" s="64">
        <v>4.4000000000000004</v>
      </c>
      <c r="I24" s="64">
        <v>2.83</v>
      </c>
      <c r="J24" s="64">
        <v>0.05</v>
      </c>
      <c r="K24" s="64">
        <v>98.41</v>
      </c>
      <c r="L24" s="64">
        <v>23.86</v>
      </c>
      <c r="M24" s="64">
        <v>101.81</v>
      </c>
      <c r="N24" s="64">
        <v>38.1</v>
      </c>
      <c r="O24" s="64">
        <v>0</v>
      </c>
      <c r="P24" s="64">
        <v>0.37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4" t="s">
        <v>1413</v>
      </c>
      <c r="B25" s="64">
        <v>4.24</v>
      </c>
      <c r="C25" s="64">
        <v>3.11</v>
      </c>
      <c r="D25" s="64">
        <v>7.22</v>
      </c>
      <c r="E25" s="64">
        <v>4.6399999999999997</v>
      </c>
      <c r="F25" s="64">
        <v>3.97</v>
      </c>
      <c r="G25" s="64">
        <v>21.99</v>
      </c>
      <c r="H25" s="64">
        <v>4.4000000000000004</v>
      </c>
      <c r="I25" s="64">
        <v>2.75</v>
      </c>
      <c r="J25" s="64">
        <v>0.02</v>
      </c>
      <c r="K25" s="64">
        <v>20.2</v>
      </c>
      <c r="L25" s="64">
        <v>23.79</v>
      </c>
      <c r="M25" s="64">
        <v>101.82</v>
      </c>
      <c r="N25" s="64">
        <v>38.1</v>
      </c>
      <c r="O25" s="64">
        <v>0</v>
      </c>
      <c r="P25" s="64">
        <v>0.36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1414</v>
      </c>
      <c r="B26" s="64">
        <v>4.25</v>
      </c>
      <c r="C26" s="64">
        <v>3.13</v>
      </c>
      <c r="D26" s="64">
        <v>7.23</v>
      </c>
      <c r="E26" s="64">
        <v>4.3099999999999996</v>
      </c>
      <c r="F26" s="64">
        <v>3.85</v>
      </c>
      <c r="G26" s="64">
        <v>19.579999999999998</v>
      </c>
      <c r="H26" s="64">
        <v>3.88</v>
      </c>
      <c r="I26" s="64">
        <v>2.73</v>
      </c>
      <c r="J26" s="64">
        <v>0.14000000000000001</v>
      </c>
      <c r="K26" s="64">
        <v>333.08</v>
      </c>
      <c r="L26" s="64">
        <v>23.8</v>
      </c>
      <c r="M26" s="64">
        <v>101.8</v>
      </c>
      <c r="N26" s="64">
        <v>38.1</v>
      </c>
      <c r="O26" s="64">
        <v>0</v>
      </c>
      <c r="P26" s="64">
        <v>0.34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14" t="s">
        <v>1415</v>
      </c>
      <c r="B27" s="64">
        <v>4.25</v>
      </c>
      <c r="C27" s="64">
        <v>3.15</v>
      </c>
      <c r="D27" s="64">
        <v>7.25</v>
      </c>
      <c r="E27" s="64">
        <v>4.37</v>
      </c>
      <c r="F27" s="64">
        <v>3.39</v>
      </c>
      <c r="G27" s="64">
        <v>15.78</v>
      </c>
      <c r="H27" s="64">
        <v>3.4</v>
      </c>
      <c r="I27" s="64">
        <v>2.72</v>
      </c>
      <c r="J27" s="64">
        <v>0.08</v>
      </c>
      <c r="K27" s="64">
        <v>359.31</v>
      </c>
      <c r="L27" s="64">
        <v>23.86</v>
      </c>
      <c r="M27" s="64">
        <v>101.8</v>
      </c>
      <c r="N27" s="64">
        <v>38.1</v>
      </c>
      <c r="O27" s="64">
        <v>0</v>
      </c>
      <c r="P27" s="64">
        <v>0.34</v>
      </c>
      <c r="Q27" s="64">
        <v>9.58</v>
      </c>
      <c r="R27" s="198"/>
      <c r="S27" s="198"/>
      <c r="T27" s="198"/>
      <c r="U27" s="198"/>
    </row>
    <row r="28" spans="1:21" s="12" customFormat="1" x14ac:dyDescent="0.25">
      <c r="A28" s="214" t="s">
        <v>1416</v>
      </c>
      <c r="B28" s="64">
        <v>4.2300000000000004</v>
      </c>
      <c r="C28" s="64">
        <v>3.11</v>
      </c>
      <c r="D28" s="64">
        <v>7.21</v>
      </c>
      <c r="E28" s="64">
        <v>4.47</v>
      </c>
      <c r="F28" s="64">
        <v>3.74</v>
      </c>
      <c r="G28" s="64">
        <v>15.78</v>
      </c>
      <c r="H28" s="64">
        <v>3.4</v>
      </c>
      <c r="I28" s="64">
        <v>2.65</v>
      </c>
      <c r="J28" s="64">
        <v>0.14000000000000001</v>
      </c>
      <c r="K28" s="64">
        <v>339.71</v>
      </c>
      <c r="L28" s="64">
        <v>23.95</v>
      </c>
      <c r="M28" s="64">
        <v>101.82</v>
      </c>
      <c r="N28" s="64">
        <v>38.4</v>
      </c>
      <c r="O28" s="64">
        <v>0</v>
      </c>
      <c r="P28" s="64">
        <v>0.34</v>
      </c>
      <c r="Q28" s="64">
        <v>9.58</v>
      </c>
      <c r="R28" s="198"/>
      <c r="S28" s="198"/>
      <c r="T28" s="198"/>
      <c r="U28" s="198"/>
    </row>
    <row r="29" spans="1:21" s="12" customFormat="1" x14ac:dyDescent="0.25">
      <c r="A29" s="214" t="s">
        <v>1417</v>
      </c>
      <c r="B29" s="64">
        <v>4.24</v>
      </c>
      <c r="C29" s="64">
        <v>3.04</v>
      </c>
      <c r="D29" s="64">
        <v>7.18</v>
      </c>
      <c r="E29" s="64">
        <v>4.66</v>
      </c>
      <c r="F29" s="64">
        <v>3.71</v>
      </c>
      <c r="G29" s="64">
        <v>15.78</v>
      </c>
      <c r="H29" s="64">
        <v>3.4</v>
      </c>
      <c r="I29" s="64">
        <v>2.56</v>
      </c>
      <c r="J29" s="64">
        <v>0.15</v>
      </c>
      <c r="K29" s="64">
        <v>3.32</v>
      </c>
      <c r="L29" s="64">
        <v>23.91</v>
      </c>
      <c r="M29" s="64">
        <v>101.8</v>
      </c>
      <c r="N29" s="64">
        <v>38.5</v>
      </c>
      <c r="O29" s="64">
        <v>0</v>
      </c>
      <c r="P29" s="64">
        <v>0.31</v>
      </c>
      <c r="Q29" s="64">
        <v>9.58</v>
      </c>
      <c r="R29" s="198"/>
      <c r="S29" s="198"/>
      <c r="T29" s="198"/>
      <c r="U29" s="198"/>
    </row>
    <row r="30" spans="1:21" s="12" customFormat="1" x14ac:dyDescent="0.25">
      <c r="A30" s="214" t="s">
        <v>1418</v>
      </c>
      <c r="B30" s="64">
        <v>4.24</v>
      </c>
      <c r="C30" s="64">
        <v>3.09</v>
      </c>
      <c r="D30" s="64">
        <v>7.21</v>
      </c>
      <c r="E30" s="64">
        <v>4.5199999999999996</v>
      </c>
      <c r="F30" s="64">
        <v>3.42</v>
      </c>
      <c r="G30" s="64">
        <v>15.74</v>
      </c>
      <c r="H30" s="64">
        <v>2.94</v>
      </c>
      <c r="I30" s="64">
        <v>2.46</v>
      </c>
      <c r="J30" s="64">
        <v>0.14000000000000001</v>
      </c>
      <c r="K30" s="64">
        <v>327.24</v>
      </c>
      <c r="L30" s="64">
        <v>23.89</v>
      </c>
      <c r="M30" s="64">
        <v>101.81</v>
      </c>
      <c r="N30" s="64">
        <v>38.5</v>
      </c>
      <c r="O30" s="64">
        <v>0</v>
      </c>
      <c r="P30" s="64">
        <v>0.3</v>
      </c>
      <c r="Q30" s="64">
        <v>9.56</v>
      </c>
      <c r="R30" s="198"/>
      <c r="S30" s="198"/>
      <c r="T30" s="198"/>
      <c r="U30" s="198"/>
    </row>
    <row r="31" spans="1:21" s="12" customFormat="1" x14ac:dyDescent="0.25">
      <c r="A31" s="214" t="s">
        <v>1419</v>
      </c>
      <c r="B31" s="64">
        <v>4.25</v>
      </c>
      <c r="C31" s="64">
        <v>3.09</v>
      </c>
      <c r="D31" s="64">
        <v>7.21</v>
      </c>
      <c r="E31" s="64">
        <v>4.38</v>
      </c>
      <c r="F31" s="64">
        <v>3.23</v>
      </c>
      <c r="G31" s="64">
        <v>15.69</v>
      </c>
      <c r="H31" s="64">
        <v>1.62</v>
      </c>
      <c r="I31" s="64">
        <v>2.25</v>
      </c>
      <c r="J31" s="64">
        <v>0.12</v>
      </c>
      <c r="K31" s="64">
        <v>341.78</v>
      </c>
      <c r="L31" s="64">
        <v>23.84</v>
      </c>
      <c r="M31" s="64">
        <v>101.8</v>
      </c>
      <c r="N31" s="64">
        <v>38.5</v>
      </c>
      <c r="O31" s="64">
        <v>0</v>
      </c>
      <c r="P31" s="64">
        <v>0.28999999999999998</v>
      </c>
      <c r="Q31" s="64">
        <v>9.58</v>
      </c>
      <c r="R31" s="198"/>
      <c r="S31" s="198"/>
      <c r="T31" s="198"/>
      <c r="U31" s="198"/>
    </row>
    <row r="32" spans="1:21" s="12" customFormat="1" x14ac:dyDescent="0.25">
      <c r="A32" s="214" t="s">
        <v>1420</v>
      </c>
      <c r="B32" s="64">
        <v>4.26</v>
      </c>
      <c r="C32" s="64">
        <v>3.11</v>
      </c>
      <c r="D32" s="64">
        <v>7.23</v>
      </c>
      <c r="E32" s="64">
        <v>4.4800000000000004</v>
      </c>
      <c r="F32" s="64">
        <v>3.4</v>
      </c>
      <c r="G32" s="64">
        <v>15.69</v>
      </c>
      <c r="H32" s="64">
        <v>1.62</v>
      </c>
      <c r="I32" s="64">
        <v>2.08</v>
      </c>
      <c r="J32" s="64">
        <v>0.12</v>
      </c>
      <c r="K32" s="64">
        <v>331.42</v>
      </c>
      <c r="L32" s="64">
        <v>23.88</v>
      </c>
      <c r="M32" s="64">
        <v>101.78</v>
      </c>
      <c r="N32" s="64">
        <v>40.299999999999997</v>
      </c>
      <c r="O32" s="64">
        <v>0</v>
      </c>
      <c r="P32" s="64">
        <v>0.28999999999999998</v>
      </c>
      <c r="Q32" s="64">
        <v>9.58</v>
      </c>
      <c r="R32" s="198"/>
      <c r="S32" s="198"/>
      <c r="T32" s="198"/>
      <c r="U32" s="198"/>
    </row>
    <row r="33" spans="1:21" s="12" customFormat="1" x14ac:dyDescent="0.25">
      <c r="A33" s="214" t="s">
        <v>1421</v>
      </c>
      <c r="B33" s="64">
        <v>4.28</v>
      </c>
      <c r="C33" s="64">
        <v>3.18</v>
      </c>
      <c r="D33" s="64">
        <v>7.28</v>
      </c>
      <c r="E33" s="64">
        <v>4.3099999999999996</v>
      </c>
      <c r="F33" s="64">
        <v>3.5</v>
      </c>
      <c r="G33" s="64">
        <v>15.69</v>
      </c>
      <c r="H33" s="64">
        <v>1.62</v>
      </c>
      <c r="I33" s="64">
        <v>2.0499999999999998</v>
      </c>
      <c r="J33" s="64">
        <v>0.14000000000000001</v>
      </c>
      <c r="K33" s="64">
        <v>333.61</v>
      </c>
      <c r="L33" s="64">
        <v>23.86</v>
      </c>
      <c r="M33" s="64">
        <v>101.78</v>
      </c>
      <c r="N33" s="64">
        <v>47.5</v>
      </c>
      <c r="O33" s="64">
        <v>0</v>
      </c>
      <c r="P33" s="64">
        <v>0.28999999999999998</v>
      </c>
      <c r="Q33" s="64">
        <v>9.58</v>
      </c>
      <c r="R33" s="198"/>
      <c r="S33" s="198"/>
      <c r="T33" s="198"/>
      <c r="U33" s="198"/>
    </row>
    <row r="34" spans="1:21" s="12" customFormat="1" x14ac:dyDescent="0.25">
      <c r="A34" s="214" t="s">
        <v>1422</v>
      </c>
      <c r="B34" s="64">
        <v>4.2699999999999996</v>
      </c>
      <c r="C34" s="64">
        <v>3.15</v>
      </c>
      <c r="D34" s="64">
        <v>7.26</v>
      </c>
      <c r="E34" s="64">
        <v>5.01</v>
      </c>
      <c r="F34" s="64">
        <v>3.52</v>
      </c>
      <c r="G34" s="64">
        <v>14.05</v>
      </c>
      <c r="H34" s="64">
        <v>3.6</v>
      </c>
      <c r="I34" s="64">
        <v>2.13</v>
      </c>
      <c r="J34" s="64">
        <v>0.16</v>
      </c>
      <c r="K34" s="64">
        <v>345.81</v>
      </c>
      <c r="L34" s="64">
        <v>23.91</v>
      </c>
      <c r="M34" s="64">
        <v>101.78</v>
      </c>
      <c r="N34" s="64">
        <v>52.8</v>
      </c>
      <c r="O34" s="64">
        <v>0</v>
      </c>
      <c r="P34" s="64">
        <v>0.28999999999999998</v>
      </c>
      <c r="Q34" s="64">
        <v>9.58</v>
      </c>
      <c r="R34" s="198"/>
      <c r="S34" s="198"/>
      <c r="T34" s="198"/>
      <c r="U34" s="198"/>
    </row>
    <row r="35" spans="1:21" s="12" customFormat="1" x14ac:dyDescent="0.25">
      <c r="A35" s="214" t="s">
        <v>1423</v>
      </c>
      <c r="B35" s="64">
        <v>4.29</v>
      </c>
      <c r="C35" s="64">
        <v>3.14</v>
      </c>
      <c r="D35" s="64">
        <v>7.27</v>
      </c>
      <c r="E35" s="64">
        <v>4.09</v>
      </c>
      <c r="F35" s="64">
        <v>3.51</v>
      </c>
      <c r="G35" s="64">
        <v>11.47</v>
      </c>
      <c r="H35" s="64">
        <v>5.4</v>
      </c>
      <c r="I35" s="64">
        <v>2.21</v>
      </c>
      <c r="J35" s="64">
        <v>0.17</v>
      </c>
      <c r="K35" s="64">
        <v>334.38</v>
      </c>
      <c r="L35" s="64">
        <v>24</v>
      </c>
      <c r="M35" s="64">
        <v>101.78</v>
      </c>
      <c r="N35" s="64">
        <v>62.7</v>
      </c>
      <c r="O35" s="64">
        <v>0</v>
      </c>
      <c r="P35" s="64">
        <v>0.28000000000000003</v>
      </c>
      <c r="Q35" s="64">
        <v>9.58</v>
      </c>
      <c r="R35" s="198"/>
      <c r="S35" s="198"/>
      <c r="T35" s="198"/>
      <c r="U35" s="198"/>
    </row>
    <row r="36" spans="1:21" s="12" customFormat="1" x14ac:dyDescent="0.25">
      <c r="A36" s="214" t="s">
        <v>1424</v>
      </c>
      <c r="B36" s="64">
        <v>4.3</v>
      </c>
      <c r="C36" s="64">
        <v>3.16</v>
      </c>
      <c r="D36" s="64">
        <v>7.29</v>
      </c>
      <c r="E36" s="64">
        <v>4.2699999999999996</v>
      </c>
      <c r="F36" s="64">
        <v>3.57</v>
      </c>
      <c r="G36" s="64">
        <v>11.47</v>
      </c>
      <c r="H36" s="64">
        <v>5.4</v>
      </c>
      <c r="I36" s="64">
        <v>2.19</v>
      </c>
      <c r="J36" s="64">
        <v>0.18</v>
      </c>
      <c r="K36" s="64">
        <v>348.22</v>
      </c>
      <c r="L36" s="64">
        <v>24.1</v>
      </c>
      <c r="M36" s="64">
        <v>101.78</v>
      </c>
      <c r="N36" s="64">
        <v>82.3</v>
      </c>
      <c r="O36" s="64">
        <v>0</v>
      </c>
      <c r="P36" s="64">
        <v>0.28000000000000003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4" t="s">
        <v>1425</v>
      </c>
      <c r="B37" s="64">
        <v>4.28</v>
      </c>
      <c r="C37" s="64">
        <v>3.14</v>
      </c>
      <c r="D37" s="64">
        <v>7.27</v>
      </c>
      <c r="E37" s="64">
        <v>4.16</v>
      </c>
      <c r="F37" s="64">
        <v>4.0999999999999996</v>
      </c>
      <c r="G37" s="64">
        <v>11.47</v>
      </c>
      <c r="H37" s="64">
        <v>5.4</v>
      </c>
      <c r="I37" s="64">
        <v>2.16</v>
      </c>
      <c r="J37" s="64">
        <v>0.15</v>
      </c>
      <c r="K37" s="64">
        <v>355.23</v>
      </c>
      <c r="L37" s="64">
        <v>24.26</v>
      </c>
      <c r="M37" s="64">
        <v>101.78</v>
      </c>
      <c r="N37" s="64">
        <v>86.7</v>
      </c>
      <c r="O37" s="64">
        <v>0</v>
      </c>
      <c r="P37" s="64">
        <v>0.31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14" t="s">
        <v>1426</v>
      </c>
      <c r="B38" s="64">
        <v>4.29</v>
      </c>
      <c r="C38" s="64">
        <v>3.14</v>
      </c>
      <c r="D38" s="64">
        <v>7.28</v>
      </c>
      <c r="E38" s="64">
        <v>4.21</v>
      </c>
      <c r="F38" s="64">
        <v>3.88</v>
      </c>
      <c r="G38" s="64">
        <v>12.33</v>
      </c>
      <c r="H38" s="64">
        <v>3.67</v>
      </c>
      <c r="I38" s="64">
        <v>2.13</v>
      </c>
      <c r="J38" s="64">
        <v>0.16</v>
      </c>
      <c r="K38" s="64">
        <v>342.81</v>
      </c>
      <c r="L38" s="64">
        <v>24.39</v>
      </c>
      <c r="M38" s="64">
        <v>101.78</v>
      </c>
      <c r="N38" s="64">
        <v>98.7</v>
      </c>
      <c r="O38" s="64">
        <v>0</v>
      </c>
      <c r="P38" s="64">
        <v>0.33</v>
      </c>
      <c r="Q38" s="64">
        <v>9.56</v>
      </c>
      <c r="R38" s="198"/>
      <c r="S38" s="198"/>
      <c r="T38" s="198"/>
      <c r="U38" s="198"/>
    </row>
    <row r="39" spans="1:21" s="12" customFormat="1" x14ac:dyDescent="0.25">
      <c r="A39" s="214" t="s">
        <v>1427</v>
      </c>
      <c r="B39" s="64">
        <v>4.26</v>
      </c>
      <c r="C39" s="64">
        <v>3.12</v>
      </c>
      <c r="D39" s="64">
        <v>7.23</v>
      </c>
      <c r="E39" s="64">
        <v>4.63</v>
      </c>
      <c r="F39" s="64">
        <v>4.0999999999999996</v>
      </c>
      <c r="G39" s="64">
        <v>13.68</v>
      </c>
      <c r="H39" s="64">
        <v>2.04</v>
      </c>
      <c r="I39" s="64">
        <v>2.0699999999999998</v>
      </c>
      <c r="J39" s="64">
        <v>0.2</v>
      </c>
      <c r="K39" s="64">
        <v>338.63</v>
      </c>
      <c r="L39" s="64">
        <v>24.39</v>
      </c>
      <c r="M39" s="64">
        <v>101.78</v>
      </c>
      <c r="N39" s="64">
        <v>107.1</v>
      </c>
      <c r="O39" s="64">
        <v>0</v>
      </c>
      <c r="P39" s="64">
        <v>0.34</v>
      </c>
      <c r="Q39" s="64">
        <v>9.59</v>
      </c>
      <c r="R39" s="198"/>
      <c r="S39" s="198"/>
      <c r="T39" s="198"/>
      <c r="U39" s="198"/>
    </row>
    <row r="40" spans="1:21" s="12" customFormat="1" x14ac:dyDescent="0.25">
      <c r="A40" s="214" t="s">
        <v>1428</v>
      </c>
      <c r="B40" s="64">
        <v>4.26</v>
      </c>
      <c r="C40" s="64">
        <v>3.17</v>
      </c>
      <c r="D40" s="64">
        <v>7.27</v>
      </c>
      <c r="E40" s="64">
        <v>4.07</v>
      </c>
      <c r="F40" s="64">
        <v>3.46</v>
      </c>
      <c r="G40" s="64">
        <v>13.68</v>
      </c>
      <c r="H40" s="64">
        <v>2.04</v>
      </c>
      <c r="I40" s="64">
        <v>2.04</v>
      </c>
      <c r="J40" s="64">
        <v>0.16</v>
      </c>
      <c r="K40" s="64">
        <v>338.72</v>
      </c>
      <c r="L40" s="64">
        <v>24.72</v>
      </c>
      <c r="M40" s="64">
        <v>101.76</v>
      </c>
      <c r="N40" s="64">
        <v>114.9</v>
      </c>
      <c r="O40" s="64">
        <v>0</v>
      </c>
      <c r="P40" s="64">
        <v>0.35</v>
      </c>
      <c r="Q40" s="64">
        <v>9.58</v>
      </c>
      <c r="R40" s="198"/>
      <c r="S40" s="198"/>
      <c r="T40" s="198"/>
      <c r="U40" s="198"/>
    </row>
    <row r="41" spans="1:21" s="12" customFormat="1" x14ac:dyDescent="0.25">
      <c r="A41" s="214" t="s">
        <v>1429</v>
      </c>
      <c r="B41" s="64">
        <v>4.29</v>
      </c>
      <c r="C41" s="64">
        <v>3.19</v>
      </c>
      <c r="D41" s="64">
        <v>7.3</v>
      </c>
      <c r="E41" s="64">
        <v>3.42</v>
      </c>
      <c r="F41" s="64">
        <v>3.34</v>
      </c>
      <c r="G41" s="64">
        <v>13.68</v>
      </c>
      <c r="H41" s="64">
        <v>2.04</v>
      </c>
      <c r="I41" s="64">
        <v>2.02</v>
      </c>
      <c r="J41" s="64">
        <v>0.16</v>
      </c>
      <c r="K41" s="64">
        <v>353.96</v>
      </c>
      <c r="L41" s="64">
        <v>25.07</v>
      </c>
      <c r="M41" s="64">
        <v>101.75</v>
      </c>
      <c r="N41" s="64">
        <v>132.6</v>
      </c>
      <c r="O41" s="64">
        <v>0</v>
      </c>
      <c r="P41" s="64">
        <v>0.36</v>
      </c>
      <c r="Q41" s="64">
        <v>9.57</v>
      </c>
      <c r="R41" s="198"/>
      <c r="S41" s="198"/>
      <c r="T41" s="198"/>
      <c r="U41" s="198"/>
    </row>
    <row r="42" spans="1:21" s="12" customFormat="1" x14ac:dyDescent="0.25">
      <c r="A42" s="214" t="s">
        <v>1430</v>
      </c>
      <c r="B42" s="64">
        <v>4.26</v>
      </c>
      <c r="C42" s="64">
        <v>3.11</v>
      </c>
      <c r="D42" s="64">
        <v>7.23</v>
      </c>
      <c r="E42" s="64">
        <v>3.3</v>
      </c>
      <c r="F42" s="64">
        <v>4.1900000000000004</v>
      </c>
      <c r="G42" s="64">
        <v>16.89</v>
      </c>
      <c r="H42" s="64">
        <v>6.5</v>
      </c>
      <c r="I42" s="64">
        <v>2</v>
      </c>
      <c r="J42" s="64">
        <v>0.17</v>
      </c>
      <c r="K42" s="64">
        <v>354.65</v>
      </c>
      <c r="L42" s="64">
        <v>25.34</v>
      </c>
      <c r="M42" s="64">
        <v>101.72</v>
      </c>
      <c r="N42" s="64">
        <v>163.6</v>
      </c>
      <c r="O42" s="64">
        <v>0</v>
      </c>
      <c r="P42" s="64">
        <v>0.38</v>
      </c>
      <c r="Q42" s="64">
        <v>9.58</v>
      </c>
      <c r="R42" s="198"/>
      <c r="S42" s="198"/>
      <c r="T42" s="198"/>
      <c r="U42" s="198"/>
    </row>
    <row r="43" spans="1:21" s="12" customFormat="1" x14ac:dyDescent="0.25">
      <c r="A43" s="214" t="s">
        <v>1431</v>
      </c>
      <c r="B43" s="64">
        <v>4.25</v>
      </c>
      <c r="C43" s="64">
        <v>3.12</v>
      </c>
      <c r="D43" s="64">
        <v>7.23</v>
      </c>
      <c r="E43" s="64">
        <v>3.3</v>
      </c>
      <c r="F43" s="64">
        <v>2.98</v>
      </c>
      <c r="G43" s="64">
        <v>21.94</v>
      </c>
      <c r="H43" s="64">
        <v>10.57</v>
      </c>
      <c r="I43" s="64">
        <v>2.0299999999999998</v>
      </c>
      <c r="J43" s="64">
        <v>0.13</v>
      </c>
      <c r="K43" s="64">
        <v>348.01</v>
      </c>
      <c r="L43" s="64">
        <v>25.94</v>
      </c>
      <c r="M43" s="64">
        <v>99.29</v>
      </c>
      <c r="N43" s="64">
        <v>220.2</v>
      </c>
      <c r="O43" s="64">
        <v>0</v>
      </c>
      <c r="P43" s="64">
        <v>0.4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4" t="s">
        <v>1432</v>
      </c>
      <c r="B44" s="64">
        <v>4.26</v>
      </c>
      <c r="C44" s="64">
        <v>3.09</v>
      </c>
      <c r="D44" s="64">
        <v>7.22</v>
      </c>
      <c r="E44" s="64">
        <v>3.13</v>
      </c>
      <c r="F44" s="64">
        <v>3.63</v>
      </c>
      <c r="G44" s="64">
        <v>21.94</v>
      </c>
      <c r="H44" s="64">
        <v>10.57</v>
      </c>
      <c r="I44" s="64">
        <v>2.0099999999999998</v>
      </c>
      <c r="J44" s="64">
        <v>0.2</v>
      </c>
      <c r="K44" s="64">
        <v>337.71</v>
      </c>
      <c r="L44" s="64">
        <v>26.98</v>
      </c>
      <c r="M44" s="64">
        <v>93.15</v>
      </c>
      <c r="N44" s="64">
        <v>384.8</v>
      </c>
      <c r="O44" s="64">
        <v>0</v>
      </c>
      <c r="P44" s="64">
        <v>0.44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1433</v>
      </c>
      <c r="B45" s="64">
        <v>4.26</v>
      </c>
      <c r="C45" s="64">
        <v>3.12</v>
      </c>
      <c r="D45" s="64">
        <v>7.24</v>
      </c>
      <c r="E45" s="64">
        <v>3.61</v>
      </c>
      <c r="F45" s="64">
        <v>3.27</v>
      </c>
      <c r="G45" s="64">
        <v>21.94</v>
      </c>
      <c r="H45" s="64">
        <v>10.57</v>
      </c>
      <c r="I45" s="64">
        <v>2.0299999999999998</v>
      </c>
      <c r="J45" s="64">
        <v>0.3</v>
      </c>
      <c r="K45" s="64">
        <v>321.18</v>
      </c>
      <c r="L45" s="64">
        <v>28.89</v>
      </c>
      <c r="M45" s="64">
        <v>84.9</v>
      </c>
      <c r="N45" s="64">
        <v>562</v>
      </c>
      <c r="O45" s="64">
        <v>0</v>
      </c>
      <c r="P45" s="64">
        <v>0.46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4" t="s">
        <v>1434</v>
      </c>
      <c r="B46" s="64">
        <v>4.26</v>
      </c>
      <c r="C46" s="64">
        <v>3.18</v>
      </c>
      <c r="D46" s="64">
        <v>7.27</v>
      </c>
      <c r="E46" s="64">
        <v>3.68</v>
      </c>
      <c r="F46" s="64">
        <v>3.24</v>
      </c>
      <c r="G46" s="64">
        <v>26.16</v>
      </c>
      <c r="H46" s="64">
        <v>10.96</v>
      </c>
      <c r="I46" s="64">
        <v>2.13</v>
      </c>
      <c r="J46" s="64">
        <v>0.31</v>
      </c>
      <c r="K46" s="64">
        <v>323.68</v>
      </c>
      <c r="L46" s="64">
        <v>30.72</v>
      </c>
      <c r="M46" s="64">
        <v>75.22</v>
      </c>
      <c r="N46" s="64">
        <v>660.5</v>
      </c>
      <c r="O46" s="64">
        <v>0</v>
      </c>
      <c r="P46" s="64">
        <v>0.47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1435</v>
      </c>
      <c r="B47" s="64">
        <v>4.2699999999999996</v>
      </c>
      <c r="C47" s="64">
        <v>3.18</v>
      </c>
      <c r="D47" s="64">
        <v>7.27</v>
      </c>
      <c r="E47" s="64">
        <v>3.54</v>
      </c>
      <c r="F47" s="64">
        <v>4.5999999999999996</v>
      </c>
      <c r="G47" s="64">
        <v>32.81</v>
      </c>
      <c r="H47" s="64">
        <v>12</v>
      </c>
      <c r="I47" s="64">
        <v>2.2000000000000002</v>
      </c>
      <c r="J47" s="64">
        <v>0.38</v>
      </c>
      <c r="K47" s="64">
        <v>317.01</v>
      </c>
      <c r="L47" s="64">
        <v>31.33</v>
      </c>
      <c r="M47" s="64">
        <v>73.48</v>
      </c>
      <c r="N47" s="64">
        <v>705.2</v>
      </c>
      <c r="O47" s="64">
        <v>0</v>
      </c>
      <c r="P47" s="64">
        <v>0.47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4" t="s">
        <v>1436</v>
      </c>
      <c r="B48" s="64">
        <v>4.29</v>
      </c>
      <c r="C48" s="64">
        <v>3.22</v>
      </c>
      <c r="D48" s="64">
        <v>7.31</v>
      </c>
      <c r="E48" s="64">
        <v>3.55</v>
      </c>
      <c r="F48" s="64">
        <v>3.01</v>
      </c>
      <c r="G48" s="64">
        <v>32.81</v>
      </c>
      <c r="H48" s="64">
        <v>12</v>
      </c>
      <c r="I48" s="64">
        <v>2.19</v>
      </c>
      <c r="J48" s="64">
        <v>0.47</v>
      </c>
      <c r="K48" s="64">
        <v>321.39</v>
      </c>
      <c r="L48" s="64">
        <v>32.51</v>
      </c>
      <c r="M48" s="64">
        <v>67.72</v>
      </c>
      <c r="N48" s="64">
        <v>790.2</v>
      </c>
      <c r="O48" s="64">
        <v>0</v>
      </c>
      <c r="P48" s="64">
        <v>0.47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4" t="s">
        <v>1437</v>
      </c>
      <c r="B49" s="64">
        <v>4.3</v>
      </c>
      <c r="C49" s="64">
        <v>3.23</v>
      </c>
      <c r="D49" s="64">
        <v>7.33</v>
      </c>
      <c r="E49" s="64">
        <v>3.35</v>
      </c>
      <c r="F49" s="64">
        <v>3.85</v>
      </c>
      <c r="G49" s="64">
        <v>32.81</v>
      </c>
      <c r="H49" s="64">
        <v>12</v>
      </c>
      <c r="I49" s="64">
        <v>2.13</v>
      </c>
      <c r="J49" s="64">
        <v>0.62</v>
      </c>
      <c r="K49" s="64">
        <v>317.55</v>
      </c>
      <c r="L49" s="64">
        <v>33.299999999999997</v>
      </c>
      <c r="M49" s="64">
        <v>65.87</v>
      </c>
      <c r="N49" s="64">
        <v>837.6</v>
      </c>
      <c r="O49" s="64">
        <v>0</v>
      </c>
      <c r="P49" s="64">
        <v>0.45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4" t="s">
        <v>1438</v>
      </c>
      <c r="B50" s="64">
        <v>4.3099999999999996</v>
      </c>
      <c r="C50" s="64">
        <v>3.22</v>
      </c>
      <c r="D50" s="64">
        <v>7.33</v>
      </c>
      <c r="E50" s="64">
        <v>3.18</v>
      </c>
      <c r="F50" s="64">
        <v>3.54</v>
      </c>
      <c r="G50" s="64">
        <v>33.51</v>
      </c>
      <c r="H50" s="64">
        <v>15.5</v>
      </c>
      <c r="I50" s="64">
        <v>2.04</v>
      </c>
      <c r="J50" s="64">
        <v>0.49</v>
      </c>
      <c r="K50" s="64">
        <v>322.41000000000003</v>
      </c>
      <c r="L50" s="64">
        <v>33.799999999999997</v>
      </c>
      <c r="M50" s="64">
        <v>63.27</v>
      </c>
      <c r="N50" s="64">
        <v>809.8</v>
      </c>
      <c r="O50" s="64">
        <v>0</v>
      </c>
      <c r="P50" s="64">
        <v>0.46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4" t="s">
        <v>1439</v>
      </c>
      <c r="B51" s="64">
        <v>4.29</v>
      </c>
      <c r="C51" s="64">
        <v>3.2</v>
      </c>
      <c r="D51" s="64">
        <v>7.3</v>
      </c>
      <c r="E51" s="64">
        <v>3.6</v>
      </c>
      <c r="F51" s="64">
        <v>3.49</v>
      </c>
      <c r="G51" s="64">
        <v>34.61</v>
      </c>
      <c r="H51" s="64">
        <v>18.71</v>
      </c>
      <c r="I51" s="64">
        <v>1.95</v>
      </c>
      <c r="J51" s="64">
        <v>0.38</v>
      </c>
      <c r="K51" s="64">
        <v>321.91000000000003</v>
      </c>
      <c r="L51" s="64">
        <v>33.6</v>
      </c>
      <c r="M51" s="64">
        <v>62.25</v>
      </c>
      <c r="N51" s="64">
        <v>619.1</v>
      </c>
      <c r="O51" s="64">
        <v>0</v>
      </c>
      <c r="P51" s="64">
        <v>0.47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4" t="s">
        <v>1440</v>
      </c>
      <c r="B52" s="64">
        <v>4.3</v>
      </c>
      <c r="C52" s="64">
        <v>3.24</v>
      </c>
      <c r="D52" s="64">
        <v>7.33</v>
      </c>
      <c r="E52" s="64">
        <v>3.45</v>
      </c>
      <c r="F52" s="64">
        <v>3.69</v>
      </c>
      <c r="G52" s="64">
        <v>34.61</v>
      </c>
      <c r="H52" s="64">
        <v>18.71</v>
      </c>
      <c r="I52" s="64">
        <v>1.9</v>
      </c>
      <c r="J52" s="64">
        <v>0.56999999999999995</v>
      </c>
      <c r="K52" s="64">
        <v>320.56</v>
      </c>
      <c r="L52" s="64">
        <v>32.33</v>
      </c>
      <c r="M52" s="64">
        <v>65.87</v>
      </c>
      <c r="N52" s="64">
        <v>395.7</v>
      </c>
      <c r="O52" s="64">
        <v>0</v>
      </c>
      <c r="P52" s="64">
        <v>0.46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4" t="s">
        <v>1441</v>
      </c>
      <c r="B53" s="64">
        <v>4.29</v>
      </c>
      <c r="C53" s="64">
        <v>3.19</v>
      </c>
      <c r="D53" s="64">
        <v>7.29</v>
      </c>
      <c r="E53" s="64">
        <v>3.41</v>
      </c>
      <c r="F53" s="64">
        <v>3.78</v>
      </c>
      <c r="G53" s="64">
        <v>34.61</v>
      </c>
      <c r="H53" s="64">
        <v>18.71</v>
      </c>
      <c r="I53" s="64">
        <v>1.86</v>
      </c>
      <c r="J53" s="64">
        <v>0.41</v>
      </c>
      <c r="K53" s="64">
        <v>314.18</v>
      </c>
      <c r="L53" s="64">
        <v>30.97</v>
      </c>
      <c r="M53" s="64">
        <v>70.989999999999995</v>
      </c>
      <c r="N53" s="64">
        <v>298.3</v>
      </c>
      <c r="O53" s="64">
        <v>0</v>
      </c>
      <c r="P53" s="64">
        <v>0.47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4" t="s">
        <v>1442</v>
      </c>
      <c r="B54" s="64">
        <v>4.28</v>
      </c>
      <c r="C54" s="64">
        <v>3.17</v>
      </c>
      <c r="D54" s="64">
        <v>7.28</v>
      </c>
      <c r="E54" s="64">
        <v>3.51</v>
      </c>
      <c r="F54" s="64">
        <v>3.52</v>
      </c>
      <c r="G54" s="64">
        <v>34.380000000000003</v>
      </c>
      <c r="H54" s="64">
        <v>18.14</v>
      </c>
      <c r="I54" s="64">
        <v>1.83</v>
      </c>
      <c r="J54" s="64">
        <v>0.45</v>
      </c>
      <c r="K54" s="64">
        <v>320.52999999999997</v>
      </c>
      <c r="L54" s="64">
        <v>31.07</v>
      </c>
      <c r="M54" s="64">
        <v>71.34</v>
      </c>
      <c r="N54" s="64">
        <v>544.70000000000005</v>
      </c>
      <c r="O54" s="64">
        <v>0</v>
      </c>
      <c r="P54" s="64">
        <v>0.47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4" t="s">
        <v>1443</v>
      </c>
      <c r="B55" s="64">
        <v>4.26</v>
      </c>
      <c r="C55" s="64">
        <v>3.14</v>
      </c>
      <c r="D55" s="64">
        <v>7.25</v>
      </c>
      <c r="E55" s="64">
        <v>3.4</v>
      </c>
      <c r="F55" s="64">
        <v>3.74</v>
      </c>
      <c r="G55" s="64">
        <v>34.01</v>
      </c>
      <c r="H55" s="64">
        <v>17.62</v>
      </c>
      <c r="I55" s="64">
        <v>1.79</v>
      </c>
      <c r="J55" s="64">
        <v>0.54</v>
      </c>
      <c r="K55" s="64">
        <v>326.11</v>
      </c>
      <c r="L55" s="64">
        <v>32.36</v>
      </c>
      <c r="M55" s="64">
        <v>67.45</v>
      </c>
      <c r="N55" s="64">
        <v>658.9</v>
      </c>
      <c r="O55" s="64">
        <v>0</v>
      </c>
      <c r="P55" s="64">
        <v>0.47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4" t="s">
        <v>1444</v>
      </c>
      <c r="B56" s="64">
        <v>4.2699999999999996</v>
      </c>
      <c r="C56" s="64">
        <v>3.16</v>
      </c>
      <c r="D56" s="64">
        <v>7.26</v>
      </c>
      <c r="E56" s="64">
        <v>3.67</v>
      </c>
      <c r="F56" s="64">
        <v>3.64</v>
      </c>
      <c r="G56" s="64">
        <v>34.01</v>
      </c>
      <c r="H56" s="64">
        <v>17.62</v>
      </c>
      <c r="I56" s="64">
        <v>1.76</v>
      </c>
      <c r="J56" s="64">
        <v>0.45</v>
      </c>
      <c r="K56" s="64">
        <v>328.08</v>
      </c>
      <c r="L56" s="64">
        <v>31.64</v>
      </c>
      <c r="M56" s="64">
        <v>69.430000000000007</v>
      </c>
      <c r="N56" s="64">
        <v>537.1</v>
      </c>
      <c r="O56" s="64">
        <v>0</v>
      </c>
      <c r="P56" s="64">
        <v>0.47</v>
      </c>
      <c r="Q56" s="64">
        <v>9.64</v>
      </c>
      <c r="R56" s="198"/>
      <c r="S56" s="198"/>
      <c r="T56" s="198"/>
      <c r="U56" s="198"/>
    </row>
    <row r="57" spans="1:21" s="12" customFormat="1" x14ac:dyDescent="0.25">
      <c r="A57" s="214" t="s">
        <v>1445</v>
      </c>
      <c r="B57" s="64">
        <v>4.24</v>
      </c>
      <c r="C57" s="64">
        <v>3.17</v>
      </c>
      <c r="D57" s="64">
        <v>7.25</v>
      </c>
      <c r="E57" s="64">
        <v>4.43</v>
      </c>
      <c r="F57" s="64">
        <v>3.96</v>
      </c>
      <c r="G57" s="64">
        <v>34.01</v>
      </c>
      <c r="H57" s="64">
        <v>17.62</v>
      </c>
      <c r="I57" s="64">
        <v>1.73</v>
      </c>
      <c r="J57" s="64">
        <v>0.32</v>
      </c>
      <c r="K57" s="64">
        <v>318.72000000000003</v>
      </c>
      <c r="L57" s="64">
        <v>31.87</v>
      </c>
      <c r="M57" s="64">
        <v>68.72</v>
      </c>
      <c r="N57" s="64">
        <v>609.1</v>
      </c>
      <c r="O57" s="64">
        <v>0</v>
      </c>
      <c r="P57" s="64">
        <v>0.47</v>
      </c>
      <c r="Q57" s="64">
        <v>9.64</v>
      </c>
      <c r="R57" s="198"/>
      <c r="S57" s="198"/>
      <c r="T57" s="198"/>
      <c r="U57" s="198"/>
    </row>
    <row r="58" spans="1:21" s="12" customFormat="1" x14ac:dyDescent="0.25">
      <c r="A58" s="214" t="s">
        <v>1446</v>
      </c>
      <c r="B58" s="64">
        <v>4.24</v>
      </c>
      <c r="C58" s="64">
        <v>3.17</v>
      </c>
      <c r="D58" s="64">
        <v>7.25</v>
      </c>
      <c r="E58" s="64">
        <v>4.54</v>
      </c>
      <c r="F58" s="64">
        <v>4.34</v>
      </c>
      <c r="G58" s="64">
        <v>33.159999999999997</v>
      </c>
      <c r="H58" s="64">
        <v>12.6</v>
      </c>
      <c r="I58" s="64">
        <v>1.69</v>
      </c>
      <c r="J58" s="64">
        <v>0.52</v>
      </c>
      <c r="K58" s="64">
        <v>324.62</v>
      </c>
      <c r="L58" s="64">
        <v>31.7</v>
      </c>
      <c r="M58" s="64">
        <v>69.53</v>
      </c>
      <c r="N58" s="64">
        <v>667</v>
      </c>
      <c r="O58" s="64">
        <v>0</v>
      </c>
      <c r="P58" s="64">
        <v>0.46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4" t="s">
        <v>1447</v>
      </c>
      <c r="B59" s="64">
        <v>4.25</v>
      </c>
      <c r="C59" s="64">
        <v>3.2</v>
      </c>
      <c r="D59" s="64">
        <v>7.27</v>
      </c>
      <c r="E59" s="64">
        <v>4.4400000000000004</v>
      </c>
      <c r="F59" s="64">
        <v>2.91</v>
      </c>
      <c r="G59" s="64">
        <v>31.83</v>
      </c>
      <c r="H59" s="64">
        <v>7.87</v>
      </c>
      <c r="I59" s="64">
        <v>1.63</v>
      </c>
      <c r="J59" s="64">
        <v>0.41</v>
      </c>
      <c r="K59" s="64">
        <v>316.99</v>
      </c>
      <c r="L59" s="64">
        <v>32.86</v>
      </c>
      <c r="M59" s="64">
        <v>65.069999999999993</v>
      </c>
      <c r="N59" s="64">
        <v>586.70000000000005</v>
      </c>
      <c r="O59" s="64">
        <v>0</v>
      </c>
      <c r="P59" s="64">
        <v>0.46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4" t="s">
        <v>1448</v>
      </c>
      <c r="B60" s="64">
        <v>4.2699999999999996</v>
      </c>
      <c r="C60" s="64">
        <v>3.21</v>
      </c>
      <c r="D60" s="64">
        <v>7.3</v>
      </c>
      <c r="E60" s="64">
        <v>4.33</v>
      </c>
      <c r="F60" s="64">
        <v>4.4000000000000004</v>
      </c>
      <c r="G60" s="64">
        <v>31.83</v>
      </c>
      <c r="H60" s="64">
        <v>7.87</v>
      </c>
      <c r="I60" s="64">
        <v>1.59</v>
      </c>
      <c r="J60" s="64">
        <v>0.46</v>
      </c>
      <c r="K60" s="64">
        <v>315.72000000000003</v>
      </c>
      <c r="L60" s="64">
        <v>31.83</v>
      </c>
      <c r="M60" s="64">
        <v>67.16</v>
      </c>
      <c r="N60" s="64">
        <v>258.5</v>
      </c>
      <c r="O60" s="64">
        <v>0</v>
      </c>
      <c r="P60" s="64">
        <v>0.47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4" t="s">
        <v>1449</v>
      </c>
      <c r="B61" s="64">
        <v>4.2699999999999996</v>
      </c>
      <c r="C61" s="64">
        <v>3.14</v>
      </c>
      <c r="D61" s="64">
        <v>7.25</v>
      </c>
      <c r="E61" s="64">
        <v>3.95</v>
      </c>
      <c r="F61" s="64">
        <v>3.72</v>
      </c>
      <c r="G61" s="64">
        <v>31.83</v>
      </c>
      <c r="H61" s="64">
        <v>7.87</v>
      </c>
      <c r="I61" s="64">
        <v>1.55</v>
      </c>
      <c r="J61" s="64">
        <v>0.52</v>
      </c>
      <c r="K61" s="64">
        <v>327.02999999999997</v>
      </c>
      <c r="L61" s="64">
        <v>31.13</v>
      </c>
      <c r="M61" s="64">
        <v>71.02</v>
      </c>
      <c r="N61" s="64">
        <v>298.2</v>
      </c>
      <c r="O61" s="64">
        <v>0</v>
      </c>
      <c r="P61" s="64">
        <v>0.47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4" t="s">
        <v>1450</v>
      </c>
      <c r="B62" s="64">
        <v>4.28</v>
      </c>
      <c r="C62" s="64">
        <v>3.2</v>
      </c>
      <c r="D62" s="64">
        <v>7.29</v>
      </c>
      <c r="E62" s="64">
        <v>4.01</v>
      </c>
      <c r="F62" s="64">
        <v>4.32</v>
      </c>
      <c r="G62" s="64">
        <v>34.479999999999997</v>
      </c>
      <c r="H62" s="64">
        <v>8.8000000000000007</v>
      </c>
      <c r="I62" s="64">
        <v>1.52</v>
      </c>
      <c r="J62" s="64">
        <v>0.23</v>
      </c>
      <c r="K62" s="64">
        <v>314.86</v>
      </c>
      <c r="L62" s="64">
        <v>30.94</v>
      </c>
      <c r="M62" s="64">
        <v>69.95</v>
      </c>
      <c r="N62" s="64">
        <v>334.8</v>
      </c>
      <c r="O62" s="64">
        <v>0</v>
      </c>
      <c r="P62" s="64">
        <v>0.49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4" t="s">
        <v>1451</v>
      </c>
      <c r="B63" s="64">
        <v>4.24</v>
      </c>
      <c r="C63" s="64">
        <v>3.18</v>
      </c>
      <c r="D63" s="64">
        <v>7.25</v>
      </c>
      <c r="E63" s="64">
        <v>4.5599999999999996</v>
      </c>
      <c r="F63" s="64">
        <v>4.37</v>
      </c>
      <c r="G63" s="64">
        <v>38.65</v>
      </c>
      <c r="H63" s="64">
        <v>11.26</v>
      </c>
      <c r="I63" s="64">
        <v>1.48</v>
      </c>
      <c r="J63" s="64">
        <v>0.31</v>
      </c>
      <c r="K63" s="64">
        <v>335.47</v>
      </c>
      <c r="L63" s="64">
        <v>30.54</v>
      </c>
      <c r="M63" s="64">
        <v>73.95</v>
      </c>
      <c r="N63" s="64">
        <v>251.2</v>
      </c>
      <c r="O63" s="64">
        <v>0</v>
      </c>
      <c r="P63" s="64">
        <v>0.5</v>
      </c>
      <c r="Q63" s="64">
        <v>9.59</v>
      </c>
      <c r="R63" s="198"/>
      <c r="S63" s="198"/>
      <c r="T63" s="198"/>
      <c r="U63" s="198"/>
    </row>
    <row r="64" spans="1:21" s="12" customFormat="1" x14ac:dyDescent="0.25">
      <c r="A64" s="214" t="s">
        <v>1452</v>
      </c>
      <c r="B64" s="64">
        <v>4.25</v>
      </c>
      <c r="C64" s="64">
        <v>3.15</v>
      </c>
      <c r="D64" s="64">
        <v>7.24</v>
      </c>
      <c r="E64" s="64">
        <v>4.0999999999999996</v>
      </c>
      <c r="F64" s="64">
        <v>3.27</v>
      </c>
      <c r="G64" s="64">
        <v>38.65</v>
      </c>
      <c r="H64" s="64">
        <v>11.26</v>
      </c>
      <c r="I64" s="64">
        <v>1.45</v>
      </c>
      <c r="J64" s="64">
        <v>1.61</v>
      </c>
      <c r="K64" s="64">
        <v>337.91</v>
      </c>
      <c r="L64" s="64">
        <v>29.11</v>
      </c>
      <c r="M64" s="64">
        <v>78.27</v>
      </c>
      <c r="N64" s="64">
        <v>111.5</v>
      </c>
      <c r="O64" s="64">
        <v>0</v>
      </c>
      <c r="P64" s="64">
        <v>0.5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4" t="s">
        <v>1453</v>
      </c>
      <c r="B65" s="64">
        <v>4.2699999999999996</v>
      </c>
      <c r="C65" s="64">
        <v>3.13</v>
      </c>
      <c r="D65" s="64">
        <v>7.25</v>
      </c>
      <c r="E65" s="64">
        <v>4.3099999999999996</v>
      </c>
      <c r="F65" s="64">
        <v>3.51</v>
      </c>
      <c r="G65" s="64">
        <v>38.65</v>
      </c>
      <c r="H65" s="64">
        <v>11.26</v>
      </c>
      <c r="I65" s="64">
        <v>1.47</v>
      </c>
      <c r="J65" s="64">
        <v>1.27</v>
      </c>
      <c r="K65" s="64">
        <v>339.12</v>
      </c>
      <c r="L65" s="64">
        <v>28.37</v>
      </c>
      <c r="M65" s="64">
        <v>82.49</v>
      </c>
      <c r="N65" s="64">
        <v>171.3</v>
      </c>
      <c r="O65" s="64">
        <v>0</v>
      </c>
      <c r="P65" s="64">
        <v>0.51</v>
      </c>
      <c r="Q65" s="64">
        <v>9.57</v>
      </c>
      <c r="R65" s="198"/>
      <c r="S65" s="198"/>
      <c r="T65" s="198"/>
      <c r="U65" s="198"/>
    </row>
    <row r="66" spans="1:21" s="12" customFormat="1" x14ac:dyDescent="0.25">
      <c r="A66" s="214" t="s">
        <v>1454</v>
      </c>
      <c r="B66" s="64">
        <v>4.29</v>
      </c>
      <c r="C66" s="64">
        <v>3.17</v>
      </c>
      <c r="D66" s="64">
        <v>7.29</v>
      </c>
      <c r="E66" s="64">
        <v>4.6100000000000003</v>
      </c>
      <c r="F66" s="64">
        <v>3.71</v>
      </c>
      <c r="G66" s="64">
        <v>39.85</v>
      </c>
      <c r="H66" s="64">
        <v>11.15</v>
      </c>
      <c r="I66" s="64">
        <v>1.53</v>
      </c>
      <c r="J66" s="64">
        <v>1.45</v>
      </c>
      <c r="K66" s="64">
        <v>337.62</v>
      </c>
      <c r="L66" s="64">
        <v>28.32</v>
      </c>
      <c r="M66" s="64">
        <v>84.58</v>
      </c>
      <c r="N66" s="64">
        <v>210.9</v>
      </c>
      <c r="O66" s="64">
        <v>0</v>
      </c>
      <c r="P66" s="64">
        <v>0.52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4" t="s">
        <v>1455</v>
      </c>
      <c r="B67" s="64">
        <v>4.3099999999999996</v>
      </c>
      <c r="C67" s="64">
        <v>3.2</v>
      </c>
      <c r="D67" s="64">
        <v>7.31</v>
      </c>
      <c r="E67" s="64">
        <v>4.18</v>
      </c>
      <c r="F67" s="64">
        <v>3.65</v>
      </c>
      <c r="G67" s="64">
        <v>41.74</v>
      </c>
      <c r="H67" s="64">
        <v>11.05</v>
      </c>
      <c r="I67" s="64">
        <v>1.63</v>
      </c>
      <c r="J67" s="64">
        <v>1</v>
      </c>
      <c r="K67" s="64">
        <v>334.59</v>
      </c>
      <c r="L67" s="64">
        <v>28.85</v>
      </c>
      <c r="M67" s="64">
        <v>81.67</v>
      </c>
      <c r="N67" s="64">
        <v>211</v>
      </c>
      <c r="O67" s="64">
        <v>0</v>
      </c>
      <c r="P67" s="64">
        <v>0.53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1456</v>
      </c>
      <c r="B68" s="64">
        <v>4.3</v>
      </c>
      <c r="C68" s="64">
        <v>3.22</v>
      </c>
      <c r="D68" s="64">
        <v>7.32</v>
      </c>
      <c r="E68" s="64">
        <v>4.43</v>
      </c>
      <c r="F68" s="64">
        <v>3.62</v>
      </c>
      <c r="G68" s="64">
        <v>41.74</v>
      </c>
      <c r="H68" s="64">
        <v>11.05</v>
      </c>
      <c r="I68" s="64">
        <v>1.73</v>
      </c>
      <c r="J68" s="64">
        <v>0.48</v>
      </c>
      <c r="K68" s="64">
        <v>333.77</v>
      </c>
      <c r="L68" s="64">
        <v>29.05</v>
      </c>
      <c r="M68" s="64">
        <v>78.33</v>
      </c>
      <c r="N68" s="64">
        <v>267.39999999999998</v>
      </c>
      <c r="O68" s="64">
        <v>0</v>
      </c>
      <c r="P68" s="64">
        <v>0.54</v>
      </c>
      <c r="Q68" s="64">
        <v>9.66</v>
      </c>
      <c r="R68" s="198"/>
      <c r="S68" s="198"/>
      <c r="T68" s="198"/>
      <c r="U68" s="198"/>
    </row>
    <row r="69" spans="1:21" s="12" customFormat="1" x14ac:dyDescent="0.25">
      <c r="A69" s="214" t="s">
        <v>1457</v>
      </c>
      <c r="B69" s="64">
        <v>4.3</v>
      </c>
      <c r="C69" s="64">
        <v>3.21</v>
      </c>
      <c r="D69" s="64">
        <v>7.32</v>
      </c>
      <c r="E69" s="64">
        <v>4.1399999999999997</v>
      </c>
      <c r="F69" s="64">
        <v>3.79</v>
      </c>
      <c r="G69" s="64">
        <v>41.74</v>
      </c>
      <c r="H69" s="64">
        <v>11.05</v>
      </c>
      <c r="I69" s="64">
        <v>1.81</v>
      </c>
      <c r="J69" s="64">
        <v>0.05</v>
      </c>
      <c r="K69" s="64">
        <v>180.63</v>
      </c>
      <c r="L69" s="64">
        <v>27.35</v>
      </c>
      <c r="M69" s="64">
        <v>87.84</v>
      </c>
      <c r="N69" s="64">
        <v>169.3</v>
      </c>
      <c r="O69" s="64">
        <v>0</v>
      </c>
      <c r="P69" s="64">
        <v>0.54</v>
      </c>
      <c r="Q69" s="64">
        <v>9.6999999999999993</v>
      </c>
      <c r="R69" s="198"/>
      <c r="S69" s="198"/>
      <c r="T69" s="198"/>
      <c r="U69" s="198"/>
    </row>
    <row r="70" spans="1:21" s="12" customFormat="1" x14ac:dyDescent="0.25">
      <c r="A70" s="214" t="s">
        <v>1458</v>
      </c>
      <c r="B70" s="64">
        <v>4.3</v>
      </c>
      <c r="C70" s="64">
        <v>3.19</v>
      </c>
      <c r="D70" s="64">
        <v>7.31</v>
      </c>
      <c r="E70" s="64">
        <v>4.04</v>
      </c>
      <c r="F70" s="64">
        <v>3.58</v>
      </c>
      <c r="G70" s="64">
        <v>40.08</v>
      </c>
      <c r="H70" s="64">
        <v>11.43</v>
      </c>
      <c r="I70" s="64">
        <v>1.87</v>
      </c>
      <c r="J70" s="64">
        <v>0.11</v>
      </c>
      <c r="K70" s="64">
        <v>330.22</v>
      </c>
      <c r="L70" s="64">
        <v>27.46</v>
      </c>
      <c r="M70" s="64">
        <v>89.03</v>
      </c>
      <c r="N70" s="64">
        <v>180.4</v>
      </c>
      <c r="O70" s="64">
        <v>0</v>
      </c>
      <c r="P70" s="64">
        <v>0.53</v>
      </c>
      <c r="Q70" s="64">
        <v>9.7100000000000009</v>
      </c>
      <c r="R70" s="198"/>
      <c r="S70" s="198"/>
      <c r="T70" s="198"/>
      <c r="U70" s="198"/>
    </row>
    <row r="71" spans="1:21" s="12" customFormat="1" x14ac:dyDescent="0.25">
      <c r="A71" s="214" t="s">
        <v>1459</v>
      </c>
      <c r="B71" s="64">
        <v>4.29</v>
      </c>
      <c r="C71" s="64">
        <v>3.15</v>
      </c>
      <c r="D71" s="64">
        <v>7.27</v>
      </c>
      <c r="E71" s="64">
        <v>4.3899999999999997</v>
      </c>
      <c r="F71" s="64">
        <v>3.61</v>
      </c>
      <c r="G71" s="64">
        <v>37.49</v>
      </c>
      <c r="H71" s="64">
        <v>11.78</v>
      </c>
      <c r="I71" s="64">
        <v>1.93</v>
      </c>
      <c r="J71" s="64">
        <v>0.18</v>
      </c>
      <c r="K71" s="64">
        <v>153.34</v>
      </c>
      <c r="L71" s="64">
        <v>27.14</v>
      </c>
      <c r="M71" s="64">
        <v>92.83</v>
      </c>
      <c r="N71" s="64">
        <v>120</v>
      </c>
      <c r="O71" s="64">
        <v>0</v>
      </c>
      <c r="P71" s="64">
        <v>0.53</v>
      </c>
      <c r="Q71" s="64">
        <v>9.69</v>
      </c>
      <c r="R71" s="198"/>
      <c r="S71" s="198"/>
      <c r="T71" s="198"/>
      <c r="U71" s="198"/>
    </row>
    <row r="72" spans="1:21" s="12" customFormat="1" x14ac:dyDescent="0.25">
      <c r="A72" s="214" t="s">
        <v>1460</v>
      </c>
      <c r="B72" s="64">
        <v>4.29</v>
      </c>
      <c r="C72" s="64">
        <v>3.16</v>
      </c>
      <c r="D72" s="64">
        <v>7.28</v>
      </c>
      <c r="E72" s="64">
        <v>4.7</v>
      </c>
      <c r="F72" s="64">
        <v>4.2300000000000004</v>
      </c>
      <c r="G72" s="64">
        <v>37.49</v>
      </c>
      <c r="H72" s="64">
        <v>11.78</v>
      </c>
      <c r="I72" s="64">
        <v>2.13</v>
      </c>
      <c r="J72" s="64">
        <v>0.16</v>
      </c>
      <c r="K72" s="64">
        <v>338.67</v>
      </c>
      <c r="L72" s="64">
        <v>26.79</v>
      </c>
      <c r="M72" s="64">
        <v>94.51</v>
      </c>
      <c r="N72" s="64">
        <v>91.5</v>
      </c>
      <c r="O72" s="64">
        <v>0</v>
      </c>
      <c r="P72" s="64">
        <v>0.53</v>
      </c>
      <c r="Q72" s="64">
        <v>9.69</v>
      </c>
      <c r="R72" s="198"/>
      <c r="S72" s="198"/>
      <c r="T72" s="198"/>
      <c r="U72" s="198"/>
    </row>
    <row r="73" spans="1:21" s="12" customFormat="1" x14ac:dyDescent="0.25">
      <c r="A73" s="214" t="s">
        <v>1461</v>
      </c>
      <c r="B73" s="64">
        <v>4.3</v>
      </c>
      <c r="C73" s="64">
        <v>3.24</v>
      </c>
      <c r="D73" s="64">
        <v>7.33</v>
      </c>
      <c r="E73" s="64">
        <v>4.42</v>
      </c>
      <c r="F73" s="64">
        <v>3.71</v>
      </c>
      <c r="G73" s="64">
        <v>37.49</v>
      </c>
      <c r="H73" s="64">
        <v>11.78</v>
      </c>
      <c r="I73" s="64">
        <v>2.34</v>
      </c>
      <c r="J73" s="64">
        <v>0.13</v>
      </c>
      <c r="K73" s="64">
        <v>350.82</v>
      </c>
      <c r="L73" s="64">
        <v>26.42</v>
      </c>
      <c r="M73" s="64">
        <v>90.45</v>
      </c>
      <c r="N73" s="64">
        <v>119.7</v>
      </c>
      <c r="O73" s="64">
        <v>0</v>
      </c>
      <c r="P73" s="64">
        <v>0.53</v>
      </c>
      <c r="Q73" s="64">
        <v>9.64</v>
      </c>
      <c r="R73" s="198"/>
      <c r="S73" s="198"/>
      <c r="T73" s="198"/>
      <c r="U73" s="198"/>
    </row>
    <row r="74" spans="1:21" s="12" customFormat="1" x14ac:dyDescent="0.25">
      <c r="A74" s="214" t="s">
        <v>1462</v>
      </c>
      <c r="B74" s="64">
        <v>4.28</v>
      </c>
      <c r="C74" s="64">
        <v>3.18</v>
      </c>
      <c r="D74" s="64">
        <v>7.29</v>
      </c>
      <c r="E74" s="64">
        <v>4.74</v>
      </c>
      <c r="F74" s="64">
        <v>4.75</v>
      </c>
      <c r="G74" s="64">
        <v>37.979999999999997</v>
      </c>
      <c r="H74" s="64">
        <v>11.96</v>
      </c>
      <c r="I74" s="64">
        <v>2.38</v>
      </c>
      <c r="J74" s="64">
        <v>0.12</v>
      </c>
      <c r="K74" s="64">
        <v>317.17</v>
      </c>
      <c r="L74" s="64">
        <v>26.32</v>
      </c>
      <c r="M74" s="64">
        <v>90.74</v>
      </c>
      <c r="N74" s="64">
        <v>91.6</v>
      </c>
      <c r="O74" s="64">
        <v>0</v>
      </c>
      <c r="P74" s="64">
        <v>0.52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1463</v>
      </c>
      <c r="B75" s="64">
        <v>4.26</v>
      </c>
      <c r="C75" s="64">
        <v>3.12</v>
      </c>
      <c r="D75" s="64">
        <v>7.24</v>
      </c>
      <c r="E75" s="64">
        <v>4.3600000000000003</v>
      </c>
      <c r="F75" s="64">
        <v>3.53</v>
      </c>
      <c r="G75" s="64">
        <v>38.76</v>
      </c>
      <c r="H75" s="64">
        <v>12.14</v>
      </c>
      <c r="I75" s="64">
        <v>2.35</v>
      </c>
      <c r="J75" s="64">
        <v>0.13</v>
      </c>
      <c r="K75" s="64">
        <v>326.16000000000003</v>
      </c>
      <c r="L75" s="64">
        <v>26.17</v>
      </c>
      <c r="M75" s="64">
        <v>93.47</v>
      </c>
      <c r="N75" s="64">
        <v>89.2</v>
      </c>
      <c r="O75" s="64">
        <v>0</v>
      </c>
      <c r="P75" s="64">
        <v>0.52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4" t="s">
        <v>1464</v>
      </c>
      <c r="B76" s="64">
        <v>4.25</v>
      </c>
      <c r="C76" s="64">
        <v>3.15</v>
      </c>
      <c r="D76" s="64">
        <v>7.25</v>
      </c>
      <c r="E76" s="64">
        <v>4.3099999999999996</v>
      </c>
      <c r="F76" s="64">
        <v>4.49</v>
      </c>
      <c r="G76" s="64">
        <v>38.76</v>
      </c>
      <c r="H76" s="64">
        <v>12.14</v>
      </c>
      <c r="I76" s="64">
        <v>2.3199999999999998</v>
      </c>
      <c r="J76" s="64">
        <v>0.1</v>
      </c>
      <c r="K76" s="64">
        <v>309.66000000000003</v>
      </c>
      <c r="L76" s="64">
        <v>26.29</v>
      </c>
      <c r="M76" s="64">
        <v>93.62</v>
      </c>
      <c r="N76" s="64">
        <v>102.8</v>
      </c>
      <c r="O76" s="64">
        <v>0</v>
      </c>
      <c r="P76" s="64">
        <v>0.51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4" t="s">
        <v>1465</v>
      </c>
      <c r="B77" s="64">
        <v>4.25</v>
      </c>
      <c r="C77" s="64">
        <v>3.15</v>
      </c>
      <c r="D77" s="64">
        <v>7.24</v>
      </c>
      <c r="E77" s="64">
        <v>4.6399999999999997</v>
      </c>
      <c r="F77" s="64">
        <v>2.74</v>
      </c>
      <c r="G77" s="64">
        <v>38.76</v>
      </c>
      <c r="H77" s="64">
        <v>12.14</v>
      </c>
      <c r="I77" s="64">
        <v>2.2799999999999998</v>
      </c>
      <c r="J77" s="64">
        <v>0.2</v>
      </c>
      <c r="K77" s="64">
        <v>326.97000000000003</v>
      </c>
      <c r="L77" s="64">
        <v>26.76</v>
      </c>
      <c r="M77" s="64">
        <v>91.44</v>
      </c>
      <c r="N77" s="64">
        <v>85</v>
      </c>
      <c r="O77" s="64">
        <v>0</v>
      </c>
      <c r="P77" s="64">
        <v>0.5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4" t="s">
        <v>1466</v>
      </c>
      <c r="B78" s="64">
        <v>4.2300000000000004</v>
      </c>
      <c r="C78" s="64">
        <v>3.16</v>
      </c>
      <c r="D78" s="64">
        <v>7.24</v>
      </c>
      <c r="E78" s="64">
        <v>4.5</v>
      </c>
      <c r="F78" s="64">
        <v>4.37</v>
      </c>
      <c r="G78" s="64">
        <v>38.409999999999997</v>
      </c>
      <c r="H78" s="64">
        <v>12.73</v>
      </c>
      <c r="I78" s="64">
        <v>2.2400000000000002</v>
      </c>
      <c r="J78" s="64">
        <v>0.53</v>
      </c>
      <c r="K78" s="64">
        <v>325.56</v>
      </c>
      <c r="L78" s="64">
        <v>26.96</v>
      </c>
      <c r="M78" s="64">
        <v>91.22</v>
      </c>
      <c r="N78" s="64">
        <v>78.8</v>
      </c>
      <c r="O78" s="64">
        <v>0</v>
      </c>
      <c r="P78" s="64">
        <v>0.52</v>
      </c>
      <c r="Q78" s="64">
        <v>9.58</v>
      </c>
      <c r="R78" s="198"/>
      <c r="S78" s="198"/>
      <c r="T78" s="198"/>
      <c r="U78" s="198"/>
    </row>
    <row r="79" spans="1:21" s="12" customFormat="1" x14ac:dyDescent="0.25">
      <c r="A79" s="214" t="s">
        <v>1467</v>
      </c>
      <c r="B79" s="64">
        <v>4.2300000000000004</v>
      </c>
      <c r="C79" s="64">
        <v>3.16</v>
      </c>
      <c r="D79" s="64">
        <v>7.23</v>
      </c>
      <c r="E79" s="64">
        <v>4.6900000000000004</v>
      </c>
      <c r="F79" s="64">
        <v>2.5299999999999998</v>
      </c>
      <c r="G79" s="64">
        <v>37.86</v>
      </c>
      <c r="H79" s="64">
        <v>14.33</v>
      </c>
      <c r="I79" s="64">
        <v>2.09</v>
      </c>
      <c r="J79" s="64">
        <v>0.32</v>
      </c>
      <c r="K79" s="64">
        <v>313.64</v>
      </c>
      <c r="L79" s="64">
        <v>26.86</v>
      </c>
      <c r="M79" s="64">
        <v>88.1</v>
      </c>
      <c r="N79" s="64">
        <v>72.400000000000006</v>
      </c>
      <c r="O79" s="64">
        <v>0</v>
      </c>
      <c r="P79" s="64">
        <v>0.52</v>
      </c>
      <c r="Q79" s="64">
        <v>9.57</v>
      </c>
      <c r="R79" s="198"/>
      <c r="S79" s="198"/>
      <c r="T79" s="198"/>
      <c r="U79" s="198"/>
    </row>
    <row r="80" spans="1:21" s="12" customFormat="1" x14ac:dyDescent="0.25">
      <c r="A80" s="214" t="s">
        <v>1468</v>
      </c>
      <c r="B80" s="64">
        <v>4.26</v>
      </c>
      <c r="C80" s="64">
        <v>3.21</v>
      </c>
      <c r="D80" s="64">
        <v>7.28</v>
      </c>
      <c r="E80" s="64">
        <v>4.57</v>
      </c>
      <c r="F80" s="64">
        <v>4.45</v>
      </c>
      <c r="G80" s="64">
        <v>37.86</v>
      </c>
      <c r="H80" s="64">
        <v>14.33</v>
      </c>
      <c r="I80" s="64">
        <v>1.98</v>
      </c>
      <c r="J80" s="64">
        <v>0.23</v>
      </c>
      <c r="K80" s="64">
        <v>324.98</v>
      </c>
      <c r="L80" s="64">
        <v>26.62</v>
      </c>
      <c r="M80" s="64">
        <v>89.94</v>
      </c>
      <c r="N80" s="64">
        <v>52.7</v>
      </c>
      <c r="O80" s="64">
        <v>0</v>
      </c>
      <c r="P80" s="64">
        <v>0.53</v>
      </c>
      <c r="Q80" s="64">
        <v>9.57</v>
      </c>
      <c r="R80" s="198"/>
      <c r="S80" s="198"/>
      <c r="T80" s="198"/>
      <c r="U80" s="198"/>
    </row>
    <row r="81" spans="1:26" s="12" customFormat="1" x14ac:dyDescent="0.25">
      <c r="A81" s="214" t="s">
        <v>1469</v>
      </c>
      <c r="B81" s="64">
        <v>4.2699999999999996</v>
      </c>
      <c r="C81" s="64">
        <v>3.19</v>
      </c>
      <c r="D81" s="64">
        <v>7.28</v>
      </c>
      <c r="E81" s="64">
        <v>4.45</v>
      </c>
      <c r="F81" s="64">
        <v>3.62</v>
      </c>
      <c r="G81" s="64">
        <v>37.86</v>
      </c>
      <c r="H81" s="64">
        <v>14.33</v>
      </c>
      <c r="I81" s="64">
        <v>2.04</v>
      </c>
      <c r="J81" s="64">
        <v>0.19</v>
      </c>
      <c r="K81" s="64">
        <v>344.7</v>
      </c>
      <c r="L81" s="64">
        <v>26.24</v>
      </c>
      <c r="M81" s="64">
        <v>92.48</v>
      </c>
      <c r="N81" s="64">
        <v>43.2</v>
      </c>
      <c r="O81" s="64">
        <v>0</v>
      </c>
      <c r="P81" s="64">
        <v>0.52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4" t="s">
        <v>1470</v>
      </c>
      <c r="B82" s="64">
        <v>4.3</v>
      </c>
      <c r="C82" s="64">
        <v>3.19</v>
      </c>
      <c r="D82" s="64">
        <v>7.3</v>
      </c>
      <c r="E82" s="64">
        <v>4.76</v>
      </c>
      <c r="F82" s="64">
        <v>3.62</v>
      </c>
      <c r="G82" s="64">
        <v>37.869999999999997</v>
      </c>
      <c r="H82" s="64">
        <v>10.42</v>
      </c>
      <c r="I82" s="64">
        <v>1.95</v>
      </c>
      <c r="J82" s="64">
        <v>0.14000000000000001</v>
      </c>
      <c r="K82" s="64">
        <v>352.41</v>
      </c>
      <c r="L82" s="64">
        <v>26.02</v>
      </c>
      <c r="M82" s="64">
        <v>94.03</v>
      </c>
      <c r="N82" s="64">
        <v>38.5</v>
      </c>
      <c r="O82" s="64">
        <v>0</v>
      </c>
      <c r="P82" s="64">
        <v>0.53</v>
      </c>
      <c r="Q82" s="64">
        <v>9.59</v>
      </c>
      <c r="R82" s="198"/>
      <c r="S82" s="198"/>
      <c r="T82" s="198"/>
      <c r="U82" s="198"/>
    </row>
    <row r="83" spans="1:26" s="12" customFormat="1" x14ac:dyDescent="0.25">
      <c r="A83" s="214" t="s">
        <v>1471</v>
      </c>
      <c r="B83" s="64">
        <v>4.3</v>
      </c>
      <c r="C83" s="64">
        <v>3.18</v>
      </c>
      <c r="D83" s="64">
        <v>7.3</v>
      </c>
      <c r="E83" s="64">
        <v>4.58</v>
      </c>
      <c r="F83" s="64">
        <v>3.46</v>
      </c>
      <c r="G83" s="64">
        <v>37.880000000000003</v>
      </c>
      <c r="H83" s="64">
        <v>6.86</v>
      </c>
      <c r="I83" s="64">
        <v>1.82</v>
      </c>
      <c r="J83" s="64">
        <v>0.19</v>
      </c>
      <c r="K83" s="64">
        <v>348.79</v>
      </c>
      <c r="L83" s="64">
        <v>25.9</v>
      </c>
      <c r="M83" s="64">
        <v>94.34</v>
      </c>
      <c r="N83" s="64">
        <v>38.1</v>
      </c>
      <c r="O83" s="64">
        <v>0</v>
      </c>
      <c r="P83" s="64">
        <v>0.54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4" t="s">
        <v>1472</v>
      </c>
      <c r="B84" s="64">
        <v>4.3</v>
      </c>
      <c r="C84" s="64">
        <v>3.24</v>
      </c>
      <c r="D84" s="64">
        <v>7.33</v>
      </c>
      <c r="E84" s="64">
        <v>4.6100000000000003</v>
      </c>
      <c r="F84" s="64">
        <v>3.41</v>
      </c>
      <c r="G84" s="64">
        <v>37.880000000000003</v>
      </c>
      <c r="H84" s="64">
        <v>6.86</v>
      </c>
      <c r="I84" s="64">
        <v>1.84</v>
      </c>
      <c r="J84" s="64">
        <v>0.23</v>
      </c>
      <c r="K84" s="64">
        <v>333.86</v>
      </c>
      <c r="L84" s="64">
        <v>25.69</v>
      </c>
      <c r="M84" s="64">
        <v>94.96</v>
      </c>
      <c r="N84" s="64">
        <v>38.1</v>
      </c>
      <c r="O84" s="64">
        <v>0</v>
      </c>
      <c r="P84" s="64">
        <v>0.55000000000000004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4" t="s">
        <v>1473</v>
      </c>
      <c r="B85" s="64">
        <v>4.3099999999999996</v>
      </c>
      <c r="C85" s="64">
        <v>3.18</v>
      </c>
      <c r="D85" s="64">
        <v>7.31</v>
      </c>
      <c r="E85" s="64">
        <v>4.95</v>
      </c>
      <c r="F85" s="64">
        <v>3.51</v>
      </c>
      <c r="G85" s="64">
        <v>37.880000000000003</v>
      </c>
      <c r="H85" s="64">
        <v>6.86</v>
      </c>
      <c r="I85" s="64">
        <v>1.91</v>
      </c>
      <c r="J85" s="64">
        <v>0.21</v>
      </c>
      <c r="K85" s="64">
        <v>331.87</v>
      </c>
      <c r="L85" s="64">
        <v>25.66</v>
      </c>
      <c r="M85" s="64">
        <v>95.66</v>
      </c>
      <c r="N85" s="64">
        <v>37.799999999999997</v>
      </c>
      <c r="O85" s="64">
        <v>0</v>
      </c>
      <c r="P85" s="64">
        <v>0.46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4" t="s">
        <v>1474</v>
      </c>
      <c r="B86" s="64">
        <v>4.29</v>
      </c>
      <c r="C86" s="64">
        <v>3.16</v>
      </c>
      <c r="D86" s="64">
        <v>7.28</v>
      </c>
      <c r="E86" s="64">
        <v>4.8099999999999996</v>
      </c>
      <c r="F86" s="64">
        <v>3.98</v>
      </c>
      <c r="G86" s="64">
        <v>37.880000000000003</v>
      </c>
      <c r="H86" s="64">
        <v>4.99</v>
      </c>
      <c r="I86" s="64">
        <v>1.94</v>
      </c>
      <c r="J86" s="64">
        <v>0.2</v>
      </c>
      <c r="K86" s="64">
        <v>333.8</v>
      </c>
      <c r="L86" s="64">
        <v>25.52</v>
      </c>
      <c r="M86" s="64">
        <v>97.11</v>
      </c>
      <c r="N86" s="64">
        <v>37.799999999999997</v>
      </c>
      <c r="O86" s="64">
        <v>0</v>
      </c>
      <c r="P86" s="64">
        <v>0.5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14" t="s">
        <v>1475</v>
      </c>
      <c r="B87" s="64">
        <v>4.29</v>
      </c>
      <c r="C87" s="64">
        <v>3.12</v>
      </c>
      <c r="D87" s="64">
        <v>7.26</v>
      </c>
      <c r="E87" s="64">
        <v>4.8099999999999996</v>
      </c>
      <c r="F87" s="64">
        <v>3.39</v>
      </c>
      <c r="G87" s="64">
        <v>37.880000000000003</v>
      </c>
      <c r="H87" s="64">
        <v>3.29</v>
      </c>
      <c r="I87" s="64">
        <v>1.99</v>
      </c>
      <c r="J87" s="64">
        <v>0.26</v>
      </c>
      <c r="K87" s="64">
        <v>329.44</v>
      </c>
      <c r="L87" s="64">
        <v>25.52</v>
      </c>
      <c r="M87" s="64">
        <v>96.62</v>
      </c>
      <c r="N87" s="64">
        <v>37.700000000000003</v>
      </c>
      <c r="O87" s="64">
        <v>0</v>
      </c>
      <c r="P87" s="64">
        <v>0.5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4" t="s">
        <v>1476</v>
      </c>
      <c r="B88" s="64">
        <v>4.3099999999999996</v>
      </c>
      <c r="C88" s="64">
        <v>3.2</v>
      </c>
      <c r="D88" s="64">
        <v>7.32</v>
      </c>
      <c r="E88" s="64">
        <v>3.41</v>
      </c>
      <c r="F88" s="64">
        <v>3.31</v>
      </c>
      <c r="G88" s="64">
        <v>37.880000000000003</v>
      </c>
      <c r="H88" s="64">
        <v>3.29</v>
      </c>
      <c r="I88" s="64">
        <v>2.0699999999999998</v>
      </c>
      <c r="J88" s="64">
        <v>0.3</v>
      </c>
      <c r="K88" s="64">
        <v>325.56</v>
      </c>
      <c r="L88" s="64">
        <v>25.51</v>
      </c>
      <c r="M88" s="64">
        <v>94.46</v>
      </c>
      <c r="N88" s="64">
        <v>37.799999999999997</v>
      </c>
      <c r="O88" s="64">
        <v>0</v>
      </c>
      <c r="P88" s="64">
        <v>0.51</v>
      </c>
      <c r="Q88" s="64">
        <v>9.7200000000000006</v>
      </c>
      <c r="R88" s="198"/>
      <c r="S88" s="198"/>
      <c r="T88" s="198"/>
      <c r="U88" s="198"/>
    </row>
    <row r="89" spans="1:26" s="12" customFormat="1" x14ac:dyDescent="0.25">
      <c r="A89" s="214" t="s">
        <v>1477</v>
      </c>
      <c r="B89" s="64">
        <v>4.2699999999999996</v>
      </c>
      <c r="C89" s="64">
        <v>3.18</v>
      </c>
      <c r="D89" s="64">
        <v>7.28</v>
      </c>
      <c r="E89" s="64">
        <v>3.84</v>
      </c>
      <c r="F89" s="64">
        <v>4.43</v>
      </c>
      <c r="G89" s="64">
        <v>37.880000000000003</v>
      </c>
      <c r="H89" s="64">
        <v>3.29</v>
      </c>
      <c r="I89" s="64">
        <v>2.13</v>
      </c>
      <c r="J89" s="64">
        <v>0.24</v>
      </c>
      <c r="K89" s="64">
        <v>335.6</v>
      </c>
      <c r="L89" s="64">
        <v>25.36</v>
      </c>
      <c r="M89" s="64">
        <v>94.81</v>
      </c>
      <c r="N89" s="64">
        <v>37.799999999999997</v>
      </c>
      <c r="O89" s="64">
        <v>0</v>
      </c>
      <c r="P89" s="64">
        <v>0.53</v>
      </c>
      <c r="Q89" s="64">
        <v>9.73</v>
      </c>
      <c r="R89" s="198"/>
      <c r="S89" s="198"/>
      <c r="T89" s="198"/>
      <c r="U89" s="198"/>
    </row>
    <row r="90" spans="1:26" s="12" customFormat="1" x14ac:dyDescent="0.25">
      <c r="A90" s="214" t="s">
        <v>1478</v>
      </c>
      <c r="B90" s="64">
        <v>4.26</v>
      </c>
      <c r="C90" s="64">
        <v>3.18</v>
      </c>
      <c r="D90" s="64">
        <v>7.27</v>
      </c>
      <c r="E90" s="64">
        <v>3.89</v>
      </c>
      <c r="F90" s="64">
        <v>3.46</v>
      </c>
      <c r="G90" s="64">
        <v>40.35</v>
      </c>
      <c r="H90" s="64">
        <v>2.4300000000000002</v>
      </c>
      <c r="I90" s="64">
        <v>2.14</v>
      </c>
      <c r="J90" s="64">
        <v>0.19</v>
      </c>
      <c r="K90" s="64">
        <v>344.65</v>
      </c>
      <c r="L90" s="64">
        <v>25.36</v>
      </c>
      <c r="M90" s="64">
        <v>94.72</v>
      </c>
      <c r="N90" s="64">
        <v>37.799999999999997</v>
      </c>
      <c r="O90" s="64">
        <v>0</v>
      </c>
      <c r="P90" s="64">
        <v>0.54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4" t="s">
        <v>1479</v>
      </c>
      <c r="B91" s="64">
        <v>4.25</v>
      </c>
      <c r="C91" s="64">
        <v>3.16</v>
      </c>
      <c r="D91" s="64">
        <v>7.25</v>
      </c>
      <c r="E91" s="64">
        <v>3.94</v>
      </c>
      <c r="F91" s="64">
        <v>3.83</v>
      </c>
      <c r="G91" s="64">
        <v>44.25</v>
      </c>
      <c r="H91" s="64">
        <v>1.65</v>
      </c>
      <c r="I91" s="64">
        <v>2.13</v>
      </c>
      <c r="J91" s="64">
        <v>0.15</v>
      </c>
      <c r="K91" s="64">
        <v>324.95</v>
      </c>
      <c r="L91" s="64">
        <v>25.24</v>
      </c>
      <c r="M91" s="64">
        <v>96.15</v>
      </c>
      <c r="N91" s="64">
        <v>37.799999999999997</v>
      </c>
      <c r="O91" s="64">
        <v>0</v>
      </c>
      <c r="P91" s="64">
        <v>0.55000000000000004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4" t="s">
        <v>1480</v>
      </c>
      <c r="B92" s="64">
        <v>4.2699999999999996</v>
      </c>
      <c r="C92" s="64">
        <v>3.21</v>
      </c>
      <c r="D92" s="64">
        <v>7.29</v>
      </c>
      <c r="E92" s="64">
        <v>3.94</v>
      </c>
      <c r="F92" s="64">
        <v>3.82</v>
      </c>
      <c r="G92" s="64">
        <v>44.25</v>
      </c>
      <c r="H92" s="64">
        <v>1.65</v>
      </c>
      <c r="I92" s="64">
        <v>2.15</v>
      </c>
      <c r="J92" s="64">
        <v>0.23</v>
      </c>
      <c r="K92" s="64">
        <v>330.1</v>
      </c>
      <c r="L92" s="64">
        <v>25.11</v>
      </c>
      <c r="M92" s="64">
        <v>97.52</v>
      </c>
      <c r="N92" s="64">
        <v>37.799999999999997</v>
      </c>
      <c r="O92" s="64">
        <v>0</v>
      </c>
      <c r="P92" s="64">
        <v>0.56999999999999995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4" t="s">
        <v>1481</v>
      </c>
      <c r="B93" s="64">
        <v>4.26</v>
      </c>
      <c r="C93" s="64">
        <v>3.2</v>
      </c>
      <c r="D93" s="64">
        <v>7.28</v>
      </c>
      <c r="E93" s="64">
        <v>3.8</v>
      </c>
      <c r="F93" s="64">
        <v>2.44</v>
      </c>
      <c r="G93" s="64">
        <v>44.25</v>
      </c>
      <c r="H93" s="64">
        <v>1.65</v>
      </c>
      <c r="I93" s="64">
        <v>2.2200000000000002</v>
      </c>
      <c r="J93" s="64">
        <v>0.17</v>
      </c>
      <c r="K93" s="64">
        <v>336.27</v>
      </c>
      <c r="L93" s="64">
        <v>25.03</v>
      </c>
      <c r="M93" s="64">
        <v>98.68</v>
      </c>
      <c r="N93" s="64">
        <v>37.799999999999997</v>
      </c>
      <c r="O93" s="64">
        <v>0</v>
      </c>
      <c r="P93" s="64">
        <v>0.57999999999999996</v>
      </c>
      <c r="Q93" s="64">
        <v>9.67</v>
      </c>
      <c r="R93" s="198"/>
      <c r="S93" s="198"/>
      <c r="T93" s="198"/>
      <c r="U93" s="198"/>
    </row>
    <row r="94" spans="1:26" s="12" customFormat="1" x14ac:dyDescent="0.25">
      <c r="A94" s="214" t="s">
        <v>1482</v>
      </c>
      <c r="B94" s="64">
        <v>4.28</v>
      </c>
      <c r="C94" s="64">
        <v>3.21</v>
      </c>
      <c r="D94" s="64">
        <v>7.31</v>
      </c>
      <c r="E94" s="64">
        <v>3.94</v>
      </c>
      <c r="F94" s="64">
        <v>3.99</v>
      </c>
      <c r="G94" s="64">
        <v>45.97</v>
      </c>
      <c r="H94" s="64">
        <v>7.79</v>
      </c>
      <c r="I94" s="64">
        <v>2.3199999999999998</v>
      </c>
      <c r="J94" s="64">
        <v>0.21</v>
      </c>
      <c r="K94" s="64">
        <v>326.3</v>
      </c>
      <c r="L94" s="64">
        <v>25.04</v>
      </c>
      <c r="M94" s="64">
        <v>98.78</v>
      </c>
      <c r="N94" s="64">
        <v>37.799999999999997</v>
      </c>
      <c r="O94" s="64">
        <v>0</v>
      </c>
      <c r="P94" s="64">
        <v>0.6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4" t="s">
        <v>1483</v>
      </c>
      <c r="B95" s="64">
        <v>4.28</v>
      </c>
      <c r="C95" s="64">
        <v>3.22</v>
      </c>
      <c r="D95" s="64">
        <v>7.31</v>
      </c>
      <c r="E95" s="64">
        <v>3.72</v>
      </c>
      <c r="F95" s="64">
        <v>2.5499999999999998</v>
      </c>
      <c r="G95" s="64">
        <v>48.69</v>
      </c>
      <c r="H95" s="64">
        <v>24.17</v>
      </c>
      <c r="I95" s="64">
        <v>2.41</v>
      </c>
      <c r="J95" s="64">
        <v>0.28000000000000003</v>
      </c>
      <c r="K95" s="64">
        <v>323.52999999999997</v>
      </c>
      <c r="L95" s="64">
        <v>25</v>
      </c>
      <c r="M95" s="64">
        <v>99.37</v>
      </c>
      <c r="N95" s="64">
        <v>37.799999999999997</v>
      </c>
      <c r="O95" s="64">
        <v>0</v>
      </c>
      <c r="P95" s="64">
        <v>0.6</v>
      </c>
      <c r="Q95" s="64">
        <v>9.6999999999999993</v>
      </c>
      <c r="R95" s="198"/>
      <c r="S95" s="198"/>
      <c r="T95" s="198"/>
      <c r="U95" s="198"/>
    </row>
    <row r="96" spans="1:26" s="12" customFormat="1" x14ac:dyDescent="0.25">
      <c r="A96" s="214" t="s">
        <v>1484</v>
      </c>
      <c r="B96" s="64">
        <v>4.24</v>
      </c>
      <c r="C96" s="64">
        <v>3.14</v>
      </c>
      <c r="D96" s="64">
        <v>7.23</v>
      </c>
      <c r="E96" s="64">
        <v>3.75</v>
      </c>
      <c r="F96" s="64">
        <v>3.92</v>
      </c>
      <c r="G96" s="64">
        <v>48.69</v>
      </c>
      <c r="H96" s="64">
        <v>24.17</v>
      </c>
      <c r="I96" s="64">
        <v>2.48</v>
      </c>
      <c r="J96" s="64">
        <v>0.18</v>
      </c>
      <c r="K96" s="64">
        <v>333.48</v>
      </c>
      <c r="L96" s="64">
        <v>25.02</v>
      </c>
      <c r="M96" s="64">
        <v>99.68</v>
      </c>
      <c r="N96" s="64">
        <v>37.799999999999997</v>
      </c>
      <c r="O96" s="64">
        <v>0</v>
      </c>
      <c r="P96" s="64">
        <v>0.61</v>
      </c>
      <c r="Q96" s="64">
        <v>9.73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1485</v>
      </c>
      <c r="B97" s="64">
        <v>4.25</v>
      </c>
      <c r="C97" s="64">
        <v>3.15</v>
      </c>
      <c r="D97" s="64">
        <v>7.25</v>
      </c>
      <c r="E97" s="64">
        <v>3.35</v>
      </c>
      <c r="F97" s="64">
        <v>3.06</v>
      </c>
      <c r="G97" s="64">
        <v>48.69</v>
      </c>
      <c r="H97" s="64">
        <v>24.17</v>
      </c>
      <c r="I97" s="64">
        <v>2.52</v>
      </c>
      <c r="J97" s="64">
        <v>0.21</v>
      </c>
      <c r="K97" s="64">
        <v>336.29</v>
      </c>
      <c r="L97" s="64">
        <v>25.02</v>
      </c>
      <c r="M97" s="64">
        <v>99.82</v>
      </c>
      <c r="N97" s="64">
        <v>37.799999999999997</v>
      </c>
      <c r="O97" s="64">
        <v>0</v>
      </c>
      <c r="P97" s="64">
        <v>0.6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14" t="s">
        <v>1486</v>
      </c>
      <c r="B98" s="64">
        <v>4.3099999999999996</v>
      </c>
      <c r="C98" s="64">
        <v>3.23</v>
      </c>
      <c r="D98" s="64">
        <v>7.33</v>
      </c>
      <c r="E98" s="64">
        <v>3.51</v>
      </c>
      <c r="F98" s="64">
        <v>3.39</v>
      </c>
      <c r="G98" s="64">
        <v>46.61</v>
      </c>
      <c r="H98" s="64">
        <v>19.93</v>
      </c>
      <c r="I98" s="64">
        <v>2.52</v>
      </c>
      <c r="J98" s="64">
        <v>0.13</v>
      </c>
      <c r="K98" s="64">
        <v>348.1</v>
      </c>
      <c r="L98" s="64">
        <v>25.06</v>
      </c>
      <c r="M98" s="64">
        <v>99.73</v>
      </c>
      <c r="N98" s="64">
        <v>37.799999999999997</v>
      </c>
      <c r="O98" s="64">
        <v>0</v>
      </c>
      <c r="P98" s="64">
        <v>0.59</v>
      </c>
      <c r="Q98" s="64">
        <v>9.77</v>
      </c>
      <c r="R98" s="198"/>
      <c r="S98" s="198"/>
      <c r="T98" s="198"/>
      <c r="U98" s="198"/>
    </row>
    <row r="99" spans="1:33" s="12" customFormat="1" x14ac:dyDescent="0.25">
      <c r="A99" s="214" t="s">
        <v>1487</v>
      </c>
      <c r="B99" s="64">
        <v>4.32</v>
      </c>
      <c r="C99" s="64">
        <v>3.24</v>
      </c>
      <c r="D99" s="64">
        <v>7.35</v>
      </c>
      <c r="E99" s="64">
        <v>3.68</v>
      </c>
      <c r="F99" s="64">
        <v>3.78</v>
      </c>
      <c r="G99" s="64">
        <v>43.34</v>
      </c>
      <c r="H99" s="64">
        <v>16.05</v>
      </c>
      <c r="I99" s="64">
        <v>2.4900000000000002</v>
      </c>
      <c r="J99" s="64">
        <v>0.16</v>
      </c>
      <c r="K99" s="64">
        <v>340.28</v>
      </c>
      <c r="L99" s="64">
        <v>25.05</v>
      </c>
      <c r="M99" s="64">
        <v>99.62</v>
      </c>
      <c r="N99" s="64">
        <v>37.9</v>
      </c>
      <c r="O99" s="64">
        <v>0</v>
      </c>
      <c r="P99" s="64">
        <v>0.59</v>
      </c>
      <c r="Q99" s="64">
        <v>9.8000000000000007</v>
      </c>
      <c r="R99" s="198"/>
      <c r="S99" s="198"/>
      <c r="T99" s="198"/>
      <c r="U99" s="198"/>
    </row>
    <row r="100" spans="1:33" s="12" customFormat="1" x14ac:dyDescent="0.25">
      <c r="A100" s="214" t="s">
        <v>1488</v>
      </c>
      <c r="B100" s="64">
        <v>4.3099999999999996</v>
      </c>
      <c r="C100" s="64">
        <v>3.25</v>
      </c>
      <c r="D100" s="64">
        <v>7.34</v>
      </c>
      <c r="E100" s="64">
        <v>3.44</v>
      </c>
      <c r="F100" s="64">
        <v>3.5</v>
      </c>
      <c r="G100" s="64">
        <v>43.34</v>
      </c>
      <c r="H100" s="64">
        <v>16.05</v>
      </c>
      <c r="I100" s="64">
        <v>2.46</v>
      </c>
      <c r="J100" s="64">
        <v>0.11</v>
      </c>
      <c r="K100" s="64">
        <v>336</v>
      </c>
      <c r="L100" s="64">
        <v>24.97</v>
      </c>
      <c r="M100" s="64">
        <v>99.95</v>
      </c>
      <c r="N100" s="64">
        <v>38</v>
      </c>
      <c r="O100" s="64">
        <v>0</v>
      </c>
      <c r="P100" s="64">
        <v>0.57999999999999996</v>
      </c>
      <c r="Q100" s="64">
        <v>9.8000000000000007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1489</v>
      </c>
      <c r="B101" s="64">
        <v>4.29</v>
      </c>
      <c r="C101" s="64">
        <v>3.22</v>
      </c>
      <c r="D101" s="64">
        <v>7.31</v>
      </c>
      <c r="E101" s="64">
        <v>3.64</v>
      </c>
      <c r="F101" s="64">
        <v>3.41</v>
      </c>
      <c r="G101" s="64">
        <v>43.34</v>
      </c>
      <c r="H101" s="64">
        <v>16.05</v>
      </c>
      <c r="I101" s="64">
        <v>2.48</v>
      </c>
      <c r="J101" s="64">
        <v>0.08</v>
      </c>
      <c r="K101" s="64">
        <v>353.23</v>
      </c>
      <c r="L101" s="64">
        <v>24.81</v>
      </c>
      <c r="M101" s="64">
        <v>101.19</v>
      </c>
      <c r="N101" s="64">
        <v>37.9</v>
      </c>
      <c r="O101" s="64">
        <v>0</v>
      </c>
      <c r="P101" s="64">
        <v>0.59</v>
      </c>
      <c r="Q101" s="64">
        <v>9.81</v>
      </c>
      <c r="R101" s="198"/>
      <c r="S101" s="198"/>
      <c r="T101" s="198"/>
      <c r="U101" s="198"/>
    </row>
    <row r="102" spans="1:33" s="12" customFormat="1" x14ac:dyDescent="0.25">
      <c r="A102" s="214" t="s">
        <v>1490</v>
      </c>
      <c r="B102" s="64">
        <v>4.3</v>
      </c>
      <c r="C102" s="64">
        <v>3.19</v>
      </c>
      <c r="D102" s="64">
        <v>7.3</v>
      </c>
      <c r="E102" s="64">
        <v>3.64</v>
      </c>
      <c r="F102" s="64">
        <v>3.53</v>
      </c>
      <c r="G102" s="64">
        <v>43.84</v>
      </c>
      <c r="H102" s="64">
        <v>15.37</v>
      </c>
      <c r="I102" s="64">
        <v>2.58</v>
      </c>
      <c r="J102" s="64">
        <v>0.15</v>
      </c>
      <c r="K102" s="64">
        <v>346.81</v>
      </c>
      <c r="L102" s="64">
        <v>24.71</v>
      </c>
      <c r="M102" s="64">
        <v>101.66</v>
      </c>
      <c r="N102" s="64">
        <v>37.799999999999997</v>
      </c>
      <c r="O102" s="64">
        <v>0</v>
      </c>
      <c r="P102" s="64">
        <v>0.57999999999999996</v>
      </c>
      <c r="Q102" s="64">
        <v>9.84</v>
      </c>
      <c r="R102" s="198"/>
      <c r="S102" s="198"/>
      <c r="T102" s="198"/>
      <c r="U102" s="198"/>
    </row>
    <row r="103" spans="1:33" s="12" customFormat="1" x14ac:dyDescent="0.25">
      <c r="A103" s="214" t="s">
        <v>1491</v>
      </c>
      <c r="B103" s="64">
        <v>4.29</v>
      </c>
      <c r="C103" s="64">
        <v>3.14</v>
      </c>
      <c r="D103" s="64">
        <v>7.27</v>
      </c>
      <c r="E103" s="64">
        <v>3.38</v>
      </c>
      <c r="F103" s="64">
        <v>3.22</v>
      </c>
      <c r="G103" s="64">
        <v>44.62</v>
      </c>
      <c r="H103" s="64">
        <v>14.75</v>
      </c>
      <c r="I103" s="64">
        <v>2.72</v>
      </c>
      <c r="J103" s="64">
        <v>0.15</v>
      </c>
      <c r="K103" s="64">
        <v>332.37</v>
      </c>
      <c r="L103" s="64">
        <v>24.61</v>
      </c>
      <c r="M103" s="64">
        <v>101.74</v>
      </c>
      <c r="N103" s="64">
        <v>37.799999999999997</v>
      </c>
      <c r="O103" s="64">
        <v>0</v>
      </c>
      <c r="P103" s="64">
        <v>0.56999999999999995</v>
      </c>
      <c r="Q103" s="64">
        <v>9.82</v>
      </c>
      <c r="R103" s="198"/>
      <c r="S103" s="198"/>
      <c r="T103" s="198"/>
      <c r="U103" s="198"/>
    </row>
    <row r="104" spans="1:33" s="12" customFormat="1" x14ac:dyDescent="0.25">
      <c r="A104" s="214" t="s">
        <v>1492</v>
      </c>
      <c r="B104" s="64">
        <v>4.28</v>
      </c>
      <c r="C104" s="64">
        <v>3.16</v>
      </c>
      <c r="D104" s="64">
        <v>7.28</v>
      </c>
      <c r="E104" s="64">
        <v>4.16</v>
      </c>
      <c r="F104" s="64">
        <v>3.19</v>
      </c>
      <c r="G104" s="64">
        <v>44.62</v>
      </c>
      <c r="H104" s="64">
        <v>14.75</v>
      </c>
      <c r="I104" s="64">
        <v>2.85</v>
      </c>
      <c r="J104" s="64">
        <v>0.21</v>
      </c>
      <c r="K104" s="64">
        <v>337.22</v>
      </c>
      <c r="L104" s="64">
        <v>24.61</v>
      </c>
      <c r="M104" s="64">
        <v>101.74</v>
      </c>
      <c r="N104" s="64">
        <v>37.799999999999997</v>
      </c>
      <c r="O104" s="64">
        <v>0</v>
      </c>
      <c r="P104" s="64">
        <v>0.56999999999999995</v>
      </c>
      <c r="Q104" s="64">
        <v>9.81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4.2300000000000004</v>
      </c>
      <c r="C106" s="67">
        <f>MIN(C9:C104)</f>
        <v>3.04</v>
      </c>
      <c r="D106" s="67">
        <f t="shared" ref="D106:Q106" si="0">MIN(D9:D104)</f>
        <v>7.18</v>
      </c>
      <c r="E106" s="67">
        <f t="shared" si="0"/>
        <v>3.13</v>
      </c>
      <c r="F106" s="67">
        <f t="shared" si="0"/>
        <v>2.44</v>
      </c>
      <c r="G106" s="67">
        <f t="shared" si="0"/>
        <v>11.47</v>
      </c>
      <c r="H106" s="67">
        <f t="shared" si="0"/>
        <v>1.62</v>
      </c>
      <c r="I106" s="67">
        <f t="shared" si="0"/>
        <v>1.45</v>
      </c>
      <c r="J106" s="67">
        <f t="shared" si="0"/>
        <v>0.02</v>
      </c>
      <c r="K106" s="67">
        <f t="shared" si="0"/>
        <v>1.41</v>
      </c>
      <c r="L106" s="67">
        <f t="shared" si="0"/>
        <v>23.79</v>
      </c>
      <c r="M106" s="67">
        <f t="shared" si="0"/>
        <v>62.25</v>
      </c>
      <c r="N106" s="67">
        <f t="shared" si="0"/>
        <v>37.700000000000003</v>
      </c>
      <c r="O106" s="67">
        <f t="shared" si="0"/>
        <v>0</v>
      </c>
      <c r="P106" s="67">
        <f t="shared" si="0"/>
        <v>0.28000000000000003</v>
      </c>
      <c r="Q106" s="67">
        <f t="shared" si="0"/>
        <v>9.56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4.33</v>
      </c>
      <c r="C107" s="66">
        <f t="shared" ref="C107:Q107" si="1">MAX(C9:C104)</f>
        <v>3.25</v>
      </c>
      <c r="D107" s="66">
        <f t="shared" si="1"/>
        <v>7.35</v>
      </c>
      <c r="E107" s="66">
        <f t="shared" si="1"/>
        <v>5.01</v>
      </c>
      <c r="F107" s="66">
        <f t="shared" si="1"/>
        <v>4.75</v>
      </c>
      <c r="G107" s="66">
        <f t="shared" si="1"/>
        <v>48.69</v>
      </c>
      <c r="H107" s="66">
        <f t="shared" si="1"/>
        <v>24.17</v>
      </c>
      <c r="I107" s="66">
        <f t="shared" si="1"/>
        <v>3.41</v>
      </c>
      <c r="J107" s="66">
        <f t="shared" si="1"/>
        <v>1.61</v>
      </c>
      <c r="K107" s="66">
        <f t="shared" si="1"/>
        <v>359.31</v>
      </c>
      <c r="L107" s="66">
        <f t="shared" si="1"/>
        <v>33.799999999999997</v>
      </c>
      <c r="M107" s="66">
        <f t="shared" si="1"/>
        <v>101.82</v>
      </c>
      <c r="N107" s="66">
        <f t="shared" si="1"/>
        <v>837.6</v>
      </c>
      <c r="O107" s="66">
        <f t="shared" si="1"/>
        <v>0</v>
      </c>
      <c r="P107" s="66">
        <f t="shared" si="1"/>
        <v>0.64</v>
      </c>
      <c r="Q107" s="66">
        <f t="shared" si="1"/>
        <v>9.84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4.2748958333333338</v>
      </c>
      <c r="C108" s="67">
        <f t="shared" ref="C108:Q108" si="2">AVERAGE(C9:C104)</f>
        <v>3.1693750000000001</v>
      </c>
      <c r="D108" s="67">
        <f t="shared" si="2"/>
        <v>7.2746874999999953</v>
      </c>
      <c r="E108" s="67">
        <f t="shared" si="2"/>
        <v>4.1626041666666671</v>
      </c>
      <c r="F108" s="67">
        <f t="shared" si="2"/>
        <v>3.6113541666666666</v>
      </c>
      <c r="G108" s="67">
        <f t="shared" si="2"/>
        <v>31.536979166666679</v>
      </c>
      <c r="H108" s="67">
        <f t="shared" si="2"/>
        <v>9.6857291666666594</v>
      </c>
      <c r="I108" s="67">
        <f t="shared" si="2"/>
        <v>2.1982291666666662</v>
      </c>
      <c r="J108" s="67">
        <f t="shared" si="2"/>
        <v>0.26583333333333342</v>
      </c>
      <c r="K108" s="67">
        <f t="shared" si="2"/>
        <v>304.19312499999995</v>
      </c>
      <c r="L108" s="67">
        <f t="shared" si="2"/>
        <v>26.588437500000001</v>
      </c>
      <c r="M108" s="67">
        <f t="shared" si="2"/>
        <v>91.870208333333338</v>
      </c>
      <c r="N108" s="67">
        <f t="shared" si="2"/>
        <v>167.04583333333323</v>
      </c>
      <c r="O108" s="67">
        <f t="shared" si="2"/>
        <v>0</v>
      </c>
      <c r="P108" s="67">
        <f t="shared" si="2"/>
        <v>0.47093750000000006</v>
      </c>
      <c r="Q108" s="67">
        <f t="shared" si="2"/>
        <v>9.6443750000000037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2.2987172242781299E-2</v>
      </c>
      <c r="C109" s="67">
        <f t="shared" ref="C109:Q109" si="3">STDEV(C9:C104)</f>
        <v>3.9411793586237788E-2</v>
      </c>
      <c r="D109" s="67">
        <f t="shared" si="3"/>
        <v>3.4578762115982112E-2</v>
      </c>
      <c r="E109" s="67">
        <f t="shared" si="3"/>
        <v>0.49329449897530975</v>
      </c>
      <c r="F109" s="67">
        <f t="shared" si="3"/>
        <v>0.45701691732287442</v>
      </c>
      <c r="G109" s="67">
        <f t="shared" si="3"/>
        <v>10.538446017450527</v>
      </c>
      <c r="H109" s="67">
        <f t="shared" si="3"/>
        <v>5.8162039971448447</v>
      </c>
      <c r="I109" s="67">
        <f t="shared" si="3"/>
        <v>0.39613127752689881</v>
      </c>
      <c r="J109" s="67">
        <f t="shared" si="3"/>
        <v>0.26469711257115885</v>
      </c>
      <c r="K109" s="67">
        <f t="shared" si="3"/>
        <v>90.978451101722186</v>
      </c>
      <c r="L109" s="67">
        <f t="shared" si="3"/>
        <v>2.8926008432131987</v>
      </c>
      <c r="M109" s="67">
        <f t="shared" si="3"/>
        <v>12.531958890786031</v>
      </c>
      <c r="N109" s="67">
        <f t="shared" si="3"/>
        <v>215.4335965182124</v>
      </c>
      <c r="O109" s="67">
        <f t="shared" si="3"/>
        <v>0</v>
      </c>
      <c r="P109" s="67">
        <f t="shared" si="3"/>
        <v>9.2418705386210345E-2</v>
      </c>
      <c r="Q109" s="67">
        <f t="shared" si="3"/>
        <v>7.0094860536876885E-2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1495</v>
      </c>
      <c r="B9" s="64">
        <v>4.29</v>
      </c>
      <c r="C9" s="64">
        <v>3.23</v>
      </c>
      <c r="D9" s="64">
        <v>7.32</v>
      </c>
      <c r="E9" s="64">
        <v>4.8</v>
      </c>
      <c r="F9" s="64">
        <v>3.5</v>
      </c>
      <c r="G9" s="64">
        <v>44.62</v>
      </c>
      <c r="H9" s="64">
        <v>14.75</v>
      </c>
      <c r="I9" s="64">
        <v>2.88</v>
      </c>
      <c r="J9" s="64">
        <v>0.17</v>
      </c>
      <c r="K9" s="64">
        <v>332.45</v>
      </c>
      <c r="L9" s="64">
        <v>24.46</v>
      </c>
      <c r="M9" s="64">
        <v>101.75</v>
      </c>
      <c r="N9" s="64">
        <v>37.799999999999997</v>
      </c>
      <c r="O9" s="64">
        <v>0</v>
      </c>
      <c r="P9" s="64">
        <v>0.56000000000000005</v>
      </c>
      <c r="Q9" s="64">
        <v>9.81</v>
      </c>
      <c r="R9" s="198"/>
      <c r="S9" s="198"/>
      <c r="T9" s="198"/>
      <c r="U9" s="198"/>
    </row>
    <row r="10" spans="1:21" s="12" customFormat="1" x14ac:dyDescent="0.25">
      <c r="A10" s="214" t="s">
        <v>1496</v>
      </c>
      <c r="B10" s="64">
        <v>4.29</v>
      </c>
      <c r="C10" s="64">
        <v>3.17</v>
      </c>
      <c r="D10" s="64">
        <v>7.29</v>
      </c>
      <c r="E10" s="64">
        <v>4.66</v>
      </c>
      <c r="F10" s="64">
        <v>4.2300000000000004</v>
      </c>
      <c r="G10" s="64">
        <v>44.48</v>
      </c>
      <c r="H10" s="64">
        <v>13.67</v>
      </c>
      <c r="I10" s="64">
        <v>2.85</v>
      </c>
      <c r="J10" s="64">
        <v>0.21</v>
      </c>
      <c r="K10" s="64">
        <v>331.13</v>
      </c>
      <c r="L10" s="64">
        <v>24.38</v>
      </c>
      <c r="M10" s="64">
        <v>101.74</v>
      </c>
      <c r="N10" s="64">
        <v>37.799999999999997</v>
      </c>
      <c r="O10" s="64">
        <v>0</v>
      </c>
      <c r="P10" s="64">
        <v>0.55000000000000004</v>
      </c>
      <c r="Q10" s="64">
        <v>9.8000000000000007</v>
      </c>
      <c r="R10" s="198"/>
      <c r="S10" s="198"/>
      <c r="T10" s="198"/>
      <c r="U10" s="198"/>
    </row>
    <row r="11" spans="1:21" s="12" customFormat="1" x14ac:dyDescent="0.25">
      <c r="A11" s="214" t="s">
        <v>1497</v>
      </c>
      <c r="B11" s="64">
        <v>4.24</v>
      </c>
      <c r="C11" s="64">
        <v>3.14</v>
      </c>
      <c r="D11" s="64">
        <v>7.24</v>
      </c>
      <c r="E11" s="64">
        <v>4.82</v>
      </c>
      <c r="F11" s="64">
        <v>3.56</v>
      </c>
      <c r="G11" s="64">
        <v>44.26</v>
      </c>
      <c r="H11" s="64">
        <v>12.69</v>
      </c>
      <c r="I11" s="64">
        <v>2.79</v>
      </c>
      <c r="J11" s="64">
        <v>0.16</v>
      </c>
      <c r="K11" s="64">
        <v>324.54000000000002</v>
      </c>
      <c r="L11" s="64">
        <v>24.28</v>
      </c>
      <c r="M11" s="64">
        <v>101.75</v>
      </c>
      <c r="N11" s="64">
        <v>37.799999999999997</v>
      </c>
      <c r="O11" s="64">
        <v>0</v>
      </c>
      <c r="P11" s="64">
        <v>0.54</v>
      </c>
      <c r="Q11" s="64">
        <v>9.74</v>
      </c>
      <c r="R11" s="198"/>
      <c r="S11" s="198"/>
      <c r="T11" s="198"/>
      <c r="U11" s="198"/>
    </row>
    <row r="12" spans="1:21" s="12" customFormat="1" x14ac:dyDescent="0.25">
      <c r="A12" s="214" t="s">
        <v>1498</v>
      </c>
      <c r="B12" s="64">
        <v>4.25</v>
      </c>
      <c r="C12" s="64">
        <v>3.12</v>
      </c>
      <c r="D12" s="64">
        <v>7.23</v>
      </c>
      <c r="E12" s="64">
        <v>4.71</v>
      </c>
      <c r="F12" s="64">
        <v>3.58</v>
      </c>
      <c r="G12" s="64">
        <v>44.26</v>
      </c>
      <c r="H12" s="64">
        <v>12.69</v>
      </c>
      <c r="I12" s="64">
        <v>2.76</v>
      </c>
      <c r="J12" s="64">
        <v>0.15</v>
      </c>
      <c r="K12" s="64">
        <v>327.19</v>
      </c>
      <c r="L12" s="64">
        <v>24.26</v>
      </c>
      <c r="M12" s="64">
        <v>101.72</v>
      </c>
      <c r="N12" s="64">
        <v>37.700000000000003</v>
      </c>
      <c r="O12" s="64">
        <v>0</v>
      </c>
      <c r="P12" s="64">
        <v>0.54</v>
      </c>
      <c r="Q12" s="64">
        <v>9.7200000000000006</v>
      </c>
      <c r="R12" s="198"/>
      <c r="S12" s="198"/>
      <c r="T12" s="198"/>
      <c r="U12" s="198"/>
    </row>
    <row r="13" spans="1:21" s="12" customFormat="1" x14ac:dyDescent="0.25">
      <c r="A13" s="214" t="s">
        <v>1499</v>
      </c>
      <c r="B13" s="64">
        <v>4.2300000000000004</v>
      </c>
      <c r="C13" s="64">
        <v>3.15</v>
      </c>
      <c r="D13" s="64">
        <v>7.23</v>
      </c>
      <c r="E13" s="64">
        <v>4.54</v>
      </c>
      <c r="F13" s="64">
        <v>4.05</v>
      </c>
      <c r="G13" s="64">
        <v>44.26</v>
      </c>
      <c r="H13" s="64">
        <v>12.69</v>
      </c>
      <c r="I13" s="64">
        <v>2.74</v>
      </c>
      <c r="J13" s="64">
        <v>0.15</v>
      </c>
      <c r="K13" s="64">
        <v>309.19</v>
      </c>
      <c r="L13" s="64">
        <v>24.1</v>
      </c>
      <c r="M13" s="64">
        <v>101.75</v>
      </c>
      <c r="N13" s="64">
        <v>37.799999999999997</v>
      </c>
      <c r="O13" s="64">
        <v>0</v>
      </c>
      <c r="P13" s="64">
        <v>0.51</v>
      </c>
      <c r="Q13" s="64">
        <v>9.7100000000000009</v>
      </c>
      <c r="R13" s="198"/>
      <c r="S13" s="198"/>
      <c r="T13" s="198"/>
      <c r="U13" s="198"/>
    </row>
    <row r="14" spans="1:21" s="12" customFormat="1" x14ac:dyDescent="0.25">
      <c r="A14" s="214" t="s">
        <v>1500</v>
      </c>
      <c r="B14" s="64">
        <v>4.25</v>
      </c>
      <c r="C14" s="64">
        <v>3.15</v>
      </c>
      <c r="D14" s="64">
        <v>7.24</v>
      </c>
      <c r="E14" s="64">
        <v>4.46</v>
      </c>
      <c r="F14" s="64">
        <v>2.58</v>
      </c>
      <c r="G14" s="64">
        <v>43.86</v>
      </c>
      <c r="H14" s="64">
        <v>13.94</v>
      </c>
      <c r="I14" s="64">
        <v>2.75</v>
      </c>
      <c r="J14" s="64">
        <v>0.17</v>
      </c>
      <c r="K14" s="64">
        <v>320.38</v>
      </c>
      <c r="L14" s="64">
        <v>24.02</v>
      </c>
      <c r="M14" s="64">
        <v>101.75</v>
      </c>
      <c r="N14" s="64">
        <v>37.799999999999997</v>
      </c>
      <c r="O14" s="64">
        <v>0</v>
      </c>
      <c r="P14" s="64">
        <v>0.51</v>
      </c>
      <c r="Q14" s="64">
        <v>9.7200000000000006</v>
      </c>
      <c r="R14" s="198"/>
      <c r="S14" s="198"/>
      <c r="T14" s="198"/>
      <c r="U14" s="198"/>
    </row>
    <row r="15" spans="1:21" s="12" customFormat="1" x14ac:dyDescent="0.25">
      <c r="A15" s="214" t="s">
        <v>1501</v>
      </c>
      <c r="B15" s="64">
        <v>4.24</v>
      </c>
      <c r="C15" s="64">
        <v>3.13</v>
      </c>
      <c r="D15" s="64">
        <v>7.22</v>
      </c>
      <c r="E15" s="64">
        <v>4.8099999999999996</v>
      </c>
      <c r="F15" s="64">
        <v>3.67</v>
      </c>
      <c r="G15" s="64">
        <v>43.23</v>
      </c>
      <c r="H15" s="64">
        <v>17.559999999999999</v>
      </c>
      <c r="I15" s="64">
        <v>2.77</v>
      </c>
      <c r="J15" s="64">
        <v>0.21</v>
      </c>
      <c r="K15" s="64">
        <v>320.81</v>
      </c>
      <c r="L15" s="64">
        <v>23.97</v>
      </c>
      <c r="M15" s="64">
        <v>101.75</v>
      </c>
      <c r="N15" s="64">
        <v>37.700000000000003</v>
      </c>
      <c r="O15" s="64">
        <v>0</v>
      </c>
      <c r="P15" s="64">
        <v>0.51</v>
      </c>
      <c r="Q15" s="64">
        <v>9.7100000000000009</v>
      </c>
      <c r="R15" s="198"/>
      <c r="S15" s="198"/>
      <c r="T15" s="198"/>
      <c r="U15" s="198"/>
    </row>
    <row r="16" spans="1:21" s="12" customFormat="1" x14ac:dyDescent="0.25">
      <c r="A16" s="214" t="s">
        <v>1502</v>
      </c>
      <c r="B16" s="64">
        <v>4.26</v>
      </c>
      <c r="C16" s="64">
        <v>3.2</v>
      </c>
      <c r="D16" s="64">
        <v>7.28</v>
      </c>
      <c r="E16" s="64">
        <v>4.57</v>
      </c>
      <c r="F16" s="64">
        <v>2.96</v>
      </c>
      <c r="G16" s="64">
        <v>43.23</v>
      </c>
      <c r="H16" s="64">
        <v>17.559999999999999</v>
      </c>
      <c r="I16" s="64">
        <v>2.75</v>
      </c>
      <c r="J16" s="64">
        <v>0.18</v>
      </c>
      <c r="K16" s="64">
        <v>315.22000000000003</v>
      </c>
      <c r="L16" s="64">
        <v>23.9</v>
      </c>
      <c r="M16" s="64">
        <v>101.75</v>
      </c>
      <c r="N16" s="64">
        <v>37.799999999999997</v>
      </c>
      <c r="O16" s="64">
        <v>0</v>
      </c>
      <c r="P16" s="64">
        <v>0.49</v>
      </c>
      <c r="Q16" s="64">
        <v>9.6999999999999993</v>
      </c>
      <c r="R16" s="198"/>
      <c r="S16" s="198"/>
      <c r="T16" s="198"/>
      <c r="U16" s="198"/>
    </row>
    <row r="17" spans="1:21" s="12" customFormat="1" x14ac:dyDescent="0.25">
      <c r="A17" s="214" t="s">
        <v>1503</v>
      </c>
      <c r="B17" s="64">
        <v>4.25</v>
      </c>
      <c r="C17" s="64">
        <v>3.23</v>
      </c>
      <c r="D17" s="64">
        <v>7.29</v>
      </c>
      <c r="E17" s="64">
        <v>4.34</v>
      </c>
      <c r="F17" s="64">
        <v>3.37</v>
      </c>
      <c r="G17" s="64">
        <v>43.23</v>
      </c>
      <c r="H17" s="64">
        <v>17.559999999999999</v>
      </c>
      <c r="I17" s="64">
        <v>2.7</v>
      </c>
      <c r="J17" s="64">
        <v>0.2</v>
      </c>
      <c r="K17" s="64">
        <v>318.91000000000003</v>
      </c>
      <c r="L17" s="64">
        <v>23.85</v>
      </c>
      <c r="M17" s="64">
        <v>101.76</v>
      </c>
      <c r="N17" s="64">
        <v>37.700000000000003</v>
      </c>
      <c r="O17" s="64">
        <v>0</v>
      </c>
      <c r="P17" s="64">
        <v>0.48</v>
      </c>
      <c r="Q17" s="64">
        <v>9.69</v>
      </c>
      <c r="R17" s="198"/>
      <c r="S17" s="198"/>
      <c r="T17" s="198"/>
      <c r="U17" s="198"/>
    </row>
    <row r="18" spans="1:21" s="12" customFormat="1" x14ac:dyDescent="0.25">
      <c r="A18" s="214" t="s">
        <v>1504</v>
      </c>
      <c r="B18" s="64">
        <v>4.26</v>
      </c>
      <c r="C18" s="64">
        <v>3.15</v>
      </c>
      <c r="D18" s="64">
        <v>7.25</v>
      </c>
      <c r="E18" s="64">
        <v>4.58</v>
      </c>
      <c r="F18" s="64">
        <v>3.35</v>
      </c>
      <c r="G18" s="64">
        <v>42.76</v>
      </c>
      <c r="H18" s="64">
        <v>16.66</v>
      </c>
      <c r="I18" s="64">
        <v>2.63</v>
      </c>
      <c r="J18" s="64">
        <v>0.19</v>
      </c>
      <c r="K18" s="64">
        <v>325.11</v>
      </c>
      <c r="L18" s="64">
        <v>23.81</v>
      </c>
      <c r="M18" s="64">
        <v>101.78</v>
      </c>
      <c r="N18" s="64">
        <v>37.700000000000003</v>
      </c>
      <c r="O18" s="64">
        <v>0</v>
      </c>
      <c r="P18" s="64">
        <v>0.46</v>
      </c>
      <c r="Q18" s="64">
        <v>9.68</v>
      </c>
      <c r="R18" s="198"/>
      <c r="S18" s="198"/>
      <c r="T18" s="198"/>
      <c r="U18" s="198"/>
    </row>
    <row r="19" spans="1:21" s="12" customFormat="1" x14ac:dyDescent="0.25">
      <c r="A19" s="214" t="s">
        <v>1505</v>
      </c>
      <c r="B19" s="64">
        <v>4.25</v>
      </c>
      <c r="C19" s="64">
        <v>3.14</v>
      </c>
      <c r="D19" s="64">
        <v>7.24</v>
      </c>
      <c r="E19" s="64">
        <v>4.41</v>
      </c>
      <c r="F19" s="64">
        <v>3.03</v>
      </c>
      <c r="G19" s="64">
        <v>42.02</v>
      </c>
      <c r="H19" s="64">
        <v>15.81</v>
      </c>
      <c r="I19" s="64">
        <v>2.5499999999999998</v>
      </c>
      <c r="J19" s="64">
        <v>0.2</v>
      </c>
      <c r="K19" s="64">
        <v>328.89</v>
      </c>
      <c r="L19" s="64">
        <v>23.86</v>
      </c>
      <c r="M19" s="64">
        <v>101.75</v>
      </c>
      <c r="N19" s="64">
        <v>37.700000000000003</v>
      </c>
      <c r="O19" s="64">
        <v>0</v>
      </c>
      <c r="P19" s="64">
        <v>0.44</v>
      </c>
      <c r="Q19" s="64">
        <v>9.7100000000000009</v>
      </c>
      <c r="R19" s="198"/>
      <c r="S19" s="198"/>
      <c r="T19" s="198"/>
      <c r="U19" s="198"/>
    </row>
    <row r="20" spans="1:21" s="12" customFormat="1" x14ac:dyDescent="0.25">
      <c r="A20" s="214" t="s">
        <v>1506</v>
      </c>
      <c r="B20" s="64">
        <v>4.28</v>
      </c>
      <c r="C20" s="64">
        <v>3.15</v>
      </c>
      <c r="D20" s="64">
        <v>7.26</v>
      </c>
      <c r="E20" s="64">
        <v>4.7300000000000004</v>
      </c>
      <c r="F20" s="64">
        <v>3.43</v>
      </c>
      <c r="G20" s="64">
        <v>42.02</v>
      </c>
      <c r="H20" s="64">
        <v>15.81</v>
      </c>
      <c r="I20" s="64">
        <v>2.4900000000000002</v>
      </c>
      <c r="J20" s="64">
        <v>0.17</v>
      </c>
      <c r="K20" s="64">
        <v>330.4</v>
      </c>
      <c r="L20" s="64">
        <v>23.79</v>
      </c>
      <c r="M20" s="64">
        <v>101.79</v>
      </c>
      <c r="N20" s="64">
        <v>37.6</v>
      </c>
      <c r="O20" s="64">
        <v>0</v>
      </c>
      <c r="P20" s="64">
        <v>0.44</v>
      </c>
      <c r="Q20" s="64">
        <v>9.7100000000000009</v>
      </c>
      <c r="R20" s="198"/>
      <c r="S20" s="198"/>
      <c r="T20" s="198"/>
      <c r="U20" s="198"/>
    </row>
    <row r="21" spans="1:21" s="12" customFormat="1" x14ac:dyDescent="0.25">
      <c r="A21" s="214" t="s">
        <v>1507</v>
      </c>
      <c r="B21" s="64">
        <v>4.29</v>
      </c>
      <c r="C21" s="64">
        <v>3.12</v>
      </c>
      <c r="D21" s="64">
        <v>7.26</v>
      </c>
      <c r="E21" s="64">
        <v>4.6100000000000003</v>
      </c>
      <c r="F21" s="64">
        <v>3.08</v>
      </c>
      <c r="G21" s="64">
        <v>42.02</v>
      </c>
      <c r="H21" s="64">
        <v>15.81</v>
      </c>
      <c r="I21" s="64">
        <v>2.4500000000000002</v>
      </c>
      <c r="J21" s="64">
        <v>0.15</v>
      </c>
      <c r="K21" s="64">
        <v>351.05</v>
      </c>
      <c r="L21" s="64">
        <v>23.89</v>
      </c>
      <c r="M21" s="64">
        <v>101.75</v>
      </c>
      <c r="N21" s="64">
        <v>37.5</v>
      </c>
      <c r="O21" s="64">
        <v>0</v>
      </c>
      <c r="P21" s="64">
        <v>0.43</v>
      </c>
      <c r="Q21" s="64">
        <v>9.69</v>
      </c>
      <c r="R21" s="198"/>
      <c r="S21" s="198"/>
      <c r="T21" s="198"/>
      <c r="U21" s="198"/>
    </row>
    <row r="22" spans="1:21" s="12" customFormat="1" x14ac:dyDescent="0.25">
      <c r="A22" s="214" t="s">
        <v>1508</v>
      </c>
      <c r="B22" s="64">
        <v>4.29</v>
      </c>
      <c r="C22" s="64">
        <v>3.16</v>
      </c>
      <c r="D22" s="64">
        <v>7.28</v>
      </c>
      <c r="E22" s="64">
        <v>4.13</v>
      </c>
      <c r="F22" s="64">
        <v>3.41</v>
      </c>
      <c r="G22" s="64">
        <v>41.24</v>
      </c>
      <c r="H22" s="64">
        <v>16.489999999999998</v>
      </c>
      <c r="I22" s="64">
        <v>2.4300000000000002</v>
      </c>
      <c r="J22" s="64">
        <v>0.09</v>
      </c>
      <c r="K22" s="64">
        <v>345.18</v>
      </c>
      <c r="L22" s="64">
        <v>23.76</v>
      </c>
      <c r="M22" s="64">
        <v>101.78</v>
      </c>
      <c r="N22" s="64">
        <v>37.700000000000003</v>
      </c>
      <c r="O22" s="64">
        <v>0</v>
      </c>
      <c r="P22" s="64">
        <v>0.43</v>
      </c>
      <c r="Q22" s="64">
        <v>9.68</v>
      </c>
      <c r="R22" s="198"/>
      <c r="S22" s="198"/>
      <c r="T22" s="198"/>
      <c r="U22" s="198"/>
    </row>
    <row r="23" spans="1:21" s="12" customFormat="1" x14ac:dyDescent="0.25">
      <c r="A23" s="214" t="s">
        <v>1509</v>
      </c>
      <c r="B23" s="64">
        <v>4.29</v>
      </c>
      <c r="C23" s="64">
        <v>3.14</v>
      </c>
      <c r="D23" s="64">
        <v>7.27</v>
      </c>
      <c r="E23" s="64">
        <v>4.42</v>
      </c>
      <c r="F23" s="64">
        <v>3.45</v>
      </c>
      <c r="G23" s="64">
        <v>39.97</v>
      </c>
      <c r="H23" s="64">
        <v>17.11</v>
      </c>
      <c r="I23" s="64">
        <v>2.4500000000000002</v>
      </c>
      <c r="J23" s="64">
        <v>0.09</v>
      </c>
      <c r="K23" s="64">
        <v>311.61</v>
      </c>
      <c r="L23" s="64">
        <v>23.65</v>
      </c>
      <c r="M23" s="64">
        <v>101.78</v>
      </c>
      <c r="N23" s="64">
        <v>37.700000000000003</v>
      </c>
      <c r="O23" s="64">
        <v>0</v>
      </c>
      <c r="P23" s="64">
        <v>0.42</v>
      </c>
      <c r="Q23" s="64">
        <v>9.66</v>
      </c>
      <c r="R23" s="198"/>
      <c r="S23" s="198"/>
      <c r="T23" s="198"/>
      <c r="U23" s="198"/>
    </row>
    <row r="24" spans="1:21" s="12" customFormat="1" x14ac:dyDescent="0.25">
      <c r="A24" s="214" t="s">
        <v>1510</v>
      </c>
      <c r="B24" s="64">
        <v>4.28</v>
      </c>
      <c r="C24" s="64">
        <v>3.19</v>
      </c>
      <c r="D24" s="64">
        <v>7.29</v>
      </c>
      <c r="E24" s="64">
        <v>5.46</v>
      </c>
      <c r="F24" s="64">
        <v>3.32</v>
      </c>
      <c r="G24" s="64">
        <v>39.97</v>
      </c>
      <c r="H24" s="64">
        <v>17.11</v>
      </c>
      <c r="I24" s="64">
        <v>2.52</v>
      </c>
      <c r="J24" s="64">
        <v>0.11</v>
      </c>
      <c r="K24" s="64">
        <v>342.67</v>
      </c>
      <c r="L24" s="64">
        <v>23.49</v>
      </c>
      <c r="M24" s="64">
        <v>101.78</v>
      </c>
      <c r="N24" s="64">
        <v>37.799999999999997</v>
      </c>
      <c r="O24" s="64">
        <v>0</v>
      </c>
      <c r="P24" s="64">
        <v>0.42</v>
      </c>
      <c r="Q24" s="64">
        <v>9.68</v>
      </c>
      <c r="R24" s="198"/>
      <c r="S24" s="198"/>
      <c r="T24" s="198"/>
      <c r="U24" s="198"/>
    </row>
    <row r="25" spans="1:21" s="12" customFormat="1" x14ac:dyDescent="0.25">
      <c r="A25" s="214" t="s">
        <v>1511</v>
      </c>
      <c r="B25" s="64">
        <v>4.2699999999999996</v>
      </c>
      <c r="C25" s="64">
        <v>3.19</v>
      </c>
      <c r="D25" s="64">
        <v>7.28</v>
      </c>
      <c r="E25" s="64">
        <v>5.15</v>
      </c>
      <c r="F25" s="64">
        <v>3.1</v>
      </c>
      <c r="G25" s="64">
        <v>39.97</v>
      </c>
      <c r="H25" s="64">
        <v>17.11</v>
      </c>
      <c r="I25" s="64">
        <v>2.66</v>
      </c>
      <c r="J25" s="64">
        <v>0.03</v>
      </c>
      <c r="K25" s="64">
        <v>256.3</v>
      </c>
      <c r="L25" s="64">
        <v>23.37</v>
      </c>
      <c r="M25" s="64">
        <v>101.78</v>
      </c>
      <c r="N25" s="64">
        <v>37.700000000000003</v>
      </c>
      <c r="O25" s="64">
        <v>0</v>
      </c>
      <c r="P25" s="64">
        <v>0.42</v>
      </c>
      <c r="Q25" s="64">
        <v>9.68</v>
      </c>
      <c r="R25" s="198"/>
      <c r="S25" s="198"/>
      <c r="T25" s="198"/>
      <c r="U25" s="198"/>
    </row>
    <row r="26" spans="1:21" s="12" customFormat="1" x14ac:dyDescent="0.25">
      <c r="A26" s="214" t="s">
        <v>1512</v>
      </c>
      <c r="B26" s="64">
        <v>4.2699999999999996</v>
      </c>
      <c r="C26" s="64">
        <v>3.16</v>
      </c>
      <c r="D26" s="64">
        <v>7.27</v>
      </c>
      <c r="E26" s="64">
        <v>5.36</v>
      </c>
      <c r="F26" s="64">
        <v>3.55</v>
      </c>
      <c r="G26" s="64">
        <v>41.12</v>
      </c>
      <c r="H26" s="64">
        <v>16.100000000000001</v>
      </c>
      <c r="I26" s="64">
        <v>2.97</v>
      </c>
      <c r="J26" s="64">
        <v>0.08</v>
      </c>
      <c r="K26" s="64">
        <v>252.4</v>
      </c>
      <c r="L26" s="64">
        <v>23.3</v>
      </c>
      <c r="M26" s="64">
        <v>101.82</v>
      </c>
      <c r="N26" s="64">
        <v>37.700000000000003</v>
      </c>
      <c r="O26" s="64">
        <v>0</v>
      </c>
      <c r="P26" s="64">
        <v>0.43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4" t="s">
        <v>1513</v>
      </c>
      <c r="B27" s="64">
        <v>4.26</v>
      </c>
      <c r="C27" s="64">
        <v>3.13</v>
      </c>
      <c r="D27" s="64">
        <v>7.24</v>
      </c>
      <c r="E27" s="64">
        <v>5.35</v>
      </c>
      <c r="F27" s="64">
        <v>3.45</v>
      </c>
      <c r="G27" s="64">
        <v>43.01</v>
      </c>
      <c r="H27" s="64">
        <v>15.18</v>
      </c>
      <c r="I27" s="64">
        <v>3.33</v>
      </c>
      <c r="J27" s="64">
        <v>7.0000000000000007E-2</v>
      </c>
      <c r="K27" s="64">
        <v>320.7</v>
      </c>
      <c r="L27" s="64">
        <v>23.29</v>
      </c>
      <c r="M27" s="64">
        <v>101.82</v>
      </c>
      <c r="N27" s="64">
        <v>37.5</v>
      </c>
      <c r="O27" s="64">
        <v>0</v>
      </c>
      <c r="P27" s="64">
        <v>0.45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14" t="s">
        <v>1514</v>
      </c>
      <c r="B28" s="64">
        <v>4.25</v>
      </c>
      <c r="C28" s="64">
        <v>3.15</v>
      </c>
      <c r="D28" s="64">
        <v>7.24</v>
      </c>
      <c r="E28" s="64">
        <v>5.27</v>
      </c>
      <c r="F28" s="64">
        <v>3.16</v>
      </c>
      <c r="G28" s="64">
        <v>43.01</v>
      </c>
      <c r="H28" s="64">
        <v>15.18</v>
      </c>
      <c r="I28" s="64">
        <v>3.56</v>
      </c>
      <c r="J28" s="64">
        <v>0.09</v>
      </c>
      <c r="K28" s="64">
        <v>303.76</v>
      </c>
      <c r="L28" s="64">
        <v>23.28</v>
      </c>
      <c r="M28" s="64">
        <v>101.82</v>
      </c>
      <c r="N28" s="64">
        <v>37.5</v>
      </c>
      <c r="O28" s="64">
        <v>0</v>
      </c>
      <c r="P28" s="64">
        <v>0.45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4" t="s">
        <v>1515</v>
      </c>
      <c r="B29" s="64">
        <v>4.25</v>
      </c>
      <c r="C29" s="64">
        <v>3.17</v>
      </c>
      <c r="D29" s="64">
        <v>7.25</v>
      </c>
      <c r="E29" s="64">
        <v>5.0599999999999996</v>
      </c>
      <c r="F29" s="64">
        <v>3.84</v>
      </c>
      <c r="G29" s="64">
        <v>43.01</v>
      </c>
      <c r="H29" s="64">
        <v>15.18</v>
      </c>
      <c r="I29" s="64">
        <v>3.71</v>
      </c>
      <c r="J29" s="64">
        <v>0.15</v>
      </c>
      <c r="K29" s="64">
        <v>338.56</v>
      </c>
      <c r="L29" s="64">
        <v>23.15</v>
      </c>
      <c r="M29" s="64">
        <v>101.83</v>
      </c>
      <c r="N29" s="64">
        <v>37.6</v>
      </c>
      <c r="O29" s="64">
        <v>0</v>
      </c>
      <c r="P29" s="64">
        <v>0.45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4" t="s">
        <v>1516</v>
      </c>
      <c r="B30" s="64">
        <v>4.24</v>
      </c>
      <c r="C30" s="64">
        <v>3.17</v>
      </c>
      <c r="D30" s="64">
        <v>7.24</v>
      </c>
      <c r="E30" s="64">
        <v>5.19</v>
      </c>
      <c r="F30" s="64">
        <v>3.74</v>
      </c>
      <c r="G30" s="64">
        <v>42.86</v>
      </c>
      <c r="H30" s="64">
        <v>14.49</v>
      </c>
      <c r="I30" s="64">
        <v>3.65</v>
      </c>
      <c r="J30" s="64">
        <v>0.13</v>
      </c>
      <c r="K30" s="64">
        <v>334.62</v>
      </c>
      <c r="L30" s="64">
        <v>23.07</v>
      </c>
      <c r="M30" s="64">
        <v>101.83</v>
      </c>
      <c r="N30" s="64">
        <v>37.6</v>
      </c>
      <c r="O30" s="64">
        <v>0</v>
      </c>
      <c r="P30" s="64">
        <v>0.45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4" t="s">
        <v>1517</v>
      </c>
      <c r="B31" s="64">
        <v>4.22</v>
      </c>
      <c r="C31" s="64">
        <v>3.2</v>
      </c>
      <c r="D31" s="64">
        <v>7.24</v>
      </c>
      <c r="E31" s="64">
        <v>5.38</v>
      </c>
      <c r="F31" s="64">
        <v>3.19</v>
      </c>
      <c r="G31" s="64">
        <v>42.63</v>
      </c>
      <c r="H31" s="64">
        <v>12.48</v>
      </c>
      <c r="I31" s="64">
        <v>3.52</v>
      </c>
      <c r="J31" s="64">
        <v>0.17</v>
      </c>
      <c r="K31" s="64">
        <v>343.44</v>
      </c>
      <c r="L31" s="64">
        <v>23.04</v>
      </c>
      <c r="M31" s="64">
        <v>101.83</v>
      </c>
      <c r="N31" s="64">
        <v>37.799999999999997</v>
      </c>
      <c r="O31" s="64">
        <v>0</v>
      </c>
      <c r="P31" s="64">
        <v>0.44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4" t="s">
        <v>1518</v>
      </c>
      <c r="B32" s="64">
        <v>4.25</v>
      </c>
      <c r="C32" s="64">
        <v>3.2</v>
      </c>
      <c r="D32" s="64">
        <v>7.27</v>
      </c>
      <c r="E32" s="64">
        <v>5.05</v>
      </c>
      <c r="F32" s="64">
        <v>3.77</v>
      </c>
      <c r="G32" s="64">
        <v>42.63</v>
      </c>
      <c r="H32" s="64">
        <v>12.48</v>
      </c>
      <c r="I32" s="64">
        <v>3.42</v>
      </c>
      <c r="J32" s="64">
        <v>0.16</v>
      </c>
      <c r="K32" s="64">
        <v>359.05</v>
      </c>
      <c r="L32" s="64">
        <v>23.01</v>
      </c>
      <c r="M32" s="64">
        <v>101.83</v>
      </c>
      <c r="N32" s="64">
        <v>40.700000000000003</v>
      </c>
      <c r="O32" s="64">
        <v>0</v>
      </c>
      <c r="P32" s="64">
        <v>0.43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4" t="s">
        <v>1519</v>
      </c>
      <c r="B33" s="64">
        <v>4.24</v>
      </c>
      <c r="C33" s="64">
        <v>3.14</v>
      </c>
      <c r="D33" s="64">
        <v>7.23</v>
      </c>
      <c r="E33" s="64">
        <v>4.8899999999999997</v>
      </c>
      <c r="F33" s="64">
        <v>3.6</v>
      </c>
      <c r="G33" s="64">
        <v>42.63</v>
      </c>
      <c r="H33" s="64">
        <v>12.48</v>
      </c>
      <c r="I33" s="64">
        <v>3.29</v>
      </c>
      <c r="J33" s="64">
        <v>0.16</v>
      </c>
      <c r="K33" s="64">
        <v>348.57</v>
      </c>
      <c r="L33" s="64">
        <v>23.13</v>
      </c>
      <c r="M33" s="64">
        <v>101.83</v>
      </c>
      <c r="N33" s="64">
        <v>52.9</v>
      </c>
      <c r="O33" s="64">
        <v>0</v>
      </c>
      <c r="P33" s="64">
        <v>0.43</v>
      </c>
      <c r="Q33" s="64">
        <v>9.6300000000000008</v>
      </c>
      <c r="R33" s="198"/>
      <c r="S33" s="198"/>
      <c r="T33" s="198"/>
      <c r="U33" s="198"/>
    </row>
    <row r="34" spans="1:21" s="12" customFormat="1" x14ac:dyDescent="0.25">
      <c r="A34" s="214" t="s">
        <v>1520</v>
      </c>
      <c r="B34" s="64">
        <v>4.2699999999999996</v>
      </c>
      <c r="C34" s="64">
        <v>3.14</v>
      </c>
      <c r="D34" s="64">
        <v>7.26</v>
      </c>
      <c r="E34" s="64">
        <v>4.7</v>
      </c>
      <c r="F34" s="64">
        <v>3.34</v>
      </c>
      <c r="G34" s="64">
        <v>43.15</v>
      </c>
      <c r="H34" s="64">
        <v>11.44</v>
      </c>
      <c r="I34" s="64">
        <v>3.17</v>
      </c>
      <c r="J34" s="64">
        <v>0.1</v>
      </c>
      <c r="K34" s="64">
        <v>352.67</v>
      </c>
      <c r="L34" s="64">
        <v>23.26</v>
      </c>
      <c r="M34" s="64">
        <v>101.82</v>
      </c>
      <c r="N34" s="64">
        <v>68.8</v>
      </c>
      <c r="O34" s="64">
        <v>0</v>
      </c>
      <c r="P34" s="64">
        <v>0.42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4" t="s">
        <v>1521</v>
      </c>
      <c r="B35" s="64">
        <v>4.2699999999999996</v>
      </c>
      <c r="C35" s="64">
        <v>3.19</v>
      </c>
      <c r="D35" s="64">
        <v>7.28</v>
      </c>
      <c r="E35" s="64">
        <v>5</v>
      </c>
      <c r="F35" s="64">
        <v>3.32</v>
      </c>
      <c r="G35" s="64">
        <v>43.98</v>
      </c>
      <c r="H35" s="64">
        <v>10.47</v>
      </c>
      <c r="I35" s="64">
        <v>3.08</v>
      </c>
      <c r="J35" s="64">
        <v>0.11</v>
      </c>
      <c r="K35" s="64">
        <v>1.25</v>
      </c>
      <c r="L35" s="64">
        <v>23.49</v>
      </c>
      <c r="M35" s="64">
        <v>101.81</v>
      </c>
      <c r="N35" s="64">
        <v>85.9</v>
      </c>
      <c r="O35" s="64">
        <v>0</v>
      </c>
      <c r="P35" s="64">
        <v>0.42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4" t="s">
        <v>1522</v>
      </c>
      <c r="B36" s="64">
        <v>4.26</v>
      </c>
      <c r="C36" s="64">
        <v>3.18</v>
      </c>
      <c r="D36" s="64">
        <v>7.27</v>
      </c>
      <c r="E36" s="64">
        <v>5.15</v>
      </c>
      <c r="F36" s="64">
        <v>3.2</v>
      </c>
      <c r="G36" s="64">
        <v>43.98</v>
      </c>
      <c r="H36" s="64">
        <v>10.47</v>
      </c>
      <c r="I36" s="64">
        <v>3.03</v>
      </c>
      <c r="J36" s="64">
        <v>0.16</v>
      </c>
      <c r="K36" s="64">
        <v>343.54</v>
      </c>
      <c r="L36" s="64">
        <v>23.75</v>
      </c>
      <c r="M36" s="64">
        <v>101.8</v>
      </c>
      <c r="N36" s="64">
        <v>107.5</v>
      </c>
      <c r="O36" s="64">
        <v>0</v>
      </c>
      <c r="P36" s="64">
        <v>0.42</v>
      </c>
      <c r="Q36" s="64">
        <v>9.68</v>
      </c>
      <c r="R36" s="198"/>
      <c r="S36" s="198"/>
      <c r="T36" s="198"/>
      <c r="U36" s="198"/>
    </row>
    <row r="37" spans="1:21" s="12" customFormat="1" x14ac:dyDescent="0.25">
      <c r="A37" s="214" t="s">
        <v>1523</v>
      </c>
      <c r="B37" s="64">
        <v>4.3</v>
      </c>
      <c r="C37" s="64">
        <v>3.18</v>
      </c>
      <c r="D37" s="64">
        <v>7.3</v>
      </c>
      <c r="E37" s="64">
        <v>5.05</v>
      </c>
      <c r="F37" s="64">
        <v>3.3</v>
      </c>
      <c r="G37" s="64">
        <v>43.98</v>
      </c>
      <c r="H37" s="64">
        <v>10.47</v>
      </c>
      <c r="I37" s="64">
        <v>2.99</v>
      </c>
      <c r="J37" s="64">
        <v>0.2</v>
      </c>
      <c r="K37" s="64">
        <v>354.14</v>
      </c>
      <c r="L37" s="64">
        <v>24</v>
      </c>
      <c r="M37" s="64">
        <v>101.8</v>
      </c>
      <c r="N37" s="64">
        <v>139.30000000000001</v>
      </c>
      <c r="O37" s="64">
        <v>0</v>
      </c>
      <c r="P37" s="64">
        <v>0.41</v>
      </c>
      <c r="Q37" s="64">
        <v>9.69</v>
      </c>
      <c r="R37" s="198"/>
      <c r="S37" s="198"/>
      <c r="T37" s="198"/>
      <c r="U37" s="198"/>
    </row>
    <row r="38" spans="1:21" s="12" customFormat="1" x14ac:dyDescent="0.25">
      <c r="A38" s="214" t="s">
        <v>1524</v>
      </c>
      <c r="B38" s="64">
        <v>4.3</v>
      </c>
      <c r="C38" s="64">
        <v>3.15</v>
      </c>
      <c r="D38" s="64">
        <v>7.28</v>
      </c>
      <c r="E38" s="64">
        <v>4.95</v>
      </c>
      <c r="F38" s="64">
        <v>3.16</v>
      </c>
      <c r="G38" s="64">
        <v>42.22</v>
      </c>
      <c r="H38" s="64">
        <v>10.24</v>
      </c>
      <c r="I38" s="64">
        <v>2.98</v>
      </c>
      <c r="J38" s="64">
        <v>0.17</v>
      </c>
      <c r="K38" s="64">
        <v>336.65</v>
      </c>
      <c r="L38" s="64">
        <v>24.49</v>
      </c>
      <c r="M38" s="64">
        <v>101.78</v>
      </c>
      <c r="N38" s="64">
        <v>179.5</v>
      </c>
      <c r="O38" s="64">
        <v>0</v>
      </c>
      <c r="P38" s="64">
        <v>0.43</v>
      </c>
      <c r="Q38" s="64">
        <v>9.6999999999999993</v>
      </c>
      <c r="R38" s="198"/>
      <c r="S38" s="198"/>
      <c r="T38" s="198"/>
      <c r="U38" s="198"/>
    </row>
    <row r="39" spans="1:21" s="12" customFormat="1" x14ac:dyDescent="0.25">
      <c r="A39" s="214" t="s">
        <v>1525</v>
      </c>
      <c r="B39" s="64">
        <v>4.29</v>
      </c>
      <c r="C39" s="64">
        <v>3.16</v>
      </c>
      <c r="D39" s="64">
        <v>7.28</v>
      </c>
      <c r="E39" s="64">
        <v>5.01</v>
      </c>
      <c r="F39" s="64">
        <v>3.32</v>
      </c>
      <c r="G39" s="64">
        <v>39.46</v>
      </c>
      <c r="H39" s="64">
        <v>10.029999999999999</v>
      </c>
      <c r="I39" s="64">
        <v>2.93</v>
      </c>
      <c r="J39" s="64">
        <v>0.18</v>
      </c>
      <c r="K39" s="64">
        <v>329.84</v>
      </c>
      <c r="L39" s="64">
        <v>25.14</v>
      </c>
      <c r="M39" s="64">
        <v>101.7</v>
      </c>
      <c r="N39" s="64">
        <v>180.9</v>
      </c>
      <c r="O39" s="64">
        <v>0</v>
      </c>
      <c r="P39" s="64">
        <v>0.44</v>
      </c>
      <c r="Q39" s="64">
        <v>9.7200000000000006</v>
      </c>
      <c r="R39" s="198"/>
      <c r="S39" s="198"/>
      <c r="T39" s="198"/>
      <c r="U39" s="198"/>
    </row>
    <row r="40" spans="1:21" s="12" customFormat="1" x14ac:dyDescent="0.25">
      <c r="A40" s="214" t="s">
        <v>1526</v>
      </c>
      <c r="B40" s="64">
        <v>4.3099999999999996</v>
      </c>
      <c r="C40" s="64">
        <v>3.19</v>
      </c>
      <c r="D40" s="64">
        <v>7.31</v>
      </c>
      <c r="E40" s="64">
        <v>3.8</v>
      </c>
      <c r="F40" s="64">
        <v>3.22</v>
      </c>
      <c r="G40" s="64">
        <v>39.46</v>
      </c>
      <c r="H40" s="64">
        <v>10.029999999999999</v>
      </c>
      <c r="I40" s="64">
        <v>2.89</v>
      </c>
      <c r="J40" s="64">
        <v>0.14000000000000001</v>
      </c>
      <c r="K40" s="64">
        <v>342.54</v>
      </c>
      <c r="L40" s="64">
        <v>25.3</v>
      </c>
      <c r="M40" s="64">
        <v>101.6</v>
      </c>
      <c r="N40" s="64">
        <v>126.2</v>
      </c>
      <c r="O40" s="64">
        <v>0</v>
      </c>
      <c r="P40" s="64">
        <v>0.45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4" t="s">
        <v>1527</v>
      </c>
      <c r="B41" s="64">
        <v>4.34</v>
      </c>
      <c r="C41" s="64">
        <v>3.24</v>
      </c>
      <c r="D41" s="64">
        <v>7.36</v>
      </c>
      <c r="E41" s="64">
        <v>4.29</v>
      </c>
      <c r="F41" s="64">
        <v>3.54</v>
      </c>
      <c r="G41" s="64">
        <v>39.46</v>
      </c>
      <c r="H41" s="64">
        <v>10.029999999999999</v>
      </c>
      <c r="I41" s="64">
        <v>2.9</v>
      </c>
      <c r="J41" s="64">
        <v>0.11</v>
      </c>
      <c r="K41" s="64">
        <v>329.42</v>
      </c>
      <c r="L41" s="64">
        <v>25.02</v>
      </c>
      <c r="M41" s="64">
        <v>101.75</v>
      </c>
      <c r="N41" s="64">
        <v>116.1</v>
      </c>
      <c r="O41" s="64">
        <v>0</v>
      </c>
      <c r="P41" s="64">
        <v>0.46</v>
      </c>
      <c r="Q41" s="64">
        <v>9.7200000000000006</v>
      </c>
      <c r="R41" s="198"/>
      <c r="S41" s="198"/>
      <c r="T41" s="198"/>
      <c r="U41" s="198"/>
    </row>
    <row r="42" spans="1:21" s="12" customFormat="1" x14ac:dyDescent="0.25">
      <c r="A42" s="214" t="s">
        <v>1528</v>
      </c>
      <c r="B42" s="64">
        <v>4.33</v>
      </c>
      <c r="C42" s="64">
        <v>3.21</v>
      </c>
      <c r="D42" s="64">
        <v>7.34</v>
      </c>
      <c r="E42" s="64">
        <v>4.25</v>
      </c>
      <c r="F42" s="64">
        <v>3.81</v>
      </c>
      <c r="G42" s="64">
        <v>41.75</v>
      </c>
      <c r="H42" s="64">
        <v>11.23</v>
      </c>
      <c r="I42" s="64">
        <v>2.98</v>
      </c>
      <c r="J42" s="64">
        <v>0.16</v>
      </c>
      <c r="K42" s="64">
        <v>349.55</v>
      </c>
      <c r="L42" s="64">
        <v>24.74</v>
      </c>
      <c r="M42" s="64">
        <v>101.75</v>
      </c>
      <c r="N42" s="64">
        <v>153.69999999999999</v>
      </c>
      <c r="O42" s="64">
        <v>0</v>
      </c>
      <c r="P42" s="64">
        <v>0.48</v>
      </c>
      <c r="Q42" s="64">
        <v>9.74</v>
      </c>
      <c r="R42" s="198"/>
      <c r="S42" s="198"/>
      <c r="T42" s="198"/>
      <c r="U42" s="198"/>
    </row>
    <row r="43" spans="1:21" s="12" customFormat="1" x14ac:dyDescent="0.25">
      <c r="A43" s="214" t="s">
        <v>1529</v>
      </c>
      <c r="B43" s="64">
        <v>4.28</v>
      </c>
      <c r="C43" s="64">
        <v>3.16</v>
      </c>
      <c r="D43" s="64">
        <v>7.28</v>
      </c>
      <c r="E43" s="64">
        <v>4.34</v>
      </c>
      <c r="F43" s="64">
        <v>3.89</v>
      </c>
      <c r="G43" s="64">
        <v>45.34</v>
      </c>
      <c r="H43" s="64">
        <v>12.33</v>
      </c>
      <c r="I43" s="64">
        <v>3.11</v>
      </c>
      <c r="J43" s="64">
        <v>0.24</v>
      </c>
      <c r="K43" s="64">
        <v>331.83</v>
      </c>
      <c r="L43" s="64">
        <v>25.37</v>
      </c>
      <c r="M43" s="64">
        <v>100.61</v>
      </c>
      <c r="N43" s="64">
        <v>170.4</v>
      </c>
      <c r="O43" s="64">
        <v>0</v>
      </c>
      <c r="P43" s="64">
        <v>0.49</v>
      </c>
      <c r="Q43" s="64">
        <v>9.77</v>
      </c>
      <c r="R43" s="198"/>
      <c r="S43" s="198"/>
      <c r="T43" s="198"/>
      <c r="U43" s="198"/>
    </row>
    <row r="44" spans="1:21" s="12" customFormat="1" x14ac:dyDescent="0.25">
      <c r="A44" s="214" t="s">
        <v>1530</v>
      </c>
      <c r="B44" s="64">
        <v>4.2699999999999996</v>
      </c>
      <c r="C44" s="64">
        <v>3.18</v>
      </c>
      <c r="D44" s="64">
        <v>7.28</v>
      </c>
      <c r="E44" s="64">
        <v>4.3</v>
      </c>
      <c r="F44" s="64">
        <v>4.1500000000000004</v>
      </c>
      <c r="G44" s="64">
        <v>45.34</v>
      </c>
      <c r="H44" s="64">
        <v>12.33</v>
      </c>
      <c r="I44" s="64">
        <v>3.19</v>
      </c>
      <c r="J44" s="64">
        <v>0.22</v>
      </c>
      <c r="K44" s="64">
        <v>313.82</v>
      </c>
      <c r="L44" s="64">
        <v>26.01</v>
      </c>
      <c r="M44" s="64">
        <v>96.81</v>
      </c>
      <c r="N44" s="64">
        <v>165.3</v>
      </c>
      <c r="O44" s="64">
        <v>0</v>
      </c>
      <c r="P44" s="64">
        <v>0.5</v>
      </c>
      <c r="Q44" s="64">
        <v>9.74</v>
      </c>
      <c r="R44" s="198"/>
      <c r="S44" s="198"/>
      <c r="T44" s="198"/>
      <c r="U44" s="198"/>
    </row>
    <row r="45" spans="1:21" s="12" customFormat="1" x14ac:dyDescent="0.25">
      <c r="A45" s="214" t="s">
        <v>1531</v>
      </c>
      <c r="B45" s="64">
        <v>4.29</v>
      </c>
      <c r="C45" s="64">
        <v>3.19</v>
      </c>
      <c r="D45" s="64">
        <v>7.3</v>
      </c>
      <c r="E45" s="64">
        <v>4.3</v>
      </c>
      <c r="F45" s="64">
        <v>3.65</v>
      </c>
      <c r="G45" s="64">
        <v>45.34</v>
      </c>
      <c r="H45" s="64">
        <v>12.33</v>
      </c>
      <c r="I45" s="64">
        <v>3.22</v>
      </c>
      <c r="J45" s="64">
        <v>0.5</v>
      </c>
      <c r="K45" s="64">
        <v>310.81</v>
      </c>
      <c r="L45" s="64">
        <v>26.38</v>
      </c>
      <c r="M45" s="64">
        <v>92.81</v>
      </c>
      <c r="N45" s="64">
        <v>221.4</v>
      </c>
      <c r="O45" s="64">
        <v>0</v>
      </c>
      <c r="P45" s="64">
        <v>0.51</v>
      </c>
      <c r="Q45" s="64">
        <v>9.74</v>
      </c>
      <c r="R45" s="198"/>
      <c r="S45" s="198"/>
      <c r="T45" s="198"/>
      <c r="U45" s="198"/>
    </row>
    <row r="46" spans="1:21" s="12" customFormat="1" x14ac:dyDescent="0.25">
      <c r="A46" s="214" t="s">
        <v>1532</v>
      </c>
      <c r="B46" s="64">
        <v>4.26</v>
      </c>
      <c r="C46" s="64">
        <v>3.13</v>
      </c>
      <c r="D46" s="64">
        <v>7.24</v>
      </c>
      <c r="E46" s="64">
        <v>4.32</v>
      </c>
      <c r="F46" s="64">
        <v>3.94</v>
      </c>
      <c r="G46" s="64">
        <v>46.66</v>
      </c>
      <c r="H46" s="64">
        <v>11.69</v>
      </c>
      <c r="I46" s="64">
        <v>3.2</v>
      </c>
      <c r="J46" s="64">
        <v>0.39</v>
      </c>
      <c r="K46" s="64">
        <v>323.27</v>
      </c>
      <c r="L46" s="64">
        <v>26.62</v>
      </c>
      <c r="M46" s="64">
        <v>89.19</v>
      </c>
      <c r="N46" s="64">
        <v>223.4</v>
      </c>
      <c r="O46" s="64">
        <v>0</v>
      </c>
      <c r="P46" s="64">
        <v>0.51</v>
      </c>
      <c r="Q46" s="64">
        <v>9.75</v>
      </c>
      <c r="R46" s="198"/>
      <c r="S46" s="198"/>
      <c r="T46" s="198"/>
      <c r="U46" s="198"/>
    </row>
    <row r="47" spans="1:21" s="12" customFormat="1" x14ac:dyDescent="0.25">
      <c r="A47" s="214" t="s">
        <v>1533</v>
      </c>
      <c r="B47" s="64">
        <v>4.2699999999999996</v>
      </c>
      <c r="C47" s="64">
        <v>3.11</v>
      </c>
      <c r="D47" s="64">
        <v>7.24</v>
      </c>
      <c r="E47" s="64">
        <v>4.2699999999999996</v>
      </c>
      <c r="F47" s="64">
        <v>4.05</v>
      </c>
      <c r="G47" s="64">
        <v>48.74</v>
      </c>
      <c r="H47" s="64">
        <v>9.84</v>
      </c>
      <c r="I47" s="64">
        <v>3.1</v>
      </c>
      <c r="J47" s="64">
        <v>0.28000000000000003</v>
      </c>
      <c r="K47" s="64">
        <v>317.44</v>
      </c>
      <c r="L47" s="64">
        <v>26.86</v>
      </c>
      <c r="M47" s="64">
        <v>87.8</v>
      </c>
      <c r="N47" s="64">
        <v>211.9</v>
      </c>
      <c r="O47" s="64">
        <v>0</v>
      </c>
      <c r="P47" s="64">
        <v>0.5</v>
      </c>
      <c r="Q47" s="64">
        <v>9.73</v>
      </c>
      <c r="R47" s="198"/>
      <c r="S47" s="198"/>
      <c r="T47" s="198"/>
      <c r="U47" s="198"/>
    </row>
    <row r="48" spans="1:21" s="12" customFormat="1" x14ac:dyDescent="0.25">
      <c r="A48" s="214" t="s">
        <v>1534</v>
      </c>
      <c r="B48" s="64">
        <v>4.25</v>
      </c>
      <c r="C48" s="64">
        <v>3.13</v>
      </c>
      <c r="D48" s="64">
        <v>7.23</v>
      </c>
      <c r="E48" s="64">
        <v>4.1399999999999997</v>
      </c>
      <c r="F48" s="64">
        <v>3.25</v>
      </c>
      <c r="G48" s="64">
        <v>48.74</v>
      </c>
      <c r="H48" s="64">
        <v>9.84</v>
      </c>
      <c r="I48" s="64">
        <v>2.96</v>
      </c>
      <c r="J48" s="64">
        <v>0.27</v>
      </c>
      <c r="K48" s="64">
        <v>319.27999999999997</v>
      </c>
      <c r="L48" s="64">
        <v>26.89</v>
      </c>
      <c r="M48" s="64">
        <v>87.94</v>
      </c>
      <c r="N48" s="64">
        <v>243.6</v>
      </c>
      <c r="O48" s="64">
        <v>0</v>
      </c>
      <c r="P48" s="64">
        <v>0.5</v>
      </c>
      <c r="Q48" s="64">
        <v>9.75</v>
      </c>
      <c r="R48" s="198"/>
      <c r="S48" s="198"/>
      <c r="T48" s="198"/>
      <c r="U48" s="198"/>
    </row>
    <row r="49" spans="1:21" s="12" customFormat="1" x14ac:dyDescent="0.25">
      <c r="A49" s="214" t="s">
        <v>1535</v>
      </c>
      <c r="B49" s="64">
        <v>4.2300000000000004</v>
      </c>
      <c r="C49" s="64">
        <v>3.12</v>
      </c>
      <c r="D49" s="64">
        <v>7.22</v>
      </c>
      <c r="E49" s="64">
        <v>3.77</v>
      </c>
      <c r="F49" s="64">
        <v>3.63</v>
      </c>
      <c r="G49" s="64">
        <v>48.74</v>
      </c>
      <c r="H49" s="64">
        <v>9.84</v>
      </c>
      <c r="I49" s="64">
        <v>2.86</v>
      </c>
      <c r="J49" s="64">
        <v>0.3</v>
      </c>
      <c r="K49" s="64">
        <v>323.62</v>
      </c>
      <c r="L49" s="64">
        <v>27.1</v>
      </c>
      <c r="M49" s="64">
        <v>86.9</v>
      </c>
      <c r="N49" s="64">
        <v>247.9</v>
      </c>
      <c r="O49" s="64">
        <v>0</v>
      </c>
      <c r="P49" s="64">
        <v>0.5</v>
      </c>
      <c r="Q49" s="64">
        <v>9.7799999999999994</v>
      </c>
      <c r="R49" s="198"/>
      <c r="S49" s="198"/>
      <c r="T49" s="198"/>
      <c r="U49" s="198"/>
    </row>
    <row r="50" spans="1:21" s="12" customFormat="1" x14ac:dyDescent="0.25">
      <c r="A50" s="214" t="s">
        <v>1536</v>
      </c>
      <c r="B50" s="64">
        <v>4.24</v>
      </c>
      <c r="C50" s="64">
        <v>3.21</v>
      </c>
      <c r="D50" s="64">
        <v>7.27</v>
      </c>
      <c r="E50" s="64">
        <v>4.04</v>
      </c>
      <c r="F50" s="64">
        <v>3.94</v>
      </c>
      <c r="G50" s="64">
        <v>49.83</v>
      </c>
      <c r="H50" s="64">
        <v>11.27</v>
      </c>
      <c r="I50" s="64">
        <v>2.75</v>
      </c>
      <c r="J50" s="64">
        <v>0.56999999999999995</v>
      </c>
      <c r="K50" s="64">
        <v>316.47000000000003</v>
      </c>
      <c r="L50" s="64">
        <v>27.2</v>
      </c>
      <c r="M50" s="64">
        <v>86.77</v>
      </c>
      <c r="N50" s="64">
        <v>227.4</v>
      </c>
      <c r="O50" s="64">
        <v>0</v>
      </c>
      <c r="P50" s="64">
        <v>0.5</v>
      </c>
      <c r="Q50" s="64">
        <v>9.76</v>
      </c>
      <c r="R50" s="198"/>
      <c r="S50" s="198"/>
      <c r="T50" s="198"/>
      <c r="U50" s="198"/>
    </row>
    <row r="51" spans="1:21" s="12" customFormat="1" x14ac:dyDescent="0.25">
      <c r="A51" s="214" t="s">
        <v>1537</v>
      </c>
      <c r="B51" s="64">
        <v>4.28</v>
      </c>
      <c r="C51" s="64">
        <v>3.27</v>
      </c>
      <c r="D51" s="64">
        <v>7.33</v>
      </c>
      <c r="E51" s="64">
        <v>4.1500000000000004</v>
      </c>
      <c r="F51" s="64">
        <v>3.04</v>
      </c>
      <c r="G51" s="64">
        <v>51.54</v>
      </c>
      <c r="H51" s="64">
        <v>12.62</v>
      </c>
      <c r="I51" s="64">
        <v>2.63</v>
      </c>
      <c r="J51" s="64">
        <v>0.35</v>
      </c>
      <c r="K51" s="64">
        <v>313.45</v>
      </c>
      <c r="L51" s="64">
        <v>27.59</v>
      </c>
      <c r="M51" s="64">
        <v>85.37</v>
      </c>
      <c r="N51" s="64">
        <v>281</v>
      </c>
      <c r="O51" s="64">
        <v>0</v>
      </c>
      <c r="P51" s="64">
        <v>0.5</v>
      </c>
      <c r="Q51" s="64">
        <v>9.75</v>
      </c>
      <c r="R51" s="198"/>
      <c r="S51" s="198"/>
      <c r="T51" s="198"/>
      <c r="U51" s="198"/>
    </row>
    <row r="52" spans="1:21" s="12" customFormat="1" x14ac:dyDescent="0.25">
      <c r="A52" s="214" t="s">
        <v>1538</v>
      </c>
      <c r="B52" s="64">
        <v>4.32</v>
      </c>
      <c r="C52" s="64">
        <v>3.27</v>
      </c>
      <c r="D52" s="64">
        <v>7.36</v>
      </c>
      <c r="E52" s="64">
        <v>4.29</v>
      </c>
      <c r="F52" s="64">
        <v>4.58</v>
      </c>
      <c r="G52" s="64">
        <v>51.54</v>
      </c>
      <c r="H52" s="64">
        <v>12.62</v>
      </c>
      <c r="I52" s="64">
        <v>2.5299999999999998</v>
      </c>
      <c r="J52" s="64">
        <v>0.5</v>
      </c>
      <c r="K52" s="64">
        <v>315.08</v>
      </c>
      <c r="L52" s="64">
        <v>28.09</v>
      </c>
      <c r="M52" s="64">
        <v>81.760000000000005</v>
      </c>
      <c r="N52" s="64">
        <v>284.5</v>
      </c>
      <c r="O52" s="64">
        <v>0</v>
      </c>
      <c r="P52" s="64">
        <v>0.49</v>
      </c>
      <c r="Q52" s="64">
        <v>9.74</v>
      </c>
      <c r="R52" s="198"/>
      <c r="S52" s="198"/>
      <c r="T52" s="198"/>
      <c r="U52" s="198"/>
    </row>
    <row r="53" spans="1:21" s="12" customFormat="1" x14ac:dyDescent="0.25">
      <c r="A53" s="214" t="s">
        <v>1539</v>
      </c>
      <c r="B53" s="64">
        <v>4.29</v>
      </c>
      <c r="C53" s="64">
        <v>3.25</v>
      </c>
      <c r="D53" s="64">
        <v>7.33</v>
      </c>
      <c r="E53" s="64">
        <v>3.92</v>
      </c>
      <c r="F53" s="64">
        <v>4.4800000000000004</v>
      </c>
      <c r="G53" s="64">
        <v>51.54</v>
      </c>
      <c r="H53" s="64">
        <v>12.62</v>
      </c>
      <c r="I53" s="64">
        <v>2.4300000000000002</v>
      </c>
      <c r="J53" s="64">
        <v>0.69</v>
      </c>
      <c r="K53" s="64">
        <v>319.05</v>
      </c>
      <c r="L53" s="64">
        <v>28.31</v>
      </c>
      <c r="M53" s="64">
        <v>81.96</v>
      </c>
      <c r="N53" s="64">
        <v>262.8</v>
      </c>
      <c r="O53" s="64">
        <v>0</v>
      </c>
      <c r="P53" s="64">
        <v>0.5</v>
      </c>
      <c r="Q53" s="64">
        <v>9.67</v>
      </c>
      <c r="R53" s="198"/>
      <c r="S53" s="198"/>
      <c r="T53" s="198"/>
      <c r="U53" s="198"/>
    </row>
    <row r="54" spans="1:21" s="12" customFormat="1" x14ac:dyDescent="0.25">
      <c r="A54" s="214" t="s">
        <v>1540</v>
      </c>
      <c r="B54" s="64">
        <v>4.29</v>
      </c>
      <c r="C54" s="64">
        <v>3.19</v>
      </c>
      <c r="D54" s="64">
        <v>7.3</v>
      </c>
      <c r="E54" s="64">
        <v>4.17</v>
      </c>
      <c r="F54" s="64">
        <v>6.3</v>
      </c>
      <c r="G54" s="64">
        <v>14.32</v>
      </c>
      <c r="H54" s="64">
        <v>3.51</v>
      </c>
      <c r="I54" s="64">
        <v>2.12</v>
      </c>
      <c r="J54" s="64">
        <v>0.99</v>
      </c>
      <c r="K54" s="64">
        <v>327.89</v>
      </c>
      <c r="L54" s="64">
        <v>28.21</v>
      </c>
      <c r="M54" s="64">
        <v>81.19</v>
      </c>
      <c r="N54" s="64">
        <v>277.89999999999998</v>
      </c>
      <c r="O54" s="64">
        <v>0</v>
      </c>
      <c r="P54" s="64">
        <v>0.49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4" t="s">
        <v>1541</v>
      </c>
      <c r="B55" s="64">
        <v>4.28</v>
      </c>
      <c r="C55" s="64">
        <v>3.29</v>
      </c>
      <c r="D55" s="64">
        <v>7.34</v>
      </c>
      <c r="E55" s="64">
        <v>4.3099999999999996</v>
      </c>
      <c r="F55" s="64">
        <v>5.03</v>
      </c>
      <c r="G55" s="212" t="s">
        <v>42</v>
      </c>
      <c r="H55" s="212" t="s">
        <v>42</v>
      </c>
      <c r="I55" s="64">
        <v>1.87</v>
      </c>
      <c r="J55" s="64">
        <v>0.54</v>
      </c>
      <c r="K55" s="64">
        <v>323.16000000000003</v>
      </c>
      <c r="L55" s="64">
        <v>28.38</v>
      </c>
      <c r="M55" s="64">
        <v>81</v>
      </c>
      <c r="N55" s="64">
        <v>388.5</v>
      </c>
      <c r="O55" s="64">
        <v>0</v>
      </c>
      <c r="P55" s="64">
        <v>0.48</v>
      </c>
      <c r="Q55" s="64">
        <v>9.58</v>
      </c>
      <c r="R55" s="198"/>
      <c r="S55" s="198"/>
      <c r="T55" s="198"/>
      <c r="U55" s="198"/>
    </row>
    <row r="56" spans="1:21" s="12" customFormat="1" x14ac:dyDescent="0.25">
      <c r="A56" s="214" t="s">
        <v>1542</v>
      </c>
      <c r="B56" s="64">
        <v>4.2699999999999996</v>
      </c>
      <c r="C56" s="64">
        <v>3.25</v>
      </c>
      <c r="D56" s="64">
        <v>7.31</v>
      </c>
      <c r="E56" s="64">
        <v>4.84</v>
      </c>
      <c r="F56" s="64">
        <v>4.8099999999999996</v>
      </c>
      <c r="G56" s="212" t="s">
        <v>42</v>
      </c>
      <c r="H56" s="212" t="s">
        <v>42</v>
      </c>
      <c r="I56" s="64">
        <v>1.55</v>
      </c>
      <c r="J56" s="64">
        <v>0.68</v>
      </c>
      <c r="K56" s="64">
        <v>321.79000000000002</v>
      </c>
      <c r="L56" s="64">
        <v>29.23</v>
      </c>
      <c r="M56" s="64">
        <v>76.709999999999994</v>
      </c>
      <c r="N56" s="64">
        <v>526.20000000000005</v>
      </c>
      <c r="O56" s="64">
        <v>0</v>
      </c>
      <c r="P56" s="64">
        <v>0.46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4" t="s">
        <v>1543</v>
      </c>
      <c r="B57" s="64">
        <v>4.26</v>
      </c>
      <c r="C57" s="64">
        <v>3.18</v>
      </c>
      <c r="D57" s="64">
        <v>7.27</v>
      </c>
      <c r="E57" s="64">
        <v>4.51</v>
      </c>
      <c r="F57" s="64">
        <v>5.4</v>
      </c>
      <c r="G57" s="212" t="s">
        <v>42</v>
      </c>
      <c r="H57" s="212" t="s">
        <v>42</v>
      </c>
      <c r="I57" s="64">
        <v>1.31</v>
      </c>
      <c r="J57" s="64">
        <v>0.97</v>
      </c>
      <c r="K57" s="64">
        <v>324.25</v>
      </c>
      <c r="L57" s="64">
        <v>29.92</v>
      </c>
      <c r="M57" s="64">
        <v>73.569999999999993</v>
      </c>
      <c r="N57" s="64">
        <v>484.7</v>
      </c>
      <c r="O57" s="64">
        <v>0</v>
      </c>
      <c r="P57" s="64">
        <v>0.43</v>
      </c>
      <c r="Q57" s="64">
        <v>9.5500000000000007</v>
      </c>
      <c r="R57" s="198"/>
      <c r="S57" s="198"/>
      <c r="T57" s="198"/>
      <c r="U57" s="198"/>
    </row>
    <row r="58" spans="1:21" s="12" customFormat="1" x14ac:dyDescent="0.25">
      <c r="A58" s="214" t="s">
        <v>1544</v>
      </c>
      <c r="B58" s="64">
        <v>4.25</v>
      </c>
      <c r="C58" s="64">
        <v>3.16</v>
      </c>
      <c r="D58" s="64">
        <v>7.25</v>
      </c>
      <c r="E58" s="64">
        <v>4.38</v>
      </c>
      <c r="F58" s="64">
        <v>5.96</v>
      </c>
      <c r="G58" s="64">
        <v>76.34</v>
      </c>
      <c r="H58" s="64">
        <v>14.33</v>
      </c>
      <c r="I58" s="64">
        <v>1.25</v>
      </c>
      <c r="J58" s="64">
        <v>1.37</v>
      </c>
      <c r="K58" s="64">
        <v>320.60000000000002</v>
      </c>
      <c r="L58" s="64">
        <v>30</v>
      </c>
      <c r="M58" s="64">
        <v>72.89</v>
      </c>
      <c r="N58" s="64">
        <v>552.4</v>
      </c>
      <c r="O58" s="64">
        <v>0</v>
      </c>
      <c r="P58" s="64">
        <v>0.41</v>
      </c>
      <c r="Q58" s="64">
        <v>9.5500000000000007</v>
      </c>
      <c r="R58" s="198"/>
      <c r="S58" s="198"/>
      <c r="T58" s="198"/>
      <c r="U58" s="198"/>
    </row>
    <row r="59" spans="1:21" s="12" customFormat="1" x14ac:dyDescent="0.25">
      <c r="A59" s="214" t="s">
        <v>1545</v>
      </c>
      <c r="B59" s="64">
        <v>4.25</v>
      </c>
      <c r="C59" s="64">
        <v>3.17</v>
      </c>
      <c r="D59" s="64">
        <v>7.25</v>
      </c>
      <c r="E59" s="64">
        <v>4.33</v>
      </c>
      <c r="F59" s="64">
        <v>5.88</v>
      </c>
      <c r="G59" s="64">
        <v>102.55</v>
      </c>
      <c r="H59" s="64">
        <v>19.25</v>
      </c>
      <c r="I59" s="64">
        <v>1.1499999999999999</v>
      </c>
      <c r="J59" s="64">
        <v>0.89</v>
      </c>
      <c r="K59" s="64">
        <v>323.64999999999998</v>
      </c>
      <c r="L59" s="64">
        <v>30</v>
      </c>
      <c r="M59" s="64">
        <v>70.64</v>
      </c>
      <c r="N59" s="64">
        <v>551.1</v>
      </c>
      <c r="O59" s="64">
        <v>0</v>
      </c>
      <c r="P59" s="64">
        <v>0.38</v>
      </c>
      <c r="Q59" s="64">
        <v>9.5500000000000007</v>
      </c>
      <c r="R59" s="198"/>
      <c r="S59" s="198"/>
      <c r="T59" s="198"/>
      <c r="U59" s="198"/>
    </row>
    <row r="60" spans="1:21" s="12" customFormat="1" x14ac:dyDescent="0.25">
      <c r="A60" s="214" t="s">
        <v>1546</v>
      </c>
      <c r="B60" s="64">
        <v>4.22</v>
      </c>
      <c r="C60" s="64">
        <v>3.16</v>
      </c>
      <c r="D60" s="64">
        <v>7.22</v>
      </c>
      <c r="E60" s="64">
        <v>4.28</v>
      </c>
      <c r="F60" s="64">
        <v>4.92</v>
      </c>
      <c r="G60" s="64">
        <v>102.55</v>
      </c>
      <c r="H60" s="64">
        <v>19.25</v>
      </c>
      <c r="I60" s="64">
        <v>1.06</v>
      </c>
      <c r="J60" s="64">
        <v>0.74</v>
      </c>
      <c r="K60" s="64">
        <v>324.17</v>
      </c>
      <c r="L60" s="64">
        <v>29.57</v>
      </c>
      <c r="M60" s="64">
        <v>72.92</v>
      </c>
      <c r="N60" s="64">
        <v>464.1</v>
      </c>
      <c r="O60" s="64">
        <v>0</v>
      </c>
      <c r="P60" s="64">
        <v>0.38</v>
      </c>
      <c r="Q60" s="64">
        <v>9.57</v>
      </c>
      <c r="R60" s="198"/>
      <c r="S60" s="198"/>
      <c r="T60" s="198"/>
      <c r="U60" s="198"/>
    </row>
    <row r="61" spans="1:21" s="12" customFormat="1" x14ac:dyDescent="0.25">
      <c r="A61" s="214" t="s">
        <v>1547</v>
      </c>
      <c r="B61" s="64">
        <v>4.21</v>
      </c>
      <c r="C61" s="64">
        <v>3.13</v>
      </c>
      <c r="D61" s="64">
        <v>7.2</v>
      </c>
      <c r="E61" s="64">
        <v>4.1900000000000004</v>
      </c>
      <c r="F61" s="64">
        <v>4.09</v>
      </c>
      <c r="G61" s="64">
        <v>102.55</v>
      </c>
      <c r="H61" s="64">
        <v>19.25</v>
      </c>
      <c r="I61" s="64">
        <v>1.01</v>
      </c>
      <c r="J61" s="64">
        <v>0.88</v>
      </c>
      <c r="K61" s="64">
        <v>329.12</v>
      </c>
      <c r="L61" s="64">
        <v>29.66</v>
      </c>
      <c r="M61" s="64">
        <v>72.84</v>
      </c>
      <c r="N61" s="64">
        <v>651.1</v>
      </c>
      <c r="O61" s="64">
        <v>0</v>
      </c>
      <c r="P61" s="64">
        <v>0.35</v>
      </c>
      <c r="Q61" s="64">
        <v>9.59</v>
      </c>
      <c r="R61" s="198"/>
      <c r="S61" s="198"/>
      <c r="T61" s="198"/>
      <c r="U61" s="198"/>
    </row>
    <row r="62" spans="1:21" s="12" customFormat="1" x14ac:dyDescent="0.25">
      <c r="A62" s="214" t="s">
        <v>1548</v>
      </c>
      <c r="B62" s="64">
        <v>4.2</v>
      </c>
      <c r="C62" s="64">
        <v>3.13</v>
      </c>
      <c r="D62" s="64">
        <v>7.19</v>
      </c>
      <c r="E62" s="64">
        <v>4.26</v>
      </c>
      <c r="F62" s="64">
        <v>5.51</v>
      </c>
      <c r="G62" s="64">
        <v>96.74</v>
      </c>
      <c r="H62" s="64">
        <v>17.96</v>
      </c>
      <c r="I62" s="64">
        <v>1</v>
      </c>
      <c r="J62" s="64">
        <v>1.17</v>
      </c>
      <c r="K62" s="64">
        <v>324.3</v>
      </c>
      <c r="L62" s="64">
        <v>29.96</v>
      </c>
      <c r="M62" s="64">
        <v>70.77</v>
      </c>
      <c r="N62" s="64">
        <v>655.1</v>
      </c>
      <c r="O62" s="64">
        <v>0</v>
      </c>
      <c r="P62" s="64">
        <v>0.35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4" t="s">
        <v>1549</v>
      </c>
      <c r="B63" s="64">
        <v>4.1900000000000004</v>
      </c>
      <c r="C63" s="64">
        <v>3.1</v>
      </c>
      <c r="D63" s="64">
        <v>7.17</v>
      </c>
      <c r="E63" s="64">
        <v>5.34</v>
      </c>
      <c r="F63" s="64">
        <v>4.6100000000000003</v>
      </c>
      <c r="G63" s="64">
        <v>94.74</v>
      </c>
      <c r="H63" s="64">
        <v>17.52</v>
      </c>
      <c r="I63" s="64">
        <v>0.98</v>
      </c>
      <c r="J63" s="64">
        <v>1.38</v>
      </c>
      <c r="K63" s="64">
        <v>318.73</v>
      </c>
      <c r="L63" s="64">
        <v>29.55</v>
      </c>
      <c r="M63" s="64">
        <v>72.23</v>
      </c>
      <c r="N63" s="64">
        <v>358.1</v>
      </c>
      <c r="O63" s="64">
        <v>0</v>
      </c>
      <c r="P63" s="64">
        <v>0.34</v>
      </c>
      <c r="Q63" s="64">
        <v>9.6300000000000008</v>
      </c>
      <c r="R63" s="198"/>
      <c r="S63" s="198"/>
      <c r="T63" s="198"/>
      <c r="U63" s="198"/>
    </row>
    <row r="64" spans="1:21" s="12" customFormat="1" x14ac:dyDescent="0.25">
      <c r="A64" s="214" t="s">
        <v>1550</v>
      </c>
      <c r="B64" s="64">
        <v>4.21</v>
      </c>
      <c r="C64" s="64">
        <v>3.21</v>
      </c>
      <c r="D64" s="64">
        <v>7.24</v>
      </c>
      <c r="E64" s="64">
        <v>4.05</v>
      </c>
      <c r="F64" s="64">
        <v>6.59</v>
      </c>
      <c r="G64" s="64">
        <v>94.74</v>
      </c>
      <c r="H64" s="64">
        <v>17.52</v>
      </c>
      <c r="I64" s="64">
        <v>0.95</v>
      </c>
      <c r="J64" s="64">
        <v>1.06</v>
      </c>
      <c r="K64" s="64">
        <v>322.54000000000002</v>
      </c>
      <c r="L64" s="64">
        <v>29.86</v>
      </c>
      <c r="M64" s="64">
        <v>73.22</v>
      </c>
      <c r="N64" s="64">
        <v>277.89999999999998</v>
      </c>
      <c r="O64" s="64">
        <v>0</v>
      </c>
      <c r="P64" s="64">
        <v>0.33</v>
      </c>
      <c r="Q64" s="64">
        <v>9.59</v>
      </c>
      <c r="R64" s="198"/>
      <c r="S64" s="198"/>
      <c r="T64" s="198"/>
      <c r="U64" s="198"/>
    </row>
    <row r="65" spans="1:21" s="12" customFormat="1" x14ac:dyDescent="0.25">
      <c r="A65" s="214" t="s">
        <v>1551</v>
      </c>
      <c r="B65" s="64">
        <v>4.2</v>
      </c>
      <c r="C65" s="64">
        <v>3.13</v>
      </c>
      <c r="D65" s="64">
        <v>7.19</v>
      </c>
      <c r="E65" s="64">
        <v>4.1500000000000004</v>
      </c>
      <c r="F65" s="64">
        <v>5.76</v>
      </c>
      <c r="G65" s="64">
        <v>94.74</v>
      </c>
      <c r="H65" s="64">
        <v>17.52</v>
      </c>
      <c r="I65" s="64">
        <v>0.89</v>
      </c>
      <c r="J65" s="64">
        <v>0.88</v>
      </c>
      <c r="K65" s="64">
        <v>324.07</v>
      </c>
      <c r="L65" s="64">
        <v>29.87</v>
      </c>
      <c r="M65" s="64">
        <v>72.87</v>
      </c>
      <c r="N65" s="64">
        <v>230.1</v>
      </c>
      <c r="O65" s="64">
        <v>0</v>
      </c>
      <c r="P65" s="64">
        <v>0.33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4" t="s">
        <v>1552</v>
      </c>
      <c r="B66" s="64">
        <v>4.18</v>
      </c>
      <c r="C66" s="64">
        <v>3.13</v>
      </c>
      <c r="D66" s="64">
        <v>7.18</v>
      </c>
      <c r="E66" s="64">
        <v>4.38</v>
      </c>
      <c r="F66" s="64">
        <v>3.17</v>
      </c>
      <c r="G66" s="64">
        <v>82.7</v>
      </c>
      <c r="H66" s="64">
        <v>18.04</v>
      </c>
      <c r="I66" s="64">
        <v>0.86</v>
      </c>
      <c r="J66" s="64">
        <v>0.68</v>
      </c>
      <c r="K66" s="64">
        <v>325.26</v>
      </c>
      <c r="L66" s="64">
        <v>29.55</v>
      </c>
      <c r="M66" s="64">
        <v>74.349999999999994</v>
      </c>
      <c r="N66" s="64">
        <v>231.9</v>
      </c>
      <c r="O66" s="64">
        <v>0</v>
      </c>
      <c r="P66" s="64">
        <v>0.34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4" t="s">
        <v>1553</v>
      </c>
      <c r="B67" s="64">
        <v>4.2</v>
      </c>
      <c r="C67" s="64">
        <v>3.18</v>
      </c>
      <c r="D67" s="64">
        <v>7.22</v>
      </c>
      <c r="E67" s="64">
        <v>4.33</v>
      </c>
      <c r="F67" s="64">
        <v>5.2</v>
      </c>
      <c r="G67" s="64">
        <v>78.569999999999993</v>
      </c>
      <c r="H67" s="64">
        <v>18.05</v>
      </c>
      <c r="I67" s="64">
        <v>0.88</v>
      </c>
      <c r="J67" s="64">
        <v>0.79</v>
      </c>
      <c r="K67" s="64">
        <v>327.86</v>
      </c>
      <c r="L67" s="64">
        <v>29.55</v>
      </c>
      <c r="M67" s="64">
        <v>74.430000000000007</v>
      </c>
      <c r="N67" s="64">
        <v>230.3</v>
      </c>
      <c r="O67" s="64">
        <v>0</v>
      </c>
      <c r="P67" s="64">
        <v>0.34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4" t="s">
        <v>1554</v>
      </c>
      <c r="B68" s="64">
        <v>4.2</v>
      </c>
      <c r="C68" s="64">
        <v>3.15</v>
      </c>
      <c r="D68" s="64">
        <v>7.21</v>
      </c>
      <c r="E68" s="64">
        <v>4.0599999999999996</v>
      </c>
      <c r="F68" s="64">
        <v>5.52</v>
      </c>
      <c r="G68" s="64">
        <v>78.569999999999993</v>
      </c>
      <c r="H68" s="64">
        <v>18.05</v>
      </c>
      <c r="I68" s="64">
        <v>0.89</v>
      </c>
      <c r="J68" s="64">
        <v>1.04</v>
      </c>
      <c r="K68" s="64">
        <v>319.82</v>
      </c>
      <c r="L68" s="64">
        <v>29.25</v>
      </c>
      <c r="M68" s="64">
        <v>75.19</v>
      </c>
      <c r="N68" s="64">
        <v>208.8</v>
      </c>
      <c r="O68" s="64">
        <v>0</v>
      </c>
      <c r="P68" s="64">
        <v>0.34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4" t="s">
        <v>1555</v>
      </c>
      <c r="B69" s="64">
        <v>4.21</v>
      </c>
      <c r="C69" s="64">
        <v>3.17</v>
      </c>
      <c r="D69" s="64">
        <v>7.22</v>
      </c>
      <c r="E69" s="64">
        <v>4.1100000000000003</v>
      </c>
      <c r="F69" s="64">
        <v>4.1100000000000003</v>
      </c>
      <c r="G69" s="64">
        <v>78.569999999999993</v>
      </c>
      <c r="H69" s="64">
        <v>18.05</v>
      </c>
      <c r="I69" s="64">
        <v>0.96</v>
      </c>
      <c r="J69" s="64">
        <v>1.25</v>
      </c>
      <c r="K69" s="64">
        <v>321.57</v>
      </c>
      <c r="L69" s="64">
        <v>29.37</v>
      </c>
      <c r="M69" s="64">
        <v>74.37</v>
      </c>
      <c r="N69" s="64">
        <v>217.1</v>
      </c>
      <c r="O69" s="64">
        <v>0</v>
      </c>
      <c r="P69" s="64">
        <v>0.33</v>
      </c>
      <c r="Q69" s="64">
        <v>9.58</v>
      </c>
      <c r="R69" s="198"/>
      <c r="S69" s="198"/>
      <c r="T69" s="198"/>
      <c r="U69" s="198"/>
    </row>
    <row r="70" spans="1:21" s="12" customFormat="1" x14ac:dyDescent="0.25">
      <c r="A70" s="214" t="s">
        <v>1556</v>
      </c>
      <c r="B70" s="64">
        <v>4.22</v>
      </c>
      <c r="C70" s="64">
        <v>3.19</v>
      </c>
      <c r="D70" s="64">
        <v>7.24</v>
      </c>
      <c r="E70" s="64">
        <v>4.05</v>
      </c>
      <c r="F70" s="64">
        <v>4.33</v>
      </c>
      <c r="G70" s="64">
        <v>68.87</v>
      </c>
      <c r="H70" s="64">
        <v>14.14</v>
      </c>
      <c r="I70" s="64">
        <v>0.94</v>
      </c>
      <c r="J70" s="64">
        <v>1</v>
      </c>
      <c r="K70" s="64">
        <v>325.86</v>
      </c>
      <c r="L70" s="64">
        <v>29.55</v>
      </c>
      <c r="M70" s="64">
        <v>74.66</v>
      </c>
      <c r="N70" s="64">
        <v>241.2</v>
      </c>
      <c r="O70" s="64">
        <v>0</v>
      </c>
      <c r="P70" s="64">
        <v>0.33</v>
      </c>
      <c r="Q70" s="64">
        <v>9.57</v>
      </c>
      <c r="R70" s="198"/>
      <c r="S70" s="198"/>
      <c r="T70" s="198"/>
      <c r="U70" s="198"/>
    </row>
    <row r="71" spans="1:21" s="12" customFormat="1" x14ac:dyDescent="0.25">
      <c r="A71" s="214" t="s">
        <v>1557</v>
      </c>
      <c r="B71" s="64">
        <v>4.2300000000000004</v>
      </c>
      <c r="C71" s="64">
        <v>3.16</v>
      </c>
      <c r="D71" s="64">
        <v>7.23</v>
      </c>
      <c r="E71" s="64">
        <v>4.03</v>
      </c>
      <c r="F71" s="64">
        <v>4.33</v>
      </c>
      <c r="G71" s="64">
        <v>65.540000000000006</v>
      </c>
      <c r="H71" s="64">
        <v>14.05</v>
      </c>
      <c r="I71" s="64">
        <v>0.87</v>
      </c>
      <c r="J71" s="64">
        <v>1.41</v>
      </c>
      <c r="K71" s="64">
        <v>323.64</v>
      </c>
      <c r="L71" s="64">
        <v>29.76</v>
      </c>
      <c r="M71" s="64">
        <v>74.69</v>
      </c>
      <c r="N71" s="64">
        <v>218.9</v>
      </c>
      <c r="O71" s="64">
        <v>0</v>
      </c>
      <c r="P71" s="64">
        <v>0.33</v>
      </c>
      <c r="Q71" s="64">
        <v>60.89</v>
      </c>
      <c r="R71" s="198"/>
      <c r="S71" s="198"/>
      <c r="T71" s="198"/>
      <c r="U71" s="198"/>
    </row>
    <row r="72" spans="1:21" s="12" customFormat="1" x14ac:dyDescent="0.25">
      <c r="A72" s="214" t="s">
        <v>1558</v>
      </c>
      <c r="B72" s="64">
        <v>4.51</v>
      </c>
      <c r="C72" s="64">
        <v>3.77</v>
      </c>
      <c r="D72" s="64">
        <v>7.77</v>
      </c>
      <c r="E72" s="64">
        <v>6.48</v>
      </c>
      <c r="F72" s="64">
        <v>5.05</v>
      </c>
      <c r="G72" s="64">
        <v>65.540000000000006</v>
      </c>
      <c r="H72" s="64">
        <v>14.05</v>
      </c>
      <c r="I72" s="64">
        <v>0.86</v>
      </c>
      <c r="J72" s="64">
        <v>0.75</v>
      </c>
      <c r="K72" s="64">
        <v>329.71</v>
      </c>
      <c r="L72" s="64">
        <v>29.5</v>
      </c>
      <c r="M72" s="64">
        <v>74.63</v>
      </c>
      <c r="N72" s="64">
        <v>146.69999999999999</v>
      </c>
      <c r="O72" s="64">
        <v>0</v>
      </c>
      <c r="P72" s="64">
        <v>0.32</v>
      </c>
      <c r="Q72" s="64">
        <v>29.41</v>
      </c>
      <c r="R72" s="198"/>
      <c r="S72" s="198"/>
      <c r="T72" s="198"/>
      <c r="U72" s="198"/>
    </row>
    <row r="73" spans="1:21" s="12" customFormat="1" x14ac:dyDescent="0.25">
      <c r="A73" s="214" t="s">
        <v>1559</v>
      </c>
      <c r="B73" s="64">
        <v>4.33</v>
      </c>
      <c r="C73" s="64">
        <v>3.33</v>
      </c>
      <c r="D73" s="64">
        <v>7.4</v>
      </c>
      <c r="E73" s="64">
        <v>4.49</v>
      </c>
      <c r="F73" s="64">
        <v>4.42</v>
      </c>
      <c r="G73" s="64">
        <v>65.540000000000006</v>
      </c>
      <c r="H73" s="64">
        <v>14.05</v>
      </c>
      <c r="I73" s="64">
        <v>0.85</v>
      </c>
      <c r="J73" s="64">
        <v>0.98</v>
      </c>
      <c r="K73" s="64">
        <v>324.13</v>
      </c>
      <c r="L73" s="64">
        <v>28.91</v>
      </c>
      <c r="M73" s="64">
        <v>77.55</v>
      </c>
      <c r="N73" s="64">
        <v>129.1</v>
      </c>
      <c r="O73" s="64">
        <v>0</v>
      </c>
      <c r="P73" s="64">
        <v>0.34</v>
      </c>
      <c r="Q73" s="64">
        <v>12.99</v>
      </c>
      <c r="R73" s="198"/>
      <c r="S73" s="198"/>
      <c r="T73" s="198"/>
      <c r="U73" s="198"/>
    </row>
    <row r="74" spans="1:21" s="12" customFormat="1" x14ac:dyDescent="0.25">
      <c r="A74" s="214" t="s">
        <v>1560</v>
      </c>
      <c r="B74" s="64">
        <v>4.2699999999999996</v>
      </c>
      <c r="C74" s="64">
        <v>3.17</v>
      </c>
      <c r="D74" s="64">
        <v>7.27</v>
      </c>
      <c r="E74" s="64">
        <v>4.34</v>
      </c>
      <c r="F74" s="64">
        <v>3.88</v>
      </c>
      <c r="G74" s="64">
        <v>61.22</v>
      </c>
      <c r="H74" s="64">
        <v>9.9</v>
      </c>
      <c r="I74" s="64">
        <v>0.88</v>
      </c>
      <c r="J74" s="64">
        <v>0.74</v>
      </c>
      <c r="K74" s="64">
        <v>338.31</v>
      </c>
      <c r="L74" s="64">
        <v>28.61</v>
      </c>
      <c r="M74" s="64">
        <v>78.91</v>
      </c>
      <c r="N74" s="64">
        <v>107.3</v>
      </c>
      <c r="O74" s="64">
        <v>0</v>
      </c>
      <c r="P74" s="64">
        <v>0.33</v>
      </c>
      <c r="Q74" s="64">
        <v>10.61</v>
      </c>
      <c r="R74" s="198"/>
      <c r="S74" s="198"/>
      <c r="T74" s="198"/>
      <c r="U74" s="198"/>
    </row>
    <row r="75" spans="1:21" s="12" customFormat="1" x14ac:dyDescent="0.25">
      <c r="A75" s="214" t="s">
        <v>1561</v>
      </c>
      <c r="B75" s="64">
        <v>4.2699999999999996</v>
      </c>
      <c r="C75" s="64">
        <v>3.15</v>
      </c>
      <c r="D75" s="64">
        <v>7.26</v>
      </c>
      <c r="E75" s="64">
        <v>4.07</v>
      </c>
      <c r="F75" s="64">
        <v>4.74</v>
      </c>
      <c r="G75" s="64">
        <v>59.73</v>
      </c>
      <c r="H75" s="64">
        <v>9.84</v>
      </c>
      <c r="I75" s="64">
        <v>0.88</v>
      </c>
      <c r="J75" s="64">
        <v>0.79</v>
      </c>
      <c r="K75" s="64">
        <v>331.88</v>
      </c>
      <c r="L75" s="64">
        <v>28.24</v>
      </c>
      <c r="M75" s="64">
        <v>80.03</v>
      </c>
      <c r="N75" s="64">
        <v>102</v>
      </c>
      <c r="O75" s="64">
        <v>0</v>
      </c>
      <c r="P75" s="64">
        <v>0.33</v>
      </c>
      <c r="Q75" s="64">
        <v>9.75</v>
      </c>
      <c r="R75" s="198"/>
      <c r="S75" s="198"/>
      <c r="T75" s="198"/>
      <c r="U75" s="198"/>
    </row>
    <row r="76" spans="1:21" s="12" customFormat="1" x14ac:dyDescent="0.25">
      <c r="A76" s="214" t="s">
        <v>1562</v>
      </c>
      <c r="B76" s="64">
        <v>4.26</v>
      </c>
      <c r="C76" s="64">
        <v>3.17</v>
      </c>
      <c r="D76" s="64">
        <v>7.26</v>
      </c>
      <c r="E76" s="64">
        <v>4.51</v>
      </c>
      <c r="F76" s="64">
        <v>4.8899999999999997</v>
      </c>
      <c r="G76" s="64">
        <v>59.73</v>
      </c>
      <c r="H76" s="64">
        <v>9.84</v>
      </c>
      <c r="I76" s="64">
        <v>0.86</v>
      </c>
      <c r="J76" s="64">
        <v>0.67</v>
      </c>
      <c r="K76" s="64">
        <v>338.62</v>
      </c>
      <c r="L76" s="64">
        <v>28.1</v>
      </c>
      <c r="M76" s="64">
        <v>82.1</v>
      </c>
      <c r="N76" s="64">
        <v>103.3</v>
      </c>
      <c r="O76" s="64">
        <v>0</v>
      </c>
      <c r="P76" s="64">
        <v>0.33</v>
      </c>
      <c r="Q76" s="64">
        <v>9.3699999999999992</v>
      </c>
      <c r="R76" s="198"/>
      <c r="S76" s="198"/>
      <c r="T76" s="198"/>
      <c r="U76" s="198"/>
    </row>
    <row r="77" spans="1:21" s="12" customFormat="1" x14ac:dyDescent="0.25">
      <c r="A77" s="214" t="s">
        <v>1563</v>
      </c>
      <c r="B77" s="64">
        <v>4.22</v>
      </c>
      <c r="C77" s="64">
        <v>3.18</v>
      </c>
      <c r="D77" s="64">
        <v>7.24</v>
      </c>
      <c r="E77" s="64">
        <v>4.5999999999999996</v>
      </c>
      <c r="F77" s="64">
        <v>3.39</v>
      </c>
      <c r="G77" s="64">
        <v>59.73</v>
      </c>
      <c r="H77" s="64">
        <v>9.84</v>
      </c>
      <c r="I77" s="64">
        <v>0.88</v>
      </c>
      <c r="J77" s="64">
        <v>0.77</v>
      </c>
      <c r="K77" s="64">
        <v>335.16</v>
      </c>
      <c r="L77" s="64">
        <v>27.9</v>
      </c>
      <c r="M77" s="64">
        <v>83.27</v>
      </c>
      <c r="N77" s="64">
        <v>90.3</v>
      </c>
      <c r="O77" s="64">
        <v>0</v>
      </c>
      <c r="P77" s="64">
        <v>0.34</v>
      </c>
      <c r="Q77" s="64">
        <v>8.9600000000000009</v>
      </c>
      <c r="R77" s="198"/>
      <c r="S77" s="198"/>
      <c r="T77" s="198"/>
      <c r="U77" s="198"/>
    </row>
    <row r="78" spans="1:21" s="12" customFormat="1" x14ac:dyDescent="0.25">
      <c r="A78" s="214" t="s">
        <v>1564</v>
      </c>
      <c r="B78" s="64">
        <v>4.2300000000000004</v>
      </c>
      <c r="C78" s="64">
        <v>3.16</v>
      </c>
      <c r="D78" s="64">
        <v>7.23</v>
      </c>
      <c r="E78" s="64">
        <v>4.46</v>
      </c>
      <c r="F78" s="64">
        <v>3.11</v>
      </c>
      <c r="G78" s="64">
        <v>57.39</v>
      </c>
      <c r="H78" s="64">
        <v>11.47</v>
      </c>
      <c r="I78" s="64">
        <v>0.9</v>
      </c>
      <c r="J78" s="64">
        <v>0.85</v>
      </c>
      <c r="K78" s="64">
        <v>335.05</v>
      </c>
      <c r="L78" s="64">
        <v>27.71</v>
      </c>
      <c r="M78" s="64">
        <v>83.94</v>
      </c>
      <c r="N78" s="64">
        <v>65.099999999999994</v>
      </c>
      <c r="O78" s="64">
        <v>0</v>
      </c>
      <c r="P78" s="64">
        <v>0.35</v>
      </c>
      <c r="Q78" s="64">
        <v>9.06</v>
      </c>
      <c r="R78" s="198"/>
      <c r="S78" s="198"/>
      <c r="T78" s="198"/>
      <c r="U78" s="198"/>
    </row>
    <row r="79" spans="1:21" s="12" customFormat="1" x14ac:dyDescent="0.25">
      <c r="A79" s="214" t="s">
        <v>1565</v>
      </c>
      <c r="B79" s="64">
        <v>4.24</v>
      </c>
      <c r="C79" s="64">
        <v>3.15</v>
      </c>
      <c r="D79" s="64">
        <v>7.24</v>
      </c>
      <c r="E79" s="64">
        <v>4.28</v>
      </c>
      <c r="F79" s="64">
        <v>4.8499999999999996</v>
      </c>
      <c r="G79" s="64">
        <v>56.54</v>
      </c>
      <c r="H79" s="64">
        <v>11.5</v>
      </c>
      <c r="I79" s="64">
        <v>0.93</v>
      </c>
      <c r="J79" s="64">
        <v>0.95</v>
      </c>
      <c r="K79" s="64">
        <v>329.12</v>
      </c>
      <c r="L79" s="64">
        <v>27.42</v>
      </c>
      <c r="M79" s="64">
        <v>85.93</v>
      </c>
      <c r="N79" s="64">
        <v>47.7</v>
      </c>
      <c r="O79" s="64">
        <v>0</v>
      </c>
      <c r="P79" s="64">
        <v>0.35</v>
      </c>
      <c r="Q79" s="64">
        <v>9.16</v>
      </c>
      <c r="R79" s="198"/>
      <c r="S79" s="198"/>
      <c r="T79" s="198"/>
      <c r="U79" s="198"/>
    </row>
    <row r="80" spans="1:21" s="12" customFormat="1" x14ac:dyDescent="0.25">
      <c r="A80" s="214" t="s">
        <v>1566</v>
      </c>
      <c r="B80" s="64">
        <v>4.22</v>
      </c>
      <c r="C80" s="64">
        <v>3.14</v>
      </c>
      <c r="D80" s="64">
        <v>7.21</v>
      </c>
      <c r="E80" s="64">
        <v>4.22</v>
      </c>
      <c r="F80" s="64">
        <v>2.83</v>
      </c>
      <c r="G80" s="64">
        <v>56.54</v>
      </c>
      <c r="H80" s="64">
        <v>11.5</v>
      </c>
      <c r="I80" s="64">
        <v>0.95</v>
      </c>
      <c r="J80" s="64">
        <v>1.1299999999999999</v>
      </c>
      <c r="K80" s="64">
        <v>327.25</v>
      </c>
      <c r="L80" s="64">
        <v>26.95</v>
      </c>
      <c r="M80" s="64">
        <v>87.73</v>
      </c>
      <c r="N80" s="64">
        <v>35.9</v>
      </c>
      <c r="O80" s="64">
        <v>0</v>
      </c>
      <c r="P80" s="64">
        <v>0.37</v>
      </c>
      <c r="Q80" s="64">
        <v>9.1</v>
      </c>
      <c r="R80" s="198"/>
      <c r="S80" s="198"/>
      <c r="T80" s="198"/>
      <c r="U80" s="198"/>
    </row>
    <row r="81" spans="1:26" s="12" customFormat="1" x14ac:dyDescent="0.25">
      <c r="A81" s="214" t="s">
        <v>1567</v>
      </c>
      <c r="B81" s="64">
        <v>4.24</v>
      </c>
      <c r="C81" s="64">
        <v>3.17</v>
      </c>
      <c r="D81" s="64">
        <v>7.25</v>
      </c>
      <c r="E81" s="64">
        <v>4.3600000000000003</v>
      </c>
      <c r="F81" s="64">
        <v>3.01</v>
      </c>
      <c r="G81" s="64">
        <v>56.54</v>
      </c>
      <c r="H81" s="64">
        <v>11.5</v>
      </c>
      <c r="I81" s="64">
        <v>0.98</v>
      </c>
      <c r="J81" s="64">
        <v>0.7</v>
      </c>
      <c r="K81" s="64">
        <v>337.52</v>
      </c>
      <c r="L81" s="64">
        <v>26.73</v>
      </c>
      <c r="M81" s="64">
        <v>87.18</v>
      </c>
      <c r="N81" s="64">
        <v>28.5</v>
      </c>
      <c r="O81" s="64">
        <v>0</v>
      </c>
      <c r="P81" s="64">
        <v>0.38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4" t="s">
        <v>1568</v>
      </c>
      <c r="B82" s="64">
        <v>4.24</v>
      </c>
      <c r="C82" s="64">
        <v>3.18</v>
      </c>
      <c r="D82" s="64">
        <v>7.25</v>
      </c>
      <c r="E82" s="64">
        <v>4.2699999999999996</v>
      </c>
      <c r="F82" s="64">
        <v>4.7300000000000004</v>
      </c>
      <c r="G82" s="64">
        <v>55.64</v>
      </c>
      <c r="H82" s="64">
        <v>8.15</v>
      </c>
      <c r="I82" s="64">
        <v>1.03</v>
      </c>
      <c r="J82" s="64">
        <v>0.66</v>
      </c>
      <c r="K82" s="64">
        <v>343.75</v>
      </c>
      <c r="L82" s="64">
        <v>26.52</v>
      </c>
      <c r="M82" s="64">
        <v>85.62</v>
      </c>
      <c r="N82" s="64">
        <v>26.2</v>
      </c>
      <c r="O82" s="64">
        <v>0</v>
      </c>
      <c r="P82" s="64">
        <v>0.39</v>
      </c>
      <c r="Q82" s="64">
        <v>9.32</v>
      </c>
      <c r="R82" s="198"/>
      <c r="S82" s="198"/>
      <c r="T82" s="198"/>
      <c r="U82" s="198"/>
    </row>
    <row r="83" spans="1:26" s="12" customFormat="1" x14ac:dyDescent="0.25">
      <c r="A83" s="214" t="s">
        <v>1569</v>
      </c>
      <c r="B83" s="64">
        <v>4.21</v>
      </c>
      <c r="C83" s="64">
        <v>3.18</v>
      </c>
      <c r="D83" s="64">
        <v>7.23</v>
      </c>
      <c r="E83" s="64">
        <v>4.38</v>
      </c>
      <c r="F83" s="64">
        <v>2.36</v>
      </c>
      <c r="G83" s="64">
        <v>55.33</v>
      </c>
      <c r="H83" s="64">
        <v>8.1</v>
      </c>
      <c r="I83" s="64">
        <v>1.0900000000000001</v>
      </c>
      <c r="J83" s="64">
        <v>0.75</v>
      </c>
      <c r="K83" s="64">
        <v>332.8</v>
      </c>
      <c r="L83" s="64">
        <v>26.38</v>
      </c>
      <c r="M83" s="64">
        <v>84.07</v>
      </c>
      <c r="N83" s="64">
        <v>25.8</v>
      </c>
      <c r="O83" s="64">
        <v>0</v>
      </c>
      <c r="P83" s="64">
        <v>0.41</v>
      </c>
      <c r="Q83" s="64">
        <v>9.31</v>
      </c>
      <c r="R83" s="198"/>
      <c r="S83" s="198"/>
      <c r="T83" s="198"/>
      <c r="U83" s="198"/>
    </row>
    <row r="84" spans="1:26" s="12" customFormat="1" x14ac:dyDescent="0.25">
      <c r="A84" s="214" t="s">
        <v>1570</v>
      </c>
      <c r="B84" s="64">
        <v>4.22</v>
      </c>
      <c r="C84" s="64">
        <v>3.14</v>
      </c>
      <c r="D84" s="64">
        <v>7.21</v>
      </c>
      <c r="E84" s="64">
        <v>4.46</v>
      </c>
      <c r="F84" s="64">
        <v>3.87</v>
      </c>
      <c r="G84" s="64">
        <v>55.33</v>
      </c>
      <c r="H84" s="64">
        <v>8.1</v>
      </c>
      <c r="I84" s="64">
        <v>1.1499999999999999</v>
      </c>
      <c r="J84" s="64">
        <v>0.68</v>
      </c>
      <c r="K84" s="64">
        <v>341.11</v>
      </c>
      <c r="L84" s="64">
        <v>26.36</v>
      </c>
      <c r="M84" s="64">
        <v>83.01</v>
      </c>
      <c r="N84" s="64">
        <v>26</v>
      </c>
      <c r="O84" s="64">
        <v>0</v>
      </c>
      <c r="P84" s="64">
        <v>0.41</v>
      </c>
      <c r="Q84" s="64">
        <v>9.36</v>
      </c>
      <c r="R84" s="198"/>
      <c r="S84" s="198"/>
      <c r="T84" s="198"/>
      <c r="U84" s="198"/>
    </row>
    <row r="85" spans="1:26" s="12" customFormat="1" x14ac:dyDescent="0.25">
      <c r="A85" s="214" t="s">
        <v>1571</v>
      </c>
      <c r="B85" s="64">
        <v>4.22</v>
      </c>
      <c r="C85" s="64">
        <v>3.12</v>
      </c>
      <c r="D85" s="64">
        <v>7.21</v>
      </c>
      <c r="E85" s="64">
        <v>4.08</v>
      </c>
      <c r="F85" s="64">
        <v>3.53</v>
      </c>
      <c r="G85" s="64">
        <v>55.33</v>
      </c>
      <c r="H85" s="64">
        <v>8.1</v>
      </c>
      <c r="I85" s="64">
        <v>1.2</v>
      </c>
      <c r="J85" s="64">
        <v>0.61</v>
      </c>
      <c r="K85" s="64">
        <v>347.18</v>
      </c>
      <c r="L85" s="64">
        <v>26.16</v>
      </c>
      <c r="M85" s="64">
        <v>83.87</v>
      </c>
      <c r="N85" s="64">
        <v>25.9</v>
      </c>
      <c r="O85" s="64">
        <v>0</v>
      </c>
      <c r="P85" s="64">
        <v>0.42</v>
      </c>
      <c r="Q85" s="64">
        <v>9.36</v>
      </c>
      <c r="R85" s="198"/>
      <c r="S85" s="198"/>
      <c r="T85" s="198"/>
      <c r="U85" s="198"/>
    </row>
    <row r="86" spans="1:26" s="12" customFormat="1" x14ac:dyDescent="0.25">
      <c r="A86" s="214" t="s">
        <v>1572</v>
      </c>
      <c r="B86" s="64">
        <v>4.26</v>
      </c>
      <c r="C86" s="64">
        <v>3.16</v>
      </c>
      <c r="D86" s="64">
        <v>7.26</v>
      </c>
      <c r="E86" s="64">
        <v>4.08</v>
      </c>
      <c r="F86" s="64">
        <v>3.48</v>
      </c>
      <c r="G86" s="64">
        <v>53.41</v>
      </c>
      <c r="H86" s="64">
        <v>9.9499999999999993</v>
      </c>
      <c r="I86" s="64">
        <v>1.23</v>
      </c>
      <c r="J86" s="64">
        <v>0.67</v>
      </c>
      <c r="K86" s="64">
        <v>341.74</v>
      </c>
      <c r="L86" s="64">
        <v>26.2</v>
      </c>
      <c r="M86" s="64">
        <v>83.6</v>
      </c>
      <c r="N86" s="64">
        <v>25.8</v>
      </c>
      <c r="O86" s="64">
        <v>0</v>
      </c>
      <c r="P86" s="64">
        <v>0.42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4" t="s">
        <v>1573</v>
      </c>
      <c r="B87" s="64">
        <v>4.3099999999999996</v>
      </c>
      <c r="C87" s="64">
        <v>3.17</v>
      </c>
      <c r="D87" s="64">
        <v>7.3</v>
      </c>
      <c r="E87" s="64">
        <v>4.13</v>
      </c>
      <c r="F87" s="64">
        <v>3.46</v>
      </c>
      <c r="G87" s="64">
        <v>52.75</v>
      </c>
      <c r="H87" s="64">
        <v>10</v>
      </c>
      <c r="I87" s="64">
        <v>1.25</v>
      </c>
      <c r="J87" s="64">
        <v>0.71</v>
      </c>
      <c r="K87" s="64">
        <v>341.59</v>
      </c>
      <c r="L87" s="64">
        <v>25.94</v>
      </c>
      <c r="M87" s="64">
        <v>85.86</v>
      </c>
      <c r="N87" s="64">
        <v>25.8</v>
      </c>
      <c r="O87" s="64">
        <v>0</v>
      </c>
      <c r="P87" s="64">
        <v>0.43</v>
      </c>
      <c r="Q87" s="64">
        <v>9.35</v>
      </c>
      <c r="R87" s="198"/>
      <c r="S87" s="198"/>
      <c r="T87" s="198"/>
      <c r="U87" s="198"/>
    </row>
    <row r="88" spans="1:26" s="12" customFormat="1" x14ac:dyDescent="0.25">
      <c r="A88" s="214" t="s">
        <v>1574</v>
      </c>
      <c r="B88" s="64">
        <v>4.3</v>
      </c>
      <c r="C88" s="64">
        <v>3.19</v>
      </c>
      <c r="D88" s="64">
        <v>7.3</v>
      </c>
      <c r="E88" s="64">
        <v>4.32</v>
      </c>
      <c r="F88" s="64">
        <v>3.47</v>
      </c>
      <c r="G88" s="64">
        <v>52.75</v>
      </c>
      <c r="H88" s="64">
        <v>10</v>
      </c>
      <c r="I88" s="64">
        <v>1.29</v>
      </c>
      <c r="J88" s="64">
        <v>0.63</v>
      </c>
      <c r="K88" s="64">
        <v>333.37</v>
      </c>
      <c r="L88" s="64">
        <v>25.79</v>
      </c>
      <c r="M88" s="64">
        <v>87.32</v>
      </c>
      <c r="N88" s="64">
        <v>25.8</v>
      </c>
      <c r="O88" s="64">
        <v>0</v>
      </c>
      <c r="P88" s="64">
        <v>0.49</v>
      </c>
      <c r="Q88" s="64">
        <v>9.3800000000000008</v>
      </c>
      <c r="R88" s="198"/>
      <c r="S88" s="198"/>
      <c r="T88" s="198"/>
      <c r="U88" s="198"/>
    </row>
    <row r="89" spans="1:26" s="12" customFormat="1" x14ac:dyDescent="0.25">
      <c r="A89" s="214" t="s">
        <v>1575</v>
      </c>
      <c r="B89" s="64">
        <v>4.2699999999999996</v>
      </c>
      <c r="C89" s="64">
        <v>3.18</v>
      </c>
      <c r="D89" s="64">
        <v>7.27</v>
      </c>
      <c r="E89" s="64">
        <v>3.94</v>
      </c>
      <c r="F89" s="64">
        <v>3.33</v>
      </c>
      <c r="G89" s="64">
        <v>52.75</v>
      </c>
      <c r="H89" s="64">
        <v>10</v>
      </c>
      <c r="I89" s="64">
        <v>1.35</v>
      </c>
      <c r="J89" s="64">
        <v>0.66</v>
      </c>
      <c r="K89" s="64">
        <v>338.85</v>
      </c>
      <c r="L89" s="64">
        <v>25.67</v>
      </c>
      <c r="M89" s="64">
        <v>88.1</v>
      </c>
      <c r="N89" s="64">
        <v>25.8</v>
      </c>
      <c r="O89" s="64">
        <v>0</v>
      </c>
      <c r="P89" s="64">
        <v>0.49</v>
      </c>
      <c r="Q89" s="64">
        <v>9.4</v>
      </c>
      <c r="R89" s="198"/>
      <c r="S89" s="198"/>
      <c r="T89" s="198"/>
      <c r="U89" s="198"/>
    </row>
    <row r="90" spans="1:26" s="12" customFormat="1" x14ac:dyDescent="0.25">
      <c r="A90" s="214" t="s">
        <v>1576</v>
      </c>
      <c r="B90" s="64">
        <v>4.2699999999999996</v>
      </c>
      <c r="C90" s="64">
        <v>3.15</v>
      </c>
      <c r="D90" s="64">
        <v>7.26</v>
      </c>
      <c r="E90" s="64">
        <v>3.81</v>
      </c>
      <c r="F90" s="64">
        <v>3.46</v>
      </c>
      <c r="G90" s="64">
        <v>55.39</v>
      </c>
      <c r="H90" s="64">
        <v>32.369999999999997</v>
      </c>
      <c r="I90" s="64">
        <v>1.54</v>
      </c>
      <c r="J90" s="64">
        <v>0.52</v>
      </c>
      <c r="K90" s="64">
        <v>343.98</v>
      </c>
      <c r="L90" s="64">
        <v>25.55</v>
      </c>
      <c r="M90" s="64">
        <v>88.85</v>
      </c>
      <c r="N90" s="64">
        <v>25.7</v>
      </c>
      <c r="O90" s="64">
        <v>0</v>
      </c>
      <c r="P90" s="64">
        <v>0.48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14" t="s">
        <v>1577</v>
      </c>
      <c r="B91" s="64">
        <v>4.26</v>
      </c>
      <c r="C91" s="64">
        <v>3.16</v>
      </c>
      <c r="D91" s="64">
        <v>7.26</v>
      </c>
      <c r="E91" s="64">
        <v>3.71</v>
      </c>
      <c r="F91" s="64">
        <v>3.51</v>
      </c>
      <c r="G91" s="64">
        <v>56.29</v>
      </c>
      <c r="H91" s="64">
        <v>32.369999999999997</v>
      </c>
      <c r="I91" s="64">
        <v>1.61</v>
      </c>
      <c r="J91" s="64">
        <v>0.56999999999999995</v>
      </c>
      <c r="K91" s="64">
        <v>344.77</v>
      </c>
      <c r="L91" s="64">
        <v>25.49</v>
      </c>
      <c r="M91" s="64">
        <v>89.51</v>
      </c>
      <c r="N91" s="64">
        <v>25.8</v>
      </c>
      <c r="O91" s="64">
        <v>0</v>
      </c>
      <c r="P91" s="64">
        <v>0.56999999999999995</v>
      </c>
      <c r="Q91" s="64">
        <v>9.43</v>
      </c>
      <c r="R91" s="198"/>
      <c r="S91" s="198"/>
      <c r="T91" s="198"/>
      <c r="U91" s="198"/>
    </row>
    <row r="92" spans="1:26" s="12" customFormat="1" x14ac:dyDescent="0.25">
      <c r="A92" s="214" t="s">
        <v>1578</v>
      </c>
      <c r="B92" s="64">
        <v>4.29</v>
      </c>
      <c r="C92" s="64">
        <v>3.15</v>
      </c>
      <c r="D92" s="64">
        <v>7.27</v>
      </c>
      <c r="E92" s="64">
        <v>3.72</v>
      </c>
      <c r="F92" s="64">
        <v>3.44</v>
      </c>
      <c r="G92" s="64">
        <v>56.29</v>
      </c>
      <c r="H92" s="64">
        <v>32.369999999999997</v>
      </c>
      <c r="I92" s="64">
        <v>1.75</v>
      </c>
      <c r="J92" s="64">
        <v>0.47</v>
      </c>
      <c r="K92" s="64">
        <v>349.2</v>
      </c>
      <c r="L92" s="64">
        <v>25.28</v>
      </c>
      <c r="M92" s="64">
        <v>91.53</v>
      </c>
      <c r="N92" s="64">
        <v>25.7</v>
      </c>
      <c r="O92" s="64">
        <v>0</v>
      </c>
      <c r="P92" s="64">
        <v>0.55000000000000004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4" t="s">
        <v>1579</v>
      </c>
      <c r="B93" s="64">
        <v>4.26</v>
      </c>
      <c r="C93" s="64">
        <v>3.11</v>
      </c>
      <c r="D93" s="64">
        <v>7.23</v>
      </c>
      <c r="E93" s="64">
        <v>3.81</v>
      </c>
      <c r="F93" s="64">
        <v>4.51</v>
      </c>
      <c r="G93" s="64">
        <v>56.29</v>
      </c>
      <c r="H93" s="64">
        <v>32.369999999999997</v>
      </c>
      <c r="I93" s="64">
        <v>1.96</v>
      </c>
      <c r="J93" s="64">
        <v>0.46</v>
      </c>
      <c r="K93" s="64">
        <v>356.99</v>
      </c>
      <c r="L93" s="64">
        <v>25.17</v>
      </c>
      <c r="M93" s="64">
        <v>92.27</v>
      </c>
      <c r="N93" s="64">
        <v>25.7</v>
      </c>
      <c r="O93" s="64">
        <v>0</v>
      </c>
      <c r="P93" s="64">
        <v>0.51</v>
      </c>
      <c r="Q93" s="64">
        <v>9.5</v>
      </c>
      <c r="R93" s="198"/>
      <c r="S93" s="198"/>
      <c r="T93" s="198"/>
      <c r="U93" s="198"/>
    </row>
    <row r="94" spans="1:26" s="12" customFormat="1" x14ac:dyDescent="0.25">
      <c r="A94" s="214" t="s">
        <v>1580</v>
      </c>
      <c r="B94" s="64">
        <v>4.2300000000000004</v>
      </c>
      <c r="C94" s="64">
        <v>3.14</v>
      </c>
      <c r="D94" s="64">
        <v>7.22</v>
      </c>
      <c r="E94" s="64">
        <v>4.28</v>
      </c>
      <c r="F94" s="64">
        <v>2.35</v>
      </c>
      <c r="G94" s="64">
        <v>58.3</v>
      </c>
      <c r="H94" s="64">
        <v>27.29</v>
      </c>
      <c r="I94" s="64">
        <v>1.94</v>
      </c>
      <c r="J94" s="64">
        <v>0.38</v>
      </c>
      <c r="K94" s="64">
        <v>9.4</v>
      </c>
      <c r="L94" s="64">
        <v>25</v>
      </c>
      <c r="M94" s="64">
        <v>93.76</v>
      </c>
      <c r="N94" s="64">
        <v>25.7</v>
      </c>
      <c r="O94" s="64">
        <v>0</v>
      </c>
      <c r="P94" s="64">
        <v>0.59</v>
      </c>
      <c r="Q94" s="64">
        <v>9.5500000000000007</v>
      </c>
      <c r="R94" s="198"/>
      <c r="S94" s="198"/>
      <c r="T94" s="198"/>
      <c r="U94" s="198"/>
    </row>
    <row r="95" spans="1:26" s="12" customFormat="1" x14ac:dyDescent="0.25">
      <c r="A95" s="214" t="s">
        <v>1581</v>
      </c>
      <c r="B95" s="64">
        <v>4.26</v>
      </c>
      <c r="C95" s="64">
        <v>3.22</v>
      </c>
      <c r="D95" s="64">
        <v>7.28</v>
      </c>
      <c r="E95" s="64">
        <v>3.91</v>
      </c>
      <c r="F95" s="64">
        <v>4.2300000000000004</v>
      </c>
      <c r="G95" s="64">
        <v>58.99</v>
      </c>
      <c r="H95" s="64">
        <v>27.21</v>
      </c>
      <c r="I95" s="64">
        <v>2.09</v>
      </c>
      <c r="J95" s="64">
        <v>0.12</v>
      </c>
      <c r="K95" s="64">
        <v>2.7</v>
      </c>
      <c r="L95" s="64">
        <v>24.82</v>
      </c>
      <c r="M95" s="64">
        <v>94.77</v>
      </c>
      <c r="N95" s="64">
        <v>25.8</v>
      </c>
      <c r="O95" s="64">
        <v>0</v>
      </c>
      <c r="P95" s="64">
        <v>0.55000000000000004</v>
      </c>
      <c r="Q95" s="64">
        <v>9.6</v>
      </c>
      <c r="R95" s="198"/>
      <c r="S95" s="198"/>
      <c r="T95" s="198"/>
      <c r="U95" s="198"/>
    </row>
    <row r="96" spans="1:26" s="12" customFormat="1" x14ac:dyDescent="0.25">
      <c r="A96" s="214" t="s">
        <v>1582</v>
      </c>
      <c r="B96" s="64">
        <v>4.26</v>
      </c>
      <c r="C96" s="64">
        <v>3.22</v>
      </c>
      <c r="D96" s="64">
        <v>7.29</v>
      </c>
      <c r="E96" s="64">
        <v>4.1500000000000004</v>
      </c>
      <c r="F96" s="64">
        <v>2.2999999999999998</v>
      </c>
      <c r="G96" s="64">
        <v>58.99</v>
      </c>
      <c r="H96" s="64">
        <v>27.21</v>
      </c>
      <c r="I96" s="64">
        <v>2.1800000000000002</v>
      </c>
      <c r="J96" s="64">
        <v>0.39</v>
      </c>
      <c r="K96" s="64">
        <v>355.37</v>
      </c>
      <c r="L96" s="64">
        <v>24.56</v>
      </c>
      <c r="M96" s="64">
        <v>97.38</v>
      </c>
      <c r="N96" s="64">
        <v>25.7</v>
      </c>
      <c r="O96" s="64">
        <v>0</v>
      </c>
      <c r="P96" s="64">
        <v>0.75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1583</v>
      </c>
      <c r="B97" s="64">
        <v>4.2699999999999996</v>
      </c>
      <c r="C97" s="64">
        <v>3.22</v>
      </c>
      <c r="D97" s="64">
        <v>7.29</v>
      </c>
      <c r="E97" s="64">
        <v>3.76</v>
      </c>
      <c r="F97" s="64">
        <v>3.92</v>
      </c>
      <c r="G97" s="64">
        <v>58.99</v>
      </c>
      <c r="H97" s="64">
        <v>27.21</v>
      </c>
      <c r="I97" s="64">
        <v>2.37</v>
      </c>
      <c r="J97" s="64">
        <v>0.35</v>
      </c>
      <c r="K97" s="64">
        <v>352.05</v>
      </c>
      <c r="L97" s="64">
        <v>24.41</v>
      </c>
      <c r="M97" s="64">
        <v>99.9</v>
      </c>
      <c r="N97" s="64">
        <v>25.6</v>
      </c>
      <c r="O97" s="64">
        <v>0</v>
      </c>
      <c r="P97" s="64">
        <v>0.63</v>
      </c>
      <c r="Q97" s="64">
        <v>9.69</v>
      </c>
      <c r="R97" s="198"/>
      <c r="S97" s="198"/>
      <c r="T97" s="198"/>
      <c r="U97" s="198"/>
    </row>
    <row r="98" spans="1:33" s="12" customFormat="1" x14ac:dyDescent="0.25">
      <c r="A98" s="214" t="s">
        <v>1584</v>
      </c>
      <c r="B98" s="64">
        <v>4.24</v>
      </c>
      <c r="C98" s="64">
        <v>3.16</v>
      </c>
      <c r="D98" s="64">
        <v>7.24</v>
      </c>
      <c r="E98" s="64">
        <v>4.1500000000000004</v>
      </c>
      <c r="F98" s="64">
        <v>2.48</v>
      </c>
      <c r="G98" s="64">
        <v>65.319999999999993</v>
      </c>
      <c r="H98" s="64">
        <v>19.55</v>
      </c>
      <c r="I98" s="64">
        <v>2.76</v>
      </c>
      <c r="J98" s="64">
        <v>0.36</v>
      </c>
      <c r="K98" s="64">
        <v>0.99</v>
      </c>
      <c r="L98" s="64">
        <v>24.29</v>
      </c>
      <c r="M98" s="64">
        <v>101.07</v>
      </c>
      <c r="N98" s="64">
        <v>25.4</v>
      </c>
      <c r="O98" s="64">
        <v>0</v>
      </c>
      <c r="P98" s="64">
        <v>0.71</v>
      </c>
      <c r="Q98" s="64">
        <v>9.77</v>
      </c>
      <c r="R98" s="198"/>
      <c r="S98" s="198"/>
      <c r="T98" s="198"/>
      <c r="U98" s="198"/>
    </row>
    <row r="99" spans="1:33" s="12" customFormat="1" x14ac:dyDescent="0.25">
      <c r="A99" s="214" t="s">
        <v>1585</v>
      </c>
      <c r="B99" s="64">
        <v>4.2699999999999996</v>
      </c>
      <c r="C99" s="64">
        <v>3.21</v>
      </c>
      <c r="D99" s="64">
        <v>7.29</v>
      </c>
      <c r="E99" s="64">
        <v>3.82</v>
      </c>
      <c r="F99" s="64">
        <v>4.01</v>
      </c>
      <c r="G99" s="64">
        <v>67.489999999999995</v>
      </c>
      <c r="H99" s="64">
        <v>19.55</v>
      </c>
      <c r="I99" s="64">
        <v>2.9</v>
      </c>
      <c r="J99" s="64">
        <v>0.4</v>
      </c>
      <c r="K99" s="64">
        <v>358.28</v>
      </c>
      <c r="L99" s="64">
        <v>24.27</v>
      </c>
      <c r="M99" s="64">
        <v>101.12</v>
      </c>
      <c r="N99" s="64">
        <v>25.4</v>
      </c>
      <c r="O99" s="64">
        <v>0</v>
      </c>
      <c r="P99" s="64">
        <v>0.69</v>
      </c>
      <c r="Q99" s="64">
        <v>9.7799999999999994</v>
      </c>
      <c r="R99" s="198"/>
      <c r="S99" s="198"/>
      <c r="T99" s="198"/>
      <c r="U99" s="198"/>
    </row>
    <row r="100" spans="1:33" s="12" customFormat="1" x14ac:dyDescent="0.25">
      <c r="A100" s="214" t="s">
        <v>1586</v>
      </c>
      <c r="B100" s="64">
        <v>4.3</v>
      </c>
      <c r="C100" s="64">
        <v>3.26</v>
      </c>
      <c r="D100" s="64">
        <v>7.34</v>
      </c>
      <c r="E100" s="64">
        <v>3.91</v>
      </c>
      <c r="F100" s="64">
        <v>2.84</v>
      </c>
      <c r="G100" s="64">
        <v>67.489999999999995</v>
      </c>
      <c r="H100" s="64">
        <v>19.55</v>
      </c>
      <c r="I100" s="64">
        <v>2.97</v>
      </c>
      <c r="J100" s="64">
        <v>0.52</v>
      </c>
      <c r="K100" s="64">
        <v>355.44</v>
      </c>
      <c r="L100" s="64">
        <v>24.42</v>
      </c>
      <c r="M100" s="64">
        <v>101.14</v>
      </c>
      <c r="N100" s="64">
        <v>25.4</v>
      </c>
      <c r="O100" s="64">
        <v>0</v>
      </c>
      <c r="P100" s="64">
        <v>0.72</v>
      </c>
      <c r="Q100" s="64">
        <v>9.77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1587</v>
      </c>
      <c r="B101" s="64">
        <v>4.33</v>
      </c>
      <c r="C101" s="64">
        <v>3.3</v>
      </c>
      <c r="D101" s="64">
        <v>7.39</v>
      </c>
      <c r="E101" s="64">
        <v>4.03</v>
      </c>
      <c r="F101" s="64">
        <v>4.1900000000000004</v>
      </c>
      <c r="G101" s="64">
        <v>67.489999999999995</v>
      </c>
      <c r="H101" s="64">
        <v>19.55</v>
      </c>
      <c r="I101" s="64">
        <v>2.98</v>
      </c>
      <c r="J101" s="64">
        <v>0.45</v>
      </c>
      <c r="K101" s="64">
        <v>359.97</v>
      </c>
      <c r="L101" s="64">
        <v>24.25</v>
      </c>
      <c r="M101" s="64">
        <v>101.66</v>
      </c>
      <c r="N101" s="64">
        <v>25.6</v>
      </c>
      <c r="O101" s="64">
        <v>0</v>
      </c>
      <c r="P101" s="64">
        <v>0.73</v>
      </c>
      <c r="Q101" s="64">
        <v>9.7899999999999991</v>
      </c>
      <c r="R101" s="198"/>
      <c r="S101" s="198"/>
      <c r="T101" s="198"/>
      <c r="U101" s="198"/>
    </row>
    <row r="102" spans="1:33" s="12" customFormat="1" x14ac:dyDescent="0.25">
      <c r="A102" s="214" t="s">
        <v>1588</v>
      </c>
      <c r="B102" s="64">
        <v>4.2699999999999996</v>
      </c>
      <c r="C102" s="64">
        <v>3.17</v>
      </c>
      <c r="D102" s="64">
        <v>7.27</v>
      </c>
      <c r="E102" s="64">
        <v>4.0999999999999996</v>
      </c>
      <c r="F102" s="64">
        <v>2.87</v>
      </c>
      <c r="G102" s="64">
        <v>67.92</v>
      </c>
      <c r="H102" s="64">
        <v>29.42</v>
      </c>
      <c r="I102" s="64">
        <v>3.03</v>
      </c>
      <c r="J102" s="64">
        <v>0.51</v>
      </c>
      <c r="K102" s="64">
        <v>356.11</v>
      </c>
      <c r="L102" s="64">
        <v>24.24</v>
      </c>
      <c r="M102" s="64">
        <v>101.02</v>
      </c>
      <c r="N102" s="64">
        <v>25.4</v>
      </c>
      <c r="O102" s="64">
        <v>0</v>
      </c>
      <c r="P102" s="64">
        <v>0.74</v>
      </c>
      <c r="Q102" s="64">
        <v>9.7799999999999994</v>
      </c>
      <c r="R102" s="198"/>
      <c r="S102" s="198"/>
      <c r="T102" s="198"/>
      <c r="U102" s="198"/>
    </row>
    <row r="103" spans="1:33" s="12" customFormat="1" x14ac:dyDescent="0.25">
      <c r="A103" s="214" t="s">
        <v>1589</v>
      </c>
      <c r="B103" s="64">
        <v>4.28</v>
      </c>
      <c r="C103" s="64">
        <v>3.12</v>
      </c>
      <c r="D103" s="64">
        <v>7.26</v>
      </c>
      <c r="E103" s="64">
        <v>3.58</v>
      </c>
      <c r="F103" s="64">
        <v>3.08</v>
      </c>
      <c r="G103" s="64">
        <v>68.06</v>
      </c>
      <c r="H103" s="64">
        <v>29.42</v>
      </c>
      <c r="I103" s="64">
        <v>3.23</v>
      </c>
      <c r="J103" s="64">
        <v>0.5</v>
      </c>
      <c r="K103" s="64">
        <v>340.21</v>
      </c>
      <c r="L103" s="64">
        <v>24.25</v>
      </c>
      <c r="M103" s="64">
        <v>100.58</v>
      </c>
      <c r="N103" s="64">
        <v>25.6</v>
      </c>
      <c r="O103" s="64">
        <v>0</v>
      </c>
      <c r="P103" s="64">
        <v>0.72</v>
      </c>
      <c r="Q103" s="64">
        <v>9.7899999999999991</v>
      </c>
      <c r="R103" s="198"/>
      <c r="S103" s="198"/>
      <c r="T103" s="198"/>
      <c r="U103" s="198"/>
    </row>
    <row r="104" spans="1:33" s="12" customFormat="1" x14ac:dyDescent="0.25">
      <c r="A104" s="214" t="s">
        <v>1590</v>
      </c>
      <c r="B104" s="64">
        <v>4.3</v>
      </c>
      <c r="C104" s="64">
        <v>3.15</v>
      </c>
      <c r="D104" s="64">
        <v>7.28</v>
      </c>
      <c r="E104" s="64">
        <v>3.8</v>
      </c>
      <c r="F104" s="64">
        <v>3.31</v>
      </c>
      <c r="G104" s="64">
        <v>68.06</v>
      </c>
      <c r="H104" s="64">
        <v>29.42</v>
      </c>
      <c r="I104" s="64">
        <v>3.35</v>
      </c>
      <c r="J104" s="64">
        <v>0.56999999999999995</v>
      </c>
      <c r="K104" s="64">
        <v>347.28</v>
      </c>
      <c r="L104" s="64">
        <v>24.33</v>
      </c>
      <c r="M104" s="64">
        <v>100.12</v>
      </c>
      <c r="N104" s="64">
        <v>25.4</v>
      </c>
      <c r="O104" s="64">
        <v>0</v>
      </c>
      <c r="P104" s="64">
        <v>0.7</v>
      </c>
      <c r="Q104" s="64">
        <v>9.77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4.18</v>
      </c>
      <c r="C106" s="67">
        <f>MIN(C9:C104)</f>
        <v>3.1</v>
      </c>
      <c r="D106" s="67">
        <f t="shared" ref="D106:Q106" si="0">MIN(D9:D104)</f>
        <v>7.17</v>
      </c>
      <c r="E106" s="67">
        <f t="shared" si="0"/>
        <v>3.58</v>
      </c>
      <c r="F106" s="67">
        <f t="shared" si="0"/>
        <v>2.2999999999999998</v>
      </c>
      <c r="G106" s="67">
        <f t="shared" si="0"/>
        <v>14.32</v>
      </c>
      <c r="H106" s="67">
        <f t="shared" si="0"/>
        <v>3.51</v>
      </c>
      <c r="I106" s="67">
        <f t="shared" si="0"/>
        <v>0.85</v>
      </c>
      <c r="J106" s="67">
        <f t="shared" si="0"/>
        <v>0.03</v>
      </c>
      <c r="K106" s="67">
        <f t="shared" si="0"/>
        <v>0.99</v>
      </c>
      <c r="L106" s="67">
        <f t="shared" si="0"/>
        <v>23.01</v>
      </c>
      <c r="M106" s="67">
        <f t="shared" si="0"/>
        <v>70.64</v>
      </c>
      <c r="N106" s="67">
        <f t="shared" si="0"/>
        <v>25.4</v>
      </c>
      <c r="O106" s="67">
        <f t="shared" si="0"/>
        <v>0</v>
      </c>
      <c r="P106" s="67">
        <f t="shared" si="0"/>
        <v>0.32</v>
      </c>
      <c r="Q106" s="67">
        <f t="shared" si="0"/>
        <v>8.9600000000000009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4.51</v>
      </c>
      <c r="C107" s="66">
        <f t="shared" ref="C107:Q107" si="1">MAX(C9:C104)</f>
        <v>3.77</v>
      </c>
      <c r="D107" s="66">
        <f t="shared" si="1"/>
        <v>7.77</v>
      </c>
      <c r="E107" s="66">
        <f t="shared" si="1"/>
        <v>6.48</v>
      </c>
      <c r="F107" s="66">
        <f t="shared" si="1"/>
        <v>6.59</v>
      </c>
      <c r="G107" s="66">
        <f t="shared" si="1"/>
        <v>102.55</v>
      </c>
      <c r="H107" s="66">
        <f t="shared" si="1"/>
        <v>32.369999999999997</v>
      </c>
      <c r="I107" s="66">
        <f t="shared" si="1"/>
        <v>3.71</v>
      </c>
      <c r="J107" s="66">
        <f t="shared" si="1"/>
        <v>1.41</v>
      </c>
      <c r="K107" s="66">
        <f t="shared" si="1"/>
        <v>359.97</v>
      </c>
      <c r="L107" s="66">
        <f t="shared" si="1"/>
        <v>30</v>
      </c>
      <c r="M107" s="66">
        <f t="shared" si="1"/>
        <v>101.83</v>
      </c>
      <c r="N107" s="66">
        <f t="shared" si="1"/>
        <v>655.1</v>
      </c>
      <c r="O107" s="66">
        <f t="shared" si="1"/>
        <v>0</v>
      </c>
      <c r="P107" s="66">
        <f t="shared" si="1"/>
        <v>0.75</v>
      </c>
      <c r="Q107" s="66">
        <f t="shared" si="1"/>
        <v>60.89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4.2616666666666658</v>
      </c>
      <c r="C108" s="67">
        <f t="shared" ref="C108:Q108" si="2">AVERAGE(C9:C104)</f>
        <v>3.1798958333333331</v>
      </c>
      <c r="D108" s="67">
        <f t="shared" si="2"/>
        <v>7.2684375000000001</v>
      </c>
      <c r="E108" s="67">
        <f t="shared" si="2"/>
        <v>4.4226041666666651</v>
      </c>
      <c r="F108" s="67">
        <f t="shared" si="2"/>
        <v>3.8458333333333337</v>
      </c>
      <c r="G108" s="67">
        <f t="shared" si="2"/>
        <v>55.616451612903212</v>
      </c>
      <c r="H108" s="67">
        <f t="shared" si="2"/>
        <v>15.457741935483869</v>
      </c>
      <c r="I108" s="67">
        <f t="shared" si="2"/>
        <v>2.1594791666666664</v>
      </c>
      <c r="J108" s="67">
        <f t="shared" si="2"/>
        <v>0.49239583333333337</v>
      </c>
      <c r="K108" s="67">
        <f t="shared" si="2"/>
        <v>317.12510416666663</v>
      </c>
      <c r="L108" s="67">
        <f t="shared" si="2"/>
        <v>26.024791666666662</v>
      </c>
      <c r="M108" s="67">
        <f t="shared" si="2"/>
        <v>90.981145833333358</v>
      </c>
      <c r="N108" s="67">
        <f t="shared" si="2"/>
        <v>134.06666666666663</v>
      </c>
      <c r="O108" s="67">
        <f t="shared" si="2"/>
        <v>0</v>
      </c>
      <c r="P108" s="67">
        <f t="shared" si="2"/>
        <v>0.46239583333333312</v>
      </c>
      <c r="Q108" s="67">
        <f t="shared" si="2"/>
        <v>10.394895833333335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4.2144280167979956E-2</v>
      </c>
      <c r="C109" s="67">
        <f t="shared" ref="C109:Q109" si="3">STDEV(C9:C104)</f>
        <v>7.4811971905243052E-2</v>
      </c>
      <c r="D109" s="67">
        <f t="shared" si="3"/>
        <v>6.7016543519217334E-2</v>
      </c>
      <c r="E109" s="67">
        <f t="shared" si="3"/>
        <v>0.48714040943941556</v>
      </c>
      <c r="F109" s="67">
        <f t="shared" si="3"/>
        <v>0.8828717098992046</v>
      </c>
      <c r="G109" s="67">
        <f t="shared" si="3"/>
        <v>16.660160214087011</v>
      </c>
      <c r="H109" s="67">
        <f t="shared" si="3"/>
        <v>6.2559479747767819</v>
      </c>
      <c r="I109" s="67">
        <f t="shared" si="3"/>
        <v>0.92939071132556894</v>
      </c>
      <c r="J109" s="67">
        <f t="shared" si="3"/>
        <v>0.35242541515278658</v>
      </c>
      <c r="K109" s="67">
        <f t="shared" si="3"/>
        <v>67.903451706619933</v>
      </c>
      <c r="L109" s="67">
        <f t="shared" si="3"/>
        <v>2.2672371218438241</v>
      </c>
      <c r="M109" s="67">
        <f t="shared" si="3"/>
        <v>11.026277023049534</v>
      </c>
      <c r="N109" s="67">
        <f t="shared" si="3"/>
        <v>150.66335542084113</v>
      </c>
      <c r="O109" s="67">
        <f t="shared" si="3"/>
        <v>0</v>
      </c>
      <c r="P109" s="67">
        <f t="shared" si="3"/>
        <v>0.10438536690820988</v>
      </c>
      <c r="Q109" s="67">
        <f t="shared" si="3"/>
        <v>5.5986137372128759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1591</v>
      </c>
      <c r="B9" s="64">
        <v>4.29</v>
      </c>
      <c r="C9" s="64">
        <v>3.11</v>
      </c>
      <c r="D9" s="64">
        <v>7.25</v>
      </c>
      <c r="E9" s="64">
        <v>3.75</v>
      </c>
      <c r="F9" s="64">
        <v>3.31</v>
      </c>
      <c r="G9" s="64">
        <v>68.06</v>
      </c>
      <c r="H9" s="64">
        <v>29.42</v>
      </c>
      <c r="I9" s="64">
        <v>3.33</v>
      </c>
      <c r="J9" s="64">
        <v>0.66</v>
      </c>
      <c r="K9" s="64">
        <v>333.34</v>
      </c>
      <c r="L9" s="64">
        <v>24.09</v>
      </c>
      <c r="M9" s="64">
        <v>100.83</v>
      </c>
      <c r="N9" s="64">
        <v>25.6</v>
      </c>
      <c r="O9" s="64">
        <v>0</v>
      </c>
      <c r="P9" s="64">
        <v>0.68</v>
      </c>
      <c r="Q9" s="64">
        <v>9.7799999999999994</v>
      </c>
      <c r="R9" s="198"/>
      <c r="S9" s="198"/>
      <c r="T9" s="198"/>
      <c r="U9" s="198"/>
    </row>
    <row r="10" spans="1:21" s="12" customFormat="1" x14ac:dyDescent="0.25">
      <c r="A10" s="214" t="s">
        <v>1592</v>
      </c>
      <c r="B10" s="64">
        <v>4.3099999999999996</v>
      </c>
      <c r="C10" s="64">
        <v>3.17</v>
      </c>
      <c r="D10" s="64">
        <v>7.31</v>
      </c>
      <c r="E10" s="64">
        <v>3.89</v>
      </c>
      <c r="F10" s="64">
        <v>3.31</v>
      </c>
      <c r="G10" s="64">
        <v>68.599999999999994</v>
      </c>
      <c r="H10" s="64">
        <v>16.53</v>
      </c>
      <c r="I10" s="64">
        <v>3.15</v>
      </c>
      <c r="J10" s="64">
        <v>0.59</v>
      </c>
      <c r="K10" s="64">
        <v>345.12</v>
      </c>
      <c r="L10" s="64">
        <v>24.08</v>
      </c>
      <c r="M10" s="64">
        <v>99.79</v>
      </c>
      <c r="N10" s="64">
        <v>25.6</v>
      </c>
      <c r="O10" s="64">
        <v>0</v>
      </c>
      <c r="P10" s="64">
        <v>0.65</v>
      </c>
      <c r="Q10" s="64">
        <v>9.77</v>
      </c>
      <c r="R10" s="198"/>
      <c r="S10" s="198"/>
      <c r="T10" s="198"/>
      <c r="U10" s="198"/>
    </row>
    <row r="11" spans="1:21" s="12" customFormat="1" x14ac:dyDescent="0.25">
      <c r="A11" s="214" t="s">
        <v>1593</v>
      </c>
      <c r="B11" s="64">
        <v>4.32</v>
      </c>
      <c r="C11" s="64">
        <v>3.21</v>
      </c>
      <c r="D11" s="64">
        <v>7.33</v>
      </c>
      <c r="E11" s="64">
        <v>4.01</v>
      </c>
      <c r="F11" s="64">
        <v>3.29</v>
      </c>
      <c r="G11" s="64">
        <v>68.790000000000006</v>
      </c>
      <c r="H11" s="64">
        <v>16.53</v>
      </c>
      <c r="I11" s="64">
        <v>2.96</v>
      </c>
      <c r="J11" s="64">
        <v>0.62</v>
      </c>
      <c r="K11" s="64">
        <v>342.37</v>
      </c>
      <c r="L11" s="64">
        <v>23.96</v>
      </c>
      <c r="M11" s="64">
        <v>98.82</v>
      </c>
      <c r="N11" s="64">
        <v>25.5</v>
      </c>
      <c r="O11" s="64">
        <v>0</v>
      </c>
      <c r="P11" s="64">
        <v>0.64</v>
      </c>
      <c r="Q11" s="64">
        <v>9.7799999999999994</v>
      </c>
      <c r="R11" s="198"/>
      <c r="S11" s="198"/>
      <c r="T11" s="198"/>
      <c r="U11" s="198"/>
    </row>
    <row r="12" spans="1:21" s="12" customFormat="1" x14ac:dyDescent="0.25">
      <c r="A12" s="214" t="s">
        <v>1594</v>
      </c>
      <c r="B12" s="64">
        <v>4.3</v>
      </c>
      <c r="C12" s="64">
        <v>3.17</v>
      </c>
      <c r="D12" s="64">
        <v>7.3</v>
      </c>
      <c r="E12" s="64">
        <v>4.33</v>
      </c>
      <c r="F12" s="64">
        <v>3.22</v>
      </c>
      <c r="G12" s="64">
        <v>68.790000000000006</v>
      </c>
      <c r="H12" s="64">
        <v>16.53</v>
      </c>
      <c r="I12" s="64">
        <v>2.9</v>
      </c>
      <c r="J12" s="64">
        <v>0.71</v>
      </c>
      <c r="K12" s="64">
        <v>323.14999999999998</v>
      </c>
      <c r="L12" s="64">
        <v>24.06</v>
      </c>
      <c r="M12" s="64">
        <v>97.55</v>
      </c>
      <c r="N12" s="64">
        <v>25.4</v>
      </c>
      <c r="O12" s="64">
        <v>0</v>
      </c>
      <c r="P12" s="64">
        <v>0.61</v>
      </c>
      <c r="Q12" s="64">
        <v>9.7899999999999991</v>
      </c>
      <c r="R12" s="198"/>
      <c r="S12" s="198"/>
      <c r="T12" s="198"/>
      <c r="U12" s="198"/>
    </row>
    <row r="13" spans="1:21" s="12" customFormat="1" x14ac:dyDescent="0.25">
      <c r="A13" s="214" t="s">
        <v>1595</v>
      </c>
      <c r="B13" s="64">
        <v>4.3</v>
      </c>
      <c r="C13" s="64">
        <v>3.19</v>
      </c>
      <c r="D13" s="64">
        <v>7.3</v>
      </c>
      <c r="E13" s="64">
        <v>4.1500000000000004</v>
      </c>
      <c r="F13" s="64">
        <v>3.07</v>
      </c>
      <c r="G13" s="64">
        <v>68.790000000000006</v>
      </c>
      <c r="H13" s="64">
        <v>16.53</v>
      </c>
      <c r="I13" s="64">
        <v>2.81</v>
      </c>
      <c r="J13" s="64">
        <v>0.66</v>
      </c>
      <c r="K13" s="64">
        <v>325.33999999999997</v>
      </c>
      <c r="L13" s="64">
        <v>23.76</v>
      </c>
      <c r="M13" s="64">
        <v>99.28</v>
      </c>
      <c r="N13" s="64">
        <v>25.6</v>
      </c>
      <c r="O13" s="64">
        <v>0</v>
      </c>
      <c r="P13" s="64">
        <v>0.53</v>
      </c>
      <c r="Q13" s="64">
        <v>9.75</v>
      </c>
      <c r="R13" s="198"/>
      <c r="S13" s="198"/>
      <c r="T13" s="198"/>
      <c r="U13" s="198"/>
    </row>
    <row r="14" spans="1:21" s="12" customFormat="1" x14ac:dyDescent="0.25">
      <c r="A14" s="214" t="s">
        <v>1596</v>
      </c>
      <c r="B14" s="64">
        <v>4.26</v>
      </c>
      <c r="C14" s="64">
        <v>3.18</v>
      </c>
      <c r="D14" s="64">
        <v>7.27</v>
      </c>
      <c r="E14" s="64">
        <v>4.1100000000000003</v>
      </c>
      <c r="F14" s="64">
        <v>3.87</v>
      </c>
      <c r="G14" s="64">
        <v>64.28</v>
      </c>
      <c r="H14" s="64">
        <v>9.74</v>
      </c>
      <c r="I14" s="64">
        <v>2.75</v>
      </c>
      <c r="J14" s="64">
        <v>0.63</v>
      </c>
      <c r="K14" s="64">
        <v>333.39</v>
      </c>
      <c r="L14" s="64">
        <v>23.65</v>
      </c>
      <c r="M14" s="64">
        <v>99.93</v>
      </c>
      <c r="N14" s="64">
        <v>25.5</v>
      </c>
      <c r="O14" s="64">
        <v>0</v>
      </c>
      <c r="P14" s="64">
        <v>0.56999999999999995</v>
      </c>
      <c r="Q14" s="64">
        <v>9.75</v>
      </c>
      <c r="R14" s="198"/>
      <c r="S14" s="198"/>
      <c r="T14" s="198"/>
      <c r="U14" s="198"/>
    </row>
    <row r="15" spans="1:21" s="12" customFormat="1" x14ac:dyDescent="0.25">
      <c r="A15" s="214" t="s">
        <v>1597</v>
      </c>
      <c r="B15" s="64">
        <v>4.22</v>
      </c>
      <c r="C15" s="64">
        <v>3.13</v>
      </c>
      <c r="D15" s="64">
        <v>7.21</v>
      </c>
      <c r="E15" s="64">
        <v>4.3</v>
      </c>
      <c r="F15" s="64">
        <v>3.31</v>
      </c>
      <c r="G15" s="64">
        <v>62.73</v>
      </c>
      <c r="H15" s="64">
        <v>9.64</v>
      </c>
      <c r="I15" s="64">
        <v>2.83</v>
      </c>
      <c r="J15" s="64">
        <v>0.61</v>
      </c>
      <c r="K15" s="64">
        <v>333.14</v>
      </c>
      <c r="L15" s="64">
        <v>23.57</v>
      </c>
      <c r="M15" s="64">
        <v>100.53</v>
      </c>
      <c r="N15" s="64">
        <v>25.4</v>
      </c>
      <c r="O15" s="64">
        <v>0</v>
      </c>
      <c r="P15" s="64">
        <v>0.53</v>
      </c>
      <c r="Q15" s="64">
        <v>9.7200000000000006</v>
      </c>
      <c r="R15" s="198"/>
      <c r="S15" s="198"/>
      <c r="T15" s="198"/>
      <c r="U15" s="198"/>
    </row>
    <row r="16" spans="1:21" s="12" customFormat="1" x14ac:dyDescent="0.25">
      <c r="A16" s="214" t="s">
        <v>1598</v>
      </c>
      <c r="B16" s="64">
        <v>4.22</v>
      </c>
      <c r="C16" s="64">
        <v>3.11</v>
      </c>
      <c r="D16" s="64">
        <v>7.2</v>
      </c>
      <c r="E16" s="64">
        <v>3.94</v>
      </c>
      <c r="F16" s="64">
        <v>4.5</v>
      </c>
      <c r="G16" s="64">
        <v>62.73</v>
      </c>
      <c r="H16" s="64">
        <v>9.64</v>
      </c>
      <c r="I16" s="64">
        <v>2.78</v>
      </c>
      <c r="J16" s="64">
        <v>0.7</v>
      </c>
      <c r="K16" s="64">
        <v>326.01</v>
      </c>
      <c r="L16" s="64">
        <v>23.56</v>
      </c>
      <c r="M16" s="64">
        <v>101.1</v>
      </c>
      <c r="N16" s="64">
        <v>25.5</v>
      </c>
      <c r="O16" s="64">
        <v>0</v>
      </c>
      <c r="P16" s="64">
        <v>0.51</v>
      </c>
      <c r="Q16" s="64">
        <v>9.7200000000000006</v>
      </c>
      <c r="R16" s="198"/>
      <c r="S16" s="198"/>
      <c r="T16" s="198"/>
      <c r="U16" s="198"/>
    </row>
    <row r="17" spans="1:21" s="12" customFormat="1" x14ac:dyDescent="0.25">
      <c r="A17" s="214" t="s">
        <v>1599</v>
      </c>
      <c r="B17" s="64">
        <v>4.2300000000000004</v>
      </c>
      <c r="C17" s="64">
        <v>3.16</v>
      </c>
      <c r="D17" s="64">
        <v>7.23</v>
      </c>
      <c r="E17" s="64">
        <v>4.07</v>
      </c>
      <c r="F17" s="64">
        <v>3.03</v>
      </c>
      <c r="G17" s="64">
        <v>62.73</v>
      </c>
      <c r="H17" s="64">
        <v>9.64</v>
      </c>
      <c r="I17" s="64">
        <v>2.66</v>
      </c>
      <c r="J17" s="64">
        <v>0.65</v>
      </c>
      <c r="K17" s="64">
        <v>322.87</v>
      </c>
      <c r="L17" s="64">
        <v>23.42</v>
      </c>
      <c r="M17" s="64">
        <v>101.7</v>
      </c>
      <c r="N17" s="64">
        <v>25.4</v>
      </c>
      <c r="O17" s="64">
        <v>0</v>
      </c>
      <c r="P17" s="64">
        <v>0.48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4" t="s">
        <v>1600</v>
      </c>
      <c r="B18" s="64">
        <v>4.22</v>
      </c>
      <c r="C18" s="64">
        <v>3.15</v>
      </c>
      <c r="D18" s="64">
        <v>7.23</v>
      </c>
      <c r="E18" s="64">
        <v>4</v>
      </c>
      <c r="F18" s="64">
        <v>4.49</v>
      </c>
      <c r="G18" s="64">
        <v>54.67</v>
      </c>
      <c r="H18" s="64">
        <v>12.73</v>
      </c>
      <c r="I18" s="64">
        <v>2.59</v>
      </c>
      <c r="J18" s="64">
        <v>0.54</v>
      </c>
      <c r="K18" s="64">
        <v>339.5</v>
      </c>
      <c r="L18" s="64">
        <v>23.44</v>
      </c>
      <c r="M18" s="64">
        <v>101.21</v>
      </c>
      <c r="N18" s="64">
        <v>25.6</v>
      </c>
      <c r="O18" s="64">
        <v>0</v>
      </c>
      <c r="P18" s="64">
        <v>0.47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1601</v>
      </c>
      <c r="B19" s="64">
        <v>4.2300000000000004</v>
      </c>
      <c r="C19" s="64">
        <v>3.16</v>
      </c>
      <c r="D19" s="64">
        <v>7.24</v>
      </c>
      <c r="E19" s="64">
        <v>4.05</v>
      </c>
      <c r="F19" s="64">
        <v>3.45</v>
      </c>
      <c r="G19" s="64">
        <v>51.9</v>
      </c>
      <c r="H19" s="64">
        <v>12.78</v>
      </c>
      <c r="I19" s="64">
        <v>2.54</v>
      </c>
      <c r="J19" s="64">
        <v>0.52</v>
      </c>
      <c r="K19" s="64">
        <v>343.8</v>
      </c>
      <c r="L19" s="64">
        <v>23.54</v>
      </c>
      <c r="M19" s="64">
        <v>101.7</v>
      </c>
      <c r="N19" s="64">
        <v>25.6</v>
      </c>
      <c r="O19" s="64">
        <v>0</v>
      </c>
      <c r="P19" s="64">
        <v>0.43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4" t="s">
        <v>1602</v>
      </c>
      <c r="B20" s="64">
        <v>4.24</v>
      </c>
      <c r="C20" s="64">
        <v>3.17</v>
      </c>
      <c r="D20" s="64">
        <v>7.25</v>
      </c>
      <c r="E20" s="64">
        <v>3.82</v>
      </c>
      <c r="F20" s="64">
        <v>4.95</v>
      </c>
      <c r="G20" s="64">
        <v>51.9</v>
      </c>
      <c r="H20" s="64">
        <v>12.78</v>
      </c>
      <c r="I20" s="64">
        <v>2.5</v>
      </c>
      <c r="J20" s="64">
        <v>0.53</v>
      </c>
      <c r="K20" s="64">
        <v>332.82</v>
      </c>
      <c r="L20" s="64">
        <v>23.47</v>
      </c>
      <c r="M20" s="64">
        <v>101.7</v>
      </c>
      <c r="N20" s="64">
        <v>25.7</v>
      </c>
      <c r="O20" s="64">
        <v>0</v>
      </c>
      <c r="P20" s="64">
        <v>0.42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1603</v>
      </c>
      <c r="B21" s="64">
        <v>4.21</v>
      </c>
      <c r="C21" s="64">
        <v>3.15</v>
      </c>
      <c r="D21" s="64">
        <v>7.21</v>
      </c>
      <c r="E21" s="64">
        <v>3.89</v>
      </c>
      <c r="F21" s="64">
        <v>2.39</v>
      </c>
      <c r="G21" s="64">
        <v>51.9</v>
      </c>
      <c r="H21" s="64">
        <v>12.78</v>
      </c>
      <c r="I21" s="64">
        <v>2.4300000000000002</v>
      </c>
      <c r="J21" s="64">
        <v>0.49</v>
      </c>
      <c r="K21" s="64">
        <v>337.19</v>
      </c>
      <c r="L21" s="64">
        <v>23.38</v>
      </c>
      <c r="M21" s="64">
        <v>101.7</v>
      </c>
      <c r="N21" s="64">
        <v>25.7</v>
      </c>
      <c r="O21" s="64">
        <v>0</v>
      </c>
      <c r="P21" s="64">
        <v>0.4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4" t="s">
        <v>1604</v>
      </c>
      <c r="B22" s="64">
        <v>4.2300000000000004</v>
      </c>
      <c r="C22" s="64">
        <v>3.17</v>
      </c>
      <c r="D22" s="64">
        <v>7.25</v>
      </c>
      <c r="E22" s="64">
        <v>4.3600000000000003</v>
      </c>
      <c r="F22" s="64">
        <v>4.01</v>
      </c>
      <c r="G22" s="64">
        <v>46.14</v>
      </c>
      <c r="H22" s="64">
        <v>21.37</v>
      </c>
      <c r="I22" s="64">
        <v>2.4</v>
      </c>
      <c r="J22" s="64">
        <v>0.51</v>
      </c>
      <c r="K22" s="64">
        <v>340.08</v>
      </c>
      <c r="L22" s="64">
        <v>23.38</v>
      </c>
      <c r="M22" s="64">
        <v>101.7</v>
      </c>
      <c r="N22" s="64">
        <v>25.7</v>
      </c>
      <c r="O22" s="64">
        <v>0</v>
      </c>
      <c r="P22" s="64">
        <v>0.39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4" t="s">
        <v>1605</v>
      </c>
      <c r="B23" s="64">
        <v>4.24</v>
      </c>
      <c r="C23" s="64">
        <v>3.1</v>
      </c>
      <c r="D23" s="64">
        <v>7.21</v>
      </c>
      <c r="E23" s="64">
        <v>3.82</v>
      </c>
      <c r="F23" s="64">
        <v>2.73</v>
      </c>
      <c r="G23" s="64">
        <v>44.05</v>
      </c>
      <c r="H23" s="64">
        <v>21.57</v>
      </c>
      <c r="I23" s="64">
        <v>2.4500000000000002</v>
      </c>
      <c r="J23" s="64">
        <v>0.56000000000000005</v>
      </c>
      <c r="K23" s="64">
        <v>336.46</v>
      </c>
      <c r="L23" s="64">
        <v>23.33</v>
      </c>
      <c r="M23" s="64">
        <v>101.7</v>
      </c>
      <c r="N23" s="64">
        <v>25.5</v>
      </c>
      <c r="O23" s="64">
        <v>0</v>
      </c>
      <c r="P23" s="64">
        <v>0.34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4" t="s">
        <v>1606</v>
      </c>
      <c r="B24" s="64">
        <v>4.24</v>
      </c>
      <c r="C24" s="64">
        <v>3.15</v>
      </c>
      <c r="D24" s="64">
        <v>7.24</v>
      </c>
      <c r="E24" s="64">
        <v>2.98</v>
      </c>
      <c r="F24" s="64">
        <v>3.55</v>
      </c>
      <c r="G24" s="64">
        <v>44.05</v>
      </c>
      <c r="H24" s="64">
        <v>21.57</v>
      </c>
      <c r="I24" s="64">
        <v>2.62</v>
      </c>
      <c r="J24" s="64">
        <v>0.48</v>
      </c>
      <c r="K24" s="64">
        <v>346.2</v>
      </c>
      <c r="L24" s="64">
        <v>23.34</v>
      </c>
      <c r="M24" s="64">
        <v>101.7</v>
      </c>
      <c r="N24" s="64">
        <v>25.7</v>
      </c>
      <c r="O24" s="64">
        <v>0</v>
      </c>
      <c r="P24" s="64">
        <v>0.33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4" t="s">
        <v>1607</v>
      </c>
      <c r="B25" s="64">
        <v>4.2699999999999996</v>
      </c>
      <c r="C25" s="64">
        <v>3.16</v>
      </c>
      <c r="D25" s="64">
        <v>7.26</v>
      </c>
      <c r="E25" s="64">
        <v>3.34</v>
      </c>
      <c r="F25" s="64">
        <v>3.23</v>
      </c>
      <c r="G25" s="64">
        <v>44.05</v>
      </c>
      <c r="H25" s="64">
        <v>21.57</v>
      </c>
      <c r="I25" s="64">
        <v>2.79</v>
      </c>
      <c r="J25" s="64">
        <v>0.41</v>
      </c>
      <c r="K25" s="64">
        <v>354.62</v>
      </c>
      <c r="L25" s="64">
        <v>23.39</v>
      </c>
      <c r="M25" s="64">
        <v>101.7</v>
      </c>
      <c r="N25" s="64">
        <v>25.5</v>
      </c>
      <c r="O25" s="64">
        <v>0</v>
      </c>
      <c r="P25" s="64">
        <v>0.33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4" t="s">
        <v>1608</v>
      </c>
      <c r="B26" s="64">
        <v>4.26</v>
      </c>
      <c r="C26" s="64">
        <v>3.14</v>
      </c>
      <c r="D26" s="64">
        <v>7.25</v>
      </c>
      <c r="E26" s="64">
        <v>2.93</v>
      </c>
      <c r="F26" s="64">
        <v>3.37</v>
      </c>
      <c r="G26" s="64">
        <v>35.770000000000003</v>
      </c>
      <c r="H26" s="64">
        <v>14.12</v>
      </c>
      <c r="I26" s="64">
        <v>2.75</v>
      </c>
      <c r="J26" s="64">
        <v>0.33</v>
      </c>
      <c r="K26" s="64">
        <v>341.12</v>
      </c>
      <c r="L26" s="64">
        <v>23.33</v>
      </c>
      <c r="M26" s="64">
        <v>101.7</v>
      </c>
      <c r="N26" s="64">
        <v>25.7</v>
      </c>
      <c r="O26" s="64">
        <v>0</v>
      </c>
      <c r="P26" s="64">
        <v>0.3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4" t="s">
        <v>1609</v>
      </c>
      <c r="B27" s="64">
        <v>4.28</v>
      </c>
      <c r="C27" s="64">
        <v>3.15</v>
      </c>
      <c r="D27" s="64">
        <v>7.26</v>
      </c>
      <c r="E27" s="64">
        <v>3.23</v>
      </c>
      <c r="F27" s="64">
        <v>3.36</v>
      </c>
      <c r="G27" s="64">
        <v>32.93</v>
      </c>
      <c r="H27" s="64">
        <v>14</v>
      </c>
      <c r="I27" s="64">
        <v>2.61</v>
      </c>
      <c r="J27" s="64">
        <v>0.43</v>
      </c>
      <c r="K27" s="64">
        <v>332.71</v>
      </c>
      <c r="L27" s="64">
        <v>23.33</v>
      </c>
      <c r="M27" s="64">
        <v>101.7</v>
      </c>
      <c r="N27" s="64">
        <v>25.7</v>
      </c>
      <c r="O27" s="64">
        <v>0</v>
      </c>
      <c r="P27" s="64">
        <v>0.3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1610</v>
      </c>
      <c r="B28" s="64">
        <v>4.29</v>
      </c>
      <c r="C28" s="64">
        <v>3.14</v>
      </c>
      <c r="D28" s="64">
        <v>7.27</v>
      </c>
      <c r="E28" s="64">
        <v>3.35</v>
      </c>
      <c r="F28" s="64">
        <v>3.27</v>
      </c>
      <c r="G28" s="64">
        <v>32.93</v>
      </c>
      <c r="H28" s="64">
        <v>14</v>
      </c>
      <c r="I28" s="64">
        <v>2.4500000000000002</v>
      </c>
      <c r="J28" s="64">
        <v>0.38</v>
      </c>
      <c r="K28" s="64">
        <v>323.86</v>
      </c>
      <c r="L28" s="64">
        <v>23.26</v>
      </c>
      <c r="M28" s="64">
        <v>101.7</v>
      </c>
      <c r="N28" s="64">
        <v>25.7</v>
      </c>
      <c r="O28" s="64">
        <v>0</v>
      </c>
      <c r="P28" s="64">
        <v>0.31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4" t="s">
        <v>1611</v>
      </c>
      <c r="B29" s="64">
        <v>4.3</v>
      </c>
      <c r="C29" s="64">
        <v>3.18</v>
      </c>
      <c r="D29" s="64">
        <v>7.3</v>
      </c>
      <c r="E29" s="64">
        <v>3.11</v>
      </c>
      <c r="F29" s="64">
        <v>3.2</v>
      </c>
      <c r="G29" s="64">
        <v>32.93</v>
      </c>
      <c r="H29" s="64">
        <v>14</v>
      </c>
      <c r="I29" s="64">
        <v>2.54</v>
      </c>
      <c r="J29" s="64">
        <v>0.37</v>
      </c>
      <c r="K29" s="64">
        <v>322.77999999999997</v>
      </c>
      <c r="L29" s="64">
        <v>23.29</v>
      </c>
      <c r="M29" s="64">
        <v>101.7</v>
      </c>
      <c r="N29" s="64">
        <v>25.7</v>
      </c>
      <c r="O29" s="64">
        <v>0</v>
      </c>
      <c r="P29" s="64">
        <v>0.3</v>
      </c>
      <c r="Q29" s="64">
        <v>9.58</v>
      </c>
      <c r="R29" s="198"/>
      <c r="S29" s="198"/>
      <c r="T29" s="198"/>
      <c r="U29" s="198"/>
    </row>
    <row r="30" spans="1:21" s="12" customFormat="1" x14ac:dyDescent="0.25">
      <c r="A30" s="214" t="s">
        <v>1612</v>
      </c>
      <c r="B30" s="64">
        <v>4.28</v>
      </c>
      <c r="C30" s="64">
        <v>3.15</v>
      </c>
      <c r="D30" s="64">
        <v>7.27</v>
      </c>
      <c r="E30" s="64">
        <v>3.3</v>
      </c>
      <c r="F30" s="64">
        <v>3.04</v>
      </c>
      <c r="G30" s="64">
        <v>37.979999999999997</v>
      </c>
      <c r="H30" s="64">
        <v>14.8</v>
      </c>
      <c r="I30" s="64">
        <v>3.03</v>
      </c>
      <c r="J30" s="64">
        <v>0.47</v>
      </c>
      <c r="K30" s="64">
        <v>332.53</v>
      </c>
      <c r="L30" s="64">
        <v>23.23</v>
      </c>
      <c r="M30" s="64">
        <v>101.7</v>
      </c>
      <c r="N30" s="64">
        <v>25.7</v>
      </c>
      <c r="O30" s="64">
        <v>0</v>
      </c>
      <c r="P30" s="64">
        <v>0.32</v>
      </c>
      <c r="Q30" s="64">
        <v>9.59</v>
      </c>
      <c r="R30" s="198"/>
      <c r="S30" s="198"/>
      <c r="T30" s="198"/>
      <c r="U30" s="198"/>
    </row>
    <row r="31" spans="1:21" s="12" customFormat="1" x14ac:dyDescent="0.25">
      <c r="A31" s="214" t="s">
        <v>1613</v>
      </c>
      <c r="B31" s="64">
        <v>4.24</v>
      </c>
      <c r="C31" s="64">
        <v>3.14</v>
      </c>
      <c r="D31" s="64">
        <v>7.23</v>
      </c>
      <c r="E31" s="64">
        <v>3.42</v>
      </c>
      <c r="F31" s="64">
        <v>3.66</v>
      </c>
      <c r="G31" s="64">
        <v>39.81</v>
      </c>
      <c r="H31" s="64">
        <v>14.82</v>
      </c>
      <c r="I31" s="64">
        <v>3.51</v>
      </c>
      <c r="J31" s="64">
        <v>0.45</v>
      </c>
      <c r="K31" s="64">
        <v>327.20999999999998</v>
      </c>
      <c r="L31" s="64">
        <v>23.23</v>
      </c>
      <c r="M31" s="64">
        <v>101.7</v>
      </c>
      <c r="N31" s="64">
        <v>26</v>
      </c>
      <c r="O31" s="64">
        <v>0</v>
      </c>
      <c r="P31" s="64">
        <v>0.32</v>
      </c>
      <c r="Q31" s="64">
        <v>9.59</v>
      </c>
      <c r="R31" s="198"/>
      <c r="S31" s="198"/>
      <c r="T31" s="198"/>
      <c r="U31" s="198"/>
    </row>
    <row r="32" spans="1:21" s="12" customFormat="1" x14ac:dyDescent="0.25">
      <c r="A32" s="214" t="s">
        <v>1614</v>
      </c>
      <c r="B32" s="64">
        <v>4.2300000000000004</v>
      </c>
      <c r="C32" s="64">
        <v>3.14</v>
      </c>
      <c r="D32" s="64">
        <v>7.23</v>
      </c>
      <c r="E32" s="64">
        <v>3.42</v>
      </c>
      <c r="F32" s="64">
        <v>4.33</v>
      </c>
      <c r="G32" s="64">
        <v>39.81</v>
      </c>
      <c r="H32" s="64">
        <v>14.82</v>
      </c>
      <c r="I32" s="64">
        <v>3.39</v>
      </c>
      <c r="J32" s="64">
        <v>0.48</v>
      </c>
      <c r="K32" s="64">
        <v>322.38</v>
      </c>
      <c r="L32" s="64">
        <v>23.17</v>
      </c>
      <c r="M32" s="64">
        <v>101.7</v>
      </c>
      <c r="N32" s="64">
        <v>28</v>
      </c>
      <c r="O32" s="64">
        <v>0</v>
      </c>
      <c r="P32" s="64">
        <v>0.33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4" t="s">
        <v>1615</v>
      </c>
      <c r="B33" s="64">
        <v>4.2300000000000004</v>
      </c>
      <c r="C33" s="64">
        <v>3.12</v>
      </c>
      <c r="D33" s="64">
        <v>7.21</v>
      </c>
      <c r="E33" s="64">
        <v>3.32</v>
      </c>
      <c r="F33" s="64">
        <v>3.19</v>
      </c>
      <c r="G33" s="64">
        <v>39.81</v>
      </c>
      <c r="H33" s="64">
        <v>14.82</v>
      </c>
      <c r="I33" s="64">
        <v>3.11</v>
      </c>
      <c r="J33" s="64">
        <v>0.42</v>
      </c>
      <c r="K33" s="64">
        <v>325.56</v>
      </c>
      <c r="L33" s="64">
        <v>23.21</v>
      </c>
      <c r="M33" s="64">
        <v>101.7</v>
      </c>
      <c r="N33" s="64">
        <v>38.299999999999997</v>
      </c>
      <c r="O33" s="64">
        <v>0</v>
      </c>
      <c r="P33" s="64">
        <v>0.32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4" t="s">
        <v>1616</v>
      </c>
      <c r="B34" s="64">
        <v>4.24</v>
      </c>
      <c r="C34" s="64">
        <v>3.12</v>
      </c>
      <c r="D34" s="64">
        <v>7.22</v>
      </c>
      <c r="E34" s="64">
        <v>3.13</v>
      </c>
      <c r="F34" s="64">
        <v>4.1399999999999997</v>
      </c>
      <c r="G34" s="64">
        <v>46.37</v>
      </c>
      <c r="H34" s="64">
        <v>29.92</v>
      </c>
      <c r="I34" s="64">
        <v>3.07</v>
      </c>
      <c r="J34" s="64">
        <v>0.54</v>
      </c>
      <c r="K34" s="64">
        <v>321.72000000000003</v>
      </c>
      <c r="L34" s="64">
        <v>23.47</v>
      </c>
      <c r="M34" s="64">
        <v>101.7</v>
      </c>
      <c r="N34" s="64">
        <v>59.8</v>
      </c>
      <c r="O34" s="64">
        <v>0</v>
      </c>
      <c r="P34" s="64">
        <v>0.33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4" t="s">
        <v>1617</v>
      </c>
      <c r="B35" s="64">
        <v>4.22</v>
      </c>
      <c r="C35" s="64">
        <v>3.11</v>
      </c>
      <c r="D35" s="64">
        <v>7.2</v>
      </c>
      <c r="E35" s="64">
        <v>3.42</v>
      </c>
      <c r="F35" s="64">
        <v>3.06</v>
      </c>
      <c r="G35" s="64">
        <v>48.62</v>
      </c>
      <c r="H35" s="64">
        <v>30.15</v>
      </c>
      <c r="I35" s="64">
        <v>3.1</v>
      </c>
      <c r="J35" s="64">
        <v>0.55000000000000004</v>
      </c>
      <c r="K35" s="64">
        <v>323.16000000000003</v>
      </c>
      <c r="L35" s="64">
        <v>23.93</v>
      </c>
      <c r="M35" s="64">
        <v>101.68</v>
      </c>
      <c r="N35" s="64">
        <v>74.7</v>
      </c>
      <c r="O35" s="64">
        <v>0</v>
      </c>
      <c r="P35" s="64">
        <v>0.32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4" t="s">
        <v>1618</v>
      </c>
      <c r="B36" s="64">
        <v>4.2300000000000004</v>
      </c>
      <c r="C36" s="64">
        <v>3.15</v>
      </c>
      <c r="D36" s="64">
        <v>7.23</v>
      </c>
      <c r="E36" s="64">
        <v>3.38</v>
      </c>
      <c r="F36" s="64">
        <v>3.92</v>
      </c>
      <c r="G36" s="64">
        <v>48.62</v>
      </c>
      <c r="H36" s="64">
        <v>30.15</v>
      </c>
      <c r="I36" s="64">
        <v>3.07</v>
      </c>
      <c r="J36" s="64">
        <v>0.59</v>
      </c>
      <c r="K36" s="64">
        <v>320.31</v>
      </c>
      <c r="L36" s="64">
        <v>24.13</v>
      </c>
      <c r="M36" s="64">
        <v>101.64</v>
      </c>
      <c r="N36" s="64">
        <v>85.9</v>
      </c>
      <c r="O36" s="64">
        <v>0</v>
      </c>
      <c r="P36" s="64">
        <v>0.33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4" t="s">
        <v>1619</v>
      </c>
      <c r="B37" s="64">
        <v>4.24</v>
      </c>
      <c r="C37" s="64">
        <v>3.18</v>
      </c>
      <c r="D37" s="64">
        <v>7.25</v>
      </c>
      <c r="E37" s="64">
        <v>3.64</v>
      </c>
      <c r="F37" s="64">
        <v>3.53</v>
      </c>
      <c r="G37" s="64">
        <v>48.62</v>
      </c>
      <c r="H37" s="64">
        <v>30.15</v>
      </c>
      <c r="I37" s="64">
        <v>2.96</v>
      </c>
      <c r="J37" s="64">
        <v>0.88</v>
      </c>
      <c r="K37" s="64">
        <v>325.86</v>
      </c>
      <c r="L37" s="64">
        <v>24.81</v>
      </c>
      <c r="M37" s="64">
        <v>98.37</v>
      </c>
      <c r="N37" s="64">
        <v>148.30000000000001</v>
      </c>
      <c r="O37" s="64">
        <v>0</v>
      </c>
      <c r="P37" s="64">
        <v>0.35</v>
      </c>
      <c r="Q37" s="64">
        <v>9.67</v>
      </c>
      <c r="R37" s="198"/>
      <c r="S37" s="198"/>
      <c r="T37" s="198"/>
      <c r="U37" s="198"/>
    </row>
    <row r="38" spans="1:21" s="12" customFormat="1" x14ac:dyDescent="0.25">
      <c r="A38" s="214" t="s">
        <v>1620</v>
      </c>
      <c r="B38" s="64">
        <v>4.2699999999999996</v>
      </c>
      <c r="C38" s="64">
        <v>3.22</v>
      </c>
      <c r="D38" s="64">
        <v>7.29</v>
      </c>
      <c r="E38" s="64">
        <v>3.24</v>
      </c>
      <c r="F38" s="64">
        <v>3.77</v>
      </c>
      <c r="G38" s="64">
        <v>48.58</v>
      </c>
      <c r="H38" s="64">
        <v>18.37</v>
      </c>
      <c r="I38" s="64">
        <v>2.84</v>
      </c>
      <c r="J38" s="64">
        <v>0.82</v>
      </c>
      <c r="K38" s="64">
        <v>321.61</v>
      </c>
      <c r="L38" s="64">
        <v>26.24</v>
      </c>
      <c r="M38" s="64">
        <v>88.24</v>
      </c>
      <c r="N38" s="64">
        <v>255.7</v>
      </c>
      <c r="O38" s="64">
        <v>0</v>
      </c>
      <c r="P38" s="64">
        <v>0.38</v>
      </c>
      <c r="Q38" s="64">
        <v>9.68</v>
      </c>
      <c r="R38" s="198"/>
      <c r="S38" s="198"/>
      <c r="T38" s="198"/>
      <c r="U38" s="198"/>
    </row>
    <row r="39" spans="1:21" s="12" customFormat="1" x14ac:dyDescent="0.25">
      <c r="A39" s="214" t="s">
        <v>1621</v>
      </c>
      <c r="B39" s="64">
        <v>4.25</v>
      </c>
      <c r="C39" s="64">
        <v>3.17</v>
      </c>
      <c r="D39" s="64">
        <v>7.26</v>
      </c>
      <c r="E39" s="64">
        <v>3.27</v>
      </c>
      <c r="F39" s="64">
        <v>3.13</v>
      </c>
      <c r="G39" s="64">
        <v>48.56</v>
      </c>
      <c r="H39" s="64">
        <v>18.09</v>
      </c>
      <c r="I39" s="64">
        <v>2.76</v>
      </c>
      <c r="J39" s="64">
        <v>1.43</v>
      </c>
      <c r="K39" s="64">
        <v>323.8</v>
      </c>
      <c r="L39" s="64">
        <v>27.6</v>
      </c>
      <c r="M39" s="64">
        <v>78.48</v>
      </c>
      <c r="N39" s="64">
        <v>266.5</v>
      </c>
      <c r="O39" s="64">
        <v>0</v>
      </c>
      <c r="P39" s="64">
        <v>0.37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4" t="s">
        <v>1622</v>
      </c>
      <c r="B40" s="64">
        <v>4.2699999999999996</v>
      </c>
      <c r="C40" s="64">
        <v>3.18</v>
      </c>
      <c r="D40" s="64">
        <v>7.27</v>
      </c>
      <c r="E40" s="64">
        <v>4.9800000000000004</v>
      </c>
      <c r="F40" s="64">
        <v>3.49</v>
      </c>
      <c r="G40" s="64">
        <v>48.56</v>
      </c>
      <c r="H40" s="64">
        <v>18.09</v>
      </c>
      <c r="I40" s="64">
        <v>2.61</v>
      </c>
      <c r="J40" s="64">
        <v>1.2</v>
      </c>
      <c r="K40" s="64">
        <v>321.60000000000002</v>
      </c>
      <c r="L40" s="64">
        <v>28.04</v>
      </c>
      <c r="M40" s="64">
        <v>76.2</v>
      </c>
      <c r="N40" s="64">
        <v>324.39999999999998</v>
      </c>
      <c r="O40" s="64">
        <v>0</v>
      </c>
      <c r="P40" s="64">
        <v>0.36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4" t="s">
        <v>1623</v>
      </c>
      <c r="B41" s="64">
        <v>4.28</v>
      </c>
      <c r="C41" s="64">
        <v>3.21</v>
      </c>
      <c r="D41" s="64">
        <v>7.3</v>
      </c>
      <c r="E41" s="64">
        <v>4.3600000000000003</v>
      </c>
      <c r="F41" s="64">
        <v>3.68</v>
      </c>
      <c r="G41" s="64">
        <v>48.56</v>
      </c>
      <c r="H41" s="64">
        <v>18.09</v>
      </c>
      <c r="I41" s="64">
        <v>2.42</v>
      </c>
      <c r="J41" s="64">
        <v>0.98</v>
      </c>
      <c r="K41" s="64">
        <v>320.62</v>
      </c>
      <c r="L41" s="64">
        <v>28.63</v>
      </c>
      <c r="M41" s="64">
        <v>73.650000000000006</v>
      </c>
      <c r="N41" s="64">
        <v>279.60000000000002</v>
      </c>
      <c r="O41" s="64">
        <v>0</v>
      </c>
      <c r="P41" s="64">
        <v>0.36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4" t="s">
        <v>1624</v>
      </c>
      <c r="B42" s="64">
        <v>4.3099999999999996</v>
      </c>
      <c r="C42" s="64">
        <v>3.23</v>
      </c>
      <c r="D42" s="64">
        <v>7.34</v>
      </c>
      <c r="E42" s="64">
        <v>4.22</v>
      </c>
      <c r="F42" s="64">
        <v>3.9</v>
      </c>
      <c r="G42" s="64">
        <v>45.23</v>
      </c>
      <c r="H42" s="64">
        <v>11.32</v>
      </c>
      <c r="I42" s="64">
        <v>2.2400000000000002</v>
      </c>
      <c r="J42" s="64">
        <v>1.1200000000000001</v>
      </c>
      <c r="K42" s="64">
        <v>322.20999999999998</v>
      </c>
      <c r="L42" s="64">
        <v>28.58</v>
      </c>
      <c r="M42" s="64">
        <v>73.5</v>
      </c>
      <c r="N42" s="64">
        <v>386.9</v>
      </c>
      <c r="O42" s="64">
        <v>0</v>
      </c>
      <c r="P42" s="64">
        <v>0.36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4" t="s">
        <v>1625</v>
      </c>
      <c r="B43" s="64">
        <v>4.33</v>
      </c>
      <c r="C43" s="64">
        <v>3.24</v>
      </c>
      <c r="D43" s="64">
        <v>7.35</v>
      </c>
      <c r="E43" s="64">
        <v>4.07</v>
      </c>
      <c r="F43" s="64">
        <v>3.67</v>
      </c>
      <c r="G43" s="64">
        <v>44.08</v>
      </c>
      <c r="H43" s="64">
        <v>11.22</v>
      </c>
      <c r="I43" s="64">
        <v>2.09</v>
      </c>
      <c r="J43" s="64">
        <v>0.99</v>
      </c>
      <c r="K43" s="64">
        <v>327.2</v>
      </c>
      <c r="L43" s="64">
        <v>30.41</v>
      </c>
      <c r="M43" s="64">
        <v>67.27</v>
      </c>
      <c r="N43" s="64">
        <v>574.6</v>
      </c>
      <c r="O43" s="64">
        <v>0</v>
      </c>
      <c r="P43" s="64">
        <v>0.36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4" t="s">
        <v>1626</v>
      </c>
      <c r="B44" s="64">
        <v>4.29</v>
      </c>
      <c r="C44" s="64">
        <v>3.15</v>
      </c>
      <c r="D44" s="64">
        <v>7.28</v>
      </c>
      <c r="E44" s="64">
        <v>4.33</v>
      </c>
      <c r="F44" s="64">
        <v>3.65</v>
      </c>
      <c r="G44" s="64">
        <v>44.08</v>
      </c>
      <c r="H44" s="64">
        <v>11.22</v>
      </c>
      <c r="I44" s="64">
        <v>1.97</v>
      </c>
      <c r="J44" s="64">
        <v>1.25</v>
      </c>
      <c r="K44" s="64">
        <v>317.49</v>
      </c>
      <c r="L44" s="64">
        <v>31.19</v>
      </c>
      <c r="M44" s="64">
        <v>63.05</v>
      </c>
      <c r="N44" s="64">
        <v>565.20000000000005</v>
      </c>
      <c r="O44" s="64">
        <v>0</v>
      </c>
      <c r="P44" s="64">
        <v>0.35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4" t="s">
        <v>1627</v>
      </c>
      <c r="B45" s="64">
        <v>4.2699999999999996</v>
      </c>
      <c r="C45" s="64">
        <v>3.14</v>
      </c>
      <c r="D45" s="64">
        <v>7.26</v>
      </c>
      <c r="E45" s="64">
        <v>4.34</v>
      </c>
      <c r="F45" s="64">
        <v>3.69</v>
      </c>
      <c r="G45" s="64">
        <v>44.08</v>
      </c>
      <c r="H45" s="64">
        <v>11.22</v>
      </c>
      <c r="I45" s="64">
        <v>1.9</v>
      </c>
      <c r="J45" s="64">
        <v>0.93</v>
      </c>
      <c r="K45" s="64">
        <v>325.82</v>
      </c>
      <c r="L45" s="64">
        <v>30.44</v>
      </c>
      <c r="M45" s="64">
        <v>64.72</v>
      </c>
      <c r="N45" s="64">
        <v>480.3</v>
      </c>
      <c r="O45" s="64">
        <v>0</v>
      </c>
      <c r="P45" s="64">
        <v>0.35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4" t="s">
        <v>1628</v>
      </c>
      <c r="B46" s="64">
        <v>4.26</v>
      </c>
      <c r="C46" s="64">
        <v>3.15</v>
      </c>
      <c r="D46" s="64">
        <v>7.25</v>
      </c>
      <c r="E46" s="64">
        <v>4.8</v>
      </c>
      <c r="F46" s="64">
        <v>3.9</v>
      </c>
      <c r="G46" s="64">
        <v>46.03</v>
      </c>
      <c r="H46" s="64">
        <v>7.24</v>
      </c>
      <c r="I46" s="64">
        <v>1.8</v>
      </c>
      <c r="J46" s="64">
        <v>1.04</v>
      </c>
      <c r="K46" s="64">
        <v>317.43</v>
      </c>
      <c r="L46" s="64">
        <v>30.87</v>
      </c>
      <c r="M46" s="64">
        <v>63.83</v>
      </c>
      <c r="N46" s="64">
        <v>626.5</v>
      </c>
      <c r="O46" s="64">
        <v>0</v>
      </c>
      <c r="P46" s="64">
        <v>0.34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1629</v>
      </c>
      <c r="B47" s="64">
        <v>4.26</v>
      </c>
      <c r="C47" s="64">
        <v>3.14</v>
      </c>
      <c r="D47" s="64">
        <v>7.25</v>
      </c>
      <c r="E47" s="64">
        <v>4.49</v>
      </c>
      <c r="F47" s="64">
        <v>5.52</v>
      </c>
      <c r="G47" s="64">
        <v>46.73</v>
      </c>
      <c r="H47" s="64">
        <v>7.18</v>
      </c>
      <c r="I47" s="64">
        <v>1.67</v>
      </c>
      <c r="J47" s="64">
        <v>1.47</v>
      </c>
      <c r="K47" s="64">
        <v>319.75</v>
      </c>
      <c r="L47" s="64">
        <v>31.18</v>
      </c>
      <c r="M47" s="64">
        <v>63.5</v>
      </c>
      <c r="N47" s="64">
        <v>693.1</v>
      </c>
      <c r="O47" s="64">
        <v>0</v>
      </c>
      <c r="P47" s="64">
        <v>0.34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4" t="s">
        <v>1630</v>
      </c>
      <c r="B48" s="64">
        <v>4.24</v>
      </c>
      <c r="C48" s="64">
        <v>3.17</v>
      </c>
      <c r="D48" s="64">
        <v>7.25</v>
      </c>
      <c r="E48" s="64">
        <v>4.74</v>
      </c>
      <c r="F48" s="64">
        <v>2.96</v>
      </c>
      <c r="G48" s="64">
        <v>46.73</v>
      </c>
      <c r="H48" s="64">
        <v>7.18</v>
      </c>
      <c r="I48" s="64">
        <v>1.55</v>
      </c>
      <c r="J48" s="64">
        <v>1.51</v>
      </c>
      <c r="K48" s="64">
        <v>320.81</v>
      </c>
      <c r="L48" s="64">
        <v>31.52</v>
      </c>
      <c r="M48" s="64">
        <v>63.01</v>
      </c>
      <c r="N48" s="64">
        <v>633.79999999999995</v>
      </c>
      <c r="O48" s="64">
        <v>0</v>
      </c>
      <c r="P48" s="64">
        <v>0.34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14" t="s">
        <v>1631</v>
      </c>
      <c r="B49" s="64">
        <v>4.2300000000000004</v>
      </c>
      <c r="C49" s="64">
        <v>3.16</v>
      </c>
      <c r="D49" s="64">
        <v>7.23</v>
      </c>
      <c r="E49" s="64">
        <v>4.46</v>
      </c>
      <c r="F49" s="64">
        <v>4.67</v>
      </c>
      <c r="G49" s="64">
        <v>46.73</v>
      </c>
      <c r="H49" s="64">
        <v>7.18</v>
      </c>
      <c r="I49" s="64">
        <v>1.45</v>
      </c>
      <c r="J49" s="64">
        <v>1.1599999999999999</v>
      </c>
      <c r="K49" s="64">
        <v>318.81</v>
      </c>
      <c r="L49" s="64">
        <v>31.44</v>
      </c>
      <c r="M49" s="64">
        <v>62.29</v>
      </c>
      <c r="N49" s="64">
        <v>693.2</v>
      </c>
      <c r="O49" s="64">
        <v>0</v>
      </c>
      <c r="P49" s="64">
        <v>0.33</v>
      </c>
      <c r="Q49" s="64">
        <v>9.56</v>
      </c>
      <c r="R49" s="198"/>
      <c r="S49" s="198"/>
      <c r="T49" s="198"/>
      <c r="U49" s="198"/>
    </row>
    <row r="50" spans="1:21" s="12" customFormat="1" x14ac:dyDescent="0.25">
      <c r="A50" s="214" t="s">
        <v>1632</v>
      </c>
      <c r="B50" s="64">
        <v>4.22</v>
      </c>
      <c r="C50" s="64">
        <v>3.14</v>
      </c>
      <c r="D50" s="64">
        <v>7.21</v>
      </c>
      <c r="E50" s="64">
        <v>4.54</v>
      </c>
      <c r="F50" s="64">
        <v>4.13</v>
      </c>
      <c r="G50" s="64">
        <v>47.22</v>
      </c>
      <c r="H50" s="64">
        <v>4.7699999999999996</v>
      </c>
      <c r="I50" s="64">
        <v>1.38</v>
      </c>
      <c r="J50" s="64">
        <v>1.06</v>
      </c>
      <c r="K50" s="64">
        <v>323.73</v>
      </c>
      <c r="L50" s="64">
        <v>31.55</v>
      </c>
      <c r="M50" s="64">
        <v>62.36</v>
      </c>
      <c r="N50" s="64">
        <v>605.29999999999995</v>
      </c>
      <c r="O50" s="64">
        <v>0</v>
      </c>
      <c r="P50" s="64">
        <v>0.35</v>
      </c>
      <c r="Q50" s="64">
        <v>9.58</v>
      </c>
      <c r="R50" s="198"/>
      <c r="S50" s="198"/>
      <c r="T50" s="198"/>
      <c r="U50" s="198"/>
    </row>
    <row r="51" spans="1:21" s="12" customFormat="1" x14ac:dyDescent="0.25">
      <c r="A51" s="214" t="s">
        <v>1633</v>
      </c>
      <c r="B51" s="64">
        <v>4.2300000000000004</v>
      </c>
      <c r="C51" s="64">
        <v>3.14</v>
      </c>
      <c r="D51" s="64">
        <v>7.22</v>
      </c>
      <c r="E51" s="64">
        <v>4.45</v>
      </c>
      <c r="F51" s="64">
        <v>3.35</v>
      </c>
      <c r="G51" s="64">
        <v>47.39</v>
      </c>
      <c r="H51" s="64">
        <v>4.74</v>
      </c>
      <c r="I51" s="64">
        <v>1.31</v>
      </c>
      <c r="J51" s="64">
        <v>1.23</v>
      </c>
      <c r="K51" s="64">
        <v>322.61</v>
      </c>
      <c r="L51" s="64">
        <v>31.05</v>
      </c>
      <c r="M51" s="64">
        <v>64.319999999999993</v>
      </c>
      <c r="N51" s="64">
        <v>609</v>
      </c>
      <c r="O51" s="64">
        <v>0</v>
      </c>
      <c r="P51" s="64">
        <v>0.33</v>
      </c>
      <c r="Q51" s="64">
        <v>9.5500000000000007</v>
      </c>
      <c r="R51" s="198"/>
      <c r="S51" s="198"/>
      <c r="T51" s="198"/>
      <c r="U51" s="198"/>
    </row>
    <row r="52" spans="1:21" s="12" customFormat="1" x14ac:dyDescent="0.25">
      <c r="A52" s="214" t="s">
        <v>1634</v>
      </c>
      <c r="B52" s="64">
        <v>4.25</v>
      </c>
      <c r="C52" s="64">
        <v>3.22</v>
      </c>
      <c r="D52" s="64">
        <v>7.28</v>
      </c>
      <c r="E52" s="64">
        <v>4.76</v>
      </c>
      <c r="F52" s="64">
        <v>5.26</v>
      </c>
      <c r="G52" s="64">
        <v>47.39</v>
      </c>
      <c r="H52" s="64">
        <v>4.74</v>
      </c>
      <c r="I52" s="64">
        <v>1.24</v>
      </c>
      <c r="J52" s="64">
        <v>1.64</v>
      </c>
      <c r="K52" s="64">
        <v>325.05</v>
      </c>
      <c r="L52" s="64">
        <v>31.83</v>
      </c>
      <c r="M52" s="64">
        <v>63.49</v>
      </c>
      <c r="N52" s="64">
        <v>798.4</v>
      </c>
      <c r="O52" s="64">
        <v>0</v>
      </c>
      <c r="P52" s="64">
        <v>0.34</v>
      </c>
      <c r="Q52" s="64">
        <v>9.57</v>
      </c>
      <c r="R52" s="198"/>
      <c r="S52" s="198"/>
      <c r="T52" s="198"/>
      <c r="U52" s="198"/>
    </row>
    <row r="53" spans="1:21" s="12" customFormat="1" x14ac:dyDescent="0.25">
      <c r="A53" s="214" t="s">
        <v>1635</v>
      </c>
      <c r="B53" s="64">
        <v>4.22</v>
      </c>
      <c r="C53" s="64">
        <v>3.16</v>
      </c>
      <c r="D53" s="64">
        <v>7.23</v>
      </c>
      <c r="E53" s="64">
        <v>4.58</v>
      </c>
      <c r="F53" s="64">
        <v>3.14</v>
      </c>
      <c r="G53" s="64">
        <v>47.39</v>
      </c>
      <c r="H53" s="64">
        <v>4.74</v>
      </c>
      <c r="I53" s="64">
        <v>1.18</v>
      </c>
      <c r="J53" s="64">
        <v>1.1499999999999999</v>
      </c>
      <c r="K53" s="64">
        <v>320.5</v>
      </c>
      <c r="L53" s="64">
        <v>33.020000000000003</v>
      </c>
      <c r="M53" s="64">
        <v>60.24</v>
      </c>
      <c r="N53" s="64">
        <v>916.7</v>
      </c>
      <c r="O53" s="64">
        <v>0</v>
      </c>
      <c r="P53" s="64">
        <v>0.35</v>
      </c>
      <c r="Q53" s="64">
        <v>9.57</v>
      </c>
      <c r="R53" s="198"/>
      <c r="S53" s="198"/>
      <c r="T53" s="198"/>
      <c r="U53" s="198"/>
    </row>
    <row r="54" spans="1:21" s="12" customFormat="1" x14ac:dyDescent="0.25">
      <c r="A54" s="214" t="s">
        <v>1636</v>
      </c>
      <c r="B54" s="64">
        <v>4.24</v>
      </c>
      <c r="C54" s="64">
        <v>3.14</v>
      </c>
      <c r="D54" s="64">
        <v>7.23</v>
      </c>
      <c r="E54" s="64">
        <v>4.6399999999999997</v>
      </c>
      <c r="F54" s="64">
        <v>3.62</v>
      </c>
      <c r="G54" s="64">
        <v>45.33</v>
      </c>
      <c r="H54" s="64">
        <v>3.26</v>
      </c>
      <c r="I54" s="64">
        <v>1.1499999999999999</v>
      </c>
      <c r="J54" s="64">
        <v>1.29</v>
      </c>
      <c r="K54" s="64">
        <v>323.89999999999998</v>
      </c>
      <c r="L54" s="64">
        <v>33.229999999999997</v>
      </c>
      <c r="M54" s="64">
        <v>58.93</v>
      </c>
      <c r="N54" s="64">
        <v>986.7</v>
      </c>
      <c r="O54" s="64">
        <v>0</v>
      </c>
      <c r="P54" s="64">
        <v>0.34</v>
      </c>
      <c r="Q54" s="64">
        <v>9.56</v>
      </c>
      <c r="R54" s="198"/>
      <c r="S54" s="198"/>
      <c r="T54" s="198"/>
      <c r="U54" s="198"/>
    </row>
    <row r="55" spans="1:21" s="12" customFormat="1" x14ac:dyDescent="0.25">
      <c r="A55" s="214" t="s">
        <v>1637</v>
      </c>
      <c r="B55" s="64">
        <v>4.2300000000000004</v>
      </c>
      <c r="C55" s="64">
        <v>3.13</v>
      </c>
      <c r="D55" s="64">
        <v>7.22</v>
      </c>
      <c r="E55" s="64">
        <v>4.45</v>
      </c>
      <c r="F55" s="64">
        <v>5.35</v>
      </c>
      <c r="G55" s="64">
        <v>44.63</v>
      </c>
      <c r="H55" s="64">
        <v>3.22</v>
      </c>
      <c r="I55" s="64">
        <v>1.1200000000000001</v>
      </c>
      <c r="J55" s="64">
        <v>1.17</v>
      </c>
      <c r="K55" s="64">
        <v>322.52999999999997</v>
      </c>
      <c r="L55" s="64">
        <v>33.299999999999997</v>
      </c>
      <c r="M55" s="64">
        <v>59</v>
      </c>
      <c r="N55" s="64">
        <v>661.8</v>
      </c>
      <c r="O55" s="64">
        <v>0</v>
      </c>
      <c r="P55" s="64">
        <v>0.36</v>
      </c>
      <c r="Q55" s="64">
        <v>9.58</v>
      </c>
      <c r="R55" s="198"/>
      <c r="S55" s="198"/>
      <c r="T55" s="198"/>
      <c r="U55" s="198"/>
    </row>
    <row r="56" spans="1:21" s="12" customFormat="1" x14ac:dyDescent="0.25">
      <c r="A56" s="214" t="s">
        <v>1638</v>
      </c>
      <c r="B56" s="64">
        <v>4.22</v>
      </c>
      <c r="C56" s="64">
        <v>3.16</v>
      </c>
      <c r="D56" s="64">
        <v>7.23</v>
      </c>
      <c r="E56" s="64">
        <v>4.01</v>
      </c>
      <c r="F56" s="64">
        <v>3.11</v>
      </c>
      <c r="G56" s="64">
        <v>44.63</v>
      </c>
      <c r="H56" s="64">
        <v>3.22</v>
      </c>
      <c r="I56" s="64">
        <v>1.1000000000000001</v>
      </c>
      <c r="J56" s="64">
        <v>1.69</v>
      </c>
      <c r="K56" s="64">
        <v>319.89999999999998</v>
      </c>
      <c r="L56" s="64">
        <v>32.36</v>
      </c>
      <c r="M56" s="64">
        <v>61.93</v>
      </c>
      <c r="N56" s="64">
        <v>603.29999999999995</v>
      </c>
      <c r="O56" s="64">
        <v>0</v>
      </c>
      <c r="P56" s="64">
        <v>0.35</v>
      </c>
      <c r="Q56" s="64">
        <v>9.5299999999999994</v>
      </c>
      <c r="R56" s="198"/>
      <c r="S56" s="198"/>
      <c r="T56" s="198"/>
      <c r="U56" s="198"/>
    </row>
    <row r="57" spans="1:21" s="12" customFormat="1" x14ac:dyDescent="0.25">
      <c r="A57" s="214" t="s">
        <v>1639</v>
      </c>
      <c r="B57" s="64">
        <v>4.26</v>
      </c>
      <c r="C57" s="64">
        <v>3.15</v>
      </c>
      <c r="D57" s="64">
        <v>7.25</v>
      </c>
      <c r="E57" s="64">
        <v>4.38</v>
      </c>
      <c r="F57" s="64">
        <v>4.3499999999999996</v>
      </c>
      <c r="G57" s="64">
        <v>44.63</v>
      </c>
      <c r="H57" s="64">
        <v>3.22</v>
      </c>
      <c r="I57" s="64">
        <v>1.07</v>
      </c>
      <c r="J57" s="64">
        <v>2.2200000000000002</v>
      </c>
      <c r="K57" s="64">
        <v>323.13</v>
      </c>
      <c r="L57" s="64">
        <v>31.98</v>
      </c>
      <c r="M57" s="64">
        <v>62.07</v>
      </c>
      <c r="N57" s="64">
        <v>784.6</v>
      </c>
      <c r="O57" s="64">
        <v>0</v>
      </c>
      <c r="P57" s="64">
        <v>0.35</v>
      </c>
      <c r="Q57" s="64">
        <v>9.5</v>
      </c>
      <c r="R57" s="198"/>
      <c r="S57" s="198"/>
      <c r="T57" s="198"/>
      <c r="U57" s="198"/>
    </row>
    <row r="58" spans="1:21" s="12" customFormat="1" x14ac:dyDescent="0.25">
      <c r="A58" s="214" t="s">
        <v>1640</v>
      </c>
      <c r="B58" s="64">
        <v>4.28</v>
      </c>
      <c r="C58" s="64">
        <v>3.14</v>
      </c>
      <c r="D58" s="64">
        <v>7.26</v>
      </c>
      <c r="E58" s="64">
        <v>4.04</v>
      </c>
      <c r="F58" s="64">
        <v>4.6399999999999997</v>
      </c>
      <c r="G58" s="64">
        <v>41.29</v>
      </c>
      <c r="H58" s="212" t="s">
        <v>42</v>
      </c>
      <c r="I58" s="64">
        <v>1.04</v>
      </c>
      <c r="J58" s="64">
        <v>2.66</v>
      </c>
      <c r="K58" s="64">
        <v>321.86</v>
      </c>
      <c r="L58" s="64">
        <v>31.65</v>
      </c>
      <c r="M58" s="64">
        <v>62.11</v>
      </c>
      <c r="N58" s="64">
        <v>723.7</v>
      </c>
      <c r="O58" s="64">
        <v>0</v>
      </c>
      <c r="P58" s="64">
        <v>0.35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4" t="s">
        <v>1641</v>
      </c>
      <c r="B59" s="64">
        <v>4.2699999999999996</v>
      </c>
      <c r="C59" s="64">
        <v>3.16</v>
      </c>
      <c r="D59" s="64">
        <v>7.27</v>
      </c>
      <c r="E59" s="64">
        <v>3.87</v>
      </c>
      <c r="F59" s="64">
        <v>4.54</v>
      </c>
      <c r="G59" s="64">
        <v>40.15</v>
      </c>
      <c r="H59" s="212" t="s">
        <v>42</v>
      </c>
      <c r="I59" s="64">
        <v>1</v>
      </c>
      <c r="J59" s="64">
        <v>2.4300000000000002</v>
      </c>
      <c r="K59" s="64">
        <v>324.77999999999997</v>
      </c>
      <c r="L59" s="64">
        <v>31.55</v>
      </c>
      <c r="M59" s="64">
        <v>62.78</v>
      </c>
      <c r="N59" s="64">
        <v>643.79999999999995</v>
      </c>
      <c r="O59" s="64">
        <v>0</v>
      </c>
      <c r="P59" s="64">
        <v>0.34</v>
      </c>
      <c r="Q59" s="64">
        <v>9.52</v>
      </c>
      <c r="R59" s="198"/>
      <c r="S59" s="198"/>
      <c r="T59" s="198"/>
      <c r="U59" s="198"/>
    </row>
    <row r="60" spans="1:21" s="12" customFormat="1" x14ac:dyDescent="0.25">
      <c r="A60" s="214" t="s">
        <v>1642</v>
      </c>
      <c r="B60" s="64">
        <v>4.2699999999999996</v>
      </c>
      <c r="C60" s="64">
        <v>3.15</v>
      </c>
      <c r="D60" s="64">
        <v>7.26</v>
      </c>
      <c r="E60" s="64">
        <v>4.3899999999999997</v>
      </c>
      <c r="F60" s="64">
        <v>4.87</v>
      </c>
      <c r="G60" s="64">
        <v>40.15</v>
      </c>
      <c r="H60" s="212" t="s">
        <v>42</v>
      </c>
      <c r="I60" s="64">
        <v>0.96</v>
      </c>
      <c r="J60" s="64">
        <v>2.4700000000000002</v>
      </c>
      <c r="K60" s="64">
        <v>328.31</v>
      </c>
      <c r="L60" s="64">
        <v>31.55</v>
      </c>
      <c r="M60" s="64">
        <v>62.94</v>
      </c>
      <c r="N60" s="64">
        <v>595.6</v>
      </c>
      <c r="O60" s="64">
        <v>0</v>
      </c>
      <c r="P60" s="64">
        <v>0.34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14" t="s">
        <v>1643</v>
      </c>
      <c r="B61" s="64">
        <v>4.29</v>
      </c>
      <c r="C61" s="64">
        <v>3.16</v>
      </c>
      <c r="D61" s="64">
        <v>7.28</v>
      </c>
      <c r="E61" s="64">
        <v>4.42</v>
      </c>
      <c r="F61" s="64">
        <v>4.46</v>
      </c>
      <c r="G61" s="64">
        <v>40.15</v>
      </c>
      <c r="H61" s="212" t="s">
        <v>42</v>
      </c>
      <c r="I61" s="64">
        <v>0.93</v>
      </c>
      <c r="J61" s="64">
        <v>2.58</v>
      </c>
      <c r="K61" s="64">
        <v>329.15</v>
      </c>
      <c r="L61" s="64">
        <v>30.96</v>
      </c>
      <c r="M61" s="64">
        <v>64.510000000000005</v>
      </c>
      <c r="N61" s="64">
        <v>396.9</v>
      </c>
      <c r="O61" s="64">
        <v>0</v>
      </c>
      <c r="P61" s="64">
        <v>0.32</v>
      </c>
      <c r="Q61" s="64">
        <v>9.5299999999999994</v>
      </c>
      <c r="R61" s="198"/>
      <c r="S61" s="198"/>
      <c r="T61" s="198"/>
      <c r="U61" s="198"/>
    </row>
    <row r="62" spans="1:21" s="12" customFormat="1" x14ac:dyDescent="0.25">
      <c r="A62" s="214" t="s">
        <v>1644</v>
      </c>
      <c r="B62" s="64">
        <v>4.29</v>
      </c>
      <c r="C62" s="64">
        <v>3.18</v>
      </c>
      <c r="D62" s="64">
        <v>7.3</v>
      </c>
      <c r="E62" s="64">
        <v>3.96</v>
      </c>
      <c r="F62" s="64">
        <v>4</v>
      </c>
      <c r="G62" s="64">
        <v>38.86</v>
      </c>
      <c r="H62" s="212" t="s">
        <v>42</v>
      </c>
      <c r="I62" s="64">
        <v>0.91</v>
      </c>
      <c r="J62" s="64">
        <v>1.65</v>
      </c>
      <c r="K62" s="64">
        <v>323.08999999999997</v>
      </c>
      <c r="L62" s="64">
        <v>30.91</v>
      </c>
      <c r="M62" s="64">
        <v>64.63</v>
      </c>
      <c r="N62" s="64">
        <v>368.3</v>
      </c>
      <c r="O62" s="64">
        <v>0</v>
      </c>
      <c r="P62" s="64">
        <v>0.34</v>
      </c>
      <c r="Q62" s="64">
        <v>9.52</v>
      </c>
      <c r="R62" s="198"/>
      <c r="S62" s="198"/>
      <c r="T62" s="198"/>
      <c r="U62" s="198"/>
    </row>
    <row r="63" spans="1:21" s="12" customFormat="1" x14ac:dyDescent="0.25">
      <c r="A63" s="214" t="s">
        <v>1645</v>
      </c>
      <c r="B63" s="64">
        <v>4.28</v>
      </c>
      <c r="C63" s="64">
        <v>3.14</v>
      </c>
      <c r="D63" s="64">
        <v>7.26</v>
      </c>
      <c r="E63" s="64">
        <v>4.5999999999999996</v>
      </c>
      <c r="F63" s="64">
        <v>4.49</v>
      </c>
      <c r="G63" s="64">
        <v>38.409999999999997</v>
      </c>
      <c r="H63" s="212" t="s">
        <v>42</v>
      </c>
      <c r="I63" s="64">
        <v>0.89</v>
      </c>
      <c r="J63" s="64">
        <v>1.76</v>
      </c>
      <c r="K63" s="64">
        <v>320.23</v>
      </c>
      <c r="L63" s="64">
        <v>30.7</v>
      </c>
      <c r="M63" s="64">
        <v>64.88</v>
      </c>
      <c r="N63" s="64">
        <v>320.10000000000002</v>
      </c>
      <c r="O63" s="64">
        <v>0</v>
      </c>
      <c r="P63" s="64">
        <v>0.34</v>
      </c>
      <c r="Q63" s="64">
        <v>9.5399999999999991</v>
      </c>
      <c r="R63" s="198"/>
      <c r="S63" s="198"/>
      <c r="T63" s="198"/>
      <c r="U63" s="198"/>
    </row>
    <row r="64" spans="1:21" s="12" customFormat="1" x14ac:dyDescent="0.25">
      <c r="A64" s="214" t="s">
        <v>1646</v>
      </c>
      <c r="B64" s="64">
        <v>4.2300000000000004</v>
      </c>
      <c r="C64" s="64">
        <v>3.15</v>
      </c>
      <c r="D64" s="64">
        <v>7.23</v>
      </c>
      <c r="E64" s="64">
        <v>4.1500000000000004</v>
      </c>
      <c r="F64" s="64">
        <v>4.7300000000000004</v>
      </c>
      <c r="G64" s="64">
        <v>38.409999999999997</v>
      </c>
      <c r="H64" s="212" t="s">
        <v>42</v>
      </c>
      <c r="I64" s="64">
        <v>0.88</v>
      </c>
      <c r="J64" s="64">
        <v>2.42</v>
      </c>
      <c r="K64" s="64">
        <v>321.24</v>
      </c>
      <c r="L64" s="64">
        <v>30.51</v>
      </c>
      <c r="M64" s="64">
        <v>63.69</v>
      </c>
      <c r="N64" s="64">
        <v>298.7</v>
      </c>
      <c r="O64" s="64">
        <v>0</v>
      </c>
      <c r="P64" s="64">
        <v>0.34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4" t="s">
        <v>1647</v>
      </c>
      <c r="B65" s="64">
        <v>4.24</v>
      </c>
      <c r="C65" s="64">
        <v>3.16</v>
      </c>
      <c r="D65" s="64">
        <v>7.24</v>
      </c>
      <c r="E65" s="64">
        <v>4</v>
      </c>
      <c r="F65" s="64">
        <v>4.46</v>
      </c>
      <c r="G65" s="64">
        <v>38.409999999999997</v>
      </c>
      <c r="H65" s="212" t="s">
        <v>42</v>
      </c>
      <c r="I65" s="64">
        <v>0.87</v>
      </c>
      <c r="J65" s="64">
        <v>1.82</v>
      </c>
      <c r="K65" s="64">
        <v>319.45999999999998</v>
      </c>
      <c r="L65" s="64">
        <v>30.84</v>
      </c>
      <c r="M65" s="64">
        <v>61.35</v>
      </c>
      <c r="N65" s="64">
        <v>274.2</v>
      </c>
      <c r="O65" s="64">
        <v>0</v>
      </c>
      <c r="P65" s="64">
        <v>0.33</v>
      </c>
      <c r="Q65" s="64">
        <v>9.56</v>
      </c>
      <c r="R65" s="198"/>
      <c r="S65" s="198"/>
      <c r="T65" s="198"/>
      <c r="U65" s="198"/>
    </row>
    <row r="66" spans="1:21" s="12" customFormat="1" x14ac:dyDescent="0.25">
      <c r="A66" s="214" t="s">
        <v>1648</v>
      </c>
      <c r="B66" s="64">
        <v>4.24</v>
      </c>
      <c r="C66" s="64">
        <v>3.17</v>
      </c>
      <c r="D66" s="64">
        <v>7.24</v>
      </c>
      <c r="E66" s="64">
        <v>4.2699999999999996</v>
      </c>
      <c r="F66" s="64">
        <v>6.09</v>
      </c>
      <c r="G66" s="64">
        <v>38.5</v>
      </c>
      <c r="H66" s="64">
        <v>9.18</v>
      </c>
      <c r="I66" s="64">
        <v>0.85</v>
      </c>
      <c r="J66" s="64">
        <v>1.96</v>
      </c>
      <c r="K66" s="64">
        <v>323.32</v>
      </c>
      <c r="L66" s="64">
        <v>30.89</v>
      </c>
      <c r="M66" s="64">
        <v>61.69</v>
      </c>
      <c r="N66" s="64">
        <v>247.1</v>
      </c>
      <c r="O66" s="64">
        <v>0</v>
      </c>
      <c r="P66" s="64">
        <v>0.33</v>
      </c>
      <c r="Q66" s="64">
        <v>9.58</v>
      </c>
      <c r="R66" s="198"/>
      <c r="S66" s="198"/>
      <c r="T66" s="198"/>
      <c r="U66" s="198"/>
    </row>
    <row r="67" spans="1:21" s="12" customFormat="1" x14ac:dyDescent="0.25">
      <c r="A67" s="214" t="s">
        <v>1649</v>
      </c>
      <c r="B67" s="64">
        <v>4.2300000000000004</v>
      </c>
      <c r="C67" s="64">
        <v>3.2</v>
      </c>
      <c r="D67" s="64">
        <v>7.26</v>
      </c>
      <c r="E67" s="64">
        <v>4.4800000000000004</v>
      </c>
      <c r="F67" s="64">
        <v>3.89</v>
      </c>
      <c r="G67" s="64">
        <v>38.53</v>
      </c>
      <c r="H67" s="64">
        <v>7.53</v>
      </c>
      <c r="I67" s="64">
        <v>0.86</v>
      </c>
      <c r="J67" s="64">
        <v>1.79</v>
      </c>
      <c r="K67" s="64">
        <v>322.27999999999997</v>
      </c>
      <c r="L67" s="64">
        <v>31.01</v>
      </c>
      <c r="M67" s="64">
        <v>61.04</v>
      </c>
      <c r="N67" s="64">
        <v>232.8</v>
      </c>
      <c r="O67" s="64">
        <v>0</v>
      </c>
      <c r="P67" s="64">
        <v>0.34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4" t="s">
        <v>1650</v>
      </c>
      <c r="B68" s="64">
        <v>4.22</v>
      </c>
      <c r="C68" s="64">
        <v>3.17</v>
      </c>
      <c r="D68" s="64">
        <v>7.24</v>
      </c>
      <c r="E68" s="64">
        <v>4.1500000000000004</v>
      </c>
      <c r="F68" s="64">
        <v>4.18</v>
      </c>
      <c r="G68" s="64">
        <v>38.53</v>
      </c>
      <c r="H68" s="64">
        <v>7.53</v>
      </c>
      <c r="I68" s="64">
        <v>0.84</v>
      </c>
      <c r="J68" s="64">
        <v>1.59</v>
      </c>
      <c r="K68" s="64">
        <v>325.87</v>
      </c>
      <c r="L68" s="64">
        <v>30.69</v>
      </c>
      <c r="M68" s="64">
        <v>60.97</v>
      </c>
      <c r="N68" s="64">
        <v>211.1</v>
      </c>
      <c r="O68" s="64">
        <v>0</v>
      </c>
      <c r="P68" s="64">
        <v>0.34</v>
      </c>
      <c r="Q68" s="64">
        <v>9.56</v>
      </c>
      <c r="R68" s="198"/>
      <c r="S68" s="198"/>
      <c r="T68" s="198"/>
      <c r="U68" s="198"/>
    </row>
    <row r="69" spans="1:21" s="12" customFormat="1" x14ac:dyDescent="0.25">
      <c r="A69" s="214" t="s">
        <v>1651</v>
      </c>
      <c r="B69" s="64">
        <v>4.24</v>
      </c>
      <c r="C69" s="64">
        <v>3.15</v>
      </c>
      <c r="D69" s="64">
        <v>7.23</v>
      </c>
      <c r="E69" s="64">
        <v>4.32</v>
      </c>
      <c r="F69" s="64">
        <v>5.69</v>
      </c>
      <c r="G69" s="64">
        <v>38.53</v>
      </c>
      <c r="H69" s="64">
        <v>7.53</v>
      </c>
      <c r="I69" s="64">
        <v>0.87</v>
      </c>
      <c r="J69" s="64">
        <v>1.1599999999999999</v>
      </c>
      <c r="K69" s="64">
        <v>320.16000000000003</v>
      </c>
      <c r="L69" s="64">
        <v>30.35</v>
      </c>
      <c r="M69" s="64">
        <v>60.83</v>
      </c>
      <c r="N69" s="64">
        <v>187.4</v>
      </c>
      <c r="O69" s="64">
        <v>0</v>
      </c>
      <c r="P69" s="64">
        <v>0.35</v>
      </c>
      <c r="Q69" s="64">
        <v>9.57</v>
      </c>
      <c r="R69" s="198"/>
      <c r="S69" s="198"/>
      <c r="T69" s="198"/>
      <c r="U69" s="198"/>
    </row>
    <row r="70" spans="1:21" s="12" customFormat="1" x14ac:dyDescent="0.25">
      <c r="A70" s="214" t="s">
        <v>1652</v>
      </c>
      <c r="B70" s="64">
        <v>4.2300000000000004</v>
      </c>
      <c r="C70" s="64">
        <v>3.16</v>
      </c>
      <c r="D70" s="64">
        <v>7.23</v>
      </c>
      <c r="E70" s="64">
        <v>3.99</v>
      </c>
      <c r="F70" s="64">
        <v>3.38</v>
      </c>
      <c r="G70" s="64">
        <v>38.1</v>
      </c>
      <c r="H70" s="64">
        <v>1.55</v>
      </c>
      <c r="I70" s="64">
        <v>0.91</v>
      </c>
      <c r="J70" s="64">
        <v>1.41</v>
      </c>
      <c r="K70" s="64">
        <v>327.45999999999998</v>
      </c>
      <c r="L70" s="64">
        <v>29.98</v>
      </c>
      <c r="M70" s="64">
        <v>63.6</v>
      </c>
      <c r="N70" s="64">
        <v>176.1</v>
      </c>
      <c r="O70" s="64">
        <v>0</v>
      </c>
      <c r="P70" s="64">
        <v>0.35</v>
      </c>
      <c r="Q70" s="64">
        <v>9.58</v>
      </c>
      <c r="R70" s="198"/>
      <c r="S70" s="198"/>
      <c r="T70" s="198"/>
      <c r="U70" s="198"/>
    </row>
    <row r="71" spans="1:21" s="12" customFormat="1" x14ac:dyDescent="0.25">
      <c r="A71" s="214" t="s">
        <v>1653</v>
      </c>
      <c r="B71" s="64">
        <v>4.2300000000000004</v>
      </c>
      <c r="C71" s="64">
        <v>3.14</v>
      </c>
      <c r="D71" s="64">
        <v>7.22</v>
      </c>
      <c r="E71" s="64">
        <v>4.1500000000000004</v>
      </c>
      <c r="F71" s="64">
        <v>4.66</v>
      </c>
      <c r="G71" s="64">
        <v>37.94</v>
      </c>
      <c r="H71" s="64">
        <v>1.41</v>
      </c>
      <c r="I71" s="64">
        <v>0.89</v>
      </c>
      <c r="J71" s="64">
        <v>0.98</v>
      </c>
      <c r="K71" s="64">
        <v>321.54000000000002</v>
      </c>
      <c r="L71" s="64">
        <v>29.88</v>
      </c>
      <c r="M71" s="64">
        <v>65.040000000000006</v>
      </c>
      <c r="N71" s="64">
        <v>169.3</v>
      </c>
      <c r="O71" s="64">
        <v>0</v>
      </c>
      <c r="P71" s="64">
        <v>0.35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4" t="s">
        <v>1654</v>
      </c>
      <c r="B72" s="64">
        <v>4.21</v>
      </c>
      <c r="C72" s="64">
        <v>3.09</v>
      </c>
      <c r="D72" s="64">
        <v>7.18</v>
      </c>
      <c r="E72" s="64">
        <v>4.03</v>
      </c>
      <c r="F72" s="64">
        <v>5.1100000000000003</v>
      </c>
      <c r="G72" s="64">
        <v>37.94</v>
      </c>
      <c r="H72" s="64">
        <v>1.41</v>
      </c>
      <c r="I72" s="64">
        <v>0.89</v>
      </c>
      <c r="J72" s="64">
        <v>0.85</v>
      </c>
      <c r="K72" s="64">
        <v>325.87</v>
      </c>
      <c r="L72" s="64">
        <v>29.75</v>
      </c>
      <c r="M72" s="64">
        <v>66.22</v>
      </c>
      <c r="N72" s="64">
        <v>163.6</v>
      </c>
      <c r="O72" s="64">
        <v>0</v>
      </c>
      <c r="P72" s="64">
        <v>0.36</v>
      </c>
      <c r="Q72" s="64">
        <v>9.56</v>
      </c>
      <c r="R72" s="198"/>
      <c r="S72" s="198"/>
      <c r="T72" s="198"/>
      <c r="U72" s="198"/>
    </row>
    <row r="73" spans="1:21" s="12" customFormat="1" x14ac:dyDescent="0.25">
      <c r="A73" s="214" t="s">
        <v>1655</v>
      </c>
      <c r="B73" s="64">
        <v>4.22</v>
      </c>
      <c r="C73" s="64">
        <v>3.1</v>
      </c>
      <c r="D73" s="64">
        <v>7.19</v>
      </c>
      <c r="E73" s="64">
        <v>4.2300000000000004</v>
      </c>
      <c r="F73" s="64">
        <v>3.04</v>
      </c>
      <c r="G73" s="64">
        <v>37.94</v>
      </c>
      <c r="H73" s="64">
        <v>1.41</v>
      </c>
      <c r="I73" s="64">
        <v>0.89</v>
      </c>
      <c r="J73" s="64">
        <v>0.68</v>
      </c>
      <c r="K73" s="64">
        <v>337.12</v>
      </c>
      <c r="L73" s="64">
        <v>29.76</v>
      </c>
      <c r="M73" s="64">
        <v>66.83</v>
      </c>
      <c r="N73" s="64">
        <v>152.30000000000001</v>
      </c>
      <c r="O73" s="64">
        <v>0</v>
      </c>
      <c r="P73" s="64">
        <v>0.35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14" t="s">
        <v>1656</v>
      </c>
      <c r="B74" s="64">
        <v>4.25</v>
      </c>
      <c r="C74" s="64">
        <v>3.16</v>
      </c>
      <c r="D74" s="64">
        <v>7.25</v>
      </c>
      <c r="E74" s="64">
        <v>4.01</v>
      </c>
      <c r="F74" s="64">
        <v>4.24</v>
      </c>
      <c r="G74" s="64">
        <v>35.94</v>
      </c>
      <c r="H74" s="212" t="s">
        <v>42</v>
      </c>
      <c r="I74" s="64">
        <v>0.9</v>
      </c>
      <c r="J74" s="64">
        <v>0.63</v>
      </c>
      <c r="K74" s="64">
        <v>341.91</v>
      </c>
      <c r="L74" s="64">
        <v>29.56</v>
      </c>
      <c r="M74" s="64">
        <v>66.790000000000006</v>
      </c>
      <c r="N74" s="64">
        <v>130.30000000000001</v>
      </c>
      <c r="O74" s="64">
        <v>0</v>
      </c>
      <c r="P74" s="64">
        <v>0.34</v>
      </c>
      <c r="Q74" s="64">
        <v>9.49</v>
      </c>
      <c r="R74" s="198"/>
      <c r="S74" s="198"/>
      <c r="T74" s="198"/>
      <c r="U74" s="198"/>
    </row>
    <row r="75" spans="1:21" s="12" customFormat="1" x14ac:dyDescent="0.25">
      <c r="A75" s="214" t="s">
        <v>1657</v>
      </c>
      <c r="B75" s="64">
        <v>4.25</v>
      </c>
      <c r="C75" s="64">
        <v>3.15</v>
      </c>
      <c r="D75" s="64">
        <v>7.24</v>
      </c>
      <c r="E75" s="64">
        <v>3.9</v>
      </c>
      <c r="F75" s="64">
        <v>4.4400000000000004</v>
      </c>
      <c r="G75" s="64">
        <v>35.25</v>
      </c>
      <c r="H75" s="212" t="s">
        <v>42</v>
      </c>
      <c r="I75" s="64">
        <v>0.86</v>
      </c>
      <c r="J75" s="64">
        <v>0.59</v>
      </c>
      <c r="K75" s="64">
        <v>347.29</v>
      </c>
      <c r="L75" s="64">
        <v>29.17</v>
      </c>
      <c r="M75" s="64">
        <v>69.010000000000005</v>
      </c>
      <c r="N75" s="64">
        <v>107.1</v>
      </c>
      <c r="O75" s="64">
        <v>0</v>
      </c>
      <c r="P75" s="64">
        <v>0.35</v>
      </c>
      <c r="Q75" s="64">
        <v>9.52</v>
      </c>
      <c r="R75" s="198"/>
      <c r="S75" s="198"/>
      <c r="T75" s="198"/>
      <c r="U75" s="198"/>
    </row>
    <row r="76" spans="1:21" s="12" customFormat="1" x14ac:dyDescent="0.25">
      <c r="A76" s="214" t="s">
        <v>1658</v>
      </c>
      <c r="B76" s="64">
        <v>4.2699999999999996</v>
      </c>
      <c r="C76" s="64">
        <v>3.15</v>
      </c>
      <c r="D76" s="64">
        <v>7.26</v>
      </c>
      <c r="E76" s="64">
        <v>4.18</v>
      </c>
      <c r="F76" s="64">
        <v>4.3600000000000003</v>
      </c>
      <c r="G76" s="64">
        <v>35.25</v>
      </c>
      <c r="H76" s="212" t="s">
        <v>42</v>
      </c>
      <c r="I76" s="64">
        <v>0.79</v>
      </c>
      <c r="J76" s="64">
        <v>0.68</v>
      </c>
      <c r="K76" s="64">
        <v>342.63</v>
      </c>
      <c r="L76" s="64">
        <v>28.72</v>
      </c>
      <c r="M76" s="64">
        <v>69.16</v>
      </c>
      <c r="N76" s="64">
        <v>89.2</v>
      </c>
      <c r="O76" s="64">
        <v>0</v>
      </c>
      <c r="P76" s="64">
        <v>0.34</v>
      </c>
      <c r="Q76" s="64">
        <v>9.51</v>
      </c>
      <c r="R76" s="198"/>
      <c r="S76" s="198"/>
      <c r="T76" s="198"/>
      <c r="U76" s="198"/>
    </row>
    <row r="77" spans="1:21" s="12" customFormat="1" x14ac:dyDescent="0.25">
      <c r="A77" s="214" t="s">
        <v>1659</v>
      </c>
      <c r="B77" s="64">
        <v>4.28</v>
      </c>
      <c r="C77" s="64">
        <v>3.12</v>
      </c>
      <c r="D77" s="64">
        <v>7.25</v>
      </c>
      <c r="E77" s="64">
        <v>4</v>
      </c>
      <c r="F77" s="64">
        <v>4.4400000000000004</v>
      </c>
      <c r="G77" s="64">
        <v>35.25</v>
      </c>
      <c r="H77" s="212" t="s">
        <v>42</v>
      </c>
      <c r="I77" s="64">
        <v>0.76</v>
      </c>
      <c r="J77" s="64">
        <v>0.67</v>
      </c>
      <c r="K77" s="64">
        <v>336.87</v>
      </c>
      <c r="L77" s="64">
        <v>28.22</v>
      </c>
      <c r="M77" s="64">
        <v>70.66</v>
      </c>
      <c r="N77" s="64">
        <v>73</v>
      </c>
      <c r="O77" s="64">
        <v>0</v>
      </c>
      <c r="P77" s="64">
        <v>0.35</v>
      </c>
      <c r="Q77" s="64">
        <v>9.5</v>
      </c>
      <c r="R77" s="198"/>
      <c r="S77" s="198"/>
      <c r="T77" s="198"/>
      <c r="U77" s="198"/>
    </row>
    <row r="78" spans="1:21" s="12" customFormat="1" x14ac:dyDescent="0.25">
      <c r="A78" s="214" t="s">
        <v>1660</v>
      </c>
      <c r="B78" s="64">
        <v>4.2699999999999996</v>
      </c>
      <c r="C78" s="64">
        <v>3.14</v>
      </c>
      <c r="D78" s="64">
        <v>7.26</v>
      </c>
      <c r="E78" s="64">
        <v>4.4000000000000004</v>
      </c>
      <c r="F78" s="64">
        <v>4.13</v>
      </c>
      <c r="G78" s="64">
        <v>36.03</v>
      </c>
      <c r="H78" s="212" t="s">
        <v>42</v>
      </c>
      <c r="I78" s="64">
        <v>0.83</v>
      </c>
      <c r="J78" s="64">
        <v>0.83</v>
      </c>
      <c r="K78" s="64">
        <v>337.98</v>
      </c>
      <c r="L78" s="64">
        <v>27.94</v>
      </c>
      <c r="M78" s="64">
        <v>72.02</v>
      </c>
      <c r="N78" s="64">
        <v>58.3</v>
      </c>
      <c r="O78" s="64">
        <v>0</v>
      </c>
      <c r="P78" s="64">
        <v>0.35</v>
      </c>
      <c r="Q78" s="64">
        <v>9.51</v>
      </c>
      <c r="R78" s="198"/>
      <c r="S78" s="198"/>
      <c r="T78" s="198"/>
      <c r="U78" s="198"/>
    </row>
    <row r="79" spans="1:21" s="12" customFormat="1" x14ac:dyDescent="0.25">
      <c r="A79" s="214" t="s">
        <v>1661</v>
      </c>
      <c r="B79" s="64">
        <v>4.2699999999999996</v>
      </c>
      <c r="C79" s="64">
        <v>3.15</v>
      </c>
      <c r="D79" s="64">
        <v>7.26</v>
      </c>
      <c r="E79" s="64">
        <v>4.42</v>
      </c>
      <c r="F79" s="64">
        <v>3.93</v>
      </c>
      <c r="G79" s="64">
        <v>36.29</v>
      </c>
      <c r="H79" s="212" t="s">
        <v>42</v>
      </c>
      <c r="I79" s="64">
        <v>0.83</v>
      </c>
      <c r="J79" s="64">
        <v>0.69</v>
      </c>
      <c r="K79" s="64">
        <v>338.17</v>
      </c>
      <c r="L79" s="64">
        <v>27.74</v>
      </c>
      <c r="M79" s="64">
        <v>73.36</v>
      </c>
      <c r="N79" s="64">
        <v>44.9</v>
      </c>
      <c r="O79" s="64">
        <v>0</v>
      </c>
      <c r="P79" s="64">
        <v>0.36</v>
      </c>
      <c r="Q79" s="64">
        <v>9.5</v>
      </c>
      <c r="R79" s="198"/>
      <c r="S79" s="198"/>
      <c r="T79" s="198"/>
      <c r="U79" s="198"/>
    </row>
    <row r="80" spans="1:21" s="12" customFormat="1" x14ac:dyDescent="0.25">
      <c r="A80" s="214" t="s">
        <v>1662</v>
      </c>
      <c r="B80" s="64">
        <v>4.25</v>
      </c>
      <c r="C80" s="64">
        <v>3.15</v>
      </c>
      <c r="D80" s="64">
        <v>7.24</v>
      </c>
      <c r="E80" s="64">
        <v>4.0599999999999996</v>
      </c>
      <c r="F80" s="64">
        <v>3.96</v>
      </c>
      <c r="G80" s="64">
        <v>36.29</v>
      </c>
      <c r="H80" s="212" t="s">
        <v>42</v>
      </c>
      <c r="I80" s="64">
        <v>0.83</v>
      </c>
      <c r="J80" s="64">
        <v>0.7</v>
      </c>
      <c r="K80" s="64">
        <v>345.94</v>
      </c>
      <c r="L80" s="64">
        <v>27.4</v>
      </c>
      <c r="M80" s="64">
        <v>75.33</v>
      </c>
      <c r="N80" s="64">
        <v>34</v>
      </c>
      <c r="O80" s="64">
        <v>0</v>
      </c>
      <c r="P80" s="64">
        <v>0.36</v>
      </c>
      <c r="Q80" s="64">
        <v>9.52</v>
      </c>
      <c r="R80" s="198"/>
      <c r="S80" s="198"/>
      <c r="T80" s="198"/>
      <c r="U80" s="198"/>
    </row>
    <row r="81" spans="1:26" s="12" customFormat="1" x14ac:dyDescent="0.25">
      <c r="A81" s="214" t="s">
        <v>1663</v>
      </c>
      <c r="B81" s="64">
        <v>4.2300000000000004</v>
      </c>
      <c r="C81" s="64">
        <v>3.16</v>
      </c>
      <c r="D81" s="64">
        <v>7.23</v>
      </c>
      <c r="E81" s="64">
        <v>4.17</v>
      </c>
      <c r="F81" s="64">
        <v>4.05</v>
      </c>
      <c r="G81" s="64">
        <v>36.29</v>
      </c>
      <c r="H81" s="212" t="s">
        <v>42</v>
      </c>
      <c r="I81" s="64">
        <v>0.89</v>
      </c>
      <c r="J81" s="64">
        <v>0.67</v>
      </c>
      <c r="K81" s="64">
        <v>353.43</v>
      </c>
      <c r="L81" s="64">
        <v>27.17</v>
      </c>
      <c r="M81" s="64">
        <v>77.010000000000005</v>
      </c>
      <c r="N81" s="64">
        <v>27.7</v>
      </c>
      <c r="O81" s="64">
        <v>0</v>
      </c>
      <c r="P81" s="64">
        <v>0.37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4" t="s">
        <v>1664</v>
      </c>
      <c r="B82" s="64">
        <v>4.22</v>
      </c>
      <c r="C82" s="64">
        <v>3.17</v>
      </c>
      <c r="D82" s="64">
        <v>7.24</v>
      </c>
      <c r="E82" s="64">
        <v>4.41</v>
      </c>
      <c r="F82" s="64">
        <v>4.8499999999999996</v>
      </c>
      <c r="G82" s="64">
        <v>36.799999999999997</v>
      </c>
      <c r="H82" s="212" t="s">
        <v>42</v>
      </c>
      <c r="I82" s="64">
        <v>0.93</v>
      </c>
      <c r="J82" s="64">
        <v>0.65</v>
      </c>
      <c r="K82" s="64">
        <v>337.64</v>
      </c>
      <c r="L82" s="64">
        <v>26.93</v>
      </c>
      <c r="M82" s="64">
        <v>78.209999999999994</v>
      </c>
      <c r="N82" s="64">
        <v>26.1</v>
      </c>
      <c r="O82" s="64">
        <v>0</v>
      </c>
      <c r="P82" s="64">
        <v>0.38</v>
      </c>
      <c r="Q82" s="64">
        <v>9.56</v>
      </c>
      <c r="R82" s="198"/>
      <c r="S82" s="198"/>
      <c r="T82" s="198"/>
      <c r="U82" s="198"/>
    </row>
    <row r="83" spans="1:26" s="12" customFormat="1" x14ac:dyDescent="0.25">
      <c r="A83" s="214" t="s">
        <v>1665</v>
      </c>
      <c r="B83" s="64">
        <v>4.21</v>
      </c>
      <c r="C83" s="64">
        <v>3.12</v>
      </c>
      <c r="D83" s="64">
        <v>7.19</v>
      </c>
      <c r="E83" s="64">
        <v>4.38</v>
      </c>
      <c r="F83" s="64">
        <v>3.69</v>
      </c>
      <c r="G83" s="64">
        <v>36.97</v>
      </c>
      <c r="H83" s="212" t="s">
        <v>42</v>
      </c>
      <c r="I83" s="64">
        <v>0.98</v>
      </c>
      <c r="J83" s="64">
        <v>0.65</v>
      </c>
      <c r="K83" s="64">
        <v>346.9</v>
      </c>
      <c r="L83" s="64">
        <v>26.69</v>
      </c>
      <c r="M83" s="64">
        <v>78.91</v>
      </c>
      <c r="N83" s="64">
        <v>26</v>
      </c>
      <c r="O83" s="64">
        <v>0</v>
      </c>
      <c r="P83" s="64">
        <v>0.39</v>
      </c>
      <c r="Q83" s="64">
        <v>9.56</v>
      </c>
      <c r="R83" s="198"/>
      <c r="S83" s="198"/>
      <c r="T83" s="198"/>
      <c r="U83" s="198"/>
    </row>
    <row r="84" spans="1:26" s="12" customFormat="1" x14ac:dyDescent="0.25">
      <c r="A84" s="214" t="s">
        <v>1666</v>
      </c>
      <c r="B84" s="64">
        <v>4.2300000000000004</v>
      </c>
      <c r="C84" s="64">
        <v>3.15</v>
      </c>
      <c r="D84" s="64">
        <v>7.23</v>
      </c>
      <c r="E84" s="64">
        <v>4.21</v>
      </c>
      <c r="F84" s="64">
        <v>4.43</v>
      </c>
      <c r="G84" s="64">
        <v>36.97</v>
      </c>
      <c r="H84" s="212" t="s">
        <v>42</v>
      </c>
      <c r="I84" s="64">
        <v>1.07</v>
      </c>
      <c r="J84" s="64">
        <v>0.56000000000000005</v>
      </c>
      <c r="K84" s="64">
        <v>356.3</v>
      </c>
      <c r="L84" s="64">
        <v>26.66</v>
      </c>
      <c r="M84" s="64">
        <v>79.88</v>
      </c>
      <c r="N84" s="64">
        <v>26.1</v>
      </c>
      <c r="O84" s="64">
        <v>0</v>
      </c>
      <c r="P84" s="64">
        <v>0.4</v>
      </c>
      <c r="Q84" s="64">
        <v>9.5500000000000007</v>
      </c>
      <c r="R84" s="198"/>
      <c r="S84" s="198"/>
      <c r="T84" s="198"/>
      <c r="U84" s="198"/>
    </row>
    <row r="85" spans="1:26" s="12" customFormat="1" x14ac:dyDescent="0.25">
      <c r="A85" s="214" t="s">
        <v>1667</v>
      </c>
      <c r="B85" s="64">
        <v>4.24</v>
      </c>
      <c r="C85" s="64">
        <v>3.19</v>
      </c>
      <c r="D85" s="64">
        <v>7.26</v>
      </c>
      <c r="E85" s="64">
        <v>4.3099999999999996</v>
      </c>
      <c r="F85" s="64">
        <v>3.13</v>
      </c>
      <c r="G85" s="64">
        <v>36.97</v>
      </c>
      <c r="H85" s="212" t="s">
        <v>42</v>
      </c>
      <c r="I85" s="64">
        <v>1.1599999999999999</v>
      </c>
      <c r="J85" s="64">
        <v>0.63</v>
      </c>
      <c r="K85" s="64">
        <v>340.55</v>
      </c>
      <c r="L85" s="64">
        <v>26.43</v>
      </c>
      <c r="M85" s="64">
        <v>82.46</v>
      </c>
      <c r="N85" s="64">
        <v>25.9</v>
      </c>
      <c r="O85" s="64">
        <v>0</v>
      </c>
      <c r="P85" s="64">
        <v>0.41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14" t="s">
        <v>1668</v>
      </c>
      <c r="B86" s="64">
        <v>4.24</v>
      </c>
      <c r="C86" s="64">
        <v>3.18</v>
      </c>
      <c r="D86" s="64">
        <v>7.25</v>
      </c>
      <c r="E86" s="64">
        <v>3.81</v>
      </c>
      <c r="F86" s="64">
        <v>3.89</v>
      </c>
      <c r="G86" s="64">
        <v>36.79</v>
      </c>
      <c r="H86" s="64">
        <v>26.47</v>
      </c>
      <c r="I86" s="64">
        <v>1.23</v>
      </c>
      <c r="J86" s="64">
        <v>0.61</v>
      </c>
      <c r="K86" s="64">
        <v>328.07</v>
      </c>
      <c r="L86" s="64">
        <v>26.37</v>
      </c>
      <c r="M86" s="64">
        <v>84.1</v>
      </c>
      <c r="N86" s="64">
        <v>25.8</v>
      </c>
      <c r="O86" s="64">
        <v>0</v>
      </c>
      <c r="P86" s="64">
        <v>0.46</v>
      </c>
      <c r="Q86" s="64">
        <v>9.57</v>
      </c>
      <c r="R86" s="198"/>
      <c r="S86" s="198"/>
      <c r="T86" s="198"/>
      <c r="U86" s="198"/>
    </row>
    <row r="87" spans="1:26" s="12" customFormat="1" x14ac:dyDescent="0.25">
      <c r="A87" s="214" t="s">
        <v>1669</v>
      </c>
      <c r="B87" s="64">
        <v>4.22</v>
      </c>
      <c r="C87" s="64">
        <v>3.17</v>
      </c>
      <c r="D87" s="64">
        <v>7.23</v>
      </c>
      <c r="E87" s="64">
        <v>3.94</v>
      </c>
      <c r="F87" s="64">
        <v>3.29</v>
      </c>
      <c r="G87" s="64">
        <v>36.729999999999997</v>
      </c>
      <c r="H87" s="64">
        <v>27.09</v>
      </c>
      <c r="I87" s="64">
        <v>1.39</v>
      </c>
      <c r="J87" s="64">
        <v>0.67</v>
      </c>
      <c r="K87" s="64">
        <v>336.24</v>
      </c>
      <c r="L87" s="64">
        <v>26.21</v>
      </c>
      <c r="M87" s="64">
        <v>85.66</v>
      </c>
      <c r="N87" s="64">
        <v>25.8</v>
      </c>
      <c r="O87" s="64">
        <v>0</v>
      </c>
      <c r="P87" s="64">
        <v>0.46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4" t="s">
        <v>1670</v>
      </c>
      <c r="B88" s="64">
        <v>4.24</v>
      </c>
      <c r="C88" s="64">
        <v>3.17</v>
      </c>
      <c r="D88" s="64">
        <v>7.25</v>
      </c>
      <c r="E88" s="64">
        <v>3.31</v>
      </c>
      <c r="F88" s="64">
        <v>3.57</v>
      </c>
      <c r="G88" s="64">
        <v>36.729999999999997</v>
      </c>
      <c r="H88" s="64">
        <v>27.09</v>
      </c>
      <c r="I88" s="64">
        <v>1.5</v>
      </c>
      <c r="J88" s="64">
        <v>0.74</v>
      </c>
      <c r="K88" s="64">
        <v>333.09</v>
      </c>
      <c r="L88" s="64">
        <v>26.26</v>
      </c>
      <c r="M88" s="64">
        <v>86.7</v>
      </c>
      <c r="N88" s="64">
        <v>25.8</v>
      </c>
      <c r="O88" s="64">
        <v>0</v>
      </c>
      <c r="P88" s="64">
        <v>0.49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4" t="s">
        <v>1671</v>
      </c>
      <c r="B89" s="64">
        <v>4.25</v>
      </c>
      <c r="C89" s="64">
        <v>3.17</v>
      </c>
      <c r="D89" s="64">
        <v>7.26</v>
      </c>
      <c r="E89" s="64">
        <v>3.8</v>
      </c>
      <c r="F89" s="64">
        <v>3.78</v>
      </c>
      <c r="G89" s="64">
        <v>36.729999999999997</v>
      </c>
      <c r="H89" s="64">
        <v>27.09</v>
      </c>
      <c r="I89" s="64">
        <v>1.56</v>
      </c>
      <c r="J89" s="64">
        <v>0.66</v>
      </c>
      <c r="K89" s="64">
        <v>331.2</v>
      </c>
      <c r="L89" s="64">
        <v>26.16</v>
      </c>
      <c r="M89" s="64">
        <v>88.09</v>
      </c>
      <c r="N89" s="64">
        <v>26.1</v>
      </c>
      <c r="O89" s="64">
        <v>0</v>
      </c>
      <c r="P89" s="64">
        <v>0.51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4" t="s">
        <v>1672</v>
      </c>
      <c r="B90" s="64">
        <v>4.29</v>
      </c>
      <c r="C90" s="64">
        <v>3.17</v>
      </c>
      <c r="D90" s="64">
        <v>7.29</v>
      </c>
      <c r="E90" s="64">
        <v>3.79</v>
      </c>
      <c r="F90" s="64">
        <v>2.78</v>
      </c>
      <c r="G90" s="64">
        <v>41.93</v>
      </c>
      <c r="H90" s="64">
        <v>60.78</v>
      </c>
      <c r="I90" s="64">
        <v>1.67</v>
      </c>
      <c r="J90" s="64">
        <v>0.69</v>
      </c>
      <c r="K90" s="64">
        <v>341.94</v>
      </c>
      <c r="L90" s="64">
        <v>26.15</v>
      </c>
      <c r="M90" s="64">
        <v>89.16</v>
      </c>
      <c r="N90" s="64">
        <v>25.9</v>
      </c>
      <c r="O90" s="64">
        <v>0</v>
      </c>
      <c r="P90" s="64">
        <v>0.54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4" t="s">
        <v>1673</v>
      </c>
      <c r="B91" s="64">
        <v>4.3</v>
      </c>
      <c r="C91" s="64">
        <v>3.2</v>
      </c>
      <c r="D91" s="64">
        <v>7.31</v>
      </c>
      <c r="E91" s="64">
        <v>4.1900000000000004</v>
      </c>
      <c r="F91" s="64">
        <v>3.36</v>
      </c>
      <c r="G91" s="64">
        <v>43.72</v>
      </c>
      <c r="H91" s="64">
        <v>60.78</v>
      </c>
      <c r="I91" s="64">
        <v>1.87</v>
      </c>
      <c r="J91" s="64">
        <v>0.6</v>
      </c>
      <c r="K91" s="64">
        <v>345.15</v>
      </c>
      <c r="L91" s="64">
        <v>26.09</v>
      </c>
      <c r="M91" s="64">
        <v>90.76</v>
      </c>
      <c r="N91" s="64">
        <v>25.9</v>
      </c>
      <c r="O91" s="64">
        <v>0</v>
      </c>
      <c r="P91" s="64">
        <v>0.53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4" t="s">
        <v>1674</v>
      </c>
      <c r="B92" s="64">
        <v>4.3</v>
      </c>
      <c r="C92" s="64">
        <v>3.21</v>
      </c>
      <c r="D92" s="64">
        <v>7.32</v>
      </c>
      <c r="E92" s="64">
        <v>4.16</v>
      </c>
      <c r="F92" s="64">
        <v>3.54</v>
      </c>
      <c r="G92" s="64">
        <v>43.72</v>
      </c>
      <c r="H92" s="64">
        <v>60.78</v>
      </c>
      <c r="I92" s="64">
        <v>2.17</v>
      </c>
      <c r="J92" s="64">
        <v>0.55000000000000004</v>
      </c>
      <c r="K92" s="64">
        <v>345.77</v>
      </c>
      <c r="L92" s="64">
        <v>25.96</v>
      </c>
      <c r="M92" s="64">
        <v>92.25</v>
      </c>
      <c r="N92" s="64">
        <v>25.8</v>
      </c>
      <c r="O92" s="64">
        <v>0</v>
      </c>
      <c r="P92" s="64">
        <v>0.53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4" t="s">
        <v>1675</v>
      </c>
      <c r="B93" s="64">
        <v>4.3099999999999996</v>
      </c>
      <c r="C93" s="64">
        <v>3.23</v>
      </c>
      <c r="D93" s="64">
        <v>7.33</v>
      </c>
      <c r="E93" s="64">
        <v>3.95</v>
      </c>
      <c r="F93" s="64">
        <v>3.28</v>
      </c>
      <c r="G93" s="64">
        <v>43.72</v>
      </c>
      <c r="H93" s="64">
        <v>60.78</v>
      </c>
      <c r="I93" s="64">
        <v>2.4500000000000002</v>
      </c>
      <c r="J93" s="64">
        <v>0.57999999999999996</v>
      </c>
      <c r="K93" s="64">
        <v>346.76</v>
      </c>
      <c r="L93" s="64">
        <v>25.98</v>
      </c>
      <c r="M93" s="64">
        <v>92.19</v>
      </c>
      <c r="N93" s="64">
        <v>25.8</v>
      </c>
      <c r="O93" s="64">
        <v>0</v>
      </c>
      <c r="P93" s="64">
        <v>0.54</v>
      </c>
      <c r="Q93" s="64">
        <v>9.68</v>
      </c>
      <c r="R93" s="198"/>
      <c r="S93" s="198"/>
      <c r="T93" s="198"/>
      <c r="U93" s="198"/>
    </row>
    <row r="94" spans="1:26" s="12" customFormat="1" x14ac:dyDescent="0.25">
      <c r="A94" s="214" t="s">
        <v>1676</v>
      </c>
      <c r="B94" s="64">
        <v>4.3</v>
      </c>
      <c r="C94" s="64">
        <v>3.2</v>
      </c>
      <c r="D94" s="64">
        <v>7.31</v>
      </c>
      <c r="E94" s="64">
        <v>3.92</v>
      </c>
      <c r="F94" s="64">
        <v>3.4</v>
      </c>
      <c r="G94" s="64">
        <v>47.06</v>
      </c>
      <c r="H94" s="64">
        <v>12</v>
      </c>
      <c r="I94" s="64">
        <v>2.5</v>
      </c>
      <c r="J94" s="64">
        <v>0.65</v>
      </c>
      <c r="K94" s="64">
        <v>349.35</v>
      </c>
      <c r="L94" s="64">
        <v>25.95</v>
      </c>
      <c r="M94" s="64">
        <v>91.06</v>
      </c>
      <c r="N94" s="64">
        <v>25.8</v>
      </c>
      <c r="O94" s="64">
        <v>0</v>
      </c>
      <c r="P94" s="64">
        <v>0.56000000000000005</v>
      </c>
      <c r="Q94" s="64">
        <v>9.7200000000000006</v>
      </c>
      <c r="R94" s="198"/>
      <c r="S94" s="198"/>
      <c r="T94" s="198"/>
      <c r="U94" s="198"/>
    </row>
    <row r="95" spans="1:26" s="12" customFormat="1" x14ac:dyDescent="0.25">
      <c r="A95" s="214" t="s">
        <v>1677</v>
      </c>
      <c r="B95" s="64">
        <v>4.32</v>
      </c>
      <c r="C95" s="64">
        <v>3.14</v>
      </c>
      <c r="D95" s="64">
        <v>7.3</v>
      </c>
      <c r="E95" s="64">
        <v>4.24</v>
      </c>
      <c r="F95" s="64">
        <v>3.62</v>
      </c>
      <c r="G95" s="64">
        <v>48.21</v>
      </c>
      <c r="H95" s="64">
        <v>11.26</v>
      </c>
      <c r="I95" s="64">
        <v>2.4700000000000002</v>
      </c>
      <c r="J95" s="64">
        <v>0.61</v>
      </c>
      <c r="K95" s="64">
        <v>336.84</v>
      </c>
      <c r="L95" s="64">
        <v>25.87</v>
      </c>
      <c r="M95" s="64">
        <v>90.48</v>
      </c>
      <c r="N95" s="64">
        <v>25.8</v>
      </c>
      <c r="O95" s="64">
        <v>0</v>
      </c>
      <c r="P95" s="64">
        <v>0.54</v>
      </c>
      <c r="Q95" s="64">
        <v>9.7200000000000006</v>
      </c>
      <c r="R95" s="198"/>
      <c r="S95" s="198"/>
      <c r="T95" s="198"/>
      <c r="U95" s="198"/>
    </row>
    <row r="96" spans="1:26" s="12" customFormat="1" x14ac:dyDescent="0.25">
      <c r="A96" s="214" t="s">
        <v>1678</v>
      </c>
      <c r="B96" s="64">
        <v>4.29</v>
      </c>
      <c r="C96" s="64">
        <v>3.14</v>
      </c>
      <c r="D96" s="64">
        <v>7.27</v>
      </c>
      <c r="E96" s="64">
        <v>4.45</v>
      </c>
      <c r="F96" s="64">
        <v>3.42</v>
      </c>
      <c r="G96" s="64">
        <v>48.21</v>
      </c>
      <c r="H96" s="64">
        <v>11.26</v>
      </c>
      <c r="I96" s="64">
        <v>2.33</v>
      </c>
      <c r="J96" s="64">
        <v>0.68</v>
      </c>
      <c r="K96" s="64">
        <v>337.82</v>
      </c>
      <c r="L96" s="64">
        <v>25.81</v>
      </c>
      <c r="M96" s="64">
        <v>89.86</v>
      </c>
      <c r="N96" s="64">
        <v>25.9</v>
      </c>
      <c r="O96" s="64">
        <v>0</v>
      </c>
      <c r="P96" s="64">
        <v>0.53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1679</v>
      </c>
      <c r="B97" s="64">
        <v>4.26</v>
      </c>
      <c r="C97" s="64">
        <v>3.13</v>
      </c>
      <c r="D97" s="64">
        <v>7.24</v>
      </c>
      <c r="E97" s="64">
        <v>4.16</v>
      </c>
      <c r="F97" s="64">
        <v>3.8</v>
      </c>
      <c r="G97" s="64">
        <v>48.21</v>
      </c>
      <c r="H97" s="64">
        <v>11.26</v>
      </c>
      <c r="I97" s="64">
        <v>2.19</v>
      </c>
      <c r="J97" s="64">
        <v>0.66</v>
      </c>
      <c r="K97" s="64">
        <v>336.05</v>
      </c>
      <c r="L97" s="64">
        <v>25.56</v>
      </c>
      <c r="M97" s="64">
        <v>90.26</v>
      </c>
      <c r="N97" s="64">
        <v>26</v>
      </c>
      <c r="O97" s="64">
        <v>0</v>
      </c>
      <c r="P97" s="64">
        <v>0.54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14" t="s">
        <v>1680</v>
      </c>
      <c r="B98" s="64">
        <v>4.24</v>
      </c>
      <c r="C98" s="64">
        <v>3.16</v>
      </c>
      <c r="D98" s="64">
        <v>7.25</v>
      </c>
      <c r="E98" s="64">
        <v>4.09</v>
      </c>
      <c r="F98" s="64">
        <v>3.14</v>
      </c>
      <c r="G98" s="64">
        <v>44.92</v>
      </c>
      <c r="H98" s="64">
        <v>1.28</v>
      </c>
      <c r="I98" s="64">
        <v>2.19</v>
      </c>
      <c r="J98" s="64">
        <v>0.75</v>
      </c>
      <c r="K98" s="64">
        <v>330.77</v>
      </c>
      <c r="L98" s="64">
        <v>25.54</v>
      </c>
      <c r="M98" s="64">
        <v>88.51</v>
      </c>
      <c r="N98" s="64">
        <v>25.8</v>
      </c>
      <c r="O98" s="64">
        <v>0</v>
      </c>
      <c r="P98" s="64">
        <v>0.53</v>
      </c>
      <c r="Q98" s="64">
        <v>9.74</v>
      </c>
      <c r="R98" s="198"/>
      <c r="S98" s="198"/>
      <c r="T98" s="198"/>
      <c r="U98" s="198"/>
    </row>
    <row r="99" spans="1:33" s="12" customFormat="1" x14ac:dyDescent="0.25">
      <c r="A99" s="214" t="s">
        <v>1681</v>
      </c>
      <c r="B99" s="64">
        <v>4.25</v>
      </c>
      <c r="C99" s="64">
        <v>3.11</v>
      </c>
      <c r="D99" s="64">
        <v>7.23</v>
      </c>
      <c r="E99" s="64">
        <v>4.29</v>
      </c>
      <c r="F99" s="64">
        <v>4.05</v>
      </c>
      <c r="G99" s="64">
        <v>43.79</v>
      </c>
      <c r="H99" s="64">
        <v>1.1299999999999999</v>
      </c>
      <c r="I99" s="64">
        <v>2.23</v>
      </c>
      <c r="J99" s="64">
        <v>0.63</v>
      </c>
      <c r="K99" s="64">
        <v>334.33</v>
      </c>
      <c r="L99" s="64">
        <v>25.4</v>
      </c>
      <c r="M99" s="64">
        <v>88.75</v>
      </c>
      <c r="N99" s="64">
        <v>26</v>
      </c>
      <c r="O99" s="64">
        <v>0</v>
      </c>
      <c r="P99" s="64">
        <v>0.53</v>
      </c>
      <c r="Q99" s="64">
        <v>9.75</v>
      </c>
      <c r="R99" s="198"/>
      <c r="S99" s="198"/>
      <c r="T99" s="198"/>
      <c r="U99" s="198"/>
    </row>
    <row r="100" spans="1:33" s="12" customFormat="1" x14ac:dyDescent="0.25">
      <c r="A100" s="214" t="s">
        <v>1682</v>
      </c>
      <c r="B100" s="64">
        <v>4.2300000000000004</v>
      </c>
      <c r="C100" s="64">
        <v>3.11</v>
      </c>
      <c r="D100" s="64">
        <v>7.21</v>
      </c>
      <c r="E100" s="64">
        <v>4.28</v>
      </c>
      <c r="F100" s="64">
        <v>3.04</v>
      </c>
      <c r="G100" s="64">
        <v>43.79</v>
      </c>
      <c r="H100" s="64">
        <v>1.1299999999999999</v>
      </c>
      <c r="I100" s="64">
        <v>2.2400000000000002</v>
      </c>
      <c r="J100" s="64">
        <v>0.57999999999999996</v>
      </c>
      <c r="K100" s="64">
        <v>335.75</v>
      </c>
      <c r="L100" s="64">
        <v>25.36</v>
      </c>
      <c r="M100" s="64">
        <v>89.29</v>
      </c>
      <c r="N100" s="64">
        <v>26</v>
      </c>
      <c r="O100" s="64">
        <v>0</v>
      </c>
      <c r="P100" s="64">
        <v>0.53</v>
      </c>
      <c r="Q100" s="64">
        <v>9.73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1683</v>
      </c>
      <c r="B101" s="64">
        <v>4.24</v>
      </c>
      <c r="C101" s="64">
        <v>3.2</v>
      </c>
      <c r="D101" s="64">
        <v>7.26</v>
      </c>
      <c r="E101" s="64">
        <v>4</v>
      </c>
      <c r="F101" s="64">
        <v>4.2300000000000004</v>
      </c>
      <c r="G101" s="64">
        <v>43.79</v>
      </c>
      <c r="H101" s="64">
        <v>1.1299999999999999</v>
      </c>
      <c r="I101" s="64">
        <v>2.2599999999999998</v>
      </c>
      <c r="J101" s="64">
        <v>0.7</v>
      </c>
      <c r="K101" s="64">
        <v>332.06</v>
      </c>
      <c r="L101" s="64">
        <v>25.19</v>
      </c>
      <c r="M101" s="64">
        <v>89.84</v>
      </c>
      <c r="N101" s="64">
        <v>25.9</v>
      </c>
      <c r="O101" s="64">
        <v>0</v>
      </c>
      <c r="P101" s="64">
        <v>0.52</v>
      </c>
      <c r="Q101" s="64">
        <v>9.75</v>
      </c>
      <c r="R101" s="198"/>
      <c r="S101" s="198"/>
      <c r="T101" s="198"/>
      <c r="U101" s="198"/>
    </row>
    <row r="102" spans="1:33" s="12" customFormat="1" x14ac:dyDescent="0.25">
      <c r="A102" s="214" t="s">
        <v>1684</v>
      </c>
      <c r="B102" s="64">
        <v>4.2699999999999996</v>
      </c>
      <c r="C102" s="64">
        <v>3.25</v>
      </c>
      <c r="D102" s="64">
        <v>7.32</v>
      </c>
      <c r="E102" s="64">
        <v>4.24</v>
      </c>
      <c r="F102" s="64">
        <v>3.22</v>
      </c>
      <c r="G102" s="64">
        <v>45.57</v>
      </c>
      <c r="H102" s="64">
        <v>60.8</v>
      </c>
      <c r="I102" s="64">
        <v>2.29</v>
      </c>
      <c r="J102" s="64">
        <v>0.73</v>
      </c>
      <c r="K102" s="64">
        <v>330.47</v>
      </c>
      <c r="L102" s="64">
        <v>25.22</v>
      </c>
      <c r="M102" s="64">
        <v>88.77</v>
      </c>
      <c r="N102" s="64">
        <v>25.8</v>
      </c>
      <c r="O102" s="64">
        <v>0</v>
      </c>
      <c r="P102" s="64">
        <v>0.53</v>
      </c>
      <c r="Q102" s="64">
        <v>9.7799999999999994</v>
      </c>
      <c r="R102" s="198"/>
      <c r="S102" s="198"/>
      <c r="T102" s="198"/>
      <c r="U102" s="198"/>
    </row>
    <row r="103" spans="1:33" s="12" customFormat="1" x14ac:dyDescent="0.25">
      <c r="A103" s="214" t="s">
        <v>1685</v>
      </c>
      <c r="B103" s="64">
        <v>4.25</v>
      </c>
      <c r="C103" s="64">
        <v>3.17</v>
      </c>
      <c r="D103" s="64">
        <v>7.25</v>
      </c>
      <c r="E103" s="64">
        <v>4.05</v>
      </c>
      <c r="F103" s="64">
        <v>3.57</v>
      </c>
      <c r="G103" s="64">
        <v>46.19</v>
      </c>
      <c r="H103" s="64">
        <v>60.8</v>
      </c>
      <c r="I103" s="64">
        <v>2.2999999999999998</v>
      </c>
      <c r="J103" s="64">
        <v>0.67</v>
      </c>
      <c r="K103" s="64">
        <v>329.19</v>
      </c>
      <c r="L103" s="64">
        <v>25.15</v>
      </c>
      <c r="M103" s="64">
        <v>89.46</v>
      </c>
      <c r="N103" s="64">
        <v>26.1</v>
      </c>
      <c r="O103" s="64">
        <v>0</v>
      </c>
      <c r="P103" s="64">
        <v>0.5</v>
      </c>
      <c r="Q103" s="64">
        <v>9.76</v>
      </c>
      <c r="R103" s="198"/>
      <c r="S103" s="198"/>
      <c r="T103" s="198"/>
      <c r="U103" s="198"/>
    </row>
    <row r="104" spans="1:33" s="12" customFormat="1" x14ac:dyDescent="0.25">
      <c r="A104" s="214" t="s">
        <v>1686</v>
      </c>
      <c r="B104" s="64">
        <v>4.2</v>
      </c>
      <c r="C104" s="64">
        <v>3.12</v>
      </c>
      <c r="D104" s="64">
        <v>7.19</v>
      </c>
      <c r="E104" s="64">
        <v>5.27</v>
      </c>
      <c r="F104" s="64">
        <v>4.2300000000000004</v>
      </c>
      <c r="G104" s="64">
        <v>46.19</v>
      </c>
      <c r="H104" s="64">
        <v>60.8</v>
      </c>
      <c r="I104" s="64">
        <v>2.21</v>
      </c>
      <c r="J104" s="64">
        <v>0.57999999999999996</v>
      </c>
      <c r="K104" s="64">
        <v>350.44</v>
      </c>
      <c r="L104" s="64">
        <v>25.01</v>
      </c>
      <c r="M104" s="64">
        <v>90.35</v>
      </c>
      <c r="N104" s="64">
        <v>26.1</v>
      </c>
      <c r="O104" s="64">
        <v>0</v>
      </c>
      <c r="P104" s="64">
        <v>0.5</v>
      </c>
      <c r="Q104" s="64">
        <v>9.76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</v>
      </c>
      <c r="C106" s="67">
        <f>MIN(C9:C104)</f>
        <v>3.09</v>
      </c>
      <c r="D106" s="67">
        <f t="shared" ref="D106:Q106" si="0">MIN(D9:D104)</f>
        <v>7.18</v>
      </c>
      <c r="E106" s="67">
        <f t="shared" si="0"/>
        <v>2.93</v>
      </c>
      <c r="F106" s="67">
        <f t="shared" si="0"/>
        <v>2.39</v>
      </c>
      <c r="G106" s="67">
        <f t="shared" si="0"/>
        <v>32.93</v>
      </c>
      <c r="H106" s="67">
        <f t="shared" si="0"/>
        <v>1.1299999999999999</v>
      </c>
      <c r="I106" s="67">
        <f t="shared" si="0"/>
        <v>0.76</v>
      </c>
      <c r="J106" s="67">
        <f t="shared" si="0"/>
        <v>0.33</v>
      </c>
      <c r="K106" s="67">
        <f t="shared" si="0"/>
        <v>317.43</v>
      </c>
      <c r="L106" s="67">
        <f t="shared" si="0"/>
        <v>23.17</v>
      </c>
      <c r="M106" s="67">
        <f t="shared" si="0"/>
        <v>58.93</v>
      </c>
      <c r="N106" s="67">
        <f t="shared" si="0"/>
        <v>25.4</v>
      </c>
      <c r="O106" s="67">
        <f t="shared" si="0"/>
        <v>0</v>
      </c>
      <c r="P106" s="67">
        <f t="shared" si="0"/>
        <v>0.3</v>
      </c>
      <c r="Q106" s="67">
        <f t="shared" si="0"/>
        <v>9.48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4.33</v>
      </c>
      <c r="C107" s="66">
        <f t="shared" ref="C107:Q107" si="1">MAX(C9:C104)</f>
        <v>3.25</v>
      </c>
      <c r="D107" s="66">
        <f t="shared" si="1"/>
        <v>7.35</v>
      </c>
      <c r="E107" s="66">
        <f t="shared" si="1"/>
        <v>5.27</v>
      </c>
      <c r="F107" s="66">
        <f t="shared" si="1"/>
        <v>6.09</v>
      </c>
      <c r="G107" s="66">
        <f t="shared" si="1"/>
        <v>68.790000000000006</v>
      </c>
      <c r="H107" s="66">
        <f t="shared" si="1"/>
        <v>60.8</v>
      </c>
      <c r="I107" s="66">
        <f t="shared" si="1"/>
        <v>3.51</v>
      </c>
      <c r="J107" s="66">
        <f t="shared" si="1"/>
        <v>2.66</v>
      </c>
      <c r="K107" s="66">
        <f t="shared" si="1"/>
        <v>356.3</v>
      </c>
      <c r="L107" s="66">
        <f t="shared" si="1"/>
        <v>33.299999999999997</v>
      </c>
      <c r="M107" s="66">
        <f t="shared" si="1"/>
        <v>101.7</v>
      </c>
      <c r="N107" s="66">
        <f t="shared" si="1"/>
        <v>986.7</v>
      </c>
      <c r="O107" s="66">
        <f t="shared" si="1"/>
        <v>0</v>
      </c>
      <c r="P107" s="66">
        <f t="shared" si="1"/>
        <v>0.68</v>
      </c>
      <c r="Q107" s="66">
        <f t="shared" si="1"/>
        <v>9.7899999999999991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4.2545833333333345</v>
      </c>
      <c r="C108" s="67">
        <f t="shared" ref="C108:Q108" si="2">AVERAGE(C9:C104)</f>
        <v>3.1585416666666659</v>
      </c>
      <c r="D108" s="67">
        <f t="shared" si="2"/>
        <v>7.2529166666666685</v>
      </c>
      <c r="E108" s="67">
        <f t="shared" si="2"/>
        <v>4.0521875000000005</v>
      </c>
      <c r="F108" s="67">
        <f t="shared" si="2"/>
        <v>3.8459375000000002</v>
      </c>
      <c r="G108" s="67">
        <f t="shared" si="2"/>
        <v>44.552708333333307</v>
      </c>
      <c r="H108" s="67">
        <f t="shared" si="2"/>
        <v>17.193026315789474</v>
      </c>
      <c r="I108" s="67">
        <f t="shared" si="2"/>
        <v>1.8884374999999991</v>
      </c>
      <c r="J108" s="67">
        <f t="shared" si="2"/>
        <v>0.93343750000000003</v>
      </c>
      <c r="K108" s="67">
        <f t="shared" si="2"/>
        <v>331.26812499999988</v>
      </c>
      <c r="L108" s="67">
        <f t="shared" si="2"/>
        <v>27.199166666666667</v>
      </c>
      <c r="M108" s="67">
        <f t="shared" si="2"/>
        <v>81.887083333333337</v>
      </c>
      <c r="N108" s="67">
        <f t="shared" si="2"/>
        <v>198.86770833333321</v>
      </c>
      <c r="O108" s="67">
        <f t="shared" si="2"/>
        <v>0</v>
      </c>
      <c r="P108" s="67">
        <f t="shared" si="2"/>
        <v>0.40510416666666682</v>
      </c>
      <c r="Q108" s="67">
        <f t="shared" si="2"/>
        <v>9.6169791666666633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3.0154572549018682E-2</v>
      </c>
      <c r="C109" s="67">
        <f t="shared" ref="C109:Q109" si="3">STDEV(C9:C104)</f>
        <v>3.1421721171882196E-2</v>
      </c>
      <c r="D109" s="67">
        <f t="shared" si="3"/>
        <v>3.503131431242814E-2</v>
      </c>
      <c r="E109" s="67">
        <f t="shared" si="3"/>
        <v>0.44847156367048102</v>
      </c>
      <c r="F109" s="67">
        <f t="shared" si="3"/>
        <v>0.70172655961826047</v>
      </c>
      <c r="G109" s="67">
        <f t="shared" si="3"/>
        <v>8.5747748141882898</v>
      </c>
      <c r="H109" s="67">
        <f t="shared" si="3"/>
        <v>16.076568706846771</v>
      </c>
      <c r="I109" s="67">
        <f t="shared" si="3"/>
        <v>0.83271063796432443</v>
      </c>
      <c r="J109" s="67">
        <f t="shared" si="3"/>
        <v>0.54873985424022054</v>
      </c>
      <c r="K109" s="67">
        <f t="shared" si="3"/>
        <v>9.8353013292345111</v>
      </c>
      <c r="L109" s="67">
        <f t="shared" si="3"/>
        <v>3.1838899302141557</v>
      </c>
      <c r="M109" s="67">
        <f t="shared" si="3"/>
        <v>15.929077015364273</v>
      </c>
      <c r="N109" s="67">
        <f t="shared" si="3"/>
        <v>255.31049599913584</v>
      </c>
      <c r="O109" s="67">
        <f t="shared" si="3"/>
        <v>0</v>
      </c>
      <c r="P109" s="67">
        <f t="shared" si="3"/>
        <v>9.363978902004931E-2</v>
      </c>
      <c r="Q109" s="67">
        <f t="shared" si="3"/>
        <v>8.0669824680825244E-2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COUNT(H9:H104)+20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1687</v>
      </c>
      <c r="B9" s="64">
        <v>4.2</v>
      </c>
      <c r="C9" s="64">
        <v>3.13</v>
      </c>
      <c r="D9" s="64">
        <v>7.19</v>
      </c>
      <c r="E9" s="64">
        <v>5.59</v>
      </c>
      <c r="F9" s="64">
        <v>3.17</v>
      </c>
      <c r="G9" s="64">
        <v>46.19</v>
      </c>
      <c r="H9" s="64">
        <v>60.8</v>
      </c>
      <c r="I9" s="64">
        <v>2.13</v>
      </c>
      <c r="J9" s="64">
        <v>0.59</v>
      </c>
      <c r="K9" s="64">
        <v>342.33</v>
      </c>
      <c r="L9" s="64">
        <v>25.01</v>
      </c>
      <c r="M9" s="64">
        <v>90.56</v>
      </c>
      <c r="N9" s="64">
        <v>26</v>
      </c>
      <c r="O9" s="64">
        <v>0</v>
      </c>
      <c r="P9" s="64">
        <v>0.46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14" t="s">
        <v>1688</v>
      </c>
      <c r="B10" s="64">
        <v>4.24</v>
      </c>
      <c r="C10" s="64">
        <v>3.19</v>
      </c>
      <c r="D10" s="64">
        <v>7.26</v>
      </c>
      <c r="E10" s="64">
        <v>5.6</v>
      </c>
      <c r="F10" s="64">
        <v>3.29</v>
      </c>
      <c r="G10" s="64">
        <v>40.06</v>
      </c>
      <c r="H10" s="64">
        <v>8.51</v>
      </c>
      <c r="I10" s="64">
        <v>2.0299999999999998</v>
      </c>
      <c r="J10" s="64">
        <v>0.7</v>
      </c>
      <c r="K10" s="64">
        <v>330.27</v>
      </c>
      <c r="L10" s="64">
        <v>24.86</v>
      </c>
      <c r="M10" s="64">
        <v>91.59</v>
      </c>
      <c r="N10" s="64">
        <v>26</v>
      </c>
      <c r="O10" s="64">
        <v>0</v>
      </c>
      <c r="P10" s="64">
        <v>0.45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4" t="s">
        <v>1689</v>
      </c>
      <c r="B11" s="64">
        <v>4.26</v>
      </c>
      <c r="C11" s="64">
        <v>3.15</v>
      </c>
      <c r="D11" s="64">
        <v>7.25</v>
      </c>
      <c r="E11" s="64">
        <v>5.57</v>
      </c>
      <c r="F11" s="64">
        <v>3.44</v>
      </c>
      <c r="G11" s="64">
        <v>37.96</v>
      </c>
      <c r="H11" s="64">
        <v>8.51</v>
      </c>
      <c r="I11" s="64">
        <v>1.83</v>
      </c>
      <c r="J11" s="64">
        <v>0.64</v>
      </c>
      <c r="K11" s="64">
        <v>340.47</v>
      </c>
      <c r="L11" s="64">
        <v>24.81</v>
      </c>
      <c r="M11" s="64">
        <v>91.3</v>
      </c>
      <c r="N11" s="64">
        <v>25.8</v>
      </c>
      <c r="O11" s="64">
        <v>0</v>
      </c>
      <c r="P11" s="64">
        <v>0.44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14" t="s">
        <v>1690</v>
      </c>
      <c r="B12" s="64">
        <v>4.2699999999999996</v>
      </c>
      <c r="C12" s="64">
        <v>3.14</v>
      </c>
      <c r="D12" s="64">
        <v>7.25</v>
      </c>
      <c r="E12" s="64">
        <v>5.53</v>
      </c>
      <c r="F12" s="64">
        <v>3.42</v>
      </c>
      <c r="G12" s="64">
        <v>37.96</v>
      </c>
      <c r="H12" s="64">
        <v>8.51</v>
      </c>
      <c r="I12" s="64">
        <v>1.68</v>
      </c>
      <c r="J12" s="64">
        <v>0.63</v>
      </c>
      <c r="K12" s="64">
        <v>340.42</v>
      </c>
      <c r="L12" s="64">
        <v>24.72</v>
      </c>
      <c r="M12" s="64">
        <v>91.82</v>
      </c>
      <c r="N12" s="64">
        <v>25.8</v>
      </c>
      <c r="O12" s="64">
        <v>0</v>
      </c>
      <c r="P12" s="64">
        <v>0.42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4" t="s">
        <v>1691</v>
      </c>
      <c r="B13" s="64">
        <v>4.28</v>
      </c>
      <c r="C13" s="64">
        <v>3.17</v>
      </c>
      <c r="D13" s="64">
        <v>7.28</v>
      </c>
      <c r="E13" s="64">
        <v>5.21</v>
      </c>
      <c r="F13" s="64">
        <v>3.72</v>
      </c>
      <c r="G13" s="64">
        <v>37.96</v>
      </c>
      <c r="H13" s="64">
        <v>8.51</v>
      </c>
      <c r="I13" s="64">
        <v>1.61</v>
      </c>
      <c r="J13" s="64">
        <v>0.65</v>
      </c>
      <c r="K13" s="64">
        <v>340.66</v>
      </c>
      <c r="L13" s="64">
        <v>24.73</v>
      </c>
      <c r="M13" s="64">
        <v>91.98</v>
      </c>
      <c r="N13" s="64">
        <v>25.8</v>
      </c>
      <c r="O13" s="64">
        <v>0</v>
      </c>
      <c r="P13" s="64">
        <v>0.39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4" t="s">
        <v>1692</v>
      </c>
      <c r="B14" s="64">
        <v>4.29</v>
      </c>
      <c r="C14" s="64">
        <v>3.14</v>
      </c>
      <c r="D14" s="64">
        <v>7.27</v>
      </c>
      <c r="E14" s="64">
        <v>5.46</v>
      </c>
      <c r="F14" s="64">
        <v>3.13</v>
      </c>
      <c r="G14" s="64">
        <v>36.75</v>
      </c>
      <c r="H14" s="64">
        <v>1.47</v>
      </c>
      <c r="I14" s="64">
        <v>1.56</v>
      </c>
      <c r="J14" s="64">
        <v>0.62</v>
      </c>
      <c r="K14" s="64">
        <v>335.03</v>
      </c>
      <c r="L14" s="64">
        <v>24.59</v>
      </c>
      <c r="M14" s="64">
        <v>92.54</v>
      </c>
      <c r="N14" s="64">
        <v>25.8</v>
      </c>
      <c r="O14" s="64">
        <v>0</v>
      </c>
      <c r="P14" s="64">
        <v>0.39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4" t="s">
        <v>1693</v>
      </c>
      <c r="B15" s="64">
        <v>4.2699999999999996</v>
      </c>
      <c r="C15" s="64">
        <v>3.16</v>
      </c>
      <c r="D15" s="64">
        <v>7.27</v>
      </c>
      <c r="E15" s="64">
        <v>5.46</v>
      </c>
      <c r="F15" s="64">
        <v>3.26</v>
      </c>
      <c r="G15" s="64">
        <v>36.31</v>
      </c>
      <c r="H15" s="64">
        <v>1.36</v>
      </c>
      <c r="I15" s="64">
        <v>1.5</v>
      </c>
      <c r="J15" s="64">
        <v>0.72</v>
      </c>
      <c r="K15" s="64">
        <v>330.83</v>
      </c>
      <c r="L15" s="64">
        <v>24.64</v>
      </c>
      <c r="M15" s="64">
        <v>91.95</v>
      </c>
      <c r="N15" s="64">
        <v>25.8</v>
      </c>
      <c r="O15" s="64">
        <v>0</v>
      </c>
      <c r="P15" s="64">
        <v>0.39</v>
      </c>
      <c r="Q15" s="64">
        <v>9.58</v>
      </c>
      <c r="R15" s="198"/>
      <c r="S15" s="198"/>
      <c r="T15" s="198"/>
      <c r="U15" s="198"/>
    </row>
    <row r="16" spans="1:21" s="12" customFormat="1" x14ac:dyDescent="0.25">
      <c r="A16" s="214" t="s">
        <v>1694</v>
      </c>
      <c r="B16" s="64">
        <v>4.28</v>
      </c>
      <c r="C16" s="64">
        <v>3.15</v>
      </c>
      <c r="D16" s="64">
        <v>7.27</v>
      </c>
      <c r="E16" s="64">
        <v>5.59</v>
      </c>
      <c r="F16" s="64">
        <v>3.61</v>
      </c>
      <c r="G16" s="64">
        <v>36.31</v>
      </c>
      <c r="H16" s="64">
        <v>1.36</v>
      </c>
      <c r="I16" s="64">
        <v>1.48</v>
      </c>
      <c r="J16" s="64">
        <v>0.66</v>
      </c>
      <c r="K16" s="64">
        <v>329.96</v>
      </c>
      <c r="L16" s="64">
        <v>24.56</v>
      </c>
      <c r="M16" s="64">
        <v>92.47</v>
      </c>
      <c r="N16" s="64">
        <v>26.1</v>
      </c>
      <c r="O16" s="64">
        <v>0</v>
      </c>
      <c r="P16" s="64">
        <v>0.38</v>
      </c>
      <c r="Q16" s="64">
        <v>9.58</v>
      </c>
      <c r="R16" s="198"/>
      <c r="S16" s="198"/>
      <c r="T16" s="198"/>
      <c r="U16" s="198"/>
    </row>
    <row r="17" spans="1:21" s="12" customFormat="1" x14ac:dyDescent="0.25">
      <c r="A17" s="214" t="s">
        <v>1695</v>
      </c>
      <c r="B17" s="64">
        <v>4.2699999999999996</v>
      </c>
      <c r="C17" s="64">
        <v>3.16</v>
      </c>
      <c r="D17" s="64">
        <v>7.26</v>
      </c>
      <c r="E17" s="64">
        <v>5.6</v>
      </c>
      <c r="F17" s="64">
        <v>3.65</v>
      </c>
      <c r="G17" s="64">
        <v>36.31</v>
      </c>
      <c r="H17" s="64">
        <v>1.36</v>
      </c>
      <c r="I17" s="64">
        <v>1.52</v>
      </c>
      <c r="J17" s="64">
        <v>0.65</v>
      </c>
      <c r="K17" s="64">
        <v>324.24</v>
      </c>
      <c r="L17" s="64">
        <v>24.6</v>
      </c>
      <c r="M17" s="64">
        <v>92.02</v>
      </c>
      <c r="N17" s="64">
        <v>26.1</v>
      </c>
      <c r="O17" s="64">
        <v>0</v>
      </c>
      <c r="P17" s="64">
        <v>0.38</v>
      </c>
      <c r="Q17" s="64">
        <v>9.57</v>
      </c>
      <c r="R17" s="198"/>
      <c r="S17" s="198"/>
      <c r="T17" s="198"/>
      <c r="U17" s="198"/>
    </row>
    <row r="18" spans="1:21" s="12" customFormat="1" x14ac:dyDescent="0.25">
      <c r="A18" s="214" t="s">
        <v>1696</v>
      </c>
      <c r="B18" s="64">
        <v>4.24</v>
      </c>
      <c r="C18" s="64">
        <v>3.11</v>
      </c>
      <c r="D18" s="64">
        <v>7.22</v>
      </c>
      <c r="E18" s="64">
        <v>5.8</v>
      </c>
      <c r="F18" s="64">
        <v>4.49</v>
      </c>
      <c r="G18" s="64">
        <v>33.590000000000003</v>
      </c>
      <c r="H18" s="64">
        <v>11.43</v>
      </c>
      <c r="I18" s="64">
        <v>1.51</v>
      </c>
      <c r="J18" s="64">
        <v>0.55000000000000004</v>
      </c>
      <c r="K18" s="64">
        <v>340.49</v>
      </c>
      <c r="L18" s="64">
        <v>24.45</v>
      </c>
      <c r="M18" s="64">
        <v>92.86</v>
      </c>
      <c r="N18" s="64">
        <v>26.1</v>
      </c>
      <c r="O18" s="64">
        <v>0</v>
      </c>
      <c r="P18" s="64">
        <v>0.37</v>
      </c>
      <c r="Q18" s="64">
        <v>9.5500000000000007</v>
      </c>
      <c r="R18" s="198"/>
      <c r="S18" s="198"/>
      <c r="T18" s="198"/>
      <c r="U18" s="198"/>
    </row>
    <row r="19" spans="1:21" s="12" customFormat="1" x14ac:dyDescent="0.25">
      <c r="A19" s="214" t="s">
        <v>1697</v>
      </c>
      <c r="B19" s="64">
        <v>4.2300000000000004</v>
      </c>
      <c r="C19" s="64">
        <v>3.13</v>
      </c>
      <c r="D19" s="64">
        <v>7.22</v>
      </c>
      <c r="E19" s="64">
        <v>5.55</v>
      </c>
      <c r="F19" s="64">
        <v>3.18</v>
      </c>
      <c r="G19" s="64">
        <v>32.61</v>
      </c>
      <c r="H19" s="64">
        <v>11.59</v>
      </c>
      <c r="I19" s="64">
        <v>1.52</v>
      </c>
      <c r="J19" s="64">
        <v>0.55000000000000004</v>
      </c>
      <c r="K19" s="64">
        <v>346.55</v>
      </c>
      <c r="L19" s="64">
        <v>24.45</v>
      </c>
      <c r="M19" s="64">
        <v>93</v>
      </c>
      <c r="N19" s="64">
        <v>26</v>
      </c>
      <c r="O19" s="64">
        <v>0</v>
      </c>
      <c r="P19" s="64">
        <v>0.35</v>
      </c>
      <c r="Q19" s="64">
        <v>9.52</v>
      </c>
      <c r="R19" s="198"/>
      <c r="S19" s="198"/>
      <c r="T19" s="198"/>
      <c r="U19" s="198"/>
    </row>
    <row r="20" spans="1:21" s="12" customFormat="1" x14ac:dyDescent="0.25">
      <c r="A20" s="214" t="s">
        <v>1698</v>
      </c>
      <c r="B20" s="64">
        <v>4.2300000000000004</v>
      </c>
      <c r="C20" s="64">
        <v>3.13</v>
      </c>
      <c r="D20" s="64">
        <v>7.21</v>
      </c>
      <c r="E20" s="64">
        <v>5.78</v>
      </c>
      <c r="F20" s="64">
        <v>4.51</v>
      </c>
      <c r="G20" s="64">
        <v>32.61</v>
      </c>
      <c r="H20" s="64">
        <v>11.59</v>
      </c>
      <c r="I20" s="64">
        <v>1.52</v>
      </c>
      <c r="J20" s="64">
        <v>0.56999999999999995</v>
      </c>
      <c r="K20" s="64">
        <v>343.29</v>
      </c>
      <c r="L20" s="64">
        <v>24.34</v>
      </c>
      <c r="M20" s="64">
        <v>94.06</v>
      </c>
      <c r="N20" s="64">
        <v>26.1</v>
      </c>
      <c r="O20" s="64">
        <v>0</v>
      </c>
      <c r="P20" s="64">
        <v>0.34</v>
      </c>
      <c r="Q20" s="64">
        <v>9.5399999999999991</v>
      </c>
      <c r="R20" s="198"/>
      <c r="S20" s="198"/>
      <c r="T20" s="198"/>
      <c r="U20" s="198"/>
    </row>
    <row r="21" spans="1:21" s="12" customFormat="1" x14ac:dyDescent="0.25">
      <c r="A21" s="214" t="s">
        <v>1699</v>
      </c>
      <c r="B21" s="64">
        <v>4.2300000000000004</v>
      </c>
      <c r="C21" s="64">
        <v>3.2</v>
      </c>
      <c r="D21" s="64">
        <v>7.25</v>
      </c>
      <c r="E21" s="64">
        <v>5.61</v>
      </c>
      <c r="F21" s="64">
        <v>3.33</v>
      </c>
      <c r="G21" s="64">
        <v>32.61</v>
      </c>
      <c r="H21" s="64">
        <v>11.59</v>
      </c>
      <c r="I21" s="64">
        <v>1.48</v>
      </c>
      <c r="J21" s="64">
        <v>0.66</v>
      </c>
      <c r="K21" s="64">
        <v>333.42</v>
      </c>
      <c r="L21" s="64">
        <v>24.27</v>
      </c>
      <c r="M21" s="64">
        <v>94.63</v>
      </c>
      <c r="N21" s="64">
        <v>26.1</v>
      </c>
      <c r="O21" s="64">
        <v>0</v>
      </c>
      <c r="P21" s="64">
        <v>0.34</v>
      </c>
      <c r="Q21" s="64">
        <v>9.52</v>
      </c>
      <c r="R21" s="198"/>
      <c r="S21" s="198"/>
      <c r="T21" s="198"/>
      <c r="U21" s="198"/>
    </row>
    <row r="22" spans="1:21" s="12" customFormat="1" x14ac:dyDescent="0.25">
      <c r="A22" s="214" t="s">
        <v>1700</v>
      </c>
      <c r="B22" s="64">
        <v>4.24</v>
      </c>
      <c r="C22" s="64">
        <v>3.12</v>
      </c>
      <c r="D22" s="64">
        <v>7.22</v>
      </c>
      <c r="E22" s="64">
        <v>5.62</v>
      </c>
      <c r="F22" s="64">
        <v>4.59</v>
      </c>
      <c r="G22" s="64">
        <v>28.86</v>
      </c>
      <c r="H22" s="64">
        <v>6.69</v>
      </c>
      <c r="I22" s="64">
        <v>1.46</v>
      </c>
      <c r="J22" s="64">
        <v>0.62</v>
      </c>
      <c r="K22" s="64">
        <v>332.66</v>
      </c>
      <c r="L22" s="64">
        <v>24.24</v>
      </c>
      <c r="M22" s="64">
        <v>94.86</v>
      </c>
      <c r="N22" s="64">
        <v>26.1</v>
      </c>
      <c r="O22" s="64">
        <v>0</v>
      </c>
      <c r="P22" s="64">
        <v>0.32</v>
      </c>
      <c r="Q22" s="64">
        <v>9.52</v>
      </c>
      <c r="R22" s="198"/>
      <c r="S22" s="198"/>
      <c r="T22" s="198"/>
      <c r="U22" s="198"/>
    </row>
    <row r="23" spans="1:21" s="12" customFormat="1" x14ac:dyDescent="0.25">
      <c r="A23" s="214" t="s">
        <v>1701</v>
      </c>
      <c r="B23" s="64">
        <v>4.2300000000000004</v>
      </c>
      <c r="C23" s="64">
        <v>3.12</v>
      </c>
      <c r="D23" s="64">
        <v>7.21</v>
      </c>
      <c r="E23" s="64">
        <v>6.17</v>
      </c>
      <c r="F23" s="64">
        <v>3.29</v>
      </c>
      <c r="G23" s="64">
        <v>27.57</v>
      </c>
      <c r="H23" s="64">
        <v>6.58</v>
      </c>
      <c r="I23" s="64">
        <v>1.43</v>
      </c>
      <c r="J23" s="64">
        <v>0.65</v>
      </c>
      <c r="K23" s="64">
        <v>330.7</v>
      </c>
      <c r="L23" s="64">
        <v>24.14</v>
      </c>
      <c r="M23" s="64">
        <v>95.71</v>
      </c>
      <c r="N23" s="64">
        <v>26.1</v>
      </c>
      <c r="O23" s="64">
        <v>0</v>
      </c>
      <c r="P23" s="64">
        <v>0.32</v>
      </c>
      <c r="Q23" s="64">
        <v>9.52</v>
      </c>
      <c r="R23" s="198"/>
      <c r="S23" s="198"/>
      <c r="T23" s="198"/>
      <c r="U23" s="198"/>
    </row>
    <row r="24" spans="1:21" s="12" customFormat="1" x14ac:dyDescent="0.25">
      <c r="A24" s="214" t="s">
        <v>1702</v>
      </c>
      <c r="B24" s="64">
        <v>4.22</v>
      </c>
      <c r="C24" s="64">
        <v>3.09</v>
      </c>
      <c r="D24" s="64">
        <v>7.19</v>
      </c>
      <c r="E24" s="64">
        <v>4.82</v>
      </c>
      <c r="F24" s="64">
        <v>4.25</v>
      </c>
      <c r="G24" s="64">
        <v>27.57</v>
      </c>
      <c r="H24" s="64">
        <v>6.58</v>
      </c>
      <c r="I24" s="64">
        <v>1.46</v>
      </c>
      <c r="J24" s="64">
        <v>0.75</v>
      </c>
      <c r="K24" s="64">
        <v>323.37</v>
      </c>
      <c r="L24" s="64">
        <v>24.16</v>
      </c>
      <c r="M24" s="64">
        <v>95.79</v>
      </c>
      <c r="N24" s="64">
        <v>26</v>
      </c>
      <c r="O24" s="64">
        <v>0</v>
      </c>
      <c r="P24" s="64">
        <v>0.3</v>
      </c>
      <c r="Q24" s="64">
        <v>9.49</v>
      </c>
      <c r="R24" s="198"/>
      <c r="S24" s="198"/>
      <c r="T24" s="198"/>
      <c r="U24" s="198"/>
    </row>
    <row r="25" spans="1:21" s="12" customFormat="1" x14ac:dyDescent="0.25">
      <c r="A25" s="214" t="s">
        <v>1703</v>
      </c>
      <c r="B25" s="64">
        <v>4.21</v>
      </c>
      <c r="C25" s="64">
        <v>3.14</v>
      </c>
      <c r="D25" s="64">
        <v>7.21</v>
      </c>
      <c r="E25" s="64">
        <v>3.83</v>
      </c>
      <c r="F25" s="64">
        <v>3.77</v>
      </c>
      <c r="G25" s="64">
        <v>27.57</v>
      </c>
      <c r="H25" s="64">
        <v>6.58</v>
      </c>
      <c r="I25" s="64">
        <v>1.4</v>
      </c>
      <c r="J25" s="64">
        <v>0.69</v>
      </c>
      <c r="K25" s="64">
        <v>329.62</v>
      </c>
      <c r="L25" s="64">
        <v>24.07</v>
      </c>
      <c r="M25" s="64">
        <v>96.53</v>
      </c>
      <c r="N25" s="64">
        <v>26.1</v>
      </c>
      <c r="O25" s="64">
        <v>0</v>
      </c>
      <c r="P25" s="64">
        <v>0.3</v>
      </c>
      <c r="Q25" s="64">
        <v>9.52</v>
      </c>
      <c r="R25" s="198"/>
      <c r="S25" s="198"/>
      <c r="T25" s="198"/>
      <c r="U25" s="198"/>
    </row>
    <row r="26" spans="1:21" s="12" customFormat="1" x14ac:dyDescent="0.25">
      <c r="A26" s="214" t="s">
        <v>1704</v>
      </c>
      <c r="B26" s="64">
        <v>4.2</v>
      </c>
      <c r="C26" s="64">
        <v>3.15</v>
      </c>
      <c r="D26" s="64">
        <v>7.2</v>
      </c>
      <c r="E26" s="64">
        <v>4.45</v>
      </c>
      <c r="F26" s="64">
        <v>3.49</v>
      </c>
      <c r="G26" s="64">
        <v>26.11</v>
      </c>
      <c r="H26" s="6" t="s">
        <v>42</v>
      </c>
      <c r="I26" s="64">
        <v>1.38</v>
      </c>
      <c r="J26" s="64">
        <v>0.71</v>
      </c>
      <c r="K26" s="64">
        <v>323.31</v>
      </c>
      <c r="L26" s="64">
        <v>24.09</v>
      </c>
      <c r="M26" s="64">
        <v>96.48</v>
      </c>
      <c r="N26" s="64">
        <v>26.1</v>
      </c>
      <c r="O26" s="64">
        <v>0</v>
      </c>
      <c r="P26" s="64">
        <v>0.28999999999999998</v>
      </c>
      <c r="Q26" s="64">
        <v>9.48</v>
      </c>
      <c r="R26" s="198"/>
      <c r="S26" s="198"/>
      <c r="T26" s="198"/>
      <c r="U26" s="198"/>
    </row>
    <row r="27" spans="1:21" s="12" customFormat="1" x14ac:dyDescent="0.25">
      <c r="A27" s="214" t="s">
        <v>1705</v>
      </c>
      <c r="B27" s="64">
        <v>4.2300000000000004</v>
      </c>
      <c r="C27" s="64">
        <v>3.12</v>
      </c>
      <c r="D27" s="64">
        <v>7.22</v>
      </c>
      <c r="E27" s="64">
        <v>4.17</v>
      </c>
      <c r="F27" s="64">
        <v>3.69</v>
      </c>
      <c r="G27" s="64">
        <v>25.59</v>
      </c>
      <c r="H27" s="6" t="s">
        <v>42</v>
      </c>
      <c r="I27" s="64">
        <v>1.4</v>
      </c>
      <c r="J27" s="64">
        <v>0.68</v>
      </c>
      <c r="K27" s="64">
        <v>323.87</v>
      </c>
      <c r="L27" s="64">
        <v>24.12</v>
      </c>
      <c r="M27" s="64">
        <v>96.32</v>
      </c>
      <c r="N27" s="64">
        <v>26.1</v>
      </c>
      <c r="O27" s="64">
        <v>0</v>
      </c>
      <c r="P27" s="64">
        <v>0.28000000000000003</v>
      </c>
      <c r="Q27" s="64">
        <v>9.51</v>
      </c>
      <c r="R27" s="198"/>
      <c r="S27" s="198"/>
      <c r="T27" s="198"/>
      <c r="U27" s="198"/>
    </row>
    <row r="28" spans="1:21" s="12" customFormat="1" x14ac:dyDescent="0.25">
      <c r="A28" s="214" t="s">
        <v>1706</v>
      </c>
      <c r="B28" s="64">
        <v>4.2699999999999996</v>
      </c>
      <c r="C28" s="64">
        <v>3.16</v>
      </c>
      <c r="D28" s="64">
        <v>7.26</v>
      </c>
      <c r="E28" s="64">
        <v>3.9</v>
      </c>
      <c r="F28" s="64">
        <v>4.01</v>
      </c>
      <c r="G28" s="64">
        <v>25.59</v>
      </c>
      <c r="H28" s="6" t="s">
        <v>42</v>
      </c>
      <c r="I28" s="64">
        <v>1.38</v>
      </c>
      <c r="J28" s="64">
        <v>0.78</v>
      </c>
      <c r="K28" s="64">
        <v>325.8</v>
      </c>
      <c r="L28" s="64">
        <v>24.12</v>
      </c>
      <c r="M28" s="64">
        <v>96.3</v>
      </c>
      <c r="N28" s="64">
        <v>26.1</v>
      </c>
      <c r="O28" s="64">
        <v>0</v>
      </c>
      <c r="P28" s="64">
        <v>0.28000000000000003</v>
      </c>
      <c r="Q28" s="64">
        <v>9.52</v>
      </c>
      <c r="R28" s="198"/>
      <c r="S28" s="198"/>
      <c r="T28" s="198"/>
      <c r="U28" s="198"/>
    </row>
    <row r="29" spans="1:21" s="12" customFormat="1" x14ac:dyDescent="0.25">
      <c r="A29" s="214" t="s">
        <v>1707</v>
      </c>
      <c r="B29" s="64">
        <v>4.26</v>
      </c>
      <c r="C29" s="64">
        <v>3.19</v>
      </c>
      <c r="D29" s="64">
        <v>7.28</v>
      </c>
      <c r="E29" s="64">
        <v>4.29</v>
      </c>
      <c r="F29" s="64">
        <v>3.72</v>
      </c>
      <c r="G29" s="64">
        <v>25.59</v>
      </c>
      <c r="H29" s="6" t="s">
        <v>42</v>
      </c>
      <c r="I29" s="64">
        <v>1.37</v>
      </c>
      <c r="J29" s="64">
        <v>0.6</v>
      </c>
      <c r="K29" s="64">
        <v>336.99</v>
      </c>
      <c r="L29" s="64">
        <v>24.12</v>
      </c>
      <c r="M29" s="64">
        <v>96.33</v>
      </c>
      <c r="N29" s="64">
        <v>26.1</v>
      </c>
      <c r="O29" s="64">
        <v>0</v>
      </c>
      <c r="P29" s="64">
        <v>0.27</v>
      </c>
      <c r="Q29" s="64">
        <v>9.5399999999999991</v>
      </c>
      <c r="R29" s="198"/>
      <c r="S29" s="198"/>
      <c r="T29" s="198"/>
      <c r="U29" s="198"/>
    </row>
    <row r="30" spans="1:21" s="12" customFormat="1" x14ac:dyDescent="0.25">
      <c r="A30" s="214" t="s">
        <v>1708</v>
      </c>
      <c r="B30" s="64">
        <v>4.2699999999999996</v>
      </c>
      <c r="C30" s="64">
        <v>3.22</v>
      </c>
      <c r="D30" s="64">
        <v>7.3</v>
      </c>
      <c r="E30" s="64">
        <v>4.28</v>
      </c>
      <c r="F30" s="64">
        <v>3.43</v>
      </c>
      <c r="G30" s="64">
        <v>24.72</v>
      </c>
      <c r="H30" s="64">
        <v>10.29</v>
      </c>
      <c r="I30" s="64">
        <v>1.33</v>
      </c>
      <c r="J30" s="64">
        <v>0.6</v>
      </c>
      <c r="K30" s="64">
        <v>328.1</v>
      </c>
      <c r="L30" s="64">
        <v>23.98</v>
      </c>
      <c r="M30" s="64">
        <v>97.36</v>
      </c>
      <c r="N30" s="64">
        <v>26.1</v>
      </c>
      <c r="O30" s="64">
        <v>0</v>
      </c>
      <c r="P30" s="64">
        <v>0.27</v>
      </c>
      <c r="Q30" s="64">
        <v>9.5299999999999994</v>
      </c>
      <c r="R30" s="198"/>
      <c r="S30" s="198"/>
      <c r="T30" s="198"/>
      <c r="U30" s="198"/>
    </row>
    <row r="31" spans="1:21" s="12" customFormat="1" x14ac:dyDescent="0.25">
      <c r="A31" s="214" t="s">
        <v>1709</v>
      </c>
      <c r="B31" s="64">
        <v>4.28</v>
      </c>
      <c r="C31" s="64">
        <v>3.18</v>
      </c>
      <c r="D31" s="64">
        <v>7.28</v>
      </c>
      <c r="E31" s="64">
        <v>4.3</v>
      </c>
      <c r="F31" s="64">
        <v>3.27</v>
      </c>
      <c r="G31" s="64">
        <v>24.4</v>
      </c>
      <c r="H31" s="64">
        <v>9.83</v>
      </c>
      <c r="I31" s="64">
        <v>1.23</v>
      </c>
      <c r="J31" s="64">
        <v>0.71</v>
      </c>
      <c r="K31" s="64">
        <v>325.61</v>
      </c>
      <c r="L31" s="64">
        <v>23.92</v>
      </c>
      <c r="M31" s="64">
        <v>97.56</v>
      </c>
      <c r="N31" s="64">
        <v>26.2</v>
      </c>
      <c r="O31" s="64">
        <v>0</v>
      </c>
      <c r="P31" s="64">
        <v>0.27</v>
      </c>
      <c r="Q31" s="64">
        <v>9.51</v>
      </c>
      <c r="R31" s="198"/>
      <c r="S31" s="198"/>
      <c r="T31" s="198"/>
      <c r="U31" s="198"/>
    </row>
    <row r="32" spans="1:21" s="12" customFormat="1" x14ac:dyDescent="0.25">
      <c r="A32" s="214" t="s">
        <v>1710</v>
      </c>
      <c r="B32" s="64">
        <v>4.26</v>
      </c>
      <c r="C32" s="64">
        <v>3.2</v>
      </c>
      <c r="D32" s="64">
        <v>7.27</v>
      </c>
      <c r="E32" s="64">
        <v>4.2300000000000004</v>
      </c>
      <c r="F32" s="64">
        <v>2.97</v>
      </c>
      <c r="G32" s="64">
        <v>24.4</v>
      </c>
      <c r="H32" s="64">
        <v>9.83</v>
      </c>
      <c r="I32" s="64">
        <v>1.17</v>
      </c>
      <c r="J32" s="64">
        <v>0.63</v>
      </c>
      <c r="K32" s="64">
        <v>321.93</v>
      </c>
      <c r="L32" s="64">
        <v>23.87</v>
      </c>
      <c r="M32" s="64">
        <v>97.75</v>
      </c>
      <c r="N32" s="64">
        <v>27.7</v>
      </c>
      <c r="O32" s="64">
        <v>0</v>
      </c>
      <c r="P32" s="64">
        <v>0.27</v>
      </c>
      <c r="Q32" s="64">
        <v>9.51</v>
      </c>
      <c r="R32" s="198"/>
      <c r="S32" s="198"/>
      <c r="T32" s="198"/>
      <c r="U32" s="198"/>
    </row>
    <row r="33" spans="1:21" s="12" customFormat="1" x14ac:dyDescent="0.25">
      <c r="A33" s="214" t="s">
        <v>1711</v>
      </c>
      <c r="B33" s="64">
        <v>4.2699999999999996</v>
      </c>
      <c r="C33" s="64">
        <v>3.19</v>
      </c>
      <c r="D33" s="64">
        <v>7.28</v>
      </c>
      <c r="E33" s="64">
        <v>4.1100000000000003</v>
      </c>
      <c r="F33" s="64">
        <v>3.22</v>
      </c>
      <c r="G33" s="64">
        <v>24.4</v>
      </c>
      <c r="H33" s="64">
        <v>9.83</v>
      </c>
      <c r="I33" s="64">
        <v>1.22</v>
      </c>
      <c r="J33" s="64">
        <v>0.56000000000000005</v>
      </c>
      <c r="K33" s="64">
        <v>332.79</v>
      </c>
      <c r="L33" s="64">
        <v>23.96</v>
      </c>
      <c r="M33" s="64">
        <v>97.08</v>
      </c>
      <c r="N33" s="64">
        <v>29.7</v>
      </c>
      <c r="O33" s="64">
        <v>0</v>
      </c>
      <c r="P33" s="64">
        <v>0.26</v>
      </c>
      <c r="Q33" s="64">
        <v>9.5</v>
      </c>
      <c r="R33" s="198"/>
      <c r="S33" s="198"/>
      <c r="T33" s="198"/>
      <c r="U33" s="198"/>
    </row>
    <row r="34" spans="1:21" s="12" customFormat="1" x14ac:dyDescent="0.25">
      <c r="A34" s="214" t="s">
        <v>1712</v>
      </c>
      <c r="B34" s="64">
        <v>4.2699999999999996</v>
      </c>
      <c r="C34" s="64">
        <v>3.16</v>
      </c>
      <c r="D34" s="64">
        <v>7.27</v>
      </c>
      <c r="E34" s="64">
        <v>4.18</v>
      </c>
      <c r="F34" s="64">
        <v>4.4800000000000004</v>
      </c>
      <c r="G34" s="64">
        <v>25</v>
      </c>
      <c r="H34" s="64">
        <v>3.55</v>
      </c>
      <c r="I34" s="64">
        <v>1.21</v>
      </c>
      <c r="J34" s="64">
        <v>0.63</v>
      </c>
      <c r="K34" s="64">
        <v>324.91000000000003</v>
      </c>
      <c r="L34" s="64">
        <v>23.96</v>
      </c>
      <c r="M34" s="64">
        <v>97.63</v>
      </c>
      <c r="N34" s="64">
        <v>35.4</v>
      </c>
      <c r="O34" s="64">
        <v>0</v>
      </c>
      <c r="P34" s="64">
        <v>0.28000000000000003</v>
      </c>
      <c r="Q34" s="64">
        <v>9.52</v>
      </c>
      <c r="R34" s="198"/>
      <c r="S34" s="198"/>
      <c r="T34" s="198"/>
      <c r="U34" s="198"/>
    </row>
    <row r="35" spans="1:21" s="12" customFormat="1" x14ac:dyDescent="0.25">
      <c r="A35" s="214" t="s">
        <v>1713</v>
      </c>
      <c r="B35" s="64">
        <v>4.24</v>
      </c>
      <c r="C35" s="64">
        <v>3.21</v>
      </c>
      <c r="D35" s="64">
        <v>7.27</v>
      </c>
      <c r="E35" s="64">
        <v>4.45</v>
      </c>
      <c r="F35" s="64">
        <v>4.08</v>
      </c>
      <c r="G35" s="64">
        <v>25.21</v>
      </c>
      <c r="H35" s="64">
        <v>3.45</v>
      </c>
      <c r="I35" s="64">
        <v>1.23</v>
      </c>
      <c r="J35" s="64">
        <v>0.82</v>
      </c>
      <c r="K35" s="64">
        <v>320.58999999999997</v>
      </c>
      <c r="L35" s="64">
        <v>23.98</v>
      </c>
      <c r="M35" s="64">
        <v>97.76</v>
      </c>
      <c r="N35" s="64">
        <v>49.2</v>
      </c>
      <c r="O35" s="64">
        <v>0</v>
      </c>
      <c r="P35" s="64">
        <v>0.28000000000000003</v>
      </c>
      <c r="Q35" s="64">
        <v>9.49</v>
      </c>
      <c r="R35" s="198"/>
      <c r="S35" s="198"/>
      <c r="T35" s="198"/>
      <c r="U35" s="198"/>
    </row>
    <row r="36" spans="1:21" s="12" customFormat="1" x14ac:dyDescent="0.25">
      <c r="A36" s="214" t="s">
        <v>1714</v>
      </c>
      <c r="B36" s="64">
        <v>4.2300000000000004</v>
      </c>
      <c r="C36" s="64">
        <v>3.16</v>
      </c>
      <c r="D36" s="64">
        <v>7.24</v>
      </c>
      <c r="E36" s="64">
        <v>4.4400000000000004</v>
      </c>
      <c r="F36" s="64">
        <v>3.59</v>
      </c>
      <c r="G36" s="64">
        <v>25.21</v>
      </c>
      <c r="H36" s="64">
        <v>3.45</v>
      </c>
      <c r="I36" s="64">
        <v>1.27</v>
      </c>
      <c r="J36" s="64">
        <v>0.73</v>
      </c>
      <c r="K36" s="64">
        <v>322.88</v>
      </c>
      <c r="L36" s="64">
        <v>24.22</v>
      </c>
      <c r="M36" s="64">
        <v>96.66</v>
      </c>
      <c r="N36" s="64">
        <v>55.1</v>
      </c>
      <c r="O36" s="64">
        <v>0</v>
      </c>
      <c r="P36" s="64">
        <v>0.27</v>
      </c>
      <c r="Q36" s="64">
        <v>9.4700000000000006</v>
      </c>
      <c r="R36" s="198"/>
      <c r="S36" s="198"/>
      <c r="T36" s="198"/>
      <c r="U36" s="198"/>
    </row>
    <row r="37" spans="1:21" s="12" customFormat="1" x14ac:dyDescent="0.25">
      <c r="A37" s="214" t="s">
        <v>1715</v>
      </c>
      <c r="B37" s="64">
        <v>4.21</v>
      </c>
      <c r="C37" s="64">
        <v>3.11</v>
      </c>
      <c r="D37" s="64">
        <v>7.19</v>
      </c>
      <c r="E37" s="64">
        <v>4.3899999999999997</v>
      </c>
      <c r="F37" s="64">
        <v>3.8</v>
      </c>
      <c r="G37" s="64">
        <v>25.21</v>
      </c>
      <c r="H37" s="64">
        <v>3.45</v>
      </c>
      <c r="I37" s="64">
        <v>1.29</v>
      </c>
      <c r="J37" s="64">
        <v>0.75</v>
      </c>
      <c r="K37" s="64">
        <v>319.58999999999997</v>
      </c>
      <c r="L37" s="64">
        <v>24.17</v>
      </c>
      <c r="M37" s="64">
        <v>97.18</v>
      </c>
      <c r="N37" s="64">
        <v>58.7</v>
      </c>
      <c r="O37" s="64">
        <v>0</v>
      </c>
      <c r="P37" s="64">
        <v>0.28000000000000003</v>
      </c>
      <c r="Q37" s="64">
        <v>9.51</v>
      </c>
      <c r="R37" s="198"/>
      <c r="S37" s="198"/>
      <c r="T37" s="198"/>
      <c r="U37" s="198"/>
    </row>
    <row r="38" spans="1:21" s="12" customFormat="1" x14ac:dyDescent="0.25">
      <c r="A38" s="214" t="s">
        <v>1716</v>
      </c>
      <c r="B38" s="64">
        <v>4.2300000000000004</v>
      </c>
      <c r="C38" s="64">
        <v>3.13</v>
      </c>
      <c r="D38" s="64">
        <v>7.22</v>
      </c>
      <c r="E38" s="64">
        <v>4.47</v>
      </c>
      <c r="F38" s="64">
        <v>3.01</v>
      </c>
      <c r="G38" s="64">
        <v>30.96</v>
      </c>
      <c r="H38" s="64">
        <v>30.44</v>
      </c>
      <c r="I38" s="64">
        <v>1.31</v>
      </c>
      <c r="J38" s="64">
        <v>0.68</v>
      </c>
      <c r="K38" s="64">
        <v>317.25</v>
      </c>
      <c r="L38" s="64">
        <v>24.42</v>
      </c>
      <c r="M38" s="64">
        <v>96.98</v>
      </c>
      <c r="N38" s="64">
        <v>70</v>
      </c>
      <c r="O38" s="64">
        <v>0</v>
      </c>
      <c r="P38" s="64">
        <v>0.28999999999999998</v>
      </c>
      <c r="Q38" s="64">
        <v>9.52</v>
      </c>
      <c r="R38" s="198"/>
      <c r="S38" s="198"/>
      <c r="T38" s="198"/>
      <c r="U38" s="198"/>
    </row>
    <row r="39" spans="1:21" s="12" customFormat="1" x14ac:dyDescent="0.25">
      <c r="A39" s="214" t="s">
        <v>1717</v>
      </c>
      <c r="B39" s="64">
        <v>4.2300000000000004</v>
      </c>
      <c r="C39" s="64">
        <v>3.09</v>
      </c>
      <c r="D39" s="64">
        <v>7.19</v>
      </c>
      <c r="E39" s="64">
        <v>3.96</v>
      </c>
      <c r="F39" s="64">
        <v>4.4400000000000004</v>
      </c>
      <c r="G39" s="64">
        <v>32.93</v>
      </c>
      <c r="H39" s="64">
        <v>31.07</v>
      </c>
      <c r="I39" s="64">
        <v>1.3</v>
      </c>
      <c r="J39" s="64">
        <v>0.78</v>
      </c>
      <c r="K39" s="64">
        <v>313.83</v>
      </c>
      <c r="L39" s="64">
        <v>24.4</v>
      </c>
      <c r="M39" s="64">
        <v>97.31</v>
      </c>
      <c r="N39" s="64">
        <v>55.6</v>
      </c>
      <c r="O39" s="64">
        <v>0</v>
      </c>
      <c r="P39" s="64">
        <v>0.3</v>
      </c>
      <c r="Q39" s="64">
        <v>9.56</v>
      </c>
      <c r="R39" s="198"/>
      <c r="S39" s="198"/>
      <c r="T39" s="198"/>
      <c r="U39" s="198"/>
    </row>
    <row r="40" spans="1:21" s="12" customFormat="1" x14ac:dyDescent="0.25">
      <c r="A40" s="214" t="s">
        <v>1718</v>
      </c>
      <c r="B40" s="64">
        <v>4.22</v>
      </c>
      <c r="C40" s="64">
        <v>3.14</v>
      </c>
      <c r="D40" s="64">
        <v>7.21</v>
      </c>
      <c r="E40" s="64">
        <v>3.2</v>
      </c>
      <c r="F40" s="64">
        <v>2.72</v>
      </c>
      <c r="G40" s="64">
        <v>32.93</v>
      </c>
      <c r="H40" s="64">
        <v>31.07</v>
      </c>
      <c r="I40" s="64">
        <v>1.33</v>
      </c>
      <c r="J40" s="64">
        <v>0.5</v>
      </c>
      <c r="K40" s="64">
        <v>335.11</v>
      </c>
      <c r="L40" s="64">
        <v>24.23</v>
      </c>
      <c r="M40" s="64">
        <v>99.43</v>
      </c>
      <c r="N40" s="64">
        <v>66.099999999999994</v>
      </c>
      <c r="O40" s="64">
        <v>0</v>
      </c>
      <c r="P40" s="64">
        <v>0.3</v>
      </c>
      <c r="Q40" s="64">
        <v>9.5299999999999994</v>
      </c>
      <c r="R40" s="198"/>
      <c r="S40" s="198"/>
      <c r="T40" s="198"/>
      <c r="U40" s="198"/>
    </row>
    <row r="41" spans="1:21" s="12" customFormat="1" x14ac:dyDescent="0.25">
      <c r="A41" s="214" t="s">
        <v>1719</v>
      </c>
      <c r="B41" s="64">
        <v>4.22</v>
      </c>
      <c r="C41" s="64">
        <v>3.16</v>
      </c>
      <c r="D41" s="64">
        <v>7.22</v>
      </c>
      <c r="E41" s="64">
        <v>3.08</v>
      </c>
      <c r="F41" s="64">
        <v>4.6399999999999997</v>
      </c>
      <c r="G41" s="64">
        <v>32.93</v>
      </c>
      <c r="H41" s="64">
        <v>31.07</v>
      </c>
      <c r="I41" s="64">
        <v>1.35</v>
      </c>
      <c r="J41" s="64">
        <v>0.54</v>
      </c>
      <c r="K41" s="64">
        <v>347.02</v>
      </c>
      <c r="L41" s="64">
        <v>24.11</v>
      </c>
      <c r="M41" s="64">
        <v>100.44</v>
      </c>
      <c r="N41" s="64">
        <v>106.9</v>
      </c>
      <c r="O41" s="64">
        <v>0</v>
      </c>
      <c r="P41" s="64">
        <v>0.31</v>
      </c>
      <c r="Q41" s="64">
        <v>9.56</v>
      </c>
      <c r="R41" s="198"/>
      <c r="S41" s="198"/>
      <c r="T41" s="198"/>
      <c r="U41" s="198"/>
    </row>
    <row r="42" spans="1:21" s="12" customFormat="1" x14ac:dyDescent="0.25">
      <c r="A42" s="214" t="s">
        <v>1720</v>
      </c>
      <c r="B42" s="64">
        <v>4.22</v>
      </c>
      <c r="C42" s="64">
        <v>3.19</v>
      </c>
      <c r="D42" s="64">
        <v>7.24</v>
      </c>
      <c r="E42" s="64">
        <v>3.29</v>
      </c>
      <c r="F42" s="64">
        <v>2.4700000000000002</v>
      </c>
      <c r="G42" s="64">
        <v>29.4</v>
      </c>
      <c r="H42" s="64">
        <v>33.36</v>
      </c>
      <c r="I42" s="64">
        <v>1.36</v>
      </c>
      <c r="J42" s="64">
        <v>0.77</v>
      </c>
      <c r="K42" s="64">
        <v>330.56</v>
      </c>
      <c r="L42" s="64">
        <v>24.36</v>
      </c>
      <c r="M42" s="64">
        <v>98.21</v>
      </c>
      <c r="N42" s="64">
        <v>104.6</v>
      </c>
      <c r="O42" s="64">
        <v>0</v>
      </c>
      <c r="P42" s="64">
        <v>0.3</v>
      </c>
      <c r="Q42" s="64">
        <v>9.5500000000000007</v>
      </c>
      <c r="R42" s="198"/>
      <c r="S42" s="198"/>
      <c r="T42" s="198"/>
      <c r="U42" s="198"/>
    </row>
    <row r="43" spans="1:21" s="12" customFormat="1" x14ac:dyDescent="0.25">
      <c r="A43" s="214" t="s">
        <v>1721</v>
      </c>
      <c r="B43" s="64">
        <v>4.26</v>
      </c>
      <c r="C43" s="64">
        <v>3.22</v>
      </c>
      <c r="D43" s="64">
        <v>7.28</v>
      </c>
      <c r="E43" s="64">
        <v>3.18</v>
      </c>
      <c r="F43" s="64">
        <v>3.89</v>
      </c>
      <c r="G43" s="64">
        <v>28.11</v>
      </c>
      <c r="H43" s="64">
        <v>33.39</v>
      </c>
      <c r="I43" s="64">
        <v>1.3</v>
      </c>
      <c r="J43" s="64">
        <v>0.71</v>
      </c>
      <c r="K43" s="64">
        <v>331.42</v>
      </c>
      <c r="L43" s="64">
        <v>24.54</v>
      </c>
      <c r="M43" s="64">
        <v>96.71</v>
      </c>
      <c r="N43" s="64">
        <v>80.400000000000006</v>
      </c>
      <c r="O43" s="64">
        <v>0</v>
      </c>
      <c r="P43" s="64">
        <v>0.31</v>
      </c>
      <c r="Q43" s="64">
        <v>9.5399999999999991</v>
      </c>
      <c r="R43" s="198"/>
      <c r="S43" s="198"/>
      <c r="T43" s="198"/>
      <c r="U43" s="198"/>
    </row>
    <row r="44" spans="1:21" s="12" customFormat="1" x14ac:dyDescent="0.25">
      <c r="A44" s="214" t="s">
        <v>1722</v>
      </c>
      <c r="B44" s="64">
        <v>4.2699999999999996</v>
      </c>
      <c r="C44" s="64">
        <v>3.22</v>
      </c>
      <c r="D44" s="64">
        <v>7.29</v>
      </c>
      <c r="E44" s="64">
        <v>3.29</v>
      </c>
      <c r="F44" s="64">
        <v>3.49</v>
      </c>
      <c r="G44" s="64">
        <v>28.11</v>
      </c>
      <c r="H44" s="64">
        <v>33.39</v>
      </c>
      <c r="I44" s="64">
        <v>1.24</v>
      </c>
      <c r="J44" s="64">
        <v>0.79</v>
      </c>
      <c r="K44" s="64">
        <v>321.32</v>
      </c>
      <c r="L44" s="64">
        <v>24.59</v>
      </c>
      <c r="M44" s="64">
        <v>96.56</v>
      </c>
      <c r="N44" s="64">
        <v>77.8</v>
      </c>
      <c r="O44" s="64">
        <v>0</v>
      </c>
      <c r="P44" s="64">
        <v>0.3</v>
      </c>
      <c r="Q44" s="64">
        <v>9.5299999999999994</v>
      </c>
      <c r="R44" s="198"/>
      <c r="S44" s="198"/>
      <c r="T44" s="198"/>
      <c r="U44" s="198"/>
    </row>
    <row r="45" spans="1:21" s="12" customFormat="1" x14ac:dyDescent="0.25">
      <c r="A45" s="214" t="s">
        <v>1723</v>
      </c>
      <c r="B45" s="64">
        <v>4.28</v>
      </c>
      <c r="C45" s="64">
        <v>3.22</v>
      </c>
      <c r="D45" s="64">
        <v>7.31</v>
      </c>
      <c r="E45" s="64">
        <v>3.02</v>
      </c>
      <c r="F45" s="64">
        <v>3.61</v>
      </c>
      <c r="G45" s="64">
        <v>28.11</v>
      </c>
      <c r="H45" s="64">
        <v>33.39</v>
      </c>
      <c r="I45" s="64">
        <v>1.2</v>
      </c>
      <c r="J45" s="64">
        <v>1.31</v>
      </c>
      <c r="K45" s="64">
        <v>328.3</v>
      </c>
      <c r="L45" s="64">
        <v>24.83</v>
      </c>
      <c r="M45" s="64">
        <v>95.43</v>
      </c>
      <c r="N45" s="64">
        <v>112.8</v>
      </c>
      <c r="O45" s="64">
        <v>0</v>
      </c>
      <c r="P45" s="64">
        <v>0.32</v>
      </c>
      <c r="Q45" s="64">
        <v>9.5299999999999994</v>
      </c>
      <c r="R45" s="198"/>
      <c r="S45" s="198"/>
      <c r="T45" s="198"/>
      <c r="U45" s="198"/>
    </row>
    <row r="46" spans="1:21" s="12" customFormat="1" x14ac:dyDescent="0.25">
      <c r="A46" s="214" t="s">
        <v>1724</v>
      </c>
      <c r="B46" s="64">
        <v>4.28</v>
      </c>
      <c r="C46" s="64">
        <v>3.21</v>
      </c>
      <c r="D46" s="64">
        <v>7.3</v>
      </c>
      <c r="E46" s="64">
        <v>3.13</v>
      </c>
      <c r="F46" s="64">
        <v>3.79</v>
      </c>
      <c r="G46" s="64">
        <v>31.03</v>
      </c>
      <c r="H46" s="64">
        <v>11.02</v>
      </c>
      <c r="I46" s="64">
        <v>1.17</v>
      </c>
      <c r="J46" s="64">
        <v>1.36</v>
      </c>
      <c r="K46" s="64">
        <v>318.27</v>
      </c>
      <c r="L46" s="64">
        <v>25.19</v>
      </c>
      <c r="M46" s="64">
        <v>94.06</v>
      </c>
      <c r="N46" s="64">
        <v>154.30000000000001</v>
      </c>
      <c r="O46" s="64">
        <v>0</v>
      </c>
      <c r="P46" s="64">
        <v>0.33</v>
      </c>
      <c r="Q46" s="64">
        <v>9.52</v>
      </c>
      <c r="R46" s="198"/>
      <c r="S46" s="198"/>
      <c r="T46" s="198"/>
      <c r="U46" s="198"/>
    </row>
    <row r="47" spans="1:21" s="12" customFormat="1" x14ac:dyDescent="0.25">
      <c r="A47" s="214" t="s">
        <v>1725</v>
      </c>
      <c r="B47" s="64">
        <v>4.29</v>
      </c>
      <c r="C47" s="64">
        <v>3.18</v>
      </c>
      <c r="D47" s="64">
        <v>7.29</v>
      </c>
      <c r="E47" s="64">
        <v>3.29</v>
      </c>
      <c r="F47" s="64">
        <v>3.91</v>
      </c>
      <c r="G47" s="64">
        <v>32.1</v>
      </c>
      <c r="H47" s="64">
        <v>10.69</v>
      </c>
      <c r="I47" s="64">
        <v>1.1399999999999999</v>
      </c>
      <c r="J47" s="64">
        <v>1.98</v>
      </c>
      <c r="K47" s="64">
        <v>322.74</v>
      </c>
      <c r="L47" s="64">
        <v>25.82</v>
      </c>
      <c r="M47" s="64">
        <v>90.62</v>
      </c>
      <c r="N47" s="64">
        <v>193</v>
      </c>
      <c r="O47" s="64">
        <v>0</v>
      </c>
      <c r="P47" s="64">
        <v>0.35</v>
      </c>
      <c r="Q47" s="64">
        <v>9.5299999999999994</v>
      </c>
      <c r="R47" s="198"/>
      <c r="S47" s="198"/>
      <c r="T47" s="198"/>
      <c r="U47" s="198"/>
    </row>
    <row r="48" spans="1:21" s="12" customFormat="1" x14ac:dyDescent="0.25">
      <c r="A48" s="214" t="s">
        <v>1726</v>
      </c>
      <c r="B48" s="64">
        <v>4.29</v>
      </c>
      <c r="C48" s="64">
        <v>3.16</v>
      </c>
      <c r="D48" s="64">
        <v>7.28</v>
      </c>
      <c r="E48" s="64">
        <v>3.25</v>
      </c>
      <c r="F48" s="64">
        <v>3.42</v>
      </c>
      <c r="G48" s="64">
        <v>32.1</v>
      </c>
      <c r="H48" s="64">
        <v>10.69</v>
      </c>
      <c r="I48" s="64">
        <v>1.1399999999999999</v>
      </c>
      <c r="J48" s="64">
        <v>2.0699999999999998</v>
      </c>
      <c r="K48" s="64">
        <v>325.01</v>
      </c>
      <c r="L48" s="64">
        <v>26.02</v>
      </c>
      <c r="M48" s="64">
        <v>89.77</v>
      </c>
      <c r="N48" s="64">
        <v>175.7</v>
      </c>
      <c r="O48" s="64">
        <v>0</v>
      </c>
      <c r="P48" s="64">
        <v>0.35</v>
      </c>
      <c r="Q48" s="64">
        <v>9.52</v>
      </c>
      <c r="R48" s="198"/>
      <c r="S48" s="198"/>
      <c r="T48" s="198"/>
      <c r="U48" s="198"/>
    </row>
    <row r="49" spans="1:21" s="12" customFormat="1" x14ac:dyDescent="0.25">
      <c r="A49" s="214" t="s">
        <v>1727</v>
      </c>
      <c r="B49" s="64">
        <v>4.29</v>
      </c>
      <c r="C49" s="64">
        <v>3.19</v>
      </c>
      <c r="D49" s="64">
        <v>7.3</v>
      </c>
      <c r="E49" s="64">
        <v>3.44</v>
      </c>
      <c r="F49" s="64">
        <v>3.64</v>
      </c>
      <c r="G49" s="64">
        <v>32.1</v>
      </c>
      <c r="H49" s="64">
        <v>10.69</v>
      </c>
      <c r="I49" s="64">
        <v>1.1299999999999999</v>
      </c>
      <c r="J49" s="64">
        <v>1.72</v>
      </c>
      <c r="K49" s="64">
        <v>322.64999999999998</v>
      </c>
      <c r="L49" s="64">
        <v>26.57</v>
      </c>
      <c r="M49" s="64">
        <v>87.88</v>
      </c>
      <c r="N49" s="64">
        <v>291.89999999999998</v>
      </c>
      <c r="O49" s="64">
        <v>0</v>
      </c>
      <c r="P49" s="64">
        <v>0.36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14" t="s">
        <v>1728</v>
      </c>
      <c r="B50" s="64">
        <v>4.3</v>
      </c>
      <c r="C50" s="64">
        <v>3.18</v>
      </c>
      <c r="D50" s="64">
        <v>7.3</v>
      </c>
      <c r="E50" s="64">
        <v>3.47</v>
      </c>
      <c r="F50" s="64">
        <v>3.4</v>
      </c>
      <c r="G50" s="64">
        <v>35.89</v>
      </c>
      <c r="H50" s="64">
        <v>31.45</v>
      </c>
      <c r="I50" s="64">
        <v>1.1200000000000001</v>
      </c>
      <c r="J50" s="64">
        <v>1.37</v>
      </c>
      <c r="K50" s="64">
        <v>321.91000000000003</v>
      </c>
      <c r="L50" s="64">
        <v>28.04</v>
      </c>
      <c r="M50" s="64">
        <v>81.33</v>
      </c>
      <c r="N50" s="64">
        <v>406.5</v>
      </c>
      <c r="O50" s="64">
        <v>0</v>
      </c>
      <c r="P50" s="64">
        <v>0.37</v>
      </c>
      <c r="Q50" s="64">
        <v>9.52</v>
      </c>
      <c r="R50" s="198"/>
      <c r="S50" s="198"/>
      <c r="T50" s="198"/>
      <c r="U50" s="198"/>
    </row>
    <row r="51" spans="1:21" s="12" customFormat="1" x14ac:dyDescent="0.25">
      <c r="A51" s="214" t="s">
        <v>1729</v>
      </c>
      <c r="B51" s="64">
        <v>4.29</v>
      </c>
      <c r="C51" s="64">
        <v>3.13</v>
      </c>
      <c r="D51" s="64">
        <v>7.26</v>
      </c>
      <c r="E51" s="64">
        <v>3.36</v>
      </c>
      <c r="F51" s="64">
        <v>3.92</v>
      </c>
      <c r="G51" s="64">
        <v>37.200000000000003</v>
      </c>
      <c r="H51" s="64">
        <v>31.76</v>
      </c>
      <c r="I51" s="64">
        <v>1.1200000000000001</v>
      </c>
      <c r="J51" s="64">
        <v>1.47</v>
      </c>
      <c r="K51" s="64">
        <v>319.39999999999998</v>
      </c>
      <c r="L51" s="64">
        <v>28.47</v>
      </c>
      <c r="M51" s="64">
        <v>78.75</v>
      </c>
      <c r="N51" s="64">
        <v>297.89999999999998</v>
      </c>
      <c r="O51" s="64">
        <v>0</v>
      </c>
      <c r="P51" s="64">
        <v>0.38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4" t="s">
        <v>1730</v>
      </c>
      <c r="B52" s="64">
        <v>4.21</v>
      </c>
      <c r="C52" s="64">
        <v>3.06</v>
      </c>
      <c r="D52" s="64">
        <v>7.17</v>
      </c>
      <c r="E52" s="64">
        <v>3.33</v>
      </c>
      <c r="F52" s="64">
        <v>3.95</v>
      </c>
      <c r="G52" s="64">
        <v>37.200000000000003</v>
      </c>
      <c r="H52" s="64">
        <v>31.76</v>
      </c>
      <c r="I52" s="64">
        <v>1.1200000000000001</v>
      </c>
      <c r="J52" s="64">
        <v>1.04</v>
      </c>
      <c r="K52" s="64">
        <v>319.23</v>
      </c>
      <c r="L52" s="64">
        <v>28.2</v>
      </c>
      <c r="M52" s="64">
        <v>80.09</v>
      </c>
      <c r="N52" s="64">
        <v>275.89999999999998</v>
      </c>
      <c r="O52" s="64">
        <v>0</v>
      </c>
      <c r="P52" s="64">
        <v>0.38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4" t="s">
        <v>1731</v>
      </c>
      <c r="B53" s="64">
        <v>4.22</v>
      </c>
      <c r="C53" s="64">
        <v>3.12</v>
      </c>
      <c r="D53" s="64">
        <v>7.21</v>
      </c>
      <c r="E53" s="64">
        <v>3.47</v>
      </c>
      <c r="F53" s="64">
        <v>4.79</v>
      </c>
      <c r="G53" s="64">
        <v>37.200000000000003</v>
      </c>
      <c r="H53" s="64">
        <v>31.76</v>
      </c>
      <c r="I53" s="64">
        <v>1.1200000000000001</v>
      </c>
      <c r="J53" s="64">
        <v>0.88</v>
      </c>
      <c r="K53" s="64">
        <v>319.41000000000003</v>
      </c>
      <c r="L53" s="64">
        <v>28.91</v>
      </c>
      <c r="M53" s="64">
        <v>77.239999999999995</v>
      </c>
      <c r="N53" s="64">
        <v>499.1</v>
      </c>
      <c r="O53" s="64">
        <v>0</v>
      </c>
      <c r="P53" s="64">
        <v>0.39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4" t="s">
        <v>1732</v>
      </c>
      <c r="B54" s="64">
        <v>4.2300000000000004</v>
      </c>
      <c r="C54" s="64">
        <v>3.08</v>
      </c>
      <c r="D54" s="64">
        <v>7.19</v>
      </c>
      <c r="E54" s="64">
        <v>3.12</v>
      </c>
      <c r="F54" s="64">
        <v>4.1500000000000004</v>
      </c>
      <c r="G54" s="64">
        <v>38.31</v>
      </c>
      <c r="H54" s="64">
        <v>35.340000000000003</v>
      </c>
      <c r="I54" s="64">
        <v>1.1200000000000001</v>
      </c>
      <c r="J54" s="64">
        <v>1.35</v>
      </c>
      <c r="K54" s="64">
        <v>315.99</v>
      </c>
      <c r="L54" s="64">
        <v>29.67</v>
      </c>
      <c r="M54" s="64">
        <v>72.75</v>
      </c>
      <c r="N54" s="64">
        <v>405.6</v>
      </c>
      <c r="O54" s="64">
        <v>0</v>
      </c>
      <c r="P54" s="64">
        <v>0.4</v>
      </c>
      <c r="Q54" s="64">
        <v>9.58</v>
      </c>
      <c r="R54" s="198"/>
      <c r="S54" s="198"/>
      <c r="T54" s="198"/>
      <c r="U54" s="198"/>
    </row>
    <row r="55" spans="1:21" s="12" customFormat="1" x14ac:dyDescent="0.25">
      <c r="A55" s="214" t="s">
        <v>1733</v>
      </c>
      <c r="B55" s="64">
        <v>4.26</v>
      </c>
      <c r="C55" s="64">
        <v>3.24</v>
      </c>
      <c r="D55" s="64">
        <v>7.29</v>
      </c>
      <c r="E55" s="64">
        <v>3.36</v>
      </c>
      <c r="F55" s="64">
        <v>4.1500000000000004</v>
      </c>
      <c r="G55" s="64">
        <v>38.72</v>
      </c>
      <c r="H55" s="64">
        <v>35.42</v>
      </c>
      <c r="I55" s="64">
        <v>1.1200000000000001</v>
      </c>
      <c r="J55" s="64">
        <v>1.58</v>
      </c>
      <c r="K55" s="64">
        <v>316.94</v>
      </c>
      <c r="L55" s="64">
        <v>29.65</v>
      </c>
      <c r="M55" s="64">
        <v>73.819999999999993</v>
      </c>
      <c r="N55" s="64">
        <v>644.1</v>
      </c>
      <c r="O55" s="64">
        <v>0</v>
      </c>
      <c r="P55" s="64">
        <v>0.38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14" t="s">
        <v>1734</v>
      </c>
      <c r="B56" s="64">
        <v>4.22</v>
      </c>
      <c r="C56" s="64">
        <v>3.19</v>
      </c>
      <c r="D56" s="64">
        <v>7.24</v>
      </c>
      <c r="E56" s="64">
        <v>3.89</v>
      </c>
      <c r="F56" s="64">
        <v>5.32</v>
      </c>
      <c r="G56" s="64">
        <v>38.72</v>
      </c>
      <c r="H56" s="64">
        <v>35.42</v>
      </c>
      <c r="I56" s="64">
        <v>1.1000000000000001</v>
      </c>
      <c r="J56" s="64">
        <v>2.0299999999999998</v>
      </c>
      <c r="K56" s="64">
        <v>320.38</v>
      </c>
      <c r="L56" s="64">
        <v>30.67</v>
      </c>
      <c r="M56" s="64">
        <v>68.62</v>
      </c>
      <c r="N56" s="64">
        <v>649.5</v>
      </c>
      <c r="O56" s="64">
        <v>0</v>
      </c>
      <c r="P56" s="64">
        <v>0.39</v>
      </c>
      <c r="Q56" s="64">
        <v>9.59</v>
      </c>
      <c r="R56" s="198"/>
      <c r="S56" s="198"/>
      <c r="T56" s="198"/>
      <c r="U56" s="198"/>
    </row>
    <row r="57" spans="1:21" s="12" customFormat="1" x14ac:dyDescent="0.25">
      <c r="A57" s="214" t="s">
        <v>1735</v>
      </c>
      <c r="B57" s="64">
        <v>4.22</v>
      </c>
      <c r="C57" s="64">
        <v>3.11</v>
      </c>
      <c r="D57" s="64">
        <v>7.2</v>
      </c>
      <c r="E57" s="64">
        <v>4.42</v>
      </c>
      <c r="F57" s="64">
        <v>3.22</v>
      </c>
      <c r="G57" s="64">
        <v>38.72</v>
      </c>
      <c r="H57" s="64">
        <v>35.42</v>
      </c>
      <c r="I57" s="64">
        <v>1.07</v>
      </c>
      <c r="J57" s="64">
        <v>2.72</v>
      </c>
      <c r="K57" s="64">
        <v>323.33999999999997</v>
      </c>
      <c r="L57" s="64">
        <v>29.57</v>
      </c>
      <c r="M57" s="64">
        <v>71.760000000000005</v>
      </c>
      <c r="N57" s="64">
        <v>252.4</v>
      </c>
      <c r="O57" s="64">
        <v>0</v>
      </c>
      <c r="P57" s="64">
        <v>0.38</v>
      </c>
      <c r="Q57" s="64">
        <v>9.5500000000000007</v>
      </c>
      <c r="R57" s="198"/>
      <c r="S57" s="198"/>
      <c r="T57" s="198"/>
      <c r="U57" s="198"/>
    </row>
    <row r="58" spans="1:21" s="12" customFormat="1" x14ac:dyDescent="0.25">
      <c r="A58" s="214" t="s">
        <v>1736</v>
      </c>
      <c r="B58" s="64">
        <v>4.21</v>
      </c>
      <c r="C58" s="64">
        <v>3.14</v>
      </c>
      <c r="D58" s="64">
        <v>7.21</v>
      </c>
      <c r="E58" s="64">
        <v>3.96</v>
      </c>
      <c r="F58" s="64">
        <v>5.57</v>
      </c>
      <c r="G58" s="64">
        <v>37.479999999999997</v>
      </c>
      <c r="H58" s="64">
        <v>77.03</v>
      </c>
      <c r="I58" s="64">
        <v>1.04</v>
      </c>
      <c r="J58" s="64">
        <v>3.01</v>
      </c>
      <c r="K58" s="64">
        <v>325.8</v>
      </c>
      <c r="L58" s="64">
        <v>28.18</v>
      </c>
      <c r="M58" s="64">
        <v>76.27</v>
      </c>
      <c r="N58" s="64">
        <v>157.9</v>
      </c>
      <c r="O58" s="64">
        <v>0</v>
      </c>
      <c r="P58" s="64">
        <v>0.38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14" t="s">
        <v>1737</v>
      </c>
      <c r="B59" s="64">
        <v>4.22</v>
      </c>
      <c r="C59" s="64">
        <v>3.12</v>
      </c>
      <c r="D59" s="64">
        <v>7.2</v>
      </c>
      <c r="E59" s="64">
        <v>4.33</v>
      </c>
      <c r="F59" s="64">
        <v>3.89</v>
      </c>
      <c r="G59" s="64">
        <v>37.06</v>
      </c>
      <c r="H59" s="64">
        <v>77.66</v>
      </c>
      <c r="I59" s="64">
        <v>1</v>
      </c>
      <c r="J59" s="64">
        <v>2.96</v>
      </c>
      <c r="K59" s="64">
        <v>329.5</v>
      </c>
      <c r="L59" s="64">
        <v>27.9</v>
      </c>
      <c r="M59" s="64">
        <v>77.150000000000006</v>
      </c>
      <c r="N59" s="64">
        <v>194.3</v>
      </c>
      <c r="O59" s="64">
        <v>0</v>
      </c>
      <c r="P59" s="64">
        <v>0.39</v>
      </c>
      <c r="Q59" s="64">
        <v>9.5299999999999994</v>
      </c>
      <c r="R59" s="198"/>
      <c r="S59" s="198"/>
      <c r="T59" s="198"/>
      <c r="U59" s="198"/>
    </row>
    <row r="60" spans="1:21" s="12" customFormat="1" x14ac:dyDescent="0.25">
      <c r="A60" s="214" t="s">
        <v>1738</v>
      </c>
      <c r="B60" s="64">
        <v>4.2300000000000004</v>
      </c>
      <c r="C60" s="64">
        <v>3.15</v>
      </c>
      <c r="D60" s="64">
        <v>7.23</v>
      </c>
      <c r="E60" s="64">
        <v>4.32</v>
      </c>
      <c r="F60" s="64">
        <v>4.0199999999999996</v>
      </c>
      <c r="G60" s="64">
        <v>37.06</v>
      </c>
      <c r="H60" s="64">
        <v>77.66</v>
      </c>
      <c r="I60" s="64">
        <v>0.97</v>
      </c>
      <c r="J60" s="64">
        <v>3.09</v>
      </c>
      <c r="K60" s="64">
        <v>327.37</v>
      </c>
      <c r="L60" s="64">
        <v>26.66</v>
      </c>
      <c r="M60" s="64">
        <v>88.38</v>
      </c>
      <c r="N60" s="64">
        <v>119.8</v>
      </c>
      <c r="O60" s="64">
        <v>0</v>
      </c>
      <c r="P60" s="64">
        <v>0.37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4" t="s">
        <v>1739</v>
      </c>
      <c r="B61" s="64">
        <v>4.28</v>
      </c>
      <c r="C61" s="64">
        <v>3.19</v>
      </c>
      <c r="D61" s="64">
        <v>7.29</v>
      </c>
      <c r="E61" s="64">
        <v>4.24</v>
      </c>
      <c r="F61" s="64">
        <v>4.38</v>
      </c>
      <c r="G61" s="64">
        <v>37.06</v>
      </c>
      <c r="H61" s="64">
        <v>77.66</v>
      </c>
      <c r="I61" s="64">
        <v>0.95</v>
      </c>
      <c r="J61" s="64">
        <v>1.69</v>
      </c>
      <c r="K61" s="64">
        <v>323.7</v>
      </c>
      <c r="L61" s="64">
        <v>25.79</v>
      </c>
      <c r="M61" s="64">
        <v>94.06</v>
      </c>
      <c r="N61" s="64">
        <v>172.5</v>
      </c>
      <c r="O61" s="64">
        <v>0</v>
      </c>
      <c r="P61" s="64">
        <v>0.35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14" t="s">
        <v>1740</v>
      </c>
      <c r="B62" s="64">
        <v>4.29</v>
      </c>
      <c r="C62" s="64">
        <v>3.19</v>
      </c>
      <c r="D62" s="64">
        <v>7.3</v>
      </c>
      <c r="E62" s="64">
        <v>4.1900000000000004</v>
      </c>
      <c r="F62" s="64">
        <v>3.58</v>
      </c>
      <c r="G62" s="64">
        <v>36.520000000000003</v>
      </c>
      <c r="H62" s="64">
        <v>37.619999999999997</v>
      </c>
      <c r="I62" s="64">
        <v>0.93</v>
      </c>
      <c r="J62" s="64">
        <v>1.0900000000000001</v>
      </c>
      <c r="K62" s="64">
        <v>318.07</v>
      </c>
      <c r="L62" s="64">
        <v>26.72</v>
      </c>
      <c r="M62" s="64">
        <v>88.93</v>
      </c>
      <c r="N62" s="64">
        <v>179.1</v>
      </c>
      <c r="O62" s="64">
        <v>0</v>
      </c>
      <c r="P62" s="64">
        <v>0.39</v>
      </c>
      <c r="Q62" s="64">
        <v>9.52</v>
      </c>
      <c r="R62" s="198"/>
      <c r="S62" s="198"/>
      <c r="T62" s="198"/>
      <c r="U62" s="198"/>
    </row>
    <row r="63" spans="1:21" s="12" customFormat="1" x14ac:dyDescent="0.25">
      <c r="A63" s="214" t="s">
        <v>1741</v>
      </c>
      <c r="B63" s="64">
        <v>4.3</v>
      </c>
      <c r="C63" s="64">
        <v>3.18</v>
      </c>
      <c r="D63" s="64">
        <v>7.3</v>
      </c>
      <c r="E63" s="64">
        <v>4.45</v>
      </c>
      <c r="F63" s="64">
        <v>3.87</v>
      </c>
      <c r="G63" s="64">
        <v>36.32</v>
      </c>
      <c r="H63" s="64">
        <v>37.01</v>
      </c>
      <c r="I63" s="64">
        <v>0.92</v>
      </c>
      <c r="J63" s="64">
        <v>0.87</v>
      </c>
      <c r="K63" s="64">
        <v>318.06</v>
      </c>
      <c r="L63" s="64">
        <v>26.87</v>
      </c>
      <c r="M63" s="64">
        <v>88.4</v>
      </c>
      <c r="N63" s="64">
        <v>99.3</v>
      </c>
      <c r="O63" s="64">
        <v>0</v>
      </c>
      <c r="P63" s="64">
        <v>0.39</v>
      </c>
      <c r="Q63" s="64">
        <v>9.52</v>
      </c>
      <c r="R63" s="198"/>
      <c r="S63" s="198"/>
      <c r="T63" s="198"/>
      <c r="U63" s="198"/>
    </row>
    <row r="64" spans="1:21" s="12" customFormat="1" x14ac:dyDescent="0.25">
      <c r="A64" s="214" t="s">
        <v>1742</v>
      </c>
      <c r="B64" s="64">
        <v>4.3</v>
      </c>
      <c r="C64" s="64">
        <v>3.2</v>
      </c>
      <c r="D64" s="64">
        <v>7.31</v>
      </c>
      <c r="E64" s="64">
        <v>4.0999999999999996</v>
      </c>
      <c r="F64" s="64">
        <v>3.87</v>
      </c>
      <c r="G64" s="64">
        <v>36.32</v>
      </c>
      <c r="H64" s="64">
        <v>37.01</v>
      </c>
      <c r="I64" s="64">
        <v>0.93</v>
      </c>
      <c r="J64" s="64">
        <v>1.1200000000000001</v>
      </c>
      <c r="K64" s="64">
        <v>322</v>
      </c>
      <c r="L64" s="64">
        <v>26.62</v>
      </c>
      <c r="M64" s="64">
        <v>89.18</v>
      </c>
      <c r="N64" s="64">
        <v>88.4</v>
      </c>
      <c r="O64" s="64">
        <v>0</v>
      </c>
      <c r="P64" s="64">
        <v>0.39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4" t="s">
        <v>1743</v>
      </c>
      <c r="B65" s="64">
        <v>4.28</v>
      </c>
      <c r="C65" s="64">
        <v>3.15</v>
      </c>
      <c r="D65" s="64">
        <v>7.27</v>
      </c>
      <c r="E65" s="64">
        <v>4.1399999999999997</v>
      </c>
      <c r="F65" s="64">
        <v>3.55</v>
      </c>
      <c r="G65" s="64">
        <v>36.32</v>
      </c>
      <c r="H65" s="64">
        <v>37.01</v>
      </c>
      <c r="I65" s="64">
        <v>0.95</v>
      </c>
      <c r="J65" s="64">
        <v>1.44</v>
      </c>
      <c r="K65" s="64">
        <v>320.35000000000002</v>
      </c>
      <c r="L65" s="64">
        <v>26.47</v>
      </c>
      <c r="M65" s="64">
        <v>89.77</v>
      </c>
      <c r="N65" s="64">
        <v>95.2</v>
      </c>
      <c r="O65" s="64">
        <v>0</v>
      </c>
      <c r="P65" s="64">
        <v>0.41</v>
      </c>
      <c r="Q65" s="64">
        <v>9.56</v>
      </c>
      <c r="R65" s="198"/>
      <c r="S65" s="198"/>
      <c r="T65" s="198"/>
      <c r="U65" s="198"/>
    </row>
    <row r="66" spans="1:21" s="12" customFormat="1" x14ac:dyDescent="0.25">
      <c r="A66" s="214" t="s">
        <v>1744</v>
      </c>
      <c r="B66" s="64">
        <v>4.28</v>
      </c>
      <c r="C66" s="64">
        <v>3.12</v>
      </c>
      <c r="D66" s="64">
        <v>7.26</v>
      </c>
      <c r="E66" s="64">
        <v>4.2</v>
      </c>
      <c r="F66" s="64">
        <v>3.4</v>
      </c>
      <c r="G66" s="64">
        <v>39.6</v>
      </c>
      <c r="H66" s="64">
        <v>15.86</v>
      </c>
      <c r="I66" s="64">
        <v>1.05</v>
      </c>
      <c r="J66" s="64">
        <v>1.45</v>
      </c>
      <c r="K66" s="64">
        <v>321.48</v>
      </c>
      <c r="L66" s="64">
        <v>26.43</v>
      </c>
      <c r="M66" s="64">
        <v>89.09</v>
      </c>
      <c r="N66" s="64">
        <v>98.4</v>
      </c>
      <c r="O66" s="64">
        <v>0</v>
      </c>
      <c r="P66" s="64">
        <v>0.4</v>
      </c>
      <c r="Q66" s="64">
        <v>9.57</v>
      </c>
      <c r="R66" s="198"/>
      <c r="S66" s="198"/>
      <c r="T66" s="198"/>
      <c r="U66" s="198"/>
    </row>
    <row r="67" spans="1:21" s="12" customFormat="1" x14ac:dyDescent="0.25">
      <c r="A67" s="214" t="s">
        <v>1745</v>
      </c>
      <c r="B67" s="64">
        <v>4.2699999999999996</v>
      </c>
      <c r="C67" s="64">
        <v>3.12</v>
      </c>
      <c r="D67" s="64">
        <v>7.25</v>
      </c>
      <c r="E67" s="64">
        <v>3.86</v>
      </c>
      <c r="F67" s="64">
        <v>3.58</v>
      </c>
      <c r="G67" s="64">
        <v>40.729999999999997</v>
      </c>
      <c r="H67" s="64">
        <v>15.54</v>
      </c>
      <c r="I67" s="64">
        <v>1.04</v>
      </c>
      <c r="J67" s="64">
        <v>1.66</v>
      </c>
      <c r="K67" s="64">
        <v>324.61</v>
      </c>
      <c r="L67" s="64">
        <v>26.3</v>
      </c>
      <c r="M67" s="64">
        <v>86.24</v>
      </c>
      <c r="N67" s="64">
        <v>63.9</v>
      </c>
      <c r="O67" s="64">
        <v>0</v>
      </c>
      <c r="P67" s="64">
        <v>0.39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4" t="s">
        <v>1746</v>
      </c>
      <c r="B68" s="64">
        <v>4.25</v>
      </c>
      <c r="C68" s="64">
        <v>3.21</v>
      </c>
      <c r="D68" s="64">
        <v>7.28</v>
      </c>
      <c r="E68" s="64">
        <v>4.0199999999999996</v>
      </c>
      <c r="F68" s="64">
        <v>4.8</v>
      </c>
      <c r="G68" s="64">
        <v>40.729999999999997</v>
      </c>
      <c r="H68" s="64">
        <v>15.54</v>
      </c>
      <c r="I68" s="64">
        <v>1.02</v>
      </c>
      <c r="J68" s="64">
        <v>1.44</v>
      </c>
      <c r="K68" s="64">
        <v>320.93</v>
      </c>
      <c r="L68" s="64">
        <v>25.92</v>
      </c>
      <c r="M68" s="64">
        <v>86.92</v>
      </c>
      <c r="N68" s="64">
        <v>67.3</v>
      </c>
      <c r="O68" s="64">
        <v>0</v>
      </c>
      <c r="P68" s="64">
        <v>0.41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4" t="s">
        <v>1747</v>
      </c>
      <c r="B69" s="64">
        <v>4.24</v>
      </c>
      <c r="C69" s="64">
        <v>3.2</v>
      </c>
      <c r="D69" s="64">
        <v>7.26</v>
      </c>
      <c r="E69" s="64">
        <v>4.62</v>
      </c>
      <c r="F69" s="64">
        <v>2.34</v>
      </c>
      <c r="G69" s="64">
        <v>40.729999999999997</v>
      </c>
      <c r="H69" s="64">
        <v>15.54</v>
      </c>
      <c r="I69" s="64">
        <v>1.02</v>
      </c>
      <c r="J69" s="64">
        <v>1.36</v>
      </c>
      <c r="K69" s="64">
        <v>326.48</v>
      </c>
      <c r="L69" s="64">
        <v>25.86</v>
      </c>
      <c r="M69" s="64">
        <v>88.19</v>
      </c>
      <c r="N69" s="64">
        <v>69.400000000000006</v>
      </c>
      <c r="O69" s="64">
        <v>0</v>
      </c>
      <c r="P69" s="64">
        <v>0.4</v>
      </c>
      <c r="Q69" s="64">
        <v>9.59</v>
      </c>
      <c r="R69" s="198"/>
      <c r="S69" s="198"/>
      <c r="T69" s="198"/>
      <c r="U69" s="198"/>
    </row>
    <row r="70" spans="1:21" s="12" customFormat="1" x14ac:dyDescent="0.25">
      <c r="A70" s="214" t="s">
        <v>1748</v>
      </c>
      <c r="B70" s="64">
        <v>4.24</v>
      </c>
      <c r="C70" s="64">
        <v>3.18</v>
      </c>
      <c r="D70" s="64">
        <v>7.25</v>
      </c>
      <c r="E70" s="64">
        <v>4.57</v>
      </c>
      <c r="F70" s="64">
        <v>4.5199999999999996</v>
      </c>
      <c r="G70" s="64">
        <v>40.4</v>
      </c>
      <c r="H70" s="64">
        <v>11.6</v>
      </c>
      <c r="I70" s="64">
        <v>0.97</v>
      </c>
      <c r="J70" s="64">
        <v>1.38</v>
      </c>
      <c r="K70" s="64">
        <v>318.16000000000003</v>
      </c>
      <c r="L70" s="64">
        <v>25.96</v>
      </c>
      <c r="M70" s="64">
        <v>88.81</v>
      </c>
      <c r="N70" s="64">
        <v>84.1</v>
      </c>
      <c r="O70" s="64">
        <v>0</v>
      </c>
      <c r="P70" s="64">
        <v>0.41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4" t="s">
        <v>1749</v>
      </c>
      <c r="B71" s="64">
        <v>4.2300000000000004</v>
      </c>
      <c r="C71" s="64">
        <v>3.16</v>
      </c>
      <c r="D71" s="64">
        <v>7.23</v>
      </c>
      <c r="E71" s="64">
        <v>4.49</v>
      </c>
      <c r="F71" s="64">
        <v>3.39</v>
      </c>
      <c r="G71" s="64">
        <v>40.29</v>
      </c>
      <c r="H71" s="64">
        <v>11.51</v>
      </c>
      <c r="I71" s="64">
        <v>0.98</v>
      </c>
      <c r="J71" s="64">
        <v>1.67</v>
      </c>
      <c r="K71" s="64">
        <v>319.83999999999997</v>
      </c>
      <c r="L71" s="64">
        <v>26.05</v>
      </c>
      <c r="M71" s="64">
        <v>88.9</v>
      </c>
      <c r="N71" s="64">
        <v>88</v>
      </c>
      <c r="O71" s="64">
        <v>0</v>
      </c>
      <c r="P71" s="64">
        <v>0.42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1750</v>
      </c>
      <c r="B72" s="64">
        <v>4.25</v>
      </c>
      <c r="C72" s="64">
        <v>3.16</v>
      </c>
      <c r="D72" s="64">
        <v>7.25</v>
      </c>
      <c r="E72" s="64">
        <v>5.48</v>
      </c>
      <c r="F72" s="64">
        <v>2.84</v>
      </c>
      <c r="G72" s="64">
        <v>40.29</v>
      </c>
      <c r="H72" s="64">
        <v>11.51</v>
      </c>
      <c r="I72" s="64">
        <v>1.05</v>
      </c>
      <c r="J72" s="64">
        <v>1.1399999999999999</v>
      </c>
      <c r="K72" s="64">
        <v>327.56</v>
      </c>
      <c r="L72" s="64">
        <v>26.29</v>
      </c>
      <c r="M72" s="64">
        <v>88.72</v>
      </c>
      <c r="N72" s="64">
        <v>82.4</v>
      </c>
      <c r="O72" s="64">
        <v>0</v>
      </c>
      <c r="P72" s="64">
        <v>0.4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4" t="s">
        <v>1751</v>
      </c>
      <c r="B73" s="64">
        <v>4.2300000000000004</v>
      </c>
      <c r="C73" s="64">
        <v>3.15</v>
      </c>
      <c r="D73" s="64">
        <v>7.23</v>
      </c>
      <c r="E73" s="64">
        <v>4.84</v>
      </c>
      <c r="F73" s="64">
        <v>4.8600000000000003</v>
      </c>
      <c r="G73" s="64">
        <v>40.29</v>
      </c>
      <c r="H73" s="64">
        <v>11.51</v>
      </c>
      <c r="I73" s="64">
        <v>1.0900000000000001</v>
      </c>
      <c r="J73" s="64">
        <v>1.03</v>
      </c>
      <c r="K73" s="64">
        <v>316.37</v>
      </c>
      <c r="L73" s="64">
        <v>26.38</v>
      </c>
      <c r="M73" s="64">
        <v>88.81</v>
      </c>
      <c r="N73" s="64">
        <v>105.2</v>
      </c>
      <c r="O73" s="64">
        <v>0</v>
      </c>
      <c r="P73" s="64">
        <v>0.42</v>
      </c>
      <c r="Q73" s="64">
        <v>9.66</v>
      </c>
      <c r="R73" s="198"/>
      <c r="S73" s="198"/>
      <c r="T73" s="198"/>
      <c r="U73" s="198"/>
    </row>
    <row r="74" spans="1:21" s="12" customFormat="1" x14ac:dyDescent="0.25">
      <c r="A74" s="214" t="s">
        <v>1752</v>
      </c>
      <c r="B74" s="64">
        <v>4.21</v>
      </c>
      <c r="C74" s="64">
        <v>3.14</v>
      </c>
      <c r="D74" s="64">
        <v>7.21</v>
      </c>
      <c r="E74" s="64">
        <v>4.78</v>
      </c>
      <c r="F74" s="64">
        <v>2.31</v>
      </c>
      <c r="G74" s="64">
        <v>40.99</v>
      </c>
      <c r="H74" s="64">
        <v>5.39</v>
      </c>
      <c r="I74" s="64">
        <v>1.05</v>
      </c>
      <c r="J74" s="64">
        <v>0.86</v>
      </c>
      <c r="K74" s="64">
        <v>321.51</v>
      </c>
      <c r="L74" s="64">
        <v>26.77</v>
      </c>
      <c r="M74" s="64">
        <v>86.95</v>
      </c>
      <c r="N74" s="64">
        <v>106.6</v>
      </c>
      <c r="O74" s="64">
        <v>0</v>
      </c>
      <c r="P74" s="64">
        <v>0.41</v>
      </c>
      <c r="Q74" s="64">
        <v>9.64</v>
      </c>
      <c r="R74" s="198"/>
      <c r="S74" s="198"/>
      <c r="T74" s="198"/>
      <c r="U74" s="198"/>
    </row>
    <row r="75" spans="1:21" s="12" customFormat="1" x14ac:dyDescent="0.25">
      <c r="A75" s="214" t="s">
        <v>1753</v>
      </c>
      <c r="B75" s="64">
        <v>4.22</v>
      </c>
      <c r="C75" s="64">
        <v>3.19</v>
      </c>
      <c r="D75" s="64">
        <v>7.24</v>
      </c>
      <c r="E75" s="64">
        <v>4.9400000000000004</v>
      </c>
      <c r="F75" s="64">
        <v>4.26</v>
      </c>
      <c r="G75" s="64">
        <v>41.23</v>
      </c>
      <c r="H75" s="64">
        <v>5.3</v>
      </c>
      <c r="I75" s="64">
        <v>1.02</v>
      </c>
      <c r="J75" s="64">
        <v>0.61</v>
      </c>
      <c r="K75" s="64">
        <v>333.43</v>
      </c>
      <c r="L75" s="64">
        <v>26.72</v>
      </c>
      <c r="M75" s="64">
        <v>88.27</v>
      </c>
      <c r="N75" s="64">
        <v>76</v>
      </c>
      <c r="O75" s="64">
        <v>0</v>
      </c>
      <c r="P75" s="64">
        <v>0.41</v>
      </c>
      <c r="Q75" s="64">
        <v>9.66</v>
      </c>
      <c r="R75" s="198"/>
      <c r="S75" s="198"/>
      <c r="T75" s="198"/>
      <c r="U75" s="198"/>
    </row>
    <row r="76" spans="1:21" s="12" customFormat="1" x14ac:dyDescent="0.25">
      <c r="A76" s="214" t="s">
        <v>1754</v>
      </c>
      <c r="B76" s="64">
        <v>4.24</v>
      </c>
      <c r="C76" s="64">
        <v>3.15</v>
      </c>
      <c r="D76" s="64">
        <v>7.24</v>
      </c>
      <c r="E76" s="64">
        <v>5.01</v>
      </c>
      <c r="F76" s="64">
        <v>3.87</v>
      </c>
      <c r="G76" s="64">
        <v>41.23</v>
      </c>
      <c r="H76" s="64">
        <v>5.3</v>
      </c>
      <c r="I76" s="64">
        <v>1.04</v>
      </c>
      <c r="J76" s="64">
        <v>0.8</v>
      </c>
      <c r="K76" s="64">
        <v>327.33999999999997</v>
      </c>
      <c r="L76" s="64">
        <v>26.61</v>
      </c>
      <c r="M76" s="64">
        <v>89.97</v>
      </c>
      <c r="N76" s="64">
        <v>84.8</v>
      </c>
      <c r="O76" s="64">
        <v>0</v>
      </c>
      <c r="P76" s="64">
        <v>0.43</v>
      </c>
      <c r="Q76" s="64">
        <v>9.64</v>
      </c>
      <c r="R76" s="198"/>
      <c r="S76" s="198"/>
      <c r="T76" s="198"/>
      <c r="U76" s="198"/>
    </row>
    <row r="77" spans="1:21" s="12" customFormat="1" x14ac:dyDescent="0.25">
      <c r="A77" s="214" t="s">
        <v>1755</v>
      </c>
      <c r="B77" s="64">
        <v>4.26</v>
      </c>
      <c r="C77" s="64">
        <v>3.18</v>
      </c>
      <c r="D77" s="64">
        <v>7.26</v>
      </c>
      <c r="E77" s="64">
        <v>5.19</v>
      </c>
      <c r="F77" s="64">
        <v>3.48</v>
      </c>
      <c r="G77" s="64">
        <v>41.23</v>
      </c>
      <c r="H77" s="64">
        <v>5.3</v>
      </c>
      <c r="I77" s="64">
        <v>1.06</v>
      </c>
      <c r="J77" s="64">
        <v>0.88</v>
      </c>
      <c r="K77" s="64">
        <v>326.05</v>
      </c>
      <c r="L77" s="64">
        <v>26.71</v>
      </c>
      <c r="M77" s="64">
        <v>88.83</v>
      </c>
      <c r="N77" s="64">
        <v>78.7</v>
      </c>
      <c r="O77" s="64">
        <v>0</v>
      </c>
      <c r="P77" s="64">
        <v>0.42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4" t="s">
        <v>1756</v>
      </c>
      <c r="B78" s="64">
        <v>4.29</v>
      </c>
      <c r="C78" s="64">
        <v>3.24</v>
      </c>
      <c r="D78" s="64">
        <v>7.32</v>
      </c>
      <c r="E78" s="64">
        <v>4.8899999999999997</v>
      </c>
      <c r="F78" s="64">
        <v>3.72</v>
      </c>
      <c r="G78" s="64">
        <v>42.28</v>
      </c>
      <c r="H78" s="64">
        <v>2.58</v>
      </c>
      <c r="I78" s="64">
        <v>1.08</v>
      </c>
      <c r="J78" s="64">
        <v>1.29</v>
      </c>
      <c r="K78" s="64">
        <v>321.23</v>
      </c>
      <c r="L78" s="64">
        <v>26.5</v>
      </c>
      <c r="M78" s="64">
        <v>85.81</v>
      </c>
      <c r="N78" s="64">
        <v>61.7</v>
      </c>
      <c r="O78" s="64">
        <v>0</v>
      </c>
      <c r="P78" s="64">
        <v>0.42</v>
      </c>
      <c r="Q78" s="64">
        <v>9.59</v>
      </c>
      <c r="R78" s="198"/>
      <c r="S78" s="198"/>
      <c r="T78" s="198"/>
      <c r="U78" s="198"/>
    </row>
    <row r="79" spans="1:21" s="12" customFormat="1" x14ac:dyDescent="0.25">
      <c r="A79" s="214" t="s">
        <v>1757</v>
      </c>
      <c r="B79" s="64">
        <v>4.29</v>
      </c>
      <c r="C79" s="64">
        <v>3.19</v>
      </c>
      <c r="D79" s="64">
        <v>7.29</v>
      </c>
      <c r="E79" s="64">
        <v>4.95</v>
      </c>
      <c r="F79" s="64">
        <v>3.74</v>
      </c>
      <c r="G79" s="64">
        <v>42.65</v>
      </c>
      <c r="H79" s="64">
        <v>2.54</v>
      </c>
      <c r="I79" s="64">
        <v>1.08</v>
      </c>
      <c r="J79" s="64">
        <v>1.42</v>
      </c>
      <c r="K79" s="64">
        <v>318.89999999999998</v>
      </c>
      <c r="L79" s="64">
        <v>26.14</v>
      </c>
      <c r="M79" s="64">
        <v>83.06</v>
      </c>
      <c r="N79" s="64">
        <v>40.5</v>
      </c>
      <c r="O79" s="64">
        <v>0</v>
      </c>
      <c r="P79" s="64">
        <v>0.42</v>
      </c>
      <c r="Q79" s="64">
        <v>9.59</v>
      </c>
      <c r="R79" s="198"/>
      <c r="S79" s="198"/>
      <c r="T79" s="198"/>
      <c r="U79" s="198"/>
    </row>
    <row r="80" spans="1:21" s="12" customFormat="1" x14ac:dyDescent="0.25">
      <c r="A80" s="214" t="s">
        <v>1758</v>
      </c>
      <c r="B80" s="64">
        <v>4.2699999999999996</v>
      </c>
      <c r="C80" s="64">
        <v>3.15</v>
      </c>
      <c r="D80" s="64">
        <v>7.26</v>
      </c>
      <c r="E80" s="64">
        <v>4.87</v>
      </c>
      <c r="F80" s="64">
        <v>4.0599999999999996</v>
      </c>
      <c r="G80" s="64">
        <v>42.65</v>
      </c>
      <c r="H80" s="64">
        <v>2.54</v>
      </c>
      <c r="I80" s="64">
        <v>1.05</v>
      </c>
      <c r="J80" s="64">
        <v>0.79</v>
      </c>
      <c r="K80" s="64">
        <v>335.81</v>
      </c>
      <c r="L80" s="64">
        <v>25.93</v>
      </c>
      <c r="M80" s="64">
        <v>85.01</v>
      </c>
      <c r="N80" s="64">
        <v>29.6</v>
      </c>
      <c r="O80" s="64">
        <v>0</v>
      </c>
      <c r="P80" s="64">
        <v>0.41</v>
      </c>
      <c r="Q80" s="64">
        <v>9.59</v>
      </c>
      <c r="R80" s="198"/>
      <c r="S80" s="198"/>
      <c r="T80" s="198"/>
      <c r="U80" s="198"/>
    </row>
    <row r="81" spans="1:26" s="12" customFormat="1" x14ac:dyDescent="0.25">
      <c r="A81" s="214" t="s">
        <v>1759</v>
      </c>
      <c r="B81" s="64">
        <v>4.2699999999999996</v>
      </c>
      <c r="C81" s="64">
        <v>3.14</v>
      </c>
      <c r="D81" s="64">
        <v>7.26</v>
      </c>
      <c r="E81" s="64">
        <v>4.91</v>
      </c>
      <c r="F81" s="64">
        <v>4.45</v>
      </c>
      <c r="G81" s="64">
        <v>42.65</v>
      </c>
      <c r="H81" s="64">
        <v>2.54</v>
      </c>
      <c r="I81" s="64">
        <v>1.02</v>
      </c>
      <c r="J81" s="64">
        <v>1.24</v>
      </c>
      <c r="K81" s="64">
        <v>322.48</v>
      </c>
      <c r="L81" s="64">
        <v>25.7</v>
      </c>
      <c r="M81" s="64">
        <v>84.99</v>
      </c>
      <c r="N81" s="64">
        <v>27.1</v>
      </c>
      <c r="O81" s="64">
        <v>0</v>
      </c>
      <c r="P81" s="64">
        <v>0.41</v>
      </c>
      <c r="Q81" s="64">
        <v>9.59</v>
      </c>
      <c r="R81" s="198"/>
      <c r="S81" s="198"/>
      <c r="T81" s="198"/>
      <c r="U81" s="198"/>
    </row>
    <row r="82" spans="1:26" s="12" customFormat="1" x14ac:dyDescent="0.25">
      <c r="A82" s="214" t="s">
        <v>1760</v>
      </c>
      <c r="B82" s="64">
        <v>4.2699999999999996</v>
      </c>
      <c r="C82" s="64">
        <v>3.1</v>
      </c>
      <c r="D82" s="64">
        <v>7.23</v>
      </c>
      <c r="E82" s="64">
        <v>4.83</v>
      </c>
      <c r="F82" s="64">
        <v>4.1399999999999997</v>
      </c>
      <c r="G82" s="64">
        <v>41.86</v>
      </c>
      <c r="H82" s="64">
        <v>1.29</v>
      </c>
      <c r="I82" s="64">
        <v>1.01</v>
      </c>
      <c r="J82" s="64">
        <v>1.1200000000000001</v>
      </c>
      <c r="K82" s="64">
        <v>320.44</v>
      </c>
      <c r="L82" s="64">
        <v>25.35</v>
      </c>
      <c r="M82" s="64">
        <v>85.9</v>
      </c>
      <c r="N82" s="64">
        <v>26.6</v>
      </c>
      <c r="O82" s="64">
        <v>0</v>
      </c>
      <c r="P82" s="64">
        <v>0.41</v>
      </c>
      <c r="Q82" s="64">
        <v>9.58</v>
      </c>
      <c r="R82" s="198"/>
      <c r="S82" s="198"/>
      <c r="T82" s="198"/>
      <c r="U82" s="198"/>
    </row>
    <row r="83" spans="1:26" s="12" customFormat="1" x14ac:dyDescent="0.25">
      <c r="A83" s="214" t="s">
        <v>1761</v>
      </c>
      <c r="B83" s="64">
        <v>4.28</v>
      </c>
      <c r="C83" s="64">
        <v>3.17</v>
      </c>
      <c r="D83" s="64">
        <v>7.27</v>
      </c>
      <c r="E83" s="64">
        <v>4.76</v>
      </c>
      <c r="F83" s="64">
        <v>3.94</v>
      </c>
      <c r="G83" s="64">
        <v>41.6</v>
      </c>
      <c r="H83" s="64">
        <v>1.27</v>
      </c>
      <c r="I83" s="64">
        <v>1</v>
      </c>
      <c r="J83" s="64">
        <v>0.91</v>
      </c>
      <c r="K83" s="64">
        <v>330.04</v>
      </c>
      <c r="L83" s="64">
        <v>25.22</v>
      </c>
      <c r="M83" s="64">
        <v>87.69</v>
      </c>
      <c r="N83" s="64">
        <v>26.1</v>
      </c>
      <c r="O83" s="64">
        <v>0</v>
      </c>
      <c r="P83" s="64">
        <v>0.41</v>
      </c>
      <c r="Q83" s="64">
        <v>9.57</v>
      </c>
      <c r="R83" s="198"/>
      <c r="S83" s="198"/>
      <c r="T83" s="198"/>
      <c r="U83" s="198"/>
    </row>
    <row r="84" spans="1:26" s="12" customFormat="1" x14ac:dyDescent="0.25">
      <c r="A84" s="214" t="s">
        <v>1762</v>
      </c>
      <c r="B84" s="64">
        <v>4.2699999999999996</v>
      </c>
      <c r="C84" s="64">
        <v>3.1</v>
      </c>
      <c r="D84" s="64">
        <v>7.23</v>
      </c>
      <c r="E84" s="64">
        <v>4.66</v>
      </c>
      <c r="F84" s="64">
        <v>3.85</v>
      </c>
      <c r="G84" s="64">
        <v>41.6</v>
      </c>
      <c r="H84" s="64">
        <v>1.27</v>
      </c>
      <c r="I84" s="64">
        <v>1</v>
      </c>
      <c r="J84" s="64">
        <v>0.93</v>
      </c>
      <c r="K84" s="64">
        <v>331.94</v>
      </c>
      <c r="L84" s="64">
        <v>25.1</v>
      </c>
      <c r="M84" s="64">
        <v>89.63</v>
      </c>
      <c r="N84" s="64">
        <v>26.1</v>
      </c>
      <c r="O84" s="64">
        <v>0</v>
      </c>
      <c r="P84" s="64">
        <v>0.42</v>
      </c>
      <c r="Q84" s="64">
        <v>9.56</v>
      </c>
      <c r="R84" s="198"/>
      <c r="S84" s="198"/>
      <c r="T84" s="198"/>
      <c r="U84" s="198"/>
    </row>
    <row r="85" spans="1:26" s="12" customFormat="1" x14ac:dyDescent="0.25">
      <c r="A85" s="214" t="s">
        <v>1763</v>
      </c>
      <c r="B85" s="64">
        <v>4.25</v>
      </c>
      <c r="C85" s="64">
        <v>3.14</v>
      </c>
      <c r="D85" s="64">
        <v>7.23</v>
      </c>
      <c r="E85" s="64">
        <v>4.82</v>
      </c>
      <c r="F85" s="64">
        <v>4.03</v>
      </c>
      <c r="G85" s="64">
        <v>41.6</v>
      </c>
      <c r="H85" s="64">
        <v>1.27</v>
      </c>
      <c r="I85" s="64">
        <v>1.01</v>
      </c>
      <c r="J85" s="64">
        <v>1.36</v>
      </c>
      <c r="K85" s="64">
        <v>324.45999999999998</v>
      </c>
      <c r="L85" s="64">
        <v>25.02</v>
      </c>
      <c r="M85" s="64">
        <v>91.26</v>
      </c>
      <c r="N85" s="64">
        <v>26.1</v>
      </c>
      <c r="O85" s="64">
        <v>0</v>
      </c>
      <c r="P85" s="64">
        <v>0.41</v>
      </c>
      <c r="Q85" s="64">
        <v>9.5500000000000007</v>
      </c>
      <c r="R85" s="198"/>
      <c r="S85" s="198"/>
      <c r="T85" s="198"/>
      <c r="U85" s="198"/>
    </row>
    <row r="86" spans="1:26" s="12" customFormat="1" x14ac:dyDescent="0.25">
      <c r="A86" s="214" t="s">
        <v>1764</v>
      </c>
      <c r="B86" s="64">
        <v>4.22</v>
      </c>
      <c r="C86" s="64">
        <v>3.16</v>
      </c>
      <c r="D86" s="64">
        <v>7.22</v>
      </c>
      <c r="E86" s="64">
        <v>5.15</v>
      </c>
      <c r="F86" s="64">
        <v>4.7699999999999996</v>
      </c>
      <c r="G86" s="64">
        <v>40</v>
      </c>
      <c r="H86" s="64">
        <v>9.9499999999999993</v>
      </c>
      <c r="I86" s="64">
        <v>1.03</v>
      </c>
      <c r="J86" s="64">
        <v>1.26</v>
      </c>
      <c r="K86" s="64">
        <v>320</v>
      </c>
      <c r="L86" s="64">
        <v>24.94</v>
      </c>
      <c r="M86" s="64">
        <v>92.39</v>
      </c>
      <c r="N86" s="64">
        <v>26.1</v>
      </c>
      <c r="O86" s="64">
        <v>0</v>
      </c>
      <c r="P86" s="64">
        <v>0.43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4" t="s">
        <v>1765</v>
      </c>
      <c r="B87" s="64">
        <v>4.2</v>
      </c>
      <c r="C87" s="64">
        <v>3.17</v>
      </c>
      <c r="D87" s="64">
        <v>7.21</v>
      </c>
      <c r="E87" s="64">
        <v>4.84</v>
      </c>
      <c r="F87" s="64">
        <v>3.97</v>
      </c>
      <c r="G87" s="64">
        <v>39.450000000000003</v>
      </c>
      <c r="H87" s="64">
        <v>10.15</v>
      </c>
      <c r="I87" s="64">
        <v>1.03</v>
      </c>
      <c r="J87" s="64">
        <v>1.25</v>
      </c>
      <c r="K87" s="64">
        <v>324.18</v>
      </c>
      <c r="L87" s="64">
        <v>24.88</v>
      </c>
      <c r="M87" s="64">
        <v>92.36</v>
      </c>
      <c r="N87" s="64">
        <v>26.1</v>
      </c>
      <c r="O87" s="64">
        <v>0</v>
      </c>
      <c r="P87" s="64">
        <v>0.44</v>
      </c>
      <c r="Q87" s="64">
        <v>9.5500000000000007</v>
      </c>
      <c r="R87" s="198"/>
      <c r="S87" s="198"/>
      <c r="T87" s="198"/>
      <c r="U87" s="198"/>
    </row>
    <row r="88" spans="1:26" s="12" customFormat="1" x14ac:dyDescent="0.25">
      <c r="A88" s="214" t="s">
        <v>1766</v>
      </c>
      <c r="B88" s="64">
        <v>4.2300000000000004</v>
      </c>
      <c r="C88" s="64">
        <v>3.16</v>
      </c>
      <c r="D88" s="64">
        <v>7.23</v>
      </c>
      <c r="E88" s="64">
        <v>3.63</v>
      </c>
      <c r="F88" s="64">
        <v>4.49</v>
      </c>
      <c r="G88" s="64">
        <v>39.450000000000003</v>
      </c>
      <c r="H88" s="64">
        <v>10.15</v>
      </c>
      <c r="I88" s="64">
        <v>1.05</v>
      </c>
      <c r="J88" s="64">
        <v>1.2</v>
      </c>
      <c r="K88" s="64">
        <v>325.74</v>
      </c>
      <c r="L88" s="64">
        <v>24.77</v>
      </c>
      <c r="M88" s="64">
        <v>93.65</v>
      </c>
      <c r="N88" s="64">
        <v>26.1</v>
      </c>
      <c r="O88" s="64">
        <v>0</v>
      </c>
      <c r="P88" s="64">
        <v>0.43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14" t="s">
        <v>1767</v>
      </c>
      <c r="B89" s="64">
        <v>4.2300000000000004</v>
      </c>
      <c r="C89" s="64">
        <v>3.22</v>
      </c>
      <c r="D89" s="64">
        <v>7.26</v>
      </c>
      <c r="E89" s="64">
        <v>3.9</v>
      </c>
      <c r="F89" s="64">
        <v>4.33</v>
      </c>
      <c r="G89" s="64">
        <v>39.450000000000003</v>
      </c>
      <c r="H89" s="64">
        <v>10.15</v>
      </c>
      <c r="I89" s="64">
        <v>1.06</v>
      </c>
      <c r="J89" s="64">
        <v>1.8</v>
      </c>
      <c r="K89" s="64">
        <v>322.83</v>
      </c>
      <c r="L89" s="64">
        <v>24.63</v>
      </c>
      <c r="M89" s="64">
        <v>93.87</v>
      </c>
      <c r="N89" s="64">
        <v>26.1</v>
      </c>
      <c r="O89" s="64">
        <v>0</v>
      </c>
      <c r="P89" s="64">
        <v>0.43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14" t="s">
        <v>1768</v>
      </c>
      <c r="B90" s="64">
        <v>4.22</v>
      </c>
      <c r="C90" s="64">
        <v>3.16</v>
      </c>
      <c r="D90" s="64">
        <v>7.22</v>
      </c>
      <c r="E90" s="64">
        <v>4.09</v>
      </c>
      <c r="F90" s="64">
        <v>4.4800000000000004</v>
      </c>
      <c r="G90" s="64">
        <v>39.85</v>
      </c>
      <c r="H90" s="6" t="s">
        <v>42</v>
      </c>
      <c r="I90" s="64">
        <v>1.06</v>
      </c>
      <c r="J90" s="64">
        <v>1.7</v>
      </c>
      <c r="K90" s="64">
        <v>318.97000000000003</v>
      </c>
      <c r="L90" s="64">
        <v>24.68</v>
      </c>
      <c r="M90" s="64">
        <v>93.43</v>
      </c>
      <c r="N90" s="64">
        <v>26.1</v>
      </c>
      <c r="O90" s="64">
        <v>0</v>
      </c>
      <c r="P90" s="64">
        <v>0.43</v>
      </c>
      <c r="Q90" s="64">
        <v>9.5399999999999991</v>
      </c>
      <c r="R90" s="198"/>
      <c r="S90" s="198"/>
      <c r="T90" s="198"/>
      <c r="U90" s="198"/>
    </row>
    <row r="91" spans="1:26" s="12" customFormat="1" x14ac:dyDescent="0.25">
      <c r="A91" s="214" t="s">
        <v>1769</v>
      </c>
      <c r="B91" s="64">
        <v>4.21</v>
      </c>
      <c r="C91" s="64">
        <v>3.12</v>
      </c>
      <c r="D91" s="64">
        <v>7.19</v>
      </c>
      <c r="E91" s="64">
        <v>4.1100000000000003</v>
      </c>
      <c r="F91" s="64">
        <v>3.81</v>
      </c>
      <c r="G91" s="64">
        <v>39.979999999999997</v>
      </c>
      <c r="H91" s="6" t="s">
        <v>42</v>
      </c>
      <c r="I91" s="64">
        <v>1.05</v>
      </c>
      <c r="J91" s="64">
        <v>2.17</v>
      </c>
      <c r="K91" s="64">
        <v>318.52</v>
      </c>
      <c r="L91" s="64">
        <v>24.49</v>
      </c>
      <c r="M91" s="64">
        <v>93.99</v>
      </c>
      <c r="N91" s="64">
        <v>26.3</v>
      </c>
      <c r="O91" s="64">
        <v>0</v>
      </c>
      <c r="P91" s="64">
        <v>0.43</v>
      </c>
      <c r="Q91" s="64">
        <v>9.5299999999999994</v>
      </c>
      <c r="R91" s="198"/>
      <c r="S91" s="198"/>
      <c r="T91" s="198"/>
      <c r="U91" s="198"/>
    </row>
    <row r="92" spans="1:26" s="12" customFormat="1" x14ac:dyDescent="0.25">
      <c r="A92" s="214" t="s">
        <v>1770</v>
      </c>
      <c r="B92" s="64">
        <v>4.21</v>
      </c>
      <c r="C92" s="64">
        <v>3.12</v>
      </c>
      <c r="D92" s="64">
        <v>7.2</v>
      </c>
      <c r="E92" s="64">
        <v>4.1900000000000004</v>
      </c>
      <c r="F92" s="64">
        <v>4.5</v>
      </c>
      <c r="G92" s="64">
        <v>39.979999999999997</v>
      </c>
      <c r="H92" s="6" t="s">
        <v>42</v>
      </c>
      <c r="I92" s="64">
        <v>1.03</v>
      </c>
      <c r="J92" s="64">
        <v>1.96</v>
      </c>
      <c r="K92" s="64">
        <v>318.45</v>
      </c>
      <c r="L92" s="64">
        <v>24.36</v>
      </c>
      <c r="M92" s="64">
        <v>92.16</v>
      </c>
      <c r="N92" s="64">
        <v>26.2</v>
      </c>
      <c r="O92" s="64">
        <v>0</v>
      </c>
      <c r="P92" s="64">
        <v>0.41</v>
      </c>
      <c r="Q92" s="64">
        <v>9.52</v>
      </c>
      <c r="R92" s="198"/>
      <c r="S92" s="198"/>
      <c r="T92" s="198"/>
      <c r="U92" s="198"/>
    </row>
    <row r="93" spans="1:26" s="12" customFormat="1" x14ac:dyDescent="0.25">
      <c r="A93" s="214" t="s">
        <v>1771</v>
      </c>
      <c r="B93" s="64">
        <v>4.21</v>
      </c>
      <c r="C93" s="64">
        <v>3.11</v>
      </c>
      <c r="D93" s="64">
        <v>7.19</v>
      </c>
      <c r="E93" s="64">
        <v>3.93</v>
      </c>
      <c r="F93" s="64">
        <v>4.78</v>
      </c>
      <c r="G93" s="64">
        <v>39.979999999999997</v>
      </c>
      <c r="H93" s="6" t="s">
        <v>42</v>
      </c>
      <c r="I93" s="64">
        <v>1.04</v>
      </c>
      <c r="J93" s="64">
        <v>2.2200000000000002</v>
      </c>
      <c r="K93" s="64">
        <v>324.23</v>
      </c>
      <c r="L93" s="64">
        <v>24.16</v>
      </c>
      <c r="M93" s="64">
        <v>89.48</v>
      </c>
      <c r="N93" s="64">
        <v>26.4</v>
      </c>
      <c r="O93" s="64">
        <v>0</v>
      </c>
      <c r="P93" s="64">
        <v>0.42</v>
      </c>
      <c r="Q93" s="64">
        <v>9.5299999999999994</v>
      </c>
      <c r="R93" s="198"/>
      <c r="S93" s="198"/>
      <c r="T93" s="198"/>
      <c r="U93" s="198"/>
    </row>
    <row r="94" spans="1:26" s="12" customFormat="1" x14ac:dyDescent="0.25">
      <c r="A94" s="214" t="s">
        <v>1772</v>
      </c>
      <c r="B94" s="64">
        <v>4.22</v>
      </c>
      <c r="C94" s="64">
        <v>3.13</v>
      </c>
      <c r="D94" s="64">
        <v>7.21</v>
      </c>
      <c r="E94" s="64">
        <v>3.92</v>
      </c>
      <c r="F94" s="64">
        <v>4.09</v>
      </c>
      <c r="G94" s="64">
        <v>34.020000000000003</v>
      </c>
      <c r="H94" s="64">
        <v>30.97</v>
      </c>
      <c r="I94" s="64">
        <v>1</v>
      </c>
      <c r="J94" s="64">
        <v>2.09</v>
      </c>
      <c r="K94" s="64">
        <v>322.14999999999998</v>
      </c>
      <c r="L94" s="64">
        <v>23.96</v>
      </c>
      <c r="M94" s="64">
        <v>87.67</v>
      </c>
      <c r="N94" s="64">
        <v>26.5</v>
      </c>
      <c r="O94" s="64">
        <v>0</v>
      </c>
      <c r="P94" s="64">
        <v>0.41</v>
      </c>
      <c r="Q94" s="64">
        <v>9.5</v>
      </c>
      <c r="R94" s="198"/>
      <c r="S94" s="198"/>
      <c r="T94" s="198"/>
      <c r="U94" s="198"/>
    </row>
    <row r="95" spans="1:26" s="12" customFormat="1" x14ac:dyDescent="0.25">
      <c r="A95" s="214" t="s">
        <v>1773</v>
      </c>
      <c r="B95" s="64">
        <v>4.26</v>
      </c>
      <c r="C95" s="64">
        <v>3.16</v>
      </c>
      <c r="D95" s="64">
        <v>7.26</v>
      </c>
      <c r="E95" s="64">
        <v>3.67</v>
      </c>
      <c r="F95" s="64">
        <v>5.15</v>
      </c>
      <c r="G95" s="64">
        <v>31.98</v>
      </c>
      <c r="H95" s="64">
        <v>28.98</v>
      </c>
      <c r="I95" s="64">
        <v>0.93</v>
      </c>
      <c r="J95" s="64">
        <v>1.79</v>
      </c>
      <c r="K95" s="64">
        <v>324.02</v>
      </c>
      <c r="L95" s="64">
        <v>23.77</v>
      </c>
      <c r="M95" s="64">
        <v>88.61</v>
      </c>
      <c r="N95" s="64">
        <v>26.1</v>
      </c>
      <c r="O95" s="64">
        <v>0</v>
      </c>
      <c r="P95" s="64">
        <v>0.41</v>
      </c>
      <c r="Q95" s="64">
        <v>9.49</v>
      </c>
      <c r="R95" s="198"/>
      <c r="S95" s="198"/>
      <c r="T95" s="198"/>
      <c r="U95" s="198"/>
    </row>
    <row r="96" spans="1:26" s="12" customFormat="1" x14ac:dyDescent="0.25">
      <c r="A96" s="214" t="s">
        <v>1774</v>
      </c>
      <c r="B96" s="64">
        <v>4.28</v>
      </c>
      <c r="C96" s="64">
        <v>3.16</v>
      </c>
      <c r="D96" s="64">
        <v>7.28</v>
      </c>
      <c r="E96" s="64">
        <v>4.05</v>
      </c>
      <c r="F96" s="64">
        <v>4.41</v>
      </c>
      <c r="G96" s="64">
        <v>31.98</v>
      </c>
      <c r="H96" s="64">
        <v>28.98</v>
      </c>
      <c r="I96" s="64">
        <v>0.91</v>
      </c>
      <c r="J96" s="64">
        <v>1.59</v>
      </c>
      <c r="K96" s="64">
        <v>318.32</v>
      </c>
      <c r="L96" s="64">
        <v>23.55</v>
      </c>
      <c r="M96" s="64">
        <v>90.47</v>
      </c>
      <c r="N96" s="64">
        <v>26.3</v>
      </c>
      <c r="O96" s="64">
        <v>0</v>
      </c>
      <c r="P96" s="64">
        <v>0.41</v>
      </c>
      <c r="Q96" s="64">
        <v>9.5299999999999994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1775</v>
      </c>
      <c r="B97" s="64">
        <v>4.29</v>
      </c>
      <c r="C97" s="64">
        <v>3.21</v>
      </c>
      <c r="D97" s="64">
        <v>7.31</v>
      </c>
      <c r="E97" s="64">
        <v>3.96</v>
      </c>
      <c r="F97" s="64">
        <v>4.0199999999999996</v>
      </c>
      <c r="G97" s="64">
        <v>31.98</v>
      </c>
      <c r="H97" s="64">
        <v>28.98</v>
      </c>
      <c r="I97" s="64">
        <v>0.94</v>
      </c>
      <c r="J97" s="64">
        <v>1.28</v>
      </c>
      <c r="K97" s="64">
        <v>320.35000000000002</v>
      </c>
      <c r="L97" s="64">
        <v>23.37</v>
      </c>
      <c r="M97" s="64">
        <v>91.95</v>
      </c>
      <c r="N97" s="64">
        <v>26.2</v>
      </c>
      <c r="O97" s="64">
        <v>0</v>
      </c>
      <c r="P97" s="64">
        <v>0.4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14" t="s">
        <v>1776</v>
      </c>
      <c r="B98" s="64">
        <v>4.28</v>
      </c>
      <c r="C98" s="64">
        <v>3.2</v>
      </c>
      <c r="D98" s="64">
        <v>7.3</v>
      </c>
      <c r="E98" s="64">
        <v>4.3</v>
      </c>
      <c r="F98" s="64">
        <v>4.1100000000000003</v>
      </c>
      <c r="G98" s="64">
        <v>32.369999999999997</v>
      </c>
      <c r="H98" s="64">
        <v>1</v>
      </c>
      <c r="I98" s="64">
        <v>0.91</v>
      </c>
      <c r="J98" s="64">
        <v>1.43</v>
      </c>
      <c r="K98" s="64">
        <v>321.86</v>
      </c>
      <c r="L98" s="64">
        <v>23.26</v>
      </c>
      <c r="M98" s="64">
        <v>92.99</v>
      </c>
      <c r="N98" s="64">
        <v>26.1</v>
      </c>
      <c r="O98" s="64">
        <v>0</v>
      </c>
      <c r="P98" s="64">
        <v>0.39</v>
      </c>
      <c r="Q98" s="64">
        <v>9.52</v>
      </c>
      <c r="R98" s="198"/>
      <c r="S98" s="198"/>
      <c r="T98" s="198"/>
      <c r="U98" s="198"/>
    </row>
    <row r="99" spans="1:33" s="12" customFormat="1" x14ac:dyDescent="0.25">
      <c r="A99" s="214" t="s">
        <v>1777</v>
      </c>
      <c r="B99" s="64">
        <v>4.29</v>
      </c>
      <c r="C99" s="64">
        <v>3.25</v>
      </c>
      <c r="D99" s="64">
        <v>7.33</v>
      </c>
      <c r="E99" s="64">
        <v>4.07</v>
      </c>
      <c r="F99" s="64">
        <v>4.21</v>
      </c>
      <c r="G99" s="64">
        <v>32.51</v>
      </c>
      <c r="H99" s="64">
        <v>0.57999999999999996</v>
      </c>
      <c r="I99" s="64">
        <v>0.85</v>
      </c>
      <c r="J99" s="64">
        <v>0.9</v>
      </c>
      <c r="K99" s="64">
        <v>327.13</v>
      </c>
      <c r="L99" s="64">
        <v>23.22</v>
      </c>
      <c r="M99" s="64">
        <v>93.55</v>
      </c>
      <c r="N99" s="64">
        <v>26.1</v>
      </c>
      <c r="O99" s="64">
        <v>0</v>
      </c>
      <c r="P99" s="64">
        <v>0.39</v>
      </c>
      <c r="Q99" s="64">
        <v>9.51</v>
      </c>
      <c r="R99" s="198"/>
      <c r="S99" s="198"/>
      <c r="T99" s="198"/>
      <c r="U99" s="198"/>
    </row>
    <row r="100" spans="1:33" s="12" customFormat="1" x14ac:dyDescent="0.25">
      <c r="A100" s="214" t="s">
        <v>1778</v>
      </c>
      <c r="B100" s="64">
        <v>4.28</v>
      </c>
      <c r="C100" s="64">
        <v>3.26</v>
      </c>
      <c r="D100" s="64">
        <v>7.32</v>
      </c>
      <c r="E100" s="64">
        <v>4.1399999999999997</v>
      </c>
      <c r="F100" s="64">
        <v>4.1500000000000004</v>
      </c>
      <c r="G100" s="64">
        <v>32.51</v>
      </c>
      <c r="H100" s="64">
        <v>0.57999999999999996</v>
      </c>
      <c r="I100" s="64">
        <v>0.83</v>
      </c>
      <c r="J100" s="64">
        <v>1.1499999999999999</v>
      </c>
      <c r="K100" s="64">
        <v>322.39</v>
      </c>
      <c r="L100" s="64">
        <v>23.15</v>
      </c>
      <c r="M100" s="64">
        <v>94.54</v>
      </c>
      <c r="N100" s="64">
        <v>26.1</v>
      </c>
      <c r="O100" s="64">
        <v>0</v>
      </c>
      <c r="P100" s="64">
        <v>0.39</v>
      </c>
      <c r="Q100" s="64">
        <v>9.5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1779</v>
      </c>
      <c r="B101" s="64">
        <v>4.26</v>
      </c>
      <c r="C101" s="64">
        <v>3.18</v>
      </c>
      <c r="D101" s="64">
        <v>7.27</v>
      </c>
      <c r="E101" s="64">
        <v>3.92</v>
      </c>
      <c r="F101" s="64">
        <v>4.42</v>
      </c>
      <c r="G101" s="64">
        <v>32.51</v>
      </c>
      <c r="H101" s="64">
        <v>0.57999999999999996</v>
      </c>
      <c r="I101" s="64">
        <v>0.85</v>
      </c>
      <c r="J101" s="64">
        <v>0.84</v>
      </c>
      <c r="K101" s="64">
        <v>336.33</v>
      </c>
      <c r="L101" s="64">
        <v>23.03</v>
      </c>
      <c r="M101" s="64">
        <v>95.72</v>
      </c>
      <c r="N101" s="64">
        <v>26.1</v>
      </c>
      <c r="O101" s="64">
        <v>0</v>
      </c>
      <c r="P101" s="64">
        <v>0.38</v>
      </c>
      <c r="Q101" s="64">
        <v>9.52</v>
      </c>
      <c r="R101" s="198"/>
      <c r="S101" s="198"/>
      <c r="T101" s="198"/>
      <c r="U101" s="198"/>
    </row>
    <row r="102" spans="1:33" s="12" customFormat="1" x14ac:dyDescent="0.25">
      <c r="A102" s="214" t="s">
        <v>1780</v>
      </c>
      <c r="B102" s="64">
        <v>4.2</v>
      </c>
      <c r="C102" s="64">
        <v>3.13</v>
      </c>
      <c r="D102" s="64">
        <v>7.19</v>
      </c>
      <c r="E102" s="64">
        <v>3.91</v>
      </c>
      <c r="F102" s="64">
        <v>4.5</v>
      </c>
      <c r="G102" s="64">
        <v>27.53</v>
      </c>
      <c r="H102" s="64">
        <v>0.04</v>
      </c>
      <c r="I102" s="64">
        <v>0.83</v>
      </c>
      <c r="J102" s="64">
        <v>0.69</v>
      </c>
      <c r="K102" s="64">
        <v>342.23</v>
      </c>
      <c r="L102" s="64">
        <v>22.97</v>
      </c>
      <c r="M102" s="64">
        <v>96.24</v>
      </c>
      <c r="N102" s="64">
        <v>26.1</v>
      </c>
      <c r="O102" s="64">
        <v>0</v>
      </c>
      <c r="P102" s="64">
        <v>0.37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14" t="s">
        <v>1781</v>
      </c>
      <c r="B103" s="64">
        <v>4.2</v>
      </c>
      <c r="C103" s="64">
        <v>3.15</v>
      </c>
      <c r="D103" s="64">
        <v>7.2</v>
      </c>
      <c r="E103" s="64">
        <v>4.09</v>
      </c>
      <c r="F103" s="64">
        <v>5.5</v>
      </c>
      <c r="G103" s="64">
        <v>25.82</v>
      </c>
      <c r="H103" s="64">
        <v>0.02</v>
      </c>
      <c r="I103" s="64">
        <v>0.77</v>
      </c>
      <c r="J103" s="64">
        <v>0.83</v>
      </c>
      <c r="K103" s="64">
        <v>341.92</v>
      </c>
      <c r="L103" s="64">
        <v>22.93</v>
      </c>
      <c r="M103" s="64">
        <v>96.43</v>
      </c>
      <c r="N103" s="64">
        <v>26.1</v>
      </c>
      <c r="O103" s="64">
        <v>0</v>
      </c>
      <c r="P103" s="64">
        <v>0.35</v>
      </c>
      <c r="Q103" s="64">
        <v>9.52</v>
      </c>
      <c r="R103" s="198"/>
      <c r="S103" s="198"/>
      <c r="T103" s="198"/>
      <c r="U103" s="198"/>
    </row>
    <row r="104" spans="1:33" s="12" customFormat="1" x14ac:dyDescent="0.25">
      <c r="A104" s="214" t="s">
        <v>1782</v>
      </c>
      <c r="B104" s="64">
        <v>4.21</v>
      </c>
      <c r="C104" s="64">
        <v>3.12</v>
      </c>
      <c r="D104" s="64">
        <v>7.2</v>
      </c>
      <c r="E104" s="64">
        <v>2.95</v>
      </c>
      <c r="F104" s="64">
        <v>4.6900000000000004</v>
      </c>
      <c r="G104" s="64">
        <v>25.82</v>
      </c>
      <c r="H104" s="64">
        <v>0.02</v>
      </c>
      <c r="I104" s="64">
        <v>0.79</v>
      </c>
      <c r="J104" s="64">
        <v>0.71</v>
      </c>
      <c r="K104" s="64">
        <v>347.65</v>
      </c>
      <c r="L104" s="64">
        <v>22.96</v>
      </c>
      <c r="M104" s="64">
        <v>96.31</v>
      </c>
      <c r="N104" s="64">
        <v>26.1</v>
      </c>
      <c r="O104" s="64">
        <v>0</v>
      </c>
      <c r="P104" s="64">
        <v>0.33</v>
      </c>
      <c r="Q104" s="64">
        <v>9.5399999999999991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</v>
      </c>
      <c r="C106" s="67">
        <f>MIN(C9:C104)</f>
        <v>3.06</v>
      </c>
      <c r="D106" s="67">
        <f t="shared" ref="D106:Q106" si="0">MIN(D9:D104)</f>
        <v>7.17</v>
      </c>
      <c r="E106" s="67">
        <f t="shared" si="0"/>
        <v>2.95</v>
      </c>
      <c r="F106" s="67">
        <f t="shared" si="0"/>
        <v>2.31</v>
      </c>
      <c r="G106" s="67">
        <f t="shared" si="0"/>
        <v>24.4</v>
      </c>
      <c r="H106" s="67">
        <f t="shared" si="0"/>
        <v>0.02</v>
      </c>
      <c r="I106" s="67">
        <f t="shared" si="0"/>
        <v>0.77</v>
      </c>
      <c r="J106" s="67">
        <f t="shared" si="0"/>
        <v>0.5</v>
      </c>
      <c r="K106" s="67">
        <f t="shared" si="0"/>
        <v>313.83</v>
      </c>
      <c r="L106" s="67">
        <f t="shared" si="0"/>
        <v>22.93</v>
      </c>
      <c r="M106" s="67">
        <f t="shared" si="0"/>
        <v>68.62</v>
      </c>
      <c r="N106" s="67">
        <f t="shared" si="0"/>
        <v>25.8</v>
      </c>
      <c r="O106" s="67">
        <f t="shared" si="0"/>
        <v>0</v>
      </c>
      <c r="P106" s="67">
        <f t="shared" si="0"/>
        <v>0.26</v>
      </c>
      <c r="Q106" s="67">
        <f t="shared" si="0"/>
        <v>9.4700000000000006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4.3</v>
      </c>
      <c r="C107" s="66">
        <f t="shared" ref="C107:Q107" si="1">MAX(C9:C104)</f>
        <v>3.26</v>
      </c>
      <c r="D107" s="66">
        <f t="shared" si="1"/>
        <v>7.33</v>
      </c>
      <c r="E107" s="66">
        <f t="shared" si="1"/>
        <v>6.17</v>
      </c>
      <c r="F107" s="66">
        <f t="shared" si="1"/>
        <v>5.57</v>
      </c>
      <c r="G107" s="66">
        <f t="shared" si="1"/>
        <v>46.19</v>
      </c>
      <c r="H107" s="66">
        <f t="shared" si="1"/>
        <v>77.66</v>
      </c>
      <c r="I107" s="66">
        <f t="shared" si="1"/>
        <v>2.13</v>
      </c>
      <c r="J107" s="66">
        <f t="shared" si="1"/>
        <v>3.09</v>
      </c>
      <c r="K107" s="66">
        <f t="shared" si="1"/>
        <v>347.65</v>
      </c>
      <c r="L107" s="66">
        <f t="shared" si="1"/>
        <v>30.67</v>
      </c>
      <c r="M107" s="66">
        <f t="shared" si="1"/>
        <v>100.44</v>
      </c>
      <c r="N107" s="66">
        <f t="shared" si="1"/>
        <v>649.5</v>
      </c>
      <c r="O107" s="66">
        <f t="shared" si="1"/>
        <v>0</v>
      </c>
      <c r="P107" s="66">
        <f t="shared" si="1"/>
        <v>0.46</v>
      </c>
      <c r="Q107" s="66">
        <f t="shared" si="1"/>
        <v>9.7200000000000006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4.2492708333333322</v>
      </c>
      <c r="C108" s="67">
        <f t="shared" ref="C108:Q108" si="2">AVERAGE(C9:C104)</f>
        <v>3.1602083333333333</v>
      </c>
      <c r="D108" s="67">
        <f t="shared" si="2"/>
        <v>7.2482291666666709</v>
      </c>
      <c r="E108" s="67">
        <f t="shared" si="2"/>
        <v>4.3566666666666656</v>
      </c>
      <c r="F108" s="67">
        <f t="shared" si="2"/>
        <v>3.9007291666666664</v>
      </c>
      <c r="G108" s="67">
        <f t="shared" si="2"/>
        <v>34.780625000000001</v>
      </c>
      <c r="H108" s="67">
        <f t="shared" si="2"/>
        <v>17.730568181818175</v>
      </c>
      <c r="I108" s="67">
        <f t="shared" si="2"/>
        <v>1.1744791666666667</v>
      </c>
      <c r="J108" s="67">
        <f t="shared" si="2"/>
        <v>1.1481250000000001</v>
      </c>
      <c r="K108" s="67">
        <f t="shared" si="2"/>
        <v>326.47854166666667</v>
      </c>
      <c r="L108" s="67">
        <f t="shared" si="2"/>
        <v>25.27770833333334</v>
      </c>
      <c r="M108" s="67">
        <f t="shared" si="2"/>
        <v>90.696250000000006</v>
      </c>
      <c r="N108" s="67">
        <f t="shared" si="2"/>
        <v>90.069791666666731</v>
      </c>
      <c r="O108" s="67">
        <f t="shared" si="2"/>
        <v>0</v>
      </c>
      <c r="P108" s="67">
        <f t="shared" si="2"/>
        <v>0.36958333333333343</v>
      </c>
      <c r="Q108" s="67">
        <f t="shared" si="2"/>
        <v>9.5539583333333287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2.977971021267457E-2</v>
      </c>
      <c r="C109" s="67">
        <f t="shared" ref="C109:Q109" si="3">STDEV(C9:C104)</f>
        <v>3.9576153550143843E-2</v>
      </c>
      <c r="D109" s="67">
        <f t="shared" si="3"/>
        <v>3.8278612735866607E-2</v>
      </c>
      <c r="E109" s="67">
        <f t="shared" si="3"/>
        <v>0.76760415602763354</v>
      </c>
      <c r="F109" s="67">
        <f t="shared" si="3"/>
        <v>0.63698342503705296</v>
      </c>
      <c r="G109" s="67">
        <f t="shared" si="3"/>
        <v>5.774861823364092</v>
      </c>
      <c r="H109" s="67">
        <f t="shared" si="3"/>
        <v>18.676861051951921</v>
      </c>
      <c r="I109" s="67">
        <f t="shared" si="3"/>
        <v>0.25355937658887939</v>
      </c>
      <c r="J109" s="67">
        <f t="shared" si="3"/>
        <v>0.58894073064318264</v>
      </c>
      <c r="K109" s="67">
        <f t="shared" si="3"/>
        <v>7.8679413450261553</v>
      </c>
      <c r="L109" s="67">
        <f t="shared" si="3"/>
        <v>1.6393088910729656</v>
      </c>
      <c r="M109" s="67">
        <f t="shared" si="3"/>
        <v>6.4330106318483322</v>
      </c>
      <c r="N109" s="67">
        <f t="shared" si="3"/>
        <v>121.59269898423966</v>
      </c>
      <c r="O109" s="67">
        <f t="shared" si="3"/>
        <v>0</v>
      </c>
      <c r="P109" s="67">
        <f t="shared" si="3"/>
        <v>5.2853654291163572E-2</v>
      </c>
      <c r="Q109" s="67">
        <f t="shared" si="3"/>
        <v>4.865515965859657E-2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1783</v>
      </c>
      <c r="B9" s="64">
        <v>4.22</v>
      </c>
      <c r="C9" s="64">
        <v>3.15</v>
      </c>
      <c r="D9" s="64">
        <v>7.22</v>
      </c>
      <c r="E9" s="64">
        <v>3.18</v>
      </c>
      <c r="F9" s="64">
        <v>5.45</v>
      </c>
      <c r="G9" s="64">
        <v>25.82</v>
      </c>
      <c r="H9" s="64">
        <v>0.02</v>
      </c>
      <c r="I9" s="64">
        <v>0.8</v>
      </c>
      <c r="J9" s="64">
        <v>0.79</v>
      </c>
      <c r="K9" s="64">
        <v>342.52</v>
      </c>
      <c r="L9" s="64">
        <v>23.02</v>
      </c>
      <c r="M9" s="64">
        <v>95.96</v>
      </c>
      <c r="N9" s="64">
        <v>26.1</v>
      </c>
      <c r="O9" s="64">
        <v>0</v>
      </c>
      <c r="P9" s="64">
        <v>0.34</v>
      </c>
      <c r="Q9" s="64">
        <v>9.5399999999999991</v>
      </c>
      <c r="R9" s="198"/>
      <c r="S9" s="198"/>
      <c r="T9" s="198"/>
      <c r="U9" s="198"/>
    </row>
    <row r="10" spans="1:21" s="12" customFormat="1" x14ac:dyDescent="0.25">
      <c r="A10" s="214" t="s">
        <v>1784</v>
      </c>
      <c r="B10" s="64">
        <v>4.22</v>
      </c>
      <c r="C10" s="64">
        <v>3.15</v>
      </c>
      <c r="D10" s="64">
        <v>7.22</v>
      </c>
      <c r="E10" s="64">
        <v>2.91</v>
      </c>
      <c r="F10" s="64">
        <v>5.15</v>
      </c>
      <c r="G10" s="64">
        <v>23.63</v>
      </c>
      <c r="H10" s="212" t="s">
        <v>42</v>
      </c>
      <c r="I10" s="64">
        <v>0.74</v>
      </c>
      <c r="J10" s="64">
        <v>0.72</v>
      </c>
      <c r="K10" s="64">
        <v>339.48</v>
      </c>
      <c r="L10" s="64">
        <v>23.05</v>
      </c>
      <c r="M10" s="64">
        <v>95.65</v>
      </c>
      <c r="N10" s="64">
        <v>26.1</v>
      </c>
      <c r="O10" s="64">
        <v>0</v>
      </c>
      <c r="P10" s="64">
        <v>0.32</v>
      </c>
      <c r="Q10" s="64">
        <v>9.52</v>
      </c>
      <c r="R10" s="198"/>
      <c r="S10" s="198"/>
      <c r="T10" s="198"/>
      <c r="U10" s="198"/>
    </row>
    <row r="11" spans="1:21" s="12" customFormat="1" x14ac:dyDescent="0.25">
      <c r="A11" s="214" t="s">
        <v>1785</v>
      </c>
      <c r="B11" s="64">
        <v>4.21</v>
      </c>
      <c r="C11" s="64">
        <v>3.12</v>
      </c>
      <c r="D11" s="64">
        <v>7.2</v>
      </c>
      <c r="E11" s="64">
        <v>2.84</v>
      </c>
      <c r="F11" s="64">
        <v>4.6900000000000004</v>
      </c>
      <c r="G11" s="64">
        <v>22.88</v>
      </c>
      <c r="H11" s="212" t="s">
        <v>42</v>
      </c>
      <c r="I11" s="64">
        <v>0.7</v>
      </c>
      <c r="J11" s="64">
        <v>0.67</v>
      </c>
      <c r="K11" s="64">
        <v>342.49</v>
      </c>
      <c r="L11" s="64">
        <v>23.05</v>
      </c>
      <c r="M11" s="64">
        <v>95.56</v>
      </c>
      <c r="N11" s="64">
        <v>26.1</v>
      </c>
      <c r="O11" s="64">
        <v>0</v>
      </c>
      <c r="P11" s="64">
        <v>0.31</v>
      </c>
      <c r="Q11" s="64">
        <v>9.5299999999999994</v>
      </c>
      <c r="R11" s="198"/>
      <c r="S11" s="198"/>
      <c r="T11" s="198"/>
      <c r="U11" s="198"/>
    </row>
    <row r="12" spans="1:21" s="12" customFormat="1" x14ac:dyDescent="0.25">
      <c r="A12" s="214" t="s">
        <v>1786</v>
      </c>
      <c r="B12" s="64">
        <v>4.22</v>
      </c>
      <c r="C12" s="64">
        <v>3.09</v>
      </c>
      <c r="D12" s="64">
        <v>7.18</v>
      </c>
      <c r="E12" s="64">
        <v>3.4</v>
      </c>
      <c r="F12" s="64">
        <v>4.91</v>
      </c>
      <c r="G12" s="64">
        <v>22.88</v>
      </c>
      <c r="H12" s="212" t="s">
        <v>42</v>
      </c>
      <c r="I12" s="64">
        <v>0.72</v>
      </c>
      <c r="J12" s="64">
        <v>0.74</v>
      </c>
      <c r="K12" s="64">
        <v>351.41</v>
      </c>
      <c r="L12" s="64">
        <v>23.1</v>
      </c>
      <c r="M12" s="64">
        <v>95.23</v>
      </c>
      <c r="N12" s="64">
        <v>26.1</v>
      </c>
      <c r="O12" s="64">
        <v>0</v>
      </c>
      <c r="P12" s="64">
        <v>0.3</v>
      </c>
      <c r="Q12" s="64">
        <v>9.5399999999999991</v>
      </c>
      <c r="R12" s="198"/>
      <c r="S12" s="198"/>
      <c r="T12" s="198"/>
      <c r="U12" s="198"/>
    </row>
    <row r="13" spans="1:21" s="12" customFormat="1" x14ac:dyDescent="0.25">
      <c r="A13" s="214" t="s">
        <v>1787</v>
      </c>
      <c r="B13" s="64">
        <v>4.22</v>
      </c>
      <c r="C13" s="64">
        <v>3.07</v>
      </c>
      <c r="D13" s="64">
        <v>7.18</v>
      </c>
      <c r="E13" s="64">
        <v>3.27</v>
      </c>
      <c r="F13" s="64">
        <v>4.74</v>
      </c>
      <c r="G13" s="64">
        <v>22.88</v>
      </c>
      <c r="H13" s="212" t="s">
        <v>42</v>
      </c>
      <c r="I13" s="64">
        <v>0.74</v>
      </c>
      <c r="J13" s="64">
        <v>0.73</v>
      </c>
      <c r="K13" s="64">
        <v>342.22</v>
      </c>
      <c r="L13" s="64">
        <v>23.01</v>
      </c>
      <c r="M13" s="64">
        <v>95.52</v>
      </c>
      <c r="N13" s="64">
        <v>26.1</v>
      </c>
      <c r="O13" s="64">
        <v>0</v>
      </c>
      <c r="P13" s="64">
        <v>0.28999999999999998</v>
      </c>
      <c r="Q13" s="64">
        <v>9.5500000000000007</v>
      </c>
      <c r="R13" s="198"/>
      <c r="S13" s="198"/>
      <c r="T13" s="198"/>
      <c r="U13" s="198"/>
    </row>
    <row r="14" spans="1:21" s="12" customFormat="1" x14ac:dyDescent="0.25">
      <c r="A14" s="214" t="s">
        <v>1788</v>
      </c>
      <c r="B14" s="64">
        <v>4.22</v>
      </c>
      <c r="C14" s="64">
        <v>3.13</v>
      </c>
      <c r="D14" s="64">
        <v>7.21</v>
      </c>
      <c r="E14" s="64">
        <v>2.88</v>
      </c>
      <c r="F14" s="64">
        <v>4.42</v>
      </c>
      <c r="G14" s="64">
        <v>21.9</v>
      </c>
      <c r="H14" s="212" t="s">
        <v>42</v>
      </c>
      <c r="I14" s="64">
        <v>0.8</v>
      </c>
      <c r="J14" s="64">
        <v>0.69</v>
      </c>
      <c r="K14" s="64">
        <v>337.11</v>
      </c>
      <c r="L14" s="64">
        <v>23.12</v>
      </c>
      <c r="M14" s="64">
        <v>94.55</v>
      </c>
      <c r="N14" s="64">
        <v>26.1</v>
      </c>
      <c r="O14" s="64">
        <v>0</v>
      </c>
      <c r="P14" s="64">
        <v>0.28000000000000003</v>
      </c>
      <c r="Q14" s="64">
        <v>9.51</v>
      </c>
      <c r="R14" s="198"/>
      <c r="S14" s="198"/>
      <c r="T14" s="198"/>
      <c r="U14" s="198"/>
    </row>
    <row r="15" spans="1:21" s="12" customFormat="1" x14ac:dyDescent="0.25">
      <c r="A15" s="214" t="s">
        <v>1789</v>
      </c>
      <c r="B15" s="64">
        <v>4.26</v>
      </c>
      <c r="C15" s="64">
        <v>3.17</v>
      </c>
      <c r="D15" s="64">
        <v>7.26</v>
      </c>
      <c r="E15" s="64">
        <v>2.99</v>
      </c>
      <c r="F15" s="64">
        <v>4.99</v>
      </c>
      <c r="G15" s="64">
        <v>21.56</v>
      </c>
      <c r="H15" s="212" t="s">
        <v>42</v>
      </c>
      <c r="I15" s="64">
        <v>0.8</v>
      </c>
      <c r="J15" s="64">
        <v>0.7</v>
      </c>
      <c r="K15" s="64">
        <v>340.97</v>
      </c>
      <c r="L15" s="64">
        <v>23.26</v>
      </c>
      <c r="M15" s="64">
        <v>93.66</v>
      </c>
      <c r="N15" s="64">
        <v>26.1</v>
      </c>
      <c r="O15" s="64">
        <v>0</v>
      </c>
      <c r="P15" s="64">
        <v>0.28000000000000003</v>
      </c>
      <c r="Q15" s="64">
        <v>9.51</v>
      </c>
      <c r="R15" s="198"/>
      <c r="S15" s="198"/>
      <c r="T15" s="198"/>
      <c r="U15" s="198"/>
    </row>
    <row r="16" spans="1:21" s="12" customFormat="1" x14ac:dyDescent="0.25">
      <c r="A16" s="214" t="s">
        <v>1790</v>
      </c>
      <c r="B16" s="64">
        <v>4.2699999999999996</v>
      </c>
      <c r="C16" s="64">
        <v>3.14</v>
      </c>
      <c r="D16" s="64">
        <v>7.25</v>
      </c>
      <c r="E16" s="64">
        <v>2.61</v>
      </c>
      <c r="F16" s="64">
        <v>4.67</v>
      </c>
      <c r="G16" s="64">
        <v>21.56</v>
      </c>
      <c r="H16" s="212" t="s">
        <v>42</v>
      </c>
      <c r="I16" s="64">
        <v>0.75</v>
      </c>
      <c r="J16" s="64">
        <v>0.67</v>
      </c>
      <c r="K16" s="64">
        <v>346.39</v>
      </c>
      <c r="L16" s="64">
        <v>23.21</v>
      </c>
      <c r="M16" s="64">
        <v>93.94</v>
      </c>
      <c r="N16" s="64">
        <v>26.1</v>
      </c>
      <c r="O16" s="64">
        <v>0</v>
      </c>
      <c r="P16" s="64">
        <v>0.27</v>
      </c>
      <c r="Q16" s="64">
        <v>9.51</v>
      </c>
      <c r="R16" s="198"/>
      <c r="S16" s="198"/>
      <c r="T16" s="198"/>
      <c r="U16" s="198"/>
    </row>
    <row r="17" spans="1:21" s="12" customFormat="1" x14ac:dyDescent="0.25">
      <c r="A17" s="214" t="s">
        <v>1791</v>
      </c>
      <c r="B17" s="64">
        <v>4.25</v>
      </c>
      <c r="C17" s="64">
        <v>3.14</v>
      </c>
      <c r="D17" s="64">
        <v>7.24</v>
      </c>
      <c r="E17" s="64">
        <v>2.83</v>
      </c>
      <c r="F17" s="64">
        <v>5.15</v>
      </c>
      <c r="G17" s="64">
        <v>21.56</v>
      </c>
      <c r="H17" s="212" t="s">
        <v>42</v>
      </c>
      <c r="I17" s="64">
        <v>0.73</v>
      </c>
      <c r="J17" s="64">
        <v>0.61</v>
      </c>
      <c r="K17" s="64">
        <v>357</v>
      </c>
      <c r="L17" s="64">
        <v>23.24</v>
      </c>
      <c r="M17" s="64">
        <v>93.35</v>
      </c>
      <c r="N17" s="64">
        <v>26.1</v>
      </c>
      <c r="O17" s="64">
        <v>0</v>
      </c>
      <c r="P17" s="64">
        <v>0.27</v>
      </c>
      <c r="Q17" s="64">
        <v>9.51</v>
      </c>
      <c r="R17" s="198"/>
      <c r="S17" s="198"/>
      <c r="T17" s="198"/>
      <c r="U17" s="198"/>
    </row>
    <row r="18" spans="1:21" s="12" customFormat="1" x14ac:dyDescent="0.25">
      <c r="A18" s="214" t="s">
        <v>1792</v>
      </c>
      <c r="B18" s="64">
        <v>4.2699999999999996</v>
      </c>
      <c r="C18" s="64">
        <v>3.18</v>
      </c>
      <c r="D18" s="64">
        <v>7.27</v>
      </c>
      <c r="E18" s="64">
        <v>2.95</v>
      </c>
      <c r="F18" s="64">
        <v>5.18</v>
      </c>
      <c r="G18" s="64">
        <v>17.2</v>
      </c>
      <c r="H18" s="212" t="s">
        <v>42</v>
      </c>
      <c r="I18" s="64">
        <v>0.76</v>
      </c>
      <c r="J18" s="64">
        <v>0.68</v>
      </c>
      <c r="K18" s="64">
        <v>346.49</v>
      </c>
      <c r="L18" s="64">
        <v>23.16</v>
      </c>
      <c r="M18" s="64">
        <v>94.16</v>
      </c>
      <c r="N18" s="64">
        <v>26.4</v>
      </c>
      <c r="O18" s="64">
        <v>0</v>
      </c>
      <c r="P18" s="64">
        <v>0.26</v>
      </c>
      <c r="Q18" s="64">
        <v>9.5299999999999994</v>
      </c>
      <c r="R18" s="198"/>
      <c r="S18" s="198"/>
      <c r="T18" s="198"/>
      <c r="U18" s="198"/>
    </row>
    <row r="19" spans="1:21" s="12" customFormat="1" x14ac:dyDescent="0.25">
      <c r="A19" s="214" t="s">
        <v>1793</v>
      </c>
      <c r="B19" s="64">
        <v>4.26</v>
      </c>
      <c r="C19" s="64">
        <v>3.12</v>
      </c>
      <c r="D19" s="64">
        <v>7.23</v>
      </c>
      <c r="E19" s="64">
        <v>3.22</v>
      </c>
      <c r="F19" s="64">
        <v>4.75</v>
      </c>
      <c r="G19" s="64">
        <v>15.71</v>
      </c>
      <c r="H19" s="212" t="s">
        <v>42</v>
      </c>
      <c r="I19" s="64">
        <v>0.72</v>
      </c>
      <c r="J19" s="64">
        <v>0.64</v>
      </c>
      <c r="K19" s="64">
        <v>348.47</v>
      </c>
      <c r="L19" s="64">
        <v>22.82</v>
      </c>
      <c r="M19" s="64">
        <v>97.75</v>
      </c>
      <c r="N19" s="64">
        <v>25.3</v>
      </c>
      <c r="O19" s="64">
        <v>0</v>
      </c>
      <c r="P19" s="64">
        <v>0.26</v>
      </c>
      <c r="Q19" s="64">
        <v>9.51</v>
      </c>
      <c r="R19" s="198"/>
      <c r="S19" s="198"/>
      <c r="T19" s="198"/>
      <c r="U19" s="198"/>
    </row>
    <row r="20" spans="1:21" s="12" customFormat="1" x14ac:dyDescent="0.25">
      <c r="A20" s="214" t="s">
        <v>1794</v>
      </c>
      <c r="B20" s="64">
        <v>4.2699999999999996</v>
      </c>
      <c r="C20" s="64">
        <v>3.13</v>
      </c>
      <c r="D20" s="64">
        <v>7.25</v>
      </c>
      <c r="E20" s="64">
        <v>3.26</v>
      </c>
      <c r="F20" s="64">
        <v>4.5199999999999996</v>
      </c>
      <c r="G20" s="64">
        <v>15.71</v>
      </c>
      <c r="H20" s="212" t="s">
        <v>42</v>
      </c>
      <c r="I20" s="64">
        <v>0.66</v>
      </c>
      <c r="J20" s="64">
        <v>0.61</v>
      </c>
      <c r="K20" s="64">
        <v>346.37</v>
      </c>
      <c r="L20" s="64">
        <v>22.61</v>
      </c>
      <c r="M20" s="64">
        <v>99.46</v>
      </c>
      <c r="N20" s="64">
        <v>25.3</v>
      </c>
      <c r="O20" s="64">
        <v>0</v>
      </c>
      <c r="P20" s="64">
        <v>0.25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14" t="s">
        <v>1795</v>
      </c>
      <c r="B21" s="64">
        <v>4.2699999999999996</v>
      </c>
      <c r="C21" s="64">
        <v>3.14</v>
      </c>
      <c r="D21" s="64">
        <v>7.26</v>
      </c>
      <c r="E21" s="64">
        <v>3.23</v>
      </c>
      <c r="F21" s="64">
        <v>5.0199999999999996</v>
      </c>
      <c r="G21" s="64">
        <v>15.71</v>
      </c>
      <c r="H21" s="212" t="s">
        <v>42</v>
      </c>
      <c r="I21" s="64">
        <v>0.69</v>
      </c>
      <c r="J21" s="64">
        <v>0.72</v>
      </c>
      <c r="K21" s="64">
        <v>344.42</v>
      </c>
      <c r="L21" s="64">
        <v>22.48</v>
      </c>
      <c r="M21" s="64">
        <v>100.15</v>
      </c>
      <c r="N21" s="64">
        <v>25.7</v>
      </c>
      <c r="O21" s="64">
        <v>0</v>
      </c>
      <c r="P21" s="64">
        <v>0.25</v>
      </c>
      <c r="Q21" s="64">
        <v>9.49</v>
      </c>
      <c r="R21" s="198"/>
      <c r="S21" s="198"/>
      <c r="T21" s="198"/>
      <c r="U21" s="198"/>
    </row>
    <row r="22" spans="1:21" s="12" customFormat="1" x14ac:dyDescent="0.25">
      <c r="A22" s="214" t="s">
        <v>1796</v>
      </c>
      <c r="B22" s="64">
        <v>4.26</v>
      </c>
      <c r="C22" s="64">
        <v>3.14</v>
      </c>
      <c r="D22" s="64">
        <v>7.25</v>
      </c>
      <c r="E22" s="64">
        <v>3.24</v>
      </c>
      <c r="F22" s="64">
        <v>5.67</v>
      </c>
      <c r="G22" s="64">
        <v>18.28</v>
      </c>
      <c r="H22" s="212" t="s">
        <v>42</v>
      </c>
      <c r="I22" s="64">
        <v>0.75</v>
      </c>
      <c r="J22" s="64">
        <v>0.92</v>
      </c>
      <c r="K22" s="64">
        <v>323.27999999999997</v>
      </c>
      <c r="L22" s="64">
        <v>22.46</v>
      </c>
      <c r="M22" s="64">
        <v>100.29</v>
      </c>
      <c r="N22" s="64">
        <v>26.1</v>
      </c>
      <c r="O22" s="64">
        <v>0</v>
      </c>
      <c r="P22" s="64">
        <v>0.25</v>
      </c>
      <c r="Q22" s="64">
        <v>9.4700000000000006</v>
      </c>
      <c r="R22" s="198"/>
      <c r="S22" s="198"/>
      <c r="T22" s="198"/>
      <c r="U22" s="198"/>
    </row>
    <row r="23" spans="1:21" s="12" customFormat="1" x14ac:dyDescent="0.25">
      <c r="A23" s="214" t="s">
        <v>1797</v>
      </c>
      <c r="B23" s="64">
        <v>4.22</v>
      </c>
      <c r="C23" s="64">
        <v>3.09</v>
      </c>
      <c r="D23" s="64">
        <v>7.19</v>
      </c>
      <c r="E23" s="64">
        <v>3.64</v>
      </c>
      <c r="F23" s="64">
        <v>4.05</v>
      </c>
      <c r="G23" s="64">
        <v>19.16</v>
      </c>
      <c r="H23" s="212" t="s">
        <v>42</v>
      </c>
      <c r="I23" s="64">
        <v>0.8</v>
      </c>
      <c r="J23" s="64">
        <v>0.74</v>
      </c>
      <c r="K23" s="64">
        <v>332.24</v>
      </c>
      <c r="L23" s="64">
        <v>22.6</v>
      </c>
      <c r="M23" s="64">
        <v>98.6</v>
      </c>
      <c r="N23" s="64">
        <v>26.2</v>
      </c>
      <c r="O23" s="64">
        <v>0</v>
      </c>
      <c r="P23" s="64">
        <v>0.25</v>
      </c>
      <c r="Q23" s="64">
        <v>9.43</v>
      </c>
      <c r="R23" s="198"/>
      <c r="S23" s="198"/>
      <c r="T23" s="198"/>
      <c r="U23" s="198"/>
    </row>
    <row r="24" spans="1:21" s="12" customFormat="1" x14ac:dyDescent="0.25">
      <c r="A24" s="214" t="s">
        <v>1798</v>
      </c>
      <c r="B24" s="64">
        <v>4.22</v>
      </c>
      <c r="C24" s="64">
        <v>3.08</v>
      </c>
      <c r="D24" s="64">
        <v>7.19</v>
      </c>
      <c r="E24" s="64">
        <v>2.92</v>
      </c>
      <c r="F24" s="64">
        <v>5.39</v>
      </c>
      <c r="G24" s="64">
        <v>19.16</v>
      </c>
      <c r="H24" s="212" t="s">
        <v>42</v>
      </c>
      <c r="I24" s="64">
        <v>0.84</v>
      </c>
      <c r="J24" s="64">
        <v>0.85</v>
      </c>
      <c r="K24" s="64">
        <v>325.23</v>
      </c>
      <c r="L24" s="64">
        <v>22.69</v>
      </c>
      <c r="M24" s="64">
        <v>97.75</v>
      </c>
      <c r="N24" s="64">
        <v>26.1</v>
      </c>
      <c r="O24" s="64">
        <v>0</v>
      </c>
      <c r="P24" s="64">
        <v>0.24</v>
      </c>
      <c r="Q24" s="64">
        <v>9.4700000000000006</v>
      </c>
      <c r="R24" s="198"/>
      <c r="S24" s="198"/>
      <c r="T24" s="198"/>
      <c r="U24" s="198"/>
    </row>
    <row r="25" spans="1:21" s="12" customFormat="1" x14ac:dyDescent="0.25">
      <c r="A25" s="214" t="s">
        <v>1799</v>
      </c>
      <c r="B25" s="64">
        <v>4.21</v>
      </c>
      <c r="C25" s="64">
        <v>3.07</v>
      </c>
      <c r="D25" s="64">
        <v>7.17</v>
      </c>
      <c r="E25" s="64">
        <v>3.08</v>
      </c>
      <c r="F25" s="64">
        <v>3.79</v>
      </c>
      <c r="G25" s="64">
        <v>19.16</v>
      </c>
      <c r="H25" s="212" t="s">
        <v>42</v>
      </c>
      <c r="I25" s="64">
        <v>0.91</v>
      </c>
      <c r="J25" s="64">
        <v>0.73</v>
      </c>
      <c r="K25" s="64">
        <v>330.78</v>
      </c>
      <c r="L25" s="64">
        <v>22.73</v>
      </c>
      <c r="M25" s="64">
        <v>96.8</v>
      </c>
      <c r="N25" s="64">
        <v>25.8</v>
      </c>
      <c r="O25" s="64">
        <v>0</v>
      </c>
      <c r="P25" s="64">
        <v>0.25</v>
      </c>
      <c r="Q25" s="64">
        <v>9.4700000000000006</v>
      </c>
      <c r="R25" s="198"/>
      <c r="S25" s="198"/>
      <c r="T25" s="198"/>
      <c r="U25" s="198"/>
    </row>
    <row r="26" spans="1:21" s="12" customFormat="1" x14ac:dyDescent="0.25">
      <c r="A26" s="214" t="s">
        <v>1800</v>
      </c>
      <c r="B26" s="64">
        <v>4.21</v>
      </c>
      <c r="C26" s="64">
        <v>3.11</v>
      </c>
      <c r="D26" s="64">
        <v>7.19</v>
      </c>
      <c r="E26" s="64">
        <v>3.03</v>
      </c>
      <c r="F26" s="64">
        <v>4.9800000000000004</v>
      </c>
      <c r="G26" s="64">
        <v>17.66</v>
      </c>
      <c r="H26" s="212" t="s">
        <v>42</v>
      </c>
      <c r="I26" s="64">
        <v>0.96</v>
      </c>
      <c r="J26" s="64">
        <v>0.85</v>
      </c>
      <c r="K26" s="64">
        <v>325.85000000000002</v>
      </c>
      <c r="L26" s="64">
        <v>22.65</v>
      </c>
      <c r="M26" s="64">
        <v>98.97</v>
      </c>
      <c r="N26" s="64">
        <v>26</v>
      </c>
      <c r="O26" s="64">
        <v>0</v>
      </c>
      <c r="P26" s="64">
        <v>0.24</v>
      </c>
      <c r="Q26" s="64">
        <v>9.48</v>
      </c>
      <c r="R26" s="198"/>
      <c r="S26" s="198"/>
      <c r="T26" s="198"/>
      <c r="U26" s="198"/>
    </row>
    <row r="27" spans="1:21" s="12" customFormat="1" x14ac:dyDescent="0.25">
      <c r="A27" s="214" t="s">
        <v>1801</v>
      </c>
      <c r="B27" s="64">
        <v>4.21</v>
      </c>
      <c r="C27" s="64">
        <v>3.11</v>
      </c>
      <c r="D27" s="64">
        <v>7.19</v>
      </c>
      <c r="E27" s="64">
        <v>3.4</v>
      </c>
      <c r="F27" s="64">
        <v>3.86</v>
      </c>
      <c r="G27" s="64">
        <v>17.12</v>
      </c>
      <c r="H27" s="212" t="s">
        <v>42</v>
      </c>
      <c r="I27" s="64">
        <v>0.96</v>
      </c>
      <c r="J27" s="64">
        <v>0.71</v>
      </c>
      <c r="K27" s="64">
        <v>330.9</v>
      </c>
      <c r="L27" s="64">
        <v>22.14</v>
      </c>
      <c r="M27" s="64">
        <v>101.72</v>
      </c>
      <c r="N27" s="64">
        <v>25.9</v>
      </c>
      <c r="O27" s="64">
        <v>0.2</v>
      </c>
      <c r="P27" s="64">
        <v>0.24</v>
      </c>
      <c r="Q27" s="64">
        <v>9.49</v>
      </c>
      <c r="R27" s="198"/>
      <c r="S27" s="198"/>
      <c r="T27" s="198"/>
      <c r="U27" s="198"/>
    </row>
    <row r="28" spans="1:21" s="12" customFormat="1" x14ac:dyDescent="0.25">
      <c r="A28" s="214" t="s">
        <v>1802</v>
      </c>
      <c r="B28" s="64">
        <v>4.21</v>
      </c>
      <c r="C28" s="64">
        <v>3.15</v>
      </c>
      <c r="D28" s="64">
        <v>7.21</v>
      </c>
      <c r="E28" s="64">
        <v>3.03</v>
      </c>
      <c r="F28" s="64">
        <v>5.19</v>
      </c>
      <c r="G28" s="64">
        <v>17.12</v>
      </c>
      <c r="H28" s="212" t="s">
        <v>42</v>
      </c>
      <c r="I28" s="64">
        <v>0.94</v>
      </c>
      <c r="J28" s="64">
        <v>0.72</v>
      </c>
      <c r="K28" s="64">
        <v>332.82</v>
      </c>
      <c r="L28" s="64">
        <v>21.81</v>
      </c>
      <c r="M28" s="64">
        <v>101.75</v>
      </c>
      <c r="N28" s="64">
        <v>26.1</v>
      </c>
      <c r="O28" s="64">
        <v>0.2</v>
      </c>
      <c r="P28" s="64">
        <v>0.24</v>
      </c>
      <c r="Q28" s="64">
        <v>9.48</v>
      </c>
      <c r="R28" s="198"/>
      <c r="S28" s="198"/>
      <c r="T28" s="198"/>
      <c r="U28" s="198"/>
    </row>
    <row r="29" spans="1:21" s="12" customFormat="1" x14ac:dyDescent="0.25">
      <c r="A29" s="214" t="s">
        <v>1803</v>
      </c>
      <c r="B29" s="64">
        <v>4.21</v>
      </c>
      <c r="C29" s="64">
        <v>3.12</v>
      </c>
      <c r="D29" s="64">
        <v>7.2</v>
      </c>
      <c r="E29" s="64">
        <v>2.9</v>
      </c>
      <c r="F29" s="64">
        <v>4.3</v>
      </c>
      <c r="G29" s="64">
        <v>17.12</v>
      </c>
      <c r="H29" s="212" t="s">
        <v>42</v>
      </c>
      <c r="I29" s="64">
        <v>0.9</v>
      </c>
      <c r="J29" s="64">
        <v>0.52</v>
      </c>
      <c r="K29" s="64">
        <v>336.6</v>
      </c>
      <c r="L29" s="64">
        <v>21.81</v>
      </c>
      <c r="M29" s="64">
        <v>101.77</v>
      </c>
      <c r="N29" s="64">
        <v>25.9</v>
      </c>
      <c r="O29" s="64">
        <v>0</v>
      </c>
      <c r="P29" s="64">
        <v>0.24</v>
      </c>
      <c r="Q29" s="64">
        <v>9.5</v>
      </c>
      <c r="R29" s="198"/>
      <c r="S29" s="198"/>
      <c r="T29" s="198"/>
      <c r="U29" s="198"/>
    </row>
    <row r="30" spans="1:21" s="12" customFormat="1" x14ac:dyDescent="0.25">
      <c r="A30" s="214" t="s">
        <v>1804</v>
      </c>
      <c r="B30" s="64">
        <v>4.22</v>
      </c>
      <c r="C30" s="64">
        <v>3.12</v>
      </c>
      <c r="D30" s="64">
        <v>7.21</v>
      </c>
      <c r="E30" s="64">
        <v>2.84</v>
      </c>
      <c r="F30" s="64">
        <v>4.8499999999999996</v>
      </c>
      <c r="G30" s="64">
        <v>17.149999999999999</v>
      </c>
      <c r="H30" s="64">
        <v>7.94</v>
      </c>
      <c r="I30" s="64">
        <v>0.86</v>
      </c>
      <c r="J30" s="64">
        <v>0.63</v>
      </c>
      <c r="K30" s="64">
        <v>337.61</v>
      </c>
      <c r="L30" s="64">
        <v>22.06</v>
      </c>
      <c r="M30" s="64">
        <v>101.74</v>
      </c>
      <c r="N30" s="64">
        <v>26.4</v>
      </c>
      <c r="O30" s="64">
        <v>0</v>
      </c>
      <c r="P30" s="64">
        <v>0.24</v>
      </c>
      <c r="Q30" s="64">
        <v>9.51</v>
      </c>
      <c r="R30" s="198"/>
      <c r="S30" s="198"/>
      <c r="T30" s="198"/>
      <c r="U30" s="198"/>
    </row>
    <row r="31" spans="1:21" s="12" customFormat="1" x14ac:dyDescent="0.25">
      <c r="A31" s="214" t="s">
        <v>1805</v>
      </c>
      <c r="B31" s="64">
        <v>4.24</v>
      </c>
      <c r="C31" s="64">
        <v>3.09</v>
      </c>
      <c r="D31" s="64">
        <v>7.2</v>
      </c>
      <c r="E31" s="64">
        <v>2.68</v>
      </c>
      <c r="F31" s="64">
        <v>4.37</v>
      </c>
      <c r="G31" s="64">
        <v>17.170000000000002</v>
      </c>
      <c r="H31" s="64">
        <v>6.48</v>
      </c>
      <c r="I31" s="64">
        <v>0.86</v>
      </c>
      <c r="J31" s="64">
        <v>0.69</v>
      </c>
      <c r="K31" s="64">
        <v>331.54</v>
      </c>
      <c r="L31" s="64">
        <v>22.4</v>
      </c>
      <c r="M31" s="64">
        <v>101.73</v>
      </c>
      <c r="N31" s="64">
        <v>26.6</v>
      </c>
      <c r="O31" s="64">
        <v>0</v>
      </c>
      <c r="P31" s="64">
        <v>0.23</v>
      </c>
      <c r="Q31" s="64">
        <v>9.52</v>
      </c>
      <c r="R31" s="198"/>
      <c r="S31" s="198"/>
      <c r="T31" s="198"/>
      <c r="U31" s="198"/>
    </row>
    <row r="32" spans="1:21" s="12" customFormat="1" x14ac:dyDescent="0.25">
      <c r="A32" s="214" t="s">
        <v>1806</v>
      </c>
      <c r="B32" s="64">
        <v>4.28</v>
      </c>
      <c r="C32" s="64">
        <v>3.18</v>
      </c>
      <c r="D32" s="64">
        <v>7.29</v>
      </c>
      <c r="E32" s="64">
        <v>2.61</v>
      </c>
      <c r="F32" s="64">
        <v>4.42</v>
      </c>
      <c r="G32" s="64">
        <v>17.170000000000002</v>
      </c>
      <c r="H32" s="64">
        <v>6.48</v>
      </c>
      <c r="I32" s="64">
        <v>0.87</v>
      </c>
      <c r="J32" s="64">
        <v>0.7</v>
      </c>
      <c r="K32" s="64">
        <v>329.88</v>
      </c>
      <c r="L32" s="64">
        <v>22.61</v>
      </c>
      <c r="M32" s="64">
        <v>101.73</v>
      </c>
      <c r="N32" s="64">
        <v>27.3</v>
      </c>
      <c r="O32" s="64">
        <v>0</v>
      </c>
      <c r="P32" s="64">
        <v>0.24</v>
      </c>
      <c r="Q32" s="64">
        <v>9.5</v>
      </c>
      <c r="R32" s="198"/>
      <c r="S32" s="198"/>
      <c r="T32" s="198"/>
      <c r="U32" s="198"/>
    </row>
    <row r="33" spans="1:21" s="12" customFormat="1" x14ac:dyDescent="0.25">
      <c r="A33" s="214" t="s">
        <v>1807</v>
      </c>
      <c r="B33" s="64">
        <v>4.28</v>
      </c>
      <c r="C33" s="64">
        <v>3.18</v>
      </c>
      <c r="D33" s="64">
        <v>7.28</v>
      </c>
      <c r="E33" s="64">
        <v>3.38</v>
      </c>
      <c r="F33" s="64">
        <v>4.5599999999999996</v>
      </c>
      <c r="G33" s="64">
        <v>17.170000000000002</v>
      </c>
      <c r="H33" s="64">
        <v>6.48</v>
      </c>
      <c r="I33" s="64">
        <v>0.87</v>
      </c>
      <c r="J33" s="64">
        <v>0.54</v>
      </c>
      <c r="K33" s="64">
        <v>356.95</v>
      </c>
      <c r="L33" s="64">
        <v>22.69</v>
      </c>
      <c r="M33" s="64">
        <v>101.72</v>
      </c>
      <c r="N33" s="64">
        <v>29.2</v>
      </c>
      <c r="O33" s="64">
        <v>0</v>
      </c>
      <c r="P33" s="64">
        <v>0.24</v>
      </c>
      <c r="Q33" s="64">
        <v>9.49</v>
      </c>
      <c r="R33" s="198"/>
      <c r="S33" s="198"/>
      <c r="T33" s="198"/>
      <c r="U33" s="198"/>
    </row>
    <row r="34" spans="1:21" s="12" customFormat="1" x14ac:dyDescent="0.25">
      <c r="A34" s="214" t="s">
        <v>1808</v>
      </c>
      <c r="B34" s="64">
        <v>4.28</v>
      </c>
      <c r="C34" s="64">
        <v>3.19</v>
      </c>
      <c r="D34" s="64">
        <v>7.29</v>
      </c>
      <c r="E34" s="64">
        <v>3.12</v>
      </c>
      <c r="F34" s="64">
        <v>4.51</v>
      </c>
      <c r="G34" s="64">
        <v>21.17</v>
      </c>
      <c r="H34" s="64">
        <v>1.28</v>
      </c>
      <c r="I34" s="64">
        <v>0.86</v>
      </c>
      <c r="J34" s="64">
        <v>0.54</v>
      </c>
      <c r="K34" s="64">
        <v>348.93</v>
      </c>
      <c r="L34" s="64">
        <v>22.87</v>
      </c>
      <c r="M34" s="64">
        <v>101.71</v>
      </c>
      <c r="N34" s="64">
        <v>40.299999999999997</v>
      </c>
      <c r="O34" s="64">
        <v>0</v>
      </c>
      <c r="P34" s="64">
        <v>0.24</v>
      </c>
      <c r="Q34" s="64">
        <v>9.5</v>
      </c>
      <c r="R34" s="198"/>
      <c r="S34" s="198"/>
      <c r="T34" s="198"/>
      <c r="U34" s="198"/>
    </row>
    <row r="35" spans="1:21" s="12" customFormat="1" x14ac:dyDescent="0.25">
      <c r="A35" s="214" t="s">
        <v>1809</v>
      </c>
      <c r="B35" s="64">
        <v>4.2699999999999996</v>
      </c>
      <c r="C35" s="64">
        <v>3.17</v>
      </c>
      <c r="D35" s="64">
        <v>7.27</v>
      </c>
      <c r="E35" s="64">
        <v>2.91</v>
      </c>
      <c r="F35" s="64">
        <v>4.5</v>
      </c>
      <c r="G35" s="64">
        <v>22.54</v>
      </c>
      <c r="H35" s="64">
        <v>1.2</v>
      </c>
      <c r="I35" s="64">
        <v>0.87</v>
      </c>
      <c r="J35" s="64">
        <v>0.56999999999999995</v>
      </c>
      <c r="K35" s="64">
        <v>339.89</v>
      </c>
      <c r="L35" s="64">
        <v>22.68</v>
      </c>
      <c r="M35" s="64">
        <v>101.74</v>
      </c>
      <c r="N35" s="64">
        <v>41.8</v>
      </c>
      <c r="O35" s="64">
        <v>0</v>
      </c>
      <c r="P35" s="64">
        <v>0.25</v>
      </c>
      <c r="Q35" s="64">
        <v>9.5</v>
      </c>
      <c r="R35" s="198"/>
      <c r="S35" s="198"/>
      <c r="T35" s="198"/>
      <c r="U35" s="198"/>
    </row>
    <row r="36" spans="1:21" s="12" customFormat="1" x14ac:dyDescent="0.25">
      <c r="A36" s="214" t="s">
        <v>1810</v>
      </c>
      <c r="B36" s="64">
        <v>4.29</v>
      </c>
      <c r="C36" s="64">
        <v>3.2</v>
      </c>
      <c r="D36" s="64">
        <v>7.3</v>
      </c>
      <c r="E36" s="64">
        <v>3.25</v>
      </c>
      <c r="F36" s="64">
        <v>4.5599999999999996</v>
      </c>
      <c r="G36" s="64">
        <v>22.54</v>
      </c>
      <c r="H36" s="64">
        <v>1.2</v>
      </c>
      <c r="I36" s="64">
        <v>0.91</v>
      </c>
      <c r="J36" s="64">
        <v>0.44</v>
      </c>
      <c r="K36" s="64">
        <v>351.12</v>
      </c>
      <c r="L36" s="64">
        <v>22.36</v>
      </c>
      <c r="M36" s="64">
        <v>101.76</v>
      </c>
      <c r="N36" s="64">
        <v>44.6</v>
      </c>
      <c r="O36" s="64">
        <v>0.2</v>
      </c>
      <c r="P36" s="64">
        <v>0.26</v>
      </c>
      <c r="Q36" s="64">
        <v>9.49</v>
      </c>
      <c r="R36" s="198"/>
      <c r="S36" s="198"/>
      <c r="T36" s="198"/>
      <c r="U36" s="198"/>
    </row>
    <row r="37" spans="1:21" s="12" customFormat="1" x14ac:dyDescent="0.25">
      <c r="A37" s="214" t="s">
        <v>1811</v>
      </c>
      <c r="B37" s="64">
        <v>4.29</v>
      </c>
      <c r="C37" s="64">
        <v>3.16</v>
      </c>
      <c r="D37" s="64">
        <v>7.29</v>
      </c>
      <c r="E37" s="64">
        <v>3.19</v>
      </c>
      <c r="F37" s="64">
        <v>4.6100000000000003</v>
      </c>
      <c r="G37" s="64">
        <v>22.54</v>
      </c>
      <c r="H37" s="64">
        <v>1.2</v>
      </c>
      <c r="I37" s="64">
        <v>0.93</v>
      </c>
      <c r="J37" s="64">
        <v>0.64</v>
      </c>
      <c r="K37" s="64">
        <v>353.26</v>
      </c>
      <c r="L37" s="64">
        <v>22.56</v>
      </c>
      <c r="M37" s="64">
        <v>101.77</v>
      </c>
      <c r="N37" s="64">
        <v>46.8</v>
      </c>
      <c r="O37" s="64">
        <v>0</v>
      </c>
      <c r="P37" s="64">
        <v>0.25</v>
      </c>
      <c r="Q37" s="64">
        <v>9.49</v>
      </c>
      <c r="R37" s="198"/>
      <c r="S37" s="198"/>
      <c r="T37" s="198"/>
      <c r="U37" s="198"/>
    </row>
    <row r="38" spans="1:21" s="12" customFormat="1" x14ac:dyDescent="0.25">
      <c r="A38" s="214" t="s">
        <v>1812</v>
      </c>
      <c r="B38" s="64">
        <v>4.2699999999999996</v>
      </c>
      <c r="C38" s="64">
        <v>3.17</v>
      </c>
      <c r="D38" s="64">
        <v>7.27</v>
      </c>
      <c r="E38" s="64">
        <v>3.07</v>
      </c>
      <c r="F38" s="64">
        <v>4.5199999999999996</v>
      </c>
      <c r="G38" s="64">
        <v>20.399999999999999</v>
      </c>
      <c r="H38" s="64">
        <v>7.0000000000000007E-2</v>
      </c>
      <c r="I38" s="64">
        <v>0.93</v>
      </c>
      <c r="J38" s="64">
        <v>0.56000000000000005</v>
      </c>
      <c r="K38" s="64">
        <v>6.52</v>
      </c>
      <c r="L38" s="64">
        <v>22.79</v>
      </c>
      <c r="M38" s="64">
        <v>101.74</v>
      </c>
      <c r="N38" s="64">
        <v>60.4</v>
      </c>
      <c r="O38" s="64">
        <v>0</v>
      </c>
      <c r="P38" s="64">
        <v>0.28999999999999998</v>
      </c>
      <c r="Q38" s="64">
        <v>9.49</v>
      </c>
      <c r="R38" s="198"/>
      <c r="S38" s="198"/>
      <c r="T38" s="198"/>
      <c r="U38" s="198"/>
    </row>
    <row r="39" spans="1:21" s="12" customFormat="1" x14ac:dyDescent="0.25">
      <c r="A39" s="214" t="s">
        <v>1813</v>
      </c>
      <c r="B39" s="64">
        <v>4.21</v>
      </c>
      <c r="C39" s="64">
        <v>3.14</v>
      </c>
      <c r="D39" s="64">
        <v>7.21</v>
      </c>
      <c r="E39" s="64">
        <v>3.09</v>
      </c>
      <c r="F39" s="64">
        <v>4.51</v>
      </c>
      <c r="G39" s="64">
        <v>19.670000000000002</v>
      </c>
      <c r="H39" s="64">
        <v>0.05</v>
      </c>
      <c r="I39" s="64">
        <v>0.91</v>
      </c>
      <c r="J39" s="64">
        <v>0.56000000000000005</v>
      </c>
      <c r="K39" s="64">
        <v>339.34</v>
      </c>
      <c r="L39" s="64">
        <v>23</v>
      </c>
      <c r="M39" s="64">
        <v>101.73</v>
      </c>
      <c r="N39" s="64">
        <v>60.4</v>
      </c>
      <c r="O39" s="64">
        <v>0</v>
      </c>
      <c r="P39" s="64">
        <v>0.35</v>
      </c>
      <c r="Q39" s="64">
        <v>9.52</v>
      </c>
      <c r="R39" s="198"/>
      <c r="S39" s="198"/>
      <c r="T39" s="198"/>
      <c r="U39" s="198"/>
    </row>
    <row r="40" spans="1:21" s="12" customFormat="1" x14ac:dyDescent="0.25">
      <c r="A40" s="214" t="s">
        <v>1814</v>
      </c>
      <c r="B40" s="64">
        <v>4.22</v>
      </c>
      <c r="C40" s="64">
        <v>3.1</v>
      </c>
      <c r="D40" s="64">
        <v>7.2</v>
      </c>
      <c r="E40" s="64">
        <v>3.43</v>
      </c>
      <c r="F40" s="64">
        <v>4.46</v>
      </c>
      <c r="G40" s="64">
        <v>19.670000000000002</v>
      </c>
      <c r="H40" s="64">
        <v>0.05</v>
      </c>
      <c r="I40" s="64">
        <v>0.93</v>
      </c>
      <c r="J40" s="64">
        <v>0.55000000000000004</v>
      </c>
      <c r="K40" s="64">
        <v>357.1</v>
      </c>
      <c r="L40" s="64">
        <v>23.27</v>
      </c>
      <c r="M40" s="64">
        <v>101.72</v>
      </c>
      <c r="N40" s="64">
        <v>76.7</v>
      </c>
      <c r="O40" s="64">
        <v>0</v>
      </c>
      <c r="P40" s="64">
        <v>0.39</v>
      </c>
      <c r="Q40" s="64">
        <v>9.5</v>
      </c>
      <c r="R40" s="198"/>
      <c r="S40" s="198"/>
      <c r="T40" s="198"/>
      <c r="U40" s="198"/>
    </row>
    <row r="41" spans="1:21" s="12" customFormat="1" x14ac:dyDescent="0.25">
      <c r="A41" s="214" t="s">
        <v>1815</v>
      </c>
      <c r="B41" s="64">
        <v>4.21</v>
      </c>
      <c r="C41" s="64">
        <v>3.09</v>
      </c>
      <c r="D41" s="64">
        <v>7.18</v>
      </c>
      <c r="E41" s="64">
        <v>3.45</v>
      </c>
      <c r="F41" s="64">
        <v>4.3899999999999997</v>
      </c>
      <c r="G41" s="64">
        <v>19.670000000000002</v>
      </c>
      <c r="H41" s="64">
        <v>0.05</v>
      </c>
      <c r="I41" s="64">
        <v>1</v>
      </c>
      <c r="J41" s="64">
        <v>0.56999999999999995</v>
      </c>
      <c r="K41" s="64">
        <v>357.04</v>
      </c>
      <c r="L41" s="64">
        <v>23.46</v>
      </c>
      <c r="M41" s="64">
        <v>101.7</v>
      </c>
      <c r="N41" s="64">
        <v>75.599999999999994</v>
      </c>
      <c r="O41" s="64">
        <v>0</v>
      </c>
      <c r="P41" s="64">
        <v>0.43</v>
      </c>
      <c r="Q41" s="64">
        <v>9.5500000000000007</v>
      </c>
      <c r="R41" s="198"/>
      <c r="S41" s="198"/>
      <c r="T41" s="198"/>
      <c r="U41" s="198"/>
    </row>
    <row r="42" spans="1:21" s="12" customFormat="1" x14ac:dyDescent="0.25">
      <c r="A42" s="214" t="s">
        <v>1816</v>
      </c>
      <c r="B42" s="64">
        <v>4.2</v>
      </c>
      <c r="C42" s="64">
        <v>3.12</v>
      </c>
      <c r="D42" s="64">
        <v>7.19</v>
      </c>
      <c r="E42" s="64">
        <v>3.66</v>
      </c>
      <c r="F42" s="64">
        <v>4.67</v>
      </c>
      <c r="G42" s="64">
        <v>20.260000000000002</v>
      </c>
      <c r="H42" s="212" t="s">
        <v>42</v>
      </c>
      <c r="I42" s="64">
        <v>1.0900000000000001</v>
      </c>
      <c r="J42" s="64">
        <v>0.67</v>
      </c>
      <c r="K42" s="64">
        <v>354.22</v>
      </c>
      <c r="L42" s="64">
        <v>23.72</v>
      </c>
      <c r="M42" s="64">
        <v>100.89</v>
      </c>
      <c r="N42" s="64">
        <v>92.2</v>
      </c>
      <c r="O42" s="64">
        <v>0</v>
      </c>
      <c r="P42" s="64">
        <v>0.47</v>
      </c>
      <c r="Q42" s="64">
        <v>9.5500000000000007</v>
      </c>
      <c r="R42" s="198"/>
      <c r="S42" s="198"/>
      <c r="T42" s="198"/>
      <c r="U42" s="198"/>
    </row>
    <row r="43" spans="1:21" s="12" customFormat="1" x14ac:dyDescent="0.25">
      <c r="A43" s="214" t="s">
        <v>1817</v>
      </c>
      <c r="B43" s="64">
        <v>4.2</v>
      </c>
      <c r="C43" s="64">
        <v>3.12</v>
      </c>
      <c r="D43" s="64">
        <v>7.19</v>
      </c>
      <c r="E43" s="64">
        <v>3.5</v>
      </c>
      <c r="F43" s="64">
        <v>4.17</v>
      </c>
      <c r="G43" s="64">
        <v>20.47</v>
      </c>
      <c r="H43" s="212" t="s">
        <v>42</v>
      </c>
      <c r="I43" s="64">
        <v>1.1399999999999999</v>
      </c>
      <c r="J43" s="64">
        <v>0.56999999999999995</v>
      </c>
      <c r="K43" s="64">
        <v>336.38</v>
      </c>
      <c r="L43" s="64">
        <v>24.04</v>
      </c>
      <c r="M43" s="64">
        <v>100.13</v>
      </c>
      <c r="N43" s="64">
        <v>146.6</v>
      </c>
      <c r="O43" s="64">
        <v>0</v>
      </c>
      <c r="P43" s="64">
        <v>0.49</v>
      </c>
      <c r="Q43" s="64">
        <v>9.56</v>
      </c>
      <c r="R43" s="198"/>
      <c r="S43" s="198"/>
      <c r="T43" s="198"/>
      <c r="U43" s="198"/>
    </row>
    <row r="44" spans="1:21" s="12" customFormat="1" x14ac:dyDescent="0.25">
      <c r="A44" s="214" t="s">
        <v>1818</v>
      </c>
      <c r="B44" s="64">
        <v>4.22</v>
      </c>
      <c r="C44" s="64">
        <v>3.12</v>
      </c>
      <c r="D44" s="64">
        <v>7.21</v>
      </c>
      <c r="E44" s="64">
        <v>3.79</v>
      </c>
      <c r="F44" s="64">
        <v>4.8899999999999997</v>
      </c>
      <c r="G44" s="64">
        <v>20.47</v>
      </c>
      <c r="H44" s="212" t="s">
        <v>42</v>
      </c>
      <c r="I44" s="64">
        <v>1.24</v>
      </c>
      <c r="J44" s="64">
        <v>0.61</v>
      </c>
      <c r="K44" s="64">
        <v>343.08</v>
      </c>
      <c r="L44" s="64">
        <v>24.97</v>
      </c>
      <c r="M44" s="64">
        <v>95.89</v>
      </c>
      <c r="N44" s="64">
        <v>250.8</v>
      </c>
      <c r="O44" s="64">
        <v>0</v>
      </c>
      <c r="P44" s="64">
        <v>0.49</v>
      </c>
      <c r="Q44" s="64">
        <v>9.56</v>
      </c>
      <c r="R44" s="198"/>
      <c r="S44" s="198"/>
      <c r="T44" s="198"/>
      <c r="U44" s="198"/>
    </row>
    <row r="45" spans="1:21" s="12" customFormat="1" x14ac:dyDescent="0.25">
      <c r="A45" s="214" t="s">
        <v>1819</v>
      </c>
      <c r="B45" s="64">
        <v>4.2300000000000004</v>
      </c>
      <c r="C45" s="64">
        <v>3.19</v>
      </c>
      <c r="D45" s="64">
        <v>7.25</v>
      </c>
      <c r="E45" s="64">
        <v>3.48</v>
      </c>
      <c r="F45" s="64">
        <v>4.16</v>
      </c>
      <c r="G45" s="64">
        <v>20.47</v>
      </c>
      <c r="H45" s="212" t="s">
        <v>42</v>
      </c>
      <c r="I45" s="64">
        <v>1.32</v>
      </c>
      <c r="J45" s="64">
        <v>0.65</v>
      </c>
      <c r="K45" s="64">
        <v>340.27</v>
      </c>
      <c r="L45" s="64">
        <v>25.46</v>
      </c>
      <c r="M45" s="64">
        <v>93.4</v>
      </c>
      <c r="N45" s="64">
        <v>229.4</v>
      </c>
      <c r="O45" s="64">
        <v>0.2</v>
      </c>
      <c r="P45" s="64">
        <v>0.48</v>
      </c>
      <c r="Q45" s="64">
        <v>9.56</v>
      </c>
      <c r="R45" s="198"/>
      <c r="S45" s="198"/>
      <c r="T45" s="198"/>
      <c r="U45" s="198"/>
    </row>
    <row r="46" spans="1:21" s="12" customFormat="1" x14ac:dyDescent="0.25">
      <c r="A46" s="214" t="s">
        <v>1820</v>
      </c>
      <c r="B46" s="64">
        <v>4.24</v>
      </c>
      <c r="C46" s="64">
        <v>3.18</v>
      </c>
      <c r="D46" s="64">
        <v>7.25</v>
      </c>
      <c r="E46" s="64">
        <v>3.4</v>
      </c>
      <c r="F46" s="64">
        <v>5.16</v>
      </c>
      <c r="G46" s="64">
        <v>21.86</v>
      </c>
      <c r="H46" s="64">
        <v>3.07</v>
      </c>
      <c r="I46" s="64">
        <v>1.34</v>
      </c>
      <c r="J46" s="64">
        <v>0.65</v>
      </c>
      <c r="K46" s="64">
        <v>344.85</v>
      </c>
      <c r="L46" s="64">
        <v>25.67</v>
      </c>
      <c r="M46" s="64">
        <v>92.86</v>
      </c>
      <c r="N46" s="64">
        <v>440</v>
      </c>
      <c r="O46" s="64">
        <v>0</v>
      </c>
      <c r="P46" s="64">
        <v>0.46</v>
      </c>
      <c r="Q46" s="64">
        <v>9.5500000000000007</v>
      </c>
      <c r="R46" s="198"/>
      <c r="S46" s="198"/>
      <c r="T46" s="198"/>
      <c r="U46" s="198"/>
    </row>
    <row r="47" spans="1:21" s="12" customFormat="1" x14ac:dyDescent="0.25">
      <c r="A47" s="214" t="s">
        <v>1821</v>
      </c>
      <c r="B47" s="64">
        <v>4.22</v>
      </c>
      <c r="C47" s="64">
        <v>3.13</v>
      </c>
      <c r="D47" s="64">
        <v>7.21</v>
      </c>
      <c r="E47" s="64">
        <v>3.17</v>
      </c>
      <c r="F47" s="64">
        <v>4.3899999999999997</v>
      </c>
      <c r="G47" s="64">
        <v>22.34</v>
      </c>
      <c r="H47" s="64">
        <v>2.62</v>
      </c>
      <c r="I47" s="64">
        <v>1.26</v>
      </c>
      <c r="J47" s="64">
        <v>0.68</v>
      </c>
      <c r="K47" s="64">
        <v>329.42</v>
      </c>
      <c r="L47" s="64">
        <v>27.53</v>
      </c>
      <c r="M47" s="64">
        <v>85.73</v>
      </c>
      <c r="N47" s="64">
        <v>557.1</v>
      </c>
      <c r="O47" s="64">
        <v>0</v>
      </c>
      <c r="P47" s="64">
        <v>0.46</v>
      </c>
      <c r="Q47" s="64">
        <v>9.56</v>
      </c>
      <c r="R47" s="198"/>
      <c r="S47" s="198"/>
      <c r="T47" s="198"/>
      <c r="U47" s="198"/>
    </row>
    <row r="48" spans="1:21" s="12" customFormat="1" x14ac:dyDescent="0.25">
      <c r="A48" s="214" t="s">
        <v>1822</v>
      </c>
      <c r="B48" s="64">
        <v>4.24</v>
      </c>
      <c r="C48" s="64">
        <v>3.15</v>
      </c>
      <c r="D48" s="64">
        <v>7.23</v>
      </c>
      <c r="E48" s="64">
        <v>3.03</v>
      </c>
      <c r="F48" s="64">
        <v>3.76</v>
      </c>
      <c r="G48" s="64">
        <v>22.34</v>
      </c>
      <c r="H48" s="64">
        <v>2.62</v>
      </c>
      <c r="I48" s="64">
        <v>1.23</v>
      </c>
      <c r="J48" s="64">
        <v>0.79</v>
      </c>
      <c r="K48" s="64">
        <v>333.06</v>
      </c>
      <c r="L48" s="64">
        <v>28.78</v>
      </c>
      <c r="M48" s="64">
        <v>79.98</v>
      </c>
      <c r="N48" s="64">
        <v>502.3</v>
      </c>
      <c r="O48" s="64">
        <v>0</v>
      </c>
      <c r="P48" s="64">
        <v>0.45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14" t="s">
        <v>1823</v>
      </c>
      <c r="B49" s="64">
        <v>4.2699999999999996</v>
      </c>
      <c r="C49" s="64">
        <v>3.13</v>
      </c>
      <c r="D49" s="64">
        <v>7.26</v>
      </c>
      <c r="E49" s="64">
        <v>3.21</v>
      </c>
      <c r="F49" s="64">
        <v>4.66</v>
      </c>
      <c r="G49" s="64">
        <v>22.34</v>
      </c>
      <c r="H49" s="64">
        <v>2.62</v>
      </c>
      <c r="I49" s="64">
        <v>1.25</v>
      </c>
      <c r="J49" s="64">
        <v>0.83</v>
      </c>
      <c r="K49" s="64">
        <v>330.68</v>
      </c>
      <c r="L49" s="64">
        <v>28.51</v>
      </c>
      <c r="M49" s="64">
        <v>79.62</v>
      </c>
      <c r="N49" s="64">
        <v>444.2</v>
      </c>
      <c r="O49" s="64">
        <v>0</v>
      </c>
      <c r="P49" s="64">
        <v>0.45</v>
      </c>
      <c r="Q49" s="64">
        <v>9.49</v>
      </c>
      <c r="R49" s="198"/>
      <c r="S49" s="198"/>
      <c r="T49" s="198"/>
      <c r="U49" s="198"/>
    </row>
    <row r="50" spans="1:21" s="12" customFormat="1" x14ac:dyDescent="0.25">
      <c r="A50" s="214" t="s">
        <v>1824</v>
      </c>
      <c r="B50" s="64">
        <v>4.2699999999999996</v>
      </c>
      <c r="C50" s="64">
        <v>3.14</v>
      </c>
      <c r="D50" s="64">
        <v>7.26</v>
      </c>
      <c r="E50" s="64">
        <v>3.76</v>
      </c>
      <c r="F50" s="64">
        <v>4.8</v>
      </c>
      <c r="G50" s="64">
        <v>28.01</v>
      </c>
      <c r="H50" s="64">
        <v>8.81</v>
      </c>
      <c r="I50" s="64">
        <v>1.24</v>
      </c>
      <c r="J50" s="64">
        <v>1.22</v>
      </c>
      <c r="K50" s="64">
        <v>322.64</v>
      </c>
      <c r="L50" s="64">
        <v>29.44</v>
      </c>
      <c r="M50" s="64">
        <v>75.66</v>
      </c>
      <c r="N50" s="64">
        <v>876.2</v>
      </c>
      <c r="O50" s="64">
        <v>0</v>
      </c>
      <c r="P50" s="64">
        <v>0.44</v>
      </c>
      <c r="Q50" s="64">
        <v>9.51</v>
      </c>
      <c r="R50" s="198"/>
      <c r="S50" s="198"/>
      <c r="T50" s="198"/>
      <c r="U50" s="198"/>
    </row>
    <row r="51" spans="1:21" s="12" customFormat="1" x14ac:dyDescent="0.25">
      <c r="A51" s="214" t="s">
        <v>1825</v>
      </c>
      <c r="B51" s="64">
        <v>4.2699999999999996</v>
      </c>
      <c r="C51" s="64">
        <v>3.18</v>
      </c>
      <c r="D51" s="64">
        <v>7.28</v>
      </c>
      <c r="E51" s="64">
        <v>3.58</v>
      </c>
      <c r="F51" s="64">
        <v>5.68</v>
      </c>
      <c r="G51" s="64">
        <v>29.96</v>
      </c>
      <c r="H51" s="64">
        <v>8.91</v>
      </c>
      <c r="I51" s="64">
        <v>1.21</v>
      </c>
      <c r="J51" s="64">
        <v>0.71</v>
      </c>
      <c r="K51" s="64">
        <v>336.01</v>
      </c>
      <c r="L51" s="64">
        <v>30.21</v>
      </c>
      <c r="M51" s="64">
        <v>71.739999999999995</v>
      </c>
      <c r="N51" s="64">
        <v>735</v>
      </c>
      <c r="O51" s="64">
        <v>0</v>
      </c>
      <c r="P51" s="64">
        <v>0.43</v>
      </c>
      <c r="Q51" s="64">
        <v>9.51</v>
      </c>
      <c r="R51" s="198"/>
      <c r="S51" s="198"/>
      <c r="T51" s="198"/>
      <c r="U51" s="198"/>
    </row>
    <row r="52" spans="1:21" s="12" customFormat="1" x14ac:dyDescent="0.25">
      <c r="A52" s="214" t="s">
        <v>1826</v>
      </c>
      <c r="B52" s="64">
        <v>4.2699999999999996</v>
      </c>
      <c r="C52" s="64">
        <v>3.15</v>
      </c>
      <c r="D52" s="64">
        <v>7.26</v>
      </c>
      <c r="E52" s="64">
        <v>3.63</v>
      </c>
      <c r="F52" s="64">
        <v>5.32</v>
      </c>
      <c r="G52" s="64">
        <v>29.96</v>
      </c>
      <c r="H52" s="64">
        <v>8.91</v>
      </c>
      <c r="I52" s="64">
        <v>1.18</v>
      </c>
      <c r="J52" s="64">
        <v>0.78</v>
      </c>
      <c r="K52" s="64">
        <v>334.37</v>
      </c>
      <c r="L52" s="64">
        <v>30.55</v>
      </c>
      <c r="M52" s="64">
        <v>70.63</v>
      </c>
      <c r="N52" s="64">
        <v>888.6</v>
      </c>
      <c r="O52" s="64">
        <v>0</v>
      </c>
      <c r="P52" s="64">
        <v>0.42</v>
      </c>
      <c r="Q52" s="64">
        <v>9.51</v>
      </c>
      <c r="R52" s="198"/>
      <c r="S52" s="198"/>
      <c r="T52" s="198"/>
      <c r="U52" s="198"/>
    </row>
    <row r="53" spans="1:21" s="12" customFormat="1" x14ac:dyDescent="0.25">
      <c r="A53" s="214" t="s">
        <v>1827</v>
      </c>
      <c r="B53" s="64">
        <v>4.2699999999999996</v>
      </c>
      <c r="C53" s="64">
        <v>3.16</v>
      </c>
      <c r="D53" s="64">
        <v>7.26</v>
      </c>
      <c r="E53" s="64">
        <v>3.46</v>
      </c>
      <c r="F53" s="64">
        <v>5.98</v>
      </c>
      <c r="G53" s="64">
        <v>29.96</v>
      </c>
      <c r="H53" s="64">
        <v>8.91</v>
      </c>
      <c r="I53" s="64">
        <v>1.1299999999999999</v>
      </c>
      <c r="J53" s="64">
        <v>0.72</v>
      </c>
      <c r="K53" s="64">
        <v>345.18</v>
      </c>
      <c r="L53" s="64">
        <v>30.07</v>
      </c>
      <c r="M53" s="64">
        <v>71.099999999999994</v>
      </c>
      <c r="N53" s="64">
        <v>494.9</v>
      </c>
      <c r="O53" s="64">
        <v>0</v>
      </c>
      <c r="P53" s="64">
        <v>0.41</v>
      </c>
      <c r="Q53" s="64">
        <v>9.48</v>
      </c>
      <c r="R53" s="198"/>
      <c r="S53" s="198"/>
      <c r="T53" s="198"/>
      <c r="U53" s="198"/>
    </row>
    <row r="54" spans="1:21" s="12" customFormat="1" x14ac:dyDescent="0.25">
      <c r="A54" s="214" t="s">
        <v>1828</v>
      </c>
      <c r="B54" s="64">
        <v>4.28</v>
      </c>
      <c r="C54" s="64">
        <v>3.18</v>
      </c>
      <c r="D54" s="64">
        <v>7.29</v>
      </c>
      <c r="E54" s="64">
        <v>3.63</v>
      </c>
      <c r="F54" s="64">
        <v>5.32</v>
      </c>
      <c r="G54" s="64">
        <v>30.43</v>
      </c>
      <c r="H54" s="64">
        <v>21.6</v>
      </c>
      <c r="I54" s="64">
        <v>1.0900000000000001</v>
      </c>
      <c r="J54" s="64">
        <v>0.81</v>
      </c>
      <c r="K54" s="64">
        <v>328.28</v>
      </c>
      <c r="L54" s="64">
        <v>29.11</v>
      </c>
      <c r="M54" s="64">
        <v>75.42</v>
      </c>
      <c r="N54" s="64">
        <v>301.7</v>
      </c>
      <c r="O54" s="64">
        <v>0</v>
      </c>
      <c r="P54" s="64">
        <v>0.41</v>
      </c>
      <c r="Q54" s="64">
        <v>9.49</v>
      </c>
      <c r="R54" s="198"/>
      <c r="S54" s="198"/>
      <c r="T54" s="198"/>
      <c r="U54" s="198"/>
    </row>
    <row r="55" spans="1:21" s="12" customFormat="1" x14ac:dyDescent="0.25">
      <c r="A55" s="214" t="s">
        <v>1829</v>
      </c>
      <c r="B55" s="64">
        <v>4.25</v>
      </c>
      <c r="C55" s="64">
        <v>3.15</v>
      </c>
      <c r="D55" s="64">
        <v>7.25</v>
      </c>
      <c r="E55" s="64">
        <v>3.87</v>
      </c>
      <c r="F55" s="64">
        <v>5.41</v>
      </c>
      <c r="G55" s="64">
        <v>30.6</v>
      </c>
      <c r="H55" s="64">
        <v>21.9</v>
      </c>
      <c r="I55" s="64">
        <v>1.04</v>
      </c>
      <c r="J55" s="64">
        <v>0.69</v>
      </c>
      <c r="K55" s="64">
        <v>341.1</v>
      </c>
      <c r="L55" s="64">
        <v>28.31</v>
      </c>
      <c r="M55" s="64">
        <v>77.14</v>
      </c>
      <c r="N55" s="64">
        <v>267.89999999999998</v>
      </c>
      <c r="O55" s="64">
        <v>0</v>
      </c>
      <c r="P55" s="64">
        <v>0.4</v>
      </c>
      <c r="Q55" s="64">
        <v>9.49</v>
      </c>
      <c r="R55" s="198"/>
      <c r="S55" s="198"/>
      <c r="T55" s="198"/>
      <c r="U55" s="198"/>
    </row>
    <row r="56" spans="1:21" s="12" customFormat="1" x14ac:dyDescent="0.25">
      <c r="A56" s="214" t="s">
        <v>1830</v>
      </c>
      <c r="B56" s="64">
        <v>4.21</v>
      </c>
      <c r="C56" s="64">
        <v>3.14</v>
      </c>
      <c r="D56" s="64">
        <v>7.21</v>
      </c>
      <c r="E56" s="64">
        <v>3.93</v>
      </c>
      <c r="F56" s="64">
        <v>5.15</v>
      </c>
      <c r="G56" s="64">
        <v>30.6</v>
      </c>
      <c r="H56" s="64">
        <v>21.9</v>
      </c>
      <c r="I56" s="64">
        <v>1.02</v>
      </c>
      <c r="J56" s="64">
        <v>0.75</v>
      </c>
      <c r="K56" s="64">
        <v>329.46</v>
      </c>
      <c r="L56" s="64">
        <v>27.97</v>
      </c>
      <c r="M56" s="64">
        <v>78.73</v>
      </c>
      <c r="N56" s="64">
        <v>189.7</v>
      </c>
      <c r="O56" s="64">
        <v>0</v>
      </c>
      <c r="P56" s="64">
        <v>0.4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14" t="s">
        <v>1831</v>
      </c>
      <c r="B57" s="64">
        <v>4.2300000000000004</v>
      </c>
      <c r="C57" s="64">
        <v>3.13</v>
      </c>
      <c r="D57" s="64">
        <v>7.22</v>
      </c>
      <c r="E57" s="64">
        <v>4.45</v>
      </c>
      <c r="F57" s="64">
        <v>5.1100000000000003</v>
      </c>
      <c r="G57" s="64">
        <v>30.6</v>
      </c>
      <c r="H57" s="64">
        <v>21.9</v>
      </c>
      <c r="I57" s="64">
        <v>1.01</v>
      </c>
      <c r="J57" s="64">
        <v>0.61</v>
      </c>
      <c r="K57" s="64">
        <v>344.85</v>
      </c>
      <c r="L57" s="64">
        <v>27.84</v>
      </c>
      <c r="M57" s="64">
        <v>79.27</v>
      </c>
      <c r="N57" s="64">
        <v>272.10000000000002</v>
      </c>
      <c r="O57" s="64">
        <v>0</v>
      </c>
      <c r="P57" s="64">
        <v>0.39</v>
      </c>
      <c r="Q57" s="64">
        <v>9.5299999999999994</v>
      </c>
      <c r="R57" s="198"/>
      <c r="S57" s="198"/>
      <c r="T57" s="198"/>
      <c r="U57" s="198"/>
    </row>
    <row r="58" spans="1:21" s="12" customFormat="1" x14ac:dyDescent="0.25">
      <c r="A58" s="214" t="s">
        <v>1832</v>
      </c>
      <c r="B58" s="64">
        <v>4.2300000000000004</v>
      </c>
      <c r="C58" s="64">
        <v>3.09</v>
      </c>
      <c r="D58" s="64">
        <v>7.2</v>
      </c>
      <c r="E58" s="64">
        <v>3.95</v>
      </c>
      <c r="F58" s="64">
        <v>6.18</v>
      </c>
      <c r="G58" s="64">
        <v>32.75</v>
      </c>
      <c r="H58" s="212" t="s">
        <v>42</v>
      </c>
      <c r="I58" s="64">
        <v>0.99</v>
      </c>
      <c r="J58" s="64">
        <v>0.62</v>
      </c>
      <c r="K58" s="64">
        <v>327.24</v>
      </c>
      <c r="L58" s="64">
        <v>27.78</v>
      </c>
      <c r="M58" s="64">
        <v>78.84</v>
      </c>
      <c r="N58" s="64">
        <v>195.9</v>
      </c>
      <c r="O58" s="64">
        <v>0</v>
      </c>
      <c r="P58" s="64">
        <v>0.4</v>
      </c>
      <c r="Q58" s="64">
        <v>9.59</v>
      </c>
      <c r="R58" s="198"/>
      <c r="S58" s="198"/>
      <c r="T58" s="198"/>
      <c r="U58" s="198"/>
    </row>
    <row r="59" spans="1:21" s="12" customFormat="1" x14ac:dyDescent="0.25">
      <c r="A59" s="214" t="s">
        <v>1833</v>
      </c>
      <c r="B59" s="64">
        <v>4.21</v>
      </c>
      <c r="C59" s="64">
        <v>3.06</v>
      </c>
      <c r="D59" s="64">
        <v>7.17</v>
      </c>
      <c r="E59" s="64">
        <v>4.22</v>
      </c>
      <c r="F59" s="64">
        <v>5.01</v>
      </c>
      <c r="G59" s="64">
        <v>33.49</v>
      </c>
      <c r="H59" s="212" t="s">
        <v>42</v>
      </c>
      <c r="I59" s="64">
        <v>1.01</v>
      </c>
      <c r="J59" s="64">
        <v>0.68</v>
      </c>
      <c r="K59" s="64">
        <v>332.12</v>
      </c>
      <c r="L59" s="64">
        <v>27.13</v>
      </c>
      <c r="M59" s="64">
        <v>80.38</v>
      </c>
      <c r="N59" s="64">
        <v>165.9</v>
      </c>
      <c r="O59" s="64">
        <v>0</v>
      </c>
      <c r="P59" s="64">
        <v>0.39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14" t="s">
        <v>1834</v>
      </c>
      <c r="B60" s="64">
        <v>4.24</v>
      </c>
      <c r="C60" s="64">
        <v>3.19</v>
      </c>
      <c r="D60" s="64">
        <v>7.26</v>
      </c>
      <c r="E60" s="64">
        <v>4.09</v>
      </c>
      <c r="F60" s="64">
        <v>5.91</v>
      </c>
      <c r="G60" s="64">
        <v>33.49</v>
      </c>
      <c r="H60" s="212" t="s">
        <v>42</v>
      </c>
      <c r="I60" s="64">
        <v>1.01</v>
      </c>
      <c r="J60" s="64">
        <v>0.68</v>
      </c>
      <c r="K60" s="64">
        <v>335.17</v>
      </c>
      <c r="L60" s="64">
        <v>26.75</v>
      </c>
      <c r="M60" s="64">
        <v>82.1</v>
      </c>
      <c r="N60" s="64">
        <v>148.69999999999999</v>
      </c>
      <c r="O60" s="64">
        <v>0</v>
      </c>
      <c r="P60" s="64">
        <v>0.38</v>
      </c>
      <c r="Q60" s="64">
        <v>9.56</v>
      </c>
      <c r="R60" s="198"/>
      <c r="S60" s="198"/>
      <c r="T60" s="198"/>
      <c r="U60" s="198"/>
    </row>
    <row r="61" spans="1:21" s="12" customFormat="1" x14ac:dyDescent="0.25">
      <c r="A61" s="214" t="s">
        <v>1835</v>
      </c>
      <c r="B61" s="64">
        <v>4.21</v>
      </c>
      <c r="C61" s="64">
        <v>3.16</v>
      </c>
      <c r="D61" s="64">
        <v>7.21</v>
      </c>
      <c r="E61" s="64">
        <v>4.18</v>
      </c>
      <c r="F61" s="64">
        <v>4.46</v>
      </c>
      <c r="G61" s="64">
        <v>33.49</v>
      </c>
      <c r="H61" s="212" t="s">
        <v>42</v>
      </c>
      <c r="I61" s="64">
        <v>1.01</v>
      </c>
      <c r="J61" s="64">
        <v>0.5</v>
      </c>
      <c r="K61" s="64">
        <v>354.59</v>
      </c>
      <c r="L61" s="64">
        <v>26.25</v>
      </c>
      <c r="M61" s="64">
        <v>87</v>
      </c>
      <c r="N61" s="64">
        <v>115.4</v>
      </c>
      <c r="O61" s="64">
        <v>0</v>
      </c>
      <c r="P61" s="64">
        <v>0.38</v>
      </c>
      <c r="Q61" s="64">
        <v>9.5399999999999991</v>
      </c>
      <c r="R61" s="198"/>
      <c r="S61" s="198"/>
      <c r="T61" s="198"/>
      <c r="U61" s="198"/>
    </row>
    <row r="62" spans="1:21" s="12" customFormat="1" x14ac:dyDescent="0.25">
      <c r="A62" s="214" t="s">
        <v>1836</v>
      </c>
      <c r="B62" s="64">
        <v>4.22</v>
      </c>
      <c r="C62" s="64">
        <v>3.18</v>
      </c>
      <c r="D62" s="64">
        <v>7.23</v>
      </c>
      <c r="E62" s="64">
        <v>4</v>
      </c>
      <c r="F62" s="64">
        <v>4.72</v>
      </c>
      <c r="G62" s="64">
        <v>30.41</v>
      </c>
      <c r="H62" s="64">
        <v>3.51</v>
      </c>
      <c r="I62" s="64">
        <v>1.04</v>
      </c>
      <c r="J62" s="64">
        <v>0.52</v>
      </c>
      <c r="K62" s="64">
        <v>359.26</v>
      </c>
      <c r="L62" s="64">
        <v>24.97</v>
      </c>
      <c r="M62" s="64">
        <v>99.73</v>
      </c>
      <c r="N62" s="64">
        <v>125</v>
      </c>
      <c r="O62" s="64">
        <v>0.2</v>
      </c>
      <c r="P62" s="64">
        <v>0.39</v>
      </c>
      <c r="Q62" s="64">
        <v>9.5</v>
      </c>
      <c r="R62" s="198"/>
      <c r="S62" s="198"/>
      <c r="T62" s="198"/>
      <c r="U62" s="198"/>
    </row>
    <row r="63" spans="1:21" s="12" customFormat="1" x14ac:dyDescent="0.25">
      <c r="A63" s="214" t="s">
        <v>1837</v>
      </c>
      <c r="B63" s="64">
        <v>4.22</v>
      </c>
      <c r="C63" s="64">
        <v>3.14</v>
      </c>
      <c r="D63" s="64">
        <v>7.22</v>
      </c>
      <c r="E63" s="64">
        <v>4.1500000000000004</v>
      </c>
      <c r="F63" s="64">
        <v>5.13</v>
      </c>
      <c r="G63" s="64">
        <v>29.35</v>
      </c>
      <c r="H63" s="64">
        <v>1.39</v>
      </c>
      <c r="I63" s="64">
        <v>1.04</v>
      </c>
      <c r="J63" s="64">
        <v>0.41</v>
      </c>
      <c r="K63" s="64">
        <v>354.74</v>
      </c>
      <c r="L63" s="64">
        <v>24.98</v>
      </c>
      <c r="M63" s="64">
        <v>99.34</v>
      </c>
      <c r="N63" s="64">
        <v>188.7</v>
      </c>
      <c r="O63" s="64">
        <v>0.2</v>
      </c>
      <c r="P63" s="64">
        <v>0.4</v>
      </c>
      <c r="Q63" s="64">
        <v>9.5399999999999991</v>
      </c>
      <c r="R63" s="198"/>
      <c r="S63" s="198"/>
      <c r="T63" s="198"/>
      <c r="U63" s="198"/>
    </row>
    <row r="64" spans="1:21" s="12" customFormat="1" x14ac:dyDescent="0.25">
      <c r="A64" s="214" t="s">
        <v>1838</v>
      </c>
      <c r="B64" s="64">
        <v>4.24</v>
      </c>
      <c r="C64" s="64">
        <v>3.16</v>
      </c>
      <c r="D64" s="64">
        <v>7.25</v>
      </c>
      <c r="E64" s="64">
        <v>3.87</v>
      </c>
      <c r="F64" s="64">
        <v>3.11</v>
      </c>
      <c r="G64" s="64">
        <v>29.35</v>
      </c>
      <c r="H64" s="64">
        <v>1.39</v>
      </c>
      <c r="I64" s="64">
        <v>1.02</v>
      </c>
      <c r="J64" s="64">
        <v>0.57999999999999996</v>
      </c>
      <c r="K64" s="64">
        <v>345.58</v>
      </c>
      <c r="L64" s="64">
        <v>25.88</v>
      </c>
      <c r="M64" s="64">
        <v>93.62</v>
      </c>
      <c r="N64" s="64">
        <v>201.5</v>
      </c>
      <c r="O64" s="64">
        <v>0</v>
      </c>
      <c r="P64" s="64">
        <v>0.41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14" t="s">
        <v>1839</v>
      </c>
      <c r="B65" s="64">
        <v>4.26</v>
      </c>
      <c r="C65" s="64">
        <v>3.18</v>
      </c>
      <c r="D65" s="64">
        <v>7.27</v>
      </c>
      <c r="E65" s="64">
        <v>4.43</v>
      </c>
      <c r="F65" s="64">
        <v>4.18</v>
      </c>
      <c r="G65" s="64">
        <v>29.35</v>
      </c>
      <c r="H65" s="64">
        <v>1.39</v>
      </c>
      <c r="I65" s="64">
        <v>1.06</v>
      </c>
      <c r="J65" s="64">
        <v>0.56999999999999995</v>
      </c>
      <c r="K65" s="64">
        <v>338.65</v>
      </c>
      <c r="L65" s="64">
        <v>26.01</v>
      </c>
      <c r="M65" s="64">
        <v>91.67</v>
      </c>
      <c r="N65" s="64">
        <v>154.1</v>
      </c>
      <c r="O65" s="64">
        <v>0</v>
      </c>
      <c r="P65" s="64">
        <v>0.41</v>
      </c>
      <c r="Q65" s="64">
        <v>9.48</v>
      </c>
      <c r="R65" s="198"/>
      <c r="S65" s="198"/>
      <c r="T65" s="198"/>
      <c r="U65" s="198"/>
    </row>
    <row r="66" spans="1:21" s="12" customFormat="1" x14ac:dyDescent="0.25">
      <c r="A66" s="214" t="s">
        <v>1840</v>
      </c>
      <c r="B66" s="64">
        <v>4.29</v>
      </c>
      <c r="C66" s="64">
        <v>3.15</v>
      </c>
      <c r="D66" s="64">
        <v>7.28</v>
      </c>
      <c r="E66" s="64">
        <v>4.3</v>
      </c>
      <c r="F66" s="64">
        <v>4.21</v>
      </c>
      <c r="G66" s="64">
        <v>25.88</v>
      </c>
      <c r="H66" s="64">
        <v>7.47</v>
      </c>
      <c r="I66" s="64">
        <v>1.0900000000000001</v>
      </c>
      <c r="J66" s="64">
        <v>0.65</v>
      </c>
      <c r="K66" s="64">
        <v>334.82</v>
      </c>
      <c r="L66" s="64">
        <v>26.34</v>
      </c>
      <c r="M66" s="64">
        <v>90.4</v>
      </c>
      <c r="N66" s="64">
        <v>251.3</v>
      </c>
      <c r="O66" s="64">
        <v>0</v>
      </c>
      <c r="P66" s="64">
        <v>0.42</v>
      </c>
      <c r="Q66" s="64">
        <v>9.5</v>
      </c>
      <c r="R66" s="198"/>
      <c r="S66" s="198"/>
      <c r="T66" s="198"/>
      <c r="U66" s="198"/>
    </row>
    <row r="67" spans="1:21" s="12" customFormat="1" x14ac:dyDescent="0.25">
      <c r="A67" s="214" t="s">
        <v>1841</v>
      </c>
      <c r="B67" s="64">
        <v>4.28</v>
      </c>
      <c r="C67" s="64">
        <v>3.15</v>
      </c>
      <c r="D67" s="64">
        <v>7.27</v>
      </c>
      <c r="E67" s="64">
        <v>4.2300000000000004</v>
      </c>
      <c r="F67" s="64">
        <v>4.4400000000000004</v>
      </c>
      <c r="G67" s="64">
        <v>24.69</v>
      </c>
      <c r="H67" s="64">
        <v>7.56</v>
      </c>
      <c r="I67" s="64">
        <v>1.1000000000000001</v>
      </c>
      <c r="J67" s="64">
        <v>0.48</v>
      </c>
      <c r="K67" s="64">
        <v>358.41</v>
      </c>
      <c r="L67" s="64">
        <v>27.32</v>
      </c>
      <c r="M67" s="64">
        <v>83.1</v>
      </c>
      <c r="N67" s="64">
        <v>266.5</v>
      </c>
      <c r="O67" s="64">
        <v>0</v>
      </c>
      <c r="P67" s="64">
        <v>0.43</v>
      </c>
      <c r="Q67" s="64">
        <v>9.5299999999999994</v>
      </c>
      <c r="R67" s="198"/>
      <c r="S67" s="198"/>
      <c r="T67" s="198"/>
      <c r="U67" s="198"/>
    </row>
    <row r="68" spans="1:21" s="12" customFormat="1" x14ac:dyDescent="0.25">
      <c r="A68" s="214" t="s">
        <v>1842</v>
      </c>
      <c r="B68" s="64">
        <v>4.28</v>
      </c>
      <c r="C68" s="64">
        <v>3.15</v>
      </c>
      <c r="D68" s="64">
        <v>7.27</v>
      </c>
      <c r="E68" s="64">
        <v>4.05</v>
      </c>
      <c r="F68" s="64">
        <v>5.13</v>
      </c>
      <c r="G68" s="64">
        <v>24.69</v>
      </c>
      <c r="H68" s="64">
        <v>7.56</v>
      </c>
      <c r="I68" s="64">
        <v>1.1100000000000001</v>
      </c>
      <c r="J68" s="64">
        <v>0.57999999999999996</v>
      </c>
      <c r="K68" s="64">
        <v>345.61</v>
      </c>
      <c r="L68" s="64">
        <v>27.29</v>
      </c>
      <c r="M68" s="64">
        <v>82.97</v>
      </c>
      <c r="N68" s="64">
        <v>182.7</v>
      </c>
      <c r="O68" s="64">
        <v>0</v>
      </c>
      <c r="P68" s="64">
        <v>0.43</v>
      </c>
      <c r="Q68" s="64">
        <v>9.5299999999999994</v>
      </c>
      <c r="R68" s="198"/>
      <c r="S68" s="198"/>
      <c r="T68" s="198"/>
      <c r="U68" s="198"/>
    </row>
    <row r="69" spans="1:21" s="12" customFormat="1" x14ac:dyDescent="0.25">
      <c r="A69" s="214" t="s">
        <v>1843</v>
      </c>
      <c r="B69" s="64">
        <v>4.2699999999999996</v>
      </c>
      <c r="C69" s="64">
        <v>3.12</v>
      </c>
      <c r="D69" s="64">
        <v>7.24</v>
      </c>
      <c r="E69" s="64">
        <v>3.96</v>
      </c>
      <c r="F69" s="64">
        <v>4.58</v>
      </c>
      <c r="G69" s="64">
        <v>24.69</v>
      </c>
      <c r="H69" s="64">
        <v>7.56</v>
      </c>
      <c r="I69" s="64">
        <v>1.1399999999999999</v>
      </c>
      <c r="J69" s="64">
        <v>0.49</v>
      </c>
      <c r="K69" s="64">
        <v>5.71</v>
      </c>
      <c r="L69" s="64">
        <v>26.98</v>
      </c>
      <c r="M69" s="64">
        <v>83.76</v>
      </c>
      <c r="N69" s="64">
        <v>155.19999999999999</v>
      </c>
      <c r="O69" s="64">
        <v>0</v>
      </c>
      <c r="P69" s="64">
        <v>0.43</v>
      </c>
      <c r="Q69" s="64">
        <v>9.5299999999999994</v>
      </c>
      <c r="R69" s="198"/>
      <c r="S69" s="198"/>
      <c r="T69" s="198"/>
      <c r="U69" s="198"/>
    </row>
    <row r="70" spans="1:21" s="12" customFormat="1" x14ac:dyDescent="0.25">
      <c r="A70" s="214" t="s">
        <v>1844</v>
      </c>
      <c r="B70" s="64">
        <v>4.2699999999999996</v>
      </c>
      <c r="C70" s="64">
        <v>3.2</v>
      </c>
      <c r="D70" s="64">
        <v>7.29</v>
      </c>
      <c r="E70" s="64">
        <v>4.1399999999999997</v>
      </c>
      <c r="F70" s="64">
        <v>4.09</v>
      </c>
      <c r="G70" s="64">
        <v>29.06</v>
      </c>
      <c r="H70" s="64">
        <v>20.28</v>
      </c>
      <c r="I70" s="64">
        <v>1.2</v>
      </c>
      <c r="J70" s="64">
        <v>0.56000000000000005</v>
      </c>
      <c r="K70" s="64">
        <v>355.99</v>
      </c>
      <c r="L70" s="64">
        <v>27.15</v>
      </c>
      <c r="M70" s="64">
        <v>84.77</v>
      </c>
      <c r="N70" s="64">
        <v>194.8</v>
      </c>
      <c r="O70" s="64">
        <v>0</v>
      </c>
      <c r="P70" s="64">
        <v>0.44</v>
      </c>
      <c r="Q70" s="64">
        <v>9.5299999999999994</v>
      </c>
      <c r="R70" s="198"/>
      <c r="S70" s="198"/>
      <c r="T70" s="198"/>
      <c r="U70" s="198"/>
    </row>
    <row r="71" spans="1:21" s="12" customFormat="1" x14ac:dyDescent="0.25">
      <c r="A71" s="214" t="s">
        <v>1845</v>
      </c>
      <c r="B71" s="64">
        <v>4.2699999999999996</v>
      </c>
      <c r="C71" s="64">
        <v>3.17</v>
      </c>
      <c r="D71" s="64">
        <v>7.27</v>
      </c>
      <c r="E71" s="64">
        <v>3.98</v>
      </c>
      <c r="F71" s="64">
        <v>4.3</v>
      </c>
      <c r="G71" s="64">
        <v>30.56</v>
      </c>
      <c r="H71" s="64">
        <v>20.28</v>
      </c>
      <c r="I71" s="64">
        <v>1.2</v>
      </c>
      <c r="J71" s="64">
        <v>0.42</v>
      </c>
      <c r="K71" s="64">
        <v>354.95</v>
      </c>
      <c r="L71" s="64">
        <v>26.96</v>
      </c>
      <c r="M71" s="64">
        <v>86.29</v>
      </c>
      <c r="N71" s="64">
        <v>127.3</v>
      </c>
      <c r="O71" s="64">
        <v>0</v>
      </c>
      <c r="P71" s="64">
        <v>0.44</v>
      </c>
      <c r="Q71" s="64">
        <v>9.52</v>
      </c>
      <c r="R71" s="198"/>
      <c r="S71" s="198"/>
      <c r="T71" s="198"/>
      <c r="U71" s="198"/>
    </row>
    <row r="72" spans="1:21" s="12" customFormat="1" x14ac:dyDescent="0.25">
      <c r="A72" s="214" t="s">
        <v>1846</v>
      </c>
      <c r="B72" s="64">
        <v>4.26</v>
      </c>
      <c r="C72" s="64">
        <v>3.13</v>
      </c>
      <c r="D72" s="64">
        <v>7.24</v>
      </c>
      <c r="E72" s="64">
        <v>3.26</v>
      </c>
      <c r="F72" s="64">
        <v>5.39</v>
      </c>
      <c r="G72" s="64">
        <v>30.56</v>
      </c>
      <c r="H72" s="64">
        <v>20.28</v>
      </c>
      <c r="I72" s="64">
        <v>1.22</v>
      </c>
      <c r="J72" s="64">
        <v>0.47</v>
      </c>
      <c r="K72" s="64">
        <v>358.33</v>
      </c>
      <c r="L72" s="64">
        <v>26.8</v>
      </c>
      <c r="M72" s="64">
        <v>86.81</v>
      </c>
      <c r="N72" s="64">
        <v>114.4</v>
      </c>
      <c r="O72" s="64">
        <v>0</v>
      </c>
      <c r="P72" s="64">
        <v>0.45</v>
      </c>
      <c r="Q72" s="64">
        <v>9.5500000000000007</v>
      </c>
      <c r="R72" s="198"/>
      <c r="S72" s="198"/>
      <c r="T72" s="198"/>
      <c r="U72" s="198"/>
    </row>
    <row r="73" spans="1:21" s="12" customFormat="1" x14ac:dyDescent="0.25">
      <c r="A73" s="214" t="s">
        <v>1847</v>
      </c>
      <c r="B73" s="64">
        <v>4.21</v>
      </c>
      <c r="C73" s="64">
        <v>3.1</v>
      </c>
      <c r="D73" s="64">
        <v>7.19</v>
      </c>
      <c r="E73" s="64">
        <v>3.2</v>
      </c>
      <c r="F73" s="64">
        <v>4.25</v>
      </c>
      <c r="G73" s="64">
        <v>30.56</v>
      </c>
      <c r="H73" s="64">
        <v>20.28</v>
      </c>
      <c r="I73" s="64">
        <v>1.31</v>
      </c>
      <c r="J73" s="64">
        <v>0.5</v>
      </c>
      <c r="K73" s="64">
        <v>9.67</v>
      </c>
      <c r="L73" s="64">
        <v>26.8</v>
      </c>
      <c r="M73" s="64">
        <v>86.92</v>
      </c>
      <c r="N73" s="64">
        <v>121</v>
      </c>
      <c r="O73" s="64">
        <v>0</v>
      </c>
      <c r="P73" s="64">
        <v>0.45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14" t="s">
        <v>1848</v>
      </c>
      <c r="B74" s="64">
        <v>4.2300000000000004</v>
      </c>
      <c r="C74" s="64">
        <v>3.09</v>
      </c>
      <c r="D74" s="64">
        <v>7.19</v>
      </c>
      <c r="E74" s="64">
        <v>3.18</v>
      </c>
      <c r="F74" s="64">
        <v>4.6900000000000004</v>
      </c>
      <c r="G74" s="64">
        <v>30.62</v>
      </c>
      <c r="H74" s="64">
        <v>3.52</v>
      </c>
      <c r="I74" s="64">
        <v>1.38</v>
      </c>
      <c r="J74" s="64">
        <v>0.45</v>
      </c>
      <c r="K74" s="64">
        <v>8.34</v>
      </c>
      <c r="L74" s="64">
        <v>26.64</v>
      </c>
      <c r="M74" s="64">
        <v>89.28</v>
      </c>
      <c r="N74" s="64">
        <v>105.5</v>
      </c>
      <c r="O74" s="64">
        <v>0</v>
      </c>
      <c r="P74" s="64">
        <v>0.44</v>
      </c>
      <c r="Q74" s="64">
        <v>9.5500000000000007</v>
      </c>
      <c r="R74" s="198"/>
      <c r="S74" s="198"/>
      <c r="T74" s="198"/>
      <c r="U74" s="198"/>
    </row>
    <row r="75" spans="1:21" s="12" customFormat="1" x14ac:dyDescent="0.25">
      <c r="A75" s="214" t="s">
        <v>1849</v>
      </c>
      <c r="B75" s="64">
        <v>4.2300000000000004</v>
      </c>
      <c r="C75" s="64">
        <v>3.16</v>
      </c>
      <c r="D75" s="64">
        <v>7.24</v>
      </c>
      <c r="E75" s="64">
        <v>2.91</v>
      </c>
      <c r="F75" s="64">
        <v>4.6500000000000004</v>
      </c>
      <c r="G75" s="64">
        <v>30.64</v>
      </c>
      <c r="H75" s="64">
        <v>3.26</v>
      </c>
      <c r="I75" s="64">
        <v>1.37</v>
      </c>
      <c r="J75" s="64">
        <v>0.53</v>
      </c>
      <c r="K75" s="64">
        <v>7.64</v>
      </c>
      <c r="L75" s="64">
        <v>26.38</v>
      </c>
      <c r="M75" s="64">
        <v>90.23</v>
      </c>
      <c r="N75" s="64">
        <v>70.400000000000006</v>
      </c>
      <c r="O75" s="64">
        <v>0</v>
      </c>
      <c r="P75" s="64">
        <v>0.47</v>
      </c>
      <c r="Q75" s="64">
        <v>9.5500000000000007</v>
      </c>
      <c r="R75" s="198"/>
      <c r="S75" s="198"/>
      <c r="T75" s="198"/>
      <c r="U75" s="198"/>
    </row>
    <row r="76" spans="1:21" s="12" customFormat="1" x14ac:dyDescent="0.25">
      <c r="A76" s="214" t="s">
        <v>1850</v>
      </c>
      <c r="B76" s="64">
        <v>4.22</v>
      </c>
      <c r="C76" s="64">
        <v>3.22</v>
      </c>
      <c r="D76" s="64">
        <v>7.26</v>
      </c>
      <c r="E76" s="64">
        <v>2.9</v>
      </c>
      <c r="F76" s="64">
        <v>3.44</v>
      </c>
      <c r="G76" s="64">
        <v>30.64</v>
      </c>
      <c r="H76" s="64">
        <v>3.26</v>
      </c>
      <c r="I76" s="64">
        <v>1.39</v>
      </c>
      <c r="J76" s="64">
        <v>0.46</v>
      </c>
      <c r="K76" s="64">
        <v>16.86</v>
      </c>
      <c r="L76" s="64">
        <v>25.99</v>
      </c>
      <c r="M76" s="64">
        <v>91.82</v>
      </c>
      <c r="N76" s="64">
        <v>50.1</v>
      </c>
      <c r="O76" s="64">
        <v>0</v>
      </c>
      <c r="P76" s="64">
        <v>0.46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14" t="s">
        <v>1851</v>
      </c>
      <c r="B77" s="64">
        <v>4.21</v>
      </c>
      <c r="C77" s="64">
        <v>3.12</v>
      </c>
      <c r="D77" s="64">
        <v>7.2</v>
      </c>
      <c r="E77" s="64">
        <v>3.16</v>
      </c>
      <c r="F77" s="64">
        <v>4.57</v>
      </c>
      <c r="G77" s="64">
        <v>30.64</v>
      </c>
      <c r="H77" s="64">
        <v>3.26</v>
      </c>
      <c r="I77" s="64">
        <v>1.47</v>
      </c>
      <c r="J77" s="64">
        <v>0.42</v>
      </c>
      <c r="K77" s="64">
        <v>9.77</v>
      </c>
      <c r="L77" s="64">
        <v>25.16</v>
      </c>
      <c r="M77" s="64">
        <v>99.48</v>
      </c>
      <c r="N77" s="64">
        <v>36.1</v>
      </c>
      <c r="O77" s="64">
        <v>0</v>
      </c>
      <c r="P77" s="64">
        <v>0.49</v>
      </c>
      <c r="Q77" s="64">
        <v>9.5500000000000007</v>
      </c>
      <c r="R77" s="198"/>
      <c r="S77" s="198"/>
      <c r="T77" s="198"/>
      <c r="U77" s="198"/>
    </row>
    <row r="78" spans="1:21" s="12" customFormat="1" x14ac:dyDescent="0.25">
      <c r="A78" s="214" t="s">
        <v>1852</v>
      </c>
      <c r="B78" s="64">
        <v>4.21</v>
      </c>
      <c r="C78" s="64">
        <v>3.1</v>
      </c>
      <c r="D78" s="64">
        <v>7.19</v>
      </c>
      <c r="E78" s="64">
        <v>2.99</v>
      </c>
      <c r="F78" s="64">
        <v>2.73</v>
      </c>
      <c r="G78" s="64">
        <v>33.57</v>
      </c>
      <c r="H78" s="64">
        <v>35.44</v>
      </c>
      <c r="I78" s="64">
        <v>1.52</v>
      </c>
      <c r="J78" s="64">
        <v>0.28000000000000003</v>
      </c>
      <c r="K78" s="64">
        <v>0.26</v>
      </c>
      <c r="L78" s="64">
        <v>24.69</v>
      </c>
      <c r="M78" s="64">
        <v>101.69</v>
      </c>
      <c r="N78" s="64">
        <v>37.4</v>
      </c>
      <c r="O78" s="64">
        <v>0</v>
      </c>
      <c r="P78" s="64">
        <v>0.48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14" t="s">
        <v>1853</v>
      </c>
      <c r="B79" s="64">
        <v>4.24</v>
      </c>
      <c r="C79" s="64">
        <v>3.15</v>
      </c>
      <c r="D79" s="64">
        <v>7.23</v>
      </c>
      <c r="E79" s="64">
        <v>3</v>
      </c>
      <c r="F79" s="64">
        <v>4.54</v>
      </c>
      <c r="G79" s="64">
        <v>34.58</v>
      </c>
      <c r="H79" s="64">
        <v>35.93</v>
      </c>
      <c r="I79" s="64">
        <v>1.56</v>
      </c>
      <c r="J79" s="64">
        <v>0.14000000000000001</v>
      </c>
      <c r="K79" s="64">
        <v>335.17</v>
      </c>
      <c r="L79" s="64">
        <v>24.72</v>
      </c>
      <c r="M79" s="64">
        <v>101.72</v>
      </c>
      <c r="N79" s="64">
        <v>36.9</v>
      </c>
      <c r="O79" s="64">
        <v>0</v>
      </c>
      <c r="P79" s="64">
        <v>0.48</v>
      </c>
      <c r="Q79" s="64">
        <v>9.58</v>
      </c>
      <c r="R79" s="198"/>
      <c r="S79" s="198"/>
      <c r="T79" s="198"/>
      <c r="U79" s="198"/>
    </row>
    <row r="80" spans="1:21" s="12" customFormat="1" x14ac:dyDescent="0.25">
      <c r="A80" s="214" t="s">
        <v>1854</v>
      </c>
      <c r="B80" s="64">
        <v>4.2300000000000004</v>
      </c>
      <c r="C80" s="64">
        <v>3.12</v>
      </c>
      <c r="D80" s="64">
        <v>7.21</v>
      </c>
      <c r="E80" s="64">
        <v>3.29</v>
      </c>
      <c r="F80" s="64">
        <v>2.91</v>
      </c>
      <c r="G80" s="64">
        <v>34.58</v>
      </c>
      <c r="H80" s="64">
        <v>35.93</v>
      </c>
      <c r="I80" s="64">
        <v>1.77</v>
      </c>
      <c r="J80" s="64">
        <v>0.3</v>
      </c>
      <c r="K80" s="64">
        <v>21.02</v>
      </c>
      <c r="L80" s="64">
        <v>24.79</v>
      </c>
      <c r="M80" s="64">
        <v>101.73</v>
      </c>
      <c r="N80" s="64">
        <v>30.5</v>
      </c>
      <c r="O80" s="64">
        <v>0</v>
      </c>
      <c r="P80" s="64">
        <v>0.48</v>
      </c>
      <c r="Q80" s="64">
        <v>9.5500000000000007</v>
      </c>
      <c r="R80" s="198"/>
      <c r="S80" s="198"/>
      <c r="T80" s="198"/>
      <c r="U80" s="198"/>
    </row>
    <row r="81" spans="1:26" s="12" customFormat="1" x14ac:dyDescent="0.25">
      <c r="A81" s="214" t="s">
        <v>1855</v>
      </c>
      <c r="B81" s="64">
        <v>4.25</v>
      </c>
      <c r="C81" s="64">
        <v>3.18</v>
      </c>
      <c r="D81" s="64">
        <v>7.26</v>
      </c>
      <c r="E81" s="64">
        <v>2.75</v>
      </c>
      <c r="F81" s="64">
        <v>3.63</v>
      </c>
      <c r="G81" s="64">
        <v>34.58</v>
      </c>
      <c r="H81" s="64">
        <v>35.93</v>
      </c>
      <c r="I81" s="64">
        <v>2.15</v>
      </c>
      <c r="J81" s="64">
        <v>0.47</v>
      </c>
      <c r="K81" s="64">
        <v>16.91</v>
      </c>
      <c r="L81" s="64">
        <v>24.88</v>
      </c>
      <c r="M81" s="64">
        <v>101.69</v>
      </c>
      <c r="N81" s="64">
        <v>26.9</v>
      </c>
      <c r="O81" s="64">
        <v>0</v>
      </c>
      <c r="P81" s="64">
        <v>0.54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14" t="s">
        <v>1856</v>
      </c>
      <c r="B82" s="64">
        <v>4.28</v>
      </c>
      <c r="C82" s="64">
        <v>3.21</v>
      </c>
      <c r="D82" s="64">
        <v>7.3</v>
      </c>
      <c r="E82" s="64">
        <v>2.79</v>
      </c>
      <c r="F82" s="64">
        <v>3.7</v>
      </c>
      <c r="G82" s="64">
        <v>34.020000000000003</v>
      </c>
      <c r="H82" s="64">
        <v>15.72</v>
      </c>
      <c r="I82" s="64">
        <v>2.5099999999999998</v>
      </c>
      <c r="J82" s="64">
        <v>0.28999999999999998</v>
      </c>
      <c r="K82" s="64">
        <v>13.56</v>
      </c>
      <c r="L82" s="64">
        <v>24.24</v>
      </c>
      <c r="M82" s="64">
        <v>101.73</v>
      </c>
      <c r="N82" s="64">
        <v>25.8</v>
      </c>
      <c r="O82" s="64">
        <v>0</v>
      </c>
      <c r="P82" s="64">
        <v>0.56000000000000005</v>
      </c>
      <c r="Q82" s="64">
        <v>9.5399999999999991</v>
      </c>
      <c r="R82" s="198"/>
      <c r="S82" s="198"/>
      <c r="T82" s="198"/>
      <c r="U82" s="198"/>
    </row>
    <row r="83" spans="1:26" s="12" customFormat="1" x14ac:dyDescent="0.25">
      <c r="A83" s="214" t="s">
        <v>1857</v>
      </c>
      <c r="B83" s="64">
        <v>4.28</v>
      </c>
      <c r="C83" s="64">
        <v>3.18</v>
      </c>
      <c r="D83" s="64">
        <v>7.28</v>
      </c>
      <c r="E83" s="64">
        <v>2.93</v>
      </c>
      <c r="F83" s="64">
        <v>3.77</v>
      </c>
      <c r="G83" s="64">
        <v>33.83</v>
      </c>
      <c r="H83" s="64">
        <v>15.72</v>
      </c>
      <c r="I83" s="64">
        <v>2.77</v>
      </c>
      <c r="J83" s="64">
        <v>0.21</v>
      </c>
      <c r="K83" s="64">
        <v>28.59</v>
      </c>
      <c r="L83" s="64">
        <v>24.02</v>
      </c>
      <c r="M83" s="64">
        <v>101.75</v>
      </c>
      <c r="N83" s="64">
        <v>25.7</v>
      </c>
      <c r="O83" s="64">
        <v>0</v>
      </c>
      <c r="P83" s="64">
        <v>0.51</v>
      </c>
      <c r="Q83" s="64">
        <v>9.56</v>
      </c>
      <c r="R83" s="198"/>
      <c r="S83" s="198"/>
      <c r="T83" s="198"/>
      <c r="U83" s="198"/>
    </row>
    <row r="84" spans="1:26" s="12" customFormat="1" x14ac:dyDescent="0.25">
      <c r="A84" s="214" t="s">
        <v>1858</v>
      </c>
      <c r="B84" s="64">
        <v>4.29</v>
      </c>
      <c r="C84" s="64">
        <v>3.23</v>
      </c>
      <c r="D84" s="64">
        <v>7.31</v>
      </c>
      <c r="E84" s="64">
        <v>3.01</v>
      </c>
      <c r="F84" s="64">
        <v>3.11</v>
      </c>
      <c r="G84" s="64">
        <v>33.83</v>
      </c>
      <c r="H84" s="64">
        <v>15.72</v>
      </c>
      <c r="I84" s="64">
        <v>2.4700000000000002</v>
      </c>
      <c r="J84" s="64">
        <v>0.15</v>
      </c>
      <c r="K84" s="64">
        <v>1.47</v>
      </c>
      <c r="L84" s="64">
        <v>24.13</v>
      </c>
      <c r="M84" s="64">
        <v>101.74</v>
      </c>
      <c r="N84" s="64">
        <v>26.3</v>
      </c>
      <c r="O84" s="64">
        <v>0</v>
      </c>
      <c r="P84" s="64">
        <v>0.48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4" t="s">
        <v>1859</v>
      </c>
      <c r="B85" s="64">
        <v>4.29</v>
      </c>
      <c r="C85" s="64">
        <v>3.11</v>
      </c>
      <c r="D85" s="64">
        <v>7.25</v>
      </c>
      <c r="E85" s="64">
        <v>3.06</v>
      </c>
      <c r="F85" s="64">
        <v>4.3499999999999996</v>
      </c>
      <c r="G85" s="64">
        <v>33.83</v>
      </c>
      <c r="H85" s="64">
        <v>15.72</v>
      </c>
      <c r="I85" s="64">
        <v>2.25</v>
      </c>
      <c r="J85" s="64">
        <v>0.39</v>
      </c>
      <c r="K85" s="64">
        <v>8.52</v>
      </c>
      <c r="L85" s="64">
        <v>24.19</v>
      </c>
      <c r="M85" s="64">
        <v>101.72</v>
      </c>
      <c r="N85" s="64">
        <v>26.5</v>
      </c>
      <c r="O85" s="64">
        <v>0</v>
      </c>
      <c r="P85" s="64">
        <v>0.46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4" t="s">
        <v>1860</v>
      </c>
      <c r="B86" s="64">
        <v>4.2699999999999996</v>
      </c>
      <c r="C86" s="64">
        <v>3.15</v>
      </c>
      <c r="D86" s="64">
        <v>7.26</v>
      </c>
      <c r="E86" s="64">
        <v>3.28</v>
      </c>
      <c r="F86" s="64">
        <v>3.54</v>
      </c>
      <c r="G86" s="64">
        <v>31.45</v>
      </c>
      <c r="H86" s="64">
        <v>14.11</v>
      </c>
      <c r="I86" s="64">
        <v>3</v>
      </c>
      <c r="J86" s="64">
        <v>7.0000000000000007E-2</v>
      </c>
      <c r="K86" s="64">
        <v>134.57</v>
      </c>
      <c r="L86" s="64">
        <v>24.21</v>
      </c>
      <c r="M86" s="64">
        <v>101.72</v>
      </c>
      <c r="N86" s="64">
        <v>26.2</v>
      </c>
      <c r="O86" s="64">
        <v>0</v>
      </c>
      <c r="P86" s="64">
        <v>0.53</v>
      </c>
      <c r="Q86" s="64">
        <v>9.57</v>
      </c>
      <c r="R86" s="198"/>
      <c r="S86" s="198"/>
      <c r="T86" s="198"/>
      <c r="U86" s="198"/>
    </row>
    <row r="87" spans="1:26" s="12" customFormat="1" x14ac:dyDescent="0.25">
      <c r="A87" s="214" t="s">
        <v>1861</v>
      </c>
      <c r="B87" s="64">
        <v>4.2699999999999996</v>
      </c>
      <c r="C87" s="64">
        <v>3.16</v>
      </c>
      <c r="D87" s="64">
        <v>7.26</v>
      </c>
      <c r="E87" s="64">
        <v>2.91</v>
      </c>
      <c r="F87" s="64">
        <v>4.0999999999999996</v>
      </c>
      <c r="G87" s="64">
        <v>30.64</v>
      </c>
      <c r="H87" s="64">
        <v>14.11</v>
      </c>
      <c r="I87" s="64">
        <v>3.75</v>
      </c>
      <c r="J87" s="64">
        <v>0.2</v>
      </c>
      <c r="K87" s="64">
        <v>7.85</v>
      </c>
      <c r="L87" s="64">
        <v>24.2</v>
      </c>
      <c r="M87" s="64">
        <v>101.72</v>
      </c>
      <c r="N87" s="64">
        <v>26.3</v>
      </c>
      <c r="O87" s="64">
        <v>0</v>
      </c>
      <c r="P87" s="64">
        <v>0.45</v>
      </c>
      <c r="Q87" s="64">
        <v>9.57</v>
      </c>
      <c r="R87" s="198"/>
      <c r="S87" s="198"/>
      <c r="T87" s="198"/>
      <c r="U87" s="198"/>
    </row>
    <row r="88" spans="1:26" s="12" customFormat="1" x14ac:dyDescent="0.25">
      <c r="A88" s="214" t="s">
        <v>1862</v>
      </c>
      <c r="B88" s="64">
        <v>4.25</v>
      </c>
      <c r="C88" s="64">
        <v>3.18</v>
      </c>
      <c r="D88" s="64">
        <v>7.26</v>
      </c>
      <c r="E88" s="64">
        <v>5.54</v>
      </c>
      <c r="F88" s="64">
        <v>4.1500000000000004</v>
      </c>
      <c r="G88" s="64">
        <v>30.64</v>
      </c>
      <c r="H88" s="64">
        <v>14.11</v>
      </c>
      <c r="I88" s="64">
        <v>3.03</v>
      </c>
      <c r="J88" s="64">
        <v>0.35</v>
      </c>
      <c r="K88" s="64">
        <v>345.16</v>
      </c>
      <c r="L88" s="64">
        <v>24.2</v>
      </c>
      <c r="M88" s="64">
        <v>101.46</v>
      </c>
      <c r="N88" s="64">
        <v>26.5</v>
      </c>
      <c r="O88" s="64">
        <v>0</v>
      </c>
      <c r="P88" s="64">
        <v>0.46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14" t="s">
        <v>1863</v>
      </c>
      <c r="B89" s="64">
        <v>4.21</v>
      </c>
      <c r="C89" s="64">
        <v>3.16</v>
      </c>
      <c r="D89" s="64">
        <v>7.22</v>
      </c>
      <c r="E89" s="64">
        <v>4.32</v>
      </c>
      <c r="F89" s="64">
        <v>4.9800000000000004</v>
      </c>
      <c r="G89" s="64">
        <v>30.64</v>
      </c>
      <c r="H89" s="64">
        <v>14.11</v>
      </c>
      <c r="I89" s="64">
        <v>3.39</v>
      </c>
      <c r="J89" s="64">
        <v>0.36</v>
      </c>
      <c r="K89" s="64">
        <v>8.25</v>
      </c>
      <c r="L89" s="64">
        <v>24.24</v>
      </c>
      <c r="M89" s="64">
        <v>101.59</v>
      </c>
      <c r="N89" s="64">
        <v>26.3</v>
      </c>
      <c r="O89" s="64">
        <v>0</v>
      </c>
      <c r="P89" s="64">
        <v>0.47</v>
      </c>
      <c r="Q89" s="64">
        <v>9.52</v>
      </c>
      <c r="R89" s="198"/>
      <c r="S89" s="198"/>
      <c r="T89" s="198"/>
      <c r="U89" s="198"/>
    </row>
    <row r="90" spans="1:26" s="12" customFormat="1" x14ac:dyDescent="0.25">
      <c r="A90" s="214" t="s">
        <v>1864</v>
      </c>
      <c r="B90" s="64">
        <v>4.2</v>
      </c>
      <c r="C90" s="64">
        <v>3.11</v>
      </c>
      <c r="D90" s="64">
        <v>7.18</v>
      </c>
      <c r="E90" s="64">
        <v>4.76</v>
      </c>
      <c r="F90" s="64">
        <v>2.62</v>
      </c>
      <c r="G90" s="64">
        <v>25.26</v>
      </c>
      <c r="H90" s="64">
        <v>25.42</v>
      </c>
      <c r="I90" s="64">
        <v>4.7300000000000004</v>
      </c>
      <c r="J90" s="64">
        <v>0.3</v>
      </c>
      <c r="K90" s="64">
        <v>4.6399999999999997</v>
      </c>
      <c r="L90" s="64">
        <v>24.24</v>
      </c>
      <c r="M90" s="64">
        <v>101.69</v>
      </c>
      <c r="N90" s="64">
        <v>26.1</v>
      </c>
      <c r="O90" s="64">
        <v>0</v>
      </c>
      <c r="P90" s="64">
        <v>0.47</v>
      </c>
      <c r="Q90" s="64">
        <v>9.4700000000000006</v>
      </c>
      <c r="R90" s="198"/>
      <c r="S90" s="198"/>
      <c r="T90" s="198"/>
      <c r="U90" s="198"/>
    </row>
    <row r="91" spans="1:26" s="12" customFormat="1" x14ac:dyDescent="0.25">
      <c r="A91" s="214" t="s">
        <v>1865</v>
      </c>
      <c r="B91" s="64">
        <v>4.2</v>
      </c>
      <c r="C91" s="64">
        <v>3.1</v>
      </c>
      <c r="D91" s="64">
        <v>7.17</v>
      </c>
      <c r="E91" s="64">
        <v>4.17</v>
      </c>
      <c r="F91" s="64">
        <v>4.7</v>
      </c>
      <c r="G91" s="64">
        <v>23.41</v>
      </c>
      <c r="H91" s="64">
        <v>25.59</v>
      </c>
      <c r="I91" s="64">
        <v>4.8899999999999997</v>
      </c>
      <c r="J91" s="64">
        <v>0.16</v>
      </c>
      <c r="K91" s="64">
        <v>34.35</v>
      </c>
      <c r="L91" s="64">
        <v>24.2</v>
      </c>
      <c r="M91" s="64">
        <v>101.72</v>
      </c>
      <c r="N91" s="64">
        <v>26.1</v>
      </c>
      <c r="O91" s="64">
        <v>0</v>
      </c>
      <c r="P91" s="64">
        <v>0.46</v>
      </c>
      <c r="Q91" s="64">
        <v>9.5</v>
      </c>
      <c r="R91" s="198"/>
      <c r="S91" s="198"/>
      <c r="T91" s="198"/>
      <c r="U91" s="198"/>
    </row>
    <row r="92" spans="1:26" s="12" customFormat="1" x14ac:dyDescent="0.25">
      <c r="A92" s="214" t="s">
        <v>1866</v>
      </c>
      <c r="B92" s="64">
        <v>4.1900000000000004</v>
      </c>
      <c r="C92" s="64">
        <v>3.09</v>
      </c>
      <c r="D92" s="64">
        <v>7.17</v>
      </c>
      <c r="E92" s="64">
        <v>4.6100000000000003</v>
      </c>
      <c r="F92" s="64">
        <v>2.2999999999999998</v>
      </c>
      <c r="G92" s="64">
        <v>23.41</v>
      </c>
      <c r="H92" s="64">
        <v>25.59</v>
      </c>
      <c r="I92" s="64">
        <v>4.59</v>
      </c>
      <c r="J92" s="64">
        <v>0.34</v>
      </c>
      <c r="K92" s="64">
        <v>356.81</v>
      </c>
      <c r="L92" s="64">
        <v>24.18</v>
      </c>
      <c r="M92" s="64">
        <v>101.72</v>
      </c>
      <c r="N92" s="64">
        <v>26.1</v>
      </c>
      <c r="O92" s="64">
        <v>0</v>
      </c>
      <c r="P92" s="64">
        <v>0.44</v>
      </c>
      <c r="Q92" s="64">
        <v>9.5</v>
      </c>
      <c r="R92" s="198"/>
      <c r="S92" s="198"/>
      <c r="T92" s="198"/>
      <c r="U92" s="198"/>
    </row>
    <row r="93" spans="1:26" s="12" customFormat="1" x14ac:dyDescent="0.25">
      <c r="A93" s="214" t="s">
        <v>1867</v>
      </c>
      <c r="B93" s="64">
        <v>4.21</v>
      </c>
      <c r="C93" s="64">
        <v>3.1</v>
      </c>
      <c r="D93" s="64">
        <v>7.18</v>
      </c>
      <c r="E93" s="64">
        <v>4.42</v>
      </c>
      <c r="F93" s="64">
        <v>4.83</v>
      </c>
      <c r="G93" s="64">
        <v>23.41</v>
      </c>
      <c r="H93" s="64">
        <v>25.59</v>
      </c>
      <c r="I93" s="64">
        <v>4.1900000000000004</v>
      </c>
      <c r="J93" s="64">
        <v>0.15</v>
      </c>
      <c r="K93" s="64">
        <v>9.73</v>
      </c>
      <c r="L93" s="64">
        <v>24.22</v>
      </c>
      <c r="M93" s="64">
        <v>101.72</v>
      </c>
      <c r="N93" s="64">
        <v>26.1</v>
      </c>
      <c r="O93" s="64">
        <v>0</v>
      </c>
      <c r="P93" s="64">
        <v>0.45</v>
      </c>
      <c r="Q93" s="64">
        <v>9.5500000000000007</v>
      </c>
      <c r="R93" s="198"/>
      <c r="S93" s="198"/>
      <c r="T93" s="198"/>
      <c r="U93" s="198"/>
    </row>
    <row r="94" spans="1:26" s="12" customFormat="1" x14ac:dyDescent="0.25">
      <c r="A94" s="214" t="s">
        <v>1868</v>
      </c>
      <c r="B94" s="64">
        <v>4.21</v>
      </c>
      <c r="C94" s="64">
        <v>3.14</v>
      </c>
      <c r="D94" s="64">
        <v>7.21</v>
      </c>
      <c r="E94" s="64">
        <v>4.62</v>
      </c>
      <c r="F94" s="64">
        <v>3.53</v>
      </c>
      <c r="G94" s="64">
        <v>31.43</v>
      </c>
      <c r="H94" s="64">
        <v>11.05</v>
      </c>
      <c r="I94" s="64">
        <v>4.05</v>
      </c>
      <c r="J94" s="64">
        <v>0.09</v>
      </c>
      <c r="K94" s="64">
        <v>128.49</v>
      </c>
      <c r="L94" s="64">
        <v>24.13</v>
      </c>
      <c r="M94" s="64">
        <v>101.73</v>
      </c>
      <c r="N94" s="64">
        <v>26.1</v>
      </c>
      <c r="O94" s="64">
        <v>0</v>
      </c>
      <c r="P94" s="64">
        <v>0.44</v>
      </c>
      <c r="Q94" s="64">
        <v>9.5500000000000007</v>
      </c>
      <c r="R94" s="198"/>
      <c r="S94" s="198"/>
      <c r="T94" s="198"/>
      <c r="U94" s="198"/>
    </row>
    <row r="95" spans="1:26" s="12" customFormat="1" x14ac:dyDescent="0.25">
      <c r="A95" s="214" t="s">
        <v>1869</v>
      </c>
      <c r="B95" s="64">
        <v>4.2300000000000004</v>
      </c>
      <c r="C95" s="64">
        <v>3.2</v>
      </c>
      <c r="D95" s="64">
        <v>7.26</v>
      </c>
      <c r="E95" s="64">
        <v>4.5599999999999996</v>
      </c>
      <c r="F95" s="64">
        <v>3.13</v>
      </c>
      <c r="G95" s="64">
        <v>34.18</v>
      </c>
      <c r="H95" s="64">
        <v>11.05</v>
      </c>
      <c r="I95" s="64">
        <v>4.24</v>
      </c>
      <c r="J95" s="64">
        <v>0.41</v>
      </c>
      <c r="K95" s="64">
        <v>134.81</v>
      </c>
      <c r="L95" s="64">
        <v>24.04</v>
      </c>
      <c r="M95" s="64">
        <v>101.73</v>
      </c>
      <c r="N95" s="64">
        <v>26.1</v>
      </c>
      <c r="O95" s="64">
        <v>0</v>
      </c>
      <c r="P95" s="64">
        <v>0.4</v>
      </c>
      <c r="Q95" s="64">
        <v>9.5299999999999994</v>
      </c>
      <c r="R95" s="198"/>
      <c r="S95" s="198"/>
      <c r="T95" s="198"/>
      <c r="U95" s="198"/>
    </row>
    <row r="96" spans="1:26" s="12" customFormat="1" x14ac:dyDescent="0.25">
      <c r="A96" s="214" t="s">
        <v>1870</v>
      </c>
      <c r="B96" s="64">
        <v>4.21</v>
      </c>
      <c r="C96" s="64">
        <v>3.11</v>
      </c>
      <c r="D96" s="64">
        <v>7.19</v>
      </c>
      <c r="E96" s="64">
        <v>4.13</v>
      </c>
      <c r="F96" s="64">
        <v>4.12</v>
      </c>
      <c r="G96" s="64">
        <v>34.18</v>
      </c>
      <c r="H96" s="64">
        <v>11.05</v>
      </c>
      <c r="I96" s="64">
        <v>3.32</v>
      </c>
      <c r="J96" s="64">
        <v>0.47</v>
      </c>
      <c r="K96" s="64">
        <v>138.19</v>
      </c>
      <c r="L96" s="64">
        <v>23.9</v>
      </c>
      <c r="M96" s="64">
        <v>101.73</v>
      </c>
      <c r="N96" s="64">
        <v>26.1</v>
      </c>
      <c r="O96" s="64">
        <v>0</v>
      </c>
      <c r="P96" s="64">
        <v>0.43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1871</v>
      </c>
      <c r="B97" s="64">
        <v>4.22</v>
      </c>
      <c r="C97" s="64">
        <v>3.08</v>
      </c>
      <c r="D97" s="64">
        <v>7.18</v>
      </c>
      <c r="E97" s="64">
        <v>4.59</v>
      </c>
      <c r="F97" s="64">
        <v>2.8</v>
      </c>
      <c r="G97" s="64">
        <v>34.18</v>
      </c>
      <c r="H97" s="64">
        <v>11.05</v>
      </c>
      <c r="I97" s="64">
        <v>3.38</v>
      </c>
      <c r="J97" s="64">
        <v>0.27</v>
      </c>
      <c r="K97" s="64">
        <v>94.86</v>
      </c>
      <c r="L97" s="64">
        <v>23.84</v>
      </c>
      <c r="M97" s="64">
        <v>101.77</v>
      </c>
      <c r="N97" s="64">
        <v>26.1</v>
      </c>
      <c r="O97" s="64">
        <v>0</v>
      </c>
      <c r="P97" s="64">
        <v>0.37</v>
      </c>
      <c r="Q97" s="64">
        <v>9.5299999999999994</v>
      </c>
      <c r="R97" s="198"/>
      <c r="S97" s="198"/>
      <c r="T97" s="198"/>
      <c r="U97" s="198"/>
    </row>
    <row r="98" spans="1:33" s="12" customFormat="1" x14ac:dyDescent="0.25">
      <c r="A98" s="214" t="s">
        <v>1872</v>
      </c>
      <c r="B98" s="64">
        <v>4.24</v>
      </c>
      <c r="C98" s="64">
        <v>3.11</v>
      </c>
      <c r="D98" s="64">
        <v>7.21</v>
      </c>
      <c r="E98" s="64">
        <v>4.16</v>
      </c>
      <c r="F98" s="64">
        <v>3.29</v>
      </c>
      <c r="G98" s="64">
        <v>31.64</v>
      </c>
      <c r="H98" s="64">
        <v>12.62</v>
      </c>
      <c r="I98" s="64">
        <v>3.05</v>
      </c>
      <c r="J98" s="64">
        <v>0.36</v>
      </c>
      <c r="K98" s="64">
        <v>131.80000000000001</v>
      </c>
      <c r="L98" s="64">
        <v>23.73</v>
      </c>
      <c r="M98" s="64">
        <v>101.75</v>
      </c>
      <c r="N98" s="64">
        <v>26.1</v>
      </c>
      <c r="O98" s="64">
        <v>0</v>
      </c>
      <c r="P98" s="64">
        <v>0.36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4" t="s">
        <v>1873</v>
      </c>
      <c r="B99" s="64">
        <v>4.2699999999999996</v>
      </c>
      <c r="C99" s="64">
        <v>3.19</v>
      </c>
      <c r="D99" s="64">
        <v>7.28</v>
      </c>
      <c r="E99" s="64">
        <v>4.51</v>
      </c>
      <c r="F99" s="64">
        <v>3.5</v>
      </c>
      <c r="G99" s="64">
        <v>30.72</v>
      </c>
      <c r="H99" s="64">
        <v>12.64</v>
      </c>
      <c r="I99" s="64">
        <v>2.12</v>
      </c>
      <c r="J99" s="64">
        <v>0.38</v>
      </c>
      <c r="K99" s="64">
        <v>145.41</v>
      </c>
      <c r="L99" s="64">
        <v>23.58</v>
      </c>
      <c r="M99" s="64">
        <v>101.76</v>
      </c>
      <c r="N99" s="64">
        <v>26.1</v>
      </c>
      <c r="O99" s="64">
        <v>0</v>
      </c>
      <c r="P99" s="64">
        <v>0.34</v>
      </c>
      <c r="Q99" s="64">
        <v>9.57</v>
      </c>
      <c r="R99" s="198"/>
      <c r="S99" s="198"/>
      <c r="T99" s="198"/>
      <c r="U99" s="198"/>
    </row>
    <row r="100" spans="1:33" s="12" customFormat="1" x14ac:dyDescent="0.25">
      <c r="A100" s="214" t="s">
        <v>1874</v>
      </c>
      <c r="B100" s="64">
        <v>4.28</v>
      </c>
      <c r="C100" s="64">
        <v>3.19</v>
      </c>
      <c r="D100" s="64">
        <v>7.29</v>
      </c>
      <c r="E100" s="64">
        <v>4.3899999999999997</v>
      </c>
      <c r="F100" s="64">
        <v>3.55</v>
      </c>
      <c r="G100" s="64">
        <v>30.72</v>
      </c>
      <c r="H100" s="64">
        <v>12.64</v>
      </c>
      <c r="I100" s="64">
        <v>1.55</v>
      </c>
      <c r="J100" s="64">
        <v>0.06</v>
      </c>
      <c r="K100" s="64">
        <v>80.260000000000005</v>
      </c>
      <c r="L100" s="64">
        <v>23.66</v>
      </c>
      <c r="M100" s="64">
        <v>101.75</v>
      </c>
      <c r="N100" s="64">
        <v>26</v>
      </c>
      <c r="O100" s="64">
        <v>0</v>
      </c>
      <c r="P100" s="64">
        <v>0.35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1875</v>
      </c>
      <c r="B101" s="64">
        <v>4.29</v>
      </c>
      <c r="C101" s="64">
        <v>3.17</v>
      </c>
      <c r="D101" s="64">
        <v>7.29</v>
      </c>
      <c r="E101" s="64">
        <v>4.3899999999999997</v>
      </c>
      <c r="F101" s="64">
        <v>3.72</v>
      </c>
      <c r="G101" s="64">
        <v>30.72</v>
      </c>
      <c r="H101" s="64">
        <v>12.64</v>
      </c>
      <c r="I101" s="64">
        <v>1.33</v>
      </c>
      <c r="J101" s="64">
        <v>0.17</v>
      </c>
      <c r="K101" s="64">
        <v>128.11000000000001</v>
      </c>
      <c r="L101" s="64">
        <v>23.71</v>
      </c>
      <c r="M101" s="64">
        <v>101.75</v>
      </c>
      <c r="N101" s="64">
        <v>26.1</v>
      </c>
      <c r="O101" s="64">
        <v>0</v>
      </c>
      <c r="P101" s="64">
        <v>0.34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14" t="s">
        <v>1876</v>
      </c>
      <c r="B102" s="64">
        <v>4.2699999999999996</v>
      </c>
      <c r="C102" s="64">
        <v>3.15</v>
      </c>
      <c r="D102" s="64">
        <v>7.26</v>
      </c>
      <c r="E102" s="64">
        <v>4.38</v>
      </c>
      <c r="F102" s="64">
        <v>3.56</v>
      </c>
      <c r="G102" s="64">
        <v>33.020000000000003</v>
      </c>
      <c r="H102" s="64">
        <v>19.38</v>
      </c>
      <c r="I102" s="64">
        <v>1.45</v>
      </c>
      <c r="J102" s="64">
        <v>0.19</v>
      </c>
      <c r="K102" s="64">
        <v>344.72</v>
      </c>
      <c r="L102" s="64">
        <v>23.61</v>
      </c>
      <c r="M102" s="64">
        <v>101.73</v>
      </c>
      <c r="N102" s="64">
        <v>26</v>
      </c>
      <c r="O102" s="64">
        <v>0</v>
      </c>
      <c r="P102" s="64">
        <v>0.36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4" t="s">
        <v>1877</v>
      </c>
      <c r="B103" s="64">
        <v>4.28</v>
      </c>
      <c r="C103" s="64">
        <v>3.18</v>
      </c>
      <c r="D103" s="64">
        <v>7.29</v>
      </c>
      <c r="E103" s="64">
        <v>4.42</v>
      </c>
      <c r="F103" s="64">
        <v>3.13</v>
      </c>
      <c r="G103" s="64">
        <v>33.81</v>
      </c>
      <c r="H103" s="64">
        <v>19.38</v>
      </c>
      <c r="I103" s="64">
        <v>1.78</v>
      </c>
      <c r="J103" s="64">
        <v>0.27</v>
      </c>
      <c r="K103" s="64">
        <v>171.44</v>
      </c>
      <c r="L103" s="64">
        <v>23.51</v>
      </c>
      <c r="M103" s="64">
        <v>101.74</v>
      </c>
      <c r="N103" s="64">
        <v>26</v>
      </c>
      <c r="O103" s="64">
        <v>0</v>
      </c>
      <c r="P103" s="64">
        <v>0.31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4" t="s">
        <v>1878</v>
      </c>
      <c r="B104" s="64">
        <v>4.28</v>
      </c>
      <c r="C104" s="64">
        <v>3.16</v>
      </c>
      <c r="D104" s="64">
        <v>7.28</v>
      </c>
      <c r="E104" s="64">
        <v>2.89</v>
      </c>
      <c r="F104" s="64">
        <v>3.03</v>
      </c>
      <c r="G104" s="64">
        <v>33.81</v>
      </c>
      <c r="H104" s="64">
        <v>19.38</v>
      </c>
      <c r="I104" s="64">
        <v>1.96</v>
      </c>
      <c r="J104" s="64">
        <v>0.25</v>
      </c>
      <c r="K104" s="64">
        <v>173.77</v>
      </c>
      <c r="L104" s="64">
        <v>23.39</v>
      </c>
      <c r="M104" s="64">
        <v>101.77</v>
      </c>
      <c r="N104" s="64">
        <v>26.1</v>
      </c>
      <c r="O104" s="64">
        <v>0</v>
      </c>
      <c r="P104" s="64">
        <v>0.3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4.1900000000000004</v>
      </c>
      <c r="C106" s="67">
        <f>MIN(C9:C104)</f>
        <v>3.06</v>
      </c>
      <c r="D106" s="67">
        <f t="shared" ref="D106:Q106" si="0">MIN(D9:D104)</f>
        <v>7.17</v>
      </c>
      <c r="E106" s="67">
        <f t="shared" si="0"/>
        <v>2.61</v>
      </c>
      <c r="F106" s="67">
        <f t="shared" si="0"/>
        <v>2.2999999999999998</v>
      </c>
      <c r="G106" s="67">
        <f t="shared" si="0"/>
        <v>15.71</v>
      </c>
      <c r="H106" s="67">
        <f t="shared" si="0"/>
        <v>0.02</v>
      </c>
      <c r="I106" s="67">
        <f t="shared" si="0"/>
        <v>0.66</v>
      </c>
      <c r="J106" s="67">
        <f t="shared" si="0"/>
        <v>0.06</v>
      </c>
      <c r="K106" s="67">
        <f t="shared" si="0"/>
        <v>0.26</v>
      </c>
      <c r="L106" s="67">
        <f t="shared" si="0"/>
        <v>21.81</v>
      </c>
      <c r="M106" s="67">
        <f t="shared" si="0"/>
        <v>70.63</v>
      </c>
      <c r="N106" s="67">
        <f t="shared" si="0"/>
        <v>25.3</v>
      </c>
      <c r="O106" s="67">
        <f t="shared" si="0"/>
        <v>0</v>
      </c>
      <c r="P106" s="67">
        <f t="shared" si="0"/>
        <v>0.23</v>
      </c>
      <c r="Q106" s="67">
        <f t="shared" si="0"/>
        <v>9.43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4.29</v>
      </c>
      <c r="C107" s="66">
        <f t="shared" ref="C107:Q107" si="1">MAX(C9:C104)</f>
        <v>3.23</v>
      </c>
      <c r="D107" s="66">
        <f t="shared" si="1"/>
        <v>7.31</v>
      </c>
      <c r="E107" s="66">
        <f t="shared" si="1"/>
        <v>5.54</v>
      </c>
      <c r="F107" s="66">
        <f t="shared" si="1"/>
        <v>6.18</v>
      </c>
      <c r="G107" s="66">
        <f t="shared" si="1"/>
        <v>34.58</v>
      </c>
      <c r="H107" s="66">
        <f t="shared" si="1"/>
        <v>35.93</v>
      </c>
      <c r="I107" s="66">
        <f t="shared" si="1"/>
        <v>4.8899999999999997</v>
      </c>
      <c r="J107" s="66">
        <f t="shared" si="1"/>
        <v>1.22</v>
      </c>
      <c r="K107" s="66">
        <f t="shared" si="1"/>
        <v>359.26</v>
      </c>
      <c r="L107" s="66">
        <f t="shared" si="1"/>
        <v>30.55</v>
      </c>
      <c r="M107" s="66">
        <f t="shared" si="1"/>
        <v>101.77</v>
      </c>
      <c r="N107" s="66">
        <f t="shared" si="1"/>
        <v>888.6</v>
      </c>
      <c r="O107" s="66">
        <f t="shared" si="1"/>
        <v>0.2</v>
      </c>
      <c r="P107" s="66">
        <f t="shared" si="1"/>
        <v>0.56000000000000005</v>
      </c>
      <c r="Q107" s="66">
        <f t="shared" si="1"/>
        <v>9.6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4.2431249999999983</v>
      </c>
      <c r="C108" s="67">
        <f t="shared" ref="C108:Q108" si="2">AVERAGE(C9:C104)</f>
        <v>3.142604166666668</v>
      </c>
      <c r="D108" s="67">
        <f t="shared" si="2"/>
        <v>7.2353124999999947</v>
      </c>
      <c r="E108" s="67">
        <f t="shared" si="2"/>
        <v>3.5459375000000004</v>
      </c>
      <c r="F108" s="67">
        <f t="shared" si="2"/>
        <v>4.4116666666666662</v>
      </c>
      <c r="G108" s="67">
        <f t="shared" si="2"/>
        <v>26.107395833333314</v>
      </c>
      <c r="H108" s="67">
        <f t="shared" si="2"/>
        <v>12.00205882352941</v>
      </c>
      <c r="I108" s="67">
        <f t="shared" si="2"/>
        <v>1.5231250000000005</v>
      </c>
      <c r="J108" s="67">
        <f t="shared" si="2"/>
        <v>0.53531249999999997</v>
      </c>
      <c r="K108" s="67">
        <f t="shared" si="2"/>
        <v>252.48166666666671</v>
      </c>
      <c r="L108" s="67">
        <f t="shared" si="2"/>
        <v>24.718333333333337</v>
      </c>
      <c r="M108" s="67">
        <f t="shared" si="2"/>
        <v>94.858333333333334</v>
      </c>
      <c r="N108" s="67">
        <f t="shared" si="2"/>
        <v>119.72395833333333</v>
      </c>
      <c r="O108" s="67">
        <f t="shared" si="2"/>
        <v>1.2499999999999999E-2</v>
      </c>
      <c r="P108" s="67">
        <f t="shared" si="2"/>
        <v>0.37833333333333341</v>
      </c>
      <c r="Q108" s="67">
        <f t="shared" si="2"/>
        <v>9.5264583333333288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2.93907432616748E-2</v>
      </c>
      <c r="C109" s="67">
        <f t="shared" ref="C109:Q109" si="3">STDEV(C9:C104)</f>
        <v>3.6856615250444549E-2</v>
      </c>
      <c r="D109" s="67">
        <f t="shared" si="3"/>
        <v>3.844211300945323E-2</v>
      </c>
      <c r="E109" s="67">
        <f t="shared" si="3"/>
        <v>0.62133909400330045</v>
      </c>
      <c r="F109" s="67">
        <f t="shared" si="3"/>
        <v>0.78905228519530457</v>
      </c>
      <c r="G109" s="67">
        <f t="shared" si="3"/>
        <v>6.0012551748152614</v>
      </c>
      <c r="H109" s="67">
        <f t="shared" si="3"/>
        <v>9.7458498720138014</v>
      </c>
      <c r="I109" s="67">
        <f t="shared" si="3"/>
        <v>1.0264946099276531</v>
      </c>
      <c r="J109" s="67">
        <f t="shared" si="3"/>
        <v>0.21494162304167469</v>
      </c>
      <c r="K109" s="67">
        <f t="shared" si="3"/>
        <v>137.72527801973754</v>
      </c>
      <c r="L109" s="67">
        <f t="shared" si="3"/>
        <v>2.1299264463043475</v>
      </c>
      <c r="M109" s="67">
        <f t="shared" si="3"/>
        <v>8.9029161002291435</v>
      </c>
      <c r="N109" s="67">
        <f t="shared" si="3"/>
        <v>175.09167327870023</v>
      </c>
      <c r="O109" s="67">
        <f t="shared" si="3"/>
        <v>4.8666426339228762E-2</v>
      </c>
      <c r="P109" s="67">
        <f t="shared" si="3"/>
        <v>9.0840133336325457E-2</v>
      </c>
      <c r="Q109" s="67">
        <f t="shared" si="3"/>
        <v>3.4457576255498695E-2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COUNT(H9:H104)+26</f>
        <v>94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1879</v>
      </c>
      <c r="B9" s="64">
        <v>4.28</v>
      </c>
      <c r="C9" s="64">
        <v>3.14</v>
      </c>
      <c r="D9" s="64">
        <v>7.26</v>
      </c>
      <c r="E9" s="64">
        <v>3.62</v>
      </c>
      <c r="F9" s="64">
        <v>3.54</v>
      </c>
      <c r="G9" s="64">
        <v>33.81</v>
      </c>
      <c r="H9" s="64">
        <v>19.38</v>
      </c>
      <c r="I9" s="64">
        <v>1.35</v>
      </c>
      <c r="J9" s="64">
        <v>0.35</v>
      </c>
      <c r="K9" s="64">
        <v>115.95</v>
      </c>
      <c r="L9" s="64">
        <v>23.28</v>
      </c>
      <c r="M9" s="64">
        <v>101.78</v>
      </c>
      <c r="N9" s="64">
        <v>26.1</v>
      </c>
      <c r="O9" s="64">
        <v>0</v>
      </c>
      <c r="P9" s="64">
        <v>0.35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4" t="s">
        <v>1880</v>
      </c>
      <c r="B10" s="64">
        <v>4.24</v>
      </c>
      <c r="C10" s="64">
        <v>3.13</v>
      </c>
      <c r="D10" s="64">
        <v>7.23</v>
      </c>
      <c r="E10" s="64">
        <v>3.65</v>
      </c>
      <c r="F10" s="64">
        <v>4.29</v>
      </c>
      <c r="G10" s="64">
        <v>32.86</v>
      </c>
      <c r="H10" s="64">
        <v>29.81</v>
      </c>
      <c r="I10" s="64">
        <v>1.44</v>
      </c>
      <c r="J10" s="64">
        <v>0.11</v>
      </c>
      <c r="K10" s="64">
        <v>40.03</v>
      </c>
      <c r="L10" s="64">
        <v>23.18</v>
      </c>
      <c r="M10" s="64">
        <v>101.78</v>
      </c>
      <c r="N10" s="64">
        <v>26.1</v>
      </c>
      <c r="O10" s="64">
        <v>0</v>
      </c>
      <c r="P10" s="64">
        <v>0.38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4" t="s">
        <v>1881</v>
      </c>
      <c r="B11" s="64">
        <v>4.22</v>
      </c>
      <c r="C11" s="64">
        <v>3.13</v>
      </c>
      <c r="D11" s="64">
        <v>7.21</v>
      </c>
      <c r="E11" s="64">
        <v>3.3</v>
      </c>
      <c r="F11" s="64">
        <v>3.16</v>
      </c>
      <c r="G11" s="64">
        <v>32.54</v>
      </c>
      <c r="H11" s="64">
        <v>29.81</v>
      </c>
      <c r="I11" s="64">
        <v>3.51</v>
      </c>
      <c r="J11" s="64">
        <v>0.16</v>
      </c>
      <c r="K11" s="64">
        <v>112.55</v>
      </c>
      <c r="L11" s="64">
        <v>23.1</v>
      </c>
      <c r="M11" s="64">
        <v>101.78</v>
      </c>
      <c r="N11" s="64">
        <v>25.9</v>
      </c>
      <c r="O11" s="64">
        <v>0</v>
      </c>
      <c r="P11" s="64">
        <v>0.32</v>
      </c>
      <c r="Q11" s="64">
        <v>9.5399999999999991</v>
      </c>
      <c r="R11" s="198"/>
      <c r="S11" s="198"/>
      <c r="T11" s="198"/>
      <c r="U11" s="198"/>
    </row>
    <row r="12" spans="1:21" s="12" customFormat="1" x14ac:dyDescent="0.25">
      <c r="A12" s="214" t="s">
        <v>1882</v>
      </c>
      <c r="B12" s="64">
        <v>4.2</v>
      </c>
      <c r="C12" s="64">
        <v>3.12</v>
      </c>
      <c r="D12" s="64">
        <v>7.19</v>
      </c>
      <c r="E12" s="64">
        <v>3.5</v>
      </c>
      <c r="F12" s="64">
        <v>4.46</v>
      </c>
      <c r="G12" s="64">
        <v>32.54</v>
      </c>
      <c r="H12" s="64">
        <v>29.81</v>
      </c>
      <c r="I12" s="64">
        <v>3.93</v>
      </c>
      <c r="J12" s="64">
        <v>0.27</v>
      </c>
      <c r="K12" s="64">
        <v>109.96</v>
      </c>
      <c r="L12" s="64">
        <v>23.05</v>
      </c>
      <c r="M12" s="64">
        <v>101.78</v>
      </c>
      <c r="N12" s="64">
        <v>25.8</v>
      </c>
      <c r="O12" s="64">
        <v>0</v>
      </c>
      <c r="P12" s="64">
        <v>0.36</v>
      </c>
      <c r="Q12" s="64">
        <v>9.5500000000000007</v>
      </c>
      <c r="R12" s="198"/>
      <c r="S12" s="198"/>
      <c r="T12" s="198"/>
      <c r="U12" s="198"/>
    </row>
    <row r="13" spans="1:21" s="12" customFormat="1" x14ac:dyDescent="0.25">
      <c r="A13" s="214" t="s">
        <v>1883</v>
      </c>
      <c r="B13" s="64">
        <v>4.22</v>
      </c>
      <c r="C13" s="64">
        <v>3.12</v>
      </c>
      <c r="D13" s="64">
        <v>7.21</v>
      </c>
      <c r="E13" s="64">
        <v>3.54</v>
      </c>
      <c r="F13" s="64">
        <v>2.74</v>
      </c>
      <c r="G13" s="64">
        <v>32.54</v>
      </c>
      <c r="H13" s="64">
        <v>29.81</v>
      </c>
      <c r="I13" s="64">
        <v>3.62</v>
      </c>
      <c r="J13" s="64">
        <v>0.34</v>
      </c>
      <c r="K13" s="64">
        <v>158.65</v>
      </c>
      <c r="L13" s="64">
        <v>23.01</v>
      </c>
      <c r="M13" s="64">
        <v>101.78</v>
      </c>
      <c r="N13" s="64">
        <v>25.8</v>
      </c>
      <c r="O13" s="64">
        <v>0</v>
      </c>
      <c r="P13" s="64">
        <v>0.34</v>
      </c>
      <c r="Q13" s="64">
        <v>9.56</v>
      </c>
      <c r="R13" s="198"/>
      <c r="S13" s="198"/>
      <c r="T13" s="198"/>
      <c r="U13" s="198"/>
    </row>
    <row r="14" spans="1:21" s="12" customFormat="1" x14ac:dyDescent="0.25">
      <c r="A14" s="214" t="s">
        <v>1884</v>
      </c>
      <c r="B14" s="64">
        <v>4.22</v>
      </c>
      <c r="C14" s="64">
        <v>3.15</v>
      </c>
      <c r="D14" s="64">
        <v>7.22</v>
      </c>
      <c r="E14" s="64">
        <v>3.49</v>
      </c>
      <c r="F14" s="64">
        <v>4.5</v>
      </c>
      <c r="G14" s="64">
        <v>32.200000000000003</v>
      </c>
      <c r="H14" s="64">
        <v>16.510000000000002</v>
      </c>
      <c r="I14" s="64">
        <v>3.7</v>
      </c>
      <c r="J14" s="64">
        <v>0.28999999999999998</v>
      </c>
      <c r="K14" s="64">
        <v>142.22</v>
      </c>
      <c r="L14" s="64">
        <v>22.89</v>
      </c>
      <c r="M14" s="64">
        <v>101.77</v>
      </c>
      <c r="N14" s="64">
        <v>26</v>
      </c>
      <c r="O14" s="64">
        <v>0</v>
      </c>
      <c r="P14" s="64">
        <v>0.4</v>
      </c>
      <c r="Q14" s="64">
        <v>9.58</v>
      </c>
      <c r="R14" s="198"/>
      <c r="S14" s="198"/>
      <c r="T14" s="198"/>
      <c r="U14" s="198"/>
    </row>
    <row r="15" spans="1:21" s="12" customFormat="1" x14ac:dyDescent="0.25">
      <c r="A15" s="214" t="s">
        <v>1885</v>
      </c>
      <c r="B15" s="64">
        <v>4.21</v>
      </c>
      <c r="C15" s="64">
        <v>3.13</v>
      </c>
      <c r="D15" s="64">
        <v>7.2</v>
      </c>
      <c r="E15" s="64">
        <v>3.71</v>
      </c>
      <c r="F15" s="64">
        <v>2.86</v>
      </c>
      <c r="G15" s="64">
        <v>32.07</v>
      </c>
      <c r="H15" s="64">
        <v>16.3</v>
      </c>
      <c r="I15" s="64">
        <v>3.41</v>
      </c>
      <c r="J15" s="64">
        <v>0.16</v>
      </c>
      <c r="K15" s="64">
        <v>106.42</v>
      </c>
      <c r="L15" s="64">
        <v>22.76</v>
      </c>
      <c r="M15" s="64">
        <v>101.78</v>
      </c>
      <c r="N15" s="64">
        <v>25.9</v>
      </c>
      <c r="O15" s="64">
        <v>0</v>
      </c>
      <c r="P15" s="64">
        <v>0.36</v>
      </c>
      <c r="Q15" s="64">
        <v>9.59</v>
      </c>
      <c r="R15" s="198"/>
      <c r="S15" s="198"/>
      <c r="T15" s="198"/>
      <c r="U15" s="198"/>
    </row>
    <row r="16" spans="1:21" s="12" customFormat="1" x14ac:dyDescent="0.25">
      <c r="A16" s="214" t="s">
        <v>1886</v>
      </c>
      <c r="B16" s="64">
        <v>4.2300000000000004</v>
      </c>
      <c r="C16" s="64">
        <v>3.1</v>
      </c>
      <c r="D16" s="64">
        <v>7.2</v>
      </c>
      <c r="E16" s="64">
        <v>3.28</v>
      </c>
      <c r="F16" s="64">
        <v>3.65</v>
      </c>
      <c r="G16" s="64">
        <v>32.07</v>
      </c>
      <c r="H16" s="64">
        <v>16.3</v>
      </c>
      <c r="I16" s="64">
        <v>3.66</v>
      </c>
      <c r="J16" s="64">
        <v>0.06</v>
      </c>
      <c r="K16" s="64">
        <v>211.77</v>
      </c>
      <c r="L16" s="64">
        <v>22.79</v>
      </c>
      <c r="M16" s="64">
        <v>101.78</v>
      </c>
      <c r="N16" s="64">
        <v>25.8</v>
      </c>
      <c r="O16" s="64">
        <v>0</v>
      </c>
      <c r="P16" s="64">
        <v>0.36</v>
      </c>
      <c r="Q16" s="64">
        <v>9.58</v>
      </c>
      <c r="R16" s="198"/>
      <c r="S16" s="198"/>
      <c r="T16" s="198"/>
      <c r="U16" s="198"/>
    </row>
    <row r="17" spans="1:21" s="12" customFormat="1" x14ac:dyDescent="0.25">
      <c r="A17" s="214" t="s">
        <v>1887</v>
      </c>
      <c r="B17" s="64">
        <v>4.22</v>
      </c>
      <c r="C17" s="64">
        <v>3.11</v>
      </c>
      <c r="D17" s="64">
        <v>7.2</v>
      </c>
      <c r="E17" s="64">
        <v>3.57</v>
      </c>
      <c r="F17" s="64">
        <v>3.99</v>
      </c>
      <c r="G17" s="64">
        <v>32.07</v>
      </c>
      <c r="H17" s="64">
        <v>16.3</v>
      </c>
      <c r="I17" s="64">
        <v>3.2</v>
      </c>
      <c r="J17" s="64">
        <v>0.45</v>
      </c>
      <c r="K17" s="64">
        <v>12.03</v>
      </c>
      <c r="L17" s="64">
        <v>22.94</v>
      </c>
      <c r="M17" s="64">
        <v>101.78</v>
      </c>
      <c r="N17" s="64">
        <v>25.7</v>
      </c>
      <c r="O17" s="64">
        <v>0</v>
      </c>
      <c r="P17" s="64">
        <v>0.38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4" t="s">
        <v>1888</v>
      </c>
      <c r="B18" s="64">
        <v>4.21</v>
      </c>
      <c r="C18" s="64">
        <v>3.13</v>
      </c>
      <c r="D18" s="64">
        <v>7.2</v>
      </c>
      <c r="E18" s="64">
        <v>3.9</v>
      </c>
      <c r="F18" s="64">
        <v>2.91</v>
      </c>
      <c r="G18" s="64">
        <v>33.270000000000003</v>
      </c>
      <c r="H18" s="64">
        <v>7.28</v>
      </c>
      <c r="I18" s="64">
        <v>3.32</v>
      </c>
      <c r="J18" s="64">
        <v>0.4</v>
      </c>
      <c r="K18" s="64">
        <v>345.27</v>
      </c>
      <c r="L18" s="64">
        <v>22.93</v>
      </c>
      <c r="M18" s="64">
        <v>101.78</v>
      </c>
      <c r="N18" s="64">
        <v>25.8</v>
      </c>
      <c r="O18" s="64">
        <v>0</v>
      </c>
      <c r="P18" s="64">
        <v>0.36</v>
      </c>
      <c r="Q18" s="64">
        <v>9.58</v>
      </c>
      <c r="R18" s="198"/>
      <c r="S18" s="198"/>
      <c r="T18" s="198"/>
      <c r="U18" s="198"/>
    </row>
    <row r="19" spans="1:21" s="12" customFormat="1" x14ac:dyDescent="0.25">
      <c r="A19" s="214" t="s">
        <v>1889</v>
      </c>
      <c r="B19" s="64">
        <v>4.2300000000000004</v>
      </c>
      <c r="C19" s="64">
        <v>3.1</v>
      </c>
      <c r="D19" s="64">
        <v>7.21</v>
      </c>
      <c r="E19" s="64">
        <v>3.41</v>
      </c>
      <c r="F19" s="64">
        <v>3.44</v>
      </c>
      <c r="G19" s="64">
        <v>33.68</v>
      </c>
      <c r="H19" s="64">
        <v>7.14</v>
      </c>
      <c r="I19" s="64">
        <v>3.75</v>
      </c>
      <c r="J19" s="64">
        <v>0.24</v>
      </c>
      <c r="K19" s="64">
        <v>329.36</v>
      </c>
      <c r="L19" s="64">
        <v>22.88</v>
      </c>
      <c r="M19" s="64">
        <v>101.78</v>
      </c>
      <c r="N19" s="64">
        <v>25.8</v>
      </c>
      <c r="O19" s="64">
        <v>0</v>
      </c>
      <c r="P19" s="64">
        <v>0.33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4" t="s">
        <v>1890</v>
      </c>
      <c r="B20" s="64">
        <v>4.2699999999999996</v>
      </c>
      <c r="C20" s="64">
        <v>3.17</v>
      </c>
      <c r="D20" s="64">
        <v>7.27</v>
      </c>
      <c r="E20" s="64">
        <v>3.28</v>
      </c>
      <c r="F20" s="64">
        <v>3.65</v>
      </c>
      <c r="G20" s="64">
        <v>33.68</v>
      </c>
      <c r="H20" s="64">
        <v>7.14</v>
      </c>
      <c r="I20" s="64">
        <v>3.06</v>
      </c>
      <c r="J20" s="64">
        <v>0.24</v>
      </c>
      <c r="K20" s="64">
        <v>337.23</v>
      </c>
      <c r="L20" s="64">
        <v>22.76</v>
      </c>
      <c r="M20" s="64">
        <v>101.78</v>
      </c>
      <c r="N20" s="64">
        <v>25.8</v>
      </c>
      <c r="O20" s="64">
        <v>0</v>
      </c>
      <c r="P20" s="64">
        <v>0.33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14" t="s">
        <v>1891</v>
      </c>
      <c r="B21" s="64">
        <v>4.28</v>
      </c>
      <c r="C21" s="64">
        <v>3.2</v>
      </c>
      <c r="D21" s="64">
        <v>7.29</v>
      </c>
      <c r="E21" s="64">
        <v>3.48</v>
      </c>
      <c r="F21" s="64">
        <v>4.04</v>
      </c>
      <c r="G21" s="64">
        <v>33.68</v>
      </c>
      <c r="H21" s="64">
        <v>7.14</v>
      </c>
      <c r="I21" s="64">
        <v>2.56</v>
      </c>
      <c r="J21" s="64">
        <v>0.2</v>
      </c>
      <c r="K21" s="64">
        <v>353.3</v>
      </c>
      <c r="L21" s="64">
        <v>22.62</v>
      </c>
      <c r="M21" s="64">
        <v>101.78</v>
      </c>
      <c r="N21" s="64">
        <v>25.9</v>
      </c>
      <c r="O21" s="64">
        <v>0</v>
      </c>
      <c r="P21" s="64">
        <v>0.34</v>
      </c>
      <c r="Q21" s="64">
        <v>9.58</v>
      </c>
      <c r="R21" s="198"/>
      <c r="S21" s="198"/>
      <c r="T21" s="198"/>
      <c r="U21" s="198"/>
    </row>
    <row r="22" spans="1:21" s="12" customFormat="1" x14ac:dyDescent="0.25">
      <c r="A22" s="214" t="s">
        <v>1892</v>
      </c>
      <c r="B22" s="64">
        <v>4.28</v>
      </c>
      <c r="C22" s="64">
        <v>3.17</v>
      </c>
      <c r="D22" s="64">
        <v>7.28</v>
      </c>
      <c r="E22" s="64">
        <v>3.14</v>
      </c>
      <c r="F22" s="64">
        <v>3.83</v>
      </c>
      <c r="G22" s="64">
        <v>33.04</v>
      </c>
      <c r="H22" s="64">
        <v>6.04</v>
      </c>
      <c r="I22" s="64">
        <v>2.39</v>
      </c>
      <c r="J22" s="64">
        <v>0.23</v>
      </c>
      <c r="K22" s="64">
        <v>342.19</v>
      </c>
      <c r="L22" s="64">
        <v>22.53</v>
      </c>
      <c r="M22" s="64">
        <v>101.77</v>
      </c>
      <c r="N22" s="64">
        <v>25.8</v>
      </c>
      <c r="O22" s="64">
        <v>0</v>
      </c>
      <c r="P22" s="64">
        <v>0.32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14" t="s">
        <v>1893</v>
      </c>
      <c r="B23" s="64">
        <v>4.29</v>
      </c>
      <c r="C23" s="64">
        <v>3.19</v>
      </c>
      <c r="D23" s="64">
        <v>7.3</v>
      </c>
      <c r="E23" s="64">
        <v>2.95</v>
      </c>
      <c r="F23" s="64">
        <v>3.69</v>
      </c>
      <c r="G23" s="64">
        <v>32.81</v>
      </c>
      <c r="H23" s="64">
        <v>6.01</v>
      </c>
      <c r="I23" s="64">
        <v>2.48</v>
      </c>
      <c r="J23" s="64">
        <v>0.38</v>
      </c>
      <c r="K23" s="64">
        <v>344.94</v>
      </c>
      <c r="L23" s="64">
        <v>22.43</v>
      </c>
      <c r="M23" s="64">
        <v>101.77</v>
      </c>
      <c r="N23" s="64">
        <v>25.8</v>
      </c>
      <c r="O23" s="64">
        <v>0</v>
      </c>
      <c r="P23" s="64">
        <v>0.32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4" t="s">
        <v>1894</v>
      </c>
      <c r="B24" s="64">
        <v>4.3</v>
      </c>
      <c r="C24" s="64">
        <v>3.19</v>
      </c>
      <c r="D24" s="64">
        <v>7.3</v>
      </c>
      <c r="E24" s="64">
        <v>4.3099999999999996</v>
      </c>
      <c r="F24" s="64">
        <v>3.62</v>
      </c>
      <c r="G24" s="64">
        <v>32.81</v>
      </c>
      <c r="H24" s="64">
        <v>6.01</v>
      </c>
      <c r="I24" s="64">
        <v>2.33</v>
      </c>
      <c r="J24" s="64">
        <v>0.31</v>
      </c>
      <c r="K24" s="64">
        <v>7.51</v>
      </c>
      <c r="L24" s="64">
        <v>22.38</v>
      </c>
      <c r="M24" s="64">
        <v>101.78</v>
      </c>
      <c r="N24" s="64">
        <v>25.8</v>
      </c>
      <c r="O24" s="64">
        <v>0</v>
      </c>
      <c r="P24" s="64">
        <v>0.32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14" t="s">
        <v>1895</v>
      </c>
      <c r="B25" s="64">
        <v>4.28</v>
      </c>
      <c r="C25" s="64">
        <v>3.15</v>
      </c>
      <c r="D25" s="64">
        <v>7.27</v>
      </c>
      <c r="E25" s="64">
        <v>4.17</v>
      </c>
      <c r="F25" s="64">
        <v>3.45</v>
      </c>
      <c r="G25" s="64">
        <v>32.81</v>
      </c>
      <c r="H25" s="64">
        <v>6.01</v>
      </c>
      <c r="I25" s="64">
        <v>2.11</v>
      </c>
      <c r="J25" s="64">
        <v>0.21</v>
      </c>
      <c r="K25" s="64">
        <v>272.23</v>
      </c>
      <c r="L25" s="64">
        <v>22.25</v>
      </c>
      <c r="M25" s="64">
        <v>101.78</v>
      </c>
      <c r="N25" s="64">
        <v>25.8</v>
      </c>
      <c r="O25" s="64">
        <v>0</v>
      </c>
      <c r="P25" s="64">
        <v>0.31</v>
      </c>
      <c r="Q25" s="64">
        <v>9.57</v>
      </c>
      <c r="R25" s="198"/>
      <c r="S25" s="198"/>
      <c r="T25" s="198"/>
      <c r="U25" s="198"/>
    </row>
    <row r="26" spans="1:21" s="12" customFormat="1" x14ac:dyDescent="0.25">
      <c r="A26" s="214" t="s">
        <v>1896</v>
      </c>
      <c r="B26" s="64">
        <v>4.25</v>
      </c>
      <c r="C26" s="64">
        <v>3.1</v>
      </c>
      <c r="D26" s="64">
        <v>7.22</v>
      </c>
      <c r="E26" s="64">
        <v>4.25</v>
      </c>
      <c r="F26" s="64">
        <v>4.57</v>
      </c>
      <c r="G26" s="64">
        <v>36.96</v>
      </c>
      <c r="H26" s="64">
        <v>28.51</v>
      </c>
      <c r="I26" s="64">
        <v>2.11</v>
      </c>
      <c r="J26" s="64">
        <v>0.19</v>
      </c>
      <c r="K26" s="64">
        <v>3.34</v>
      </c>
      <c r="L26" s="64">
        <v>22.15</v>
      </c>
      <c r="M26" s="64">
        <v>101.79</v>
      </c>
      <c r="N26" s="64">
        <v>25.8</v>
      </c>
      <c r="O26" s="64">
        <v>0</v>
      </c>
      <c r="P26" s="64">
        <v>0.34</v>
      </c>
      <c r="Q26" s="64">
        <v>9.56</v>
      </c>
      <c r="R26" s="198"/>
      <c r="S26" s="198"/>
      <c r="T26" s="198"/>
      <c r="U26" s="198"/>
    </row>
    <row r="27" spans="1:21" s="12" customFormat="1" x14ac:dyDescent="0.25">
      <c r="A27" s="214" t="s">
        <v>1897</v>
      </c>
      <c r="B27" s="64">
        <v>4.21</v>
      </c>
      <c r="C27" s="64">
        <v>3.13</v>
      </c>
      <c r="D27" s="64">
        <v>7.2</v>
      </c>
      <c r="E27" s="64">
        <v>4.62</v>
      </c>
      <c r="F27" s="64">
        <v>3.22</v>
      </c>
      <c r="G27" s="64">
        <v>38.380000000000003</v>
      </c>
      <c r="H27" s="64">
        <v>28.86</v>
      </c>
      <c r="I27" s="64">
        <v>2.27</v>
      </c>
      <c r="J27" s="64">
        <v>0.28999999999999998</v>
      </c>
      <c r="K27" s="64">
        <v>0.92</v>
      </c>
      <c r="L27" s="64">
        <v>22.19</v>
      </c>
      <c r="M27" s="64">
        <v>101.79</v>
      </c>
      <c r="N27" s="64">
        <v>25.7</v>
      </c>
      <c r="O27" s="64">
        <v>0</v>
      </c>
      <c r="P27" s="64">
        <v>0.33</v>
      </c>
      <c r="Q27" s="64">
        <v>9.51</v>
      </c>
      <c r="R27" s="198"/>
      <c r="S27" s="198"/>
      <c r="T27" s="198"/>
      <c r="U27" s="198"/>
    </row>
    <row r="28" spans="1:21" s="12" customFormat="1" x14ac:dyDescent="0.25">
      <c r="A28" s="214" t="s">
        <v>1898</v>
      </c>
      <c r="B28" s="64">
        <v>4.2</v>
      </c>
      <c r="C28" s="64">
        <v>3.14</v>
      </c>
      <c r="D28" s="64">
        <v>7.2</v>
      </c>
      <c r="E28" s="64">
        <v>4.6900000000000004</v>
      </c>
      <c r="F28" s="64">
        <v>4.26</v>
      </c>
      <c r="G28" s="64">
        <v>38.380000000000003</v>
      </c>
      <c r="H28" s="64">
        <v>28.86</v>
      </c>
      <c r="I28" s="64">
        <v>2.74</v>
      </c>
      <c r="J28" s="64">
        <v>0.22</v>
      </c>
      <c r="K28" s="64">
        <v>2.96</v>
      </c>
      <c r="L28" s="64">
        <v>22.26</v>
      </c>
      <c r="M28" s="64">
        <v>101.78</v>
      </c>
      <c r="N28" s="64">
        <v>26</v>
      </c>
      <c r="O28" s="64">
        <v>0</v>
      </c>
      <c r="P28" s="64">
        <v>0.32</v>
      </c>
      <c r="Q28" s="64">
        <v>9.51</v>
      </c>
      <c r="R28" s="198"/>
      <c r="S28" s="198"/>
      <c r="T28" s="198"/>
      <c r="U28" s="198"/>
    </row>
    <row r="29" spans="1:21" s="12" customFormat="1" x14ac:dyDescent="0.25">
      <c r="A29" s="214" t="s">
        <v>1899</v>
      </c>
      <c r="B29" s="64">
        <v>4.1900000000000004</v>
      </c>
      <c r="C29" s="64">
        <v>3.09</v>
      </c>
      <c r="D29" s="64">
        <v>7.17</v>
      </c>
      <c r="E29" s="64">
        <v>4.3099999999999996</v>
      </c>
      <c r="F29" s="64">
        <v>3.53</v>
      </c>
      <c r="G29" s="64">
        <v>38.380000000000003</v>
      </c>
      <c r="H29" s="64">
        <v>28.86</v>
      </c>
      <c r="I29" s="64">
        <v>2.86</v>
      </c>
      <c r="J29" s="64">
        <v>0.38</v>
      </c>
      <c r="K29" s="64">
        <v>26.09</v>
      </c>
      <c r="L29" s="64">
        <v>22.27</v>
      </c>
      <c r="M29" s="64">
        <v>101.78</v>
      </c>
      <c r="N29" s="64">
        <v>26.1</v>
      </c>
      <c r="O29" s="64">
        <v>0</v>
      </c>
      <c r="P29" s="64">
        <v>0.33</v>
      </c>
      <c r="Q29" s="64">
        <v>9.51</v>
      </c>
      <c r="R29" s="198"/>
      <c r="S29" s="198"/>
      <c r="T29" s="198"/>
      <c r="U29" s="198"/>
    </row>
    <row r="30" spans="1:21" s="12" customFormat="1" x14ac:dyDescent="0.25">
      <c r="A30" s="214" t="s">
        <v>1900</v>
      </c>
      <c r="B30" s="64">
        <v>4.2</v>
      </c>
      <c r="C30" s="64">
        <v>3.13</v>
      </c>
      <c r="D30" s="64">
        <v>7.2</v>
      </c>
      <c r="E30" s="64">
        <v>4.24</v>
      </c>
      <c r="F30" s="64">
        <v>3.8</v>
      </c>
      <c r="G30" s="64">
        <v>32.81</v>
      </c>
      <c r="H30" s="64">
        <v>17.489999999999998</v>
      </c>
      <c r="I30" s="64">
        <v>2.75</v>
      </c>
      <c r="J30" s="64">
        <v>0.49</v>
      </c>
      <c r="K30" s="64">
        <v>129.72</v>
      </c>
      <c r="L30" s="64">
        <v>22.22</v>
      </c>
      <c r="M30" s="64">
        <v>101.33</v>
      </c>
      <c r="N30" s="64">
        <v>25.9</v>
      </c>
      <c r="O30" s="64">
        <v>0</v>
      </c>
      <c r="P30" s="64">
        <v>0.32</v>
      </c>
      <c r="Q30" s="64">
        <v>9.52</v>
      </c>
      <c r="R30" s="198"/>
      <c r="S30" s="198"/>
      <c r="T30" s="198"/>
      <c r="U30" s="198"/>
    </row>
    <row r="31" spans="1:21" s="12" customFormat="1" x14ac:dyDescent="0.25">
      <c r="A31" s="214" t="s">
        <v>1901</v>
      </c>
      <c r="B31" s="64">
        <v>4.21</v>
      </c>
      <c r="C31" s="64">
        <v>3.13</v>
      </c>
      <c r="D31" s="64">
        <v>7.21</v>
      </c>
      <c r="E31" s="64">
        <v>4.4400000000000004</v>
      </c>
      <c r="F31" s="64">
        <v>3.38</v>
      </c>
      <c r="G31" s="64">
        <v>30.9</v>
      </c>
      <c r="H31" s="64">
        <v>17.32</v>
      </c>
      <c r="I31" s="64">
        <v>2.48</v>
      </c>
      <c r="J31" s="64">
        <v>0.1</v>
      </c>
      <c r="K31" s="64">
        <v>264.87</v>
      </c>
      <c r="L31" s="64">
        <v>22.03</v>
      </c>
      <c r="M31" s="64">
        <v>101.54</v>
      </c>
      <c r="N31" s="64">
        <v>26.3</v>
      </c>
      <c r="O31" s="64">
        <v>0</v>
      </c>
      <c r="P31" s="64">
        <v>0.32</v>
      </c>
      <c r="Q31" s="64">
        <v>9.5399999999999991</v>
      </c>
      <c r="R31" s="198"/>
      <c r="S31" s="198"/>
      <c r="T31" s="198"/>
      <c r="U31" s="198"/>
    </row>
    <row r="32" spans="1:21" s="12" customFormat="1" x14ac:dyDescent="0.25">
      <c r="A32" s="214" t="s">
        <v>1902</v>
      </c>
      <c r="B32" s="64">
        <v>4.2300000000000004</v>
      </c>
      <c r="C32" s="64">
        <v>3.17</v>
      </c>
      <c r="D32" s="64">
        <v>7.24</v>
      </c>
      <c r="E32" s="64">
        <v>4.0199999999999996</v>
      </c>
      <c r="F32" s="64">
        <v>4.28</v>
      </c>
      <c r="G32" s="64">
        <v>30.9</v>
      </c>
      <c r="H32" s="64">
        <v>17.32</v>
      </c>
      <c r="I32" s="64">
        <v>2.54</v>
      </c>
      <c r="J32" s="64">
        <v>0.02</v>
      </c>
      <c r="K32" s="64">
        <v>211.91</v>
      </c>
      <c r="L32" s="64">
        <v>22.06</v>
      </c>
      <c r="M32" s="64">
        <v>101.5</v>
      </c>
      <c r="N32" s="64">
        <v>29</v>
      </c>
      <c r="O32" s="64">
        <v>0</v>
      </c>
      <c r="P32" s="64">
        <v>0.32</v>
      </c>
      <c r="Q32" s="64">
        <v>9.5399999999999991</v>
      </c>
      <c r="R32" s="198"/>
      <c r="S32" s="198"/>
      <c r="T32" s="198"/>
      <c r="U32" s="198"/>
    </row>
    <row r="33" spans="1:21" s="12" customFormat="1" x14ac:dyDescent="0.25">
      <c r="A33" s="214" t="s">
        <v>1903</v>
      </c>
      <c r="B33" s="64">
        <v>4.22</v>
      </c>
      <c r="C33" s="64">
        <v>3.14</v>
      </c>
      <c r="D33" s="64">
        <v>7.22</v>
      </c>
      <c r="E33" s="64">
        <v>3.84</v>
      </c>
      <c r="F33" s="64">
        <v>3.24</v>
      </c>
      <c r="G33" s="64">
        <v>30.9</v>
      </c>
      <c r="H33" s="64">
        <v>17.32</v>
      </c>
      <c r="I33" s="64">
        <v>2.5499999999999998</v>
      </c>
      <c r="J33" s="64">
        <v>0.41</v>
      </c>
      <c r="K33" s="64">
        <v>133.22999999999999</v>
      </c>
      <c r="L33" s="64">
        <v>22.16</v>
      </c>
      <c r="M33" s="64">
        <v>101.24</v>
      </c>
      <c r="N33" s="64">
        <v>37.4</v>
      </c>
      <c r="O33" s="64">
        <v>0</v>
      </c>
      <c r="P33" s="64">
        <v>0.33</v>
      </c>
      <c r="Q33" s="64">
        <v>9.5500000000000007</v>
      </c>
      <c r="R33" s="198"/>
      <c r="S33" s="198"/>
      <c r="T33" s="198"/>
      <c r="U33" s="198"/>
    </row>
    <row r="34" spans="1:21" s="12" customFormat="1" x14ac:dyDescent="0.25">
      <c r="A34" s="214" t="s">
        <v>1904</v>
      </c>
      <c r="B34" s="64">
        <v>4.24</v>
      </c>
      <c r="C34" s="64">
        <v>3.14</v>
      </c>
      <c r="D34" s="64">
        <v>7.23</v>
      </c>
      <c r="E34" s="64">
        <v>4.18</v>
      </c>
      <c r="F34" s="64">
        <v>3.72</v>
      </c>
      <c r="G34" s="64">
        <v>33.4</v>
      </c>
      <c r="H34" s="64">
        <v>25.88</v>
      </c>
      <c r="I34" s="64">
        <v>2.52</v>
      </c>
      <c r="J34" s="64">
        <v>0.18</v>
      </c>
      <c r="K34" s="64">
        <v>145.04</v>
      </c>
      <c r="L34" s="64">
        <v>22.45</v>
      </c>
      <c r="M34" s="64">
        <v>101.24</v>
      </c>
      <c r="N34" s="64">
        <v>47.6</v>
      </c>
      <c r="O34" s="64">
        <v>0</v>
      </c>
      <c r="P34" s="64">
        <v>0.31</v>
      </c>
      <c r="Q34" s="64">
        <v>9.5399999999999991</v>
      </c>
      <c r="R34" s="198"/>
      <c r="S34" s="198"/>
      <c r="T34" s="198"/>
      <c r="U34" s="198"/>
    </row>
    <row r="35" spans="1:21" s="12" customFormat="1" x14ac:dyDescent="0.25">
      <c r="A35" s="214" t="s">
        <v>1905</v>
      </c>
      <c r="B35" s="64">
        <v>4.24</v>
      </c>
      <c r="C35" s="64">
        <v>3.14</v>
      </c>
      <c r="D35" s="64">
        <v>7.23</v>
      </c>
      <c r="E35" s="64">
        <v>4.24</v>
      </c>
      <c r="F35" s="64">
        <v>2.78</v>
      </c>
      <c r="G35" s="64">
        <v>34.26</v>
      </c>
      <c r="H35" s="64">
        <v>26.01</v>
      </c>
      <c r="I35" s="64">
        <v>2.31</v>
      </c>
      <c r="J35" s="64">
        <v>0.24</v>
      </c>
      <c r="K35" s="64">
        <v>358.69</v>
      </c>
      <c r="L35" s="64">
        <v>22.78</v>
      </c>
      <c r="M35" s="64">
        <v>101.51</v>
      </c>
      <c r="N35" s="64">
        <v>92.6</v>
      </c>
      <c r="O35" s="64">
        <v>0</v>
      </c>
      <c r="P35" s="64">
        <v>0.32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14" t="s">
        <v>1906</v>
      </c>
      <c r="B36" s="64">
        <v>4.26</v>
      </c>
      <c r="C36" s="64">
        <v>3.15</v>
      </c>
      <c r="D36" s="64">
        <v>7.25</v>
      </c>
      <c r="E36" s="64">
        <v>3.86</v>
      </c>
      <c r="F36" s="64">
        <v>3.3</v>
      </c>
      <c r="G36" s="64">
        <v>34.26</v>
      </c>
      <c r="H36" s="64">
        <v>26.01</v>
      </c>
      <c r="I36" s="64">
        <v>2.14</v>
      </c>
      <c r="J36" s="64">
        <v>0.78</v>
      </c>
      <c r="K36" s="64">
        <v>140.31</v>
      </c>
      <c r="L36" s="64">
        <v>23.48</v>
      </c>
      <c r="M36" s="64">
        <v>101.45</v>
      </c>
      <c r="N36" s="64">
        <v>104.4</v>
      </c>
      <c r="O36" s="64">
        <v>0</v>
      </c>
      <c r="P36" s="64">
        <v>0.32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14" t="s">
        <v>1907</v>
      </c>
      <c r="B37" s="64">
        <v>4.2699999999999996</v>
      </c>
      <c r="C37" s="64">
        <v>3.14</v>
      </c>
      <c r="D37" s="64">
        <v>7.25</v>
      </c>
      <c r="E37" s="64">
        <v>4.1500000000000004</v>
      </c>
      <c r="F37" s="64">
        <v>3.94</v>
      </c>
      <c r="G37" s="64">
        <v>34.26</v>
      </c>
      <c r="H37" s="64">
        <v>26.01</v>
      </c>
      <c r="I37" s="64">
        <v>1.96</v>
      </c>
      <c r="J37" s="64">
        <v>0.32</v>
      </c>
      <c r="K37" s="64">
        <v>131.88</v>
      </c>
      <c r="L37" s="64">
        <v>23.5</v>
      </c>
      <c r="M37" s="64">
        <v>101.21</v>
      </c>
      <c r="N37" s="64">
        <v>155.80000000000001</v>
      </c>
      <c r="O37" s="64">
        <v>0</v>
      </c>
      <c r="P37" s="64">
        <v>0.28000000000000003</v>
      </c>
      <c r="Q37" s="64">
        <v>9.58</v>
      </c>
      <c r="R37" s="198"/>
      <c r="S37" s="198"/>
      <c r="T37" s="198"/>
      <c r="U37" s="198"/>
    </row>
    <row r="38" spans="1:21" s="12" customFormat="1" x14ac:dyDescent="0.25">
      <c r="A38" s="214" t="s">
        <v>1908</v>
      </c>
      <c r="B38" s="64">
        <v>4.2699999999999996</v>
      </c>
      <c r="C38" s="64">
        <v>3.17</v>
      </c>
      <c r="D38" s="64">
        <v>7.27</v>
      </c>
      <c r="E38" s="64">
        <v>4.68</v>
      </c>
      <c r="F38" s="64">
        <v>3.67</v>
      </c>
      <c r="G38" s="64">
        <v>34.33</v>
      </c>
      <c r="H38" s="64">
        <v>11.56</v>
      </c>
      <c r="I38" s="64">
        <v>1.86</v>
      </c>
      <c r="J38" s="64">
        <v>0.19</v>
      </c>
      <c r="K38" s="64">
        <v>9.26</v>
      </c>
      <c r="L38" s="64">
        <v>25.2</v>
      </c>
      <c r="M38" s="64">
        <v>98.48</v>
      </c>
      <c r="N38" s="64">
        <v>249.7</v>
      </c>
      <c r="O38" s="64">
        <v>0</v>
      </c>
      <c r="P38" s="64">
        <v>0.28000000000000003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4" t="s">
        <v>1909</v>
      </c>
      <c r="B39" s="64">
        <v>4.28</v>
      </c>
      <c r="C39" s="64">
        <v>3.15</v>
      </c>
      <c r="D39" s="64">
        <v>7.26</v>
      </c>
      <c r="E39" s="64">
        <v>4.4000000000000004</v>
      </c>
      <c r="F39" s="64">
        <v>3.58</v>
      </c>
      <c r="G39" s="64">
        <v>34.36</v>
      </c>
      <c r="H39" s="64">
        <v>11.21</v>
      </c>
      <c r="I39" s="64">
        <v>1.92</v>
      </c>
      <c r="J39" s="64">
        <v>0.24</v>
      </c>
      <c r="K39" s="64">
        <v>26.57</v>
      </c>
      <c r="L39" s="64">
        <v>25.73</v>
      </c>
      <c r="M39" s="64">
        <v>94.8</v>
      </c>
      <c r="N39" s="64">
        <v>221.3</v>
      </c>
      <c r="O39" s="64">
        <v>0</v>
      </c>
      <c r="P39" s="64">
        <v>0.3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4" t="s">
        <v>1910</v>
      </c>
      <c r="B40" s="64">
        <v>4.28</v>
      </c>
      <c r="C40" s="64">
        <v>3.15</v>
      </c>
      <c r="D40" s="64">
        <v>7.27</v>
      </c>
      <c r="E40" s="64">
        <v>4.88</v>
      </c>
      <c r="F40" s="64">
        <v>3.69</v>
      </c>
      <c r="G40" s="64">
        <v>34.36</v>
      </c>
      <c r="H40" s="64">
        <v>11.21</v>
      </c>
      <c r="I40" s="64">
        <v>2.16</v>
      </c>
      <c r="J40" s="64">
        <v>0.02</v>
      </c>
      <c r="K40" s="64">
        <v>54.39</v>
      </c>
      <c r="L40" s="64">
        <v>25.55</v>
      </c>
      <c r="M40" s="64">
        <v>94.29</v>
      </c>
      <c r="N40" s="64">
        <v>322.3</v>
      </c>
      <c r="O40" s="64">
        <v>0</v>
      </c>
      <c r="P40" s="64">
        <v>0.28999999999999998</v>
      </c>
      <c r="Q40" s="64">
        <v>9.59</v>
      </c>
      <c r="R40" s="198"/>
      <c r="S40" s="198"/>
      <c r="T40" s="198"/>
      <c r="U40" s="198"/>
    </row>
    <row r="41" spans="1:21" s="12" customFormat="1" x14ac:dyDescent="0.25">
      <c r="A41" s="214" t="s">
        <v>1911</v>
      </c>
      <c r="B41" s="64">
        <v>4.2699999999999996</v>
      </c>
      <c r="C41" s="64">
        <v>3.1</v>
      </c>
      <c r="D41" s="64">
        <v>7.24</v>
      </c>
      <c r="E41" s="64">
        <v>5.33</v>
      </c>
      <c r="F41" s="64">
        <v>3.35</v>
      </c>
      <c r="G41" s="64">
        <v>34.36</v>
      </c>
      <c r="H41" s="64">
        <v>11.21</v>
      </c>
      <c r="I41" s="64">
        <v>2.44</v>
      </c>
      <c r="J41" s="64">
        <v>0.13</v>
      </c>
      <c r="K41" s="64">
        <v>49.61</v>
      </c>
      <c r="L41" s="64">
        <v>26.2</v>
      </c>
      <c r="M41" s="64">
        <v>90.05</v>
      </c>
      <c r="N41" s="64">
        <v>370.5</v>
      </c>
      <c r="O41" s="64">
        <v>0</v>
      </c>
      <c r="P41" s="64">
        <v>0.3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4" t="s">
        <v>1912</v>
      </c>
      <c r="B42" s="64">
        <v>4.26</v>
      </c>
      <c r="C42" s="64">
        <v>3.13</v>
      </c>
      <c r="D42" s="64">
        <v>7.24</v>
      </c>
      <c r="E42" s="64">
        <v>5.26</v>
      </c>
      <c r="F42" s="64">
        <v>3.58</v>
      </c>
      <c r="G42" s="64">
        <v>33.270000000000003</v>
      </c>
      <c r="H42" s="64">
        <v>16.79</v>
      </c>
      <c r="I42" s="64">
        <v>2.6</v>
      </c>
      <c r="J42" s="64">
        <v>0.12</v>
      </c>
      <c r="K42" s="64">
        <v>15.97</v>
      </c>
      <c r="L42" s="64">
        <v>26.07</v>
      </c>
      <c r="M42" s="64">
        <v>90.01</v>
      </c>
      <c r="N42" s="64">
        <v>244.3</v>
      </c>
      <c r="O42" s="64">
        <v>0</v>
      </c>
      <c r="P42" s="64">
        <v>0.3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4" t="s">
        <v>1913</v>
      </c>
      <c r="B43" s="64">
        <v>4.24</v>
      </c>
      <c r="C43" s="64">
        <v>3.17</v>
      </c>
      <c r="D43" s="64">
        <v>7.25</v>
      </c>
      <c r="E43" s="64">
        <v>5.19</v>
      </c>
      <c r="F43" s="64">
        <v>3.97</v>
      </c>
      <c r="G43" s="64">
        <v>32.89</v>
      </c>
      <c r="H43" s="64">
        <v>16.87</v>
      </c>
      <c r="I43" s="64">
        <v>2.5</v>
      </c>
      <c r="J43" s="64">
        <v>0.47</v>
      </c>
      <c r="K43" s="64">
        <v>13.86</v>
      </c>
      <c r="L43" s="64">
        <v>27.26</v>
      </c>
      <c r="M43" s="64">
        <v>84.08</v>
      </c>
      <c r="N43" s="64">
        <v>514.9</v>
      </c>
      <c r="O43" s="64">
        <v>0</v>
      </c>
      <c r="P43" s="64">
        <v>0.31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4" t="s">
        <v>1914</v>
      </c>
      <c r="B44" s="64">
        <v>4.21</v>
      </c>
      <c r="C44" s="64">
        <v>3.13</v>
      </c>
      <c r="D44" s="64">
        <v>7.2</v>
      </c>
      <c r="E44" s="64">
        <v>4.95</v>
      </c>
      <c r="F44" s="64">
        <v>3.52</v>
      </c>
      <c r="G44" s="64">
        <v>32.89</v>
      </c>
      <c r="H44" s="64">
        <v>16.87</v>
      </c>
      <c r="I44" s="64">
        <v>2.79</v>
      </c>
      <c r="J44" s="64">
        <v>0.46</v>
      </c>
      <c r="K44" s="64">
        <v>359.86</v>
      </c>
      <c r="L44" s="64">
        <v>28.7</v>
      </c>
      <c r="M44" s="64">
        <v>76.13</v>
      </c>
      <c r="N44" s="64">
        <v>524.70000000000005</v>
      </c>
      <c r="O44" s="64">
        <v>0</v>
      </c>
      <c r="P44" s="64">
        <v>0.31</v>
      </c>
      <c r="Q44" s="64">
        <v>9.59</v>
      </c>
      <c r="R44" s="198"/>
      <c r="S44" s="198"/>
      <c r="T44" s="198"/>
      <c r="U44" s="198"/>
    </row>
    <row r="45" spans="1:21" s="12" customFormat="1" x14ac:dyDescent="0.25">
      <c r="A45" s="214" t="s">
        <v>1915</v>
      </c>
      <c r="B45" s="64">
        <v>4.2</v>
      </c>
      <c r="C45" s="64">
        <v>3.09</v>
      </c>
      <c r="D45" s="64">
        <v>7.17</v>
      </c>
      <c r="E45" s="64">
        <v>4.99</v>
      </c>
      <c r="F45" s="64">
        <v>4.63</v>
      </c>
      <c r="G45" s="64">
        <v>32.89</v>
      </c>
      <c r="H45" s="64">
        <v>16.87</v>
      </c>
      <c r="I45" s="64">
        <v>2.99</v>
      </c>
      <c r="J45" s="64">
        <v>0.18</v>
      </c>
      <c r="K45" s="64">
        <v>34.54</v>
      </c>
      <c r="L45" s="64">
        <v>28.58</v>
      </c>
      <c r="M45" s="64">
        <v>75.91</v>
      </c>
      <c r="N45" s="64">
        <v>634</v>
      </c>
      <c r="O45" s="64">
        <v>0</v>
      </c>
      <c r="P45" s="64">
        <v>0.34</v>
      </c>
      <c r="Q45" s="64">
        <v>9.59</v>
      </c>
      <c r="R45" s="198"/>
      <c r="S45" s="198"/>
      <c r="T45" s="198"/>
      <c r="U45" s="198"/>
    </row>
    <row r="46" spans="1:21" s="12" customFormat="1" x14ac:dyDescent="0.25">
      <c r="A46" s="214" t="s">
        <v>1916</v>
      </c>
      <c r="B46" s="64">
        <v>4.22</v>
      </c>
      <c r="C46" s="64">
        <v>3.16</v>
      </c>
      <c r="D46" s="64">
        <v>7.22</v>
      </c>
      <c r="E46" s="64">
        <v>5.18</v>
      </c>
      <c r="F46" s="64">
        <v>3.28</v>
      </c>
      <c r="G46" s="64">
        <v>35.99</v>
      </c>
      <c r="H46" s="64">
        <v>21.43</v>
      </c>
      <c r="I46" s="64">
        <v>2.87</v>
      </c>
      <c r="J46" s="64">
        <v>0.22</v>
      </c>
      <c r="K46" s="64">
        <v>15.38</v>
      </c>
      <c r="L46" s="64">
        <v>28.72</v>
      </c>
      <c r="M46" s="64">
        <v>74.17</v>
      </c>
      <c r="N46" s="64">
        <v>446.1</v>
      </c>
      <c r="O46" s="64">
        <v>0</v>
      </c>
      <c r="P46" s="64">
        <v>0.38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1917</v>
      </c>
      <c r="B47" s="64">
        <v>4.22</v>
      </c>
      <c r="C47" s="64">
        <v>3.17</v>
      </c>
      <c r="D47" s="64">
        <v>7.23</v>
      </c>
      <c r="E47" s="64">
        <v>4.93</v>
      </c>
      <c r="F47" s="64">
        <v>4.42</v>
      </c>
      <c r="G47" s="64">
        <v>37.049999999999997</v>
      </c>
      <c r="H47" s="64">
        <v>21.5</v>
      </c>
      <c r="I47" s="64">
        <v>2.85</v>
      </c>
      <c r="J47" s="64">
        <v>0.32</v>
      </c>
      <c r="K47" s="64">
        <v>3.86</v>
      </c>
      <c r="L47" s="64">
        <v>28.39</v>
      </c>
      <c r="M47" s="64">
        <v>75.45</v>
      </c>
      <c r="N47" s="64">
        <v>470.8</v>
      </c>
      <c r="O47" s="64">
        <v>0</v>
      </c>
      <c r="P47" s="64">
        <v>0.39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4" t="s">
        <v>1918</v>
      </c>
      <c r="B48" s="64">
        <v>4.21</v>
      </c>
      <c r="C48" s="64">
        <v>3.13</v>
      </c>
      <c r="D48" s="64">
        <v>7.2</v>
      </c>
      <c r="E48" s="64">
        <v>5.17</v>
      </c>
      <c r="F48" s="64">
        <v>3.46</v>
      </c>
      <c r="G48" s="64">
        <v>37.049999999999997</v>
      </c>
      <c r="H48" s="64">
        <v>21.5</v>
      </c>
      <c r="I48" s="64">
        <v>2.87</v>
      </c>
      <c r="J48" s="64">
        <v>0.46</v>
      </c>
      <c r="K48" s="64">
        <v>348.96</v>
      </c>
      <c r="L48" s="64">
        <v>28.95</v>
      </c>
      <c r="M48" s="64">
        <v>73.3</v>
      </c>
      <c r="N48" s="64">
        <v>572.5</v>
      </c>
      <c r="O48" s="64">
        <v>0</v>
      </c>
      <c r="P48" s="64">
        <v>0.43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4" t="s">
        <v>1919</v>
      </c>
      <c r="B49" s="64">
        <v>4.2300000000000004</v>
      </c>
      <c r="C49" s="64">
        <v>3.16</v>
      </c>
      <c r="D49" s="64">
        <v>7.23</v>
      </c>
      <c r="E49" s="64">
        <v>4.8899999999999997</v>
      </c>
      <c r="F49" s="64">
        <v>3.87</v>
      </c>
      <c r="G49" s="64">
        <v>37.049999999999997</v>
      </c>
      <c r="H49" s="64">
        <v>21.5</v>
      </c>
      <c r="I49" s="64">
        <v>2.93</v>
      </c>
      <c r="J49" s="64">
        <v>0.31</v>
      </c>
      <c r="K49" s="64">
        <v>30.2</v>
      </c>
      <c r="L49" s="64">
        <v>29.41</v>
      </c>
      <c r="M49" s="64">
        <v>71.59</v>
      </c>
      <c r="N49" s="64">
        <v>797</v>
      </c>
      <c r="O49" s="64">
        <v>0</v>
      </c>
      <c r="P49" s="64">
        <v>0.43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4" t="s">
        <v>1920</v>
      </c>
      <c r="B50" s="64">
        <v>4.22</v>
      </c>
      <c r="C50" s="64">
        <v>3.16</v>
      </c>
      <c r="D50" s="64">
        <v>7.22</v>
      </c>
      <c r="E50" s="64">
        <v>5.1100000000000003</v>
      </c>
      <c r="F50" s="64">
        <v>4.54</v>
      </c>
      <c r="G50" s="64">
        <v>38.07</v>
      </c>
      <c r="H50" s="64">
        <v>9.65</v>
      </c>
      <c r="I50" s="64">
        <v>2.94</v>
      </c>
      <c r="J50" s="64">
        <v>0.44</v>
      </c>
      <c r="K50" s="64">
        <v>11.61</v>
      </c>
      <c r="L50" s="64">
        <v>29.83</v>
      </c>
      <c r="M50" s="64">
        <v>68.77</v>
      </c>
      <c r="N50" s="64">
        <v>681.3</v>
      </c>
      <c r="O50" s="64">
        <v>0</v>
      </c>
      <c r="P50" s="64">
        <v>0.45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4" t="s">
        <v>1921</v>
      </c>
      <c r="B51" s="64">
        <v>4.2300000000000004</v>
      </c>
      <c r="C51" s="64">
        <v>3.13</v>
      </c>
      <c r="D51" s="64">
        <v>7.22</v>
      </c>
      <c r="E51" s="64">
        <v>5.22</v>
      </c>
      <c r="F51" s="64">
        <v>3.82</v>
      </c>
      <c r="G51" s="64">
        <v>38.409999999999997</v>
      </c>
      <c r="H51" s="64">
        <v>9.4700000000000006</v>
      </c>
      <c r="I51" s="64">
        <v>2.88</v>
      </c>
      <c r="J51" s="64">
        <v>0.12</v>
      </c>
      <c r="K51" s="64">
        <v>5</v>
      </c>
      <c r="L51" s="64">
        <v>28.69</v>
      </c>
      <c r="M51" s="64">
        <v>71.400000000000006</v>
      </c>
      <c r="N51" s="64">
        <v>502.6</v>
      </c>
      <c r="O51" s="64">
        <v>0</v>
      </c>
      <c r="P51" s="64">
        <v>0.45</v>
      </c>
      <c r="Q51" s="64">
        <v>9.59</v>
      </c>
      <c r="R51" s="198"/>
      <c r="S51" s="198"/>
      <c r="T51" s="198"/>
      <c r="U51" s="198"/>
    </row>
    <row r="52" spans="1:21" s="12" customFormat="1" x14ac:dyDescent="0.25">
      <c r="A52" s="214" t="s">
        <v>1922</v>
      </c>
      <c r="B52" s="64">
        <v>4.26</v>
      </c>
      <c r="C52" s="64">
        <v>3.19</v>
      </c>
      <c r="D52" s="64">
        <v>7.28</v>
      </c>
      <c r="E52" s="64">
        <v>5.0199999999999996</v>
      </c>
      <c r="F52" s="64">
        <v>4.38</v>
      </c>
      <c r="G52" s="64">
        <v>38.409999999999997</v>
      </c>
      <c r="H52" s="64">
        <v>9.4700000000000006</v>
      </c>
      <c r="I52" s="64">
        <v>2.82</v>
      </c>
      <c r="J52" s="64">
        <v>0.19</v>
      </c>
      <c r="K52" s="64">
        <v>0.69</v>
      </c>
      <c r="L52" s="64">
        <v>28.36</v>
      </c>
      <c r="M52" s="64">
        <v>72.41</v>
      </c>
      <c r="N52" s="64">
        <v>729.7</v>
      </c>
      <c r="O52" s="64">
        <v>0</v>
      </c>
      <c r="P52" s="64">
        <v>0.43</v>
      </c>
      <c r="Q52" s="64">
        <v>9.57</v>
      </c>
      <c r="R52" s="198"/>
      <c r="S52" s="198"/>
      <c r="T52" s="198"/>
      <c r="U52" s="198"/>
    </row>
    <row r="53" spans="1:21" s="12" customFormat="1" x14ac:dyDescent="0.25">
      <c r="A53" s="214" t="s">
        <v>1923</v>
      </c>
      <c r="B53" s="64">
        <v>4.29</v>
      </c>
      <c r="C53" s="64">
        <v>3.22</v>
      </c>
      <c r="D53" s="64">
        <v>7.31</v>
      </c>
      <c r="E53" s="64">
        <v>5.03</v>
      </c>
      <c r="F53" s="64">
        <v>4.62</v>
      </c>
      <c r="G53" s="64">
        <v>38.409999999999997</v>
      </c>
      <c r="H53" s="64">
        <v>9.4700000000000006</v>
      </c>
      <c r="I53" s="64">
        <v>2.68</v>
      </c>
      <c r="J53" s="64">
        <v>0.34</v>
      </c>
      <c r="K53" s="64">
        <v>352.3</v>
      </c>
      <c r="L53" s="64">
        <v>29.32</v>
      </c>
      <c r="M53" s="64">
        <v>69.8</v>
      </c>
      <c r="N53" s="64">
        <v>838.5</v>
      </c>
      <c r="O53" s="64">
        <v>0</v>
      </c>
      <c r="P53" s="64">
        <v>0.42</v>
      </c>
      <c r="Q53" s="64">
        <v>9.57</v>
      </c>
      <c r="R53" s="198"/>
      <c r="S53" s="198"/>
      <c r="T53" s="198"/>
      <c r="U53" s="198"/>
    </row>
    <row r="54" spans="1:21" s="12" customFormat="1" x14ac:dyDescent="0.25">
      <c r="A54" s="214" t="s">
        <v>1924</v>
      </c>
      <c r="B54" s="64">
        <v>4.3099999999999996</v>
      </c>
      <c r="C54" s="64">
        <v>3.2</v>
      </c>
      <c r="D54" s="64">
        <v>7.32</v>
      </c>
      <c r="E54" s="64">
        <v>4.8</v>
      </c>
      <c r="F54" s="64">
        <v>4.6900000000000004</v>
      </c>
      <c r="G54" s="64">
        <v>39.93</v>
      </c>
      <c r="H54" s="64">
        <v>8.91</v>
      </c>
      <c r="I54" s="64">
        <v>2.54</v>
      </c>
      <c r="J54" s="64">
        <v>0.28000000000000003</v>
      </c>
      <c r="K54" s="64">
        <v>121.99</v>
      </c>
      <c r="L54" s="64">
        <v>29.62</v>
      </c>
      <c r="M54" s="64">
        <v>68.48</v>
      </c>
      <c r="N54" s="64">
        <v>881.2</v>
      </c>
      <c r="O54" s="64">
        <v>0</v>
      </c>
      <c r="P54" s="64">
        <v>0.42</v>
      </c>
      <c r="Q54" s="64">
        <v>9.56</v>
      </c>
      <c r="R54" s="198"/>
      <c r="S54" s="198"/>
      <c r="T54" s="198"/>
      <c r="U54" s="198"/>
    </row>
    <row r="55" spans="1:21" s="12" customFormat="1" x14ac:dyDescent="0.25">
      <c r="A55" s="214" t="s">
        <v>1925</v>
      </c>
      <c r="B55" s="64">
        <v>4.33</v>
      </c>
      <c r="C55" s="64">
        <v>3.29</v>
      </c>
      <c r="D55" s="64">
        <v>7.38</v>
      </c>
      <c r="E55" s="64">
        <v>4.88</v>
      </c>
      <c r="F55" s="64">
        <v>4.49</v>
      </c>
      <c r="G55" s="64">
        <v>40.44</v>
      </c>
      <c r="H55" s="64">
        <v>8.9</v>
      </c>
      <c r="I55" s="64">
        <v>2.61</v>
      </c>
      <c r="J55" s="64">
        <v>0.22</v>
      </c>
      <c r="K55" s="64">
        <v>1.25</v>
      </c>
      <c r="L55" s="64">
        <v>30</v>
      </c>
      <c r="M55" s="64">
        <v>67.23</v>
      </c>
      <c r="N55" s="64">
        <v>927.5</v>
      </c>
      <c r="O55" s="64">
        <v>0</v>
      </c>
      <c r="P55" s="64">
        <v>0.41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14" t="s">
        <v>1926</v>
      </c>
      <c r="B56" s="64">
        <v>4.28</v>
      </c>
      <c r="C56" s="64">
        <v>3.21</v>
      </c>
      <c r="D56" s="64">
        <v>7.3</v>
      </c>
      <c r="E56" s="64">
        <v>3.39</v>
      </c>
      <c r="F56" s="64">
        <v>4.51</v>
      </c>
      <c r="G56" s="64">
        <v>40.44</v>
      </c>
      <c r="H56" s="64">
        <v>8.9</v>
      </c>
      <c r="I56" s="64">
        <v>2.62</v>
      </c>
      <c r="J56" s="64">
        <v>0.22</v>
      </c>
      <c r="K56" s="64">
        <v>121.72</v>
      </c>
      <c r="L56" s="64">
        <v>30.76</v>
      </c>
      <c r="M56" s="64">
        <v>63.78</v>
      </c>
      <c r="N56" s="64">
        <v>939.3</v>
      </c>
      <c r="O56" s="64">
        <v>0</v>
      </c>
      <c r="P56" s="64">
        <v>0.4</v>
      </c>
      <c r="Q56" s="64">
        <v>9.5299999999999994</v>
      </c>
      <c r="R56" s="198"/>
      <c r="S56" s="198"/>
      <c r="T56" s="198"/>
      <c r="U56" s="198"/>
    </row>
    <row r="57" spans="1:21" s="12" customFormat="1" x14ac:dyDescent="0.25">
      <c r="A57" s="214" t="s">
        <v>1927</v>
      </c>
      <c r="B57" s="64">
        <v>4.2699999999999996</v>
      </c>
      <c r="C57" s="64">
        <v>3.19</v>
      </c>
      <c r="D57" s="64">
        <v>7.28</v>
      </c>
      <c r="E57" s="64">
        <v>3.94</v>
      </c>
      <c r="F57" s="64">
        <v>4.57</v>
      </c>
      <c r="G57" s="64">
        <v>40.44</v>
      </c>
      <c r="H57" s="64">
        <v>8.9</v>
      </c>
      <c r="I57" s="64">
        <v>2.57</v>
      </c>
      <c r="J57" s="64">
        <v>0</v>
      </c>
      <c r="K57" s="64">
        <v>244.8</v>
      </c>
      <c r="L57" s="64">
        <v>30.07</v>
      </c>
      <c r="M57" s="64">
        <v>67.33</v>
      </c>
      <c r="N57" s="64">
        <v>875.8</v>
      </c>
      <c r="O57" s="64">
        <v>0</v>
      </c>
      <c r="P57" s="64">
        <v>0.39</v>
      </c>
      <c r="Q57" s="64">
        <v>9.5399999999999991</v>
      </c>
      <c r="R57" s="198"/>
      <c r="S57" s="198"/>
      <c r="T57" s="198"/>
      <c r="U57" s="198"/>
    </row>
    <row r="58" spans="1:21" s="12" customFormat="1" x14ac:dyDescent="0.25">
      <c r="A58" s="214" t="s">
        <v>1928</v>
      </c>
      <c r="B58" s="64">
        <v>4.2699999999999996</v>
      </c>
      <c r="C58" s="64">
        <v>3.19</v>
      </c>
      <c r="D58" s="64">
        <v>7.28</v>
      </c>
      <c r="E58" s="64">
        <v>3.89</v>
      </c>
      <c r="F58" s="64">
        <v>4.1900000000000004</v>
      </c>
      <c r="G58" s="64">
        <v>38.85</v>
      </c>
      <c r="H58" s="64">
        <v>7.78</v>
      </c>
      <c r="I58" s="64">
        <v>2.59</v>
      </c>
      <c r="J58" s="64">
        <v>0.21</v>
      </c>
      <c r="K58" s="64">
        <v>97.1</v>
      </c>
      <c r="L58" s="64">
        <v>29.87</v>
      </c>
      <c r="M58" s="64">
        <v>68.55</v>
      </c>
      <c r="N58" s="64">
        <v>876.8</v>
      </c>
      <c r="O58" s="64">
        <v>0</v>
      </c>
      <c r="P58" s="64">
        <v>0.37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14" t="s">
        <v>1929</v>
      </c>
      <c r="B59" s="64">
        <v>4.2699999999999996</v>
      </c>
      <c r="C59" s="64">
        <v>3.19</v>
      </c>
      <c r="D59" s="64">
        <v>7.28</v>
      </c>
      <c r="E59" s="64">
        <v>4.13</v>
      </c>
      <c r="F59" s="64">
        <v>4.12</v>
      </c>
      <c r="G59" s="64">
        <v>38.299999999999997</v>
      </c>
      <c r="H59" s="64">
        <v>7.76</v>
      </c>
      <c r="I59" s="64">
        <v>2.54</v>
      </c>
      <c r="J59" s="64">
        <v>0.81</v>
      </c>
      <c r="K59" s="64">
        <v>144.28</v>
      </c>
      <c r="L59" s="64">
        <v>29.51</v>
      </c>
      <c r="M59" s="64">
        <v>69.31</v>
      </c>
      <c r="N59" s="64">
        <v>755</v>
      </c>
      <c r="O59" s="64">
        <v>0</v>
      </c>
      <c r="P59" s="64">
        <v>0.38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14" t="s">
        <v>1930</v>
      </c>
      <c r="B60" s="64">
        <v>4.22</v>
      </c>
      <c r="C60" s="64">
        <v>3.17</v>
      </c>
      <c r="D60" s="64">
        <v>7.23</v>
      </c>
      <c r="E60" s="64">
        <v>4.01</v>
      </c>
      <c r="F60" s="64">
        <v>3.93</v>
      </c>
      <c r="G60" s="64">
        <v>38.299999999999997</v>
      </c>
      <c r="H60" s="64">
        <v>7.76</v>
      </c>
      <c r="I60" s="64">
        <v>2.52</v>
      </c>
      <c r="J60" s="64">
        <v>1.23</v>
      </c>
      <c r="K60" s="64">
        <v>140.26</v>
      </c>
      <c r="L60" s="64">
        <v>29.37</v>
      </c>
      <c r="M60" s="64">
        <v>70.819999999999993</v>
      </c>
      <c r="N60" s="64">
        <v>845.6</v>
      </c>
      <c r="O60" s="64">
        <v>0</v>
      </c>
      <c r="P60" s="64">
        <v>0.38</v>
      </c>
      <c r="Q60" s="64">
        <v>9.57</v>
      </c>
      <c r="R60" s="198"/>
      <c r="S60" s="198"/>
      <c r="T60" s="198"/>
      <c r="U60" s="198"/>
    </row>
    <row r="61" spans="1:21" s="12" customFormat="1" x14ac:dyDescent="0.25">
      <c r="A61" s="214" t="s">
        <v>1931</v>
      </c>
      <c r="B61" s="64">
        <v>4.2300000000000004</v>
      </c>
      <c r="C61" s="64">
        <v>3.15</v>
      </c>
      <c r="D61" s="64">
        <v>7.23</v>
      </c>
      <c r="E61" s="64">
        <v>4.3499999999999996</v>
      </c>
      <c r="F61" s="64">
        <v>3.69</v>
      </c>
      <c r="G61" s="64">
        <v>38.299999999999997</v>
      </c>
      <c r="H61" s="64">
        <v>7.76</v>
      </c>
      <c r="I61" s="64">
        <v>2.69</v>
      </c>
      <c r="J61" s="64">
        <v>0.34</v>
      </c>
      <c r="K61" s="64">
        <v>123.65</v>
      </c>
      <c r="L61" s="64">
        <v>29.75</v>
      </c>
      <c r="M61" s="64">
        <v>68.31</v>
      </c>
      <c r="N61" s="64">
        <v>616.70000000000005</v>
      </c>
      <c r="O61" s="64">
        <v>0</v>
      </c>
      <c r="P61" s="64">
        <v>0.35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4" t="s">
        <v>1932</v>
      </c>
      <c r="B62" s="64">
        <v>4.24</v>
      </c>
      <c r="C62" s="64">
        <v>3.17</v>
      </c>
      <c r="D62" s="64">
        <v>7.25</v>
      </c>
      <c r="E62" s="64">
        <v>3.61</v>
      </c>
      <c r="F62" s="64">
        <v>4.51</v>
      </c>
      <c r="G62" s="64">
        <v>39.28</v>
      </c>
      <c r="H62" s="64">
        <v>26.36</v>
      </c>
      <c r="I62" s="64">
        <v>2.95</v>
      </c>
      <c r="J62" s="64">
        <v>0.53</v>
      </c>
      <c r="K62" s="64">
        <v>142.72999999999999</v>
      </c>
      <c r="L62" s="64">
        <v>29.65</v>
      </c>
      <c r="M62" s="64">
        <v>68.41</v>
      </c>
      <c r="N62" s="64">
        <v>374.7</v>
      </c>
      <c r="O62" s="64">
        <v>0</v>
      </c>
      <c r="P62" s="64">
        <v>0.35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4" t="s">
        <v>1933</v>
      </c>
      <c r="B63" s="64">
        <v>4.21</v>
      </c>
      <c r="C63" s="64">
        <v>3.15</v>
      </c>
      <c r="D63" s="64">
        <v>7.22</v>
      </c>
      <c r="E63" s="64">
        <v>4.1500000000000004</v>
      </c>
      <c r="F63" s="64">
        <v>3.96</v>
      </c>
      <c r="G63" s="64">
        <v>39.619999999999997</v>
      </c>
      <c r="H63" s="64">
        <v>26.64</v>
      </c>
      <c r="I63" s="64">
        <v>2.99</v>
      </c>
      <c r="J63" s="64">
        <v>0.81</v>
      </c>
      <c r="K63" s="64">
        <v>128.85</v>
      </c>
      <c r="L63" s="64">
        <v>28.81</v>
      </c>
      <c r="M63" s="64">
        <v>72.48</v>
      </c>
      <c r="N63" s="64">
        <v>248.8</v>
      </c>
      <c r="O63" s="64">
        <v>0</v>
      </c>
      <c r="P63" s="64">
        <v>0.35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4" t="s">
        <v>1934</v>
      </c>
      <c r="B64" s="64">
        <v>4.2300000000000004</v>
      </c>
      <c r="C64" s="64">
        <v>3.15</v>
      </c>
      <c r="D64" s="64">
        <v>7.23</v>
      </c>
      <c r="E64" s="64">
        <v>4.12</v>
      </c>
      <c r="F64" s="64">
        <v>3.34</v>
      </c>
      <c r="G64" s="64">
        <v>39.619999999999997</v>
      </c>
      <c r="H64" s="64">
        <v>26.64</v>
      </c>
      <c r="I64" s="64">
        <v>2.97</v>
      </c>
      <c r="J64" s="64">
        <v>0.32</v>
      </c>
      <c r="K64" s="64">
        <v>136.88999999999999</v>
      </c>
      <c r="L64" s="64">
        <v>28.12</v>
      </c>
      <c r="M64" s="64">
        <v>74.510000000000005</v>
      </c>
      <c r="N64" s="64">
        <v>131.4</v>
      </c>
      <c r="O64" s="64">
        <v>0</v>
      </c>
      <c r="P64" s="64">
        <v>0.34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4" t="s">
        <v>1935</v>
      </c>
      <c r="B65" s="64">
        <v>4.24</v>
      </c>
      <c r="C65" s="64">
        <v>3.11</v>
      </c>
      <c r="D65" s="64">
        <v>7.22</v>
      </c>
      <c r="E65" s="64">
        <v>3.86</v>
      </c>
      <c r="F65" s="64">
        <v>4.04</v>
      </c>
      <c r="G65" s="64">
        <v>39.619999999999997</v>
      </c>
      <c r="H65" s="64">
        <v>26.64</v>
      </c>
      <c r="I65" s="64">
        <v>2.89</v>
      </c>
      <c r="J65" s="64">
        <v>0.27</v>
      </c>
      <c r="K65" s="64">
        <v>1.04</v>
      </c>
      <c r="L65" s="64">
        <v>28.11</v>
      </c>
      <c r="M65" s="64">
        <v>74.62</v>
      </c>
      <c r="N65" s="64">
        <v>124.8</v>
      </c>
      <c r="O65" s="64">
        <v>0</v>
      </c>
      <c r="P65" s="64">
        <v>0.34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4" t="s">
        <v>1936</v>
      </c>
      <c r="B66" s="64">
        <v>4.21</v>
      </c>
      <c r="C66" s="64">
        <v>3.14</v>
      </c>
      <c r="D66" s="64">
        <v>7.21</v>
      </c>
      <c r="E66" s="64">
        <v>3.92</v>
      </c>
      <c r="F66" s="64">
        <v>4.66</v>
      </c>
      <c r="G66" s="64">
        <v>34.42</v>
      </c>
      <c r="H66" s="64">
        <v>19.690000000000001</v>
      </c>
      <c r="I66" s="64">
        <v>2.58</v>
      </c>
      <c r="J66" s="64">
        <v>0.31</v>
      </c>
      <c r="K66" s="64">
        <v>358.57</v>
      </c>
      <c r="L66" s="64">
        <v>28.14</v>
      </c>
      <c r="M66" s="64">
        <v>75.33</v>
      </c>
      <c r="N66" s="64">
        <v>154.80000000000001</v>
      </c>
      <c r="O66" s="64">
        <v>0</v>
      </c>
      <c r="P66" s="64">
        <v>0.35</v>
      </c>
      <c r="Q66" s="64">
        <v>9.66</v>
      </c>
      <c r="R66" s="198"/>
      <c r="S66" s="198"/>
      <c r="T66" s="198"/>
      <c r="U66" s="198"/>
    </row>
    <row r="67" spans="1:21" s="12" customFormat="1" x14ac:dyDescent="0.25">
      <c r="A67" s="214" t="s">
        <v>1937</v>
      </c>
      <c r="B67" s="64">
        <v>4.21</v>
      </c>
      <c r="C67" s="64">
        <v>3.12</v>
      </c>
      <c r="D67" s="64">
        <v>7.2</v>
      </c>
      <c r="E67" s="64">
        <v>3.99</v>
      </c>
      <c r="F67" s="64">
        <v>2.78</v>
      </c>
      <c r="G67" s="64">
        <v>32.64</v>
      </c>
      <c r="H67" s="64">
        <v>19.579999999999998</v>
      </c>
      <c r="I67" s="64">
        <v>2.57</v>
      </c>
      <c r="J67" s="64">
        <v>0.32</v>
      </c>
      <c r="K67" s="64">
        <v>334.52</v>
      </c>
      <c r="L67" s="64">
        <v>28.21</v>
      </c>
      <c r="M67" s="64">
        <v>76.67</v>
      </c>
      <c r="N67" s="64">
        <v>95.4</v>
      </c>
      <c r="O67" s="64">
        <v>0</v>
      </c>
      <c r="P67" s="64">
        <v>0.35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4" t="s">
        <v>1938</v>
      </c>
      <c r="B68" s="64">
        <v>4.22</v>
      </c>
      <c r="C68" s="64">
        <v>3.15</v>
      </c>
      <c r="D68" s="64">
        <v>7.22</v>
      </c>
      <c r="E68" s="64">
        <v>3.93</v>
      </c>
      <c r="F68" s="64">
        <v>4.05</v>
      </c>
      <c r="G68" s="64">
        <v>32.64</v>
      </c>
      <c r="H68" s="64">
        <v>19.579999999999998</v>
      </c>
      <c r="I68" s="64">
        <v>2.54</v>
      </c>
      <c r="J68" s="64">
        <v>0.48</v>
      </c>
      <c r="K68" s="64">
        <v>332.19</v>
      </c>
      <c r="L68" s="64">
        <v>28.16</v>
      </c>
      <c r="M68" s="64">
        <v>76.62</v>
      </c>
      <c r="N68" s="64">
        <v>102.8</v>
      </c>
      <c r="O68" s="64">
        <v>0</v>
      </c>
      <c r="P68" s="64">
        <v>0.4</v>
      </c>
      <c r="Q68" s="64">
        <v>9.57</v>
      </c>
      <c r="R68" s="198"/>
      <c r="S68" s="198"/>
      <c r="T68" s="198"/>
      <c r="U68" s="198"/>
    </row>
    <row r="69" spans="1:21" s="12" customFormat="1" x14ac:dyDescent="0.25">
      <c r="A69" s="214" t="s">
        <v>1939</v>
      </c>
      <c r="B69" s="64">
        <v>4.2699999999999996</v>
      </c>
      <c r="C69" s="64">
        <v>3.17</v>
      </c>
      <c r="D69" s="64">
        <v>7.27</v>
      </c>
      <c r="E69" s="64">
        <v>3.4</v>
      </c>
      <c r="F69" s="64">
        <v>3.97</v>
      </c>
      <c r="G69" s="64">
        <v>32.64</v>
      </c>
      <c r="H69" s="64">
        <v>19.579999999999998</v>
      </c>
      <c r="I69" s="64">
        <v>2.48</v>
      </c>
      <c r="J69" s="64">
        <v>0.49</v>
      </c>
      <c r="K69" s="64">
        <v>318.24</v>
      </c>
      <c r="L69" s="64">
        <v>28.25</v>
      </c>
      <c r="M69" s="64">
        <v>78.25</v>
      </c>
      <c r="N69" s="64">
        <v>125.6</v>
      </c>
      <c r="O69" s="64">
        <v>0</v>
      </c>
      <c r="P69" s="64">
        <v>0.43</v>
      </c>
      <c r="Q69" s="64">
        <v>9.58</v>
      </c>
      <c r="R69" s="198"/>
      <c r="S69" s="198"/>
      <c r="T69" s="198"/>
      <c r="U69" s="198"/>
    </row>
    <row r="70" spans="1:21" s="12" customFormat="1" x14ac:dyDescent="0.25">
      <c r="A70" s="214" t="s">
        <v>1940</v>
      </c>
      <c r="B70" s="64">
        <v>4.28</v>
      </c>
      <c r="C70" s="64">
        <v>3.17</v>
      </c>
      <c r="D70" s="64">
        <v>7.28</v>
      </c>
      <c r="E70" s="64">
        <v>3.96</v>
      </c>
      <c r="F70" s="64">
        <v>3.93</v>
      </c>
      <c r="G70" s="64">
        <v>36.840000000000003</v>
      </c>
      <c r="H70" s="64">
        <v>16.71</v>
      </c>
      <c r="I70" s="64">
        <v>1.76</v>
      </c>
      <c r="J70" s="64">
        <v>0.87</v>
      </c>
      <c r="K70" s="64">
        <v>336.46</v>
      </c>
      <c r="L70" s="64">
        <v>28.6</v>
      </c>
      <c r="M70" s="64">
        <v>78.67</v>
      </c>
      <c r="N70" s="64">
        <v>188.6</v>
      </c>
      <c r="O70" s="64">
        <v>0</v>
      </c>
      <c r="P70" s="64">
        <v>0.44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4" t="s">
        <v>1941</v>
      </c>
      <c r="B71" s="64">
        <v>4.29</v>
      </c>
      <c r="C71" s="64">
        <v>3.14</v>
      </c>
      <c r="D71" s="64">
        <v>7.27</v>
      </c>
      <c r="E71" s="64">
        <v>3.93</v>
      </c>
      <c r="F71" s="64">
        <v>4.0199999999999996</v>
      </c>
      <c r="G71" s="64">
        <v>38.28</v>
      </c>
      <c r="H71" s="64">
        <v>16.649999999999999</v>
      </c>
      <c r="I71" s="64">
        <v>1.31</v>
      </c>
      <c r="J71" s="64">
        <v>0.57999999999999996</v>
      </c>
      <c r="K71" s="64">
        <v>334.52</v>
      </c>
      <c r="L71" s="64">
        <v>29.05</v>
      </c>
      <c r="M71" s="64">
        <v>73.88</v>
      </c>
      <c r="N71" s="64">
        <v>137.30000000000001</v>
      </c>
      <c r="O71" s="64">
        <v>0</v>
      </c>
      <c r="P71" s="64">
        <v>0.39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1942</v>
      </c>
      <c r="B72" s="64">
        <v>4.29</v>
      </c>
      <c r="C72" s="64">
        <v>3.17</v>
      </c>
      <c r="D72" s="64">
        <v>7.28</v>
      </c>
      <c r="E72" s="64">
        <v>3.88</v>
      </c>
      <c r="F72" s="64">
        <v>3.74</v>
      </c>
      <c r="G72" s="64">
        <v>38.28</v>
      </c>
      <c r="H72" s="64">
        <v>16.649999999999999</v>
      </c>
      <c r="I72" s="64">
        <v>1.69</v>
      </c>
      <c r="J72" s="64">
        <v>0.5</v>
      </c>
      <c r="K72" s="64">
        <v>333.38</v>
      </c>
      <c r="L72" s="64">
        <v>29.03</v>
      </c>
      <c r="M72" s="64">
        <v>72.55</v>
      </c>
      <c r="N72" s="64">
        <v>121.2</v>
      </c>
      <c r="O72" s="64">
        <v>0</v>
      </c>
      <c r="P72" s="64">
        <v>0.38</v>
      </c>
      <c r="Q72" s="64">
        <v>9.64</v>
      </c>
      <c r="R72" s="198"/>
      <c r="S72" s="198"/>
      <c r="T72" s="198"/>
      <c r="U72" s="198"/>
    </row>
    <row r="73" spans="1:21" s="12" customFormat="1" x14ac:dyDescent="0.25">
      <c r="A73" s="214" t="s">
        <v>1943</v>
      </c>
      <c r="B73" s="64">
        <v>4.26</v>
      </c>
      <c r="C73" s="64">
        <v>3.17</v>
      </c>
      <c r="D73" s="64">
        <v>7.27</v>
      </c>
      <c r="E73" s="64">
        <v>4</v>
      </c>
      <c r="F73" s="64">
        <v>4.13</v>
      </c>
      <c r="G73" s="64">
        <v>38.28</v>
      </c>
      <c r="H73" s="64">
        <v>16.649999999999999</v>
      </c>
      <c r="I73" s="64">
        <v>2.04</v>
      </c>
      <c r="J73" s="64">
        <v>0.52</v>
      </c>
      <c r="K73" s="64">
        <v>345.94</v>
      </c>
      <c r="L73" s="64">
        <v>29.03</v>
      </c>
      <c r="M73" s="64">
        <v>73.13</v>
      </c>
      <c r="N73" s="64">
        <v>99.6</v>
      </c>
      <c r="O73" s="64">
        <v>0</v>
      </c>
      <c r="P73" s="64">
        <v>0.38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4" t="s">
        <v>1944</v>
      </c>
      <c r="B74" s="64">
        <v>4.2699999999999996</v>
      </c>
      <c r="C74" s="64">
        <v>3.18</v>
      </c>
      <c r="D74" s="64">
        <v>7.27</v>
      </c>
      <c r="E74" s="64">
        <v>3.87</v>
      </c>
      <c r="F74" s="64">
        <v>4.21</v>
      </c>
      <c r="G74" s="64">
        <v>38.57</v>
      </c>
      <c r="H74" s="64">
        <v>16.690000000000001</v>
      </c>
      <c r="I74" s="64">
        <v>2.15</v>
      </c>
      <c r="J74" s="64">
        <v>0.34</v>
      </c>
      <c r="K74" s="64">
        <v>345.4</v>
      </c>
      <c r="L74" s="64">
        <v>28.76</v>
      </c>
      <c r="M74" s="64">
        <v>73.5</v>
      </c>
      <c r="N74" s="64">
        <v>97</v>
      </c>
      <c r="O74" s="64">
        <v>0</v>
      </c>
      <c r="P74" s="64">
        <v>0.37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4" t="s">
        <v>1945</v>
      </c>
      <c r="B75" s="64">
        <v>4.26</v>
      </c>
      <c r="C75" s="64">
        <v>3.16</v>
      </c>
      <c r="D75" s="64">
        <v>7.26</v>
      </c>
      <c r="E75" s="64">
        <v>3.93</v>
      </c>
      <c r="F75" s="64">
        <v>3.87</v>
      </c>
      <c r="G75" s="64">
        <v>38.67</v>
      </c>
      <c r="H75" s="64">
        <v>16.690000000000001</v>
      </c>
      <c r="I75" s="64">
        <v>2.08</v>
      </c>
      <c r="J75" s="64">
        <v>0.53</v>
      </c>
      <c r="K75" s="64">
        <v>19.100000000000001</v>
      </c>
      <c r="L75" s="64">
        <v>28.48</v>
      </c>
      <c r="M75" s="64">
        <v>72.59</v>
      </c>
      <c r="N75" s="64">
        <v>109.1</v>
      </c>
      <c r="O75" s="64">
        <v>0</v>
      </c>
      <c r="P75" s="64">
        <v>0.37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4" t="s">
        <v>1946</v>
      </c>
      <c r="B76" s="64">
        <v>4.25</v>
      </c>
      <c r="C76" s="64">
        <v>3.19</v>
      </c>
      <c r="D76" s="64">
        <v>7.26</v>
      </c>
      <c r="E76" s="64">
        <v>4.0599999999999996</v>
      </c>
      <c r="F76" s="64">
        <v>5.21</v>
      </c>
      <c r="G76" s="64">
        <v>38.67</v>
      </c>
      <c r="H76" s="64">
        <v>16.690000000000001</v>
      </c>
      <c r="I76" s="64">
        <v>1.92</v>
      </c>
      <c r="J76" s="64">
        <v>0.47</v>
      </c>
      <c r="K76" s="64">
        <v>7.45</v>
      </c>
      <c r="L76" s="64">
        <v>28.02</v>
      </c>
      <c r="M76" s="64">
        <v>74.92</v>
      </c>
      <c r="N76" s="64">
        <v>92.3</v>
      </c>
      <c r="O76" s="64">
        <v>0</v>
      </c>
      <c r="P76" s="64">
        <v>0.39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4" t="s">
        <v>1947</v>
      </c>
      <c r="B77" s="64">
        <v>4.21</v>
      </c>
      <c r="C77" s="64">
        <v>3.16</v>
      </c>
      <c r="D77" s="64">
        <v>7.22</v>
      </c>
      <c r="E77" s="64">
        <v>4.37</v>
      </c>
      <c r="F77" s="64">
        <v>3.27</v>
      </c>
      <c r="G77" s="64">
        <v>38.67</v>
      </c>
      <c r="H77" s="64">
        <v>16.690000000000001</v>
      </c>
      <c r="I77" s="64">
        <v>1.98</v>
      </c>
      <c r="J77" s="64">
        <v>0.36</v>
      </c>
      <c r="K77" s="64">
        <v>350.11</v>
      </c>
      <c r="L77" s="64">
        <v>27.69</v>
      </c>
      <c r="M77" s="64">
        <v>77.510000000000005</v>
      </c>
      <c r="N77" s="64">
        <v>76.400000000000006</v>
      </c>
      <c r="O77" s="64">
        <v>0</v>
      </c>
      <c r="P77" s="64">
        <v>0.39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4" t="s">
        <v>1948</v>
      </c>
      <c r="B78" s="64">
        <v>4.22</v>
      </c>
      <c r="C78" s="64">
        <v>3.15</v>
      </c>
      <c r="D78" s="64">
        <v>7.21</v>
      </c>
      <c r="E78" s="64">
        <v>4.12</v>
      </c>
      <c r="F78" s="64">
        <v>3.57</v>
      </c>
      <c r="G78" s="64">
        <v>37.76</v>
      </c>
      <c r="H78" s="64">
        <v>9.85</v>
      </c>
      <c r="I78" s="64">
        <v>2.17</v>
      </c>
      <c r="J78" s="64">
        <v>0.02</v>
      </c>
      <c r="K78" s="64">
        <v>105.24</v>
      </c>
      <c r="L78" s="64">
        <v>27.36</v>
      </c>
      <c r="M78" s="64">
        <v>79.33</v>
      </c>
      <c r="N78" s="64">
        <v>60.2</v>
      </c>
      <c r="O78" s="64">
        <v>0</v>
      </c>
      <c r="P78" s="64">
        <v>0.37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14" t="s">
        <v>1949</v>
      </c>
      <c r="B79" s="64">
        <v>4.2300000000000004</v>
      </c>
      <c r="C79" s="64">
        <v>3.13</v>
      </c>
      <c r="D79" s="64">
        <v>7.22</v>
      </c>
      <c r="E79" s="64">
        <v>3.96</v>
      </c>
      <c r="F79" s="64">
        <v>5.14</v>
      </c>
      <c r="G79" s="64">
        <v>37.450000000000003</v>
      </c>
      <c r="H79" s="64">
        <v>9.74</v>
      </c>
      <c r="I79" s="64">
        <v>2.02</v>
      </c>
      <c r="J79" s="64">
        <v>0.18</v>
      </c>
      <c r="K79" s="64">
        <v>2.19</v>
      </c>
      <c r="L79" s="64">
        <v>27.11</v>
      </c>
      <c r="M79" s="64">
        <v>78.709999999999994</v>
      </c>
      <c r="N79" s="64">
        <v>47.4</v>
      </c>
      <c r="O79" s="64">
        <v>0</v>
      </c>
      <c r="P79" s="64">
        <v>0.36</v>
      </c>
      <c r="Q79" s="64">
        <v>9.57</v>
      </c>
      <c r="R79" s="198"/>
      <c r="S79" s="198"/>
      <c r="T79" s="198"/>
      <c r="U79" s="198"/>
    </row>
    <row r="80" spans="1:21" s="12" customFormat="1" x14ac:dyDescent="0.25">
      <c r="A80" s="214" t="s">
        <v>1950</v>
      </c>
      <c r="B80" s="64">
        <v>4.22</v>
      </c>
      <c r="C80" s="64">
        <v>3.16</v>
      </c>
      <c r="D80" s="64">
        <v>7.23</v>
      </c>
      <c r="E80" s="64">
        <v>3.89</v>
      </c>
      <c r="F80" s="64">
        <v>3.22</v>
      </c>
      <c r="G80" s="64">
        <v>37.450000000000003</v>
      </c>
      <c r="H80" s="64">
        <v>9.74</v>
      </c>
      <c r="I80" s="64">
        <v>1.5</v>
      </c>
      <c r="J80" s="64">
        <v>0.3</v>
      </c>
      <c r="K80" s="64">
        <v>24.89</v>
      </c>
      <c r="L80" s="64">
        <v>26.97</v>
      </c>
      <c r="M80" s="64">
        <v>79.39</v>
      </c>
      <c r="N80" s="64">
        <v>34.6</v>
      </c>
      <c r="O80" s="64">
        <v>0</v>
      </c>
      <c r="P80" s="64">
        <v>0.4</v>
      </c>
      <c r="Q80" s="64">
        <v>9.56</v>
      </c>
      <c r="R80" s="198"/>
      <c r="S80" s="198"/>
      <c r="T80" s="198"/>
      <c r="U80" s="198"/>
    </row>
    <row r="81" spans="1:26" s="12" customFormat="1" x14ac:dyDescent="0.25">
      <c r="A81" s="214" t="s">
        <v>1951</v>
      </c>
      <c r="B81" s="64">
        <v>4.2300000000000004</v>
      </c>
      <c r="C81" s="64">
        <v>3.18</v>
      </c>
      <c r="D81" s="64">
        <v>7.24</v>
      </c>
      <c r="E81" s="64">
        <v>3.97</v>
      </c>
      <c r="F81" s="64">
        <v>2.94</v>
      </c>
      <c r="G81" s="64">
        <v>37.450000000000003</v>
      </c>
      <c r="H81" s="64">
        <v>9.74</v>
      </c>
      <c r="I81" s="64">
        <v>1.8</v>
      </c>
      <c r="J81" s="64">
        <v>0.32</v>
      </c>
      <c r="K81" s="64">
        <v>16.64</v>
      </c>
      <c r="L81" s="64">
        <v>26.65</v>
      </c>
      <c r="M81" s="64">
        <v>80.510000000000005</v>
      </c>
      <c r="N81" s="64">
        <v>27.8</v>
      </c>
      <c r="O81" s="64">
        <v>0</v>
      </c>
      <c r="P81" s="64">
        <v>0.45</v>
      </c>
      <c r="Q81" s="64">
        <v>9.5500000000000007</v>
      </c>
      <c r="R81" s="198"/>
      <c r="S81" s="198"/>
      <c r="T81" s="198"/>
      <c r="U81" s="198"/>
    </row>
    <row r="82" spans="1:26" s="12" customFormat="1" x14ac:dyDescent="0.25">
      <c r="A82" s="214" t="s">
        <v>1952</v>
      </c>
      <c r="B82" s="64">
        <v>4.22</v>
      </c>
      <c r="C82" s="64">
        <v>3.11</v>
      </c>
      <c r="D82" s="64">
        <v>7.2</v>
      </c>
      <c r="E82" s="64">
        <v>3.99</v>
      </c>
      <c r="F82" s="64">
        <v>4.6900000000000004</v>
      </c>
      <c r="G82" s="64">
        <v>35.07</v>
      </c>
      <c r="H82" s="64">
        <v>5.65</v>
      </c>
      <c r="I82" s="64">
        <v>2.19</v>
      </c>
      <c r="J82" s="64">
        <v>0.33</v>
      </c>
      <c r="K82" s="64">
        <v>28.8</v>
      </c>
      <c r="L82" s="64">
        <v>26.35</v>
      </c>
      <c r="M82" s="64">
        <v>82.71</v>
      </c>
      <c r="N82" s="64">
        <v>26.3</v>
      </c>
      <c r="O82" s="64">
        <v>0</v>
      </c>
      <c r="P82" s="64">
        <v>0.45</v>
      </c>
      <c r="Q82" s="64">
        <v>9.59</v>
      </c>
      <c r="R82" s="198"/>
      <c r="S82" s="198"/>
      <c r="T82" s="198"/>
      <c r="U82" s="198"/>
    </row>
    <row r="83" spans="1:26" s="12" customFormat="1" x14ac:dyDescent="0.25">
      <c r="A83" s="214" t="s">
        <v>1953</v>
      </c>
      <c r="B83" s="64">
        <v>4.21</v>
      </c>
      <c r="C83" s="64">
        <v>3.12</v>
      </c>
      <c r="D83" s="64">
        <v>7.19</v>
      </c>
      <c r="E83" s="64">
        <v>4.2699999999999996</v>
      </c>
      <c r="F83" s="64">
        <v>2.76</v>
      </c>
      <c r="G83" s="64">
        <v>34.25</v>
      </c>
      <c r="H83" s="64">
        <v>5.65</v>
      </c>
      <c r="I83" s="64">
        <v>2.1</v>
      </c>
      <c r="J83" s="64">
        <v>0.14000000000000001</v>
      </c>
      <c r="K83" s="64">
        <v>208.94</v>
      </c>
      <c r="L83" s="64">
        <v>26.12</v>
      </c>
      <c r="M83" s="64">
        <v>83.26</v>
      </c>
      <c r="N83" s="64">
        <v>26.1</v>
      </c>
      <c r="O83" s="64">
        <v>0</v>
      </c>
      <c r="P83" s="64">
        <v>0.51</v>
      </c>
      <c r="Q83" s="64">
        <v>9.56</v>
      </c>
      <c r="R83" s="198"/>
      <c r="S83" s="198"/>
      <c r="T83" s="198"/>
      <c r="U83" s="198"/>
    </row>
    <row r="84" spans="1:26" s="12" customFormat="1" x14ac:dyDescent="0.25">
      <c r="A84" s="214" t="s">
        <v>1954</v>
      </c>
      <c r="B84" s="64">
        <v>4.2300000000000004</v>
      </c>
      <c r="C84" s="64">
        <v>3.08</v>
      </c>
      <c r="D84" s="64">
        <v>7.19</v>
      </c>
      <c r="E84" s="64">
        <v>4.05</v>
      </c>
      <c r="F84" s="64">
        <v>3.16</v>
      </c>
      <c r="G84" s="64">
        <v>34.25</v>
      </c>
      <c r="H84" s="64">
        <v>5.65</v>
      </c>
      <c r="I84" s="64">
        <v>2.16</v>
      </c>
      <c r="J84" s="64">
        <v>0.38</v>
      </c>
      <c r="K84" s="64">
        <v>204.82</v>
      </c>
      <c r="L84" s="64">
        <v>25.81</v>
      </c>
      <c r="M84" s="64">
        <v>88.68</v>
      </c>
      <c r="N84" s="64">
        <v>26.1</v>
      </c>
      <c r="O84" s="64">
        <v>0</v>
      </c>
      <c r="P84" s="64">
        <v>0.47</v>
      </c>
      <c r="Q84" s="64">
        <v>9.56</v>
      </c>
      <c r="R84" s="198"/>
      <c r="S84" s="198"/>
      <c r="T84" s="198"/>
      <c r="U84" s="198"/>
    </row>
    <row r="85" spans="1:26" s="12" customFormat="1" x14ac:dyDescent="0.25">
      <c r="A85" s="214" t="s">
        <v>1955</v>
      </c>
      <c r="B85" s="64">
        <v>4.26</v>
      </c>
      <c r="C85" s="64">
        <v>3.11</v>
      </c>
      <c r="D85" s="64">
        <v>7.23</v>
      </c>
      <c r="E85" s="64">
        <v>3.81</v>
      </c>
      <c r="F85" s="64">
        <v>4.3</v>
      </c>
      <c r="G85" s="64">
        <v>34.25</v>
      </c>
      <c r="H85" s="64">
        <v>5.65</v>
      </c>
      <c r="I85" s="64">
        <v>1.97</v>
      </c>
      <c r="J85" s="64">
        <v>0.18</v>
      </c>
      <c r="K85" s="64">
        <v>236.16</v>
      </c>
      <c r="L85" s="64">
        <v>25.59</v>
      </c>
      <c r="M85" s="64">
        <v>90.58</v>
      </c>
      <c r="N85" s="64">
        <v>26.1</v>
      </c>
      <c r="O85" s="64">
        <v>0</v>
      </c>
      <c r="P85" s="64">
        <v>0.53</v>
      </c>
      <c r="Q85" s="64">
        <v>9.56</v>
      </c>
      <c r="R85" s="198"/>
      <c r="S85" s="198"/>
      <c r="T85" s="198"/>
      <c r="U85" s="198"/>
    </row>
    <row r="86" spans="1:26" s="12" customFormat="1" x14ac:dyDescent="0.25">
      <c r="A86" s="214" t="s">
        <v>1956</v>
      </c>
      <c r="B86" s="64">
        <v>4.2699999999999996</v>
      </c>
      <c r="C86" s="64">
        <v>3.2</v>
      </c>
      <c r="D86" s="64">
        <v>7.29</v>
      </c>
      <c r="E86" s="64">
        <v>3.96</v>
      </c>
      <c r="F86" s="64">
        <v>3.75</v>
      </c>
      <c r="G86" s="64">
        <v>42.86</v>
      </c>
      <c r="H86" s="64">
        <v>6.11</v>
      </c>
      <c r="I86" s="64">
        <v>1.57</v>
      </c>
      <c r="J86" s="64">
        <v>0.04</v>
      </c>
      <c r="K86" s="64">
        <v>105.88</v>
      </c>
      <c r="L86" s="64">
        <v>25.51</v>
      </c>
      <c r="M86" s="64">
        <v>90</v>
      </c>
      <c r="N86" s="64">
        <v>26</v>
      </c>
      <c r="O86" s="64">
        <v>0</v>
      </c>
      <c r="P86" s="64">
        <v>0.79</v>
      </c>
      <c r="Q86" s="64">
        <v>9.57</v>
      </c>
      <c r="R86" s="198"/>
      <c r="S86" s="198"/>
      <c r="T86" s="198"/>
      <c r="U86" s="198"/>
    </row>
    <row r="87" spans="1:26" s="12" customFormat="1" x14ac:dyDescent="0.25">
      <c r="A87" s="214" t="s">
        <v>1957</v>
      </c>
      <c r="B87" s="64">
        <v>4.29</v>
      </c>
      <c r="C87" s="64">
        <v>3.17</v>
      </c>
      <c r="D87" s="64">
        <v>7.29</v>
      </c>
      <c r="E87" s="64">
        <v>4.04</v>
      </c>
      <c r="F87" s="64">
        <v>3.59</v>
      </c>
      <c r="G87" s="64">
        <v>45.81</v>
      </c>
      <c r="H87" s="64">
        <v>6.11</v>
      </c>
      <c r="I87" s="64">
        <v>2.08</v>
      </c>
      <c r="J87" s="64">
        <v>0.3</v>
      </c>
      <c r="K87" s="64">
        <v>30.79</v>
      </c>
      <c r="L87" s="64">
        <v>25.45</v>
      </c>
      <c r="M87" s="64">
        <v>90.95</v>
      </c>
      <c r="N87" s="64">
        <v>26</v>
      </c>
      <c r="O87" s="64">
        <v>0</v>
      </c>
      <c r="P87" s="64">
        <v>0.72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14" t="s">
        <v>1958</v>
      </c>
      <c r="B88" s="64">
        <v>4.28</v>
      </c>
      <c r="C88" s="64">
        <v>3.18</v>
      </c>
      <c r="D88" s="64">
        <v>7.28</v>
      </c>
      <c r="E88" s="64">
        <v>4.96</v>
      </c>
      <c r="F88" s="64">
        <v>3.69</v>
      </c>
      <c r="G88" s="64">
        <v>45.81</v>
      </c>
      <c r="H88" s="64">
        <v>6.11</v>
      </c>
      <c r="I88" s="64">
        <v>2.5299999999999998</v>
      </c>
      <c r="J88" s="64">
        <v>0.12</v>
      </c>
      <c r="K88" s="64">
        <v>22.56</v>
      </c>
      <c r="L88" s="64">
        <v>25.31</v>
      </c>
      <c r="M88" s="64">
        <v>92.75</v>
      </c>
      <c r="N88" s="64">
        <v>25.8</v>
      </c>
      <c r="O88" s="64">
        <v>0</v>
      </c>
      <c r="P88" s="64">
        <v>0.96</v>
      </c>
      <c r="Q88" s="64">
        <v>9.58</v>
      </c>
      <c r="R88" s="198"/>
      <c r="S88" s="198"/>
      <c r="T88" s="198"/>
      <c r="U88" s="198"/>
    </row>
    <row r="89" spans="1:26" s="12" customFormat="1" x14ac:dyDescent="0.25">
      <c r="A89" s="214" t="s">
        <v>1959</v>
      </c>
      <c r="B89" s="64">
        <v>4.29</v>
      </c>
      <c r="C89" s="64">
        <v>3.17</v>
      </c>
      <c r="D89" s="64">
        <v>7.29</v>
      </c>
      <c r="E89" s="64">
        <v>4.45</v>
      </c>
      <c r="F89" s="64">
        <v>3.66</v>
      </c>
      <c r="G89" s="64">
        <v>45.81</v>
      </c>
      <c r="H89" s="64">
        <v>6.11</v>
      </c>
      <c r="I89" s="64">
        <v>2.56</v>
      </c>
      <c r="J89" s="64">
        <v>0.5</v>
      </c>
      <c r="K89" s="64">
        <v>324.33999999999997</v>
      </c>
      <c r="L89" s="64">
        <v>25.2</v>
      </c>
      <c r="M89" s="64">
        <v>93.93</v>
      </c>
      <c r="N89" s="64">
        <v>25.9</v>
      </c>
      <c r="O89" s="64">
        <v>0</v>
      </c>
      <c r="P89" s="64">
        <v>1.05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4" t="s">
        <v>1960</v>
      </c>
      <c r="B90" s="64">
        <v>4.2699999999999996</v>
      </c>
      <c r="C90" s="64">
        <v>3.17</v>
      </c>
      <c r="D90" s="64">
        <v>7.27</v>
      </c>
      <c r="E90" s="64">
        <v>4.6399999999999997</v>
      </c>
      <c r="F90" s="64">
        <v>3.36</v>
      </c>
      <c r="G90" s="64">
        <v>51.44</v>
      </c>
      <c r="H90" s="212" t="s">
        <v>42</v>
      </c>
      <c r="I90" s="64">
        <v>3.08</v>
      </c>
      <c r="J90" s="64">
        <v>0.46</v>
      </c>
      <c r="K90" s="64">
        <v>324.41000000000003</v>
      </c>
      <c r="L90" s="64">
        <v>25.01</v>
      </c>
      <c r="M90" s="64">
        <v>95.39</v>
      </c>
      <c r="N90" s="64">
        <v>25.9</v>
      </c>
      <c r="O90" s="64">
        <v>0</v>
      </c>
      <c r="P90" s="64">
        <v>1.01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4" t="s">
        <v>1961</v>
      </c>
      <c r="B91" s="64">
        <v>4.3</v>
      </c>
      <c r="C91" s="64">
        <v>3.17</v>
      </c>
      <c r="D91" s="64">
        <v>7.29</v>
      </c>
      <c r="E91" s="64">
        <v>4.4400000000000004</v>
      </c>
      <c r="F91" s="64">
        <v>3.62</v>
      </c>
      <c r="G91" s="64">
        <v>53.38</v>
      </c>
      <c r="H91" s="212" t="s">
        <v>42</v>
      </c>
      <c r="I91" s="64">
        <v>3.37</v>
      </c>
      <c r="J91" s="64">
        <v>0.24</v>
      </c>
      <c r="K91" s="64">
        <v>286.41000000000003</v>
      </c>
      <c r="L91" s="64">
        <v>24.82</v>
      </c>
      <c r="M91" s="64">
        <v>95.53</v>
      </c>
      <c r="N91" s="64">
        <v>26.1</v>
      </c>
      <c r="O91" s="64">
        <v>0</v>
      </c>
      <c r="P91" s="64">
        <v>0.81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14" t="s">
        <v>1962</v>
      </c>
      <c r="B92" s="64">
        <v>4.3099999999999996</v>
      </c>
      <c r="C92" s="64">
        <v>3.19</v>
      </c>
      <c r="D92" s="64">
        <v>7.31</v>
      </c>
      <c r="E92" s="64">
        <v>4.63</v>
      </c>
      <c r="F92" s="64">
        <v>4.03</v>
      </c>
      <c r="G92" s="64">
        <v>53.38</v>
      </c>
      <c r="H92" s="212" t="s">
        <v>42</v>
      </c>
      <c r="I92" s="64">
        <v>3.04</v>
      </c>
      <c r="J92" s="64">
        <v>0.04</v>
      </c>
      <c r="K92" s="64">
        <v>308.73</v>
      </c>
      <c r="L92" s="64">
        <v>24.85</v>
      </c>
      <c r="M92" s="64">
        <v>95.85</v>
      </c>
      <c r="N92" s="64">
        <v>25.9</v>
      </c>
      <c r="O92" s="64">
        <v>0</v>
      </c>
      <c r="P92" s="64">
        <v>0.92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4" t="s">
        <v>1963</v>
      </c>
      <c r="B93" s="64">
        <v>4.24</v>
      </c>
      <c r="C93" s="64">
        <v>3.12</v>
      </c>
      <c r="D93" s="64">
        <v>7.22</v>
      </c>
      <c r="E93" s="64">
        <v>4.62</v>
      </c>
      <c r="F93" s="64">
        <v>4.6100000000000003</v>
      </c>
      <c r="G93" s="64">
        <v>53.38</v>
      </c>
      <c r="H93" s="212" t="s">
        <v>42</v>
      </c>
      <c r="I93" s="64">
        <v>2.7</v>
      </c>
      <c r="J93" s="64">
        <v>0.25</v>
      </c>
      <c r="K93" s="64">
        <v>263.88</v>
      </c>
      <c r="L93" s="64">
        <v>24.78</v>
      </c>
      <c r="M93" s="64">
        <v>96.5</v>
      </c>
      <c r="N93" s="64">
        <v>26.1</v>
      </c>
      <c r="O93" s="64">
        <v>0</v>
      </c>
      <c r="P93" s="64">
        <v>0.7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4" t="s">
        <v>1964</v>
      </c>
      <c r="B94" s="64">
        <v>4.25</v>
      </c>
      <c r="C94" s="64">
        <v>3.13</v>
      </c>
      <c r="D94" s="64">
        <v>7.23</v>
      </c>
      <c r="E94" s="64">
        <v>4.8600000000000003</v>
      </c>
      <c r="F94" s="64">
        <v>2.56</v>
      </c>
      <c r="G94" s="64">
        <v>58.14</v>
      </c>
      <c r="H94" s="64">
        <v>0.16</v>
      </c>
      <c r="I94" s="64">
        <v>3.15</v>
      </c>
      <c r="J94" s="64">
        <v>0.32</v>
      </c>
      <c r="K94" s="64">
        <v>259.58999999999997</v>
      </c>
      <c r="L94" s="64">
        <v>24.7</v>
      </c>
      <c r="M94" s="64">
        <v>96.35</v>
      </c>
      <c r="N94" s="64">
        <v>26.1</v>
      </c>
      <c r="O94" s="64">
        <v>0</v>
      </c>
      <c r="P94" s="64">
        <v>0.94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4" t="s">
        <v>1965</v>
      </c>
      <c r="B95" s="64">
        <v>4.3</v>
      </c>
      <c r="C95" s="64">
        <v>3.2</v>
      </c>
      <c r="D95" s="64">
        <v>7.31</v>
      </c>
      <c r="E95" s="64">
        <v>4.45</v>
      </c>
      <c r="F95" s="64">
        <v>4.28</v>
      </c>
      <c r="G95" s="64">
        <v>59.77</v>
      </c>
      <c r="H95" s="64">
        <v>0.16</v>
      </c>
      <c r="I95" s="64">
        <v>3.55</v>
      </c>
      <c r="J95" s="64">
        <v>0.33</v>
      </c>
      <c r="K95" s="64">
        <v>236.85</v>
      </c>
      <c r="L95" s="64">
        <v>24.72</v>
      </c>
      <c r="M95" s="64">
        <v>96.42</v>
      </c>
      <c r="N95" s="64">
        <v>25.9</v>
      </c>
      <c r="O95" s="64">
        <v>0</v>
      </c>
      <c r="P95" s="64">
        <v>0.68</v>
      </c>
      <c r="Q95" s="64">
        <v>9.74</v>
      </c>
      <c r="R95" s="198"/>
      <c r="S95" s="198"/>
      <c r="T95" s="198"/>
      <c r="U95" s="198"/>
    </row>
    <row r="96" spans="1:26" s="12" customFormat="1" x14ac:dyDescent="0.25">
      <c r="A96" s="214" t="s">
        <v>1966</v>
      </c>
      <c r="B96" s="64">
        <v>4.25</v>
      </c>
      <c r="C96" s="64">
        <v>3.21</v>
      </c>
      <c r="D96" s="64">
        <v>7.28</v>
      </c>
      <c r="E96" s="64">
        <v>4.79</v>
      </c>
      <c r="F96" s="64">
        <v>2.29</v>
      </c>
      <c r="G96" s="64">
        <v>59.77</v>
      </c>
      <c r="H96" s="64">
        <v>0.16</v>
      </c>
      <c r="I96" s="64">
        <v>3.03</v>
      </c>
      <c r="J96" s="64">
        <v>0.32</v>
      </c>
      <c r="K96" s="64">
        <v>198.09</v>
      </c>
      <c r="L96" s="64">
        <v>24.67</v>
      </c>
      <c r="M96" s="64">
        <v>97.95</v>
      </c>
      <c r="N96" s="64">
        <v>25.9</v>
      </c>
      <c r="O96" s="64">
        <v>0</v>
      </c>
      <c r="P96" s="64">
        <v>0.72</v>
      </c>
      <c r="Q96" s="64">
        <v>9.76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1967</v>
      </c>
      <c r="B97" s="64">
        <v>4.2300000000000004</v>
      </c>
      <c r="C97" s="64">
        <v>3.15</v>
      </c>
      <c r="D97" s="64">
        <v>7.23</v>
      </c>
      <c r="E97" s="64">
        <v>4.7699999999999996</v>
      </c>
      <c r="F97" s="64">
        <v>3.54</v>
      </c>
      <c r="G97" s="64">
        <v>59.77</v>
      </c>
      <c r="H97" s="64">
        <v>0.16</v>
      </c>
      <c r="I97" s="64">
        <v>2.71</v>
      </c>
      <c r="J97" s="64">
        <v>0.11</v>
      </c>
      <c r="K97" s="64">
        <v>94.69</v>
      </c>
      <c r="L97" s="64">
        <v>24.34</v>
      </c>
      <c r="M97" s="64">
        <v>100.84</v>
      </c>
      <c r="N97" s="64">
        <v>26.1</v>
      </c>
      <c r="O97" s="64">
        <v>0</v>
      </c>
      <c r="P97" s="64">
        <v>0.88</v>
      </c>
      <c r="Q97" s="64">
        <v>9.7899999999999991</v>
      </c>
      <c r="R97" s="198"/>
      <c r="S97" s="198"/>
      <c r="T97" s="198"/>
      <c r="U97" s="198"/>
    </row>
    <row r="98" spans="1:33" s="12" customFormat="1" x14ac:dyDescent="0.25">
      <c r="A98" s="214" t="s">
        <v>1968</v>
      </c>
      <c r="B98" s="64">
        <v>4.25</v>
      </c>
      <c r="C98" s="64">
        <v>3.17</v>
      </c>
      <c r="D98" s="64">
        <v>7.25</v>
      </c>
      <c r="E98" s="64">
        <v>4.8600000000000003</v>
      </c>
      <c r="F98" s="64">
        <v>4.1500000000000004</v>
      </c>
      <c r="G98" s="64">
        <v>58.96</v>
      </c>
      <c r="H98" s="64">
        <v>22.08</v>
      </c>
      <c r="I98" s="64">
        <v>2.61</v>
      </c>
      <c r="J98" s="64">
        <v>0.23</v>
      </c>
      <c r="K98" s="64">
        <v>317.77</v>
      </c>
      <c r="L98" s="64">
        <v>24.13</v>
      </c>
      <c r="M98" s="64">
        <v>101.68</v>
      </c>
      <c r="N98" s="64">
        <v>26.1</v>
      </c>
      <c r="O98" s="64">
        <v>0</v>
      </c>
      <c r="P98" s="64">
        <v>0.75</v>
      </c>
      <c r="Q98" s="64">
        <v>9.84</v>
      </c>
      <c r="R98" s="198"/>
      <c r="S98" s="198"/>
      <c r="T98" s="198"/>
      <c r="U98" s="198"/>
    </row>
    <row r="99" spans="1:33" s="12" customFormat="1" x14ac:dyDescent="0.25">
      <c r="A99" s="214" t="s">
        <v>1969</v>
      </c>
      <c r="B99" s="64">
        <v>4.26</v>
      </c>
      <c r="C99" s="64">
        <v>3.18</v>
      </c>
      <c r="D99" s="64">
        <v>7.27</v>
      </c>
      <c r="E99" s="64">
        <v>5.08</v>
      </c>
      <c r="F99" s="64">
        <v>2.36</v>
      </c>
      <c r="G99" s="64">
        <v>58.69</v>
      </c>
      <c r="H99" s="64">
        <v>22.42</v>
      </c>
      <c r="I99" s="64">
        <v>3.11</v>
      </c>
      <c r="J99" s="64">
        <v>0.16</v>
      </c>
      <c r="K99" s="64">
        <v>346.4</v>
      </c>
      <c r="L99" s="64">
        <v>24.04</v>
      </c>
      <c r="M99" s="64">
        <v>101.76</v>
      </c>
      <c r="N99" s="64">
        <v>26.1</v>
      </c>
      <c r="O99" s="64">
        <v>0</v>
      </c>
      <c r="P99" s="64">
        <v>1</v>
      </c>
      <c r="Q99" s="64">
        <v>9.85</v>
      </c>
      <c r="R99" s="198"/>
      <c r="S99" s="198"/>
      <c r="T99" s="198"/>
      <c r="U99" s="198"/>
    </row>
    <row r="100" spans="1:33" s="12" customFormat="1" x14ac:dyDescent="0.25">
      <c r="A100" s="214" t="s">
        <v>1970</v>
      </c>
      <c r="B100" s="64">
        <v>4.2699999999999996</v>
      </c>
      <c r="C100" s="64">
        <v>3.25</v>
      </c>
      <c r="D100" s="64">
        <v>7.32</v>
      </c>
      <c r="E100" s="64">
        <v>4.47</v>
      </c>
      <c r="F100" s="64">
        <v>4.41</v>
      </c>
      <c r="G100" s="64">
        <v>58.69</v>
      </c>
      <c r="H100" s="64">
        <v>22.42</v>
      </c>
      <c r="I100" s="64">
        <v>3.4</v>
      </c>
      <c r="J100" s="64">
        <v>0.16</v>
      </c>
      <c r="K100" s="64">
        <v>48.36</v>
      </c>
      <c r="L100" s="64">
        <v>23.85</v>
      </c>
      <c r="M100" s="64">
        <v>101.76</v>
      </c>
      <c r="N100" s="64">
        <v>26</v>
      </c>
      <c r="O100" s="64">
        <v>0</v>
      </c>
      <c r="P100" s="64">
        <v>0.79</v>
      </c>
      <c r="Q100" s="64">
        <v>9.9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1971</v>
      </c>
      <c r="B101" s="64">
        <v>4.29</v>
      </c>
      <c r="C101" s="64">
        <v>3.24</v>
      </c>
      <c r="D101" s="64">
        <v>7.32</v>
      </c>
      <c r="E101" s="64">
        <v>4.74</v>
      </c>
      <c r="F101" s="64">
        <v>3.22</v>
      </c>
      <c r="G101" s="64">
        <v>58.69</v>
      </c>
      <c r="H101" s="64">
        <v>22.42</v>
      </c>
      <c r="I101" s="64">
        <v>3.31</v>
      </c>
      <c r="J101" s="64">
        <v>0.28999999999999998</v>
      </c>
      <c r="K101" s="64">
        <v>356.79</v>
      </c>
      <c r="L101" s="64">
        <v>23.82</v>
      </c>
      <c r="M101" s="64">
        <v>101.76</v>
      </c>
      <c r="N101" s="64">
        <v>26.1</v>
      </c>
      <c r="O101" s="64">
        <v>0</v>
      </c>
      <c r="P101" s="64">
        <v>0.91</v>
      </c>
      <c r="Q101" s="64">
        <v>9.94</v>
      </c>
      <c r="R101" s="198"/>
      <c r="S101" s="198"/>
      <c r="T101" s="198"/>
      <c r="U101" s="198"/>
    </row>
    <row r="102" spans="1:33" s="12" customFormat="1" x14ac:dyDescent="0.25">
      <c r="A102" s="214" t="s">
        <v>1972</v>
      </c>
      <c r="B102" s="64">
        <v>4.3099999999999996</v>
      </c>
      <c r="C102" s="64">
        <v>3.21</v>
      </c>
      <c r="D102" s="64">
        <v>7.32</v>
      </c>
      <c r="E102" s="64">
        <v>4.6900000000000004</v>
      </c>
      <c r="F102" s="64">
        <v>3.35</v>
      </c>
      <c r="G102" s="64">
        <v>60.77</v>
      </c>
      <c r="H102" s="64">
        <v>24.56</v>
      </c>
      <c r="I102" s="64">
        <v>3.95</v>
      </c>
      <c r="J102" s="64">
        <v>0.32</v>
      </c>
      <c r="K102" s="64">
        <v>117.14</v>
      </c>
      <c r="L102" s="64">
        <v>23.73</v>
      </c>
      <c r="M102" s="64">
        <v>101.74</v>
      </c>
      <c r="N102" s="64">
        <v>25.9</v>
      </c>
      <c r="O102" s="64">
        <v>0</v>
      </c>
      <c r="P102" s="64">
        <v>0.66</v>
      </c>
      <c r="Q102" s="64">
        <v>9.9499999999999993</v>
      </c>
      <c r="R102" s="198"/>
      <c r="S102" s="198"/>
      <c r="T102" s="198"/>
      <c r="U102" s="198"/>
    </row>
    <row r="103" spans="1:33" s="12" customFormat="1" x14ac:dyDescent="0.25">
      <c r="A103" s="214" t="s">
        <v>1973</v>
      </c>
      <c r="B103" s="64">
        <v>4.33</v>
      </c>
      <c r="C103" s="64">
        <v>3.24</v>
      </c>
      <c r="D103" s="64">
        <v>7.35</v>
      </c>
      <c r="E103" s="64">
        <v>4.8499999999999996</v>
      </c>
      <c r="F103" s="64">
        <v>3.72</v>
      </c>
      <c r="G103" s="64">
        <v>61.49</v>
      </c>
      <c r="H103" s="64">
        <v>24.61</v>
      </c>
      <c r="I103" s="64">
        <v>3.5</v>
      </c>
      <c r="J103" s="64">
        <v>0.44</v>
      </c>
      <c r="K103" s="64">
        <v>309.07</v>
      </c>
      <c r="L103" s="64">
        <v>23.7</v>
      </c>
      <c r="M103" s="64">
        <v>101.74</v>
      </c>
      <c r="N103" s="64">
        <v>26</v>
      </c>
      <c r="O103" s="64">
        <v>0</v>
      </c>
      <c r="P103" s="64">
        <v>0.65</v>
      </c>
      <c r="Q103" s="64">
        <v>10.039999999999999</v>
      </c>
      <c r="R103" s="198"/>
      <c r="S103" s="198"/>
      <c r="T103" s="198"/>
      <c r="U103" s="198"/>
    </row>
    <row r="104" spans="1:33" s="12" customFormat="1" x14ac:dyDescent="0.25">
      <c r="A104" s="214" t="s">
        <v>1974</v>
      </c>
      <c r="B104" s="64">
        <v>4.34</v>
      </c>
      <c r="C104" s="64">
        <v>3.24</v>
      </c>
      <c r="D104" s="64">
        <v>7.36</v>
      </c>
      <c r="E104" s="64">
        <v>4.25</v>
      </c>
      <c r="F104" s="64">
        <v>3.63</v>
      </c>
      <c r="G104" s="64">
        <v>61.49</v>
      </c>
      <c r="H104" s="64">
        <v>24.61</v>
      </c>
      <c r="I104" s="64">
        <v>2.2400000000000002</v>
      </c>
      <c r="J104" s="64">
        <v>7.0000000000000007E-2</v>
      </c>
      <c r="K104" s="64">
        <v>215.82</v>
      </c>
      <c r="L104" s="64">
        <v>23.64</v>
      </c>
      <c r="M104" s="64">
        <v>101.75</v>
      </c>
      <c r="N104" s="64">
        <v>26</v>
      </c>
      <c r="O104" s="64">
        <v>0</v>
      </c>
      <c r="P104" s="64">
        <v>0.51</v>
      </c>
      <c r="Q104" s="64">
        <v>10.08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4.1900000000000004</v>
      </c>
      <c r="C106" s="67">
        <f>MIN(C9:C104)</f>
        <v>3.08</v>
      </c>
      <c r="D106" s="67">
        <f t="shared" ref="D106:Q106" si="0">MIN(D9:D104)</f>
        <v>7.17</v>
      </c>
      <c r="E106" s="67">
        <f t="shared" si="0"/>
        <v>2.95</v>
      </c>
      <c r="F106" s="67">
        <f t="shared" si="0"/>
        <v>2.29</v>
      </c>
      <c r="G106" s="67">
        <f t="shared" si="0"/>
        <v>30.9</v>
      </c>
      <c r="H106" s="67">
        <f t="shared" si="0"/>
        <v>0.16</v>
      </c>
      <c r="I106" s="67">
        <f t="shared" si="0"/>
        <v>1.31</v>
      </c>
      <c r="J106" s="67">
        <f t="shared" si="0"/>
        <v>0</v>
      </c>
      <c r="K106" s="67">
        <f t="shared" si="0"/>
        <v>0.69</v>
      </c>
      <c r="L106" s="67">
        <f t="shared" si="0"/>
        <v>22.03</v>
      </c>
      <c r="M106" s="67">
        <f t="shared" si="0"/>
        <v>63.78</v>
      </c>
      <c r="N106" s="67">
        <f t="shared" si="0"/>
        <v>25.7</v>
      </c>
      <c r="O106" s="67">
        <f t="shared" si="0"/>
        <v>0</v>
      </c>
      <c r="P106" s="67">
        <f t="shared" si="0"/>
        <v>0.28000000000000003</v>
      </c>
      <c r="Q106" s="67">
        <f t="shared" si="0"/>
        <v>9.51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4.34</v>
      </c>
      <c r="C107" s="66">
        <f t="shared" ref="C107:Q107" si="1">MAX(C9:C104)</f>
        <v>3.29</v>
      </c>
      <c r="D107" s="66">
        <f t="shared" si="1"/>
        <v>7.38</v>
      </c>
      <c r="E107" s="66">
        <f t="shared" si="1"/>
        <v>5.33</v>
      </c>
      <c r="F107" s="66">
        <f t="shared" si="1"/>
        <v>5.21</v>
      </c>
      <c r="G107" s="66">
        <f t="shared" si="1"/>
        <v>61.49</v>
      </c>
      <c r="H107" s="66">
        <f t="shared" si="1"/>
        <v>29.81</v>
      </c>
      <c r="I107" s="66">
        <f t="shared" si="1"/>
        <v>3.95</v>
      </c>
      <c r="J107" s="66">
        <f t="shared" si="1"/>
        <v>1.23</v>
      </c>
      <c r="K107" s="66">
        <f t="shared" si="1"/>
        <v>359.86</v>
      </c>
      <c r="L107" s="66">
        <f t="shared" si="1"/>
        <v>30.76</v>
      </c>
      <c r="M107" s="66">
        <f t="shared" si="1"/>
        <v>101.79</v>
      </c>
      <c r="N107" s="66">
        <f t="shared" si="1"/>
        <v>939.3</v>
      </c>
      <c r="O107" s="66">
        <f t="shared" si="1"/>
        <v>0</v>
      </c>
      <c r="P107" s="66">
        <f t="shared" si="1"/>
        <v>1.05</v>
      </c>
      <c r="Q107" s="66">
        <f t="shared" si="1"/>
        <v>10.08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4.2506250000000003</v>
      </c>
      <c r="C108" s="67">
        <f t="shared" ref="C108:Q108" si="2">AVERAGE(C9:C104)</f>
        <v>3.1579166666666656</v>
      </c>
      <c r="D108" s="67">
        <f t="shared" si="2"/>
        <v>7.2488541666666677</v>
      </c>
      <c r="E108" s="67">
        <f t="shared" si="2"/>
        <v>4.2432291666666675</v>
      </c>
      <c r="F108" s="67">
        <f t="shared" si="2"/>
        <v>3.7885416666666671</v>
      </c>
      <c r="G108" s="67">
        <f t="shared" si="2"/>
        <v>39.47739583333334</v>
      </c>
      <c r="H108" s="67">
        <f t="shared" si="2"/>
        <v>15.39673913043479</v>
      </c>
      <c r="I108" s="67">
        <f t="shared" si="2"/>
        <v>2.6055208333333333</v>
      </c>
      <c r="J108" s="67">
        <f t="shared" si="2"/>
        <v>0.31031249999999994</v>
      </c>
      <c r="K108" s="67">
        <f t="shared" si="2"/>
        <v>167.0658333333333</v>
      </c>
      <c r="L108" s="67">
        <f t="shared" si="2"/>
        <v>25.787291666666658</v>
      </c>
      <c r="M108" s="67">
        <f t="shared" si="2"/>
        <v>88.378125000000026</v>
      </c>
      <c r="N108" s="67">
        <f t="shared" si="2"/>
        <v>197.38124999999991</v>
      </c>
      <c r="O108" s="67">
        <f t="shared" si="2"/>
        <v>0</v>
      </c>
      <c r="P108" s="67">
        <f t="shared" si="2"/>
        <v>0.45458333333333334</v>
      </c>
      <c r="Q108" s="67">
        <f t="shared" si="2"/>
        <v>9.6166666666666689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3.4330054348616218E-2</v>
      </c>
      <c r="C109" s="67">
        <f t="shared" ref="C109:Q109" si="3">STDEV(C9:C104)</f>
        <v>3.7889497688511554E-2</v>
      </c>
      <c r="D109" s="67">
        <f t="shared" si="3"/>
        <v>4.2793747493779968E-2</v>
      </c>
      <c r="E109" s="67">
        <f t="shared" si="3"/>
        <v>0.56076169024425715</v>
      </c>
      <c r="F109" s="67">
        <f t="shared" si="3"/>
        <v>0.59152786857276862</v>
      </c>
      <c r="G109" s="67">
        <f t="shared" si="3"/>
        <v>8.6491401756769442</v>
      </c>
      <c r="H109" s="67">
        <f t="shared" si="3"/>
        <v>8.271530162424753</v>
      </c>
      <c r="I109" s="67">
        <f t="shared" si="3"/>
        <v>0.58205058523458919</v>
      </c>
      <c r="J109" s="67">
        <f t="shared" si="3"/>
        <v>0.19720389194942392</v>
      </c>
      <c r="K109" s="67">
        <f t="shared" si="3"/>
        <v>130.72609845874544</v>
      </c>
      <c r="L109" s="67">
        <f t="shared" si="3"/>
        <v>2.6935179419319644</v>
      </c>
      <c r="M109" s="67">
        <f t="shared" si="3"/>
        <v>13.20592389501946</v>
      </c>
      <c r="N109" s="67">
        <f t="shared" si="3"/>
        <v>274.66648764312453</v>
      </c>
      <c r="O109" s="67">
        <f t="shared" si="3"/>
        <v>0</v>
      </c>
      <c r="P109" s="67">
        <f t="shared" si="3"/>
        <v>0.19569534145366527</v>
      </c>
      <c r="Q109" s="67">
        <f t="shared" si="3"/>
        <v>0.10599569670179176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1975</v>
      </c>
      <c r="B9" s="64">
        <v>4.32</v>
      </c>
      <c r="C9" s="64">
        <v>3.22</v>
      </c>
      <c r="D9" s="64">
        <v>7.34</v>
      </c>
      <c r="E9" s="64">
        <v>3.8</v>
      </c>
      <c r="F9" s="64">
        <v>3.53</v>
      </c>
      <c r="G9" s="64">
        <v>61.49</v>
      </c>
      <c r="H9" s="64">
        <v>24.61</v>
      </c>
      <c r="I9" s="64">
        <v>1.68</v>
      </c>
      <c r="J9" s="64">
        <v>0.48</v>
      </c>
      <c r="K9" s="64">
        <v>299.52</v>
      </c>
      <c r="L9" s="64">
        <v>23.52</v>
      </c>
      <c r="M9" s="64">
        <v>101.77</v>
      </c>
      <c r="N9" s="64">
        <v>26.1</v>
      </c>
      <c r="O9" s="64">
        <v>0</v>
      </c>
      <c r="P9" s="64">
        <v>0.63</v>
      </c>
      <c r="Q9" s="64">
        <v>10.08</v>
      </c>
      <c r="R9" s="198"/>
      <c r="S9" s="198"/>
      <c r="T9" s="198"/>
      <c r="U9" s="198"/>
    </row>
    <row r="10" spans="1:21" s="12" customFormat="1" x14ac:dyDescent="0.25">
      <c r="A10" s="214" t="s">
        <v>1976</v>
      </c>
      <c r="B10" s="64">
        <v>4.3</v>
      </c>
      <c r="C10" s="64">
        <v>3.18</v>
      </c>
      <c r="D10" s="64">
        <v>7.3</v>
      </c>
      <c r="E10" s="64">
        <v>3.96</v>
      </c>
      <c r="F10" s="64">
        <v>3.5</v>
      </c>
      <c r="G10" s="64">
        <v>61.72</v>
      </c>
      <c r="H10" s="64">
        <v>31.74</v>
      </c>
      <c r="I10" s="64">
        <v>1.41</v>
      </c>
      <c r="J10" s="64">
        <v>0.43</v>
      </c>
      <c r="K10" s="64">
        <v>317.77999999999997</v>
      </c>
      <c r="L10" s="64">
        <v>23.4</v>
      </c>
      <c r="M10" s="64">
        <v>101.77</v>
      </c>
      <c r="N10" s="64">
        <v>26.1</v>
      </c>
      <c r="O10" s="64">
        <v>0</v>
      </c>
      <c r="P10" s="64">
        <v>0.42</v>
      </c>
      <c r="Q10" s="64">
        <v>10.07</v>
      </c>
      <c r="R10" s="198"/>
      <c r="S10" s="198"/>
      <c r="T10" s="198"/>
      <c r="U10" s="198"/>
    </row>
    <row r="11" spans="1:21" s="12" customFormat="1" x14ac:dyDescent="0.25">
      <c r="A11" s="214" t="s">
        <v>1977</v>
      </c>
      <c r="B11" s="64">
        <v>4.32</v>
      </c>
      <c r="C11" s="64">
        <v>3.18</v>
      </c>
      <c r="D11" s="64">
        <v>7.32</v>
      </c>
      <c r="E11" s="64">
        <v>3.91</v>
      </c>
      <c r="F11" s="64">
        <v>3.07</v>
      </c>
      <c r="G11" s="64">
        <v>61.8</v>
      </c>
      <c r="H11" s="64">
        <v>31.74</v>
      </c>
      <c r="I11" s="64">
        <v>1.34</v>
      </c>
      <c r="J11" s="64">
        <v>0.3</v>
      </c>
      <c r="K11" s="64">
        <v>252.45</v>
      </c>
      <c r="L11" s="64">
        <v>23.39</v>
      </c>
      <c r="M11" s="64">
        <v>101.78</v>
      </c>
      <c r="N11" s="64">
        <v>26.1</v>
      </c>
      <c r="O11" s="64">
        <v>0</v>
      </c>
      <c r="P11" s="64">
        <v>0.4</v>
      </c>
      <c r="Q11" s="64">
        <v>10.050000000000001</v>
      </c>
      <c r="R11" s="198"/>
      <c r="S11" s="198"/>
      <c r="T11" s="198"/>
      <c r="U11" s="198"/>
    </row>
    <row r="12" spans="1:21" s="12" customFormat="1" x14ac:dyDescent="0.25">
      <c r="A12" s="214" t="s">
        <v>1978</v>
      </c>
      <c r="B12" s="64">
        <v>4.3099999999999996</v>
      </c>
      <c r="C12" s="64">
        <v>3.21</v>
      </c>
      <c r="D12" s="64">
        <v>7.32</v>
      </c>
      <c r="E12" s="64">
        <v>4.0599999999999996</v>
      </c>
      <c r="F12" s="64">
        <v>3.33</v>
      </c>
      <c r="G12" s="64">
        <v>61.8</v>
      </c>
      <c r="H12" s="64">
        <v>31.74</v>
      </c>
      <c r="I12" s="64">
        <v>1.1200000000000001</v>
      </c>
      <c r="J12" s="64">
        <v>0.28000000000000003</v>
      </c>
      <c r="K12" s="64">
        <v>223.19</v>
      </c>
      <c r="L12" s="64">
        <v>23.37</v>
      </c>
      <c r="M12" s="64">
        <v>101.78</v>
      </c>
      <c r="N12" s="64">
        <v>25.9</v>
      </c>
      <c r="O12" s="64">
        <v>0</v>
      </c>
      <c r="P12" s="64">
        <v>0.39</v>
      </c>
      <c r="Q12" s="64">
        <v>10.039999999999999</v>
      </c>
      <c r="R12" s="198"/>
      <c r="S12" s="198"/>
      <c r="T12" s="198"/>
      <c r="U12" s="198"/>
    </row>
    <row r="13" spans="1:21" s="12" customFormat="1" x14ac:dyDescent="0.25">
      <c r="A13" s="214" t="s">
        <v>1979</v>
      </c>
      <c r="B13" s="64">
        <v>4.3</v>
      </c>
      <c r="C13" s="64">
        <v>3.2</v>
      </c>
      <c r="D13" s="64">
        <v>7.31</v>
      </c>
      <c r="E13" s="64">
        <v>3.76</v>
      </c>
      <c r="F13" s="64">
        <v>5.81</v>
      </c>
      <c r="G13" s="64">
        <v>61.8</v>
      </c>
      <c r="H13" s="64">
        <v>31.74</v>
      </c>
      <c r="I13" s="64">
        <v>0.96</v>
      </c>
      <c r="J13" s="64">
        <v>0.4</v>
      </c>
      <c r="K13" s="64">
        <v>182.26</v>
      </c>
      <c r="L13" s="64">
        <v>23.35</v>
      </c>
      <c r="M13" s="64">
        <v>101.78</v>
      </c>
      <c r="N13" s="64">
        <v>25.8</v>
      </c>
      <c r="O13" s="64">
        <v>0</v>
      </c>
      <c r="P13" s="64">
        <v>0.49</v>
      </c>
      <c r="Q13" s="64">
        <v>10.050000000000001</v>
      </c>
      <c r="R13" s="198"/>
      <c r="S13" s="198"/>
      <c r="T13" s="198"/>
      <c r="U13" s="198"/>
    </row>
    <row r="14" spans="1:21" s="12" customFormat="1" x14ac:dyDescent="0.25">
      <c r="A14" s="214" t="s">
        <v>1980</v>
      </c>
      <c r="B14" s="64">
        <v>4.2699999999999996</v>
      </c>
      <c r="C14" s="64">
        <v>3.14</v>
      </c>
      <c r="D14" s="64">
        <v>7.26</v>
      </c>
      <c r="E14" s="64">
        <v>4.3</v>
      </c>
      <c r="F14" s="64">
        <v>3.43</v>
      </c>
      <c r="G14" s="64">
        <v>50.05</v>
      </c>
      <c r="H14" s="64">
        <v>6.79</v>
      </c>
      <c r="I14" s="64">
        <v>0.94</v>
      </c>
      <c r="J14" s="64">
        <v>0.2</v>
      </c>
      <c r="K14" s="64">
        <v>190.05</v>
      </c>
      <c r="L14" s="64">
        <v>23.32</v>
      </c>
      <c r="M14" s="64">
        <v>101.78</v>
      </c>
      <c r="N14" s="64">
        <v>25.9</v>
      </c>
      <c r="O14" s="64">
        <v>0</v>
      </c>
      <c r="P14" s="64">
        <v>0.46</v>
      </c>
      <c r="Q14" s="64">
        <v>10.01</v>
      </c>
      <c r="R14" s="198"/>
      <c r="S14" s="198"/>
      <c r="T14" s="198"/>
      <c r="U14" s="198"/>
    </row>
    <row r="15" spans="1:21" s="12" customFormat="1" x14ac:dyDescent="0.25">
      <c r="A15" s="214" t="s">
        <v>1981</v>
      </c>
      <c r="B15" s="64">
        <v>4.29</v>
      </c>
      <c r="C15" s="64">
        <v>3.23</v>
      </c>
      <c r="D15" s="64">
        <v>7.32</v>
      </c>
      <c r="E15" s="64">
        <v>4.18</v>
      </c>
      <c r="F15" s="64">
        <v>3.21</v>
      </c>
      <c r="G15" s="64">
        <v>45.78</v>
      </c>
      <c r="H15" s="64">
        <v>6.41</v>
      </c>
      <c r="I15" s="64">
        <v>3.13</v>
      </c>
      <c r="J15" s="64">
        <v>0.37</v>
      </c>
      <c r="K15" s="64">
        <v>213.24</v>
      </c>
      <c r="L15" s="64">
        <v>23.28</v>
      </c>
      <c r="M15" s="64">
        <v>101.78</v>
      </c>
      <c r="N15" s="64">
        <v>25.8</v>
      </c>
      <c r="O15" s="64">
        <v>0</v>
      </c>
      <c r="P15" s="64">
        <v>0.42</v>
      </c>
      <c r="Q15" s="64">
        <v>9.9499999999999993</v>
      </c>
      <c r="R15" s="198"/>
      <c r="S15" s="198"/>
      <c r="T15" s="198"/>
      <c r="U15" s="198"/>
    </row>
    <row r="16" spans="1:21" s="12" customFormat="1" x14ac:dyDescent="0.25">
      <c r="A16" s="214" t="s">
        <v>1982</v>
      </c>
      <c r="B16" s="64">
        <v>4.29</v>
      </c>
      <c r="C16" s="64">
        <v>3.22</v>
      </c>
      <c r="D16" s="64">
        <v>7.31</v>
      </c>
      <c r="E16" s="64">
        <v>4.0199999999999996</v>
      </c>
      <c r="F16" s="64">
        <v>3.82</v>
      </c>
      <c r="G16" s="64">
        <v>45.78</v>
      </c>
      <c r="H16" s="64">
        <v>6.41</v>
      </c>
      <c r="I16" s="64">
        <v>2.58</v>
      </c>
      <c r="J16" s="64">
        <v>0.27</v>
      </c>
      <c r="K16" s="64">
        <v>236.16</v>
      </c>
      <c r="L16" s="64">
        <v>23.15</v>
      </c>
      <c r="M16" s="64">
        <v>101.79</v>
      </c>
      <c r="N16" s="64">
        <v>26</v>
      </c>
      <c r="O16" s="64">
        <v>0</v>
      </c>
      <c r="P16" s="64">
        <v>0.48</v>
      </c>
      <c r="Q16" s="64">
        <v>9.9499999999999993</v>
      </c>
      <c r="R16" s="198"/>
      <c r="S16" s="198"/>
      <c r="T16" s="198"/>
      <c r="U16" s="198"/>
    </row>
    <row r="17" spans="1:21" s="12" customFormat="1" x14ac:dyDescent="0.25">
      <c r="A17" s="214" t="s">
        <v>1983</v>
      </c>
      <c r="B17" s="64">
        <v>4.3</v>
      </c>
      <c r="C17" s="64">
        <v>3.28</v>
      </c>
      <c r="D17" s="64">
        <v>7.35</v>
      </c>
      <c r="E17" s="64">
        <v>3.72</v>
      </c>
      <c r="F17" s="64">
        <v>2.66</v>
      </c>
      <c r="G17" s="64">
        <v>45.78</v>
      </c>
      <c r="H17" s="64">
        <v>6.41</v>
      </c>
      <c r="I17" s="64">
        <v>2.8</v>
      </c>
      <c r="J17" s="64">
        <v>0.43</v>
      </c>
      <c r="K17" s="64">
        <v>274.5</v>
      </c>
      <c r="L17" s="64">
        <v>23.05</v>
      </c>
      <c r="M17" s="64">
        <v>101.78</v>
      </c>
      <c r="N17" s="64">
        <v>26.1</v>
      </c>
      <c r="O17" s="64">
        <v>0</v>
      </c>
      <c r="P17" s="64">
        <v>0.34</v>
      </c>
      <c r="Q17" s="64">
        <v>9.92</v>
      </c>
      <c r="R17" s="198"/>
      <c r="S17" s="198"/>
      <c r="T17" s="198"/>
      <c r="U17" s="198"/>
    </row>
    <row r="18" spans="1:21" s="12" customFormat="1" x14ac:dyDescent="0.25">
      <c r="A18" s="214" t="s">
        <v>1984</v>
      </c>
      <c r="B18" s="64">
        <v>4.26</v>
      </c>
      <c r="C18" s="64">
        <v>3.15</v>
      </c>
      <c r="D18" s="64">
        <v>7.25</v>
      </c>
      <c r="E18" s="64">
        <v>4.07</v>
      </c>
      <c r="F18" s="64">
        <v>4.25</v>
      </c>
      <c r="G18" s="64">
        <v>42.67</v>
      </c>
      <c r="H18" s="64">
        <v>9.2200000000000006</v>
      </c>
      <c r="I18" s="64">
        <v>2.64</v>
      </c>
      <c r="J18" s="64">
        <v>0.37</v>
      </c>
      <c r="K18" s="64">
        <v>192.23</v>
      </c>
      <c r="L18" s="64">
        <v>23.02</v>
      </c>
      <c r="M18" s="64">
        <v>101.78</v>
      </c>
      <c r="N18" s="64">
        <v>25.8</v>
      </c>
      <c r="O18" s="64">
        <v>0</v>
      </c>
      <c r="P18" s="64">
        <v>0.48</v>
      </c>
      <c r="Q18" s="64">
        <v>9.9600000000000009</v>
      </c>
      <c r="R18" s="198"/>
      <c r="S18" s="198"/>
      <c r="T18" s="198"/>
      <c r="U18" s="198"/>
    </row>
    <row r="19" spans="1:21" s="12" customFormat="1" x14ac:dyDescent="0.25">
      <c r="A19" s="214" t="s">
        <v>1985</v>
      </c>
      <c r="B19" s="64">
        <v>4.24</v>
      </c>
      <c r="C19" s="64">
        <v>3.13</v>
      </c>
      <c r="D19" s="64">
        <v>7.23</v>
      </c>
      <c r="E19" s="64">
        <v>3.95</v>
      </c>
      <c r="F19" s="64">
        <v>2.27</v>
      </c>
      <c r="G19" s="64">
        <v>41.6</v>
      </c>
      <c r="H19" s="64">
        <v>9.26</v>
      </c>
      <c r="I19" s="64">
        <v>2.12</v>
      </c>
      <c r="J19" s="64">
        <v>0.28000000000000003</v>
      </c>
      <c r="K19" s="64">
        <v>301.67</v>
      </c>
      <c r="L19" s="64">
        <v>22.98</v>
      </c>
      <c r="M19" s="64">
        <v>101.8</v>
      </c>
      <c r="N19" s="64">
        <v>26</v>
      </c>
      <c r="O19" s="64">
        <v>0</v>
      </c>
      <c r="P19" s="64">
        <v>0.28999999999999998</v>
      </c>
      <c r="Q19" s="64">
        <v>9.89</v>
      </c>
      <c r="R19" s="198"/>
      <c r="S19" s="198"/>
      <c r="T19" s="198"/>
      <c r="U19" s="198"/>
    </row>
    <row r="20" spans="1:21" s="12" customFormat="1" x14ac:dyDescent="0.25">
      <c r="A20" s="214" t="s">
        <v>1986</v>
      </c>
      <c r="B20" s="64">
        <v>4.24</v>
      </c>
      <c r="C20" s="64">
        <v>3.15</v>
      </c>
      <c r="D20" s="64">
        <v>7.24</v>
      </c>
      <c r="E20" s="64">
        <v>4.04</v>
      </c>
      <c r="F20" s="64">
        <v>4.05</v>
      </c>
      <c r="G20" s="64">
        <v>41.6</v>
      </c>
      <c r="H20" s="64">
        <v>9.26</v>
      </c>
      <c r="I20" s="64">
        <v>2.68</v>
      </c>
      <c r="J20" s="64">
        <v>0.34</v>
      </c>
      <c r="K20" s="64">
        <v>248.65</v>
      </c>
      <c r="L20" s="64">
        <v>22.86</v>
      </c>
      <c r="M20" s="64">
        <v>101.8</v>
      </c>
      <c r="N20" s="64">
        <v>25.9</v>
      </c>
      <c r="O20" s="64">
        <v>0</v>
      </c>
      <c r="P20" s="64">
        <v>0.42</v>
      </c>
      <c r="Q20" s="64">
        <v>9.89</v>
      </c>
      <c r="R20" s="198"/>
      <c r="S20" s="198"/>
      <c r="T20" s="198"/>
      <c r="U20" s="198"/>
    </row>
    <row r="21" spans="1:21" s="12" customFormat="1" x14ac:dyDescent="0.25">
      <c r="A21" s="214" t="s">
        <v>1987</v>
      </c>
      <c r="B21" s="64">
        <v>4.25</v>
      </c>
      <c r="C21" s="64">
        <v>3.11</v>
      </c>
      <c r="D21" s="64">
        <v>7.22</v>
      </c>
      <c r="E21" s="64">
        <v>4.09</v>
      </c>
      <c r="F21" s="64">
        <v>3.37</v>
      </c>
      <c r="G21" s="64">
        <v>41.6</v>
      </c>
      <c r="H21" s="64">
        <v>9.26</v>
      </c>
      <c r="I21" s="64">
        <v>1.73</v>
      </c>
      <c r="J21" s="64">
        <v>0.47</v>
      </c>
      <c r="K21" s="64">
        <v>284.91000000000003</v>
      </c>
      <c r="L21" s="64">
        <v>22.76</v>
      </c>
      <c r="M21" s="64">
        <v>101.83</v>
      </c>
      <c r="N21" s="64">
        <v>26.1</v>
      </c>
      <c r="O21" s="64">
        <v>0</v>
      </c>
      <c r="P21" s="64">
        <v>0.39</v>
      </c>
      <c r="Q21" s="64">
        <v>9.8800000000000008</v>
      </c>
      <c r="R21" s="198"/>
      <c r="S21" s="198"/>
      <c r="T21" s="198"/>
      <c r="U21" s="198"/>
    </row>
    <row r="22" spans="1:21" s="12" customFormat="1" x14ac:dyDescent="0.25">
      <c r="A22" s="214" t="s">
        <v>1988</v>
      </c>
      <c r="B22" s="64">
        <v>4.28</v>
      </c>
      <c r="C22" s="64">
        <v>3.19</v>
      </c>
      <c r="D22" s="64">
        <v>7.29</v>
      </c>
      <c r="E22" s="64">
        <v>4.2</v>
      </c>
      <c r="F22" s="64">
        <v>3.06</v>
      </c>
      <c r="G22" s="64">
        <v>33.51</v>
      </c>
      <c r="H22" s="64">
        <v>13.05</v>
      </c>
      <c r="I22" s="64">
        <v>2.81</v>
      </c>
      <c r="J22" s="64">
        <v>0.41</v>
      </c>
      <c r="K22" s="64">
        <v>298.33999999999997</v>
      </c>
      <c r="L22" s="64">
        <v>22.92</v>
      </c>
      <c r="M22" s="64">
        <v>101.79</v>
      </c>
      <c r="N22" s="64">
        <v>25.9</v>
      </c>
      <c r="O22" s="64">
        <v>0</v>
      </c>
      <c r="P22" s="64">
        <v>0.27</v>
      </c>
      <c r="Q22" s="64">
        <v>9.8699999999999992</v>
      </c>
      <c r="R22" s="198"/>
      <c r="S22" s="198"/>
      <c r="T22" s="198"/>
      <c r="U22" s="198"/>
    </row>
    <row r="23" spans="1:21" s="12" customFormat="1" x14ac:dyDescent="0.25">
      <c r="A23" s="214" t="s">
        <v>1989</v>
      </c>
      <c r="B23" s="64">
        <v>4.3499999999999996</v>
      </c>
      <c r="C23" s="64">
        <v>3.31</v>
      </c>
      <c r="D23" s="64">
        <v>7.4</v>
      </c>
      <c r="E23" s="64">
        <v>4.03</v>
      </c>
      <c r="F23" s="64">
        <v>3.51</v>
      </c>
      <c r="G23" s="64">
        <v>30.57</v>
      </c>
      <c r="H23" s="64">
        <v>13.14</v>
      </c>
      <c r="I23" s="64">
        <v>2.38</v>
      </c>
      <c r="J23" s="64">
        <v>0.12</v>
      </c>
      <c r="K23" s="64">
        <v>157.36000000000001</v>
      </c>
      <c r="L23" s="64">
        <v>22.96</v>
      </c>
      <c r="M23" s="64">
        <v>101.79</v>
      </c>
      <c r="N23" s="64">
        <v>25.7</v>
      </c>
      <c r="O23" s="64">
        <v>0</v>
      </c>
      <c r="P23" s="64">
        <v>0.27</v>
      </c>
      <c r="Q23" s="64">
        <v>9.8699999999999992</v>
      </c>
      <c r="R23" s="198"/>
      <c r="S23" s="198"/>
      <c r="T23" s="198"/>
      <c r="U23" s="198"/>
    </row>
    <row r="24" spans="1:21" s="12" customFormat="1" x14ac:dyDescent="0.25">
      <c r="A24" s="214" t="s">
        <v>1990</v>
      </c>
      <c r="B24" s="64">
        <v>4.3</v>
      </c>
      <c r="C24" s="64">
        <v>3.24</v>
      </c>
      <c r="D24" s="64">
        <v>7.33</v>
      </c>
      <c r="E24" s="64">
        <v>4.66</v>
      </c>
      <c r="F24" s="64">
        <v>3.78</v>
      </c>
      <c r="G24" s="64">
        <v>30.57</v>
      </c>
      <c r="H24" s="64">
        <v>13.14</v>
      </c>
      <c r="I24" s="64">
        <v>0.83</v>
      </c>
      <c r="J24" s="64">
        <v>0.14000000000000001</v>
      </c>
      <c r="K24" s="64">
        <v>94.62</v>
      </c>
      <c r="L24" s="64">
        <v>22.86</v>
      </c>
      <c r="M24" s="64">
        <v>101.8</v>
      </c>
      <c r="N24" s="64">
        <v>25.9</v>
      </c>
      <c r="O24" s="64">
        <v>0</v>
      </c>
      <c r="P24" s="64">
        <v>0.25</v>
      </c>
      <c r="Q24" s="64">
        <v>9.89</v>
      </c>
      <c r="R24" s="198"/>
      <c r="S24" s="198"/>
      <c r="T24" s="198"/>
      <c r="U24" s="198"/>
    </row>
    <row r="25" spans="1:21" s="12" customFormat="1" x14ac:dyDescent="0.25">
      <c r="A25" s="214" t="s">
        <v>1991</v>
      </c>
      <c r="B25" s="64">
        <v>4.3099999999999996</v>
      </c>
      <c r="C25" s="64">
        <v>3.17</v>
      </c>
      <c r="D25" s="64">
        <v>7.3</v>
      </c>
      <c r="E25" s="64">
        <v>4.3899999999999997</v>
      </c>
      <c r="F25" s="64">
        <v>3.35</v>
      </c>
      <c r="G25" s="64">
        <v>30.57</v>
      </c>
      <c r="H25" s="64">
        <v>13.14</v>
      </c>
      <c r="I25" s="64">
        <v>0.79</v>
      </c>
      <c r="J25" s="64">
        <v>0.17</v>
      </c>
      <c r="K25" s="64">
        <v>146.47999999999999</v>
      </c>
      <c r="L25" s="64">
        <v>22.77</v>
      </c>
      <c r="M25" s="64">
        <v>101.81</v>
      </c>
      <c r="N25" s="64">
        <v>25.8</v>
      </c>
      <c r="O25" s="64">
        <v>0</v>
      </c>
      <c r="P25" s="64">
        <v>0.25</v>
      </c>
      <c r="Q25" s="64">
        <v>9.89</v>
      </c>
      <c r="R25" s="198"/>
      <c r="S25" s="198"/>
      <c r="T25" s="198"/>
      <c r="U25" s="198"/>
    </row>
    <row r="26" spans="1:21" s="12" customFormat="1" x14ac:dyDescent="0.25">
      <c r="A26" s="214" t="s">
        <v>1992</v>
      </c>
      <c r="B26" s="64">
        <v>4.32</v>
      </c>
      <c r="C26" s="64">
        <v>3.22</v>
      </c>
      <c r="D26" s="64">
        <v>7.34</v>
      </c>
      <c r="E26" s="64">
        <v>4.41</v>
      </c>
      <c r="F26" s="64">
        <v>3.04</v>
      </c>
      <c r="G26" s="64">
        <v>28.03</v>
      </c>
      <c r="H26" s="64">
        <v>6.77</v>
      </c>
      <c r="I26" s="64">
        <v>0.84</v>
      </c>
      <c r="J26" s="64">
        <v>0.31</v>
      </c>
      <c r="K26" s="64">
        <v>194.68</v>
      </c>
      <c r="L26" s="64">
        <v>22.67</v>
      </c>
      <c r="M26" s="64">
        <v>101.81</v>
      </c>
      <c r="N26" s="64">
        <v>26</v>
      </c>
      <c r="O26" s="64">
        <v>0</v>
      </c>
      <c r="P26" s="64">
        <v>0.24</v>
      </c>
      <c r="Q26" s="64">
        <v>9.9</v>
      </c>
      <c r="R26" s="198"/>
      <c r="S26" s="198"/>
      <c r="T26" s="198"/>
      <c r="U26" s="198"/>
    </row>
    <row r="27" spans="1:21" s="12" customFormat="1" x14ac:dyDescent="0.25">
      <c r="A27" s="214" t="s">
        <v>1993</v>
      </c>
      <c r="B27" s="64">
        <v>4.29</v>
      </c>
      <c r="C27" s="64">
        <v>3.17</v>
      </c>
      <c r="D27" s="64">
        <v>7.29</v>
      </c>
      <c r="E27" s="64">
        <v>4.78</v>
      </c>
      <c r="F27" s="64">
        <v>3.31</v>
      </c>
      <c r="G27" s="64">
        <v>27.1</v>
      </c>
      <c r="H27" s="64">
        <v>6.67</v>
      </c>
      <c r="I27" s="64">
        <v>0.71</v>
      </c>
      <c r="J27" s="64">
        <v>0.16</v>
      </c>
      <c r="K27" s="64">
        <v>164.59</v>
      </c>
      <c r="L27" s="64">
        <v>22.72</v>
      </c>
      <c r="M27" s="64">
        <v>101.81</v>
      </c>
      <c r="N27" s="64">
        <v>25.8</v>
      </c>
      <c r="O27" s="64">
        <v>0</v>
      </c>
      <c r="P27" s="64">
        <v>0.27</v>
      </c>
      <c r="Q27" s="64">
        <v>9.89</v>
      </c>
      <c r="R27" s="198"/>
      <c r="S27" s="198"/>
      <c r="T27" s="198"/>
      <c r="U27" s="198"/>
    </row>
    <row r="28" spans="1:21" s="12" customFormat="1" x14ac:dyDescent="0.25">
      <c r="A28" s="214" t="s">
        <v>1994</v>
      </c>
      <c r="B28" s="64">
        <v>4.3</v>
      </c>
      <c r="C28" s="64">
        <v>3.19</v>
      </c>
      <c r="D28" s="64">
        <v>7.31</v>
      </c>
      <c r="E28" s="64">
        <v>4.8</v>
      </c>
      <c r="F28" s="64">
        <v>3.29</v>
      </c>
      <c r="G28" s="64">
        <v>27.1</v>
      </c>
      <c r="H28" s="64">
        <v>6.67</v>
      </c>
      <c r="I28" s="64">
        <v>0.7</v>
      </c>
      <c r="J28" s="64">
        <v>0.18</v>
      </c>
      <c r="K28" s="64">
        <v>47.54</v>
      </c>
      <c r="L28" s="64">
        <v>22.73</v>
      </c>
      <c r="M28" s="64">
        <v>101.82</v>
      </c>
      <c r="N28" s="64">
        <v>25.7</v>
      </c>
      <c r="O28" s="64">
        <v>0</v>
      </c>
      <c r="P28" s="64">
        <v>0.26</v>
      </c>
      <c r="Q28" s="64">
        <v>9.89</v>
      </c>
      <c r="R28" s="198"/>
      <c r="S28" s="198"/>
      <c r="T28" s="198"/>
      <c r="U28" s="198"/>
    </row>
    <row r="29" spans="1:21" s="12" customFormat="1" x14ac:dyDescent="0.25">
      <c r="A29" s="214" t="s">
        <v>1995</v>
      </c>
      <c r="B29" s="64">
        <v>4.3099999999999996</v>
      </c>
      <c r="C29" s="64">
        <v>3.2</v>
      </c>
      <c r="D29" s="64">
        <v>7.32</v>
      </c>
      <c r="E29" s="64">
        <v>4.62</v>
      </c>
      <c r="F29" s="64">
        <v>3.34</v>
      </c>
      <c r="G29" s="64">
        <v>27.1</v>
      </c>
      <c r="H29" s="64">
        <v>6.67</v>
      </c>
      <c r="I29" s="64">
        <v>0.96</v>
      </c>
      <c r="J29" s="64">
        <v>0.35</v>
      </c>
      <c r="K29" s="64">
        <v>103.17</v>
      </c>
      <c r="L29" s="64">
        <v>22.7</v>
      </c>
      <c r="M29" s="64">
        <v>101.82</v>
      </c>
      <c r="N29" s="64">
        <v>25.8</v>
      </c>
      <c r="O29" s="64">
        <v>0</v>
      </c>
      <c r="P29" s="64">
        <v>0.26</v>
      </c>
      <c r="Q29" s="64">
        <v>9.86</v>
      </c>
      <c r="R29" s="198"/>
      <c r="S29" s="198"/>
      <c r="T29" s="198"/>
      <c r="U29" s="198"/>
    </row>
    <row r="30" spans="1:21" s="12" customFormat="1" x14ac:dyDescent="0.25">
      <c r="A30" s="214" t="s">
        <v>1996</v>
      </c>
      <c r="B30" s="64">
        <v>4.2699999999999996</v>
      </c>
      <c r="C30" s="64">
        <v>3.13</v>
      </c>
      <c r="D30" s="64">
        <v>7.25</v>
      </c>
      <c r="E30" s="64">
        <v>4.72</v>
      </c>
      <c r="F30" s="64">
        <v>4.24</v>
      </c>
      <c r="G30" s="64">
        <v>29.94</v>
      </c>
      <c r="H30" s="64">
        <v>5.0999999999999996</v>
      </c>
      <c r="I30" s="64">
        <v>1.03</v>
      </c>
      <c r="J30" s="64">
        <v>0.4</v>
      </c>
      <c r="K30" s="64">
        <v>182.57</v>
      </c>
      <c r="L30" s="64">
        <v>22.67</v>
      </c>
      <c r="M30" s="64">
        <v>101.8</v>
      </c>
      <c r="N30" s="64">
        <v>25.8</v>
      </c>
      <c r="O30" s="64">
        <v>0</v>
      </c>
      <c r="P30" s="64">
        <v>0.35</v>
      </c>
      <c r="Q30" s="64">
        <v>9.86</v>
      </c>
      <c r="R30" s="198"/>
      <c r="S30" s="198"/>
      <c r="T30" s="198"/>
      <c r="U30" s="198"/>
    </row>
    <row r="31" spans="1:21" s="12" customFormat="1" x14ac:dyDescent="0.25">
      <c r="A31" s="214" t="s">
        <v>1997</v>
      </c>
      <c r="B31" s="64">
        <v>4.26</v>
      </c>
      <c r="C31" s="64">
        <v>3.14</v>
      </c>
      <c r="D31" s="64">
        <v>7.24</v>
      </c>
      <c r="E31" s="64">
        <v>4.9400000000000004</v>
      </c>
      <c r="F31" s="64">
        <v>3.48</v>
      </c>
      <c r="G31" s="64">
        <v>30.92</v>
      </c>
      <c r="H31" s="64">
        <v>5.08</v>
      </c>
      <c r="I31" s="64">
        <v>1.3</v>
      </c>
      <c r="J31" s="64">
        <v>0.32</v>
      </c>
      <c r="K31" s="64">
        <v>337.65</v>
      </c>
      <c r="L31" s="64">
        <v>22.59</v>
      </c>
      <c r="M31" s="64">
        <v>101.82</v>
      </c>
      <c r="N31" s="64">
        <v>26.2</v>
      </c>
      <c r="O31" s="64">
        <v>0</v>
      </c>
      <c r="P31" s="64">
        <v>0.37</v>
      </c>
      <c r="Q31" s="64">
        <v>9.7899999999999991</v>
      </c>
      <c r="R31" s="198"/>
      <c r="S31" s="198"/>
      <c r="T31" s="198"/>
      <c r="U31" s="198"/>
    </row>
    <row r="32" spans="1:21" s="12" customFormat="1" x14ac:dyDescent="0.25">
      <c r="A32" s="214" t="s">
        <v>1998</v>
      </c>
      <c r="B32" s="64">
        <v>4.2300000000000004</v>
      </c>
      <c r="C32" s="64">
        <v>3.17</v>
      </c>
      <c r="D32" s="64">
        <v>7.24</v>
      </c>
      <c r="E32" s="64">
        <v>4.66</v>
      </c>
      <c r="F32" s="64">
        <v>2.76</v>
      </c>
      <c r="G32" s="64">
        <v>30.92</v>
      </c>
      <c r="H32" s="64">
        <v>5.08</v>
      </c>
      <c r="I32" s="64">
        <v>3.08</v>
      </c>
      <c r="J32" s="64">
        <v>0.18</v>
      </c>
      <c r="K32" s="64">
        <v>335.74</v>
      </c>
      <c r="L32" s="64">
        <v>22.52</v>
      </c>
      <c r="M32" s="64">
        <v>101.83</v>
      </c>
      <c r="N32" s="64">
        <v>29.1</v>
      </c>
      <c r="O32" s="64">
        <v>0</v>
      </c>
      <c r="P32" s="64">
        <v>0.31</v>
      </c>
      <c r="Q32" s="64">
        <v>9.77</v>
      </c>
      <c r="R32" s="198"/>
      <c r="S32" s="198"/>
      <c r="T32" s="198"/>
      <c r="U32" s="198"/>
    </row>
    <row r="33" spans="1:21" s="12" customFormat="1" x14ac:dyDescent="0.25">
      <c r="A33" s="214" t="s">
        <v>1999</v>
      </c>
      <c r="B33" s="64">
        <v>4.2300000000000004</v>
      </c>
      <c r="C33" s="64">
        <v>3.13</v>
      </c>
      <c r="D33" s="64">
        <v>7.22</v>
      </c>
      <c r="E33" s="64">
        <v>4.72</v>
      </c>
      <c r="F33" s="64">
        <v>4.42</v>
      </c>
      <c r="G33" s="64">
        <v>30.92</v>
      </c>
      <c r="H33" s="64">
        <v>5.08</v>
      </c>
      <c r="I33" s="64">
        <v>2.96</v>
      </c>
      <c r="J33" s="64">
        <v>0.25</v>
      </c>
      <c r="K33" s="64">
        <v>75.22</v>
      </c>
      <c r="L33" s="64">
        <v>22.59</v>
      </c>
      <c r="M33" s="64">
        <v>101.83</v>
      </c>
      <c r="N33" s="64">
        <v>38.4</v>
      </c>
      <c r="O33" s="64">
        <v>0</v>
      </c>
      <c r="P33" s="64">
        <v>0.36</v>
      </c>
      <c r="Q33" s="64">
        <v>9.81</v>
      </c>
      <c r="R33" s="198"/>
      <c r="S33" s="198"/>
      <c r="T33" s="198"/>
      <c r="U33" s="198"/>
    </row>
    <row r="34" spans="1:21" s="12" customFormat="1" x14ac:dyDescent="0.25">
      <c r="A34" s="214" t="s">
        <v>2000</v>
      </c>
      <c r="B34" s="64">
        <v>4.26</v>
      </c>
      <c r="C34" s="64">
        <v>3.14</v>
      </c>
      <c r="D34" s="64">
        <v>7.24</v>
      </c>
      <c r="E34" s="64">
        <v>4.82</v>
      </c>
      <c r="F34" s="64">
        <v>2.82</v>
      </c>
      <c r="G34" s="64">
        <v>28.08</v>
      </c>
      <c r="H34" s="64">
        <v>8.42</v>
      </c>
      <c r="I34" s="64">
        <v>2.7</v>
      </c>
      <c r="J34" s="64">
        <v>0.25</v>
      </c>
      <c r="K34" s="64">
        <v>78.36</v>
      </c>
      <c r="L34" s="64">
        <v>23.02</v>
      </c>
      <c r="M34" s="64">
        <v>101.79</v>
      </c>
      <c r="N34" s="64">
        <v>69.3</v>
      </c>
      <c r="O34" s="64">
        <v>0</v>
      </c>
      <c r="P34" s="64">
        <v>0.34</v>
      </c>
      <c r="Q34" s="64">
        <v>9.7799999999999994</v>
      </c>
      <c r="R34" s="198"/>
      <c r="S34" s="198"/>
      <c r="T34" s="198"/>
      <c r="U34" s="198"/>
    </row>
    <row r="35" spans="1:21" s="12" customFormat="1" x14ac:dyDescent="0.25">
      <c r="A35" s="214" t="s">
        <v>2001</v>
      </c>
      <c r="B35" s="64">
        <v>4.3</v>
      </c>
      <c r="C35" s="64">
        <v>3.19</v>
      </c>
      <c r="D35" s="64">
        <v>7.31</v>
      </c>
      <c r="E35" s="64">
        <v>4.7</v>
      </c>
      <c r="F35" s="64">
        <v>4.13</v>
      </c>
      <c r="G35" s="64">
        <v>27.05</v>
      </c>
      <c r="H35" s="64">
        <v>8.4700000000000006</v>
      </c>
      <c r="I35" s="64">
        <v>3.18</v>
      </c>
      <c r="J35" s="64">
        <v>0.56000000000000005</v>
      </c>
      <c r="K35" s="64">
        <v>123.76</v>
      </c>
      <c r="L35" s="64">
        <v>24.16</v>
      </c>
      <c r="M35" s="64">
        <v>101.38</v>
      </c>
      <c r="N35" s="64">
        <v>111.3</v>
      </c>
      <c r="O35" s="64">
        <v>0</v>
      </c>
      <c r="P35" s="64">
        <v>0.37</v>
      </c>
      <c r="Q35" s="64">
        <v>9.83</v>
      </c>
      <c r="R35" s="198"/>
      <c r="S35" s="198"/>
      <c r="T35" s="198"/>
      <c r="U35" s="198"/>
    </row>
    <row r="36" spans="1:21" s="12" customFormat="1" x14ac:dyDescent="0.25">
      <c r="A36" s="214" t="s">
        <v>2002</v>
      </c>
      <c r="B36" s="64">
        <v>4.24</v>
      </c>
      <c r="C36" s="64">
        <v>3.17</v>
      </c>
      <c r="D36" s="64">
        <v>7.25</v>
      </c>
      <c r="E36" s="64">
        <v>4.67</v>
      </c>
      <c r="F36" s="64">
        <v>3.24</v>
      </c>
      <c r="G36" s="64">
        <v>27.05</v>
      </c>
      <c r="H36" s="64">
        <v>8.4700000000000006</v>
      </c>
      <c r="I36" s="64">
        <v>2.84</v>
      </c>
      <c r="J36" s="64">
        <v>0.27</v>
      </c>
      <c r="K36" s="64">
        <v>87.5</v>
      </c>
      <c r="L36" s="64">
        <v>25.34</v>
      </c>
      <c r="M36" s="64">
        <v>96.82</v>
      </c>
      <c r="N36" s="64">
        <v>164.7</v>
      </c>
      <c r="O36" s="64">
        <v>0</v>
      </c>
      <c r="P36" s="64">
        <v>0.36</v>
      </c>
      <c r="Q36" s="64">
        <v>9.84</v>
      </c>
      <c r="R36" s="198"/>
      <c r="S36" s="198"/>
      <c r="T36" s="198"/>
      <c r="U36" s="198"/>
    </row>
    <row r="37" spans="1:21" s="12" customFormat="1" x14ac:dyDescent="0.25">
      <c r="A37" s="214" t="s">
        <v>2003</v>
      </c>
      <c r="B37" s="64">
        <v>4.25</v>
      </c>
      <c r="C37" s="64">
        <v>3.18</v>
      </c>
      <c r="D37" s="64">
        <v>7.26</v>
      </c>
      <c r="E37" s="64">
        <v>4.42</v>
      </c>
      <c r="F37" s="64">
        <v>3.12</v>
      </c>
      <c r="G37" s="64">
        <v>27.05</v>
      </c>
      <c r="H37" s="64">
        <v>8.4700000000000006</v>
      </c>
      <c r="I37" s="64">
        <v>3.35</v>
      </c>
      <c r="J37" s="64">
        <v>0.26</v>
      </c>
      <c r="K37" s="64">
        <v>49.21</v>
      </c>
      <c r="L37" s="64">
        <v>26.8</v>
      </c>
      <c r="M37" s="64">
        <v>89.16</v>
      </c>
      <c r="N37" s="64">
        <v>221.2</v>
      </c>
      <c r="O37" s="64">
        <v>0</v>
      </c>
      <c r="P37" s="64">
        <v>0.4</v>
      </c>
      <c r="Q37" s="64">
        <v>9.83</v>
      </c>
      <c r="R37" s="198"/>
      <c r="S37" s="198"/>
      <c r="T37" s="198"/>
      <c r="U37" s="198"/>
    </row>
    <row r="38" spans="1:21" s="12" customFormat="1" x14ac:dyDescent="0.25">
      <c r="A38" s="214" t="s">
        <v>2004</v>
      </c>
      <c r="B38" s="64">
        <v>4.26</v>
      </c>
      <c r="C38" s="64">
        <v>3.19</v>
      </c>
      <c r="D38" s="64">
        <v>7.27</v>
      </c>
      <c r="E38" s="64">
        <v>4.93</v>
      </c>
      <c r="F38" s="64">
        <v>4.21</v>
      </c>
      <c r="G38" s="64">
        <v>32.92</v>
      </c>
      <c r="H38" s="64">
        <v>7.61</v>
      </c>
      <c r="I38" s="64">
        <v>3.68</v>
      </c>
      <c r="J38" s="64">
        <v>0.34</v>
      </c>
      <c r="K38" s="64">
        <v>115.45</v>
      </c>
      <c r="L38" s="64">
        <v>27.69</v>
      </c>
      <c r="M38" s="64">
        <v>83.66</v>
      </c>
      <c r="N38" s="64">
        <v>265.8</v>
      </c>
      <c r="O38" s="64">
        <v>0</v>
      </c>
      <c r="P38" s="64">
        <v>0.44</v>
      </c>
      <c r="Q38" s="64">
        <v>9.8699999999999992</v>
      </c>
      <c r="R38" s="198"/>
      <c r="S38" s="198"/>
      <c r="T38" s="198"/>
      <c r="U38" s="198"/>
    </row>
    <row r="39" spans="1:21" s="12" customFormat="1" x14ac:dyDescent="0.25">
      <c r="A39" s="214" t="s">
        <v>2005</v>
      </c>
      <c r="B39" s="64">
        <v>4.25</v>
      </c>
      <c r="C39" s="64">
        <v>3.14</v>
      </c>
      <c r="D39" s="64">
        <v>7.24</v>
      </c>
      <c r="E39" s="64">
        <v>4.7</v>
      </c>
      <c r="F39" s="64">
        <v>2.81</v>
      </c>
      <c r="G39" s="64">
        <v>35.049999999999997</v>
      </c>
      <c r="H39" s="64">
        <v>7.58</v>
      </c>
      <c r="I39" s="64">
        <v>3.65</v>
      </c>
      <c r="J39" s="64">
        <v>0.45</v>
      </c>
      <c r="K39" s="64">
        <v>122.49</v>
      </c>
      <c r="L39" s="64">
        <v>27.86</v>
      </c>
      <c r="M39" s="64">
        <v>84.4</v>
      </c>
      <c r="N39" s="64">
        <v>316</v>
      </c>
      <c r="O39" s="64">
        <v>0</v>
      </c>
      <c r="P39" s="64">
        <v>0.45</v>
      </c>
      <c r="Q39" s="64">
        <v>9.8000000000000007</v>
      </c>
      <c r="R39" s="198"/>
      <c r="S39" s="198"/>
      <c r="T39" s="198"/>
      <c r="U39" s="198"/>
    </row>
    <row r="40" spans="1:21" s="12" customFormat="1" x14ac:dyDescent="0.25">
      <c r="A40" s="214" t="s">
        <v>2006</v>
      </c>
      <c r="B40" s="64">
        <v>4.28</v>
      </c>
      <c r="C40" s="64">
        <v>3.16</v>
      </c>
      <c r="D40" s="64">
        <v>7.28</v>
      </c>
      <c r="E40" s="64">
        <v>4.0599999999999996</v>
      </c>
      <c r="F40" s="64">
        <v>2.89</v>
      </c>
      <c r="G40" s="64">
        <v>35.049999999999997</v>
      </c>
      <c r="H40" s="64">
        <v>7.58</v>
      </c>
      <c r="I40" s="64">
        <v>3.59</v>
      </c>
      <c r="J40" s="64">
        <v>0.8</v>
      </c>
      <c r="K40" s="64">
        <v>154.77000000000001</v>
      </c>
      <c r="L40" s="64">
        <v>27.59</v>
      </c>
      <c r="M40" s="64">
        <v>82.31</v>
      </c>
      <c r="N40" s="64">
        <v>379.6</v>
      </c>
      <c r="O40" s="64">
        <v>0</v>
      </c>
      <c r="P40" s="64">
        <v>0.39</v>
      </c>
      <c r="Q40" s="64">
        <v>9.8000000000000007</v>
      </c>
      <c r="R40" s="198"/>
      <c r="S40" s="198"/>
      <c r="T40" s="198"/>
      <c r="U40" s="198"/>
    </row>
    <row r="41" spans="1:21" s="12" customFormat="1" x14ac:dyDescent="0.25">
      <c r="A41" s="214" t="s">
        <v>2007</v>
      </c>
      <c r="B41" s="64">
        <v>4.32</v>
      </c>
      <c r="C41" s="64">
        <v>3.16</v>
      </c>
      <c r="D41" s="64">
        <v>7.3</v>
      </c>
      <c r="E41" s="64">
        <v>3.75</v>
      </c>
      <c r="F41" s="64">
        <v>3.69</v>
      </c>
      <c r="G41" s="64">
        <v>35.049999999999997</v>
      </c>
      <c r="H41" s="64">
        <v>7.58</v>
      </c>
      <c r="I41" s="64">
        <v>3.02</v>
      </c>
      <c r="J41" s="64">
        <v>0.27</v>
      </c>
      <c r="K41" s="64">
        <v>351.49</v>
      </c>
      <c r="L41" s="64">
        <v>29.42</v>
      </c>
      <c r="M41" s="64">
        <v>74.62</v>
      </c>
      <c r="N41" s="64">
        <v>430.2</v>
      </c>
      <c r="O41" s="64">
        <v>0</v>
      </c>
      <c r="P41" s="64">
        <v>0.41</v>
      </c>
      <c r="Q41" s="64">
        <v>9.82</v>
      </c>
      <c r="R41" s="198"/>
      <c r="S41" s="198"/>
      <c r="T41" s="198"/>
      <c r="U41" s="198"/>
    </row>
    <row r="42" spans="1:21" s="12" customFormat="1" x14ac:dyDescent="0.25">
      <c r="A42" s="214" t="s">
        <v>2008</v>
      </c>
      <c r="B42" s="64">
        <v>4.3099999999999996</v>
      </c>
      <c r="C42" s="64">
        <v>3.23</v>
      </c>
      <c r="D42" s="64">
        <v>7.34</v>
      </c>
      <c r="E42" s="64">
        <v>3.32</v>
      </c>
      <c r="F42" s="64">
        <v>3.85</v>
      </c>
      <c r="G42" s="64">
        <v>37.26</v>
      </c>
      <c r="H42" s="64">
        <v>13.77</v>
      </c>
      <c r="I42" s="64">
        <v>2.62</v>
      </c>
      <c r="J42" s="64">
        <v>0.71</v>
      </c>
      <c r="K42" s="64">
        <v>351.66</v>
      </c>
      <c r="L42" s="64">
        <v>31.05</v>
      </c>
      <c r="M42" s="64">
        <v>68.489999999999995</v>
      </c>
      <c r="N42" s="64">
        <v>488.9</v>
      </c>
      <c r="O42" s="64">
        <v>0</v>
      </c>
      <c r="P42" s="64">
        <v>0.5</v>
      </c>
      <c r="Q42" s="64">
        <v>9.82</v>
      </c>
      <c r="R42" s="198"/>
      <c r="S42" s="198"/>
      <c r="T42" s="198"/>
      <c r="U42" s="198"/>
    </row>
    <row r="43" spans="1:21" s="12" customFormat="1" x14ac:dyDescent="0.25">
      <c r="A43" s="214" t="s">
        <v>2009</v>
      </c>
      <c r="B43" s="64">
        <v>4.3099999999999996</v>
      </c>
      <c r="C43" s="64">
        <v>3.22</v>
      </c>
      <c r="D43" s="64">
        <v>7.33</v>
      </c>
      <c r="E43" s="64">
        <v>3.71</v>
      </c>
      <c r="F43" s="64">
        <v>3.73</v>
      </c>
      <c r="G43" s="64">
        <v>38.020000000000003</v>
      </c>
      <c r="H43" s="64">
        <v>13.86</v>
      </c>
      <c r="I43" s="64">
        <v>2.77</v>
      </c>
      <c r="J43" s="64">
        <v>0.95</v>
      </c>
      <c r="K43" s="64">
        <v>335.18</v>
      </c>
      <c r="L43" s="64">
        <v>32.26</v>
      </c>
      <c r="M43" s="64">
        <v>63.25</v>
      </c>
      <c r="N43" s="64">
        <v>538.5</v>
      </c>
      <c r="O43" s="64">
        <v>0</v>
      </c>
      <c r="P43" s="64">
        <v>0.65</v>
      </c>
      <c r="Q43" s="64">
        <v>9.82</v>
      </c>
      <c r="R43" s="198"/>
      <c r="S43" s="198"/>
      <c r="T43" s="198"/>
      <c r="U43" s="198"/>
    </row>
    <row r="44" spans="1:21" s="12" customFormat="1" x14ac:dyDescent="0.25">
      <c r="A44" s="214" t="s">
        <v>2010</v>
      </c>
      <c r="B44" s="64">
        <v>4.29</v>
      </c>
      <c r="C44" s="64">
        <v>3.22</v>
      </c>
      <c r="D44" s="64">
        <v>7.32</v>
      </c>
      <c r="E44" s="64">
        <v>3.46</v>
      </c>
      <c r="F44" s="64">
        <v>3.78</v>
      </c>
      <c r="G44" s="64">
        <v>38.020000000000003</v>
      </c>
      <c r="H44" s="64">
        <v>13.86</v>
      </c>
      <c r="I44" s="64">
        <v>3.11</v>
      </c>
      <c r="J44" s="64">
        <v>0.67</v>
      </c>
      <c r="K44" s="64">
        <v>349.39</v>
      </c>
      <c r="L44" s="64">
        <v>33.39</v>
      </c>
      <c r="M44" s="64">
        <v>59.26</v>
      </c>
      <c r="N44" s="64">
        <v>583.9</v>
      </c>
      <c r="O44" s="64">
        <v>0</v>
      </c>
      <c r="P44" s="64">
        <v>0.86</v>
      </c>
      <c r="Q44" s="64">
        <v>9.81</v>
      </c>
      <c r="R44" s="198"/>
      <c r="S44" s="198"/>
      <c r="T44" s="198"/>
      <c r="U44" s="198"/>
    </row>
    <row r="45" spans="1:21" s="12" customFormat="1" x14ac:dyDescent="0.25">
      <c r="A45" s="214" t="s">
        <v>2011</v>
      </c>
      <c r="B45" s="64">
        <v>4.32</v>
      </c>
      <c r="C45" s="64">
        <v>3.24</v>
      </c>
      <c r="D45" s="64">
        <v>7.35</v>
      </c>
      <c r="E45" s="64">
        <v>3.3</v>
      </c>
      <c r="F45" s="64">
        <v>3.65</v>
      </c>
      <c r="G45" s="64">
        <v>38.020000000000003</v>
      </c>
      <c r="H45" s="64">
        <v>13.86</v>
      </c>
      <c r="I45" s="64">
        <v>3.74</v>
      </c>
      <c r="J45" s="64">
        <v>0.37</v>
      </c>
      <c r="K45" s="64">
        <v>37.1</v>
      </c>
      <c r="L45" s="64">
        <v>32.57</v>
      </c>
      <c r="M45" s="64">
        <v>63.44</v>
      </c>
      <c r="N45" s="64">
        <v>647.4</v>
      </c>
      <c r="O45" s="64">
        <v>0</v>
      </c>
      <c r="P45" s="64">
        <v>0.74</v>
      </c>
      <c r="Q45" s="64">
        <v>9.82</v>
      </c>
      <c r="R45" s="198"/>
      <c r="S45" s="198"/>
      <c r="T45" s="198"/>
      <c r="U45" s="198"/>
    </row>
    <row r="46" spans="1:21" s="12" customFormat="1" x14ac:dyDescent="0.25">
      <c r="A46" s="214" t="s">
        <v>2012</v>
      </c>
      <c r="B46" s="64">
        <v>4.32</v>
      </c>
      <c r="C46" s="64">
        <v>3.23</v>
      </c>
      <c r="D46" s="64">
        <v>7.35</v>
      </c>
      <c r="E46" s="64">
        <v>3.69</v>
      </c>
      <c r="F46" s="64">
        <v>3.99</v>
      </c>
      <c r="G46" s="64">
        <v>44.51</v>
      </c>
      <c r="H46" s="64">
        <v>3.48</v>
      </c>
      <c r="I46" s="64">
        <v>4.1100000000000003</v>
      </c>
      <c r="J46" s="64">
        <v>0.27</v>
      </c>
      <c r="K46" s="64">
        <v>50.14</v>
      </c>
      <c r="L46" s="64">
        <v>31.7</v>
      </c>
      <c r="M46" s="64">
        <v>66.11</v>
      </c>
      <c r="N46" s="64">
        <v>702</v>
      </c>
      <c r="O46" s="64">
        <v>0</v>
      </c>
      <c r="P46" s="64">
        <v>0.77</v>
      </c>
      <c r="Q46" s="64">
        <v>9.82</v>
      </c>
      <c r="R46" s="198"/>
      <c r="S46" s="198"/>
      <c r="T46" s="198"/>
      <c r="U46" s="198"/>
    </row>
    <row r="47" spans="1:21" s="12" customFormat="1" x14ac:dyDescent="0.25">
      <c r="A47" s="214" t="s">
        <v>2013</v>
      </c>
      <c r="B47" s="64">
        <v>4.3099999999999996</v>
      </c>
      <c r="C47" s="64">
        <v>3.24</v>
      </c>
      <c r="D47" s="64">
        <v>7.34</v>
      </c>
      <c r="E47" s="64">
        <v>3.96</v>
      </c>
      <c r="F47" s="64">
        <v>3.94</v>
      </c>
      <c r="G47" s="64">
        <v>46.74</v>
      </c>
      <c r="H47" s="64">
        <v>3.33</v>
      </c>
      <c r="I47" s="64">
        <v>4.0599999999999996</v>
      </c>
      <c r="J47" s="64">
        <v>0.56000000000000005</v>
      </c>
      <c r="K47" s="64">
        <v>352.12</v>
      </c>
      <c r="L47" s="64">
        <v>33.799999999999997</v>
      </c>
      <c r="M47" s="64">
        <v>58.3</v>
      </c>
      <c r="N47" s="64">
        <v>742.7</v>
      </c>
      <c r="O47" s="64">
        <v>0</v>
      </c>
      <c r="P47" s="64">
        <v>0.62</v>
      </c>
      <c r="Q47" s="64">
        <v>9.85</v>
      </c>
      <c r="R47" s="198"/>
      <c r="S47" s="198"/>
      <c r="T47" s="198"/>
      <c r="U47" s="198"/>
    </row>
    <row r="48" spans="1:21" s="12" customFormat="1" x14ac:dyDescent="0.25">
      <c r="A48" s="214" t="s">
        <v>2014</v>
      </c>
      <c r="B48" s="64">
        <v>4.26</v>
      </c>
      <c r="C48" s="64">
        <v>3.27</v>
      </c>
      <c r="D48" s="64">
        <v>7.31</v>
      </c>
      <c r="E48" s="64">
        <v>3.98</v>
      </c>
      <c r="F48" s="64">
        <v>3.73</v>
      </c>
      <c r="G48" s="64">
        <v>46.74</v>
      </c>
      <c r="H48" s="64">
        <v>3.33</v>
      </c>
      <c r="I48" s="64">
        <v>4.54</v>
      </c>
      <c r="J48" s="64">
        <v>0.56000000000000005</v>
      </c>
      <c r="K48" s="64">
        <v>344.65</v>
      </c>
      <c r="L48" s="64">
        <v>34.43</v>
      </c>
      <c r="M48" s="64">
        <v>55.72</v>
      </c>
      <c r="N48" s="64">
        <v>798.1</v>
      </c>
      <c r="O48" s="64">
        <v>0</v>
      </c>
      <c r="P48" s="64">
        <v>0.66</v>
      </c>
      <c r="Q48" s="64">
        <v>9.83</v>
      </c>
      <c r="R48" s="198"/>
      <c r="S48" s="198"/>
      <c r="T48" s="198"/>
      <c r="U48" s="198"/>
    </row>
    <row r="49" spans="1:21" s="12" customFormat="1" x14ac:dyDescent="0.25">
      <c r="A49" s="214" t="s">
        <v>2015</v>
      </c>
      <c r="B49" s="64">
        <v>4.3099999999999996</v>
      </c>
      <c r="C49" s="64">
        <v>3.35</v>
      </c>
      <c r="D49" s="64">
        <v>7.4</v>
      </c>
      <c r="E49" s="64">
        <v>3.76</v>
      </c>
      <c r="F49" s="64">
        <v>3.92</v>
      </c>
      <c r="G49" s="64">
        <v>46.74</v>
      </c>
      <c r="H49" s="64">
        <v>3.33</v>
      </c>
      <c r="I49" s="64">
        <v>5.05</v>
      </c>
      <c r="J49" s="64">
        <v>0.78</v>
      </c>
      <c r="K49" s="64">
        <v>342.16</v>
      </c>
      <c r="L49" s="64">
        <v>33.39</v>
      </c>
      <c r="M49" s="64">
        <v>59.51</v>
      </c>
      <c r="N49" s="64">
        <v>680.7</v>
      </c>
      <c r="O49" s="64">
        <v>0</v>
      </c>
      <c r="P49" s="64">
        <v>0.68</v>
      </c>
      <c r="Q49" s="64">
        <v>9.84</v>
      </c>
      <c r="R49" s="198"/>
      <c r="S49" s="198"/>
      <c r="T49" s="198"/>
      <c r="U49" s="198"/>
    </row>
    <row r="50" spans="1:21" s="12" customFormat="1" x14ac:dyDescent="0.25">
      <c r="A50" s="214" t="s">
        <v>2016</v>
      </c>
      <c r="B50" s="64">
        <v>4.25</v>
      </c>
      <c r="C50" s="64">
        <v>3.2</v>
      </c>
      <c r="D50" s="64">
        <v>7.27</v>
      </c>
      <c r="E50" s="64">
        <v>3.49</v>
      </c>
      <c r="F50" s="64">
        <v>4.16</v>
      </c>
      <c r="G50" s="64">
        <v>50.66</v>
      </c>
      <c r="H50" s="64">
        <v>0.9</v>
      </c>
      <c r="I50" s="64">
        <v>5</v>
      </c>
      <c r="J50" s="64">
        <v>0.76</v>
      </c>
      <c r="K50" s="64">
        <v>328.48</v>
      </c>
      <c r="L50" s="64">
        <v>34.78</v>
      </c>
      <c r="M50" s="64">
        <v>54.69</v>
      </c>
      <c r="N50" s="64">
        <v>584.1</v>
      </c>
      <c r="O50" s="64">
        <v>0</v>
      </c>
      <c r="P50" s="64">
        <v>0.7</v>
      </c>
      <c r="Q50" s="64">
        <v>9.83</v>
      </c>
      <c r="R50" s="198"/>
      <c r="S50" s="198"/>
      <c r="T50" s="198"/>
      <c r="U50" s="198"/>
    </row>
    <row r="51" spans="1:21" s="12" customFormat="1" x14ac:dyDescent="0.25">
      <c r="A51" s="214" t="s">
        <v>2017</v>
      </c>
      <c r="B51" s="64">
        <v>4.25</v>
      </c>
      <c r="C51" s="64">
        <v>3.22</v>
      </c>
      <c r="D51" s="64">
        <v>7.28</v>
      </c>
      <c r="E51" s="64">
        <v>3.5</v>
      </c>
      <c r="F51" s="64">
        <v>3.74</v>
      </c>
      <c r="G51" s="64">
        <v>52.09</v>
      </c>
      <c r="H51" s="64">
        <v>0.87</v>
      </c>
      <c r="I51" s="64">
        <v>4.9400000000000004</v>
      </c>
      <c r="J51" s="64">
        <v>0.34</v>
      </c>
      <c r="K51" s="64">
        <v>0.12</v>
      </c>
      <c r="L51" s="64">
        <v>33.26</v>
      </c>
      <c r="M51" s="64">
        <v>57.5</v>
      </c>
      <c r="N51" s="64">
        <v>610.20000000000005</v>
      </c>
      <c r="O51" s="64">
        <v>0</v>
      </c>
      <c r="P51" s="64">
        <v>0.67</v>
      </c>
      <c r="Q51" s="64">
        <v>9.81</v>
      </c>
      <c r="R51" s="198"/>
      <c r="S51" s="198"/>
      <c r="T51" s="198"/>
      <c r="U51" s="198"/>
    </row>
    <row r="52" spans="1:21" s="12" customFormat="1" x14ac:dyDescent="0.25">
      <c r="A52" s="214" t="s">
        <v>2018</v>
      </c>
      <c r="B52" s="64">
        <v>4.24</v>
      </c>
      <c r="C52" s="64">
        <v>3.16</v>
      </c>
      <c r="D52" s="64">
        <v>7.24</v>
      </c>
      <c r="E52" s="64">
        <v>3.43</v>
      </c>
      <c r="F52" s="64">
        <v>5.21</v>
      </c>
      <c r="G52" s="64">
        <v>52.09</v>
      </c>
      <c r="H52" s="64">
        <v>0.87</v>
      </c>
      <c r="I52" s="64">
        <v>4.6100000000000003</v>
      </c>
      <c r="J52" s="64">
        <v>0.09</v>
      </c>
      <c r="K52" s="64">
        <v>67.540000000000006</v>
      </c>
      <c r="L52" s="64">
        <v>31.6</v>
      </c>
      <c r="M52" s="64">
        <v>62.99</v>
      </c>
      <c r="N52" s="64">
        <v>571.9</v>
      </c>
      <c r="O52" s="64">
        <v>0</v>
      </c>
      <c r="P52" s="64">
        <v>0.68</v>
      </c>
      <c r="Q52" s="64">
        <v>9.77</v>
      </c>
      <c r="R52" s="198"/>
      <c r="S52" s="198"/>
      <c r="T52" s="198"/>
      <c r="U52" s="198"/>
    </row>
    <row r="53" spans="1:21" s="12" customFormat="1" x14ac:dyDescent="0.25">
      <c r="A53" s="214" t="s">
        <v>2019</v>
      </c>
      <c r="B53" s="64">
        <v>4.22</v>
      </c>
      <c r="C53" s="64">
        <v>3.17</v>
      </c>
      <c r="D53" s="64">
        <v>7.23</v>
      </c>
      <c r="E53" s="64">
        <v>4.42</v>
      </c>
      <c r="F53" s="64">
        <v>5.66</v>
      </c>
      <c r="G53" s="64">
        <v>52.09</v>
      </c>
      <c r="H53" s="64">
        <v>0.87</v>
      </c>
      <c r="I53" s="64">
        <v>4.05</v>
      </c>
      <c r="J53" s="64">
        <v>0.92</v>
      </c>
      <c r="K53" s="64">
        <v>123.32</v>
      </c>
      <c r="L53" s="64">
        <v>30.78</v>
      </c>
      <c r="M53" s="64">
        <v>65.459999999999994</v>
      </c>
      <c r="N53" s="64">
        <v>428.8</v>
      </c>
      <c r="O53" s="64">
        <v>0</v>
      </c>
      <c r="P53" s="64">
        <v>0.61</v>
      </c>
      <c r="Q53" s="64">
        <v>9.7200000000000006</v>
      </c>
      <c r="R53" s="198"/>
      <c r="S53" s="198"/>
      <c r="T53" s="198"/>
      <c r="U53" s="198"/>
    </row>
    <row r="54" spans="1:21" s="12" customFormat="1" x14ac:dyDescent="0.25">
      <c r="A54" s="214" t="s">
        <v>2020</v>
      </c>
      <c r="B54" s="64">
        <v>4.2300000000000004</v>
      </c>
      <c r="C54" s="64">
        <v>3.24</v>
      </c>
      <c r="D54" s="64">
        <v>7.28</v>
      </c>
      <c r="E54" s="64">
        <v>86.63</v>
      </c>
      <c r="F54" s="64">
        <v>4.07</v>
      </c>
      <c r="G54" s="64">
        <v>52.09</v>
      </c>
      <c r="H54" s="64">
        <v>0.87</v>
      </c>
      <c r="I54" s="64">
        <v>3.97</v>
      </c>
      <c r="J54" s="64">
        <v>0.24</v>
      </c>
      <c r="K54" s="64">
        <v>355.4</v>
      </c>
      <c r="L54" s="64">
        <v>30.76</v>
      </c>
      <c r="M54" s="64">
        <v>66.58</v>
      </c>
      <c r="N54" s="64">
        <v>367.5</v>
      </c>
      <c r="O54" s="64">
        <v>0</v>
      </c>
      <c r="P54" s="64">
        <v>0.64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4" t="s">
        <v>2021</v>
      </c>
      <c r="B55" s="64">
        <v>4.18</v>
      </c>
      <c r="C55" s="64">
        <v>3.13</v>
      </c>
      <c r="D55" s="64">
        <v>7.18</v>
      </c>
      <c r="E55" s="64">
        <v>134.65</v>
      </c>
      <c r="F55" s="64">
        <v>8.3000000000000007</v>
      </c>
      <c r="G55" s="64">
        <v>52.09</v>
      </c>
      <c r="H55" s="64">
        <v>0.87</v>
      </c>
      <c r="I55" s="64">
        <v>4.08</v>
      </c>
      <c r="J55" s="64">
        <v>0.26</v>
      </c>
      <c r="K55" s="64">
        <v>31.05</v>
      </c>
      <c r="L55" s="64">
        <v>30.46</v>
      </c>
      <c r="M55" s="64">
        <v>65.34</v>
      </c>
      <c r="N55" s="64">
        <v>266.5</v>
      </c>
      <c r="O55" s="64">
        <v>0</v>
      </c>
      <c r="P55" s="64">
        <v>0.56999999999999995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4" t="s">
        <v>2022</v>
      </c>
      <c r="B56" s="64">
        <v>4.2</v>
      </c>
      <c r="C56" s="64">
        <v>3.21</v>
      </c>
      <c r="D56" s="64">
        <v>7.23</v>
      </c>
      <c r="E56" s="64">
        <v>36.56</v>
      </c>
      <c r="F56" s="64">
        <v>35.07</v>
      </c>
      <c r="G56" s="64">
        <v>52.09</v>
      </c>
      <c r="H56" s="64">
        <v>0.87</v>
      </c>
      <c r="I56" s="64">
        <v>4.66</v>
      </c>
      <c r="J56" s="64">
        <v>0.31</v>
      </c>
      <c r="K56" s="64">
        <v>36.21</v>
      </c>
      <c r="L56" s="64">
        <v>31.39</v>
      </c>
      <c r="M56" s="64">
        <v>63.47</v>
      </c>
      <c r="N56" s="64">
        <v>651.4</v>
      </c>
      <c r="O56" s="64">
        <v>0</v>
      </c>
      <c r="P56" s="64">
        <v>0.73</v>
      </c>
      <c r="Q56" s="64">
        <v>9.56</v>
      </c>
      <c r="R56" s="198"/>
      <c r="S56" s="198"/>
      <c r="T56" s="198"/>
      <c r="U56" s="198"/>
    </row>
    <row r="57" spans="1:21" s="12" customFormat="1" x14ac:dyDescent="0.25">
      <c r="A57" s="214" t="s">
        <v>2023</v>
      </c>
      <c r="B57" s="64">
        <v>4.21</v>
      </c>
      <c r="C57" s="64">
        <v>3.25</v>
      </c>
      <c r="D57" s="64">
        <v>7.26</v>
      </c>
      <c r="E57" s="64">
        <v>4.67</v>
      </c>
      <c r="F57" s="64">
        <v>42.03</v>
      </c>
      <c r="G57" s="64">
        <v>47.46</v>
      </c>
      <c r="H57" s="64">
        <v>0.79</v>
      </c>
      <c r="I57" s="64">
        <v>3.54</v>
      </c>
      <c r="J57" s="64">
        <v>0.81</v>
      </c>
      <c r="K57" s="64">
        <v>123.77</v>
      </c>
      <c r="L57" s="64">
        <v>30</v>
      </c>
      <c r="M57" s="64">
        <v>66.02</v>
      </c>
      <c r="N57" s="64">
        <v>175.2</v>
      </c>
      <c r="O57" s="64">
        <v>0</v>
      </c>
      <c r="P57" s="64">
        <v>3.61</v>
      </c>
      <c r="Q57" s="64">
        <v>9.5399999999999991</v>
      </c>
      <c r="R57" s="198"/>
      <c r="S57" s="198"/>
      <c r="T57" s="198"/>
      <c r="U57" s="198"/>
    </row>
    <row r="58" spans="1:21" s="12" customFormat="1" x14ac:dyDescent="0.25">
      <c r="A58" s="214" t="s">
        <v>2024</v>
      </c>
      <c r="B58" s="64">
        <v>4.24</v>
      </c>
      <c r="C58" s="64">
        <v>3.24</v>
      </c>
      <c r="D58" s="64">
        <v>7.28</v>
      </c>
      <c r="E58" s="64">
        <v>4.9000000000000004</v>
      </c>
      <c r="F58" s="64">
        <v>12.07</v>
      </c>
      <c r="G58" s="212" t="s">
        <v>42</v>
      </c>
      <c r="H58" s="212" t="s">
        <v>42</v>
      </c>
      <c r="I58" s="64">
        <v>1.56</v>
      </c>
      <c r="J58" s="64">
        <v>0.86</v>
      </c>
      <c r="K58" s="64">
        <v>135.87</v>
      </c>
      <c r="L58" s="64">
        <v>29.53</v>
      </c>
      <c r="M58" s="64">
        <v>67.53</v>
      </c>
      <c r="N58" s="64">
        <v>202.9</v>
      </c>
      <c r="O58" s="64">
        <v>0</v>
      </c>
      <c r="P58" s="64">
        <v>0.45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4" t="s">
        <v>2025</v>
      </c>
      <c r="B59" s="64">
        <v>4.24</v>
      </c>
      <c r="C59" s="64">
        <v>3.21</v>
      </c>
      <c r="D59" s="64">
        <v>7.27</v>
      </c>
      <c r="E59" s="64">
        <v>4.79</v>
      </c>
      <c r="F59" s="64">
        <v>7.4</v>
      </c>
      <c r="G59" s="212" t="s">
        <v>42</v>
      </c>
      <c r="H59" s="212" t="s">
        <v>42</v>
      </c>
      <c r="I59" s="64">
        <v>1.07</v>
      </c>
      <c r="J59" s="64">
        <v>1.01</v>
      </c>
      <c r="K59" s="64">
        <v>119.64</v>
      </c>
      <c r="L59" s="64">
        <v>29.11</v>
      </c>
      <c r="M59" s="64">
        <v>68.81</v>
      </c>
      <c r="N59" s="64">
        <v>253.1</v>
      </c>
      <c r="O59" s="64">
        <v>0</v>
      </c>
      <c r="P59" s="64">
        <v>0.42</v>
      </c>
      <c r="Q59" s="64">
        <v>9.5</v>
      </c>
      <c r="R59" s="198"/>
      <c r="S59" s="198"/>
      <c r="T59" s="198"/>
      <c r="U59" s="198"/>
    </row>
    <row r="60" spans="1:21" s="12" customFormat="1" x14ac:dyDescent="0.25">
      <c r="A60" s="214" t="s">
        <v>2026</v>
      </c>
      <c r="B60" s="64">
        <v>4.25</v>
      </c>
      <c r="C60" s="64">
        <v>3.16</v>
      </c>
      <c r="D60" s="64">
        <v>7.25</v>
      </c>
      <c r="E60" s="64">
        <v>4.49</v>
      </c>
      <c r="F60" s="64">
        <v>5.79</v>
      </c>
      <c r="G60" s="212" t="s">
        <v>42</v>
      </c>
      <c r="H60" s="212" t="s">
        <v>42</v>
      </c>
      <c r="I60" s="64">
        <v>2.27</v>
      </c>
      <c r="J60" s="64">
        <v>0.65</v>
      </c>
      <c r="K60" s="64">
        <v>152.94999999999999</v>
      </c>
      <c r="L60" s="64">
        <v>29.45</v>
      </c>
      <c r="M60" s="64">
        <v>67.13</v>
      </c>
      <c r="N60" s="64">
        <v>288.5</v>
      </c>
      <c r="O60" s="64">
        <v>0</v>
      </c>
      <c r="P60" s="64">
        <v>0.52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4" t="s">
        <v>2027</v>
      </c>
      <c r="B61" s="64">
        <v>4.26</v>
      </c>
      <c r="C61" s="64">
        <v>3.24</v>
      </c>
      <c r="D61" s="64">
        <v>7.3</v>
      </c>
      <c r="E61" s="64">
        <v>4.8600000000000003</v>
      </c>
      <c r="F61" s="64">
        <v>7</v>
      </c>
      <c r="G61" s="212" t="s">
        <v>42</v>
      </c>
      <c r="H61" s="212" t="s">
        <v>42</v>
      </c>
      <c r="I61" s="64">
        <v>3.32</v>
      </c>
      <c r="J61" s="64">
        <v>0.45</v>
      </c>
      <c r="K61" s="64">
        <v>55.58</v>
      </c>
      <c r="L61" s="64">
        <v>30.53</v>
      </c>
      <c r="M61" s="64">
        <v>63.01</v>
      </c>
      <c r="N61" s="64">
        <v>349.2</v>
      </c>
      <c r="O61" s="64">
        <v>0</v>
      </c>
      <c r="P61" s="64">
        <v>0.51</v>
      </c>
      <c r="Q61" s="64">
        <v>9.5</v>
      </c>
      <c r="R61" s="198"/>
      <c r="S61" s="198"/>
      <c r="T61" s="198"/>
      <c r="U61" s="198"/>
    </row>
    <row r="62" spans="1:21" s="12" customFormat="1" x14ac:dyDescent="0.25">
      <c r="A62" s="214" t="s">
        <v>2028</v>
      </c>
      <c r="B62" s="64">
        <v>4.26</v>
      </c>
      <c r="C62" s="64">
        <v>3.15</v>
      </c>
      <c r="D62" s="64">
        <v>7.25</v>
      </c>
      <c r="E62" s="64">
        <v>4.58</v>
      </c>
      <c r="F62" s="64">
        <v>5.58</v>
      </c>
      <c r="G62" s="212" t="s">
        <v>42</v>
      </c>
      <c r="H62" s="212" t="s">
        <v>42</v>
      </c>
      <c r="I62" s="64">
        <v>2.94</v>
      </c>
      <c r="J62" s="64">
        <v>0.85</v>
      </c>
      <c r="K62" s="64">
        <v>114.04</v>
      </c>
      <c r="L62" s="64">
        <v>29.34</v>
      </c>
      <c r="M62" s="64">
        <v>67.61</v>
      </c>
      <c r="N62" s="64">
        <v>226.3</v>
      </c>
      <c r="O62" s="64">
        <v>0</v>
      </c>
      <c r="P62" s="64">
        <v>0.49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4" t="s">
        <v>2029</v>
      </c>
      <c r="B63" s="64">
        <v>4.26</v>
      </c>
      <c r="C63" s="64">
        <v>3.16</v>
      </c>
      <c r="D63" s="64">
        <v>7.25</v>
      </c>
      <c r="E63" s="64">
        <v>5.63</v>
      </c>
      <c r="F63" s="64">
        <v>5.89</v>
      </c>
      <c r="G63" s="212" t="s">
        <v>42</v>
      </c>
      <c r="H63" s="212" t="s">
        <v>42</v>
      </c>
      <c r="I63" s="64">
        <v>3.14</v>
      </c>
      <c r="J63" s="64">
        <v>0.34</v>
      </c>
      <c r="K63" s="64">
        <v>89.26</v>
      </c>
      <c r="L63" s="64">
        <v>29.78</v>
      </c>
      <c r="M63" s="64">
        <v>66.260000000000005</v>
      </c>
      <c r="N63" s="64">
        <v>258.8</v>
      </c>
      <c r="O63" s="64">
        <v>0</v>
      </c>
      <c r="P63" s="64">
        <v>0.54</v>
      </c>
      <c r="Q63" s="64">
        <v>9.56</v>
      </c>
      <c r="R63" s="198"/>
      <c r="S63" s="198"/>
      <c r="T63" s="198"/>
      <c r="U63" s="198"/>
    </row>
    <row r="64" spans="1:21" s="12" customFormat="1" x14ac:dyDescent="0.25">
      <c r="A64" s="214" t="s">
        <v>2030</v>
      </c>
      <c r="B64" s="64">
        <v>4.21</v>
      </c>
      <c r="C64" s="64">
        <v>3.15</v>
      </c>
      <c r="D64" s="64">
        <v>7.21</v>
      </c>
      <c r="E64" s="64">
        <v>4.97</v>
      </c>
      <c r="F64" s="64">
        <v>7.82</v>
      </c>
      <c r="G64" s="212" t="s">
        <v>42</v>
      </c>
      <c r="H64" s="212" t="s">
        <v>42</v>
      </c>
      <c r="I64" s="64">
        <v>3.04</v>
      </c>
      <c r="J64" s="64">
        <v>0.88</v>
      </c>
      <c r="K64" s="64">
        <v>116.16</v>
      </c>
      <c r="L64" s="64">
        <v>29.17</v>
      </c>
      <c r="M64" s="64">
        <v>69.58</v>
      </c>
      <c r="N64" s="64">
        <v>202.1</v>
      </c>
      <c r="O64" s="64">
        <v>0</v>
      </c>
      <c r="P64" s="64">
        <v>0.54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4" t="s">
        <v>2031</v>
      </c>
      <c r="B65" s="64">
        <v>4.1900000000000004</v>
      </c>
      <c r="C65" s="64">
        <v>3.17</v>
      </c>
      <c r="D65" s="64">
        <v>7.21</v>
      </c>
      <c r="E65" s="64">
        <v>4.9000000000000004</v>
      </c>
      <c r="F65" s="64">
        <v>7.39</v>
      </c>
      <c r="G65" s="64">
        <v>75</v>
      </c>
      <c r="H65" s="64">
        <v>15.35</v>
      </c>
      <c r="I65" s="64">
        <v>4.07</v>
      </c>
      <c r="J65" s="64">
        <v>0.26</v>
      </c>
      <c r="K65" s="64">
        <v>75.099999999999994</v>
      </c>
      <c r="L65" s="64">
        <v>29.47</v>
      </c>
      <c r="M65" s="64">
        <v>66.95</v>
      </c>
      <c r="N65" s="64">
        <v>159.4</v>
      </c>
      <c r="O65" s="64">
        <v>0</v>
      </c>
      <c r="P65" s="64">
        <v>0.6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4" t="s">
        <v>2032</v>
      </c>
      <c r="B66" s="64">
        <v>4.22</v>
      </c>
      <c r="C66" s="64">
        <v>3.16</v>
      </c>
      <c r="D66" s="64">
        <v>7.22</v>
      </c>
      <c r="E66" s="64">
        <v>4.38</v>
      </c>
      <c r="F66" s="64">
        <v>5.29</v>
      </c>
      <c r="G66" s="64">
        <v>75</v>
      </c>
      <c r="H66" s="64">
        <v>15.35</v>
      </c>
      <c r="I66" s="64">
        <v>4.21</v>
      </c>
      <c r="J66" s="64">
        <v>0.74</v>
      </c>
      <c r="K66" s="64">
        <v>113.33</v>
      </c>
      <c r="L66" s="64">
        <v>29.07</v>
      </c>
      <c r="M66" s="64">
        <v>67.5</v>
      </c>
      <c r="N66" s="64">
        <v>113.3</v>
      </c>
      <c r="O66" s="64">
        <v>0</v>
      </c>
      <c r="P66" s="64">
        <v>0.53</v>
      </c>
      <c r="Q66" s="64">
        <v>9.65</v>
      </c>
      <c r="R66" s="198"/>
      <c r="S66" s="198"/>
      <c r="T66" s="198"/>
      <c r="U66" s="198"/>
    </row>
    <row r="67" spans="1:21" s="12" customFormat="1" x14ac:dyDescent="0.25">
      <c r="A67" s="214" t="s">
        <v>2033</v>
      </c>
      <c r="B67" s="64">
        <v>4.21</v>
      </c>
      <c r="C67" s="64">
        <v>3.15</v>
      </c>
      <c r="D67" s="64">
        <v>7.21</v>
      </c>
      <c r="E67" s="64">
        <v>4.51</v>
      </c>
      <c r="F67" s="64">
        <v>5.07</v>
      </c>
      <c r="G67" s="64">
        <v>75</v>
      </c>
      <c r="H67" s="64">
        <v>15.35</v>
      </c>
      <c r="I67" s="64">
        <v>2.77</v>
      </c>
      <c r="J67" s="64">
        <v>0.28999999999999998</v>
      </c>
      <c r="K67" s="64">
        <v>347.39</v>
      </c>
      <c r="L67" s="64">
        <v>28.97</v>
      </c>
      <c r="M67" s="64">
        <v>68.95</v>
      </c>
      <c r="N67" s="64">
        <v>126.2</v>
      </c>
      <c r="O67" s="64">
        <v>0</v>
      </c>
      <c r="P67" s="64">
        <v>0.56999999999999995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4" t="s">
        <v>2034</v>
      </c>
      <c r="B68" s="64">
        <v>4.1900000000000004</v>
      </c>
      <c r="C68" s="64">
        <v>3.14</v>
      </c>
      <c r="D68" s="64">
        <v>7.2</v>
      </c>
      <c r="E68" s="64">
        <v>4.84</v>
      </c>
      <c r="F68" s="64">
        <v>4.72</v>
      </c>
      <c r="G68" s="64">
        <v>75</v>
      </c>
      <c r="H68" s="64">
        <v>15.35</v>
      </c>
      <c r="I68" s="64">
        <v>2.16</v>
      </c>
      <c r="J68" s="64">
        <v>0.44</v>
      </c>
      <c r="K68" s="64">
        <v>113.18</v>
      </c>
      <c r="L68" s="64">
        <v>29.22</v>
      </c>
      <c r="M68" s="64">
        <v>68.099999999999994</v>
      </c>
      <c r="N68" s="64">
        <v>122.6</v>
      </c>
      <c r="O68" s="64">
        <v>0</v>
      </c>
      <c r="P68" s="64">
        <v>0.55000000000000004</v>
      </c>
      <c r="Q68" s="64">
        <v>9.65</v>
      </c>
      <c r="R68" s="198"/>
      <c r="S68" s="198"/>
      <c r="T68" s="198"/>
      <c r="U68" s="198"/>
    </row>
    <row r="69" spans="1:21" s="12" customFormat="1" x14ac:dyDescent="0.25">
      <c r="A69" s="214" t="s">
        <v>2035</v>
      </c>
      <c r="B69" s="64">
        <v>4.2</v>
      </c>
      <c r="C69" s="64">
        <v>3.15</v>
      </c>
      <c r="D69" s="64">
        <v>7.2</v>
      </c>
      <c r="E69" s="64">
        <v>4.92</v>
      </c>
      <c r="F69" s="64">
        <v>5.07</v>
      </c>
      <c r="G69" s="64">
        <v>74.489999999999995</v>
      </c>
      <c r="H69" s="64">
        <v>15.25</v>
      </c>
      <c r="I69" s="64">
        <v>3.3</v>
      </c>
      <c r="J69" s="64">
        <v>0.95</v>
      </c>
      <c r="K69" s="64">
        <v>333.57</v>
      </c>
      <c r="L69" s="64">
        <v>29.52</v>
      </c>
      <c r="M69" s="64">
        <v>68.03</v>
      </c>
      <c r="N69" s="64">
        <v>128</v>
      </c>
      <c r="O69" s="64">
        <v>0</v>
      </c>
      <c r="P69" s="64">
        <v>0.71</v>
      </c>
      <c r="Q69" s="64">
        <v>9.69</v>
      </c>
      <c r="R69" s="198"/>
      <c r="S69" s="198"/>
      <c r="T69" s="198"/>
      <c r="U69" s="198"/>
    </row>
    <row r="70" spans="1:21" s="12" customFormat="1" x14ac:dyDescent="0.25">
      <c r="A70" s="214" t="s">
        <v>2036</v>
      </c>
      <c r="B70" s="64">
        <v>4.2300000000000004</v>
      </c>
      <c r="C70" s="64">
        <v>3.18</v>
      </c>
      <c r="D70" s="64">
        <v>7.24</v>
      </c>
      <c r="E70" s="64">
        <v>4.8899999999999997</v>
      </c>
      <c r="F70" s="64">
        <v>4.6100000000000003</v>
      </c>
      <c r="G70" s="64">
        <v>70.459999999999994</v>
      </c>
      <c r="H70" s="64">
        <v>14.57</v>
      </c>
      <c r="I70" s="64">
        <v>3.47</v>
      </c>
      <c r="J70" s="64">
        <v>0.63</v>
      </c>
      <c r="K70" s="64">
        <v>339.25</v>
      </c>
      <c r="L70" s="64">
        <v>30.01</v>
      </c>
      <c r="M70" s="64">
        <v>65.86</v>
      </c>
      <c r="N70" s="64">
        <v>137</v>
      </c>
      <c r="O70" s="64">
        <v>0</v>
      </c>
      <c r="P70" s="64">
        <v>0.78</v>
      </c>
      <c r="Q70" s="64">
        <v>9.69</v>
      </c>
      <c r="R70" s="198"/>
      <c r="S70" s="198"/>
      <c r="T70" s="198"/>
      <c r="U70" s="198"/>
    </row>
    <row r="71" spans="1:21" s="12" customFormat="1" x14ac:dyDescent="0.25">
      <c r="A71" s="214" t="s">
        <v>2037</v>
      </c>
      <c r="B71" s="64">
        <v>4.25</v>
      </c>
      <c r="C71" s="64">
        <v>3.27</v>
      </c>
      <c r="D71" s="64">
        <v>7.31</v>
      </c>
      <c r="E71" s="64">
        <v>4.71</v>
      </c>
      <c r="F71" s="64">
        <v>3.88</v>
      </c>
      <c r="G71" s="64">
        <v>70.459999999999994</v>
      </c>
      <c r="H71" s="64">
        <v>14.57</v>
      </c>
      <c r="I71" s="64">
        <v>2.83</v>
      </c>
      <c r="J71" s="64">
        <v>0.47</v>
      </c>
      <c r="K71" s="64">
        <v>115.89</v>
      </c>
      <c r="L71" s="64">
        <v>29.75</v>
      </c>
      <c r="M71" s="64">
        <v>65.86</v>
      </c>
      <c r="N71" s="64">
        <v>126.9</v>
      </c>
      <c r="O71" s="64">
        <v>0</v>
      </c>
      <c r="P71" s="64">
        <v>0.59</v>
      </c>
      <c r="Q71" s="64">
        <v>9.6999999999999993</v>
      </c>
      <c r="R71" s="198"/>
      <c r="S71" s="198"/>
      <c r="T71" s="198"/>
      <c r="U71" s="198"/>
    </row>
    <row r="72" spans="1:21" s="12" customFormat="1" x14ac:dyDescent="0.25">
      <c r="A72" s="214" t="s">
        <v>2038</v>
      </c>
      <c r="B72" s="64">
        <v>4.24</v>
      </c>
      <c r="C72" s="64">
        <v>3.18</v>
      </c>
      <c r="D72" s="64">
        <v>7.25</v>
      </c>
      <c r="E72" s="64">
        <v>4.4000000000000004</v>
      </c>
      <c r="F72" s="64">
        <v>3.82</v>
      </c>
      <c r="G72" s="64">
        <v>70.459999999999994</v>
      </c>
      <c r="H72" s="64">
        <v>14.57</v>
      </c>
      <c r="I72" s="64">
        <v>3.69</v>
      </c>
      <c r="J72" s="64">
        <v>0.87</v>
      </c>
      <c r="K72" s="64">
        <v>108.91</v>
      </c>
      <c r="L72" s="64">
        <v>29.34</v>
      </c>
      <c r="M72" s="64">
        <v>67.44</v>
      </c>
      <c r="N72" s="64">
        <v>132.9</v>
      </c>
      <c r="O72" s="64">
        <v>0</v>
      </c>
      <c r="P72" s="64">
        <v>0.48</v>
      </c>
      <c r="Q72" s="64">
        <v>9.7200000000000006</v>
      </c>
      <c r="R72" s="198"/>
      <c r="S72" s="198"/>
      <c r="T72" s="198"/>
      <c r="U72" s="198"/>
    </row>
    <row r="73" spans="1:21" s="12" customFormat="1" x14ac:dyDescent="0.25">
      <c r="A73" s="214" t="s">
        <v>2039</v>
      </c>
      <c r="B73" s="64">
        <v>4.26</v>
      </c>
      <c r="C73" s="64">
        <v>3.21</v>
      </c>
      <c r="D73" s="64">
        <v>7.28</v>
      </c>
      <c r="E73" s="64">
        <v>3.93</v>
      </c>
      <c r="F73" s="64">
        <v>4.3</v>
      </c>
      <c r="G73" s="64">
        <v>70.489999999999995</v>
      </c>
      <c r="H73" s="64">
        <v>15.26</v>
      </c>
      <c r="I73" s="64">
        <v>2.77</v>
      </c>
      <c r="J73" s="64">
        <v>1.04</v>
      </c>
      <c r="K73" s="64">
        <v>123.46</v>
      </c>
      <c r="L73" s="64">
        <v>29.26</v>
      </c>
      <c r="M73" s="64">
        <v>66.06</v>
      </c>
      <c r="N73" s="64">
        <v>119.6</v>
      </c>
      <c r="O73" s="64">
        <v>0</v>
      </c>
      <c r="P73" s="64">
        <v>0.47</v>
      </c>
      <c r="Q73" s="64">
        <v>9.68</v>
      </c>
      <c r="R73" s="198"/>
      <c r="S73" s="198"/>
      <c r="T73" s="198"/>
      <c r="U73" s="198"/>
    </row>
    <row r="74" spans="1:21" s="12" customFormat="1" x14ac:dyDescent="0.25">
      <c r="A74" s="214" t="s">
        <v>2040</v>
      </c>
      <c r="B74" s="64">
        <v>4.26</v>
      </c>
      <c r="C74" s="64">
        <v>3.18</v>
      </c>
      <c r="D74" s="64">
        <v>7.27</v>
      </c>
      <c r="E74" s="64">
        <v>3.78</v>
      </c>
      <c r="F74" s="64">
        <v>6.08</v>
      </c>
      <c r="G74" s="64">
        <v>70.73</v>
      </c>
      <c r="H74" s="64">
        <v>19.68</v>
      </c>
      <c r="I74" s="64">
        <v>1.43</v>
      </c>
      <c r="J74" s="64">
        <v>0.56999999999999995</v>
      </c>
      <c r="K74" s="64">
        <v>113.88</v>
      </c>
      <c r="L74" s="64">
        <v>29.18</v>
      </c>
      <c r="M74" s="64">
        <v>68</v>
      </c>
      <c r="N74" s="64">
        <v>109.2</v>
      </c>
      <c r="O74" s="64">
        <v>0</v>
      </c>
      <c r="P74" s="64">
        <v>0.47</v>
      </c>
      <c r="Q74" s="64">
        <v>9.69</v>
      </c>
      <c r="R74" s="198"/>
      <c r="S74" s="198"/>
      <c r="T74" s="198"/>
      <c r="U74" s="198"/>
    </row>
    <row r="75" spans="1:21" s="12" customFormat="1" x14ac:dyDescent="0.25">
      <c r="A75" s="214" t="s">
        <v>2041</v>
      </c>
      <c r="B75" s="64">
        <v>4.2699999999999996</v>
      </c>
      <c r="C75" s="64">
        <v>3.18</v>
      </c>
      <c r="D75" s="64">
        <v>7.28</v>
      </c>
      <c r="E75" s="64">
        <v>4.04</v>
      </c>
      <c r="F75" s="64">
        <v>4.63</v>
      </c>
      <c r="G75" s="64">
        <v>70.73</v>
      </c>
      <c r="H75" s="64">
        <v>19.68</v>
      </c>
      <c r="I75" s="64">
        <v>1.5</v>
      </c>
      <c r="J75" s="64">
        <v>1.01</v>
      </c>
      <c r="K75" s="64">
        <v>113.93</v>
      </c>
      <c r="L75" s="64">
        <v>29.07</v>
      </c>
      <c r="M75" s="64">
        <v>67.05</v>
      </c>
      <c r="N75" s="64">
        <v>107.5</v>
      </c>
      <c r="O75" s="64">
        <v>0</v>
      </c>
      <c r="P75" s="64">
        <v>0.46</v>
      </c>
      <c r="Q75" s="64">
        <v>9.69</v>
      </c>
      <c r="R75" s="198"/>
      <c r="S75" s="198"/>
      <c r="T75" s="198"/>
      <c r="U75" s="198"/>
    </row>
    <row r="76" spans="1:21" s="12" customFormat="1" x14ac:dyDescent="0.25">
      <c r="A76" s="214" t="s">
        <v>2042</v>
      </c>
      <c r="B76" s="64">
        <v>4.2699999999999996</v>
      </c>
      <c r="C76" s="64">
        <v>3.15</v>
      </c>
      <c r="D76" s="64">
        <v>7.26</v>
      </c>
      <c r="E76" s="64">
        <v>4.01</v>
      </c>
      <c r="F76" s="64">
        <v>4.0599999999999996</v>
      </c>
      <c r="G76" s="64">
        <v>70.73</v>
      </c>
      <c r="H76" s="64">
        <v>19.68</v>
      </c>
      <c r="I76" s="64">
        <v>1.45</v>
      </c>
      <c r="J76" s="64">
        <v>0.99</v>
      </c>
      <c r="K76" s="64">
        <v>122.35</v>
      </c>
      <c r="L76" s="64">
        <v>28.81</v>
      </c>
      <c r="M76" s="64">
        <v>69.459999999999994</v>
      </c>
      <c r="N76" s="64">
        <v>106</v>
      </c>
      <c r="O76" s="64">
        <v>0</v>
      </c>
      <c r="P76" s="64">
        <v>0.5</v>
      </c>
      <c r="Q76" s="64">
        <v>9.6999999999999993</v>
      </c>
      <c r="R76" s="198"/>
      <c r="S76" s="198"/>
      <c r="T76" s="198"/>
      <c r="U76" s="198"/>
    </row>
    <row r="77" spans="1:21" s="12" customFormat="1" x14ac:dyDescent="0.25">
      <c r="A77" s="214" t="s">
        <v>2043</v>
      </c>
      <c r="B77" s="64">
        <v>4.2699999999999996</v>
      </c>
      <c r="C77" s="64">
        <v>3.19</v>
      </c>
      <c r="D77" s="64">
        <v>7.28</v>
      </c>
      <c r="E77" s="64">
        <v>4.18</v>
      </c>
      <c r="F77" s="64">
        <v>6.39</v>
      </c>
      <c r="G77" s="64">
        <v>69.010000000000005</v>
      </c>
      <c r="H77" s="64">
        <v>20.02</v>
      </c>
      <c r="I77" s="64">
        <v>2.4700000000000002</v>
      </c>
      <c r="J77" s="64">
        <v>0.21</v>
      </c>
      <c r="K77" s="64">
        <v>153.38</v>
      </c>
      <c r="L77" s="64">
        <v>28.43</v>
      </c>
      <c r="M77" s="64">
        <v>73.86</v>
      </c>
      <c r="N77" s="64">
        <v>90</v>
      </c>
      <c r="O77" s="64">
        <v>0</v>
      </c>
      <c r="P77" s="64">
        <v>0.45</v>
      </c>
      <c r="Q77" s="64">
        <v>9.69</v>
      </c>
      <c r="R77" s="198"/>
      <c r="S77" s="198"/>
      <c r="T77" s="198"/>
      <c r="U77" s="198"/>
    </row>
    <row r="78" spans="1:21" s="12" customFormat="1" x14ac:dyDescent="0.25">
      <c r="A78" s="214" t="s">
        <v>2044</v>
      </c>
      <c r="B78" s="64">
        <v>4.28</v>
      </c>
      <c r="C78" s="64">
        <v>3.16</v>
      </c>
      <c r="D78" s="64">
        <v>7.27</v>
      </c>
      <c r="E78" s="64">
        <v>4.0599999999999996</v>
      </c>
      <c r="F78" s="64">
        <v>4.18</v>
      </c>
      <c r="G78" s="64">
        <v>55.26</v>
      </c>
      <c r="H78" s="64">
        <v>22.16</v>
      </c>
      <c r="I78" s="64">
        <v>2.46</v>
      </c>
      <c r="J78" s="64">
        <v>0.48</v>
      </c>
      <c r="K78" s="64">
        <v>341.79</v>
      </c>
      <c r="L78" s="64">
        <v>28.28</v>
      </c>
      <c r="M78" s="64">
        <v>78.23</v>
      </c>
      <c r="N78" s="64">
        <v>66.900000000000006</v>
      </c>
      <c r="O78" s="64">
        <v>0</v>
      </c>
      <c r="P78" s="64">
        <v>0.71</v>
      </c>
      <c r="Q78" s="64">
        <v>9.6999999999999993</v>
      </c>
      <c r="R78" s="198"/>
      <c r="S78" s="198"/>
      <c r="T78" s="198"/>
      <c r="U78" s="198"/>
    </row>
    <row r="79" spans="1:21" s="12" customFormat="1" x14ac:dyDescent="0.25">
      <c r="A79" s="214" t="s">
        <v>2045</v>
      </c>
      <c r="B79" s="64">
        <v>4.2699999999999996</v>
      </c>
      <c r="C79" s="64">
        <v>3.21</v>
      </c>
      <c r="D79" s="64">
        <v>7.29</v>
      </c>
      <c r="E79" s="64">
        <v>3.81</v>
      </c>
      <c r="F79" s="64">
        <v>4.29</v>
      </c>
      <c r="G79" s="64">
        <v>55.26</v>
      </c>
      <c r="H79" s="64">
        <v>22.16</v>
      </c>
      <c r="I79" s="64">
        <v>2.11</v>
      </c>
      <c r="J79" s="64">
        <v>0.59</v>
      </c>
      <c r="K79" s="64">
        <v>359.88</v>
      </c>
      <c r="L79" s="64">
        <v>27.93</v>
      </c>
      <c r="M79" s="64">
        <v>80.540000000000006</v>
      </c>
      <c r="N79" s="64">
        <v>47.9</v>
      </c>
      <c r="O79" s="64">
        <v>0</v>
      </c>
      <c r="P79" s="64">
        <v>0.62</v>
      </c>
      <c r="Q79" s="64">
        <v>9.7100000000000009</v>
      </c>
      <c r="R79" s="198"/>
      <c r="S79" s="198"/>
      <c r="T79" s="198"/>
      <c r="U79" s="198"/>
    </row>
    <row r="80" spans="1:21" s="12" customFormat="1" x14ac:dyDescent="0.25">
      <c r="A80" s="214" t="s">
        <v>2046</v>
      </c>
      <c r="B80" s="64">
        <v>4.2699999999999996</v>
      </c>
      <c r="C80" s="64">
        <v>3.22</v>
      </c>
      <c r="D80" s="64">
        <v>7.3</v>
      </c>
      <c r="E80" s="64">
        <v>4.07</v>
      </c>
      <c r="F80" s="64">
        <v>4.45</v>
      </c>
      <c r="G80" s="64">
        <v>55.26</v>
      </c>
      <c r="H80" s="64">
        <v>22.16</v>
      </c>
      <c r="I80" s="64">
        <v>2.42</v>
      </c>
      <c r="J80" s="64">
        <v>0.48</v>
      </c>
      <c r="K80" s="64">
        <v>331.13</v>
      </c>
      <c r="L80" s="64">
        <v>27.46</v>
      </c>
      <c r="M80" s="64">
        <v>85.79</v>
      </c>
      <c r="N80" s="64">
        <v>33.700000000000003</v>
      </c>
      <c r="O80" s="64">
        <v>0</v>
      </c>
      <c r="P80" s="64">
        <v>0.66</v>
      </c>
      <c r="Q80" s="64">
        <v>9.77</v>
      </c>
      <c r="R80" s="198"/>
      <c r="S80" s="198"/>
      <c r="T80" s="198"/>
      <c r="U80" s="198"/>
    </row>
    <row r="81" spans="1:26" s="12" customFormat="1" x14ac:dyDescent="0.25">
      <c r="A81" s="214" t="s">
        <v>2047</v>
      </c>
      <c r="B81" s="64">
        <v>4.22</v>
      </c>
      <c r="C81" s="64">
        <v>3.23</v>
      </c>
      <c r="D81" s="64">
        <v>7.26</v>
      </c>
      <c r="E81" s="64">
        <v>3.92</v>
      </c>
      <c r="F81" s="64">
        <v>3.31</v>
      </c>
      <c r="G81" s="64">
        <v>59.51</v>
      </c>
      <c r="H81" s="64">
        <v>19.420000000000002</v>
      </c>
      <c r="I81" s="64">
        <v>3.15</v>
      </c>
      <c r="J81" s="64">
        <v>0.09</v>
      </c>
      <c r="K81" s="64">
        <v>240.62</v>
      </c>
      <c r="L81" s="64">
        <v>27.14</v>
      </c>
      <c r="M81" s="64">
        <v>86.48</v>
      </c>
      <c r="N81" s="64">
        <v>28.2</v>
      </c>
      <c r="O81" s="64">
        <v>0</v>
      </c>
      <c r="P81" s="64">
        <v>0.88</v>
      </c>
      <c r="Q81" s="64">
        <v>9.76</v>
      </c>
      <c r="R81" s="198"/>
      <c r="S81" s="198"/>
      <c r="T81" s="198"/>
      <c r="U81" s="198"/>
    </row>
    <row r="82" spans="1:26" s="12" customFormat="1" x14ac:dyDescent="0.25">
      <c r="A82" s="214" t="s">
        <v>2048</v>
      </c>
      <c r="B82" s="64">
        <v>4.25</v>
      </c>
      <c r="C82" s="64">
        <v>3.27</v>
      </c>
      <c r="D82" s="64">
        <v>7.3</v>
      </c>
      <c r="E82" s="64">
        <v>3.93</v>
      </c>
      <c r="F82" s="64">
        <v>3.6</v>
      </c>
      <c r="G82" s="64">
        <v>93.54</v>
      </c>
      <c r="H82" s="64">
        <v>1.77</v>
      </c>
      <c r="I82" s="64">
        <v>4.59</v>
      </c>
      <c r="J82" s="64">
        <v>0.24</v>
      </c>
      <c r="K82" s="64">
        <v>280.85000000000002</v>
      </c>
      <c r="L82" s="64">
        <v>27.07</v>
      </c>
      <c r="M82" s="64">
        <v>87.33</v>
      </c>
      <c r="N82" s="64">
        <v>26.5</v>
      </c>
      <c r="O82" s="64">
        <v>0</v>
      </c>
      <c r="P82" s="64">
        <v>1.01</v>
      </c>
      <c r="Q82" s="64">
        <v>9.7799999999999994</v>
      </c>
      <c r="R82" s="198"/>
      <c r="S82" s="198"/>
      <c r="T82" s="198"/>
      <c r="U82" s="198"/>
    </row>
    <row r="83" spans="1:26" s="12" customFormat="1" x14ac:dyDescent="0.25">
      <c r="A83" s="214" t="s">
        <v>2049</v>
      </c>
      <c r="B83" s="64">
        <v>4.2699999999999996</v>
      </c>
      <c r="C83" s="64">
        <v>3.25</v>
      </c>
      <c r="D83" s="64">
        <v>7.31</v>
      </c>
      <c r="E83" s="64">
        <v>3.67</v>
      </c>
      <c r="F83" s="64">
        <v>4.01</v>
      </c>
      <c r="G83" s="64">
        <v>93.54</v>
      </c>
      <c r="H83" s="64">
        <v>1.77</v>
      </c>
      <c r="I83" s="64">
        <v>4.0199999999999996</v>
      </c>
      <c r="J83" s="64">
        <v>0.26</v>
      </c>
      <c r="K83" s="64">
        <v>281.86</v>
      </c>
      <c r="L83" s="64">
        <v>26.71</v>
      </c>
      <c r="M83" s="64">
        <v>90.98</v>
      </c>
      <c r="N83" s="64">
        <v>26.3</v>
      </c>
      <c r="O83" s="64">
        <v>0</v>
      </c>
      <c r="P83" s="64">
        <v>1.03</v>
      </c>
      <c r="Q83" s="64">
        <v>9.83</v>
      </c>
      <c r="R83" s="198"/>
      <c r="S83" s="198"/>
      <c r="T83" s="198"/>
      <c r="U83" s="198"/>
    </row>
    <row r="84" spans="1:26" s="12" customFormat="1" x14ac:dyDescent="0.25">
      <c r="A84" s="214" t="s">
        <v>2050</v>
      </c>
      <c r="B84" s="64">
        <v>4.24</v>
      </c>
      <c r="C84" s="64">
        <v>3.2</v>
      </c>
      <c r="D84" s="64">
        <v>7.27</v>
      </c>
      <c r="E84" s="64">
        <v>3.78</v>
      </c>
      <c r="F84" s="64">
        <v>3.59</v>
      </c>
      <c r="G84" s="64">
        <v>93.54</v>
      </c>
      <c r="H84" s="64">
        <v>1.77</v>
      </c>
      <c r="I84" s="64">
        <v>3.42</v>
      </c>
      <c r="J84" s="64">
        <v>0.4</v>
      </c>
      <c r="K84" s="64">
        <v>287.25</v>
      </c>
      <c r="L84" s="64">
        <v>26.53</v>
      </c>
      <c r="M84" s="64">
        <v>88.76</v>
      </c>
      <c r="N84" s="64">
        <v>26.2</v>
      </c>
      <c r="O84" s="64">
        <v>0</v>
      </c>
      <c r="P84" s="64">
        <v>1.01</v>
      </c>
      <c r="Q84" s="64">
        <v>9.8699999999999992</v>
      </c>
      <c r="R84" s="198"/>
      <c r="S84" s="198"/>
      <c r="T84" s="198"/>
      <c r="U84" s="198"/>
    </row>
    <row r="85" spans="1:26" s="12" customFormat="1" x14ac:dyDescent="0.25">
      <c r="A85" s="214" t="s">
        <v>2051</v>
      </c>
      <c r="B85" s="64">
        <v>4.26</v>
      </c>
      <c r="C85" s="64">
        <v>3.23</v>
      </c>
      <c r="D85" s="64">
        <v>7.3</v>
      </c>
      <c r="E85" s="64">
        <v>4.0599999999999996</v>
      </c>
      <c r="F85" s="64">
        <v>3.47</v>
      </c>
      <c r="G85" s="64">
        <v>93.78</v>
      </c>
      <c r="H85" s="64">
        <v>6.9</v>
      </c>
      <c r="I85" s="64">
        <v>3.69</v>
      </c>
      <c r="J85" s="64">
        <v>0.37</v>
      </c>
      <c r="K85" s="64">
        <v>187.04</v>
      </c>
      <c r="L85" s="64">
        <v>26.46</v>
      </c>
      <c r="M85" s="64">
        <v>87.78</v>
      </c>
      <c r="N85" s="64">
        <v>26</v>
      </c>
      <c r="O85" s="64">
        <v>0</v>
      </c>
      <c r="P85" s="64">
        <v>0.86</v>
      </c>
      <c r="Q85" s="64">
        <v>9.85</v>
      </c>
      <c r="R85" s="198"/>
      <c r="S85" s="198"/>
      <c r="T85" s="198"/>
      <c r="U85" s="198"/>
    </row>
    <row r="86" spans="1:26" s="12" customFormat="1" x14ac:dyDescent="0.25">
      <c r="A86" s="214" t="s">
        <v>2052</v>
      </c>
      <c r="B86" s="64">
        <v>4.2699999999999996</v>
      </c>
      <c r="C86" s="64">
        <v>3.24</v>
      </c>
      <c r="D86" s="64">
        <v>7.3</v>
      </c>
      <c r="E86" s="64">
        <v>4.2</v>
      </c>
      <c r="F86" s="64">
        <v>4.28</v>
      </c>
      <c r="G86" s="64">
        <v>95.72</v>
      </c>
      <c r="H86" s="64">
        <v>39.94</v>
      </c>
      <c r="I86" s="64">
        <v>4.09</v>
      </c>
      <c r="J86" s="64">
        <v>0.17</v>
      </c>
      <c r="K86" s="64">
        <v>278.47000000000003</v>
      </c>
      <c r="L86" s="64">
        <v>26.58</v>
      </c>
      <c r="M86" s="64">
        <v>92.32</v>
      </c>
      <c r="N86" s="64">
        <v>26.1</v>
      </c>
      <c r="O86" s="64">
        <v>0</v>
      </c>
      <c r="P86" s="64">
        <v>0.79</v>
      </c>
      <c r="Q86" s="64">
        <v>9.8699999999999992</v>
      </c>
      <c r="R86" s="198"/>
      <c r="S86" s="198"/>
      <c r="T86" s="198"/>
      <c r="U86" s="198"/>
    </row>
    <row r="87" spans="1:26" s="12" customFormat="1" x14ac:dyDescent="0.25">
      <c r="A87" s="214" t="s">
        <v>2053</v>
      </c>
      <c r="B87" s="64">
        <v>4.26</v>
      </c>
      <c r="C87" s="64">
        <v>3.24</v>
      </c>
      <c r="D87" s="64">
        <v>7.3</v>
      </c>
      <c r="E87" s="64">
        <v>3.88</v>
      </c>
      <c r="F87" s="64">
        <v>2.92</v>
      </c>
      <c r="G87" s="64">
        <v>95.72</v>
      </c>
      <c r="H87" s="64">
        <v>39.94</v>
      </c>
      <c r="I87" s="64">
        <v>4.0999999999999996</v>
      </c>
      <c r="J87" s="64">
        <v>0.26</v>
      </c>
      <c r="K87" s="64">
        <v>306.52999999999997</v>
      </c>
      <c r="L87" s="64">
        <v>26.34</v>
      </c>
      <c r="M87" s="64">
        <v>94.96</v>
      </c>
      <c r="N87" s="64">
        <v>26.1</v>
      </c>
      <c r="O87" s="64">
        <v>0</v>
      </c>
      <c r="P87" s="64">
        <v>1.28</v>
      </c>
      <c r="Q87" s="64">
        <v>9.85</v>
      </c>
      <c r="R87" s="198"/>
      <c r="S87" s="198"/>
      <c r="T87" s="198"/>
      <c r="U87" s="198"/>
    </row>
    <row r="88" spans="1:26" s="12" customFormat="1" x14ac:dyDescent="0.25">
      <c r="A88" s="214" t="s">
        <v>2054</v>
      </c>
      <c r="B88" s="64">
        <v>4.2699999999999996</v>
      </c>
      <c r="C88" s="64">
        <v>3.27</v>
      </c>
      <c r="D88" s="64">
        <v>7.33</v>
      </c>
      <c r="E88" s="64">
        <v>4.26</v>
      </c>
      <c r="F88" s="64">
        <v>3.2</v>
      </c>
      <c r="G88" s="64">
        <v>95.72</v>
      </c>
      <c r="H88" s="64">
        <v>39.94</v>
      </c>
      <c r="I88" s="64">
        <v>4.26</v>
      </c>
      <c r="J88" s="64">
        <v>0.43</v>
      </c>
      <c r="K88" s="64">
        <v>176.92</v>
      </c>
      <c r="L88" s="64">
        <v>26.13</v>
      </c>
      <c r="M88" s="64">
        <v>97.92</v>
      </c>
      <c r="N88" s="64">
        <v>26</v>
      </c>
      <c r="O88" s="64">
        <v>0</v>
      </c>
      <c r="P88" s="64">
        <v>0.85</v>
      </c>
      <c r="Q88" s="64">
        <v>9.82</v>
      </c>
      <c r="R88" s="198"/>
      <c r="S88" s="198"/>
      <c r="T88" s="198"/>
      <c r="U88" s="198"/>
    </row>
    <row r="89" spans="1:26" s="12" customFormat="1" x14ac:dyDescent="0.25">
      <c r="A89" s="214" t="s">
        <v>2055</v>
      </c>
      <c r="B89" s="64">
        <v>4.29</v>
      </c>
      <c r="C89" s="64">
        <v>3.26</v>
      </c>
      <c r="D89" s="64">
        <v>7.34</v>
      </c>
      <c r="E89" s="64">
        <v>3.47</v>
      </c>
      <c r="F89" s="64">
        <v>4.3600000000000003</v>
      </c>
      <c r="G89" s="64">
        <v>96.68</v>
      </c>
      <c r="H89" s="64">
        <v>36.74</v>
      </c>
      <c r="I89" s="64">
        <v>4.57</v>
      </c>
      <c r="J89" s="64">
        <v>0.25</v>
      </c>
      <c r="K89" s="64">
        <v>257.37</v>
      </c>
      <c r="L89" s="64">
        <v>26.08</v>
      </c>
      <c r="M89" s="64">
        <v>98.1</v>
      </c>
      <c r="N89" s="64">
        <v>26.1</v>
      </c>
      <c r="O89" s="64">
        <v>0</v>
      </c>
      <c r="P89" s="64">
        <v>0.9</v>
      </c>
      <c r="Q89" s="64">
        <v>9.84</v>
      </c>
      <c r="R89" s="198"/>
      <c r="S89" s="198"/>
      <c r="T89" s="198"/>
      <c r="U89" s="198"/>
    </row>
    <row r="90" spans="1:26" s="12" customFormat="1" x14ac:dyDescent="0.25">
      <c r="A90" s="214" t="s">
        <v>2056</v>
      </c>
      <c r="B90" s="64">
        <v>4.28</v>
      </c>
      <c r="C90" s="64">
        <v>3.21</v>
      </c>
      <c r="D90" s="64">
        <v>7.3</v>
      </c>
      <c r="E90" s="64">
        <v>3.54</v>
      </c>
      <c r="F90" s="64">
        <v>4.49</v>
      </c>
      <c r="G90" s="64">
        <v>104.41</v>
      </c>
      <c r="H90" s="64">
        <v>16.13</v>
      </c>
      <c r="I90" s="64">
        <v>3.69</v>
      </c>
      <c r="J90" s="64">
        <v>0.28999999999999998</v>
      </c>
      <c r="K90" s="64">
        <v>274.43</v>
      </c>
      <c r="L90" s="64">
        <v>25.87</v>
      </c>
      <c r="M90" s="64">
        <v>97.83</v>
      </c>
      <c r="N90" s="64">
        <v>26.1</v>
      </c>
      <c r="O90" s="64">
        <v>0</v>
      </c>
      <c r="P90" s="64">
        <v>0.86</v>
      </c>
      <c r="Q90" s="64">
        <v>9.82</v>
      </c>
      <c r="R90" s="198"/>
      <c r="S90" s="198"/>
      <c r="T90" s="198"/>
      <c r="U90" s="198"/>
    </row>
    <row r="91" spans="1:26" s="12" customFormat="1" x14ac:dyDescent="0.25">
      <c r="A91" s="214" t="s">
        <v>2057</v>
      </c>
      <c r="B91" s="64">
        <v>4.29</v>
      </c>
      <c r="C91" s="64">
        <v>3.17</v>
      </c>
      <c r="D91" s="64">
        <v>7.29</v>
      </c>
      <c r="E91" s="64">
        <v>3.23</v>
      </c>
      <c r="F91" s="64">
        <v>4.4400000000000004</v>
      </c>
      <c r="G91" s="64">
        <v>104.41</v>
      </c>
      <c r="H91" s="64">
        <v>16.13</v>
      </c>
      <c r="I91" s="64">
        <v>2.94</v>
      </c>
      <c r="J91" s="64">
        <v>0.38</v>
      </c>
      <c r="K91" s="64">
        <v>229.55</v>
      </c>
      <c r="L91" s="64">
        <v>25.95</v>
      </c>
      <c r="M91" s="64">
        <v>95.88</v>
      </c>
      <c r="N91" s="64">
        <v>25.8</v>
      </c>
      <c r="O91" s="64">
        <v>0</v>
      </c>
      <c r="P91" s="64">
        <v>0.8</v>
      </c>
      <c r="Q91" s="64">
        <v>9.82</v>
      </c>
      <c r="R91" s="198"/>
      <c r="S91" s="198"/>
      <c r="T91" s="198"/>
      <c r="U91" s="198"/>
    </row>
    <row r="92" spans="1:26" s="12" customFormat="1" x14ac:dyDescent="0.25">
      <c r="A92" s="214" t="s">
        <v>2058</v>
      </c>
      <c r="B92" s="64">
        <v>4.29</v>
      </c>
      <c r="C92" s="64">
        <v>3.15</v>
      </c>
      <c r="D92" s="64">
        <v>7.28</v>
      </c>
      <c r="E92" s="64">
        <v>3.63</v>
      </c>
      <c r="F92" s="64">
        <v>4.24</v>
      </c>
      <c r="G92" s="64">
        <v>104.41</v>
      </c>
      <c r="H92" s="64">
        <v>16.13</v>
      </c>
      <c r="I92" s="64">
        <v>2.87</v>
      </c>
      <c r="J92" s="64">
        <v>0.37</v>
      </c>
      <c r="K92" s="64">
        <v>192.88</v>
      </c>
      <c r="L92" s="64">
        <v>25.93</v>
      </c>
      <c r="M92" s="64">
        <v>95.37</v>
      </c>
      <c r="N92" s="64">
        <v>25.7</v>
      </c>
      <c r="O92" s="64">
        <v>0</v>
      </c>
      <c r="P92" s="64">
        <v>0.73</v>
      </c>
      <c r="Q92" s="64">
        <v>9.81</v>
      </c>
      <c r="R92" s="198"/>
      <c r="S92" s="198"/>
      <c r="T92" s="198"/>
      <c r="U92" s="198"/>
    </row>
    <row r="93" spans="1:26" s="12" customFormat="1" x14ac:dyDescent="0.25">
      <c r="A93" s="214" t="s">
        <v>2059</v>
      </c>
      <c r="B93" s="64">
        <v>4.29</v>
      </c>
      <c r="C93" s="64">
        <v>3.13</v>
      </c>
      <c r="D93" s="64">
        <v>7.27</v>
      </c>
      <c r="E93" s="64">
        <v>3.66</v>
      </c>
      <c r="F93" s="64">
        <v>4.2</v>
      </c>
      <c r="G93" s="64">
        <v>103.81</v>
      </c>
      <c r="H93" s="64">
        <v>17.05</v>
      </c>
      <c r="I93" s="64">
        <v>2.66</v>
      </c>
      <c r="J93" s="64">
        <v>0.22</v>
      </c>
      <c r="K93" s="64">
        <v>249.87</v>
      </c>
      <c r="L93" s="64">
        <v>25.8</v>
      </c>
      <c r="M93" s="64">
        <v>97.38</v>
      </c>
      <c r="N93" s="64">
        <v>26</v>
      </c>
      <c r="O93" s="64">
        <v>0</v>
      </c>
      <c r="P93" s="64">
        <v>0.71</v>
      </c>
      <c r="Q93" s="64">
        <v>9.8000000000000007</v>
      </c>
      <c r="R93" s="198"/>
      <c r="S93" s="198"/>
      <c r="T93" s="198"/>
      <c r="U93" s="198"/>
    </row>
    <row r="94" spans="1:26" s="12" customFormat="1" x14ac:dyDescent="0.25">
      <c r="A94" s="214" t="s">
        <v>2060</v>
      </c>
      <c r="B94" s="64">
        <v>4.3</v>
      </c>
      <c r="C94" s="64">
        <v>3.12</v>
      </c>
      <c r="D94" s="64">
        <v>7.26</v>
      </c>
      <c r="E94" s="64">
        <v>3.53</v>
      </c>
      <c r="F94" s="64">
        <v>3.95</v>
      </c>
      <c r="G94" s="64">
        <v>98.99</v>
      </c>
      <c r="H94" s="64">
        <v>23</v>
      </c>
      <c r="I94" s="64">
        <v>2.29</v>
      </c>
      <c r="J94" s="64">
        <v>0.17</v>
      </c>
      <c r="K94" s="64">
        <v>189.41</v>
      </c>
      <c r="L94" s="64">
        <v>25.65</v>
      </c>
      <c r="M94" s="64">
        <v>98.88</v>
      </c>
      <c r="N94" s="64">
        <v>26</v>
      </c>
      <c r="O94" s="64">
        <v>0</v>
      </c>
      <c r="P94" s="64">
        <v>0.66</v>
      </c>
      <c r="Q94" s="64">
        <v>9.81</v>
      </c>
      <c r="R94" s="198"/>
      <c r="S94" s="198"/>
      <c r="T94" s="198"/>
      <c r="U94" s="198"/>
    </row>
    <row r="95" spans="1:26" s="12" customFormat="1" x14ac:dyDescent="0.25">
      <c r="A95" s="214" t="s">
        <v>2061</v>
      </c>
      <c r="B95" s="64">
        <v>4.28</v>
      </c>
      <c r="C95" s="64">
        <v>3.15</v>
      </c>
      <c r="D95" s="64">
        <v>7.27</v>
      </c>
      <c r="E95" s="64">
        <v>3.02</v>
      </c>
      <c r="F95" s="64">
        <v>4.32</v>
      </c>
      <c r="G95" s="64">
        <v>98.99</v>
      </c>
      <c r="H95" s="64">
        <v>23</v>
      </c>
      <c r="I95" s="64">
        <v>2.08</v>
      </c>
      <c r="J95" s="64">
        <v>0.18</v>
      </c>
      <c r="K95" s="64">
        <v>332.61</v>
      </c>
      <c r="L95" s="64">
        <v>25.58</v>
      </c>
      <c r="M95" s="64">
        <v>99.67</v>
      </c>
      <c r="N95" s="64">
        <v>26.1</v>
      </c>
      <c r="O95" s="64">
        <v>0</v>
      </c>
      <c r="P95" s="64">
        <v>0.65</v>
      </c>
      <c r="Q95" s="64">
        <v>9.81</v>
      </c>
      <c r="R95" s="198"/>
      <c r="S95" s="198"/>
      <c r="T95" s="198"/>
      <c r="U95" s="198"/>
    </row>
    <row r="96" spans="1:26" s="12" customFormat="1" x14ac:dyDescent="0.25">
      <c r="A96" s="214" t="s">
        <v>2062</v>
      </c>
      <c r="B96" s="64">
        <v>4.29</v>
      </c>
      <c r="C96" s="64">
        <v>3.18</v>
      </c>
      <c r="D96" s="64">
        <v>7.29</v>
      </c>
      <c r="E96" s="64">
        <v>3.44</v>
      </c>
      <c r="F96" s="64">
        <v>4.4000000000000004</v>
      </c>
      <c r="G96" s="64">
        <v>98.99</v>
      </c>
      <c r="H96" s="64">
        <v>23</v>
      </c>
      <c r="I96" s="64">
        <v>2.08</v>
      </c>
      <c r="J96" s="64">
        <v>0.26</v>
      </c>
      <c r="K96" s="64">
        <v>134.16999999999999</v>
      </c>
      <c r="L96" s="64">
        <v>25.43</v>
      </c>
      <c r="M96" s="64">
        <v>99.8</v>
      </c>
      <c r="N96" s="64">
        <v>26</v>
      </c>
      <c r="O96" s="64">
        <v>0</v>
      </c>
      <c r="P96" s="64">
        <v>0.65</v>
      </c>
      <c r="Q96" s="64">
        <v>9.7799999999999994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2063</v>
      </c>
      <c r="B97" s="64">
        <v>4.25</v>
      </c>
      <c r="C97" s="64">
        <v>3.17</v>
      </c>
      <c r="D97" s="64">
        <v>7.25</v>
      </c>
      <c r="E97" s="64">
        <v>3.58</v>
      </c>
      <c r="F97" s="64">
        <v>5.16</v>
      </c>
      <c r="G97" s="64">
        <v>98.47</v>
      </c>
      <c r="H97" s="64">
        <v>20.65</v>
      </c>
      <c r="I97" s="64">
        <v>2</v>
      </c>
      <c r="J97" s="64">
        <v>0.38</v>
      </c>
      <c r="K97" s="64">
        <v>145.97</v>
      </c>
      <c r="L97" s="64">
        <v>25.25</v>
      </c>
      <c r="M97" s="64">
        <v>101.3</v>
      </c>
      <c r="N97" s="64">
        <v>26</v>
      </c>
      <c r="O97" s="64">
        <v>0</v>
      </c>
      <c r="P97" s="64">
        <v>0.74</v>
      </c>
      <c r="Q97" s="64">
        <v>9.7899999999999991</v>
      </c>
      <c r="R97" s="198"/>
      <c r="S97" s="198"/>
      <c r="T97" s="198"/>
      <c r="U97" s="198"/>
    </row>
    <row r="98" spans="1:33" s="12" customFormat="1" x14ac:dyDescent="0.25">
      <c r="A98" s="214" t="s">
        <v>2064</v>
      </c>
      <c r="B98" s="64">
        <v>4.2300000000000004</v>
      </c>
      <c r="C98" s="64">
        <v>3.16</v>
      </c>
      <c r="D98" s="64">
        <v>7.23</v>
      </c>
      <c r="E98" s="64">
        <v>3.75</v>
      </c>
      <c r="F98" s="64">
        <v>2.75</v>
      </c>
      <c r="G98" s="64">
        <v>94.32</v>
      </c>
      <c r="H98" s="64">
        <v>3.68</v>
      </c>
      <c r="I98" s="64">
        <v>3.26</v>
      </c>
      <c r="J98" s="64">
        <v>0.39</v>
      </c>
      <c r="K98" s="64">
        <v>192.04</v>
      </c>
      <c r="L98" s="64">
        <v>25.19</v>
      </c>
      <c r="M98" s="64">
        <v>101.39</v>
      </c>
      <c r="N98" s="64">
        <v>26.1</v>
      </c>
      <c r="O98" s="64">
        <v>0</v>
      </c>
      <c r="P98" s="64">
        <v>0.64</v>
      </c>
      <c r="Q98" s="64">
        <v>9.67</v>
      </c>
      <c r="R98" s="198"/>
      <c r="S98" s="198"/>
      <c r="T98" s="198"/>
      <c r="U98" s="198"/>
    </row>
    <row r="99" spans="1:33" s="12" customFormat="1" x14ac:dyDescent="0.25">
      <c r="A99" s="214" t="s">
        <v>2065</v>
      </c>
      <c r="B99" s="64">
        <v>4.2300000000000004</v>
      </c>
      <c r="C99" s="64">
        <v>3.18</v>
      </c>
      <c r="D99" s="64">
        <v>7.24</v>
      </c>
      <c r="E99" s="64">
        <v>3.58</v>
      </c>
      <c r="F99" s="64">
        <v>3.19</v>
      </c>
      <c r="G99" s="64">
        <v>94.32</v>
      </c>
      <c r="H99" s="64">
        <v>3.68</v>
      </c>
      <c r="I99" s="64">
        <v>4.18</v>
      </c>
      <c r="J99" s="64">
        <v>0.31</v>
      </c>
      <c r="K99" s="64">
        <v>274.33</v>
      </c>
      <c r="L99" s="64">
        <v>25</v>
      </c>
      <c r="M99" s="64">
        <v>101.75</v>
      </c>
      <c r="N99" s="64">
        <v>26.1</v>
      </c>
      <c r="O99" s="64">
        <v>0</v>
      </c>
      <c r="P99" s="64">
        <v>0.74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4" t="s">
        <v>2066</v>
      </c>
      <c r="B100" s="64">
        <v>4.29</v>
      </c>
      <c r="C100" s="64">
        <v>3.26</v>
      </c>
      <c r="D100" s="64">
        <v>7.34</v>
      </c>
      <c r="E100" s="64">
        <v>3.01</v>
      </c>
      <c r="F100" s="64">
        <v>4.5599999999999996</v>
      </c>
      <c r="G100" s="64">
        <v>94.32</v>
      </c>
      <c r="H100" s="64">
        <v>3.68</v>
      </c>
      <c r="I100" s="64">
        <v>2.86</v>
      </c>
      <c r="J100" s="64">
        <v>0.44</v>
      </c>
      <c r="K100" s="64">
        <v>328.42</v>
      </c>
      <c r="L100" s="64">
        <v>24.79</v>
      </c>
      <c r="M100" s="64">
        <v>101.77</v>
      </c>
      <c r="N100" s="64">
        <v>26.1</v>
      </c>
      <c r="O100" s="64">
        <v>0</v>
      </c>
      <c r="P100" s="64">
        <v>1.01</v>
      </c>
      <c r="Q100" s="64">
        <v>9.75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2067</v>
      </c>
      <c r="B101" s="64">
        <v>4.28</v>
      </c>
      <c r="C101" s="64">
        <v>3.29</v>
      </c>
      <c r="D101" s="64">
        <v>7.34</v>
      </c>
      <c r="E101" s="64">
        <v>3.51</v>
      </c>
      <c r="F101" s="64">
        <v>3.33</v>
      </c>
      <c r="G101" s="64">
        <v>93</v>
      </c>
      <c r="H101" s="64">
        <v>3.27</v>
      </c>
      <c r="I101" s="64">
        <v>2.74</v>
      </c>
      <c r="J101" s="64">
        <v>0.53</v>
      </c>
      <c r="K101" s="64">
        <v>294.41000000000003</v>
      </c>
      <c r="L101" s="64">
        <v>24.61</v>
      </c>
      <c r="M101" s="64">
        <v>101.8</v>
      </c>
      <c r="N101" s="64">
        <v>26.1</v>
      </c>
      <c r="O101" s="64">
        <v>0</v>
      </c>
      <c r="P101" s="64">
        <v>1.1399999999999999</v>
      </c>
      <c r="Q101" s="64">
        <v>9.7799999999999994</v>
      </c>
      <c r="R101" s="198"/>
      <c r="S101" s="198"/>
      <c r="T101" s="198"/>
      <c r="U101" s="198"/>
    </row>
    <row r="102" spans="1:33" s="12" customFormat="1" x14ac:dyDescent="0.25">
      <c r="A102" s="214" t="s">
        <v>2068</v>
      </c>
      <c r="B102" s="64">
        <v>4.28</v>
      </c>
      <c r="C102" s="64">
        <v>3.24</v>
      </c>
      <c r="D102" s="64">
        <v>7.32</v>
      </c>
      <c r="E102" s="64">
        <v>3.65</v>
      </c>
      <c r="F102" s="64">
        <v>2.79</v>
      </c>
      <c r="G102" s="64">
        <v>82.38</v>
      </c>
      <c r="H102" s="64">
        <v>0.66</v>
      </c>
      <c r="I102" s="64">
        <v>4.4800000000000004</v>
      </c>
      <c r="J102" s="64">
        <v>0.42</v>
      </c>
      <c r="K102" s="64">
        <v>283.70999999999998</v>
      </c>
      <c r="L102" s="64">
        <v>24.47</v>
      </c>
      <c r="M102" s="64">
        <v>101.78</v>
      </c>
      <c r="N102" s="64">
        <v>26.1</v>
      </c>
      <c r="O102" s="64">
        <v>0</v>
      </c>
      <c r="P102" s="64">
        <v>0.96</v>
      </c>
      <c r="Q102" s="64">
        <v>9.8000000000000007</v>
      </c>
      <c r="R102" s="198"/>
      <c r="S102" s="198"/>
      <c r="T102" s="198"/>
      <c r="U102" s="198"/>
    </row>
    <row r="103" spans="1:33" s="12" customFormat="1" x14ac:dyDescent="0.25">
      <c r="A103" s="214" t="s">
        <v>2069</v>
      </c>
      <c r="B103" s="64">
        <v>4.26</v>
      </c>
      <c r="C103" s="64">
        <v>3.19</v>
      </c>
      <c r="D103" s="64">
        <v>7.27</v>
      </c>
      <c r="E103" s="64">
        <v>3.4</v>
      </c>
      <c r="F103" s="64">
        <v>4.4000000000000004</v>
      </c>
      <c r="G103" s="64">
        <v>82.38</v>
      </c>
      <c r="H103" s="64">
        <v>0.66</v>
      </c>
      <c r="I103" s="64">
        <v>4.6500000000000004</v>
      </c>
      <c r="J103" s="64">
        <v>0.42</v>
      </c>
      <c r="K103" s="64">
        <v>330.26</v>
      </c>
      <c r="L103" s="64">
        <v>24.32</v>
      </c>
      <c r="M103" s="64">
        <v>101.8</v>
      </c>
      <c r="N103" s="64">
        <v>26.1</v>
      </c>
      <c r="O103" s="64">
        <v>0</v>
      </c>
      <c r="P103" s="64">
        <v>0.76</v>
      </c>
      <c r="Q103" s="64">
        <v>9.86</v>
      </c>
      <c r="R103" s="198"/>
      <c r="S103" s="198"/>
      <c r="T103" s="198"/>
      <c r="U103" s="198"/>
    </row>
    <row r="104" spans="1:33" s="12" customFormat="1" x14ac:dyDescent="0.25">
      <c r="A104" s="214" t="s">
        <v>2070</v>
      </c>
      <c r="B104" s="64">
        <v>4.2300000000000004</v>
      </c>
      <c r="C104" s="64">
        <v>3.13</v>
      </c>
      <c r="D104" s="64">
        <v>7.22</v>
      </c>
      <c r="E104" s="64">
        <v>3.78</v>
      </c>
      <c r="F104" s="64">
        <v>2.41</v>
      </c>
      <c r="G104" s="64">
        <v>82.38</v>
      </c>
      <c r="H104" s="64">
        <v>0.66</v>
      </c>
      <c r="I104" s="64">
        <v>3.51</v>
      </c>
      <c r="J104" s="64">
        <v>0.25</v>
      </c>
      <c r="K104" s="64">
        <v>300.52</v>
      </c>
      <c r="L104" s="64">
        <v>24.35</v>
      </c>
      <c r="M104" s="64">
        <v>101.8</v>
      </c>
      <c r="N104" s="64">
        <v>26.1</v>
      </c>
      <c r="O104" s="64">
        <v>0</v>
      </c>
      <c r="P104" s="64">
        <v>0.66</v>
      </c>
      <c r="Q104" s="64">
        <v>9.8699999999999992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4.18</v>
      </c>
      <c r="C106" s="67">
        <f>MIN(C9:C104)</f>
        <v>3.11</v>
      </c>
      <c r="D106" s="67">
        <f t="shared" ref="D106:Q106" si="0">MIN(D9:D104)</f>
        <v>7.18</v>
      </c>
      <c r="E106" s="67">
        <f t="shared" si="0"/>
        <v>3.01</v>
      </c>
      <c r="F106" s="67">
        <f t="shared" si="0"/>
        <v>2.27</v>
      </c>
      <c r="G106" s="67">
        <f t="shared" si="0"/>
        <v>27.05</v>
      </c>
      <c r="H106" s="67">
        <f t="shared" si="0"/>
        <v>0.66</v>
      </c>
      <c r="I106" s="67">
        <f t="shared" si="0"/>
        <v>0.7</v>
      </c>
      <c r="J106" s="67">
        <f t="shared" si="0"/>
        <v>0.09</v>
      </c>
      <c r="K106" s="67">
        <f t="shared" si="0"/>
        <v>0.12</v>
      </c>
      <c r="L106" s="67">
        <f t="shared" si="0"/>
        <v>22.52</v>
      </c>
      <c r="M106" s="67">
        <f t="shared" si="0"/>
        <v>54.69</v>
      </c>
      <c r="N106" s="67">
        <f t="shared" si="0"/>
        <v>25.7</v>
      </c>
      <c r="O106" s="67">
        <f t="shared" si="0"/>
        <v>0</v>
      </c>
      <c r="P106" s="67">
        <f t="shared" si="0"/>
        <v>0.24</v>
      </c>
      <c r="Q106" s="67">
        <f t="shared" si="0"/>
        <v>9.49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4.3499999999999996</v>
      </c>
      <c r="C107" s="66">
        <f t="shared" ref="C107:Q107" si="1">MAX(C9:C104)</f>
        <v>3.35</v>
      </c>
      <c r="D107" s="66">
        <f t="shared" si="1"/>
        <v>7.4</v>
      </c>
      <c r="E107" s="66">
        <f t="shared" si="1"/>
        <v>134.65</v>
      </c>
      <c r="F107" s="66">
        <f t="shared" si="1"/>
        <v>42.03</v>
      </c>
      <c r="G107" s="66">
        <f t="shared" si="1"/>
        <v>104.41</v>
      </c>
      <c r="H107" s="66">
        <f t="shared" si="1"/>
        <v>39.94</v>
      </c>
      <c r="I107" s="66">
        <f t="shared" si="1"/>
        <v>5.05</v>
      </c>
      <c r="J107" s="66">
        <f t="shared" si="1"/>
        <v>1.04</v>
      </c>
      <c r="K107" s="66">
        <f t="shared" si="1"/>
        <v>359.88</v>
      </c>
      <c r="L107" s="66">
        <f t="shared" si="1"/>
        <v>34.78</v>
      </c>
      <c r="M107" s="66">
        <f t="shared" si="1"/>
        <v>101.83</v>
      </c>
      <c r="N107" s="66">
        <f t="shared" si="1"/>
        <v>798.1</v>
      </c>
      <c r="O107" s="66">
        <f t="shared" si="1"/>
        <v>0</v>
      </c>
      <c r="P107" s="66">
        <f t="shared" si="1"/>
        <v>3.61</v>
      </c>
      <c r="Q107" s="66">
        <f t="shared" si="1"/>
        <v>10.08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4.2657291666666657</v>
      </c>
      <c r="C108" s="67">
        <f t="shared" ref="C108:Q108" si="2">AVERAGE(C9:C104)</f>
        <v>3.1947916666666671</v>
      </c>
      <c r="D108" s="67">
        <f t="shared" si="2"/>
        <v>7.2804166666666612</v>
      </c>
      <c r="E108" s="67">
        <f t="shared" si="2"/>
        <v>6.6718749999999956</v>
      </c>
      <c r="F108" s="67">
        <f t="shared" si="2"/>
        <v>4.9455208333333331</v>
      </c>
      <c r="G108" s="67">
        <f t="shared" si="2"/>
        <v>60.352808988764032</v>
      </c>
      <c r="H108" s="67">
        <f t="shared" si="2"/>
        <v>12.301348314606749</v>
      </c>
      <c r="I108" s="67">
        <f t="shared" si="2"/>
        <v>2.8855208333333331</v>
      </c>
      <c r="J108" s="67">
        <f t="shared" si="2"/>
        <v>0.43697916666666664</v>
      </c>
      <c r="K108" s="67">
        <f t="shared" si="2"/>
        <v>205.26354166666667</v>
      </c>
      <c r="L108" s="67">
        <f t="shared" si="2"/>
        <v>26.974583333333332</v>
      </c>
      <c r="M108" s="67">
        <f t="shared" si="2"/>
        <v>85.163124999999994</v>
      </c>
      <c r="N108" s="67">
        <f t="shared" si="2"/>
        <v>162.45312500000003</v>
      </c>
      <c r="O108" s="67">
        <f t="shared" si="2"/>
        <v>0</v>
      </c>
      <c r="P108" s="67">
        <f t="shared" si="2"/>
        <v>0.61312499999999981</v>
      </c>
      <c r="Q108" s="67">
        <f t="shared" si="2"/>
        <v>9.7881249999999991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3.4663640640534787E-2</v>
      </c>
      <c r="C109" s="67">
        <f t="shared" ref="C109:Q109" si="3">STDEV(C9:C104)</f>
        <v>4.692612708831588E-2</v>
      </c>
      <c r="D109" s="67">
        <f t="shared" si="3"/>
        <v>4.3743671221444368E-2</v>
      </c>
      <c r="E109" s="67">
        <f t="shared" si="3"/>
        <v>15.993163230942743</v>
      </c>
      <c r="F109" s="67">
        <f t="shared" si="3"/>
        <v>5.1513209077185467</v>
      </c>
      <c r="G109" s="67">
        <f t="shared" si="3"/>
        <v>24.999859135456116</v>
      </c>
      <c r="H109" s="67">
        <f t="shared" si="3"/>
        <v>9.9837595613862202</v>
      </c>
      <c r="I109" s="67">
        <f t="shared" si="3"/>
        <v>1.1482433904760478</v>
      </c>
      <c r="J109" s="67">
        <f t="shared" si="3"/>
        <v>0.24200095602971969</v>
      </c>
      <c r="K109" s="67">
        <f t="shared" si="3"/>
        <v>102.63281168145191</v>
      </c>
      <c r="L109" s="67">
        <f t="shared" si="3"/>
        <v>3.3804863918693591</v>
      </c>
      <c r="M109" s="67">
        <f t="shared" si="3"/>
        <v>16.713098318227328</v>
      </c>
      <c r="N109" s="67">
        <f t="shared" si="3"/>
        <v>207.37759557875663</v>
      </c>
      <c r="O109" s="67">
        <f t="shared" si="3"/>
        <v>0</v>
      </c>
      <c r="P109" s="67">
        <f t="shared" si="3"/>
        <v>0.37822942772872681</v>
      </c>
      <c r="Q109" s="67">
        <f t="shared" si="3"/>
        <v>0.12858183959519406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COUNT(G9:G104)+7</f>
        <v>96</v>
      </c>
      <c r="H110" s="66">
        <f>COUNT(H9:H104)+7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2071</v>
      </c>
      <c r="B9" s="64">
        <v>4.25</v>
      </c>
      <c r="C9" s="64">
        <v>3.18</v>
      </c>
      <c r="D9" s="64">
        <v>7.27</v>
      </c>
      <c r="E9" s="64">
        <v>4.97</v>
      </c>
      <c r="F9" s="64">
        <v>3.41</v>
      </c>
      <c r="G9" s="64">
        <v>82.12</v>
      </c>
      <c r="H9" s="64">
        <v>7.38</v>
      </c>
      <c r="I9" s="64">
        <v>3.19</v>
      </c>
      <c r="J9" s="64">
        <v>0.4</v>
      </c>
      <c r="K9" s="64">
        <v>332.8</v>
      </c>
      <c r="L9" s="64">
        <v>24.34</v>
      </c>
      <c r="M9" s="64">
        <v>101.8</v>
      </c>
      <c r="N9" s="64">
        <v>26.1</v>
      </c>
      <c r="O9" s="64">
        <v>0</v>
      </c>
      <c r="P9" s="64">
        <v>0.85</v>
      </c>
      <c r="Q9" s="64">
        <v>9.8800000000000008</v>
      </c>
      <c r="R9" s="198"/>
      <c r="S9" s="198"/>
      <c r="T9" s="198"/>
      <c r="U9" s="198"/>
    </row>
    <row r="10" spans="1:21" s="12" customFormat="1" x14ac:dyDescent="0.25">
      <c r="A10" s="214" t="s">
        <v>2072</v>
      </c>
      <c r="B10" s="64">
        <v>4.2699999999999996</v>
      </c>
      <c r="C10" s="64">
        <v>3.2</v>
      </c>
      <c r="D10" s="64">
        <v>7.29</v>
      </c>
      <c r="E10" s="64">
        <v>4.8</v>
      </c>
      <c r="F10" s="64">
        <v>3.97</v>
      </c>
      <c r="G10" s="64">
        <v>80.09</v>
      </c>
      <c r="H10" s="64">
        <v>50.68</v>
      </c>
      <c r="I10" s="64">
        <v>2.54</v>
      </c>
      <c r="J10" s="64">
        <v>0.37</v>
      </c>
      <c r="K10" s="64">
        <v>0.48</v>
      </c>
      <c r="L10" s="64">
        <v>24.47</v>
      </c>
      <c r="M10" s="64">
        <v>101.79</v>
      </c>
      <c r="N10" s="64">
        <v>26.1</v>
      </c>
      <c r="O10" s="64">
        <v>0</v>
      </c>
      <c r="P10" s="64">
        <v>0.56000000000000005</v>
      </c>
      <c r="Q10" s="64">
        <v>9.86</v>
      </c>
      <c r="R10" s="198"/>
      <c r="S10" s="198"/>
      <c r="T10" s="198"/>
      <c r="U10" s="198"/>
    </row>
    <row r="11" spans="1:21" s="12" customFormat="1" x14ac:dyDescent="0.25">
      <c r="A11" s="214" t="s">
        <v>2073</v>
      </c>
      <c r="B11" s="64">
        <v>4.2699999999999996</v>
      </c>
      <c r="C11" s="64">
        <v>3.16</v>
      </c>
      <c r="D11" s="64">
        <v>7.26</v>
      </c>
      <c r="E11" s="64">
        <v>5.15</v>
      </c>
      <c r="F11" s="64">
        <v>4.17</v>
      </c>
      <c r="G11" s="64">
        <v>80.09</v>
      </c>
      <c r="H11" s="64">
        <v>50.68</v>
      </c>
      <c r="I11" s="64">
        <v>2.19</v>
      </c>
      <c r="J11" s="64">
        <v>0.26</v>
      </c>
      <c r="K11" s="64">
        <v>214.12</v>
      </c>
      <c r="L11" s="64">
        <v>24.4</v>
      </c>
      <c r="M11" s="64">
        <v>101.8</v>
      </c>
      <c r="N11" s="64">
        <v>25.9</v>
      </c>
      <c r="O11" s="64">
        <v>0</v>
      </c>
      <c r="P11" s="64">
        <v>0.57999999999999996</v>
      </c>
      <c r="Q11" s="64">
        <v>9.8800000000000008</v>
      </c>
      <c r="R11" s="198"/>
      <c r="S11" s="198"/>
      <c r="T11" s="198"/>
      <c r="U11" s="198"/>
    </row>
    <row r="12" spans="1:21" s="12" customFormat="1" x14ac:dyDescent="0.25">
      <c r="A12" s="214" t="s">
        <v>2074</v>
      </c>
      <c r="B12" s="64">
        <v>4.3</v>
      </c>
      <c r="C12" s="64">
        <v>3.24</v>
      </c>
      <c r="D12" s="64">
        <v>7.33</v>
      </c>
      <c r="E12" s="64">
        <v>5.15</v>
      </c>
      <c r="F12" s="64">
        <v>3.95</v>
      </c>
      <c r="G12" s="64">
        <v>80.09</v>
      </c>
      <c r="H12" s="64">
        <v>50.68</v>
      </c>
      <c r="I12" s="64">
        <v>1.98</v>
      </c>
      <c r="J12" s="64">
        <v>0.18</v>
      </c>
      <c r="K12" s="64">
        <v>183.73</v>
      </c>
      <c r="L12" s="64">
        <v>24.33</v>
      </c>
      <c r="M12" s="64">
        <v>101.8</v>
      </c>
      <c r="N12" s="64">
        <v>26</v>
      </c>
      <c r="O12" s="64">
        <v>0</v>
      </c>
      <c r="P12" s="64">
        <v>0.54</v>
      </c>
      <c r="Q12" s="64">
        <v>9.86</v>
      </c>
      <c r="R12" s="198"/>
      <c r="S12" s="198"/>
      <c r="T12" s="198"/>
      <c r="U12" s="198"/>
    </row>
    <row r="13" spans="1:21" s="12" customFormat="1" x14ac:dyDescent="0.25">
      <c r="A13" s="214" t="s">
        <v>2075</v>
      </c>
      <c r="B13" s="64">
        <v>4.3</v>
      </c>
      <c r="C13" s="64">
        <v>3.18</v>
      </c>
      <c r="D13" s="64">
        <v>7.29</v>
      </c>
      <c r="E13" s="64">
        <v>4.96</v>
      </c>
      <c r="F13" s="64">
        <v>5.52</v>
      </c>
      <c r="G13" s="64">
        <v>79.11</v>
      </c>
      <c r="H13" s="64">
        <v>48.39</v>
      </c>
      <c r="I13" s="64">
        <v>1.72</v>
      </c>
      <c r="J13" s="64">
        <v>0.38</v>
      </c>
      <c r="K13" s="64">
        <v>276.43</v>
      </c>
      <c r="L13" s="64">
        <v>24.27</v>
      </c>
      <c r="M13" s="64">
        <v>101.83</v>
      </c>
      <c r="N13" s="64">
        <v>26.1</v>
      </c>
      <c r="O13" s="64">
        <v>0</v>
      </c>
      <c r="P13" s="64">
        <v>0.54</v>
      </c>
      <c r="Q13" s="64">
        <v>9.86</v>
      </c>
      <c r="R13" s="198"/>
      <c r="S13" s="198"/>
      <c r="T13" s="198"/>
      <c r="U13" s="198"/>
    </row>
    <row r="14" spans="1:21" s="12" customFormat="1" x14ac:dyDescent="0.25">
      <c r="A14" s="214" t="s">
        <v>2076</v>
      </c>
      <c r="B14" s="64">
        <v>4.28</v>
      </c>
      <c r="C14" s="64">
        <v>3.16</v>
      </c>
      <c r="D14" s="64">
        <v>7.28</v>
      </c>
      <c r="E14" s="64">
        <v>4.75</v>
      </c>
      <c r="F14" s="64">
        <v>3.73</v>
      </c>
      <c r="G14" s="64">
        <v>71.290000000000006</v>
      </c>
      <c r="H14" s="64">
        <v>33.64</v>
      </c>
      <c r="I14" s="64">
        <v>1.75</v>
      </c>
      <c r="J14" s="64">
        <v>0.43</v>
      </c>
      <c r="K14" s="64">
        <v>347.86</v>
      </c>
      <c r="L14" s="64">
        <v>24.26</v>
      </c>
      <c r="M14" s="64">
        <v>101.82</v>
      </c>
      <c r="N14" s="64">
        <v>26</v>
      </c>
      <c r="O14" s="64">
        <v>0</v>
      </c>
      <c r="P14" s="64">
        <v>0.61</v>
      </c>
      <c r="Q14" s="64">
        <v>9.84</v>
      </c>
      <c r="R14" s="198"/>
      <c r="S14" s="198"/>
      <c r="T14" s="198"/>
      <c r="U14" s="198"/>
    </row>
    <row r="15" spans="1:21" s="12" customFormat="1" x14ac:dyDescent="0.25">
      <c r="A15" s="214" t="s">
        <v>2077</v>
      </c>
      <c r="B15" s="64">
        <v>4.28</v>
      </c>
      <c r="C15" s="64">
        <v>3.16</v>
      </c>
      <c r="D15" s="64">
        <v>7.27</v>
      </c>
      <c r="E15" s="64">
        <v>4.8499999999999996</v>
      </c>
      <c r="F15" s="64">
        <v>3.87</v>
      </c>
      <c r="G15" s="64">
        <v>71.290000000000006</v>
      </c>
      <c r="H15" s="64">
        <v>33.64</v>
      </c>
      <c r="I15" s="64">
        <v>1.74</v>
      </c>
      <c r="J15" s="64">
        <v>0.23</v>
      </c>
      <c r="K15" s="64">
        <v>150.5</v>
      </c>
      <c r="L15" s="64">
        <v>24.29</v>
      </c>
      <c r="M15" s="64">
        <v>101.82</v>
      </c>
      <c r="N15" s="64">
        <v>25.8</v>
      </c>
      <c r="O15" s="64">
        <v>0</v>
      </c>
      <c r="P15" s="64">
        <v>0.56000000000000005</v>
      </c>
      <c r="Q15" s="64">
        <v>9.85</v>
      </c>
      <c r="R15" s="198"/>
      <c r="S15" s="198"/>
      <c r="T15" s="198"/>
      <c r="U15" s="198"/>
    </row>
    <row r="16" spans="1:21" s="12" customFormat="1" x14ac:dyDescent="0.25">
      <c r="A16" s="214" t="s">
        <v>2078</v>
      </c>
      <c r="B16" s="64">
        <v>4.2699999999999996</v>
      </c>
      <c r="C16" s="64">
        <v>3.15</v>
      </c>
      <c r="D16" s="64">
        <v>7.26</v>
      </c>
      <c r="E16" s="64">
        <v>5.05</v>
      </c>
      <c r="F16" s="64">
        <v>3.96</v>
      </c>
      <c r="G16" s="64">
        <v>71.290000000000006</v>
      </c>
      <c r="H16" s="64">
        <v>33.64</v>
      </c>
      <c r="I16" s="64">
        <v>1.81</v>
      </c>
      <c r="J16" s="64">
        <v>0.14000000000000001</v>
      </c>
      <c r="K16" s="64">
        <v>260.5</v>
      </c>
      <c r="L16" s="64">
        <v>24.19</v>
      </c>
      <c r="M16" s="64">
        <v>101.83</v>
      </c>
      <c r="N16" s="64">
        <v>26</v>
      </c>
      <c r="O16" s="64">
        <v>0</v>
      </c>
      <c r="P16" s="64">
        <v>0.53</v>
      </c>
      <c r="Q16" s="64">
        <v>9.83</v>
      </c>
      <c r="R16" s="198"/>
      <c r="S16" s="198"/>
      <c r="T16" s="198"/>
      <c r="U16" s="198"/>
    </row>
    <row r="17" spans="1:21" s="12" customFormat="1" x14ac:dyDescent="0.25">
      <c r="A17" s="214" t="s">
        <v>2079</v>
      </c>
      <c r="B17" s="64">
        <v>4.26</v>
      </c>
      <c r="C17" s="64">
        <v>3.12</v>
      </c>
      <c r="D17" s="64">
        <v>7.24</v>
      </c>
      <c r="E17" s="64">
        <v>4.71</v>
      </c>
      <c r="F17" s="64">
        <v>3.91</v>
      </c>
      <c r="G17" s="64">
        <v>70.47</v>
      </c>
      <c r="H17" s="64">
        <v>31.98</v>
      </c>
      <c r="I17" s="64">
        <v>1.74</v>
      </c>
      <c r="J17" s="64">
        <v>0.13</v>
      </c>
      <c r="K17" s="64">
        <v>112.15</v>
      </c>
      <c r="L17" s="64">
        <v>24.08</v>
      </c>
      <c r="M17" s="64">
        <v>101.83</v>
      </c>
      <c r="N17" s="64">
        <v>25.9</v>
      </c>
      <c r="O17" s="64">
        <v>0</v>
      </c>
      <c r="P17" s="64">
        <v>0.54</v>
      </c>
      <c r="Q17" s="64">
        <v>9.83</v>
      </c>
      <c r="R17" s="198"/>
      <c r="S17" s="198"/>
      <c r="T17" s="198"/>
      <c r="U17" s="198"/>
    </row>
    <row r="18" spans="1:21" s="12" customFormat="1" x14ac:dyDescent="0.25">
      <c r="A18" s="214" t="s">
        <v>2080</v>
      </c>
      <c r="B18" s="64">
        <v>4.22</v>
      </c>
      <c r="C18" s="64">
        <v>3.14</v>
      </c>
      <c r="D18" s="64">
        <v>7.22</v>
      </c>
      <c r="E18" s="64">
        <v>5.07</v>
      </c>
      <c r="F18" s="64">
        <v>4.82</v>
      </c>
      <c r="G18" s="64">
        <v>63.88</v>
      </c>
      <c r="H18" s="64">
        <v>21.26</v>
      </c>
      <c r="I18" s="64">
        <v>1.7</v>
      </c>
      <c r="J18" s="64">
        <v>0.45</v>
      </c>
      <c r="K18" s="64">
        <v>306.45</v>
      </c>
      <c r="L18" s="64">
        <v>23.96</v>
      </c>
      <c r="M18" s="64">
        <v>101.83</v>
      </c>
      <c r="N18" s="64">
        <v>26.1</v>
      </c>
      <c r="O18" s="64">
        <v>0</v>
      </c>
      <c r="P18" s="64">
        <v>0.73</v>
      </c>
      <c r="Q18" s="64">
        <v>9.7799999999999994</v>
      </c>
      <c r="R18" s="198"/>
      <c r="S18" s="198"/>
      <c r="T18" s="198"/>
      <c r="U18" s="198"/>
    </row>
    <row r="19" spans="1:21" s="12" customFormat="1" x14ac:dyDescent="0.25">
      <c r="A19" s="214" t="s">
        <v>2081</v>
      </c>
      <c r="B19" s="64">
        <v>4.2300000000000004</v>
      </c>
      <c r="C19" s="64">
        <v>3.18</v>
      </c>
      <c r="D19" s="64">
        <v>7.24</v>
      </c>
      <c r="E19" s="64">
        <v>5.05</v>
      </c>
      <c r="F19" s="64">
        <v>2.2400000000000002</v>
      </c>
      <c r="G19" s="64">
        <v>63.88</v>
      </c>
      <c r="H19" s="64">
        <v>21.26</v>
      </c>
      <c r="I19" s="64">
        <v>2.82</v>
      </c>
      <c r="J19" s="64">
        <v>0.45</v>
      </c>
      <c r="K19" s="64">
        <v>299.12</v>
      </c>
      <c r="L19" s="64">
        <v>23.89</v>
      </c>
      <c r="M19" s="64">
        <v>101.83</v>
      </c>
      <c r="N19" s="64">
        <v>26.1</v>
      </c>
      <c r="O19" s="64">
        <v>0</v>
      </c>
      <c r="P19" s="64">
        <v>0.66</v>
      </c>
      <c r="Q19" s="64">
        <v>9.68</v>
      </c>
      <c r="R19" s="198"/>
      <c r="S19" s="198"/>
      <c r="T19" s="198"/>
      <c r="U19" s="198"/>
    </row>
    <row r="20" spans="1:21" s="12" customFormat="1" x14ac:dyDescent="0.25">
      <c r="A20" s="214" t="s">
        <v>2082</v>
      </c>
      <c r="B20" s="64">
        <v>4.2300000000000004</v>
      </c>
      <c r="C20" s="64">
        <v>3.17</v>
      </c>
      <c r="D20" s="64">
        <v>7.24</v>
      </c>
      <c r="E20" s="64">
        <v>4.96</v>
      </c>
      <c r="F20" s="64">
        <v>4.3099999999999996</v>
      </c>
      <c r="G20" s="64">
        <v>63.88</v>
      </c>
      <c r="H20" s="64">
        <v>21.26</v>
      </c>
      <c r="I20" s="64">
        <v>3.72</v>
      </c>
      <c r="J20" s="64">
        <v>0.1</v>
      </c>
      <c r="K20" s="64">
        <v>171.28</v>
      </c>
      <c r="L20" s="64">
        <v>23.99</v>
      </c>
      <c r="M20" s="64">
        <v>101.83</v>
      </c>
      <c r="N20" s="64">
        <v>25.8</v>
      </c>
      <c r="O20" s="64">
        <v>0</v>
      </c>
      <c r="P20" s="64">
        <v>0.66</v>
      </c>
      <c r="Q20" s="64">
        <v>9.7200000000000006</v>
      </c>
      <c r="R20" s="198"/>
      <c r="S20" s="198"/>
      <c r="T20" s="198"/>
      <c r="U20" s="198"/>
    </row>
    <row r="21" spans="1:21" s="12" customFormat="1" x14ac:dyDescent="0.25">
      <c r="A21" s="214" t="s">
        <v>2083</v>
      </c>
      <c r="B21" s="64">
        <v>4.22</v>
      </c>
      <c r="C21" s="64">
        <v>3.15</v>
      </c>
      <c r="D21" s="64">
        <v>7.22</v>
      </c>
      <c r="E21" s="64">
        <v>4.88</v>
      </c>
      <c r="F21" s="64">
        <v>3.09</v>
      </c>
      <c r="G21" s="64">
        <v>63.8</v>
      </c>
      <c r="H21" s="64">
        <v>19.149999999999999</v>
      </c>
      <c r="I21" s="64">
        <v>2.85</v>
      </c>
      <c r="J21" s="64">
        <v>0.53</v>
      </c>
      <c r="K21" s="64">
        <v>181.12</v>
      </c>
      <c r="L21" s="64">
        <v>24.01</v>
      </c>
      <c r="M21" s="64">
        <v>101.83</v>
      </c>
      <c r="N21" s="64">
        <v>25.7</v>
      </c>
      <c r="O21" s="64">
        <v>0</v>
      </c>
      <c r="P21" s="64">
        <v>0.56999999999999995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4" t="s">
        <v>2084</v>
      </c>
      <c r="B22" s="64">
        <v>4.22</v>
      </c>
      <c r="C22" s="64">
        <v>3.12</v>
      </c>
      <c r="D22" s="64">
        <v>7.21</v>
      </c>
      <c r="E22" s="64">
        <v>5.03</v>
      </c>
      <c r="F22" s="64">
        <v>3.06</v>
      </c>
      <c r="G22" s="64">
        <v>63.13</v>
      </c>
      <c r="H22" s="64">
        <v>5.53</v>
      </c>
      <c r="I22" s="64">
        <v>3.58</v>
      </c>
      <c r="J22" s="64">
        <v>0.24</v>
      </c>
      <c r="K22" s="64">
        <v>218.9</v>
      </c>
      <c r="L22" s="64">
        <v>23.97</v>
      </c>
      <c r="M22" s="64">
        <v>101.83</v>
      </c>
      <c r="N22" s="64">
        <v>26</v>
      </c>
      <c r="O22" s="64">
        <v>0</v>
      </c>
      <c r="P22" s="64">
        <v>0.53</v>
      </c>
      <c r="Q22" s="64">
        <v>9.73</v>
      </c>
      <c r="R22" s="198"/>
      <c r="S22" s="198"/>
      <c r="T22" s="198"/>
      <c r="U22" s="198"/>
    </row>
    <row r="23" spans="1:21" s="12" customFormat="1" x14ac:dyDescent="0.25">
      <c r="A23" s="214" t="s">
        <v>2085</v>
      </c>
      <c r="B23" s="64">
        <v>4.26</v>
      </c>
      <c r="C23" s="64">
        <v>3.2</v>
      </c>
      <c r="D23" s="64">
        <v>7.28</v>
      </c>
      <c r="E23" s="64">
        <v>4.9400000000000004</v>
      </c>
      <c r="F23" s="64">
        <v>4.6100000000000003</v>
      </c>
      <c r="G23" s="64">
        <v>63.13</v>
      </c>
      <c r="H23" s="64">
        <v>5.53</v>
      </c>
      <c r="I23" s="64">
        <v>2.85</v>
      </c>
      <c r="J23" s="64">
        <v>0.49</v>
      </c>
      <c r="K23" s="64">
        <v>313.92</v>
      </c>
      <c r="L23" s="64">
        <v>23.86</v>
      </c>
      <c r="M23" s="64">
        <v>101.83</v>
      </c>
      <c r="N23" s="64">
        <v>26.1</v>
      </c>
      <c r="O23" s="64">
        <v>0</v>
      </c>
      <c r="P23" s="64">
        <v>0.69</v>
      </c>
      <c r="Q23" s="64">
        <v>9.76</v>
      </c>
      <c r="R23" s="198"/>
      <c r="S23" s="198"/>
      <c r="T23" s="198"/>
      <c r="U23" s="198"/>
    </row>
    <row r="24" spans="1:21" s="12" customFormat="1" x14ac:dyDescent="0.25">
      <c r="A24" s="214" t="s">
        <v>2086</v>
      </c>
      <c r="B24" s="64">
        <v>4.26</v>
      </c>
      <c r="C24" s="64">
        <v>3.15</v>
      </c>
      <c r="D24" s="64">
        <v>7.25</v>
      </c>
      <c r="E24" s="64">
        <v>4.5999999999999996</v>
      </c>
      <c r="F24" s="64">
        <v>2.3199999999999998</v>
      </c>
      <c r="G24" s="64">
        <v>63.13</v>
      </c>
      <c r="H24" s="64">
        <v>5.53</v>
      </c>
      <c r="I24" s="64">
        <v>2.7</v>
      </c>
      <c r="J24" s="64">
        <v>0.21</v>
      </c>
      <c r="K24" s="64">
        <v>348.06</v>
      </c>
      <c r="L24" s="64">
        <v>23.73</v>
      </c>
      <c r="M24" s="64">
        <v>101.86</v>
      </c>
      <c r="N24" s="64">
        <v>26</v>
      </c>
      <c r="O24" s="64">
        <v>0</v>
      </c>
      <c r="P24" s="64">
        <v>0.8</v>
      </c>
      <c r="Q24" s="64">
        <v>9.76</v>
      </c>
      <c r="R24" s="198"/>
      <c r="S24" s="198"/>
      <c r="T24" s="198"/>
      <c r="U24" s="198"/>
    </row>
    <row r="25" spans="1:21" s="12" customFormat="1" x14ac:dyDescent="0.25">
      <c r="A25" s="214" t="s">
        <v>2087</v>
      </c>
      <c r="B25" s="64">
        <v>4.26</v>
      </c>
      <c r="C25" s="64">
        <v>3.12</v>
      </c>
      <c r="D25" s="64">
        <v>7.23</v>
      </c>
      <c r="E25" s="64">
        <v>3.98</v>
      </c>
      <c r="F25" s="64">
        <v>3.49</v>
      </c>
      <c r="G25" s="64">
        <v>62.8</v>
      </c>
      <c r="H25" s="64">
        <v>7.52</v>
      </c>
      <c r="I25" s="64">
        <v>3.96</v>
      </c>
      <c r="J25" s="64">
        <v>0.11</v>
      </c>
      <c r="K25" s="64">
        <v>346.84</v>
      </c>
      <c r="L25" s="64">
        <v>23.68</v>
      </c>
      <c r="M25" s="64">
        <v>101.85</v>
      </c>
      <c r="N25" s="64">
        <v>26.1</v>
      </c>
      <c r="O25" s="64">
        <v>0</v>
      </c>
      <c r="P25" s="64">
        <v>0.71</v>
      </c>
      <c r="Q25" s="64">
        <v>9.7899999999999991</v>
      </c>
      <c r="R25" s="198"/>
      <c r="S25" s="198"/>
      <c r="T25" s="198"/>
      <c r="U25" s="198"/>
    </row>
    <row r="26" spans="1:21" s="12" customFormat="1" x14ac:dyDescent="0.25">
      <c r="A26" s="214" t="s">
        <v>2088</v>
      </c>
      <c r="B26" s="64">
        <v>4.2300000000000004</v>
      </c>
      <c r="C26" s="64">
        <v>3.09</v>
      </c>
      <c r="D26" s="64">
        <v>7.19</v>
      </c>
      <c r="E26" s="64">
        <v>4.33</v>
      </c>
      <c r="F26" s="64">
        <v>3.79</v>
      </c>
      <c r="G26" s="64">
        <v>60.14</v>
      </c>
      <c r="H26" s="64">
        <v>20.37</v>
      </c>
      <c r="I26" s="64">
        <v>3.02</v>
      </c>
      <c r="J26" s="64">
        <v>0.24</v>
      </c>
      <c r="K26" s="64">
        <v>211.34</v>
      </c>
      <c r="L26" s="64">
        <v>23.57</v>
      </c>
      <c r="M26" s="64">
        <v>101.86</v>
      </c>
      <c r="N26" s="64">
        <v>26.1</v>
      </c>
      <c r="O26" s="64">
        <v>0</v>
      </c>
      <c r="P26" s="64">
        <v>0.65</v>
      </c>
      <c r="Q26" s="64">
        <v>9.83</v>
      </c>
      <c r="R26" s="198"/>
      <c r="S26" s="198"/>
      <c r="T26" s="198"/>
      <c r="U26" s="198"/>
    </row>
    <row r="27" spans="1:21" s="12" customFormat="1" x14ac:dyDescent="0.25">
      <c r="A27" s="214" t="s">
        <v>2089</v>
      </c>
      <c r="B27" s="64">
        <v>4.25</v>
      </c>
      <c r="C27" s="64">
        <v>3.15</v>
      </c>
      <c r="D27" s="64">
        <v>7.24</v>
      </c>
      <c r="E27" s="64">
        <v>4.54</v>
      </c>
      <c r="F27" s="64">
        <v>3.45</v>
      </c>
      <c r="G27" s="64">
        <v>60.14</v>
      </c>
      <c r="H27" s="64">
        <v>20.37</v>
      </c>
      <c r="I27" s="64">
        <v>2.76</v>
      </c>
      <c r="J27" s="64">
        <v>0.45</v>
      </c>
      <c r="K27" s="64">
        <v>224.87</v>
      </c>
      <c r="L27" s="64">
        <v>23.53</v>
      </c>
      <c r="M27" s="64">
        <v>101.87</v>
      </c>
      <c r="N27" s="64">
        <v>26</v>
      </c>
      <c r="O27" s="64">
        <v>0</v>
      </c>
      <c r="P27" s="64">
        <v>0.53</v>
      </c>
      <c r="Q27" s="64">
        <v>9.7899999999999991</v>
      </c>
      <c r="R27" s="198"/>
      <c r="S27" s="198"/>
      <c r="T27" s="198"/>
      <c r="U27" s="198"/>
    </row>
    <row r="28" spans="1:21" s="12" customFormat="1" x14ac:dyDescent="0.25">
      <c r="A28" s="214" t="s">
        <v>2090</v>
      </c>
      <c r="B28" s="64">
        <v>4.2699999999999996</v>
      </c>
      <c r="C28" s="64">
        <v>3.19</v>
      </c>
      <c r="D28" s="64">
        <v>7.28</v>
      </c>
      <c r="E28" s="64">
        <v>4.12</v>
      </c>
      <c r="F28" s="64">
        <v>3.87</v>
      </c>
      <c r="G28" s="64">
        <v>60.14</v>
      </c>
      <c r="H28" s="64">
        <v>20.37</v>
      </c>
      <c r="I28" s="64">
        <v>2.68</v>
      </c>
      <c r="J28" s="64">
        <v>0.37</v>
      </c>
      <c r="K28" s="64">
        <v>184.17</v>
      </c>
      <c r="L28" s="64">
        <v>23.8</v>
      </c>
      <c r="M28" s="64">
        <v>101.83</v>
      </c>
      <c r="N28" s="64">
        <v>25.8</v>
      </c>
      <c r="O28" s="64">
        <v>0</v>
      </c>
      <c r="P28" s="64">
        <v>0.53</v>
      </c>
      <c r="Q28" s="64">
        <v>9.7899999999999991</v>
      </c>
      <c r="R28" s="198"/>
      <c r="S28" s="198"/>
      <c r="T28" s="198"/>
      <c r="U28" s="198"/>
    </row>
    <row r="29" spans="1:21" s="12" customFormat="1" x14ac:dyDescent="0.25">
      <c r="A29" s="214" t="s">
        <v>2091</v>
      </c>
      <c r="B29" s="64">
        <v>4.33</v>
      </c>
      <c r="C29" s="64">
        <v>3.25</v>
      </c>
      <c r="D29" s="64">
        <v>7.36</v>
      </c>
      <c r="E29" s="64">
        <v>4.0199999999999996</v>
      </c>
      <c r="F29" s="64">
        <v>4.12</v>
      </c>
      <c r="G29" s="64">
        <v>59.82</v>
      </c>
      <c r="H29" s="64">
        <v>18.52</v>
      </c>
      <c r="I29" s="64">
        <v>2.0099999999999998</v>
      </c>
      <c r="J29" s="64">
        <v>0.19</v>
      </c>
      <c r="K29" s="64">
        <v>181.23</v>
      </c>
      <c r="L29" s="64">
        <v>23.72</v>
      </c>
      <c r="M29" s="64">
        <v>101.83</v>
      </c>
      <c r="N29" s="64">
        <v>25.8</v>
      </c>
      <c r="O29" s="64">
        <v>0</v>
      </c>
      <c r="P29" s="64">
        <v>0.5</v>
      </c>
      <c r="Q29" s="64">
        <v>9.82</v>
      </c>
      <c r="R29" s="198"/>
      <c r="S29" s="198"/>
      <c r="T29" s="198"/>
      <c r="U29" s="198"/>
    </row>
    <row r="30" spans="1:21" s="12" customFormat="1" x14ac:dyDescent="0.25">
      <c r="A30" s="214" t="s">
        <v>2092</v>
      </c>
      <c r="B30" s="64">
        <v>4.33</v>
      </c>
      <c r="C30" s="64">
        <v>3.24</v>
      </c>
      <c r="D30" s="64">
        <v>7.36</v>
      </c>
      <c r="E30" s="64">
        <v>4.34</v>
      </c>
      <c r="F30" s="64">
        <v>3.98</v>
      </c>
      <c r="G30" s="64">
        <v>57.25</v>
      </c>
      <c r="H30" s="64">
        <v>6.56</v>
      </c>
      <c r="I30" s="64">
        <v>1.76</v>
      </c>
      <c r="J30" s="64">
        <v>0.37</v>
      </c>
      <c r="K30" s="64">
        <v>148.33000000000001</v>
      </c>
      <c r="L30" s="64">
        <v>23.7</v>
      </c>
      <c r="M30" s="64">
        <v>101.86</v>
      </c>
      <c r="N30" s="64">
        <v>25.8</v>
      </c>
      <c r="O30" s="64">
        <v>0</v>
      </c>
      <c r="P30" s="64">
        <v>0.51</v>
      </c>
      <c r="Q30" s="64">
        <v>9.85</v>
      </c>
      <c r="R30" s="198"/>
      <c r="S30" s="198"/>
      <c r="T30" s="198"/>
      <c r="U30" s="198"/>
    </row>
    <row r="31" spans="1:21" s="12" customFormat="1" x14ac:dyDescent="0.25">
      <c r="A31" s="214" t="s">
        <v>2093</v>
      </c>
      <c r="B31" s="64">
        <v>4.33</v>
      </c>
      <c r="C31" s="64">
        <v>3.24</v>
      </c>
      <c r="D31" s="64">
        <v>7.36</v>
      </c>
      <c r="E31" s="64">
        <v>4.05</v>
      </c>
      <c r="F31" s="64">
        <v>3.57</v>
      </c>
      <c r="G31" s="64">
        <v>57.25</v>
      </c>
      <c r="H31" s="64">
        <v>6.56</v>
      </c>
      <c r="I31" s="64">
        <v>1.71</v>
      </c>
      <c r="J31" s="64">
        <v>0.15</v>
      </c>
      <c r="K31" s="64">
        <v>300.87</v>
      </c>
      <c r="L31" s="64">
        <v>23.6</v>
      </c>
      <c r="M31" s="64">
        <v>101.88</v>
      </c>
      <c r="N31" s="64">
        <v>26.4</v>
      </c>
      <c r="O31" s="64">
        <v>0</v>
      </c>
      <c r="P31" s="64">
        <v>0.53</v>
      </c>
      <c r="Q31" s="64">
        <v>9.84</v>
      </c>
      <c r="R31" s="198"/>
      <c r="S31" s="198"/>
      <c r="T31" s="198"/>
      <c r="U31" s="198"/>
    </row>
    <row r="32" spans="1:21" s="12" customFormat="1" x14ac:dyDescent="0.25">
      <c r="A32" s="214" t="s">
        <v>2094</v>
      </c>
      <c r="B32" s="64">
        <v>4.32</v>
      </c>
      <c r="C32" s="64">
        <v>3.19</v>
      </c>
      <c r="D32" s="64">
        <v>7.32</v>
      </c>
      <c r="E32" s="64">
        <v>4.34</v>
      </c>
      <c r="F32" s="64">
        <v>3.45</v>
      </c>
      <c r="G32" s="64">
        <v>57.25</v>
      </c>
      <c r="H32" s="64">
        <v>6.56</v>
      </c>
      <c r="I32" s="64">
        <v>1.7</v>
      </c>
      <c r="J32" s="64">
        <v>0.2</v>
      </c>
      <c r="K32" s="64">
        <v>5.41</v>
      </c>
      <c r="L32" s="64">
        <v>23.5</v>
      </c>
      <c r="M32" s="64">
        <v>101.88</v>
      </c>
      <c r="N32" s="64">
        <v>29.1</v>
      </c>
      <c r="O32" s="64">
        <v>0</v>
      </c>
      <c r="P32" s="64">
        <v>0.77</v>
      </c>
      <c r="Q32" s="64">
        <v>9.81</v>
      </c>
      <c r="R32" s="198"/>
      <c r="S32" s="198"/>
      <c r="T32" s="198"/>
      <c r="U32" s="198"/>
    </row>
    <row r="33" spans="1:21" s="12" customFormat="1" x14ac:dyDescent="0.25">
      <c r="A33" s="214" t="s">
        <v>2095</v>
      </c>
      <c r="B33" s="64">
        <v>4.3099999999999996</v>
      </c>
      <c r="C33" s="64">
        <v>3.23</v>
      </c>
      <c r="D33" s="64">
        <v>7.33</v>
      </c>
      <c r="E33" s="64">
        <v>4.51</v>
      </c>
      <c r="F33" s="64">
        <v>3.28</v>
      </c>
      <c r="G33" s="64">
        <v>57.73</v>
      </c>
      <c r="H33" s="64">
        <v>10.029999999999999</v>
      </c>
      <c r="I33" s="64">
        <v>1.89</v>
      </c>
      <c r="J33" s="64">
        <v>0.35</v>
      </c>
      <c r="K33" s="64">
        <v>267.93</v>
      </c>
      <c r="L33" s="64">
        <v>23.56</v>
      </c>
      <c r="M33" s="64">
        <v>101.88</v>
      </c>
      <c r="N33" s="64">
        <v>37.799999999999997</v>
      </c>
      <c r="O33" s="64">
        <v>0</v>
      </c>
      <c r="P33" s="64">
        <v>0.63</v>
      </c>
      <c r="Q33" s="64">
        <v>9.8000000000000007</v>
      </c>
      <c r="R33" s="198"/>
      <c r="S33" s="198"/>
      <c r="T33" s="198"/>
      <c r="U33" s="198"/>
    </row>
    <row r="34" spans="1:21" s="12" customFormat="1" x14ac:dyDescent="0.25">
      <c r="A34" s="214" t="s">
        <v>2096</v>
      </c>
      <c r="B34" s="64">
        <v>4.28</v>
      </c>
      <c r="C34" s="64">
        <v>3.19</v>
      </c>
      <c r="D34" s="64">
        <v>7.29</v>
      </c>
      <c r="E34" s="64">
        <v>4.2699999999999996</v>
      </c>
      <c r="F34" s="64">
        <v>4.5</v>
      </c>
      <c r="G34" s="64">
        <v>61.6</v>
      </c>
      <c r="H34" s="64">
        <v>32.380000000000003</v>
      </c>
      <c r="I34" s="64">
        <v>2.37</v>
      </c>
      <c r="J34" s="64">
        <v>0.46</v>
      </c>
      <c r="K34" s="64">
        <v>135.66999999999999</v>
      </c>
      <c r="L34" s="64">
        <v>23.97</v>
      </c>
      <c r="M34" s="64">
        <v>101.83</v>
      </c>
      <c r="N34" s="64">
        <v>64.900000000000006</v>
      </c>
      <c r="O34" s="64">
        <v>0</v>
      </c>
      <c r="P34" s="64">
        <v>0.65</v>
      </c>
      <c r="Q34" s="64">
        <v>9.84</v>
      </c>
      <c r="R34" s="198"/>
      <c r="S34" s="198"/>
      <c r="T34" s="198"/>
      <c r="U34" s="198"/>
    </row>
    <row r="35" spans="1:21" s="12" customFormat="1" x14ac:dyDescent="0.25">
      <c r="A35" s="214" t="s">
        <v>2097</v>
      </c>
      <c r="B35" s="64">
        <v>4.2699999999999996</v>
      </c>
      <c r="C35" s="64">
        <v>3.23</v>
      </c>
      <c r="D35" s="64">
        <v>7.3</v>
      </c>
      <c r="E35" s="64">
        <v>4.33</v>
      </c>
      <c r="F35" s="64">
        <v>3.44</v>
      </c>
      <c r="G35" s="64">
        <v>61.6</v>
      </c>
      <c r="H35" s="64">
        <v>32.380000000000003</v>
      </c>
      <c r="I35" s="64">
        <v>2.86</v>
      </c>
      <c r="J35" s="64">
        <v>0.12</v>
      </c>
      <c r="K35" s="64">
        <v>168.66</v>
      </c>
      <c r="L35" s="64">
        <v>24.8</v>
      </c>
      <c r="M35" s="64">
        <v>101.81</v>
      </c>
      <c r="N35" s="64">
        <v>103.8</v>
      </c>
      <c r="O35" s="64">
        <v>0</v>
      </c>
      <c r="P35" s="64">
        <v>0.65</v>
      </c>
      <c r="Q35" s="64">
        <v>9.82</v>
      </c>
      <c r="R35" s="198"/>
      <c r="S35" s="198"/>
      <c r="T35" s="198"/>
      <c r="U35" s="198"/>
    </row>
    <row r="36" spans="1:21" s="12" customFormat="1" x14ac:dyDescent="0.25">
      <c r="A36" s="214" t="s">
        <v>2098</v>
      </c>
      <c r="B36" s="64">
        <v>4.2699999999999996</v>
      </c>
      <c r="C36" s="64">
        <v>3.21</v>
      </c>
      <c r="D36" s="64">
        <v>7.29</v>
      </c>
      <c r="E36" s="64">
        <v>4.4000000000000004</v>
      </c>
      <c r="F36" s="64">
        <v>3.37</v>
      </c>
      <c r="G36" s="64">
        <v>61.6</v>
      </c>
      <c r="H36" s="64">
        <v>32.380000000000003</v>
      </c>
      <c r="I36" s="64">
        <v>4.17</v>
      </c>
      <c r="J36" s="64">
        <v>0.55000000000000004</v>
      </c>
      <c r="K36" s="64">
        <v>355.93</v>
      </c>
      <c r="L36" s="64">
        <v>25.91</v>
      </c>
      <c r="M36" s="64">
        <v>101.34</v>
      </c>
      <c r="N36" s="64">
        <v>145.9</v>
      </c>
      <c r="O36" s="64">
        <v>0</v>
      </c>
      <c r="P36" s="64">
        <v>0.69</v>
      </c>
      <c r="Q36" s="64">
        <v>9.82</v>
      </c>
      <c r="R36" s="198"/>
      <c r="S36" s="198"/>
      <c r="T36" s="198"/>
      <c r="U36" s="198"/>
    </row>
    <row r="37" spans="1:21" s="12" customFormat="1" x14ac:dyDescent="0.25">
      <c r="A37" s="214" t="s">
        <v>2099</v>
      </c>
      <c r="B37" s="64">
        <v>4.2300000000000004</v>
      </c>
      <c r="C37" s="64">
        <v>3.18</v>
      </c>
      <c r="D37" s="64">
        <v>7.24</v>
      </c>
      <c r="E37" s="64">
        <v>4.46</v>
      </c>
      <c r="F37" s="64">
        <v>4.62</v>
      </c>
      <c r="G37" s="64">
        <v>62.07</v>
      </c>
      <c r="H37" s="64">
        <v>29.51</v>
      </c>
      <c r="I37" s="64">
        <v>3.76</v>
      </c>
      <c r="J37" s="64">
        <v>0.74</v>
      </c>
      <c r="K37" s="64">
        <v>347.74</v>
      </c>
      <c r="L37" s="64">
        <v>27.89</v>
      </c>
      <c r="M37" s="64">
        <v>93.42</v>
      </c>
      <c r="N37" s="64">
        <v>193.2</v>
      </c>
      <c r="O37" s="64">
        <v>0</v>
      </c>
      <c r="P37" s="64">
        <v>0.66</v>
      </c>
      <c r="Q37" s="64">
        <v>9.86</v>
      </c>
      <c r="R37" s="198"/>
      <c r="S37" s="198"/>
      <c r="T37" s="198"/>
      <c r="U37" s="198"/>
    </row>
    <row r="38" spans="1:21" s="12" customFormat="1" x14ac:dyDescent="0.25">
      <c r="A38" s="214" t="s">
        <v>2100</v>
      </c>
      <c r="B38" s="64">
        <v>4.2300000000000004</v>
      </c>
      <c r="C38" s="64">
        <v>3.16</v>
      </c>
      <c r="D38" s="64">
        <v>7.23</v>
      </c>
      <c r="E38" s="64">
        <v>4.5199999999999996</v>
      </c>
      <c r="F38" s="64">
        <v>2.5099999999999998</v>
      </c>
      <c r="G38" s="64">
        <v>65.819999999999993</v>
      </c>
      <c r="H38" s="64">
        <v>11.01</v>
      </c>
      <c r="I38" s="64">
        <v>3.86</v>
      </c>
      <c r="J38" s="64">
        <v>0.75</v>
      </c>
      <c r="K38" s="64">
        <v>356.82</v>
      </c>
      <c r="L38" s="64">
        <v>29.2</v>
      </c>
      <c r="M38" s="64">
        <v>86.23</v>
      </c>
      <c r="N38" s="64">
        <v>249.3</v>
      </c>
      <c r="O38" s="64">
        <v>0</v>
      </c>
      <c r="P38" s="64">
        <v>0.73</v>
      </c>
      <c r="Q38" s="64">
        <v>9.85</v>
      </c>
      <c r="R38" s="198"/>
      <c r="S38" s="198"/>
      <c r="T38" s="198"/>
      <c r="U38" s="198"/>
    </row>
    <row r="39" spans="1:21" s="12" customFormat="1" x14ac:dyDescent="0.25">
      <c r="A39" s="214" t="s">
        <v>2101</v>
      </c>
      <c r="B39" s="64">
        <v>4.25</v>
      </c>
      <c r="C39" s="64">
        <v>3.23</v>
      </c>
      <c r="D39" s="64">
        <v>7.29</v>
      </c>
      <c r="E39" s="64">
        <v>4.88</v>
      </c>
      <c r="F39" s="64">
        <v>4.2699999999999996</v>
      </c>
      <c r="G39" s="64">
        <v>65.819999999999993</v>
      </c>
      <c r="H39" s="64">
        <v>11.01</v>
      </c>
      <c r="I39" s="64">
        <v>4.66</v>
      </c>
      <c r="J39" s="64">
        <v>0.64</v>
      </c>
      <c r="K39" s="64">
        <v>4.24</v>
      </c>
      <c r="L39" s="64">
        <v>30.57</v>
      </c>
      <c r="M39" s="64">
        <v>79.819999999999993</v>
      </c>
      <c r="N39" s="64">
        <v>306.3</v>
      </c>
      <c r="O39" s="64">
        <v>0</v>
      </c>
      <c r="P39" s="64">
        <v>0.75</v>
      </c>
      <c r="Q39" s="64">
        <v>9.89</v>
      </c>
      <c r="R39" s="198"/>
      <c r="S39" s="198"/>
      <c r="T39" s="198"/>
      <c r="U39" s="198"/>
    </row>
    <row r="40" spans="1:21" s="12" customFormat="1" x14ac:dyDescent="0.25">
      <c r="A40" s="214" t="s">
        <v>2102</v>
      </c>
      <c r="B40" s="64">
        <v>4.29</v>
      </c>
      <c r="C40" s="64">
        <v>3.25</v>
      </c>
      <c r="D40" s="64">
        <v>7.33</v>
      </c>
      <c r="E40" s="64">
        <v>3.86</v>
      </c>
      <c r="F40" s="64">
        <v>3.45</v>
      </c>
      <c r="G40" s="64">
        <v>65.819999999999993</v>
      </c>
      <c r="H40" s="64">
        <v>11.01</v>
      </c>
      <c r="I40" s="64">
        <v>3.59</v>
      </c>
      <c r="J40" s="64">
        <v>0.87</v>
      </c>
      <c r="K40" s="64">
        <v>343.1</v>
      </c>
      <c r="L40" s="64">
        <v>31.29</v>
      </c>
      <c r="M40" s="64">
        <v>75.63</v>
      </c>
      <c r="N40" s="64">
        <v>358.9</v>
      </c>
      <c r="O40" s="64">
        <v>0</v>
      </c>
      <c r="P40" s="64">
        <v>0.78</v>
      </c>
      <c r="Q40" s="64">
        <v>9.94</v>
      </c>
      <c r="R40" s="198"/>
      <c r="S40" s="198"/>
      <c r="T40" s="198"/>
      <c r="U40" s="198"/>
    </row>
    <row r="41" spans="1:21" s="12" customFormat="1" x14ac:dyDescent="0.25">
      <c r="A41" s="214" t="s">
        <v>2103</v>
      </c>
      <c r="B41" s="64">
        <v>4.3099999999999996</v>
      </c>
      <c r="C41" s="64">
        <v>3.32</v>
      </c>
      <c r="D41" s="64">
        <v>7.38</v>
      </c>
      <c r="E41" s="64">
        <v>3.94</v>
      </c>
      <c r="F41" s="64">
        <v>3.35</v>
      </c>
      <c r="G41" s="64">
        <v>66.7</v>
      </c>
      <c r="H41" s="64">
        <v>12.45</v>
      </c>
      <c r="I41" s="64">
        <v>3.82</v>
      </c>
      <c r="J41" s="64">
        <v>0.66</v>
      </c>
      <c r="K41" s="64">
        <v>356.66</v>
      </c>
      <c r="L41" s="64">
        <v>32.64</v>
      </c>
      <c r="M41" s="64">
        <v>68.23</v>
      </c>
      <c r="N41" s="64">
        <v>416.8</v>
      </c>
      <c r="O41" s="64">
        <v>0</v>
      </c>
      <c r="P41" s="64">
        <v>0.64</v>
      </c>
      <c r="Q41" s="64">
        <v>9.9600000000000009</v>
      </c>
      <c r="R41" s="198"/>
      <c r="S41" s="198"/>
      <c r="T41" s="198"/>
      <c r="U41" s="198"/>
    </row>
    <row r="42" spans="1:21" s="12" customFormat="1" x14ac:dyDescent="0.25">
      <c r="A42" s="214" t="s">
        <v>2104</v>
      </c>
      <c r="B42" s="64">
        <v>4.25</v>
      </c>
      <c r="C42" s="64">
        <v>3.2</v>
      </c>
      <c r="D42" s="64">
        <v>7.27</v>
      </c>
      <c r="E42" s="64">
        <v>3.97</v>
      </c>
      <c r="F42" s="64">
        <v>4.49</v>
      </c>
      <c r="G42" s="64">
        <v>73.77</v>
      </c>
      <c r="H42" s="64">
        <v>21.77</v>
      </c>
      <c r="I42" s="64">
        <v>3.71</v>
      </c>
      <c r="J42" s="64">
        <v>0.71</v>
      </c>
      <c r="K42" s="64">
        <v>337.36</v>
      </c>
      <c r="L42" s="64">
        <v>33.56</v>
      </c>
      <c r="M42" s="64">
        <v>64.260000000000005</v>
      </c>
      <c r="N42" s="64">
        <v>482.3</v>
      </c>
      <c r="O42" s="64">
        <v>0</v>
      </c>
      <c r="P42" s="64">
        <v>0.72</v>
      </c>
      <c r="Q42" s="64">
        <v>9.99</v>
      </c>
      <c r="R42" s="198"/>
      <c r="S42" s="198"/>
      <c r="T42" s="198"/>
      <c r="U42" s="198"/>
    </row>
    <row r="43" spans="1:21" s="12" customFormat="1" x14ac:dyDescent="0.25">
      <c r="A43" s="214" t="s">
        <v>2105</v>
      </c>
      <c r="B43" s="64">
        <v>4.34</v>
      </c>
      <c r="C43" s="64">
        <v>3.36</v>
      </c>
      <c r="D43" s="64">
        <v>7.42</v>
      </c>
      <c r="E43" s="64">
        <v>4.04</v>
      </c>
      <c r="F43" s="64">
        <v>2.71</v>
      </c>
      <c r="G43" s="64">
        <v>73.77</v>
      </c>
      <c r="H43" s="64">
        <v>21.77</v>
      </c>
      <c r="I43" s="64">
        <v>3.27</v>
      </c>
      <c r="J43" s="64">
        <v>1.03</v>
      </c>
      <c r="K43" s="64">
        <v>341.19</v>
      </c>
      <c r="L43" s="64">
        <v>34.229999999999997</v>
      </c>
      <c r="M43" s="64">
        <v>61.3</v>
      </c>
      <c r="N43" s="64">
        <v>535.20000000000005</v>
      </c>
      <c r="O43" s="64">
        <v>0</v>
      </c>
      <c r="P43" s="64">
        <v>0.65</v>
      </c>
      <c r="Q43" s="64">
        <v>9.9600000000000009</v>
      </c>
      <c r="R43" s="198"/>
      <c r="S43" s="198"/>
      <c r="T43" s="198"/>
      <c r="U43" s="198"/>
    </row>
    <row r="44" spans="1:21" s="12" customFormat="1" x14ac:dyDescent="0.25">
      <c r="A44" s="214" t="s">
        <v>2106</v>
      </c>
      <c r="B44" s="64">
        <v>4.32</v>
      </c>
      <c r="C44" s="64">
        <v>3.25</v>
      </c>
      <c r="D44" s="64">
        <v>7.35</v>
      </c>
      <c r="E44" s="64">
        <v>3.61</v>
      </c>
      <c r="F44" s="64">
        <v>3.76</v>
      </c>
      <c r="G44" s="64">
        <v>73.77</v>
      </c>
      <c r="H44" s="64">
        <v>21.77</v>
      </c>
      <c r="I44" s="64">
        <v>3.88</v>
      </c>
      <c r="J44" s="64">
        <v>0.54</v>
      </c>
      <c r="K44" s="64">
        <v>354.55</v>
      </c>
      <c r="L44" s="64">
        <v>34.35</v>
      </c>
      <c r="M44" s="64">
        <v>61.7</v>
      </c>
      <c r="N44" s="64">
        <v>581.6</v>
      </c>
      <c r="O44" s="64">
        <v>0</v>
      </c>
      <c r="P44" s="64">
        <v>0.63</v>
      </c>
      <c r="Q44" s="64">
        <v>9.91</v>
      </c>
      <c r="R44" s="198"/>
      <c r="S44" s="198"/>
      <c r="T44" s="198"/>
      <c r="U44" s="198"/>
    </row>
    <row r="45" spans="1:21" s="12" customFormat="1" x14ac:dyDescent="0.25">
      <c r="A45" s="214" t="s">
        <v>2107</v>
      </c>
      <c r="B45" s="64">
        <v>4.32</v>
      </c>
      <c r="C45" s="64">
        <v>3.24</v>
      </c>
      <c r="D45" s="64">
        <v>7.35</v>
      </c>
      <c r="E45" s="64">
        <v>3.83</v>
      </c>
      <c r="F45" s="64">
        <v>4.22</v>
      </c>
      <c r="G45" s="64">
        <v>74.099999999999994</v>
      </c>
      <c r="H45" s="64">
        <v>19.95</v>
      </c>
      <c r="I45" s="64">
        <v>3.29</v>
      </c>
      <c r="J45" s="64">
        <v>1.02</v>
      </c>
      <c r="K45" s="64">
        <v>339.54</v>
      </c>
      <c r="L45" s="64">
        <v>34.81</v>
      </c>
      <c r="M45" s="64">
        <v>59.29</v>
      </c>
      <c r="N45" s="64">
        <v>642.4</v>
      </c>
      <c r="O45" s="64">
        <v>0</v>
      </c>
      <c r="P45" s="64">
        <v>0.69</v>
      </c>
      <c r="Q45" s="64">
        <v>9.91</v>
      </c>
      <c r="R45" s="198"/>
      <c r="S45" s="198"/>
      <c r="T45" s="198"/>
      <c r="U45" s="198"/>
    </row>
    <row r="46" spans="1:21" s="12" customFormat="1" x14ac:dyDescent="0.25">
      <c r="A46" s="214" t="s">
        <v>2108</v>
      </c>
      <c r="B46" s="64">
        <v>4.3</v>
      </c>
      <c r="C46" s="64">
        <v>3.21</v>
      </c>
      <c r="D46" s="64">
        <v>7.31</v>
      </c>
      <c r="E46" s="64">
        <v>3.81</v>
      </c>
      <c r="F46" s="64">
        <v>3.8</v>
      </c>
      <c r="G46" s="64">
        <v>76.739999999999995</v>
      </c>
      <c r="H46" s="64">
        <v>8.27</v>
      </c>
      <c r="I46" s="64">
        <v>2.73</v>
      </c>
      <c r="J46" s="64">
        <v>0.84</v>
      </c>
      <c r="K46" s="64">
        <v>337.68</v>
      </c>
      <c r="L46" s="64">
        <v>36.270000000000003</v>
      </c>
      <c r="M46" s="64">
        <v>53.97</v>
      </c>
      <c r="N46" s="64">
        <v>645</v>
      </c>
      <c r="O46" s="64">
        <v>0</v>
      </c>
      <c r="P46" s="64">
        <v>0.7</v>
      </c>
      <c r="Q46" s="64">
        <v>9.91</v>
      </c>
      <c r="R46" s="198"/>
      <c r="S46" s="198"/>
      <c r="T46" s="198"/>
      <c r="U46" s="198"/>
    </row>
    <row r="47" spans="1:21" s="12" customFormat="1" x14ac:dyDescent="0.25">
      <c r="A47" s="214" t="s">
        <v>2109</v>
      </c>
      <c r="B47" s="64">
        <v>4.3099999999999996</v>
      </c>
      <c r="C47" s="64">
        <v>3.22</v>
      </c>
      <c r="D47" s="64">
        <v>7.33</v>
      </c>
      <c r="E47" s="64">
        <v>3.71</v>
      </c>
      <c r="F47" s="64">
        <v>3.89</v>
      </c>
      <c r="G47" s="64">
        <v>76.739999999999995</v>
      </c>
      <c r="H47" s="64">
        <v>8.27</v>
      </c>
      <c r="I47" s="64">
        <v>3.1</v>
      </c>
      <c r="J47" s="64">
        <v>0.96</v>
      </c>
      <c r="K47" s="64">
        <v>335.91</v>
      </c>
      <c r="L47" s="64">
        <v>35.74</v>
      </c>
      <c r="M47" s="64">
        <v>55.88</v>
      </c>
      <c r="N47" s="64">
        <v>609.20000000000005</v>
      </c>
      <c r="O47" s="64">
        <v>0</v>
      </c>
      <c r="P47" s="64">
        <v>0.69</v>
      </c>
      <c r="Q47" s="64">
        <v>9.92</v>
      </c>
      <c r="R47" s="198"/>
      <c r="S47" s="198"/>
      <c r="T47" s="198"/>
      <c r="U47" s="198"/>
    </row>
    <row r="48" spans="1:21" s="12" customFormat="1" x14ac:dyDescent="0.25">
      <c r="A48" s="214" t="s">
        <v>2110</v>
      </c>
      <c r="B48" s="64">
        <v>4.3099999999999996</v>
      </c>
      <c r="C48" s="64">
        <v>3.23</v>
      </c>
      <c r="D48" s="64">
        <v>7.33</v>
      </c>
      <c r="E48" s="64">
        <v>3.42</v>
      </c>
      <c r="F48" s="64">
        <v>4.2</v>
      </c>
      <c r="G48" s="64">
        <v>76.739999999999995</v>
      </c>
      <c r="H48" s="64">
        <v>8.27</v>
      </c>
      <c r="I48" s="64">
        <v>3.52</v>
      </c>
      <c r="J48" s="64">
        <v>0.84</v>
      </c>
      <c r="K48" s="64">
        <v>328.19</v>
      </c>
      <c r="L48" s="64">
        <v>35.35</v>
      </c>
      <c r="M48" s="64">
        <v>56.28</v>
      </c>
      <c r="N48" s="64">
        <v>354.2</v>
      </c>
      <c r="O48" s="64">
        <v>0</v>
      </c>
      <c r="P48" s="64">
        <v>0.67</v>
      </c>
      <c r="Q48" s="64">
        <v>9.91</v>
      </c>
      <c r="R48" s="198"/>
      <c r="S48" s="198"/>
      <c r="T48" s="198"/>
      <c r="U48" s="198"/>
    </row>
    <row r="49" spans="1:21" s="12" customFormat="1" x14ac:dyDescent="0.25">
      <c r="A49" s="214" t="s">
        <v>2111</v>
      </c>
      <c r="B49" s="64">
        <v>4.32</v>
      </c>
      <c r="C49" s="64">
        <v>3.27</v>
      </c>
      <c r="D49" s="64">
        <v>7.36</v>
      </c>
      <c r="E49" s="64">
        <v>3.68</v>
      </c>
      <c r="F49" s="64">
        <v>3.92</v>
      </c>
      <c r="G49" s="64">
        <v>76.819999999999993</v>
      </c>
      <c r="H49" s="64">
        <v>7.8</v>
      </c>
      <c r="I49" s="64">
        <v>3.87</v>
      </c>
      <c r="J49" s="64">
        <v>0.89</v>
      </c>
      <c r="K49" s="64">
        <v>323.83999999999997</v>
      </c>
      <c r="L49" s="64">
        <v>32.729999999999997</v>
      </c>
      <c r="M49" s="64">
        <v>65.37</v>
      </c>
      <c r="N49" s="64">
        <v>135.30000000000001</v>
      </c>
      <c r="O49" s="64">
        <v>0</v>
      </c>
      <c r="P49" s="64">
        <v>0.74</v>
      </c>
      <c r="Q49" s="64">
        <v>9.89</v>
      </c>
      <c r="R49" s="198"/>
      <c r="S49" s="198"/>
      <c r="T49" s="198"/>
      <c r="U49" s="198"/>
    </row>
    <row r="50" spans="1:21" s="12" customFormat="1" x14ac:dyDescent="0.25">
      <c r="A50" s="214" t="s">
        <v>2112</v>
      </c>
      <c r="B50" s="64">
        <v>4.3</v>
      </c>
      <c r="C50" s="64">
        <v>3.23</v>
      </c>
      <c r="D50" s="64">
        <v>7.33</v>
      </c>
      <c r="E50" s="64">
        <v>3.56</v>
      </c>
      <c r="F50" s="64">
        <v>3.54</v>
      </c>
      <c r="G50" s="64">
        <v>77.540000000000006</v>
      </c>
      <c r="H50" s="64">
        <v>4.72</v>
      </c>
      <c r="I50" s="64">
        <v>3.29</v>
      </c>
      <c r="J50" s="64">
        <v>0.56999999999999995</v>
      </c>
      <c r="K50" s="64">
        <v>316.42</v>
      </c>
      <c r="L50" s="64">
        <v>31.2</v>
      </c>
      <c r="M50" s="64">
        <v>69.099999999999994</v>
      </c>
      <c r="N50" s="64">
        <v>147.19999999999999</v>
      </c>
      <c r="O50" s="64">
        <v>0</v>
      </c>
      <c r="P50" s="64">
        <v>0.73</v>
      </c>
      <c r="Q50" s="64">
        <v>9.8800000000000008</v>
      </c>
      <c r="R50" s="198"/>
      <c r="S50" s="198"/>
      <c r="T50" s="198"/>
      <c r="U50" s="198"/>
    </row>
    <row r="51" spans="1:21" s="12" customFormat="1" x14ac:dyDescent="0.25">
      <c r="A51" s="214" t="s">
        <v>2113</v>
      </c>
      <c r="B51" s="64">
        <v>4.2699999999999996</v>
      </c>
      <c r="C51" s="64">
        <v>3.25</v>
      </c>
      <c r="D51" s="64">
        <v>7.31</v>
      </c>
      <c r="E51" s="64">
        <v>3.64</v>
      </c>
      <c r="F51" s="64">
        <v>3.7</v>
      </c>
      <c r="G51" s="64">
        <v>77.540000000000006</v>
      </c>
      <c r="H51" s="64">
        <v>4.72</v>
      </c>
      <c r="I51" s="64">
        <v>3.28</v>
      </c>
      <c r="J51" s="64">
        <v>0.17</v>
      </c>
      <c r="K51" s="64">
        <v>297.47000000000003</v>
      </c>
      <c r="L51" s="64">
        <v>30.47</v>
      </c>
      <c r="M51" s="64">
        <v>70.11</v>
      </c>
      <c r="N51" s="64">
        <v>225.4</v>
      </c>
      <c r="O51" s="64">
        <v>0</v>
      </c>
      <c r="P51" s="64">
        <v>0.68</v>
      </c>
      <c r="Q51" s="64">
        <v>9.93</v>
      </c>
      <c r="R51" s="198"/>
      <c r="S51" s="198"/>
      <c r="T51" s="198"/>
      <c r="U51" s="198"/>
    </row>
    <row r="52" spans="1:21" s="12" customFormat="1" x14ac:dyDescent="0.25">
      <c r="A52" s="214" t="s">
        <v>2114</v>
      </c>
      <c r="B52" s="64">
        <v>4.25</v>
      </c>
      <c r="C52" s="64">
        <v>3.17</v>
      </c>
      <c r="D52" s="64">
        <v>7.25</v>
      </c>
      <c r="E52" s="64">
        <v>3.75</v>
      </c>
      <c r="F52" s="64">
        <v>3.64</v>
      </c>
      <c r="G52" s="64">
        <v>77.540000000000006</v>
      </c>
      <c r="H52" s="64">
        <v>4.72</v>
      </c>
      <c r="I52" s="64">
        <v>4.1100000000000003</v>
      </c>
      <c r="J52" s="64">
        <v>0.96</v>
      </c>
      <c r="K52" s="64">
        <v>327.61</v>
      </c>
      <c r="L52" s="64">
        <v>31.29</v>
      </c>
      <c r="M52" s="64">
        <v>68.77</v>
      </c>
      <c r="N52" s="64">
        <v>371.7</v>
      </c>
      <c r="O52" s="64">
        <v>0</v>
      </c>
      <c r="P52" s="64">
        <v>0.66</v>
      </c>
      <c r="Q52" s="64">
        <v>9.9</v>
      </c>
      <c r="R52" s="198"/>
      <c r="S52" s="198"/>
      <c r="T52" s="198"/>
      <c r="U52" s="198"/>
    </row>
    <row r="53" spans="1:21" s="12" customFormat="1" x14ac:dyDescent="0.25">
      <c r="A53" s="214" t="s">
        <v>2115</v>
      </c>
      <c r="B53" s="64">
        <v>4.25</v>
      </c>
      <c r="C53" s="64">
        <v>3.19</v>
      </c>
      <c r="D53" s="64">
        <v>7.27</v>
      </c>
      <c r="E53" s="64">
        <v>3.67</v>
      </c>
      <c r="F53" s="64">
        <v>3.82</v>
      </c>
      <c r="G53" s="64">
        <v>77.58</v>
      </c>
      <c r="H53" s="64">
        <v>7.41</v>
      </c>
      <c r="I53" s="64">
        <v>3.49</v>
      </c>
      <c r="J53" s="64">
        <v>1.34</v>
      </c>
      <c r="K53" s="64">
        <v>339.44</v>
      </c>
      <c r="L53" s="64">
        <v>31.22</v>
      </c>
      <c r="M53" s="64">
        <v>66.510000000000005</v>
      </c>
      <c r="N53" s="64">
        <v>126.8</v>
      </c>
      <c r="O53" s="64">
        <v>0</v>
      </c>
      <c r="P53" s="64">
        <v>0.67</v>
      </c>
      <c r="Q53" s="64">
        <v>9.93</v>
      </c>
      <c r="R53" s="198"/>
      <c r="S53" s="198"/>
      <c r="T53" s="198"/>
      <c r="U53" s="198"/>
    </row>
    <row r="54" spans="1:21" s="12" customFormat="1" x14ac:dyDescent="0.25">
      <c r="A54" s="214" t="s">
        <v>2116</v>
      </c>
      <c r="B54" s="64">
        <v>4.24</v>
      </c>
      <c r="C54" s="64">
        <v>3.21</v>
      </c>
      <c r="D54" s="64">
        <v>7.27</v>
      </c>
      <c r="E54" s="64">
        <v>3.47</v>
      </c>
      <c r="F54" s="64">
        <v>4.41</v>
      </c>
      <c r="G54" s="64">
        <v>77.900000000000006</v>
      </c>
      <c r="H54" s="64">
        <v>24.69</v>
      </c>
      <c r="I54" s="64">
        <v>3.35</v>
      </c>
      <c r="J54" s="64">
        <v>0.71</v>
      </c>
      <c r="K54" s="64">
        <v>339.55</v>
      </c>
      <c r="L54" s="64">
        <v>30.76</v>
      </c>
      <c r="M54" s="64">
        <v>69.23</v>
      </c>
      <c r="N54" s="64">
        <v>138.6</v>
      </c>
      <c r="O54" s="64">
        <v>0</v>
      </c>
      <c r="P54" s="64">
        <v>0.77</v>
      </c>
      <c r="Q54" s="64">
        <v>9.9499999999999993</v>
      </c>
      <c r="R54" s="198"/>
      <c r="S54" s="198"/>
      <c r="T54" s="198"/>
      <c r="U54" s="198"/>
    </row>
    <row r="55" spans="1:21" s="12" customFormat="1" x14ac:dyDescent="0.25">
      <c r="A55" s="214" t="s">
        <v>2117</v>
      </c>
      <c r="B55" s="64">
        <v>4.2699999999999996</v>
      </c>
      <c r="C55" s="64">
        <v>3.21</v>
      </c>
      <c r="D55" s="64">
        <v>7.29</v>
      </c>
      <c r="E55" s="64">
        <v>3.58</v>
      </c>
      <c r="F55" s="64">
        <v>3.1</v>
      </c>
      <c r="G55" s="64">
        <v>77.900000000000006</v>
      </c>
      <c r="H55" s="64">
        <v>24.69</v>
      </c>
      <c r="I55" s="64">
        <v>4.01</v>
      </c>
      <c r="J55" s="64">
        <v>1.23</v>
      </c>
      <c r="K55" s="64">
        <v>333.53</v>
      </c>
      <c r="L55" s="64">
        <v>30.39</v>
      </c>
      <c r="M55" s="64">
        <v>71.3</v>
      </c>
      <c r="N55" s="64">
        <v>107.7</v>
      </c>
      <c r="O55" s="64">
        <v>0</v>
      </c>
      <c r="P55" s="64">
        <v>0.71</v>
      </c>
      <c r="Q55" s="64">
        <v>9.91</v>
      </c>
      <c r="R55" s="198"/>
      <c r="S55" s="198"/>
      <c r="T55" s="198"/>
      <c r="U55" s="198"/>
    </row>
    <row r="56" spans="1:21" s="12" customFormat="1" x14ac:dyDescent="0.25">
      <c r="A56" s="214" t="s">
        <v>2118</v>
      </c>
      <c r="B56" s="64">
        <v>4.3099999999999996</v>
      </c>
      <c r="C56" s="64">
        <v>3.29</v>
      </c>
      <c r="D56" s="64">
        <v>7.36</v>
      </c>
      <c r="E56" s="64">
        <v>3.83</v>
      </c>
      <c r="F56" s="64">
        <v>3.44</v>
      </c>
      <c r="G56" s="64">
        <v>77.900000000000006</v>
      </c>
      <c r="H56" s="64">
        <v>24.69</v>
      </c>
      <c r="I56" s="64">
        <v>3.29</v>
      </c>
      <c r="J56" s="64">
        <v>0.92</v>
      </c>
      <c r="K56" s="64">
        <v>333.6</v>
      </c>
      <c r="L56" s="64">
        <v>31.01</v>
      </c>
      <c r="M56" s="64">
        <v>70.209999999999994</v>
      </c>
      <c r="N56" s="64">
        <v>602</v>
      </c>
      <c r="O56" s="64">
        <v>0</v>
      </c>
      <c r="P56" s="64">
        <v>0.72</v>
      </c>
      <c r="Q56" s="64">
        <v>9.9</v>
      </c>
      <c r="R56" s="198"/>
      <c r="S56" s="198"/>
      <c r="T56" s="198"/>
      <c r="U56" s="198"/>
    </row>
    <row r="57" spans="1:21" s="12" customFormat="1" x14ac:dyDescent="0.25">
      <c r="A57" s="214" t="s">
        <v>2119</v>
      </c>
      <c r="B57" s="64">
        <v>4.2300000000000004</v>
      </c>
      <c r="C57" s="64">
        <v>3.16</v>
      </c>
      <c r="D57" s="64">
        <v>7.23</v>
      </c>
      <c r="E57" s="64">
        <v>3.99</v>
      </c>
      <c r="F57" s="64">
        <v>4.8600000000000003</v>
      </c>
      <c r="G57" s="64">
        <v>78.42</v>
      </c>
      <c r="H57" s="64">
        <v>23.96</v>
      </c>
      <c r="I57" s="64">
        <v>3.12</v>
      </c>
      <c r="J57" s="64">
        <v>1.26</v>
      </c>
      <c r="K57" s="64">
        <v>329.08</v>
      </c>
      <c r="L57" s="64">
        <v>32.799999999999997</v>
      </c>
      <c r="M57" s="64">
        <v>63.41</v>
      </c>
      <c r="N57" s="64">
        <v>228.7</v>
      </c>
      <c r="O57" s="64">
        <v>0</v>
      </c>
      <c r="P57" s="64">
        <v>0.72</v>
      </c>
      <c r="Q57" s="64">
        <v>9.92</v>
      </c>
      <c r="R57" s="198"/>
      <c r="S57" s="198"/>
      <c r="T57" s="198"/>
      <c r="U57" s="198"/>
    </row>
    <row r="58" spans="1:21" s="12" customFormat="1" x14ac:dyDescent="0.25">
      <c r="A58" s="214" t="s">
        <v>2120</v>
      </c>
      <c r="B58" s="64">
        <v>4.26</v>
      </c>
      <c r="C58" s="64">
        <v>3.23</v>
      </c>
      <c r="D58" s="64">
        <v>7.29</v>
      </c>
      <c r="E58" s="64">
        <v>4.55</v>
      </c>
      <c r="F58" s="64">
        <v>2.73</v>
      </c>
      <c r="G58" s="64">
        <v>82.61</v>
      </c>
      <c r="H58" s="64">
        <v>19.239999999999998</v>
      </c>
      <c r="I58" s="64">
        <v>3.67</v>
      </c>
      <c r="J58" s="64">
        <v>0.83</v>
      </c>
      <c r="K58" s="64">
        <v>340.68</v>
      </c>
      <c r="L58" s="64">
        <v>31.41</v>
      </c>
      <c r="M58" s="64">
        <v>68.09</v>
      </c>
      <c r="N58" s="64">
        <v>152.69999999999999</v>
      </c>
      <c r="O58" s="64">
        <v>0</v>
      </c>
      <c r="P58" s="64">
        <v>0.67</v>
      </c>
      <c r="Q58" s="64">
        <v>9.92</v>
      </c>
      <c r="R58" s="198"/>
      <c r="S58" s="198"/>
      <c r="T58" s="198"/>
      <c r="U58" s="198"/>
    </row>
    <row r="59" spans="1:21" s="12" customFormat="1" x14ac:dyDescent="0.25">
      <c r="A59" s="214" t="s">
        <v>2121</v>
      </c>
      <c r="B59" s="64">
        <v>4.29</v>
      </c>
      <c r="C59" s="64">
        <v>3.3</v>
      </c>
      <c r="D59" s="64">
        <v>7.35</v>
      </c>
      <c r="E59" s="64">
        <v>4.38</v>
      </c>
      <c r="F59" s="64">
        <v>3.65</v>
      </c>
      <c r="G59" s="64">
        <v>82.61</v>
      </c>
      <c r="H59" s="64">
        <v>19.239999999999998</v>
      </c>
      <c r="I59" s="64">
        <v>3.7</v>
      </c>
      <c r="J59" s="64">
        <v>0.76</v>
      </c>
      <c r="K59" s="64">
        <v>341.04</v>
      </c>
      <c r="L59" s="64">
        <v>30.52</v>
      </c>
      <c r="M59" s="64">
        <v>69.599999999999994</v>
      </c>
      <c r="N59" s="64">
        <v>169.8</v>
      </c>
      <c r="O59" s="64">
        <v>0</v>
      </c>
      <c r="P59" s="64">
        <v>0.63</v>
      </c>
      <c r="Q59" s="64">
        <v>9.89</v>
      </c>
      <c r="R59" s="198"/>
      <c r="S59" s="198"/>
      <c r="T59" s="198"/>
      <c r="U59" s="198"/>
    </row>
    <row r="60" spans="1:21" s="12" customFormat="1" x14ac:dyDescent="0.25">
      <c r="A60" s="214" t="s">
        <v>2122</v>
      </c>
      <c r="B60" s="64">
        <v>4.29</v>
      </c>
      <c r="C60" s="64">
        <v>3.26</v>
      </c>
      <c r="D60" s="64">
        <v>7.33</v>
      </c>
      <c r="E60" s="64">
        <v>4.34</v>
      </c>
      <c r="F60" s="64">
        <v>4.28</v>
      </c>
      <c r="G60" s="64">
        <v>82.61</v>
      </c>
      <c r="H60" s="64">
        <v>19.239999999999998</v>
      </c>
      <c r="I60" s="64">
        <v>2.94</v>
      </c>
      <c r="J60" s="64">
        <v>0.26</v>
      </c>
      <c r="K60" s="64">
        <v>9.64</v>
      </c>
      <c r="L60" s="64">
        <v>30.5</v>
      </c>
      <c r="M60" s="64">
        <v>70.650000000000006</v>
      </c>
      <c r="N60" s="64">
        <v>369.8</v>
      </c>
      <c r="O60" s="64">
        <v>0</v>
      </c>
      <c r="P60" s="64">
        <v>0.67</v>
      </c>
      <c r="Q60" s="64">
        <v>9.8699999999999992</v>
      </c>
      <c r="R60" s="198"/>
      <c r="S60" s="198"/>
      <c r="T60" s="198"/>
      <c r="U60" s="198"/>
    </row>
    <row r="61" spans="1:21" s="12" customFormat="1" x14ac:dyDescent="0.25">
      <c r="A61" s="214" t="s">
        <v>2123</v>
      </c>
      <c r="B61" s="64">
        <v>4.29</v>
      </c>
      <c r="C61" s="64">
        <v>3.25</v>
      </c>
      <c r="D61" s="64">
        <v>7.33</v>
      </c>
      <c r="E61" s="64">
        <v>4.41</v>
      </c>
      <c r="F61" s="64">
        <v>5.53</v>
      </c>
      <c r="G61" s="64">
        <v>82.86</v>
      </c>
      <c r="H61" s="64">
        <v>19.72</v>
      </c>
      <c r="I61" s="64">
        <v>2.41</v>
      </c>
      <c r="J61" s="64">
        <v>0.36</v>
      </c>
      <c r="K61" s="64">
        <v>9.89</v>
      </c>
      <c r="L61" s="64">
        <v>31.08</v>
      </c>
      <c r="M61" s="64">
        <v>67.900000000000006</v>
      </c>
      <c r="N61" s="64">
        <v>340.1</v>
      </c>
      <c r="O61" s="64">
        <v>0</v>
      </c>
      <c r="P61" s="64">
        <v>0.59</v>
      </c>
      <c r="Q61" s="64">
        <v>9.8699999999999992</v>
      </c>
      <c r="R61" s="198"/>
      <c r="S61" s="198"/>
      <c r="T61" s="198"/>
      <c r="U61" s="198"/>
    </row>
    <row r="62" spans="1:21" s="12" customFormat="1" x14ac:dyDescent="0.25">
      <c r="A62" s="214" t="s">
        <v>2124</v>
      </c>
      <c r="B62" s="64">
        <v>4.3</v>
      </c>
      <c r="C62" s="64">
        <v>3.23</v>
      </c>
      <c r="D62" s="64">
        <v>7.33</v>
      </c>
      <c r="E62" s="64">
        <v>4.59</v>
      </c>
      <c r="F62" s="64">
        <v>3.79</v>
      </c>
      <c r="G62" s="64">
        <v>84.86</v>
      </c>
      <c r="H62" s="64">
        <v>22.85</v>
      </c>
      <c r="I62" s="64">
        <v>2.1</v>
      </c>
      <c r="J62" s="64">
        <v>1.02</v>
      </c>
      <c r="K62" s="64">
        <v>339.78</v>
      </c>
      <c r="L62" s="64">
        <v>31.06</v>
      </c>
      <c r="M62" s="64">
        <v>67.36</v>
      </c>
      <c r="N62" s="64">
        <v>297.89999999999998</v>
      </c>
      <c r="O62" s="64">
        <v>0</v>
      </c>
      <c r="P62" s="64">
        <v>0.67</v>
      </c>
      <c r="Q62" s="64">
        <v>9.8800000000000008</v>
      </c>
      <c r="R62" s="198"/>
      <c r="S62" s="198"/>
      <c r="T62" s="198"/>
      <c r="U62" s="198"/>
    </row>
    <row r="63" spans="1:21" s="12" customFormat="1" x14ac:dyDescent="0.25">
      <c r="A63" s="214" t="s">
        <v>2125</v>
      </c>
      <c r="B63" s="64">
        <v>4.29</v>
      </c>
      <c r="C63" s="64">
        <v>3.19</v>
      </c>
      <c r="D63" s="64">
        <v>7.29</v>
      </c>
      <c r="E63" s="64">
        <v>4.63</v>
      </c>
      <c r="F63" s="64">
        <v>3.63</v>
      </c>
      <c r="G63" s="64">
        <v>84.86</v>
      </c>
      <c r="H63" s="64">
        <v>22.85</v>
      </c>
      <c r="I63" s="64">
        <v>2.16</v>
      </c>
      <c r="J63" s="64">
        <v>1.63</v>
      </c>
      <c r="K63" s="64">
        <v>331.48</v>
      </c>
      <c r="L63" s="64">
        <v>32.24</v>
      </c>
      <c r="M63" s="64">
        <v>63.51</v>
      </c>
      <c r="N63" s="64">
        <v>318</v>
      </c>
      <c r="O63" s="64">
        <v>0</v>
      </c>
      <c r="P63" s="64">
        <v>0.66</v>
      </c>
      <c r="Q63" s="64">
        <v>9.82</v>
      </c>
      <c r="R63" s="198"/>
      <c r="S63" s="198"/>
      <c r="T63" s="198"/>
      <c r="U63" s="198"/>
    </row>
    <row r="64" spans="1:21" s="12" customFormat="1" x14ac:dyDescent="0.25">
      <c r="A64" s="214" t="s">
        <v>2126</v>
      </c>
      <c r="B64" s="64">
        <v>4.29</v>
      </c>
      <c r="C64" s="64">
        <v>3.19</v>
      </c>
      <c r="D64" s="64">
        <v>7.3</v>
      </c>
      <c r="E64" s="64">
        <v>4.34</v>
      </c>
      <c r="F64" s="64">
        <v>3.84</v>
      </c>
      <c r="G64" s="64">
        <v>84.86</v>
      </c>
      <c r="H64" s="64">
        <v>22.85</v>
      </c>
      <c r="I64" s="64">
        <v>2.98</v>
      </c>
      <c r="J64" s="64">
        <v>1.78</v>
      </c>
      <c r="K64" s="64">
        <v>145.06</v>
      </c>
      <c r="L64" s="64">
        <v>30.55</v>
      </c>
      <c r="M64" s="64">
        <v>72.37</v>
      </c>
      <c r="N64" s="64">
        <v>210.3</v>
      </c>
      <c r="O64" s="64">
        <v>0</v>
      </c>
      <c r="P64" s="64">
        <v>0.59</v>
      </c>
      <c r="Q64" s="64">
        <v>9.82</v>
      </c>
      <c r="R64" s="198"/>
      <c r="S64" s="198"/>
      <c r="T64" s="198"/>
      <c r="U64" s="198"/>
    </row>
    <row r="65" spans="1:21" s="12" customFormat="1" x14ac:dyDescent="0.25">
      <c r="A65" s="214" t="s">
        <v>2127</v>
      </c>
      <c r="B65" s="64">
        <v>4.28</v>
      </c>
      <c r="C65" s="64">
        <v>3.16</v>
      </c>
      <c r="D65" s="64">
        <v>7.27</v>
      </c>
      <c r="E65" s="64">
        <v>4.17</v>
      </c>
      <c r="F65" s="64">
        <v>4.34</v>
      </c>
      <c r="G65" s="64">
        <v>83.4</v>
      </c>
      <c r="H65" s="64">
        <v>22.05</v>
      </c>
      <c r="I65" s="64">
        <v>3.36</v>
      </c>
      <c r="J65" s="64">
        <v>0.28999999999999998</v>
      </c>
      <c r="K65" s="64">
        <v>12.63</v>
      </c>
      <c r="L65" s="64">
        <v>30.12</v>
      </c>
      <c r="M65" s="64">
        <v>74.239999999999995</v>
      </c>
      <c r="N65" s="64">
        <v>180.5</v>
      </c>
      <c r="O65" s="64">
        <v>0</v>
      </c>
      <c r="P65" s="64">
        <v>0.51</v>
      </c>
      <c r="Q65" s="64">
        <v>9.8000000000000007</v>
      </c>
      <c r="R65" s="198"/>
      <c r="S65" s="198"/>
      <c r="T65" s="198"/>
      <c r="U65" s="198"/>
    </row>
    <row r="66" spans="1:21" s="12" customFormat="1" x14ac:dyDescent="0.25">
      <c r="A66" s="214" t="s">
        <v>2128</v>
      </c>
      <c r="B66" s="64">
        <v>4.28</v>
      </c>
      <c r="C66" s="64">
        <v>3.19</v>
      </c>
      <c r="D66" s="64">
        <v>7.29</v>
      </c>
      <c r="E66" s="64">
        <v>4.25</v>
      </c>
      <c r="F66" s="64">
        <v>4.5599999999999996</v>
      </c>
      <c r="G66" s="64">
        <v>71.680000000000007</v>
      </c>
      <c r="H66" s="64">
        <v>16.86</v>
      </c>
      <c r="I66" s="64">
        <v>3.13</v>
      </c>
      <c r="J66" s="64">
        <v>0.4</v>
      </c>
      <c r="K66" s="64">
        <v>152.41</v>
      </c>
      <c r="L66" s="64">
        <v>30.34</v>
      </c>
      <c r="M66" s="64">
        <v>75.75</v>
      </c>
      <c r="N66" s="64">
        <v>205.6</v>
      </c>
      <c r="O66" s="64">
        <v>0</v>
      </c>
      <c r="P66" s="64">
        <v>0.5</v>
      </c>
      <c r="Q66" s="64">
        <v>9.7799999999999994</v>
      </c>
      <c r="R66" s="198"/>
      <c r="S66" s="198"/>
      <c r="T66" s="198"/>
      <c r="U66" s="198"/>
    </row>
    <row r="67" spans="1:21" s="12" customFormat="1" x14ac:dyDescent="0.25">
      <c r="A67" s="214" t="s">
        <v>2129</v>
      </c>
      <c r="B67" s="64">
        <v>4.32</v>
      </c>
      <c r="C67" s="64">
        <v>3.27</v>
      </c>
      <c r="D67" s="64">
        <v>7.36</v>
      </c>
      <c r="E67" s="64">
        <v>4.0599999999999996</v>
      </c>
      <c r="F67" s="64">
        <v>4.49</v>
      </c>
      <c r="G67" s="64">
        <v>71.680000000000007</v>
      </c>
      <c r="H67" s="64">
        <v>16.86</v>
      </c>
      <c r="I67" s="64">
        <v>2.42</v>
      </c>
      <c r="J67" s="64">
        <v>1.23</v>
      </c>
      <c r="K67" s="64">
        <v>330.92</v>
      </c>
      <c r="L67" s="64">
        <v>31.46</v>
      </c>
      <c r="M67" s="64">
        <v>66.459999999999994</v>
      </c>
      <c r="N67" s="64">
        <v>173.5</v>
      </c>
      <c r="O67" s="64">
        <v>0</v>
      </c>
      <c r="P67" s="64">
        <v>0.6</v>
      </c>
      <c r="Q67" s="64">
        <v>9.7799999999999994</v>
      </c>
      <c r="R67" s="198"/>
      <c r="S67" s="198"/>
      <c r="T67" s="198"/>
      <c r="U67" s="198"/>
    </row>
    <row r="68" spans="1:21" s="12" customFormat="1" x14ac:dyDescent="0.25">
      <c r="A68" s="214" t="s">
        <v>2130</v>
      </c>
      <c r="B68" s="64">
        <v>4.28</v>
      </c>
      <c r="C68" s="64">
        <v>3.29</v>
      </c>
      <c r="D68" s="64">
        <v>7.35</v>
      </c>
      <c r="E68" s="64">
        <v>4.1399999999999997</v>
      </c>
      <c r="F68" s="64">
        <v>4.4800000000000004</v>
      </c>
      <c r="G68" s="64">
        <v>71.680000000000007</v>
      </c>
      <c r="H68" s="64">
        <v>16.86</v>
      </c>
      <c r="I68" s="64">
        <v>1.66</v>
      </c>
      <c r="J68" s="64">
        <v>0.99</v>
      </c>
      <c r="K68" s="64">
        <v>329.77</v>
      </c>
      <c r="L68" s="64">
        <v>31.54</v>
      </c>
      <c r="M68" s="64">
        <v>63.54</v>
      </c>
      <c r="N68" s="64">
        <v>158.69999999999999</v>
      </c>
      <c r="O68" s="64">
        <v>0</v>
      </c>
      <c r="P68" s="64">
        <v>0.61</v>
      </c>
      <c r="Q68" s="64">
        <v>9.8000000000000007</v>
      </c>
      <c r="R68" s="198"/>
      <c r="S68" s="198"/>
      <c r="T68" s="198"/>
      <c r="U68" s="198"/>
    </row>
    <row r="69" spans="1:21" s="12" customFormat="1" x14ac:dyDescent="0.25">
      <c r="A69" s="214" t="s">
        <v>2131</v>
      </c>
      <c r="B69" s="64">
        <v>4.2300000000000004</v>
      </c>
      <c r="C69" s="64">
        <v>3.21</v>
      </c>
      <c r="D69" s="64">
        <v>7.26</v>
      </c>
      <c r="E69" s="64">
        <v>4.45</v>
      </c>
      <c r="F69" s="64">
        <v>3.65</v>
      </c>
      <c r="G69" s="64">
        <v>72.16</v>
      </c>
      <c r="H69" s="64">
        <v>16.690000000000001</v>
      </c>
      <c r="I69" s="64">
        <v>3</v>
      </c>
      <c r="J69" s="64">
        <v>1.45</v>
      </c>
      <c r="K69" s="64">
        <v>335.58</v>
      </c>
      <c r="L69" s="64">
        <v>31.57</v>
      </c>
      <c r="M69" s="64">
        <v>62.73</v>
      </c>
      <c r="N69" s="64">
        <v>152.6</v>
      </c>
      <c r="O69" s="64">
        <v>0</v>
      </c>
      <c r="P69" s="64">
        <v>0.62</v>
      </c>
      <c r="Q69" s="64">
        <v>9.7799999999999994</v>
      </c>
      <c r="R69" s="198"/>
      <c r="S69" s="198"/>
      <c r="T69" s="198"/>
      <c r="U69" s="198"/>
    </row>
    <row r="70" spans="1:21" s="12" customFormat="1" x14ac:dyDescent="0.25">
      <c r="A70" s="214" t="s">
        <v>2132</v>
      </c>
      <c r="B70" s="64">
        <v>4.22</v>
      </c>
      <c r="C70" s="64">
        <v>3.15</v>
      </c>
      <c r="D70" s="64">
        <v>7.22</v>
      </c>
      <c r="E70" s="64">
        <v>4.32</v>
      </c>
      <c r="F70" s="64">
        <v>7</v>
      </c>
      <c r="G70" s="64">
        <v>75.95</v>
      </c>
      <c r="H70" s="64">
        <v>15.54</v>
      </c>
      <c r="I70" s="64">
        <v>3.96</v>
      </c>
      <c r="J70" s="64">
        <v>0.8</v>
      </c>
      <c r="K70" s="64">
        <v>344.68</v>
      </c>
      <c r="L70" s="64">
        <v>31.35</v>
      </c>
      <c r="M70" s="64">
        <v>63.08</v>
      </c>
      <c r="N70" s="64">
        <v>136</v>
      </c>
      <c r="O70" s="64">
        <v>0</v>
      </c>
      <c r="P70" s="64">
        <v>0.56999999999999995</v>
      </c>
      <c r="Q70" s="64">
        <v>9.7799999999999994</v>
      </c>
      <c r="R70" s="198"/>
      <c r="S70" s="198"/>
      <c r="T70" s="198"/>
      <c r="U70" s="198"/>
    </row>
    <row r="71" spans="1:21" s="12" customFormat="1" x14ac:dyDescent="0.25">
      <c r="A71" s="214" t="s">
        <v>2133</v>
      </c>
      <c r="B71" s="64">
        <v>4.22</v>
      </c>
      <c r="C71" s="64">
        <v>3.25</v>
      </c>
      <c r="D71" s="64">
        <v>7.27</v>
      </c>
      <c r="E71" s="64">
        <v>3.93</v>
      </c>
      <c r="F71" s="64">
        <v>4.74</v>
      </c>
      <c r="G71" s="64">
        <v>75.95</v>
      </c>
      <c r="H71" s="64">
        <v>15.54</v>
      </c>
      <c r="I71" s="64">
        <v>3.06</v>
      </c>
      <c r="J71" s="64">
        <v>0.6</v>
      </c>
      <c r="K71" s="64">
        <v>359.44</v>
      </c>
      <c r="L71" s="64">
        <v>31.2</v>
      </c>
      <c r="M71" s="64">
        <v>64.38</v>
      </c>
      <c r="N71" s="64">
        <v>139.5</v>
      </c>
      <c r="O71" s="64">
        <v>0</v>
      </c>
      <c r="P71" s="64">
        <v>0.59</v>
      </c>
      <c r="Q71" s="64">
        <v>9.74</v>
      </c>
      <c r="R71" s="198"/>
      <c r="S71" s="198"/>
      <c r="T71" s="198"/>
      <c r="U71" s="198"/>
    </row>
    <row r="72" spans="1:21" s="12" customFormat="1" x14ac:dyDescent="0.25">
      <c r="A72" s="214" t="s">
        <v>2134</v>
      </c>
      <c r="B72" s="64">
        <v>4.2300000000000004</v>
      </c>
      <c r="C72" s="64">
        <v>3.23</v>
      </c>
      <c r="D72" s="64">
        <v>7.27</v>
      </c>
      <c r="E72" s="64">
        <v>3.99</v>
      </c>
      <c r="F72" s="64">
        <v>3.36</v>
      </c>
      <c r="G72" s="64">
        <v>75.95</v>
      </c>
      <c r="H72" s="64">
        <v>15.54</v>
      </c>
      <c r="I72" s="64">
        <v>2.8</v>
      </c>
      <c r="J72" s="64">
        <v>0.74</v>
      </c>
      <c r="K72" s="64">
        <v>329.93</v>
      </c>
      <c r="L72" s="64">
        <v>30.9</v>
      </c>
      <c r="M72" s="64">
        <v>65.64</v>
      </c>
      <c r="N72" s="64">
        <v>119.7</v>
      </c>
      <c r="O72" s="64">
        <v>0</v>
      </c>
      <c r="P72" s="64">
        <v>0.56999999999999995</v>
      </c>
      <c r="Q72" s="64">
        <v>9.7100000000000009</v>
      </c>
      <c r="R72" s="198"/>
      <c r="S72" s="198"/>
      <c r="T72" s="198"/>
      <c r="U72" s="198"/>
    </row>
    <row r="73" spans="1:21" s="12" customFormat="1" x14ac:dyDescent="0.25">
      <c r="A73" s="214" t="s">
        <v>2135</v>
      </c>
      <c r="B73" s="64">
        <v>4.22</v>
      </c>
      <c r="C73" s="64">
        <v>3.17</v>
      </c>
      <c r="D73" s="64">
        <v>7.23</v>
      </c>
      <c r="E73" s="64">
        <v>3.6</v>
      </c>
      <c r="F73" s="64">
        <v>3.67</v>
      </c>
      <c r="G73" s="64">
        <v>76.06</v>
      </c>
      <c r="H73" s="64">
        <v>14.55</v>
      </c>
      <c r="I73" s="64">
        <v>2.56</v>
      </c>
      <c r="J73" s="64">
        <v>0.68</v>
      </c>
      <c r="K73" s="64">
        <v>356.76</v>
      </c>
      <c r="L73" s="64">
        <v>30.57</v>
      </c>
      <c r="M73" s="64">
        <v>66</v>
      </c>
      <c r="N73" s="64">
        <v>104</v>
      </c>
      <c r="O73" s="64">
        <v>0</v>
      </c>
      <c r="P73" s="64">
        <v>0.56000000000000005</v>
      </c>
      <c r="Q73" s="64">
        <v>9.7200000000000006</v>
      </c>
      <c r="R73" s="198"/>
      <c r="S73" s="198"/>
      <c r="T73" s="198"/>
      <c r="U73" s="198"/>
    </row>
    <row r="74" spans="1:21" s="12" customFormat="1" x14ac:dyDescent="0.25">
      <c r="A74" s="214" t="s">
        <v>2136</v>
      </c>
      <c r="B74" s="64">
        <v>4.28</v>
      </c>
      <c r="C74" s="64">
        <v>3.25</v>
      </c>
      <c r="D74" s="64">
        <v>7.32</v>
      </c>
      <c r="E74" s="64">
        <v>3.5</v>
      </c>
      <c r="F74" s="64">
        <v>3.66</v>
      </c>
      <c r="G74" s="64">
        <v>76.94</v>
      </c>
      <c r="H74" s="64">
        <v>8.1199999999999992</v>
      </c>
      <c r="I74" s="64">
        <v>2.04</v>
      </c>
      <c r="J74" s="64">
        <v>0.6</v>
      </c>
      <c r="K74" s="64">
        <v>341.83</v>
      </c>
      <c r="L74" s="64">
        <v>30.61</v>
      </c>
      <c r="M74" s="64">
        <v>65.73</v>
      </c>
      <c r="N74" s="64">
        <v>89.1</v>
      </c>
      <c r="O74" s="64">
        <v>0</v>
      </c>
      <c r="P74" s="64">
        <v>0.63</v>
      </c>
      <c r="Q74" s="64">
        <v>9.75</v>
      </c>
      <c r="R74" s="198"/>
      <c r="S74" s="198"/>
      <c r="T74" s="198"/>
      <c r="U74" s="198"/>
    </row>
    <row r="75" spans="1:21" s="12" customFormat="1" x14ac:dyDescent="0.25">
      <c r="A75" s="214" t="s">
        <v>2137</v>
      </c>
      <c r="B75" s="64">
        <v>4.25</v>
      </c>
      <c r="C75" s="64">
        <v>3.21</v>
      </c>
      <c r="D75" s="64">
        <v>7.27</v>
      </c>
      <c r="E75" s="64">
        <v>3.52</v>
      </c>
      <c r="F75" s="64">
        <v>5.73</v>
      </c>
      <c r="G75" s="64">
        <v>76.94</v>
      </c>
      <c r="H75" s="64">
        <v>8.1199999999999992</v>
      </c>
      <c r="I75" s="64">
        <v>2.52</v>
      </c>
      <c r="J75" s="64">
        <v>0.27</v>
      </c>
      <c r="K75" s="64">
        <v>3.43</v>
      </c>
      <c r="L75" s="64">
        <v>30.22</v>
      </c>
      <c r="M75" s="64">
        <v>67.739999999999995</v>
      </c>
      <c r="N75" s="64">
        <v>77.8</v>
      </c>
      <c r="O75" s="64">
        <v>0</v>
      </c>
      <c r="P75" s="64">
        <v>0.56999999999999995</v>
      </c>
      <c r="Q75" s="64">
        <v>9.7200000000000006</v>
      </c>
      <c r="R75" s="198"/>
      <c r="S75" s="198"/>
      <c r="T75" s="198"/>
      <c r="U75" s="198"/>
    </row>
    <row r="76" spans="1:21" s="12" customFormat="1" x14ac:dyDescent="0.25">
      <c r="A76" s="214" t="s">
        <v>2138</v>
      </c>
      <c r="B76" s="64">
        <v>4.22</v>
      </c>
      <c r="C76" s="64">
        <v>3.21</v>
      </c>
      <c r="D76" s="64">
        <v>7.25</v>
      </c>
      <c r="E76" s="64">
        <v>3.66</v>
      </c>
      <c r="F76" s="64">
        <v>4.24</v>
      </c>
      <c r="G76" s="64">
        <v>76.94</v>
      </c>
      <c r="H76" s="64">
        <v>8.1199999999999992</v>
      </c>
      <c r="I76" s="64">
        <v>2.4500000000000002</v>
      </c>
      <c r="J76" s="64">
        <v>0.26</v>
      </c>
      <c r="K76" s="64">
        <v>41.57</v>
      </c>
      <c r="L76" s="64">
        <v>29.85</v>
      </c>
      <c r="M76" s="64">
        <v>69.95</v>
      </c>
      <c r="N76" s="64">
        <v>68.3</v>
      </c>
      <c r="O76" s="64">
        <v>0</v>
      </c>
      <c r="P76" s="64">
        <v>0.59</v>
      </c>
      <c r="Q76" s="64">
        <v>9.68</v>
      </c>
      <c r="R76" s="198"/>
      <c r="S76" s="198"/>
      <c r="T76" s="198"/>
      <c r="U76" s="198"/>
    </row>
    <row r="77" spans="1:21" s="12" customFormat="1" x14ac:dyDescent="0.25">
      <c r="A77" s="214" t="s">
        <v>2139</v>
      </c>
      <c r="B77" s="64">
        <v>4.25</v>
      </c>
      <c r="C77" s="64">
        <v>3.22</v>
      </c>
      <c r="D77" s="64">
        <v>7.28</v>
      </c>
      <c r="E77" s="64">
        <v>4</v>
      </c>
      <c r="F77" s="64">
        <v>4.28</v>
      </c>
      <c r="G77" s="64">
        <v>75.03</v>
      </c>
      <c r="H77" s="64">
        <v>13.03</v>
      </c>
      <c r="I77" s="64">
        <v>1.95</v>
      </c>
      <c r="J77" s="64">
        <v>0.35</v>
      </c>
      <c r="K77" s="64">
        <v>345.71</v>
      </c>
      <c r="L77" s="64">
        <v>29.73</v>
      </c>
      <c r="M77" s="64">
        <v>68.510000000000005</v>
      </c>
      <c r="N77" s="64">
        <v>59.7</v>
      </c>
      <c r="O77" s="64">
        <v>0</v>
      </c>
      <c r="P77" s="64">
        <v>0.68</v>
      </c>
      <c r="Q77" s="64">
        <v>9.58</v>
      </c>
      <c r="R77" s="198"/>
      <c r="S77" s="198"/>
      <c r="T77" s="198"/>
      <c r="U77" s="198"/>
    </row>
    <row r="78" spans="1:21" s="12" customFormat="1" x14ac:dyDescent="0.25">
      <c r="A78" s="214" t="s">
        <v>2140</v>
      </c>
      <c r="B78" s="64">
        <v>4.24</v>
      </c>
      <c r="C78" s="64">
        <v>3.16</v>
      </c>
      <c r="D78" s="64">
        <v>7.24</v>
      </c>
      <c r="E78" s="64">
        <v>3.74</v>
      </c>
      <c r="F78" s="64">
        <v>4.68</v>
      </c>
      <c r="G78" s="64">
        <v>59.76</v>
      </c>
      <c r="H78" s="64">
        <v>44.07</v>
      </c>
      <c r="I78" s="64">
        <v>1.84</v>
      </c>
      <c r="J78" s="64">
        <v>0.35</v>
      </c>
      <c r="K78" s="64">
        <v>9.4600000000000009</v>
      </c>
      <c r="L78" s="64">
        <v>29.7</v>
      </c>
      <c r="M78" s="64">
        <v>69.739999999999995</v>
      </c>
      <c r="N78" s="64">
        <v>48.8</v>
      </c>
      <c r="O78" s="64">
        <v>0</v>
      </c>
      <c r="P78" s="64">
        <v>0.65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2141</v>
      </c>
      <c r="B79" s="64">
        <v>4.29</v>
      </c>
      <c r="C79" s="64">
        <v>3.3</v>
      </c>
      <c r="D79" s="64">
        <v>7.35</v>
      </c>
      <c r="E79" s="64">
        <v>3.8</v>
      </c>
      <c r="F79" s="64">
        <v>4.21</v>
      </c>
      <c r="G79" s="64">
        <v>59.76</v>
      </c>
      <c r="H79" s="64">
        <v>44.07</v>
      </c>
      <c r="I79" s="64">
        <v>2.2799999999999998</v>
      </c>
      <c r="J79" s="64">
        <v>1.01</v>
      </c>
      <c r="K79" s="64">
        <v>331.2</v>
      </c>
      <c r="L79" s="64">
        <v>29.3</v>
      </c>
      <c r="M79" s="64">
        <v>73.89</v>
      </c>
      <c r="N79" s="64">
        <v>39.5</v>
      </c>
      <c r="O79" s="64">
        <v>0</v>
      </c>
      <c r="P79" s="64">
        <v>0.74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4" t="s">
        <v>2142</v>
      </c>
      <c r="B80" s="64">
        <v>4.29</v>
      </c>
      <c r="C80" s="64">
        <v>3.24</v>
      </c>
      <c r="D80" s="64">
        <v>7.32</v>
      </c>
      <c r="E80" s="64">
        <v>3.69</v>
      </c>
      <c r="F80" s="64">
        <v>4.1399999999999997</v>
      </c>
      <c r="G80" s="64">
        <v>59.76</v>
      </c>
      <c r="H80" s="64">
        <v>44.07</v>
      </c>
      <c r="I80" s="64">
        <v>2.16</v>
      </c>
      <c r="J80" s="64">
        <v>0.94</v>
      </c>
      <c r="K80" s="64">
        <v>331.97</v>
      </c>
      <c r="L80" s="64">
        <v>28.67</v>
      </c>
      <c r="M80" s="64">
        <v>78.400000000000006</v>
      </c>
      <c r="N80" s="64">
        <v>31.8</v>
      </c>
      <c r="O80" s="64">
        <v>0</v>
      </c>
      <c r="P80" s="64">
        <v>0.86</v>
      </c>
      <c r="Q80" s="64">
        <v>9.67</v>
      </c>
      <c r="R80" s="198"/>
      <c r="S80" s="198"/>
      <c r="T80" s="198"/>
      <c r="U80" s="198"/>
    </row>
    <row r="81" spans="1:26" s="12" customFormat="1" x14ac:dyDescent="0.25">
      <c r="A81" s="214" t="s">
        <v>2143</v>
      </c>
      <c r="B81" s="64">
        <v>4.3099999999999996</v>
      </c>
      <c r="C81" s="64">
        <v>3.25</v>
      </c>
      <c r="D81" s="64">
        <v>7.35</v>
      </c>
      <c r="E81" s="64">
        <v>3.81</v>
      </c>
      <c r="F81" s="64">
        <v>3.9</v>
      </c>
      <c r="G81" s="64">
        <v>62.58</v>
      </c>
      <c r="H81" s="64">
        <v>42.36</v>
      </c>
      <c r="I81" s="64">
        <v>2.38</v>
      </c>
      <c r="J81" s="64">
        <v>0.61</v>
      </c>
      <c r="K81" s="64">
        <v>328.7</v>
      </c>
      <c r="L81" s="64">
        <v>28.06</v>
      </c>
      <c r="M81" s="64">
        <v>80.78</v>
      </c>
      <c r="N81" s="64">
        <v>27.2</v>
      </c>
      <c r="O81" s="64">
        <v>0</v>
      </c>
      <c r="P81" s="64">
        <v>1.1299999999999999</v>
      </c>
      <c r="Q81" s="64">
        <v>9.77</v>
      </c>
      <c r="R81" s="198"/>
      <c r="S81" s="198"/>
      <c r="T81" s="198"/>
      <c r="U81" s="198"/>
    </row>
    <row r="82" spans="1:26" s="12" customFormat="1" x14ac:dyDescent="0.25">
      <c r="A82" s="214" t="s">
        <v>2144</v>
      </c>
      <c r="B82" s="64">
        <v>4.3099999999999996</v>
      </c>
      <c r="C82" s="64">
        <v>3.26</v>
      </c>
      <c r="D82" s="64">
        <v>7.35</v>
      </c>
      <c r="E82" s="64">
        <v>4.05</v>
      </c>
      <c r="F82" s="64">
        <v>3.85</v>
      </c>
      <c r="G82" s="64">
        <v>85.18</v>
      </c>
      <c r="H82" s="64">
        <v>31.35</v>
      </c>
      <c r="I82" s="64">
        <v>3.31</v>
      </c>
      <c r="J82" s="64">
        <v>0.23</v>
      </c>
      <c r="K82" s="64">
        <v>331.72</v>
      </c>
      <c r="L82" s="64">
        <v>27.67</v>
      </c>
      <c r="M82" s="64">
        <v>82.2</v>
      </c>
      <c r="N82" s="64">
        <v>26.5</v>
      </c>
      <c r="O82" s="64">
        <v>0</v>
      </c>
      <c r="P82" s="64">
        <v>1.19</v>
      </c>
      <c r="Q82" s="64">
        <v>9.82</v>
      </c>
      <c r="R82" s="198"/>
      <c r="S82" s="198"/>
      <c r="T82" s="198"/>
      <c r="U82" s="198"/>
    </row>
    <row r="83" spans="1:26" s="12" customFormat="1" x14ac:dyDescent="0.25">
      <c r="A83" s="214" t="s">
        <v>2145</v>
      </c>
      <c r="B83" s="64">
        <v>4.3099999999999996</v>
      </c>
      <c r="C83" s="64">
        <v>3.27</v>
      </c>
      <c r="D83" s="64">
        <v>7.35</v>
      </c>
      <c r="E83" s="64">
        <v>4.2699999999999996</v>
      </c>
      <c r="F83" s="64">
        <v>4.1900000000000004</v>
      </c>
      <c r="G83" s="64">
        <v>85.18</v>
      </c>
      <c r="H83" s="64">
        <v>31.35</v>
      </c>
      <c r="I83" s="64">
        <v>4.2300000000000004</v>
      </c>
      <c r="J83" s="64">
        <v>0.35</v>
      </c>
      <c r="K83" s="64">
        <v>137.71</v>
      </c>
      <c r="L83" s="64">
        <v>27.74</v>
      </c>
      <c r="M83" s="64">
        <v>78.819999999999993</v>
      </c>
      <c r="N83" s="64">
        <v>26.3</v>
      </c>
      <c r="O83" s="64">
        <v>0</v>
      </c>
      <c r="P83" s="64">
        <v>1.19</v>
      </c>
      <c r="Q83" s="64">
        <v>9.85</v>
      </c>
      <c r="R83" s="198"/>
      <c r="S83" s="198"/>
      <c r="T83" s="198"/>
      <c r="U83" s="198"/>
    </row>
    <row r="84" spans="1:26" s="12" customFormat="1" x14ac:dyDescent="0.25">
      <c r="A84" s="214" t="s">
        <v>2146</v>
      </c>
      <c r="B84" s="64">
        <v>4.3099999999999996</v>
      </c>
      <c r="C84" s="64">
        <v>3.28</v>
      </c>
      <c r="D84" s="64">
        <v>7.36</v>
      </c>
      <c r="E84" s="64">
        <v>3.85</v>
      </c>
      <c r="F84" s="64">
        <v>4.9800000000000004</v>
      </c>
      <c r="G84" s="64">
        <v>85.18</v>
      </c>
      <c r="H84" s="64">
        <v>31.35</v>
      </c>
      <c r="I84" s="64">
        <v>4.29</v>
      </c>
      <c r="J84" s="64">
        <v>0.13</v>
      </c>
      <c r="K84" s="64">
        <v>152.24</v>
      </c>
      <c r="L84" s="64">
        <v>27.89</v>
      </c>
      <c r="M84" s="64">
        <v>78.73</v>
      </c>
      <c r="N84" s="64">
        <v>26.2</v>
      </c>
      <c r="O84" s="64">
        <v>0</v>
      </c>
      <c r="P84" s="64">
        <v>0.9</v>
      </c>
      <c r="Q84" s="64">
        <v>9.9499999999999993</v>
      </c>
      <c r="R84" s="198"/>
      <c r="S84" s="198"/>
      <c r="T84" s="198"/>
      <c r="U84" s="198"/>
    </row>
    <row r="85" spans="1:26" s="12" customFormat="1" x14ac:dyDescent="0.25">
      <c r="A85" s="214" t="s">
        <v>2147</v>
      </c>
      <c r="B85" s="64">
        <v>4.28</v>
      </c>
      <c r="C85" s="64">
        <v>3.28</v>
      </c>
      <c r="D85" s="64">
        <v>7.34</v>
      </c>
      <c r="E85" s="64">
        <v>4.08</v>
      </c>
      <c r="F85" s="64">
        <v>3.38</v>
      </c>
      <c r="G85" s="64">
        <v>86.08</v>
      </c>
      <c r="H85" s="64">
        <v>30.41</v>
      </c>
      <c r="I85" s="64">
        <v>3.73</v>
      </c>
      <c r="J85" s="64">
        <v>0.39</v>
      </c>
      <c r="K85" s="64">
        <v>268.54000000000002</v>
      </c>
      <c r="L85" s="64">
        <v>27.6</v>
      </c>
      <c r="M85" s="64">
        <v>83.38</v>
      </c>
      <c r="N85" s="64">
        <v>26.4</v>
      </c>
      <c r="O85" s="64">
        <v>0</v>
      </c>
      <c r="P85" s="64">
        <v>1.06</v>
      </c>
      <c r="Q85" s="64">
        <v>9.9600000000000009</v>
      </c>
      <c r="R85" s="198"/>
      <c r="S85" s="198"/>
      <c r="T85" s="198"/>
      <c r="U85" s="198"/>
    </row>
    <row r="86" spans="1:26" s="12" customFormat="1" x14ac:dyDescent="0.25">
      <c r="A86" s="214" t="s">
        <v>2148</v>
      </c>
      <c r="B86" s="64">
        <v>4.32</v>
      </c>
      <c r="C86" s="64">
        <v>3.35</v>
      </c>
      <c r="D86" s="64">
        <v>7.41</v>
      </c>
      <c r="E86" s="64">
        <v>4.12</v>
      </c>
      <c r="F86" s="64">
        <v>3.18</v>
      </c>
      <c r="G86" s="64">
        <v>93.32</v>
      </c>
      <c r="H86" s="64">
        <v>24.37</v>
      </c>
      <c r="I86" s="64">
        <v>3.66</v>
      </c>
      <c r="J86" s="64">
        <v>0.49</v>
      </c>
      <c r="K86" s="64">
        <v>222.27</v>
      </c>
      <c r="L86" s="64">
        <v>27.41</v>
      </c>
      <c r="M86" s="64">
        <v>88.82</v>
      </c>
      <c r="N86" s="64">
        <v>26.3</v>
      </c>
      <c r="O86" s="64">
        <v>0</v>
      </c>
      <c r="P86" s="64">
        <v>0.96</v>
      </c>
      <c r="Q86" s="64">
        <v>9.9600000000000009</v>
      </c>
      <c r="R86" s="198"/>
      <c r="S86" s="198"/>
      <c r="T86" s="198"/>
      <c r="U86" s="198"/>
    </row>
    <row r="87" spans="1:26" s="12" customFormat="1" x14ac:dyDescent="0.25">
      <c r="A87" s="214" t="s">
        <v>2149</v>
      </c>
      <c r="B87" s="64">
        <v>4.3099999999999996</v>
      </c>
      <c r="C87" s="64">
        <v>3.3</v>
      </c>
      <c r="D87" s="64">
        <v>7.37</v>
      </c>
      <c r="E87" s="64">
        <v>3.97</v>
      </c>
      <c r="F87" s="64">
        <v>4.34</v>
      </c>
      <c r="G87" s="64">
        <v>93.32</v>
      </c>
      <c r="H87" s="64">
        <v>24.37</v>
      </c>
      <c r="I87" s="64">
        <v>3.9</v>
      </c>
      <c r="J87" s="64">
        <v>0.42</v>
      </c>
      <c r="K87" s="64">
        <v>221.08</v>
      </c>
      <c r="L87" s="64">
        <v>27.36</v>
      </c>
      <c r="M87" s="64">
        <v>97.72</v>
      </c>
      <c r="N87" s="64">
        <v>26</v>
      </c>
      <c r="O87" s="64">
        <v>0</v>
      </c>
      <c r="P87" s="64">
        <v>0.79</v>
      </c>
      <c r="Q87" s="64">
        <v>10.050000000000001</v>
      </c>
      <c r="R87" s="198"/>
      <c r="S87" s="198"/>
      <c r="T87" s="198"/>
      <c r="U87" s="198"/>
    </row>
    <row r="88" spans="1:26" s="12" customFormat="1" x14ac:dyDescent="0.25">
      <c r="A88" s="214" t="s">
        <v>2150</v>
      </c>
      <c r="B88" s="64">
        <v>4.29</v>
      </c>
      <c r="C88" s="64">
        <v>3.3</v>
      </c>
      <c r="D88" s="64">
        <v>7.35</v>
      </c>
      <c r="E88" s="64">
        <v>3.98</v>
      </c>
      <c r="F88" s="64">
        <v>2.71</v>
      </c>
      <c r="G88" s="64">
        <v>93.32</v>
      </c>
      <c r="H88" s="64">
        <v>24.37</v>
      </c>
      <c r="I88" s="64">
        <v>4.17</v>
      </c>
      <c r="J88" s="64">
        <v>0.51</v>
      </c>
      <c r="K88" s="64">
        <v>161.37</v>
      </c>
      <c r="L88" s="64">
        <v>27.17</v>
      </c>
      <c r="M88" s="64">
        <v>100.93</v>
      </c>
      <c r="N88" s="64">
        <v>26.1</v>
      </c>
      <c r="O88" s="64">
        <v>0</v>
      </c>
      <c r="P88" s="64">
        <v>0.66</v>
      </c>
      <c r="Q88" s="64">
        <v>10.029999999999999</v>
      </c>
      <c r="R88" s="198"/>
      <c r="S88" s="198"/>
      <c r="T88" s="198"/>
      <c r="U88" s="198"/>
    </row>
    <row r="89" spans="1:26" s="12" customFormat="1" x14ac:dyDescent="0.25">
      <c r="A89" s="214" t="s">
        <v>2151</v>
      </c>
      <c r="B89" s="64">
        <v>4.34</v>
      </c>
      <c r="C89" s="64">
        <v>3.36</v>
      </c>
      <c r="D89" s="64">
        <v>7.43</v>
      </c>
      <c r="E89" s="64">
        <v>3.66</v>
      </c>
      <c r="F89" s="64">
        <v>3.53</v>
      </c>
      <c r="G89" s="64">
        <v>92.93</v>
      </c>
      <c r="H89" s="64">
        <v>23.62</v>
      </c>
      <c r="I89" s="64">
        <v>3.81</v>
      </c>
      <c r="J89" s="64">
        <v>0.36</v>
      </c>
      <c r="K89" s="64">
        <v>168.36</v>
      </c>
      <c r="L89" s="64">
        <v>26.95</v>
      </c>
      <c r="M89" s="64">
        <v>101.75</v>
      </c>
      <c r="N89" s="64">
        <v>26.1</v>
      </c>
      <c r="O89" s="64">
        <v>0</v>
      </c>
      <c r="P89" s="64">
        <v>0.68</v>
      </c>
      <c r="Q89" s="64">
        <v>10.039999999999999</v>
      </c>
      <c r="R89" s="198"/>
      <c r="S89" s="198"/>
      <c r="T89" s="198"/>
      <c r="U89" s="198"/>
    </row>
    <row r="90" spans="1:26" s="12" customFormat="1" x14ac:dyDescent="0.25">
      <c r="A90" s="214" t="s">
        <v>2152</v>
      </c>
      <c r="B90" s="64">
        <v>4.26</v>
      </c>
      <c r="C90" s="64">
        <v>3.23</v>
      </c>
      <c r="D90" s="64">
        <v>7.3</v>
      </c>
      <c r="E90" s="64">
        <v>3.86</v>
      </c>
      <c r="F90" s="64">
        <v>4.2</v>
      </c>
      <c r="G90" s="64">
        <v>89.82</v>
      </c>
      <c r="H90" s="64">
        <v>18.899999999999999</v>
      </c>
      <c r="I90" s="64">
        <v>2.7</v>
      </c>
      <c r="J90" s="64">
        <v>0.13</v>
      </c>
      <c r="K90" s="64">
        <v>209.56</v>
      </c>
      <c r="L90" s="64">
        <v>26.71</v>
      </c>
      <c r="M90" s="64">
        <v>101.75</v>
      </c>
      <c r="N90" s="64">
        <v>26.1</v>
      </c>
      <c r="O90" s="64">
        <v>0</v>
      </c>
      <c r="P90" s="64">
        <v>0.72</v>
      </c>
      <c r="Q90" s="64">
        <v>10.06</v>
      </c>
      <c r="R90" s="198"/>
      <c r="S90" s="198"/>
      <c r="T90" s="198"/>
      <c r="U90" s="198"/>
    </row>
    <row r="91" spans="1:26" s="12" customFormat="1" x14ac:dyDescent="0.25">
      <c r="A91" s="214" t="s">
        <v>2153</v>
      </c>
      <c r="B91" s="64">
        <v>4.24</v>
      </c>
      <c r="C91" s="64">
        <v>3.19</v>
      </c>
      <c r="D91" s="64">
        <v>7.25</v>
      </c>
      <c r="E91" s="64">
        <v>4.08</v>
      </c>
      <c r="F91" s="64">
        <v>2.61</v>
      </c>
      <c r="G91" s="64">
        <v>89.82</v>
      </c>
      <c r="H91" s="64">
        <v>18.899999999999999</v>
      </c>
      <c r="I91" s="64">
        <v>2.98</v>
      </c>
      <c r="J91" s="64">
        <v>0.1</v>
      </c>
      <c r="K91" s="64">
        <v>35.67</v>
      </c>
      <c r="L91" s="64">
        <v>26.42</v>
      </c>
      <c r="M91" s="64">
        <v>101.77</v>
      </c>
      <c r="N91" s="64">
        <v>26.1</v>
      </c>
      <c r="O91" s="64">
        <v>0</v>
      </c>
      <c r="P91" s="64">
        <v>0.61</v>
      </c>
      <c r="Q91" s="64">
        <v>10.02</v>
      </c>
      <c r="R91" s="198"/>
      <c r="S91" s="198"/>
      <c r="T91" s="198"/>
      <c r="U91" s="198"/>
    </row>
    <row r="92" spans="1:26" s="12" customFormat="1" x14ac:dyDescent="0.25">
      <c r="A92" s="214" t="s">
        <v>2154</v>
      </c>
      <c r="B92" s="64">
        <v>4.33</v>
      </c>
      <c r="C92" s="64">
        <v>3.3</v>
      </c>
      <c r="D92" s="64">
        <v>7.39</v>
      </c>
      <c r="E92" s="64">
        <v>3.88</v>
      </c>
      <c r="F92" s="64">
        <v>4.13</v>
      </c>
      <c r="G92" s="64">
        <v>89.82</v>
      </c>
      <c r="H92" s="64">
        <v>18.899999999999999</v>
      </c>
      <c r="I92" s="64">
        <v>3.31</v>
      </c>
      <c r="J92" s="64">
        <v>0.24</v>
      </c>
      <c r="K92" s="64">
        <v>96.01</v>
      </c>
      <c r="L92" s="64">
        <v>26.19</v>
      </c>
      <c r="M92" s="64">
        <v>101.8</v>
      </c>
      <c r="N92" s="64">
        <v>26.1</v>
      </c>
      <c r="O92" s="64">
        <v>0</v>
      </c>
      <c r="P92" s="64">
        <v>0.55000000000000004</v>
      </c>
      <c r="Q92" s="64">
        <v>10.01</v>
      </c>
      <c r="R92" s="198"/>
      <c r="S92" s="198"/>
      <c r="T92" s="198"/>
      <c r="U92" s="198"/>
    </row>
    <row r="93" spans="1:26" s="12" customFormat="1" x14ac:dyDescent="0.25">
      <c r="A93" s="214" t="s">
        <v>2155</v>
      </c>
      <c r="B93" s="64">
        <v>4.3</v>
      </c>
      <c r="C93" s="64">
        <v>3.28</v>
      </c>
      <c r="D93" s="64">
        <v>7.36</v>
      </c>
      <c r="E93" s="64">
        <v>4.05</v>
      </c>
      <c r="F93" s="64">
        <v>3.39</v>
      </c>
      <c r="G93" s="64">
        <v>88.34</v>
      </c>
      <c r="H93" s="64">
        <v>17.920000000000002</v>
      </c>
      <c r="I93" s="64">
        <v>2.2200000000000002</v>
      </c>
      <c r="J93" s="64">
        <v>0.52</v>
      </c>
      <c r="K93" s="64">
        <v>147.63</v>
      </c>
      <c r="L93" s="64">
        <v>26.12</v>
      </c>
      <c r="M93" s="64">
        <v>101.8</v>
      </c>
      <c r="N93" s="64">
        <v>25.8</v>
      </c>
      <c r="O93" s="64">
        <v>0</v>
      </c>
      <c r="P93" s="64">
        <v>0.55000000000000004</v>
      </c>
      <c r="Q93" s="64">
        <v>10</v>
      </c>
      <c r="R93" s="198"/>
      <c r="S93" s="198"/>
      <c r="T93" s="198"/>
      <c r="U93" s="198"/>
    </row>
    <row r="94" spans="1:26" s="12" customFormat="1" x14ac:dyDescent="0.25">
      <c r="A94" s="214" t="s">
        <v>2156</v>
      </c>
      <c r="B94" s="64">
        <v>4.32</v>
      </c>
      <c r="C94" s="64">
        <v>3.29</v>
      </c>
      <c r="D94" s="64">
        <v>7.37</v>
      </c>
      <c r="E94" s="64">
        <v>3.71</v>
      </c>
      <c r="F94" s="64">
        <v>3.91</v>
      </c>
      <c r="G94" s="64">
        <v>76.489999999999995</v>
      </c>
      <c r="H94" s="64">
        <v>11.72</v>
      </c>
      <c r="I94" s="64">
        <v>1.79</v>
      </c>
      <c r="J94" s="64">
        <v>0.26</v>
      </c>
      <c r="K94" s="64">
        <v>112</v>
      </c>
      <c r="L94" s="64">
        <v>26.08</v>
      </c>
      <c r="M94" s="64">
        <v>101.79</v>
      </c>
      <c r="N94" s="64">
        <v>26</v>
      </c>
      <c r="O94" s="64">
        <v>0</v>
      </c>
      <c r="P94" s="64">
        <v>0.45</v>
      </c>
      <c r="Q94" s="64">
        <v>9.9700000000000006</v>
      </c>
      <c r="R94" s="198"/>
      <c r="S94" s="198"/>
      <c r="T94" s="198"/>
      <c r="U94" s="198"/>
    </row>
    <row r="95" spans="1:26" s="12" customFormat="1" x14ac:dyDescent="0.25">
      <c r="A95" s="214" t="s">
        <v>2157</v>
      </c>
      <c r="B95" s="64">
        <v>4.3099999999999996</v>
      </c>
      <c r="C95" s="64">
        <v>3.24</v>
      </c>
      <c r="D95" s="64">
        <v>7.34</v>
      </c>
      <c r="E95" s="64">
        <v>4.04</v>
      </c>
      <c r="F95" s="64">
        <v>4.16</v>
      </c>
      <c r="G95" s="64">
        <v>76.489999999999995</v>
      </c>
      <c r="H95" s="64">
        <v>11.72</v>
      </c>
      <c r="I95" s="64">
        <v>1.9</v>
      </c>
      <c r="J95" s="64">
        <v>0.09</v>
      </c>
      <c r="K95" s="64">
        <v>354.77</v>
      </c>
      <c r="L95" s="64">
        <v>26.03</v>
      </c>
      <c r="M95" s="64">
        <v>101.8</v>
      </c>
      <c r="N95" s="64">
        <v>25.9</v>
      </c>
      <c r="O95" s="64">
        <v>0</v>
      </c>
      <c r="P95" s="64">
        <v>0.6</v>
      </c>
      <c r="Q95" s="64">
        <v>9.9700000000000006</v>
      </c>
      <c r="R95" s="198"/>
      <c r="S95" s="198"/>
      <c r="T95" s="198"/>
      <c r="U95" s="198"/>
    </row>
    <row r="96" spans="1:26" s="12" customFormat="1" x14ac:dyDescent="0.25">
      <c r="A96" s="214" t="s">
        <v>2158</v>
      </c>
      <c r="B96" s="64">
        <v>4.33</v>
      </c>
      <c r="C96" s="64">
        <v>3.23</v>
      </c>
      <c r="D96" s="64">
        <v>7.35</v>
      </c>
      <c r="E96" s="64">
        <v>3.83</v>
      </c>
      <c r="F96" s="64">
        <v>3.9</v>
      </c>
      <c r="G96" s="64">
        <v>76.489999999999995</v>
      </c>
      <c r="H96" s="64">
        <v>11.72</v>
      </c>
      <c r="I96" s="64">
        <v>2.58</v>
      </c>
      <c r="J96" s="64">
        <v>0.13</v>
      </c>
      <c r="K96" s="64">
        <v>320.19</v>
      </c>
      <c r="L96" s="64">
        <v>25.91</v>
      </c>
      <c r="M96" s="64">
        <v>101.8</v>
      </c>
      <c r="N96" s="64">
        <v>26.1</v>
      </c>
      <c r="O96" s="64">
        <v>0</v>
      </c>
      <c r="P96" s="64">
        <v>0.79</v>
      </c>
      <c r="Q96" s="64">
        <v>9.9700000000000006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2159</v>
      </c>
      <c r="B97" s="64">
        <v>4.3099999999999996</v>
      </c>
      <c r="C97" s="64">
        <v>3.2</v>
      </c>
      <c r="D97" s="64">
        <v>7.32</v>
      </c>
      <c r="E97" s="64">
        <v>4.28</v>
      </c>
      <c r="F97" s="64">
        <v>3.55</v>
      </c>
      <c r="G97" s="64">
        <v>75.44</v>
      </c>
      <c r="H97" s="64">
        <v>11.09</v>
      </c>
      <c r="I97" s="64">
        <v>2.98</v>
      </c>
      <c r="J97" s="64">
        <v>0.11</v>
      </c>
      <c r="K97" s="64">
        <v>10.84</v>
      </c>
      <c r="L97" s="64">
        <v>25.87</v>
      </c>
      <c r="M97" s="64">
        <v>101.79</v>
      </c>
      <c r="N97" s="64">
        <v>26</v>
      </c>
      <c r="O97" s="64">
        <v>0</v>
      </c>
      <c r="P97" s="64">
        <v>0.82</v>
      </c>
      <c r="Q97" s="64">
        <v>9.98</v>
      </c>
      <c r="R97" s="198"/>
      <c r="S97" s="198"/>
      <c r="T97" s="198"/>
      <c r="U97" s="198"/>
    </row>
    <row r="98" spans="1:33" s="12" customFormat="1" x14ac:dyDescent="0.25">
      <c r="A98" s="214" t="s">
        <v>2160</v>
      </c>
      <c r="B98" s="64">
        <v>4.32</v>
      </c>
      <c r="C98" s="64">
        <v>3.26</v>
      </c>
      <c r="D98" s="64">
        <v>7.35</v>
      </c>
      <c r="E98" s="64">
        <v>4.2699999999999996</v>
      </c>
      <c r="F98" s="64">
        <v>3.71</v>
      </c>
      <c r="G98" s="64">
        <v>67.02</v>
      </c>
      <c r="H98" s="64">
        <v>7.5</v>
      </c>
      <c r="I98" s="64">
        <v>3.38</v>
      </c>
      <c r="J98" s="64">
        <v>0.28000000000000003</v>
      </c>
      <c r="K98" s="64">
        <v>213.59</v>
      </c>
      <c r="L98" s="64">
        <v>25.88</v>
      </c>
      <c r="M98" s="64">
        <v>101.79</v>
      </c>
      <c r="N98" s="64">
        <v>26.1</v>
      </c>
      <c r="O98" s="64">
        <v>0</v>
      </c>
      <c r="P98" s="64">
        <v>0.56000000000000005</v>
      </c>
      <c r="Q98" s="64">
        <v>9.9700000000000006</v>
      </c>
      <c r="R98" s="198"/>
      <c r="S98" s="198"/>
      <c r="T98" s="198"/>
      <c r="U98" s="198"/>
    </row>
    <row r="99" spans="1:33" s="12" customFormat="1" x14ac:dyDescent="0.25">
      <c r="A99" s="214" t="s">
        <v>2161</v>
      </c>
      <c r="B99" s="64">
        <v>4.32</v>
      </c>
      <c r="C99" s="64">
        <v>3.24</v>
      </c>
      <c r="D99" s="64">
        <v>7.35</v>
      </c>
      <c r="E99" s="64">
        <v>4.03</v>
      </c>
      <c r="F99" s="64">
        <v>3.51</v>
      </c>
      <c r="G99" s="64">
        <v>67.02</v>
      </c>
      <c r="H99" s="64">
        <v>7.5</v>
      </c>
      <c r="I99" s="64">
        <v>3.11</v>
      </c>
      <c r="J99" s="64">
        <v>0.19</v>
      </c>
      <c r="K99" s="64">
        <v>342.19</v>
      </c>
      <c r="L99" s="64">
        <v>25.71</v>
      </c>
      <c r="M99" s="64">
        <v>101.8</v>
      </c>
      <c r="N99" s="64">
        <v>26.1</v>
      </c>
      <c r="O99" s="64">
        <v>0</v>
      </c>
      <c r="P99" s="64">
        <v>0.78</v>
      </c>
      <c r="Q99" s="64">
        <v>9.98</v>
      </c>
      <c r="R99" s="198"/>
      <c r="S99" s="198"/>
      <c r="T99" s="198"/>
      <c r="U99" s="198"/>
    </row>
    <row r="100" spans="1:33" s="12" customFormat="1" x14ac:dyDescent="0.25">
      <c r="A100" s="214" t="s">
        <v>2162</v>
      </c>
      <c r="B100" s="64">
        <v>4.3</v>
      </c>
      <c r="C100" s="64">
        <v>3.18</v>
      </c>
      <c r="D100" s="64">
        <v>7.3</v>
      </c>
      <c r="E100" s="64">
        <v>3.68</v>
      </c>
      <c r="F100" s="64">
        <v>3.63</v>
      </c>
      <c r="G100" s="64">
        <v>67.02</v>
      </c>
      <c r="H100" s="64">
        <v>7.5</v>
      </c>
      <c r="I100" s="64">
        <v>2.5</v>
      </c>
      <c r="J100" s="64">
        <v>0.33</v>
      </c>
      <c r="K100" s="64">
        <v>270.61</v>
      </c>
      <c r="L100" s="64">
        <v>25.47</v>
      </c>
      <c r="M100" s="64">
        <v>101.8</v>
      </c>
      <c r="N100" s="64">
        <v>26.1</v>
      </c>
      <c r="O100" s="64">
        <v>0</v>
      </c>
      <c r="P100" s="64">
        <v>0.71</v>
      </c>
      <c r="Q100" s="64">
        <v>9.9600000000000009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2163</v>
      </c>
      <c r="B101" s="64">
        <v>4.26</v>
      </c>
      <c r="C101" s="64">
        <v>3.13</v>
      </c>
      <c r="D101" s="64">
        <v>7.24</v>
      </c>
      <c r="E101" s="64">
        <v>4.3</v>
      </c>
      <c r="F101" s="64">
        <v>4.1900000000000004</v>
      </c>
      <c r="G101" s="64">
        <v>67.34</v>
      </c>
      <c r="H101" s="64">
        <v>9.2100000000000009</v>
      </c>
      <c r="I101" s="64">
        <v>2.5299999999999998</v>
      </c>
      <c r="J101" s="64">
        <v>0.47</v>
      </c>
      <c r="K101" s="64">
        <v>308.56</v>
      </c>
      <c r="L101" s="64">
        <v>25.33</v>
      </c>
      <c r="M101" s="64">
        <v>101.82</v>
      </c>
      <c r="N101" s="64">
        <v>26.1</v>
      </c>
      <c r="O101" s="64">
        <v>0</v>
      </c>
      <c r="P101" s="64">
        <v>0.82</v>
      </c>
      <c r="Q101" s="64">
        <v>10</v>
      </c>
      <c r="R101" s="198"/>
      <c r="S101" s="198"/>
      <c r="T101" s="198"/>
      <c r="U101" s="198"/>
    </row>
    <row r="102" spans="1:33" s="12" customFormat="1" x14ac:dyDescent="0.25">
      <c r="A102" s="214" t="s">
        <v>2164</v>
      </c>
      <c r="B102" s="64">
        <v>4.24</v>
      </c>
      <c r="C102" s="64">
        <v>3.17</v>
      </c>
      <c r="D102" s="64">
        <v>7.25</v>
      </c>
      <c r="E102" s="64">
        <v>4.3</v>
      </c>
      <c r="F102" s="64">
        <v>2.85</v>
      </c>
      <c r="G102" s="64">
        <v>69.94</v>
      </c>
      <c r="H102" s="64">
        <v>20.02</v>
      </c>
      <c r="I102" s="64">
        <v>2.85</v>
      </c>
      <c r="J102" s="64">
        <v>0.17</v>
      </c>
      <c r="K102" s="64">
        <v>152.61000000000001</v>
      </c>
      <c r="L102" s="64">
        <v>25.22</v>
      </c>
      <c r="M102" s="64">
        <v>101.82</v>
      </c>
      <c r="N102" s="64">
        <v>26.1</v>
      </c>
      <c r="O102" s="64">
        <v>0</v>
      </c>
      <c r="P102" s="64">
        <v>0.89</v>
      </c>
      <c r="Q102" s="64">
        <v>10.02</v>
      </c>
      <c r="R102" s="198"/>
      <c r="S102" s="198"/>
      <c r="T102" s="198"/>
      <c r="U102" s="198"/>
    </row>
    <row r="103" spans="1:33" s="12" customFormat="1" x14ac:dyDescent="0.25">
      <c r="A103" s="214" t="s">
        <v>2165</v>
      </c>
      <c r="B103" s="64">
        <v>4.2300000000000004</v>
      </c>
      <c r="C103" s="64">
        <v>3.13</v>
      </c>
      <c r="D103" s="64">
        <v>7.22</v>
      </c>
      <c r="E103" s="64">
        <v>4.38</v>
      </c>
      <c r="F103" s="64">
        <v>4.0199999999999996</v>
      </c>
      <c r="G103" s="64">
        <v>69.94</v>
      </c>
      <c r="H103" s="64">
        <v>20.02</v>
      </c>
      <c r="I103" s="64">
        <v>3.1</v>
      </c>
      <c r="J103" s="64">
        <v>0.21</v>
      </c>
      <c r="K103" s="64">
        <v>285.14</v>
      </c>
      <c r="L103" s="64">
        <v>25.2</v>
      </c>
      <c r="M103" s="64">
        <v>101.8</v>
      </c>
      <c r="N103" s="64">
        <v>26.1</v>
      </c>
      <c r="O103" s="64">
        <v>0</v>
      </c>
      <c r="P103" s="64">
        <v>0.63</v>
      </c>
      <c r="Q103" s="64">
        <v>10.09</v>
      </c>
      <c r="R103" s="198"/>
      <c r="S103" s="198"/>
      <c r="T103" s="198"/>
      <c r="U103" s="198"/>
    </row>
    <row r="104" spans="1:33" s="12" customFormat="1" x14ac:dyDescent="0.25">
      <c r="A104" s="214" t="s">
        <v>2166</v>
      </c>
      <c r="B104" s="64">
        <v>4.24</v>
      </c>
      <c r="C104" s="64">
        <v>3.12</v>
      </c>
      <c r="D104" s="64">
        <v>7.22</v>
      </c>
      <c r="E104" s="64">
        <v>4.18</v>
      </c>
      <c r="F104" s="64">
        <v>2.79</v>
      </c>
      <c r="G104" s="64">
        <v>69.94</v>
      </c>
      <c r="H104" s="64">
        <v>20.02</v>
      </c>
      <c r="I104" s="64">
        <v>2.8</v>
      </c>
      <c r="J104" s="64">
        <v>0.33</v>
      </c>
      <c r="K104" s="64">
        <v>140.5</v>
      </c>
      <c r="L104" s="64">
        <v>25.39</v>
      </c>
      <c r="M104" s="64">
        <v>101.8</v>
      </c>
      <c r="N104" s="64">
        <v>25.9</v>
      </c>
      <c r="O104" s="64">
        <v>0</v>
      </c>
      <c r="P104" s="64">
        <v>0.49</v>
      </c>
      <c r="Q104" s="64">
        <v>10.09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4.22</v>
      </c>
      <c r="C106" s="67">
        <f>MIN(C9:C104)</f>
        <v>3.09</v>
      </c>
      <c r="D106" s="67">
        <f t="shared" ref="D106:Q106" si="0">MIN(D9:D104)</f>
        <v>7.19</v>
      </c>
      <c r="E106" s="67">
        <f t="shared" si="0"/>
        <v>3.42</v>
      </c>
      <c r="F106" s="67">
        <f t="shared" si="0"/>
        <v>2.2400000000000002</v>
      </c>
      <c r="G106" s="67">
        <f t="shared" si="0"/>
        <v>57.25</v>
      </c>
      <c r="H106" s="67">
        <f t="shared" si="0"/>
        <v>4.72</v>
      </c>
      <c r="I106" s="67">
        <f t="shared" si="0"/>
        <v>1.66</v>
      </c>
      <c r="J106" s="67">
        <f t="shared" si="0"/>
        <v>0.09</v>
      </c>
      <c r="K106" s="67">
        <f t="shared" si="0"/>
        <v>0.48</v>
      </c>
      <c r="L106" s="67">
        <f t="shared" si="0"/>
        <v>23.5</v>
      </c>
      <c r="M106" s="67">
        <f t="shared" si="0"/>
        <v>53.97</v>
      </c>
      <c r="N106" s="67">
        <f t="shared" si="0"/>
        <v>25.7</v>
      </c>
      <c r="O106" s="67">
        <f t="shared" si="0"/>
        <v>0</v>
      </c>
      <c r="P106" s="67">
        <f t="shared" si="0"/>
        <v>0.45</v>
      </c>
      <c r="Q106" s="67">
        <f t="shared" si="0"/>
        <v>9.58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4.34</v>
      </c>
      <c r="C107" s="66">
        <f t="shared" ref="C107:Q107" si="1">MAX(C9:C104)</f>
        <v>3.36</v>
      </c>
      <c r="D107" s="66">
        <f t="shared" si="1"/>
        <v>7.43</v>
      </c>
      <c r="E107" s="66">
        <f t="shared" si="1"/>
        <v>5.15</v>
      </c>
      <c r="F107" s="66">
        <f t="shared" si="1"/>
        <v>7</v>
      </c>
      <c r="G107" s="66">
        <f t="shared" si="1"/>
        <v>93.32</v>
      </c>
      <c r="H107" s="66">
        <f t="shared" si="1"/>
        <v>50.68</v>
      </c>
      <c r="I107" s="66">
        <f t="shared" si="1"/>
        <v>4.66</v>
      </c>
      <c r="J107" s="66">
        <f t="shared" si="1"/>
        <v>1.78</v>
      </c>
      <c r="K107" s="66">
        <f t="shared" si="1"/>
        <v>359.44</v>
      </c>
      <c r="L107" s="66">
        <f t="shared" si="1"/>
        <v>36.270000000000003</v>
      </c>
      <c r="M107" s="66">
        <f t="shared" si="1"/>
        <v>101.88</v>
      </c>
      <c r="N107" s="66">
        <f t="shared" si="1"/>
        <v>645</v>
      </c>
      <c r="O107" s="66">
        <f t="shared" si="1"/>
        <v>0</v>
      </c>
      <c r="P107" s="66">
        <f t="shared" si="1"/>
        <v>1.19</v>
      </c>
      <c r="Q107" s="66">
        <f t="shared" si="1"/>
        <v>10.09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4.2778125000000014</v>
      </c>
      <c r="C108" s="67">
        <f t="shared" ref="C108:Q108" si="2">AVERAGE(C9:C104)</f>
        <v>3.2168750000000004</v>
      </c>
      <c r="D108" s="67">
        <f t="shared" si="2"/>
        <v>7.3009375000000034</v>
      </c>
      <c r="E108" s="67">
        <f t="shared" si="2"/>
        <v>4.1884375000000018</v>
      </c>
      <c r="F108" s="67">
        <f t="shared" si="2"/>
        <v>3.8774999999999991</v>
      </c>
      <c r="G108" s="67">
        <f t="shared" si="2"/>
        <v>73.561666666666653</v>
      </c>
      <c r="H108" s="67">
        <f t="shared" si="2"/>
        <v>19.88499999999998</v>
      </c>
      <c r="I108" s="67">
        <f t="shared" si="2"/>
        <v>2.9180208333333328</v>
      </c>
      <c r="J108" s="67">
        <f t="shared" si="2"/>
        <v>0.5296875000000002</v>
      </c>
      <c r="K108" s="67">
        <f t="shared" si="2"/>
        <v>244.15531250000004</v>
      </c>
      <c r="L108" s="67">
        <f t="shared" si="2"/>
        <v>28.031458333333315</v>
      </c>
      <c r="M108" s="67">
        <f t="shared" si="2"/>
        <v>85.168958333333322</v>
      </c>
      <c r="N108" s="67">
        <f t="shared" si="2"/>
        <v>132.37916666666669</v>
      </c>
      <c r="O108" s="67">
        <f t="shared" si="2"/>
        <v>0</v>
      </c>
      <c r="P108" s="67">
        <f t="shared" si="2"/>
        <v>0.67572916666666683</v>
      </c>
      <c r="Q108" s="67">
        <f t="shared" si="2"/>
        <v>9.8643750000000026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3.473821269225906E-2</v>
      </c>
      <c r="C109" s="67">
        <f t="shared" ref="C109:Q109" si="3">STDEV(C9:C104)</f>
        <v>5.6443963828132902E-2</v>
      </c>
      <c r="D109" s="67">
        <f t="shared" si="3"/>
        <v>5.2757202052620765E-2</v>
      </c>
      <c r="E109" s="67">
        <f t="shared" si="3"/>
        <v>0.44895745461304204</v>
      </c>
      <c r="F109" s="67">
        <f t="shared" si="3"/>
        <v>0.72497404672240728</v>
      </c>
      <c r="G109" s="67">
        <f t="shared" si="3"/>
        <v>9.6017035403722204</v>
      </c>
      <c r="H109" s="67">
        <f t="shared" si="3"/>
        <v>11.515582669171676</v>
      </c>
      <c r="I109" s="67">
        <f t="shared" si="3"/>
        <v>0.76410748732949108</v>
      </c>
      <c r="J109" s="67">
        <f t="shared" si="3"/>
        <v>0.36859749299487249</v>
      </c>
      <c r="K109" s="67">
        <f t="shared" si="3"/>
        <v>113.12373526321205</v>
      </c>
      <c r="L109" s="67">
        <f t="shared" si="3"/>
        <v>3.5219330754175719</v>
      </c>
      <c r="M109" s="67">
        <f t="shared" si="3"/>
        <v>17.018475315415465</v>
      </c>
      <c r="N109" s="67">
        <f t="shared" si="3"/>
        <v>163.49782417136907</v>
      </c>
      <c r="O109" s="67">
        <f t="shared" si="3"/>
        <v>0</v>
      </c>
      <c r="P109" s="67">
        <f t="shared" si="3"/>
        <v>0.13987772699315548</v>
      </c>
      <c r="Q109" s="67">
        <f t="shared" si="3"/>
        <v>0.1077307804326674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25" sqref="F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2167</v>
      </c>
      <c r="B9" s="64">
        <v>4.3</v>
      </c>
      <c r="C9" s="64">
        <v>3.24</v>
      </c>
      <c r="D9" s="64">
        <v>7.33</v>
      </c>
      <c r="E9" s="64">
        <v>3.79</v>
      </c>
      <c r="F9" s="64">
        <v>4.4800000000000004</v>
      </c>
      <c r="G9" s="64">
        <v>90.79</v>
      </c>
      <c r="H9" s="64">
        <v>18.920000000000002</v>
      </c>
      <c r="I9" s="64">
        <v>2.72</v>
      </c>
      <c r="J9" s="64">
        <v>0.33</v>
      </c>
      <c r="K9" s="64">
        <v>232.64</v>
      </c>
      <c r="L9" s="64">
        <v>25.33</v>
      </c>
      <c r="M9" s="64">
        <v>101.8</v>
      </c>
      <c r="N9" s="64">
        <v>26</v>
      </c>
      <c r="O9" s="64">
        <v>0</v>
      </c>
      <c r="P9" s="64">
        <v>0.49</v>
      </c>
      <c r="Q9" s="64">
        <v>10.11</v>
      </c>
      <c r="R9" s="198"/>
      <c r="S9" s="198"/>
      <c r="T9" s="198"/>
      <c r="U9" s="198"/>
    </row>
    <row r="10" spans="1:21" s="12" customFormat="1" x14ac:dyDescent="0.25">
      <c r="A10" s="214" t="s">
        <v>2168</v>
      </c>
      <c r="B10" s="64">
        <v>4.2699999999999996</v>
      </c>
      <c r="C10" s="64">
        <v>3.18</v>
      </c>
      <c r="D10" s="64">
        <v>7.27</v>
      </c>
      <c r="E10" s="64">
        <v>3.92</v>
      </c>
      <c r="F10" s="64">
        <v>3.04</v>
      </c>
      <c r="G10" s="64">
        <v>257.55</v>
      </c>
      <c r="H10" s="64">
        <v>12.01</v>
      </c>
      <c r="I10" s="64">
        <v>2.2200000000000002</v>
      </c>
      <c r="J10" s="64">
        <v>0.35</v>
      </c>
      <c r="K10" s="64">
        <v>232.38</v>
      </c>
      <c r="L10" s="64">
        <v>25.28</v>
      </c>
      <c r="M10" s="64">
        <v>101.8</v>
      </c>
      <c r="N10" s="64">
        <v>26</v>
      </c>
      <c r="O10" s="64">
        <v>0</v>
      </c>
      <c r="P10" s="64">
        <v>0.45</v>
      </c>
      <c r="Q10" s="64">
        <v>10.06</v>
      </c>
      <c r="R10" s="198"/>
      <c r="S10" s="198"/>
      <c r="T10" s="198"/>
      <c r="U10" s="198"/>
    </row>
    <row r="11" spans="1:21" s="12" customFormat="1" x14ac:dyDescent="0.25">
      <c r="A11" s="214" t="s">
        <v>2169</v>
      </c>
      <c r="B11" s="64">
        <v>4.29</v>
      </c>
      <c r="C11" s="64">
        <v>3.24</v>
      </c>
      <c r="D11" s="64">
        <v>7.32</v>
      </c>
      <c r="E11" s="64">
        <v>4.21</v>
      </c>
      <c r="F11" s="64">
        <v>4.04</v>
      </c>
      <c r="G11" s="64">
        <v>257.55</v>
      </c>
      <c r="H11" s="64">
        <v>12.01</v>
      </c>
      <c r="I11" s="64">
        <v>2</v>
      </c>
      <c r="J11" s="64">
        <v>0.34</v>
      </c>
      <c r="K11" s="64">
        <v>149.29</v>
      </c>
      <c r="L11" s="64">
        <v>25.16</v>
      </c>
      <c r="M11" s="64">
        <v>101.82</v>
      </c>
      <c r="N11" s="64">
        <v>26</v>
      </c>
      <c r="O11" s="64">
        <v>0</v>
      </c>
      <c r="P11" s="64">
        <v>0.51</v>
      </c>
      <c r="Q11" s="64">
        <v>10.039999999999999</v>
      </c>
      <c r="R11" s="198"/>
      <c r="S11" s="198"/>
      <c r="T11" s="198"/>
      <c r="U11" s="198"/>
    </row>
    <row r="12" spans="1:21" s="12" customFormat="1" x14ac:dyDescent="0.25">
      <c r="A12" s="214" t="s">
        <v>2170</v>
      </c>
      <c r="B12" s="64">
        <v>4.25</v>
      </c>
      <c r="C12" s="64">
        <v>3.18</v>
      </c>
      <c r="D12" s="64">
        <v>7.26</v>
      </c>
      <c r="E12" s="64">
        <v>4.4000000000000004</v>
      </c>
      <c r="F12" s="64">
        <v>3.05</v>
      </c>
      <c r="G12" s="64">
        <v>257.55</v>
      </c>
      <c r="H12" s="64">
        <v>12.01</v>
      </c>
      <c r="I12" s="64">
        <v>1.59</v>
      </c>
      <c r="J12" s="64">
        <v>0.33</v>
      </c>
      <c r="K12" s="64">
        <v>85.06</v>
      </c>
      <c r="L12" s="64">
        <v>25.05</v>
      </c>
      <c r="M12" s="64">
        <v>101.83</v>
      </c>
      <c r="N12" s="64">
        <v>26</v>
      </c>
      <c r="O12" s="64">
        <v>0</v>
      </c>
      <c r="P12" s="64">
        <v>0.45</v>
      </c>
      <c r="Q12" s="64">
        <v>10.050000000000001</v>
      </c>
      <c r="R12" s="198"/>
      <c r="S12" s="198"/>
      <c r="T12" s="198"/>
      <c r="U12" s="198"/>
    </row>
    <row r="13" spans="1:21" s="12" customFormat="1" x14ac:dyDescent="0.25">
      <c r="A13" s="214" t="s">
        <v>2171</v>
      </c>
      <c r="B13" s="64">
        <v>4.26</v>
      </c>
      <c r="C13" s="64">
        <v>3.22</v>
      </c>
      <c r="D13" s="64">
        <v>7.29</v>
      </c>
      <c r="E13" s="64">
        <v>4.1399999999999997</v>
      </c>
      <c r="F13" s="64">
        <v>5.52</v>
      </c>
      <c r="G13" s="64">
        <v>232.07</v>
      </c>
      <c r="H13" s="64">
        <v>12.47</v>
      </c>
      <c r="I13" s="64">
        <v>2.7</v>
      </c>
      <c r="J13" s="64">
        <v>0.48</v>
      </c>
      <c r="K13" s="64">
        <v>162.63999999999999</v>
      </c>
      <c r="L13" s="64">
        <v>24.95</v>
      </c>
      <c r="M13" s="64">
        <v>101.83</v>
      </c>
      <c r="N13" s="64">
        <v>25.9</v>
      </c>
      <c r="O13" s="64">
        <v>0</v>
      </c>
      <c r="P13" s="64">
        <v>0.44</v>
      </c>
      <c r="Q13" s="64">
        <v>10.06</v>
      </c>
      <c r="R13" s="198"/>
      <c r="S13" s="198"/>
      <c r="T13" s="198"/>
      <c r="U13" s="198"/>
    </row>
    <row r="14" spans="1:21" s="12" customFormat="1" x14ac:dyDescent="0.25">
      <c r="A14" s="214" t="s">
        <v>2172</v>
      </c>
      <c r="B14" s="64">
        <v>4.2699999999999996</v>
      </c>
      <c r="C14" s="64">
        <v>3.21</v>
      </c>
      <c r="D14" s="64">
        <v>7.29</v>
      </c>
      <c r="E14" s="64">
        <v>4.2300000000000004</v>
      </c>
      <c r="F14" s="64">
        <v>3.46</v>
      </c>
      <c r="G14" s="64">
        <v>28.23</v>
      </c>
      <c r="H14" s="64">
        <v>15.42</v>
      </c>
      <c r="I14" s="64">
        <v>2.42</v>
      </c>
      <c r="J14" s="64">
        <v>0.45</v>
      </c>
      <c r="K14" s="64">
        <v>149.97999999999999</v>
      </c>
      <c r="L14" s="64">
        <v>24.93</v>
      </c>
      <c r="M14" s="64">
        <v>101.83</v>
      </c>
      <c r="N14" s="64">
        <v>26</v>
      </c>
      <c r="O14" s="64">
        <v>0</v>
      </c>
      <c r="P14" s="64">
        <v>0.38</v>
      </c>
      <c r="Q14" s="64">
        <v>10.050000000000001</v>
      </c>
      <c r="R14" s="198"/>
      <c r="S14" s="198"/>
      <c r="T14" s="198"/>
      <c r="U14" s="198"/>
    </row>
    <row r="15" spans="1:21" s="12" customFormat="1" x14ac:dyDescent="0.25">
      <c r="A15" s="214" t="s">
        <v>2173</v>
      </c>
      <c r="B15" s="64">
        <v>4.33</v>
      </c>
      <c r="C15" s="64">
        <v>3.26</v>
      </c>
      <c r="D15" s="64">
        <v>7.36</v>
      </c>
      <c r="E15" s="64">
        <v>3.74</v>
      </c>
      <c r="F15" s="64">
        <v>3.68</v>
      </c>
      <c r="G15" s="64">
        <v>28.23</v>
      </c>
      <c r="H15" s="64">
        <v>15.42</v>
      </c>
      <c r="I15" s="64">
        <v>1.3</v>
      </c>
      <c r="J15" s="64">
        <v>0.4</v>
      </c>
      <c r="K15" s="64">
        <v>193.23</v>
      </c>
      <c r="L15" s="64">
        <v>24.9</v>
      </c>
      <c r="M15" s="64">
        <v>101.83</v>
      </c>
      <c r="N15" s="64">
        <v>25.9</v>
      </c>
      <c r="O15" s="64">
        <v>0</v>
      </c>
      <c r="P15" s="64">
        <v>0.37</v>
      </c>
      <c r="Q15" s="64">
        <v>10.050000000000001</v>
      </c>
      <c r="R15" s="198"/>
      <c r="S15" s="198"/>
      <c r="T15" s="198"/>
      <c r="U15" s="198"/>
    </row>
    <row r="16" spans="1:21" s="12" customFormat="1" x14ac:dyDescent="0.25">
      <c r="A16" s="214" t="s">
        <v>2174</v>
      </c>
      <c r="B16" s="64">
        <v>4.33</v>
      </c>
      <c r="C16" s="64">
        <v>3.29</v>
      </c>
      <c r="D16" s="64">
        <v>7.38</v>
      </c>
      <c r="E16" s="64">
        <v>4.03</v>
      </c>
      <c r="F16" s="64">
        <v>3.8</v>
      </c>
      <c r="G16" s="64">
        <v>28.23</v>
      </c>
      <c r="H16" s="64">
        <v>15.42</v>
      </c>
      <c r="I16" s="64">
        <v>1.21</v>
      </c>
      <c r="J16" s="64">
        <v>0.22</v>
      </c>
      <c r="K16" s="64">
        <v>344.43</v>
      </c>
      <c r="L16" s="64">
        <v>24.8</v>
      </c>
      <c r="M16" s="64">
        <v>101.83</v>
      </c>
      <c r="N16" s="64">
        <v>26.1</v>
      </c>
      <c r="O16" s="64">
        <v>0</v>
      </c>
      <c r="P16" s="64">
        <v>0.4</v>
      </c>
      <c r="Q16" s="64">
        <v>10.09</v>
      </c>
      <c r="R16" s="198"/>
      <c r="S16" s="198"/>
      <c r="T16" s="198"/>
      <c r="U16" s="198"/>
    </row>
    <row r="17" spans="1:21" s="12" customFormat="1" x14ac:dyDescent="0.25">
      <c r="A17" s="214" t="s">
        <v>2175</v>
      </c>
      <c r="B17" s="64">
        <v>4.34</v>
      </c>
      <c r="C17" s="64">
        <v>3.25</v>
      </c>
      <c r="D17" s="64">
        <v>7.37</v>
      </c>
      <c r="E17" s="64">
        <v>3.95</v>
      </c>
      <c r="F17" s="64">
        <v>3.62</v>
      </c>
      <c r="G17" s="64">
        <v>29.36</v>
      </c>
      <c r="H17" s="64">
        <v>14.67</v>
      </c>
      <c r="I17" s="64">
        <v>1.04</v>
      </c>
      <c r="J17" s="64">
        <v>0.3</v>
      </c>
      <c r="K17" s="64">
        <v>154.38</v>
      </c>
      <c r="L17" s="64">
        <v>24.67</v>
      </c>
      <c r="M17" s="64">
        <v>101.83</v>
      </c>
      <c r="N17" s="64">
        <v>26</v>
      </c>
      <c r="O17" s="64">
        <v>0</v>
      </c>
      <c r="P17" s="64">
        <v>0.4</v>
      </c>
      <c r="Q17" s="64">
        <v>10.1</v>
      </c>
      <c r="R17" s="198"/>
      <c r="S17" s="198"/>
      <c r="T17" s="198"/>
      <c r="U17" s="198"/>
    </row>
    <row r="18" spans="1:21" s="12" customFormat="1" x14ac:dyDescent="0.25">
      <c r="A18" s="214" t="s">
        <v>2176</v>
      </c>
      <c r="B18" s="64">
        <v>4.3499999999999996</v>
      </c>
      <c r="C18" s="64">
        <v>3.27</v>
      </c>
      <c r="D18" s="64">
        <v>7.39</v>
      </c>
      <c r="E18" s="64">
        <v>3.99</v>
      </c>
      <c r="F18" s="64">
        <v>3.15</v>
      </c>
      <c r="G18" s="64">
        <v>38.46</v>
      </c>
      <c r="H18" s="64">
        <v>9.8699999999999992</v>
      </c>
      <c r="I18" s="64">
        <v>1.1399999999999999</v>
      </c>
      <c r="J18" s="64">
        <v>0.46</v>
      </c>
      <c r="K18" s="64">
        <v>300.89999999999998</v>
      </c>
      <c r="L18" s="64">
        <v>24.6</v>
      </c>
      <c r="M18" s="64">
        <v>101.83</v>
      </c>
      <c r="N18" s="64">
        <v>26.1</v>
      </c>
      <c r="O18" s="64">
        <v>0</v>
      </c>
      <c r="P18" s="64">
        <v>0.42</v>
      </c>
      <c r="Q18" s="64">
        <v>10.1</v>
      </c>
      <c r="R18" s="198"/>
      <c r="S18" s="198"/>
      <c r="T18" s="198"/>
      <c r="U18" s="198"/>
    </row>
    <row r="19" spans="1:21" s="12" customFormat="1" x14ac:dyDescent="0.25">
      <c r="A19" s="214" t="s">
        <v>2177</v>
      </c>
      <c r="B19" s="64">
        <v>4.3099999999999996</v>
      </c>
      <c r="C19" s="64">
        <v>3.18</v>
      </c>
      <c r="D19" s="64">
        <v>7.3</v>
      </c>
      <c r="E19" s="64">
        <v>4.1100000000000003</v>
      </c>
      <c r="F19" s="64">
        <v>3.26</v>
      </c>
      <c r="G19" s="64">
        <v>38.46</v>
      </c>
      <c r="H19" s="64">
        <v>9.8699999999999992</v>
      </c>
      <c r="I19" s="64">
        <v>1.31</v>
      </c>
      <c r="J19" s="64">
        <v>0.09</v>
      </c>
      <c r="K19" s="64">
        <v>330.4</v>
      </c>
      <c r="L19" s="64">
        <v>24.68</v>
      </c>
      <c r="M19" s="64">
        <v>101.83</v>
      </c>
      <c r="N19" s="64">
        <v>25.9</v>
      </c>
      <c r="O19" s="64">
        <v>0</v>
      </c>
      <c r="P19" s="64">
        <v>0.4</v>
      </c>
      <c r="Q19" s="64">
        <v>10.08</v>
      </c>
      <c r="R19" s="198"/>
      <c r="S19" s="198"/>
      <c r="T19" s="198"/>
      <c r="U19" s="198"/>
    </row>
    <row r="20" spans="1:21" s="12" customFormat="1" x14ac:dyDescent="0.25">
      <c r="A20" s="214" t="s">
        <v>2178</v>
      </c>
      <c r="B20" s="64">
        <v>4.28</v>
      </c>
      <c r="C20" s="64">
        <v>3.24</v>
      </c>
      <c r="D20" s="64">
        <v>7.32</v>
      </c>
      <c r="E20" s="64">
        <v>4.53</v>
      </c>
      <c r="F20" s="64">
        <v>3.58</v>
      </c>
      <c r="G20" s="64">
        <v>38.46</v>
      </c>
      <c r="H20" s="64">
        <v>9.8699999999999992</v>
      </c>
      <c r="I20" s="64">
        <v>1.46</v>
      </c>
      <c r="J20" s="64">
        <v>0.18</v>
      </c>
      <c r="K20" s="64">
        <v>345.02</v>
      </c>
      <c r="L20" s="64">
        <v>24.87</v>
      </c>
      <c r="M20" s="64">
        <v>101.83</v>
      </c>
      <c r="N20" s="64">
        <v>25.8</v>
      </c>
      <c r="O20" s="64">
        <v>0</v>
      </c>
      <c r="P20" s="64">
        <v>0.4</v>
      </c>
      <c r="Q20" s="64">
        <v>10.08</v>
      </c>
      <c r="R20" s="198"/>
      <c r="S20" s="198"/>
      <c r="T20" s="198"/>
      <c r="U20" s="198"/>
    </row>
    <row r="21" spans="1:21" s="12" customFormat="1" x14ac:dyDescent="0.25">
      <c r="A21" s="214" t="s">
        <v>2179</v>
      </c>
      <c r="B21" s="64">
        <v>4.3</v>
      </c>
      <c r="C21" s="64">
        <v>3.24</v>
      </c>
      <c r="D21" s="64">
        <v>7.33</v>
      </c>
      <c r="E21" s="64">
        <v>4.2300000000000004</v>
      </c>
      <c r="F21" s="64">
        <v>3.29</v>
      </c>
      <c r="G21" s="64">
        <v>38.68</v>
      </c>
      <c r="H21" s="64">
        <v>9.42</v>
      </c>
      <c r="I21" s="64">
        <v>1.45</v>
      </c>
      <c r="J21" s="64">
        <v>0.43</v>
      </c>
      <c r="K21" s="64">
        <v>337.02</v>
      </c>
      <c r="L21" s="64">
        <v>24.83</v>
      </c>
      <c r="M21" s="64">
        <v>101.83</v>
      </c>
      <c r="N21" s="64">
        <v>26</v>
      </c>
      <c r="O21" s="64">
        <v>0</v>
      </c>
      <c r="P21" s="64">
        <v>0.42</v>
      </c>
      <c r="Q21" s="64">
        <v>10.08</v>
      </c>
      <c r="R21" s="198"/>
      <c r="S21" s="198"/>
      <c r="T21" s="198"/>
      <c r="U21" s="198"/>
    </row>
    <row r="22" spans="1:21" s="12" customFormat="1" x14ac:dyDescent="0.25">
      <c r="A22" s="214" t="s">
        <v>2180</v>
      </c>
      <c r="B22" s="64">
        <v>4.26</v>
      </c>
      <c r="C22" s="64">
        <v>3.16</v>
      </c>
      <c r="D22" s="64">
        <v>7.26</v>
      </c>
      <c r="E22" s="64">
        <v>4.62</v>
      </c>
      <c r="F22" s="64">
        <v>3.48</v>
      </c>
      <c r="G22" s="64">
        <v>40.43</v>
      </c>
      <c r="H22" s="64">
        <v>6.51</v>
      </c>
      <c r="I22" s="64">
        <v>1.47</v>
      </c>
      <c r="J22" s="64">
        <v>0.36</v>
      </c>
      <c r="K22" s="64">
        <v>315.62</v>
      </c>
      <c r="L22" s="64">
        <v>24.73</v>
      </c>
      <c r="M22" s="64">
        <v>101.85</v>
      </c>
      <c r="N22" s="64">
        <v>26.1</v>
      </c>
      <c r="O22" s="64">
        <v>0</v>
      </c>
      <c r="P22" s="64">
        <v>0.46</v>
      </c>
      <c r="Q22" s="64">
        <v>10.09</v>
      </c>
      <c r="R22" s="198"/>
      <c r="S22" s="198"/>
      <c r="T22" s="198"/>
      <c r="U22" s="198"/>
    </row>
    <row r="23" spans="1:21" s="12" customFormat="1" x14ac:dyDescent="0.25">
      <c r="A23" s="214" t="s">
        <v>2181</v>
      </c>
      <c r="B23" s="64">
        <v>4.25</v>
      </c>
      <c r="C23" s="64">
        <v>3.16</v>
      </c>
      <c r="D23" s="64">
        <v>7.25</v>
      </c>
      <c r="E23" s="64">
        <v>4.33</v>
      </c>
      <c r="F23" s="64">
        <v>4.07</v>
      </c>
      <c r="G23" s="64">
        <v>40.43</v>
      </c>
      <c r="H23" s="64">
        <v>6.51</v>
      </c>
      <c r="I23" s="64">
        <v>2.3199999999999998</v>
      </c>
      <c r="J23" s="64">
        <v>0.04</v>
      </c>
      <c r="K23" s="64">
        <v>194.01</v>
      </c>
      <c r="L23" s="64">
        <v>24.78</v>
      </c>
      <c r="M23" s="64">
        <v>101.84</v>
      </c>
      <c r="N23" s="64">
        <v>25.9</v>
      </c>
      <c r="O23" s="64">
        <v>0</v>
      </c>
      <c r="P23" s="64">
        <v>0.47</v>
      </c>
      <c r="Q23" s="64">
        <v>10.07</v>
      </c>
      <c r="R23" s="198"/>
      <c r="S23" s="198"/>
      <c r="T23" s="198"/>
      <c r="U23" s="198"/>
    </row>
    <row r="24" spans="1:21" s="12" customFormat="1" x14ac:dyDescent="0.25">
      <c r="A24" s="214" t="s">
        <v>2182</v>
      </c>
      <c r="B24" s="64">
        <v>4.29</v>
      </c>
      <c r="C24" s="64">
        <v>3.24</v>
      </c>
      <c r="D24" s="64">
        <v>7.32</v>
      </c>
      <c r="E24" s="64">
        <v>3.57</v>
      </c>
      <c r="F24" s="64">
        <v>3.38</v>
      </c>
      <c r="G24" s="64">
        <v>40.43</v>
      </c>
      <c r="H24" s="64">
        <v>6.51</v>
      </c>
      <c r="I24" s="64">
        <v>2.4700000000000002</v>
      </c>
      <c r="J24" s="64">
        <v>0.43</v>
      </c>
      <c r="K24" s="64">
        <v>312.14</v>
      </c>
      <c r="L24" s="64">
        <v>24.73</v>
      </c>
      <c r="M24" s="64">
        <v>101.85</v>
      </c>
      <c r="N24" s="64">
        <v>26</v>
      </c>
      <c r="O24" s="64">
        <v>0</v>
      </c>
      <c r="P24" s="64">
        <v>0.41</v>
      </c>
      <c r="Q24" s="64">
        <v>10.050000000000001</v>
      </c>
      <c r="R24" s="198"/>
      <c r="S24" s="198"/>
      <c r="T24" s="198"/>
      <c r="U24" s="198"/>
    </row>
    <row r="25" spans="1:21" s="12" customFormat="1" x14ac:dyDescent="0.25">
      <c r="A25" s="214" t="s">
        <v>2183</v>
      </c>
      <c r="B25" s="64">
        <v>4.25</v>
      </c>
      <c r="C25" s="64">
        <v>3.18</v>
      </c>
      <c r="D25" s="64">
        <v>7.26</v>
      </c>
      <c r="E25" s="64">
        <v>3.48</v>
      </c>
      <c r="F25" s="64">
        <v>4.32</v>
      </c>
      <c r="G25" s="64">
        <v>41.48</v>
      </c>
      <c r="H25" s="64">
        <v>7.4</v>
      </c>
      <c r="I25" s="64">
        <v>2.99</v>
      </c>
      <c r="J25" s="64">
        <v>0.41</v>
      </c>
      <c r="K25" s="64">
        <v>312.12</v>
      </c>
      <c r="L25" s="64">
        <v>24.71</v>
      </c>
      <c r="M25" s="64">
        <v>101.84</v>
      </c>
      <c r="N25" s="64">
        <v>26</v>
      </c>
      <c r="O25" s="64">
        <v>0</v>
      </c>
      <c r="P25" s="64">
        <v>0.48</v>
      </c>
      <c r="Q25" s="64">
        <v>10.039999999999999</v>
      </c>
      <c r="R25" s="198"/>
      <c r="S25" s="198"/>
      <c r="T25" s="198"/>
      <c r="U25" s="198"/>
    </row>
    <row r="26" spans="1:21" s="12" customFormat="1" x14ac:dyDescent="0.25">
      <c r="A26" s="214" t="s">
        <v>2184</v>
      </c>
      <c r="B26" s="64">
        <v>4.28</v>
      </c>
      <c r="C26" s="64">
        <v>3.2</v>
      </c>
      <c r="D26" s="64">
        <v>7.29</v>
      </c>
      <c r="E26" s="64">
        <v>3.56</v>
      </c>
      <c r="F26" s="64">
        <v>4.13</v>
      </c>
      <c r="G26" s="64">
        <v>49.86</v>
      </c>
      <c r="H26" s="64">
        <v>13.1</v>
      </c>
      <c r="I26" s="64">
        <v>3.09</v>
      </c>
      <c r="J26" s="64">
        <v>0.41</v>
      </c>
      <c r="K26" s="64">
        <v>332.53</v>
      </c>
      <c r="L26" s="64">
        <v>24.72</v>
      </c>
      <c r="M26" s="64">
        <v>101.83</v>
      </c>
      <c r="N26" s="64">
        <v>26.1</v>
      </c>
      <c r="O26" s="64">
        <v>0</v>
      </c>
      <c r="P26" s="64">
        <v>0.48</v>
      </c>
      <c r="Q26" s="64">
        <v>10.039999999999999</v>
      </c>
      <c r="R26" s="198"/>
      <c r="S26" s="198"/>
      <c r="T26" s="198"/>
      <c r="U26" s="198"/>
    </row>
    <row r="27" spans="1:21" s="12" customFormat="1" x14ac:dyDescent="0.25">
      <c r="A27" s="214" t="s">
        <v>2185</v>
      </c>
      <c r="B27" s="64">
        <v>4.26</v>
      </c>
      <c r="C27" s="64">
        <v>3.19</v>
      </c>
      <c r="D27" s="64">
        <v>7.27</v>
      </c>
      <c r="E27" s="64">
        <v>3.97</v>
      </c>
      <c r="F27" s="64">
        <v>3.43</v>
      </c>
      <c r="G27" s="64">
        <v>49.86</v>
      </c>
      <c r="H27" s="64">
        <v>13.1</v>
      </c>
      <c r="I27" s="64">
        <v>2.52</v>
      </c>
      <c r="J27" s="64">
        <v>0.27</v>
      </c>
      <c r="K27" s="64">
        <v>84.58</v>
      </c>
      <c r="L27" s="64">
        <v>24.62</v>
      </c>
      <c r="M27" s="64">
        <v>101.83</v>
      </c>
      <c r="N27" s="64">
        <v>26.1</v>
      </c>
      <c r="O27" s="64">
        <v>0</v>
      </c>
      <c r="P27" s="64">
        <v>0.45</v>
      </c>
      <c r="Q27" s="64">
        <v>10.01</v>
      </c>
      <c r="R27" s="198"/>
      <c r="S27" s="198"/>
      <c r="T27" s="198"/>
      <c r="U27" s="198"/>
    </row>
    <row r="28" spans="1:21" s="12" customFormat="1" x14ac:dyDescent="0.25">
      <c r="A28" s="214" t="s">
        <v>2186</v>
      </c>
      <c r="B28" s="64">
        <v>4.26</v>
      </c>
      <c r="C28" s="64">
        <v>3.14</v>
      </c>
      <c r="D28" s="64">
        <v>7.25</v>
      </c>
      <c r="E28" s="64">
        <v>3.66</v>
      </c>
      <c r="F28" s="64">
        <v>4.05</v>
      </c>
      <c r="G28" s="64">
        <v>49.86</v>
      </c>
      <c r="H28" s="64">
        <v>13.1</v>
      </c>
      <c r="I28" s="64">
        <v>2.46</v>
      </c>
      <c r="J28" s="64">
        <v>0.55000000000000004</v>
      </c>
      <c r="K28" s="64">
        <v>353.76</v>
      </c>
      <c r="L28" s="64">
        <v>24.7</v>
      </c>
      <c r="M28" s="64">
        <v>101.84</v>
      </c>
      <c r="N28" s="64">
        <v>25.8</v>
      </c>
      <c r="O28" s="64">
        <v>0</v>
      </c>
      <c r="P28" s="64">
        <v>0.47</v>
      </c>
      <c r="Q28" s="64">
        <v>10.029999999999999</v>
      </c>
      <c r="R28" s="198"/>
      <c r="S28" s="198"/>
      <c r="T28" s="198"/>
      <c r="U28" s="198"/>
    </row>
    <row r="29" spans="1:21" s="12" customFormat="1" x14ac:dyDescent="0.25">
      <c r="A29" s="214" t="s">
        <v>2187</v>
      </c>
      <c r="B29" s="64">
        <v>4.33</v>
      </c>
      <c r="C29" s="64">
        <v>3.25</v>
      </c>
      <c r="D29" s="64">
        <v>7.36</v>
      </c>
      <c r="E29" s="64">
        <v>3.8</v>
      </c>
      <c r="F29" s="64">
        <v>3.72</v>
      </c>
      <c r="G29" s="64">
        <v>49.48</v>
      </c>
      <c r="H29" s="64">
        <v>12.76</v>
      </c>
      <c r="I29" s="64">
        <v>3.07</v>
      </c>
      <c r="J29" s="64">
        <v>0.28000000000000003</v>
      </c>
      <c r="K29" s="64">
        <v>134.58000000000001</v>
      </c>
      <c r="L29" s="64">
        <v>24.59</v>
      </c>
      <c r="M29" s="64">
        <v>101.83</v>
      </c>
      <c r="N29" s="64">
        <v>26.1</v>
      </c>
      <c r="O29" s="64">
        <v>0</v>
      </c>
      <c r="P29" s="64">
        <v>0.44</v>
      </c>
      <c r="Q29" s="64">
        <v>10.029999999999999</v>
      </c>
      <c r="R29" s="198"/>
      <c r="S29" s="198"/>
      <c r="T29" s="198"/>
      <c r="U29" s="198"/>
    </row>
    <row r="30" spans="1:21" s="12" customFormat="1" x14ac:dyDescent="0.25">
      <c r="A30" s="214" t="s">
        <v>2188</v>
      </c>
      <c r="B30" s="64">
        <v>4.3099999999999996</v>
      </c>
      <c r="C30" s="64">
        <v>3.24</v>
      </c>
      <c r="D30" s="64">
        <v>7.34</v>
      </c>
      <c r="E30" s="64">
        <v>3.83</v>
      </c>
      <c r="F30" s="64">
        <v>3.64</v>
      </c>
      <c r="G30" s="64">
        <v>46.42</v>
      </c>
      <c r="H30" s="64">
        <v>10.58</v>
      </c>
      <c r="I30" s="64">
        <v>2.52</v>
      </c>
      <c r="J30" s="64">
        <v>0.42</v>
      </c>
      <c r="K30" s="64">
        <v>269.04000000000002</v>
      </c>
      <c r="L30" s="64">
        <v>24.46</v>
      </c>
      <c r="M30" s="64">
        <v>101.86</v>
      </c>
      <c r="N30" s="64">
        <v>26.1</v>
      </c>
      <c r="O30" s="64">
        <v>0</v>
      </c>
      <c r="P30" s="64">
        <v>0.5</v>
      </c>
      <c r="Q30" s="64">
        <v>10.050000000000001</v>
      </c>
      <c r="R30" s="198"/>
      <c r="S30" s="198"/>
      <c r="T30" s="198"/>
      <c r="U30" s="198"/>
    </row>
    <row r="31" spans="1:21" s="12" customFormat="1" x14ac:dyDescent="0.25">
      <c r="A31" s="214" t="s">
        <v>2189</v>
      </c>
      <c r="B31" s="64">
        <v>4.32</v>
      </c>
      <c r="C31" s="64">
        <v>3.22</v>
      </c>
      <c r="D31" s="64">
        <v>7.34</v>
      </c>
      <c r="E31" s="64">
        <v>4.24</v>
      </c>
      <c r="F31" s="64">
        <v>3.29</v>
      </c>
      <c r="G31" s="64">
        <v>46.42</v>
      </c>
      <c r="H31" s="64">
        <v>10.58</v>
      </c>
      <c r="I31" s="64">
        <v>2.54</v>
      </c>
      <c r="J31" s="64">
        <v>0.28000000000000003</v>
      </c>
      <c r="K31" s="64">
        <v>313.66000000000003</v>
      </c>
      <c r="L31" s="64">
        <v>24.54</v>
      </c>
      <c r="M31" s="64">
        <v>101.85</v>
      </c>
      <c r="N31" s="64">
        <v>26.1</v>
      </c>
      <c r="O31" s="64">
        <v>0</v>
      </c>
      <c r="P31" s="64">
        <v>0.66</v>
      </c>
      <c r="Q31" s="64">
        <v>10.02</v>
      </c>
      <c r="R31" s="198"/>
      <c r="S31" s="198"/>
      <c r="T31" s="198"/>
      <c r="U31" s="198"/>
    </row>
    <row r="32" spans="1:21" s="12" customFormat="1" x14ac:dyDescent="0.25">
      <c r="A32" s="214" t="s">
        <v>2190</v>
      </c>
      <c r="B32" s="64">
        <v>4.3099999999999996</v>
      </c>
      <c r="C32" s="64">
        <v>3.18</v>
      </c>
      <c r="D32" s="64">
        <v>7.31</v>
      </c>
      <c r="E32" s="64">
        <v>4.08</v>
      </c>
      <c r="F32" s="64">
        <v>3.59</v>
      </c>
      <c r="G32" s="64">
        <v>46.42</v>
      </c>
      <c r="H32" s="64">
        <v>10.58</v>
      </c>
      <c r="I32" s="64">
        <v>2.79</v>
      </c>
      <c r="J32" s="64">
        <v>0.1</v>
      </c>
      <c r="K32" s="64">
        <v>351.36</v>
      </c>
      <c r="L32" s="64">
        <v>24.5</v>
      </c>
      <c r="M32" s="64">
        <v>101.86</v>
      </c>
      <c r="N32" s="64">
        <v>27.7</v>
      </c>
      <c r="O32" s="64">
        <v>0</v>
      </c>
      <c r="P32" s="64">
        <v>0.67</v>
      </c>
      <c r="Q32" s="64">
        <v>10.02</v>
      </c>
      <c r="R32" s="198"/>
      <c r="S32" s="198"/>
      <c r="T32" s="198"/>
      <c r="U32" s="198"/>
    </row>
    <row r="33" spans="1:21" s="12" customFormat="1" x14ac:dyDescent="0.25">
      <c r="A33" s="214" t="s">
        <v>2191</v>
      </c>
      <c r="B33" s="64">
        <v>4.33</v>
      </c>
      <c r="C33" s="64">
        <v>3.22</v>
      </c>
      <c r="D33" s="64">
        <v>7.34</v>
      </c>
      <c r="E33" s="64">
        <v>3.76</v>
      </c>
      <c r="F33" s="64">
        <v>3.11</v>
      </c>
      <c r="G33" s="64">
        <v>51.91</v>
      </c>
      <c r="H33" s="64">
        <v>10.16</v>
      </c>
      <c r="I33" s="64">
        <v>2.48</v>
      </c>
      <c r="J33" s="64">
        <v>0.41</v>
      </c>
      <c r="K33" s="64">
        <v>322.58999999999997</v>
      </c>
      <c r="L33" s="64">
        <v>24.53</v>
      </c>
      <c r="M33" s="64">
        <v>101.83</v>
      </c>
      <c r="N33" s="64">
        <v>36.299999999999997</v>
      </c>
      <c r="O33" s="64">
        <v>0</v>
      </c>
      <c r="P33" s="64">
        <v>0.78</v>
      </c>
      <c r="Q33" s="64">
        <v>10.08</v>
      </c>
      <c r="R33" s="198"/>
      <c r="S33" s="198"/>
      <c r="T33" s="198"/>
      <c r="U33" s="198"/>
    </row>
    <row r="34" spans="1:21" s="12" customFormat="1" x14ac:dyDescent="0.25">
      <c r="A34" s="214" t="s">
        <v>2192</v>
      </c>
      <c r="B34" s="64">
        <v>4.37</v>
      </c>
      <c r="C34" s="64">
        <v>3.27</v>
      </c>
      <c r="D34" s="64">
        <v>7.4</v>
      </c>
      <c r="E34" s="64">
        <v>3.9</v>
      </c>
      <c r="F34" s="64">
        <v>3.59</v>
      </c>
      <c r="G34" s="64">
        <v>101.34</v>
      </c>
      <c r="H34" s="64">
        <v>7.41</v>
      </c>
      <c r="I34" s="64">
        <v>2.4700000000000002</v>
      </c>
      <c r="J34" s="64">
        <v>0.47</v>
      </c>
      <c r="K34" s="64">
        <v>316.41000000000003</v>
      </c>
      <c r="L34" s="64">
        <v>24.76</v>
      </c>
      <c r="M34" s="64">
        <v>101.83</v>
      </c>
      <c r="N34" s="64">
        <v>47.7</v>
      </c>
      <c r="O34" s="64">
        <v>0</v>
      </c>
      <c r="P34" s="64">
        <v>0.71</v>
      </c>
      <c r="Q34" s="64">
        <v>10.119999999999999</v>
      </c>
      <c r="R34" s="198"/>
      <c r="S34" s="198"/>
      <c r="T34" s="198"/>
      <c r="U34" s="198"/>
    </row>
    <row r="35" spans="1:21" s="12" customFormat="1" x14ac:dyDescent="0.25">
      <c r="A35" s="214" t="s">
        <v>2193</v>
      </c>
      <c r="B35" s="64">
        <v>4.32</v>
      </c>
      <c r="C35" s="64">
        <v>3.23</v>
      </c>
      <c r="D35" s="64">
        <v>7.34</v>
      </c>
      <c r="E35" s="64">
        <v>3.89</v>
      </c>
      <c r="F35" s="64">
        <v>3.59</v>
      </c>
      <c r="G35" s="64">
        <v>101.34</v>
      </c>
      <c r="H35" s="64">
        <v>7.41</v>
      </c>
      <c r="I35" s="64">
        <v>2.76</v>
      </c>
      <c r="J35" s="64">
        <v>0.21</v>
      </c>
      <c r="K35" s="64">
        <v>293.62</v>
      </c>
      <c r="L35" s="64">
        <v>25.27</v>
      </c>
      <c r="M35" s="64">
        <v>101.81</v>
      </c>
      <c r="N35" s="64">
        <v>75.599999999999994</v>
      </c>
      <c r="O35" s="64">
        <v>0</v>
      </c>
      <c r="P35" s="64">
        <v>0.86</v>
      </c>
      <c r="Q35" s="64">
        <v>10.16</v>
      </c>
      <c r="R35" s="198"/>
      <c r="S35" s="198"/>
      <c r="T35" s="198"/>
      <c r="U35" s="198"/>
    </row>
    <row r="36" spans="1:21" s="12" customFormat="1" x14ac:dyDescent="0.25">
      <c r="A36" s="214" t="s">
        <v>2194</v>
      </c>
      <c r="B36" s="64">
        <v>4.32</v>
      </c>
      <c r="C36" s="64">
        <v>3.19</v>
      </c>
      <c r="D36" s="64">
        <v>7.32</v>
      </c>
      <c r="E36" s="64">
        <v>4.37</v>
      </c>
      <c r="F36" s="64">
        <v>3.7</v>
      </c>
      <c r="G36" s="64">
        <v>101.34</v>
      </c>
      <c r="H36" s="64">
        <v>7.41</v>
      </c>
      <c r="I36" s="64">
        <v>2.9</v>
      </c>
      <c r="J36" s="64">
        <v>0.56000000000000005</v>
      </c>
      <c r="K36" s="64">
        <v>353.46</v>
      </c>
      <c r="L36" s="64">
        <v>26.41</v>
      </c>
      <c r="M36" s="64">
        <v>101.79</v>
      </c>
      <c r="N36" s="64">
        <v>114.4</v>
      </c>
      <c r="O36" s="64">
        <v>0</v>
      </c>
      <c r="P36" s="64">
        <v>0.82</v>
      </c>
      <c r="Q36" s="64">
        <v>10.18</v>
      </c>
      <c r="R36" s="198"/>
      <c r="S36" s="198"/>
      <c r="T36" s="198"/>
      <c r="U36" s="198"/>
    </row>
    <row r="37" spans="1:21" s="12" customFormat="1" x14ac:dyDescent="0.25">
      <c r="A37" s="214" t="s">
        <v>2195</v>
      </c>
      <c r="B37" s="64">
        <v>4.32</v>
      </c>
      <c r="C37" s="64">
        <v>3.22</v>
      </c>
      <c r="D37" s="64">
        <v>7.34</v>
      </c>
      <c r="E37" s="64">
        <v>4.2300000000000004</v>
      </c>
      <c r="F37" s="64">
        <v>5.48</v>
      </c>
      <c r="G37" s="64">
        <v>106.06</v>
      </c>
      <c r="H37" s="64">
        <v>10.41</v>
      </c>
      <c r="I37" s="64">
        <v>3.23</v>
      </c>
      <c r="J37" s="64">
        <v>0.67</v>
      </c>
      <c r="K37" s="64">
        <v>344.13</v>
      </c>
      <c r="L37" s="64">
        <v>27.84</v>
      </c>
      <c r="M37" s="64">
        <v>97.89</v>
      </c>
      <c r="N37" s="64">
        <v>151</v>
      </c>
      <c r="O37" s="64">
        <v>0</v>
      </c>
      <c r="P37" s="64">
        <v>0.86</v>
      </c>
      <c r="Q37" s="64">
        <v>10.199999999999999</v>
      </c>
      <c r="R37" s="198"/>
      <c r="S37" s="198"/>
      <c r="T37" s="198"/>
      <c r="U37" s="198"/>
    </row>
    <row r="38" spans="1:21" s="12" customFormat="1" x14ac:dyDescent="0.25">
      <c r="A38" s="214" t="s">
        <v>2196</v>
      </c>
      <c r="B38" s="64">
        <v>4.34</v>
      </c>
      <c r="C38" s="64">
        <v>3.27</v>
      </c>
      <c r="D38" s="64">
        <v>7.38</v>
      </c>
      <c r="E38" s="64">
        <v>3.92</v>
      </c>
      <c r="F38" s="64">
        <v>4.09</v>
      </c>
      <c r="G38" s="64">
        <v>143.80000000000001</v>
      </c>
      <c r="H38" s="64">
        <v>29.74</v>
      </c>
      <c r="I38" s="64">
        <v>3.4</v>
      </c>
      <c r="J38" s="64">
        <v>0.78</v>
      </c>
      <c r="K38" s="64">
        <v>333.51</v>
      </c>
      <c r="L38" s="64">
        <v>29.27</v>
      </c>
      <c r="M38" s="64">
        <v>89.24</v>
      </c>
      <c r="N38" s="64">
        <v>198.5</v>
      </c>
      <c r="O38" s="64">
        <v>0</v>
      </c>
      <c r="P38" s="64">
        <v>0.67</v>
      </c>
      <c r="Q38" s="64">
        <v>10.24</v>
      </c>
      <c r="R38" s="198"/>
      <c r="S38" s="198"/>
      <c r="T38" s="198"/>
      <c r="U38" s="198"/>
    </row>
    <row r="39" spans="1:21" s="12" customFormat="1" x14ac:dyDescent="0.25">
      <c r="A39" s="214" t="s">
        <v>2197</v>
      </c>
      <c r="B39" s="64">
        <v>4.28</v>
      </c>
      <c r="C39" s="64">
        <v>3.22</v>
      </c>
      <c r="D39" s="64">
        <v>7.3</v>
      </c>
      <c r="E39" s="64">
        <v>4.2300000000000004</v>
      </c>
      <c r="F39" s="64">
        <v>3.37</v>
      </c>
      <c r="G39" s="64">
        <v>143.80000000000001</v>
      </c>
      <c r="H39" s="64">
        <v>29.74</v>
      </c>
      <c r="I39" s="64">
        <v>3.72</v>
      </c>
      <c r="J39" s="64">
        <v>0.62</v>
      </c>
      <c r="K39" s="64">
        <v>334.77</v>
      </c>
      <c r="L39" s="64">
        <v>30.62</v>
      </c>
      <c r="M39" s="64">
        <v>81.34</v>
      </c>
      <c r="N39" s="64">
        <v>258.89999999999998</v>
      </c>
      <c r="O39" s="64">
        <v>0</v>
      </c>
      <c r="P39" s="64">
        <v>0.82</v>
      </c>
      <c r="Q39" s="64">
        <v>10.25</v>
      </c>
      <c r="R39" s="198"/>
      <c r="S39" s="198"/>
      <c r="T39" s="198"/>
      <c r="U39" s="198"/>
    </row>
    <row r="40" spans="1:21" s="12" customFormat="1" x14ac:dyDescent="0.25">
      <c r="A40" s="214" t="s">
        <v>2198</v>
      </c>
      <c r="B40" s="64">
        <v>4.29</v>
      </c>
      <c r="C40" s="64">
        <v>3.26</v>
      </c>
      <c r="D40" s="64">
        <v>7.33</v>
      </c>
      <c r="E40" s="64">
        <v>4.78</v>
      </c>
      <c r="F40" s="64">
        <v>3.91</v>
      </c>
      <c r="G40" s="64">
        <v>143.80000000000001</v>
      </c>
      <c r="H40" s="64">
        <v>29.74</v>
      </c>
      <c r="I40" s="64">
        <v>4.6399999999999997</v>
      </c>
      <c r="J40" s="64">
        <v>1.1499999999999999</v>
      </c>
      <c r="K40" s="64">
        <v>339.49</v>
      </c>
      <c r="L40" s="64">
        <v>31.76</v>
      </c>
      <c r="M40" s="64">
        <v>77.010000000000005</v>
      </c>
      <c r="N40" s="64">
        <v>317</v>
      </c>
      <c r="O40" s="64">
        <v>0</v>
      </c>
      <c r="P40" s="64">
        <v>0.69</v>
      </c>
      <c r="Q40" s="64">
        <v>10.27</v>
      </c>
      <c r="R40" s="198"/>
      <c r="S40" s="198"/>
      <c r="T40" s="198"/>
      <c r="U40" s="198"/>
    </row>
    <row r="41" spans="1:21" s="12" customFormat="1" x14ac:dyDescent="0.25">
      <c r="A41" s="214" t="s">
        <v>2199</v>
      </c>
      <c r="B41" s="64">
        <v>4.29</v>
      </c>
      <c r="C41" s="64">
        <v>3.26</v>
      </c>
      <c r="D41" s="64">
        <v>7.33</v>
      </c>
      <c r="E41" s="64">
        <v>4.3099999999999996</v>
      </c>
      <c r="F41" s="64">
        <v>3.43</v>
      </c>
      <c r="G41" s="64">
        <v>150.41</v>
      </c>
      <c r="H41" s="64">
        <v>28.15</v>
      </c>
      <c r="I41" s="64">
        <v>4.67</v>
      </c>
      <c r="J41" s="64">
        <v>1.1299999999999999</v>
      </c>
      <c r="K41" s="64">
        <v>338.09</v>
      </c>
      <c r="L41" s="64">
        <v>32.93</v>
      </c>
      <c r="M41" s="64">
        <v>72.510000000000005</v>
      </c>
      <c r="N41" s="64">
        <v>353</v>
      </c>
      <c r="O41" s="64">
        <v>0</v>
      </c>
      <c r="P41" s="64">
        <v>0.79</v>
      </c>
      <c r="Q41" s="64">
        <v>10.27</v>
      </c>
      <c r="R41" s="198"/>
      <c r="S41" s="198"/>
      <c r="T41" s="198"/>
      <c r="U41" s="198"/>
    </row>
    <row r="42" spans="1:21" s="12" customFormat="1" x14ac:dyDescent="0.25">
      <c r="A42" s="214" t="s">
        <v>2200</v>
      </c>
      <c r="B42" s="64">
        <v>4.3899999999999997</v>
      </c>
      <c r="C42" s="64">
        <v>3.38</v>
      </c>
      <c r="D42" s="64">
        <v>7.47</v>
      </c>
      <c r="E42" s="64">
        <v>4.5199999999999996</v>
      </c>
      <c r="F42" s="64">
        <v>4.12</v>
      </c>
      <c r="G42" s="64">
        <v>203.29</v>
      </c>
      <c r="H42" s="64">
        <v>17.850000000000001</v>
      </c>
      <c r="I42" s="64">
        <v>4.62</v>
      </c>
      <c r="J42" s="64">
        <v>1</v>
      </c>
      <c r="K42" s="64">
        <v>332.17</v>
      </c>
      <c r="L42" s="64">
        <v>33.51</v>
      </c>
      <c r="M42" s="64">
        <v>70.58</v>
      </c>
      <c r="N42" s="64">
        <v>377.4</v>
      </c>
      <c r="O42" s="64">
        <v>0</v>
      </c>
      <c r="P42" s="64">
        <v>0.79</v>
      </c>
      <c r="Q42" s="64">
        <v>10.27</v>
      </c>
      <c r="R42" s="198"/>
      <c r="S42" s="198"/>
      <c r="T42" s="198"/>
      <c r="U42" s="198"/>
    </row>
    <row r="43" spans="1:21" s="12" customFormat="1" x14ac:dyDescent="0.25">
      <c r="A43" s="214" t="s">
        <v>2201</v>
      </c>
      <c r="B43" s="64">
        <v>4.47</v>
      </c>
      <c r="C43" s="64">
        <v>3.53</v>
      </c>
      <c r="D43" s="64">
        <v>7.61</v>
      </c>
      <c r="E43" s="64">
        <v>5.05</v>
      </c>
      <c r="F43" s="64">
        <v>3.16</v>
      </c>
      <c r="G43" s="64">
        <v>203.29</v>
      </c>
      <c r="H43" s="64">
        <v>17.850000000000001</v>
      </c>
      <c r="I43" s="64">
        <v>4.67</v>
      </c>
      <c r="J43" s="64">
        <v>0.89</v>
      </c>
      <c r="K43" s="64">
        <v>319.5</v>
      </c>
      <c r="L43" s="64">
        <v>33.67</v>
      </c>
      <c r="M43" s="64">
        <v>68.34</v>
      </c>
      <c r="N43" s="64">
        <v>432</v>
      </c>
      <c r="O43" s="64">
        <v>0</v>
      </c>
      <c r="P43" s="64">
        <v>0.74</v>
      </c>
      <c r="Q43" s="64">
        <v>10.26</v>
      </c>
      <c r="R43" s="198"/>
      <c r="S43" s="198"/>
      <c r="T43" s="198"/>
      <c r="U43" s="198"/>
    </row>
    <row r="44" spans="1:21" s="12" customFormat="1" x14ac:dyDescent="0.25">
      <c r="A44" s="214" t="s">
        <v>2202</v>
      </c>
      <c r="B44" s="64">
        <v>4.33</v>
      </c>
      <c r="C44" s="64">
        <v>3.25</v>
      </c>
      <c r="D44" s="64">
        <v>7.36</v>
      </c>
      <c r="E44" s="64">
        <v>4.43</v>
      </c>
      <c r="F44" s="64">
        <v>4.12</v>
      </c>
      <c r="G44" s="64">
        <v>203.29</v>
      </c>
      <c r="H44" s="64">
        <v>17.850000000000001</v>
      </c>
      <c r="I44" s="64">
        <v>4.59</v>
      </c>
      <c r="J44" s="64">
        <v>0.86</v>
      </c>
      <c r="K44" s="64">
        <v>319.37</v>
      </c>
      <c r="L44" s="64">
        <v>33.340000000000003</v>
      </c>
      <c r="M44" s="64">
        <v>68.540000000000006</v>
      </c>
      <c r="N44" s="64">
        <v>451.4</v>
      </c>
      <c r="O44" s="64">
        <v>0</v>
      </c>
      <c r="P44" s="64">
        <v>0.72</v>
      </c>
      <c r="Q44" s="64">
        <v>10.3</v>
      </c>
      <c r="R44" s="198"/>
      <c r="S44" s="198"/>
      <c r="T44" s="198"/>
      <c r="U44" s="198"/>
    </row>
    <row r="45" spans="1:21" s="12" customFormat="1" x14ac:dyDescent="0.25">
      <c r="A45" s="214" t="s">
        <v>2203</v>
      </c>
      <c r="B45" s="64">
        <v>4.3</v>
      </c>
      <c r="C45" s="64">
        <v>3.28</v>
      </c>
      <c r="D45" s="64">
        <v>7.35</v>
      </c>
      <c r="E45" s="64">
        <v>4.6399999999999997</v>
      </c>
      <c r="F45" s="64">
        <v>2.85</v>
      </c>
      <c r="G45" s="64">
        <v>198.78</v>
      </c>
      <c r="H45" s="64">
        <v>21.28</v>
      </c>
      <c r="I45" s="64">
        <v>4.8</v>
      </c>
      <c r="J45" s="64">
        <v>1.1499999999999999</v>
      </c>
      <c r="K45" s="64">
        <v>329.43</v>
      </c>
      <c r="L45" s="64">
        <v>33.979999999999997</v>
      </c>
      <c r="M45" s="64">
        <v>62.82</v>
      </c>
      <c r="N45" s="64">
        <v>506</v>
      </c>
      <c r="O45" s="64">
        <v>0</v>
      </c>
      <c r="P45" s="64">
        <v>0.71</v>
      </c>
      <c r="Q45" s="64">
        <v>10.29</v>
      </c>
      <c r="R45" s="198"/>
      <c r="S45" s="198"/>
      <c r="T45" s="198"/>
      <c r="U45" s="198"/>
    </row>
    <row r="46" spans="1:21" s="12" customFormat="1" x14ac:dyDescent="0.25">
      <c r="A46" s="214" t="s">
        <v>2204</v>
      </c>
      <c r="B46" s="64">
        <v>4.3</v>
      </c>
      <c r="C46" s="64">
        <v>3.29</v>
      </c>
      <c r="D46" s="64">
        <v>7.36</v>
      </c>
      <c r="E46" s="64">
        <v>4.75</v>
      </c>
      <c r="F46" s="64">
        <v>4.29</v>
      </c>
      <c r="G46" s="64">
        <v>162.65</v>
      </c>
      <c r="H46" s="64">
        <v>43.44</v>
      </c>
      <c r="I46" s="64">
        <v>4.88</v>
      </c>
      <c r="J46" s="64">
        <v>1.1399999999999999</v>
      </c>
      <c r="K46" s="64">
        <v>330.06</v>
      </c>
      <c r="L46" s="64">
        <v>34.68</v>
      </c>
      <c r="M46" s="64">
        <v>61.75</v>
      </c>
      <c r="N46" s="64">
        <v>457.6</v>
      </c>
      <c r="O46" s="64">
        <v>0</v>
      </c>
      <c r="P46" s="64">
        <v>0.7</v>
      </c>
      <c r="Q46" s="64">
        <v>10.28</v>
      </c>
      <c r="R46" s="198"/>
      <c r="S46" s="198"/>
      <c r="T46" s="198"/>
      <c r="U46" s="198"/>
    </row>
    <row r="47" spans="1:21" s="12" customFormat="1" x14ac:dyDescent="0.25">
      <c r="A47" s="214" t="s">
        <v>2205</v>
      </c>
      <c r="B47" s="64">
        <v>4.29</v>
      </c>
      <c r="C47" s="64">
        <v>3.23</v>
      </c>
      <c r="D47" s="64">
        <v>7.32</v>
      </c>
      <c r="E47" s="64">
        <v>4.47</v>
      </c>
      <c r="F47" s="64">
        <v>3.51</v>
      </c>
      <c r="G47" s="64">
        <v>162.65</v>
      </c>
      <c r="H47" s="64">
        <v>43.44</v>
      </c>
      <c r="I47" s="64">
        <v>3.71</v>
      </c>
      <c r="J47" s="64">
        <v>1.24</v>
      </c>
      <c r="K47" s="64">
        <v>339.74</v>
      </c>
      <c r="L47" s="64">
        <v>33.869999999999997</v>
      </c>
      <c r="M47" s="64">
        <v>64.47</v>
      </c>
      <c r="N47" s="64">
        <v>326.10000000000002</v>
      </c>
      <c r="O47" s="64">
        <v>0</v>
      </c>
      <c r="P47" s="64">
        <v>0.75</v>
      </c>
      <c r="Q47" s="64">
        <v>10.220000000000001</v>
      </c>
      <c r="R47" s="198"/>
      <c r="S47" s="198"/>
      <c r="T47" s="198"/>
      <c r="U47" s="198"/>
    </row>
    <row r="48" spans="1:21" s="12" customFormat="1" x14ac:dyDescent="0.25">
      <c r="A48" s="214" t="s">
        <v>2206</v>
      </c>
      <c r="B48" s="64">
        <v>4.34</v>
      </c>
      <c r="C48" s="64">
        <v>3.3</v>
      </c>
      <c r="D48" s="64">
        <v>7.39</v>
      </c>
      <c r="E48" s="64">
        <v>4.59</v>
      </c>
      <c r="F48" s="64">
        <v>3.82</v>
      </c>
      <c r="G48" s="64">
        <v>162.65</v>
      </c>
      <c r="H48" s="64">
        <v>43.44</v>
      </c>
      <c r="I48" s="64">
        <v>3.86</v>
      </c>
      <c r="J48" s="64">
        <v>1.29</v>
      </c>
      <c r="K48" s="64">
        <v>332.07</v>
      </c>
      <c r="L48" s="64">
        <v>33.93</v>
      </c>
      <c r="M48" s="64">
        <v>63.98</v>
      </c>
      <c r="N48" s="64">
        <v>508.3</v>
      </c>
      <c r="O48" s="64">
        <v>0</v>
      </c>
      <c r="P48" s="64">
        <v>0.73</v>
      </c>
      <c r="Q48" s="64">
        <v>10.14</v>
      </c>
      <c r="R48" s="198"/>
      <c r="S48" s="198"/>
      <c r="T48" s="198"/>
      <c r="U48" s="198"/>
    </row>
    <row r="49" spans="1:21" s="12" customFormat="1" x14ac:dyDescent="0.25">
      <c r="A49" s="214" t="s">
        <v>2207</v>
      </c>
      <c r="B49" s="64">
        <v>4.34</v>
      </c>
      <c r="C49" s="64">
        <v>3.3</v>
      </c>
      <c r="D49" s="64">
        <v>7.4</v>
      </c>
      <c r="E49" s="64">
        <v>4.43</v>
      </c>
      <c r="F49" s="64">
        <v>3.87</v>
      </c>
      <c r="G49" s="64">
        <v>155.6</v>
      </c>
      <c r="H49" s="64">
        <v>42.52</v>
      </c>
      <c r="I49" s="64">
        <v>3.82</v>
      </c>
      <c r="J49" s="64">
        <v>0.64</v>
      </c>
      <c r="K49" s="64">
        <v>341.56</v>
      </c>
      <c r="L49" s="64">
        <v>33.56</v>
      </c>
      <c r="M49" s="64">
        <v>64.5</v>
      </c>
      <c r="N49" s="64">
        <v>566.79999999999995</v>
      </c>
      <c r="O49" s="64">
        <v>0</v>
      </c>
      <c r="P49" s="64">
        <v>0.69</v>
      </c>
      <c r="Q49" s="64">
        <v>10.17</v>
      </c>
      <c r="R49" s="198"/>
      <c r="S49" s="198"/>
      <c r="T49" s="198"/>
      <c r="U49" s="198"/>
    </row>
    <row r="50" spans="1:21" s="12" customFormat="1" x14ac:dyDescent="0.25">
      <c r="A50" s="214" t="s">
        <v>2208</v>
      </c>
      <c r="B50" s="64">
        <v>4.32</v>
      </c>
      <c r="C50" s="64">
        <v>3.22</v>
      </c>
      <c r="D50" s="64">
        <v>7.34</v>
      </c>
      <c r="E50" s="64">
        <v>4.51</v>
      </c>
      <c r="F50" s="64">
        <v>3.56</v>
      </c>
      <c r="G50" s="64">
        <v>99.16</v>
      </c>
      <c r="H50" s="64">
        <v>36.549999999999997</v>
      </c>
      <c r="I50" s="64">
        <v>3.04</v>
      </c>
      <c r="J50" s="64">
        <v>1.27</v>
      </c>
      <c r="K50" s="64">
        <v>337.8</v>
      </c>
      <c r="L50" s="64">
        <v>34</v>
      </c>
      <c r="M50" s="64">
        <v>63.02</v>
      </c>
      <c r="N50" s="64">
        <v>437.9</v>
      </c>
      <c r="O50" s="64">
        <v>0</v>
      </c>
      <c r="P50" s="64">
        <v>0.79</v>
      </c>
      <c r="Q50" s="64">
        <v>10.16</v>
      </c>
      <c r="R50" s="198"/>
      <c r="S50" s="198"/>
      <c r="T50" s="198"/>
      <c r="U50" s="198"/>
    </row>
    <row r="51" spans="1:21" s="12" customFormat="1" x14ac:dyDescent="0.25">
      <c r="A51" s="214" t="s">
        <v>2209</v>
      </c>
      <c r="B51" s="64">
        <v>4.33</v>
      </c>
      <c r="C51" s="64">
        <v>3.25</v>
      </c>
      <c r="D51" s="64">
        <v>7.36</v>
      </c>
      <c r="E51" s="64">
        <v>4.4800000000000004</v>
      </c>
      <c r="F51" s="64">
        <v>3.32</v>
      </c>
      <c r="G51" s="64">
        <v>99.16</v>
      </c>
      <c r="H51" s="64">
        <v>36.549999999999997</v>
      </c>
      <c r="I51" s="64">
        <v>3.14</v>
      </c>
      <c r="J51" s="64">
        <v>0.86</v>
      </c>
      <c r="K51" s="64">
        <v>342.67</v>
      </c>
      <c r="L51" s="64">
        <v>33.54</v>
      </c>
      <c r="M51" s="64">
        <v>65.39</v>
      </c>
      <c r="N51" s="64">
        <v>342.9</v>
      </c>
      <c r="O51" s="64">
        <v>0</v>
      </c>
      <c r="P51" s="64">
        <v>0.81</v>
      </c>
      <c r="Q51" s="64">
        <v>10.16</v>
      </c>
      <c r="R51" s="198"/>
      <c r="S51" s="198"/>
      <c r="T51" s="198"/>
      <c r="U51" s="198"/>
    </row>
    <row r="52" spans="1:21" s="12" customFormat="1" x14ac:dyDescent="0.25">
      <c r="A52" s="214" t="s">
        <v>2210</v>
      </c>
      <c r="B52" s="64">
        <v>4.34</v>
      </c>
      <c r="C52" s="64">
        <v>3.3</v>
      </c>
      <c r="D52" s="64">
        <v>7.4</v>
      </c>
      <c r="E52" s="64">
        <v>4.4800000000000004</v>
      </c>
      <c r="F52" s="64">
        <v>3.91</v>
      </c>
      <c r="G52" s="64">
        <v>99.16</v>
      </c>
      <c r="H52" s="64">
        <v>36.549999999999997</v>
      </c>
      <c r="I52" s="64">
        <v>3.34</v>
      </c>
      <c r="J52" s="64">
        <v>0.91</v>
      </c>
      <c r="K52" s="64">
        <v>340.81</v>
      </c>
      <c r="L52" s="64">
        <v>33.57</v>
      </c>
      <c r="M52" s="64">
        <v>67.239999999999995</v>
      </c>
      <c r="N52" s="64">
        <v>740.8</v>
      </c>
      <c r="O52" s="64">
        <v>0</v>
      </c>
      <c r="P52" s="64">
        <v>0.78</v>
      </c>
      <c r="Q52" s="64">
        <v>10.130000000000001</v>
      </c>
      <c r="R52" s="198"/>
      <c r="S52" s="198"/>
      <c r="T52" s="198"/>
      <c r="U52" s="198"/>
    </row>
    <row r="53" spans="1:21" s="12" customFormat="1" x14ac:dyDescent="0.25">
      <c r="A53" s="214" t="s">
        <v>2211</v>
      </c>
      <c r="B53" s="64">
        <v>4.33</v>
      </c>
      <c r="C53" s="64">
        <v>3.23</v>
      </c>
      <c r="D53" s="64">
        <v>7.35</v>
      </c>
      <c r="E53" s="64">
        <v>4.59</v>
      </c>
      <c r="F53" s="64">
        <v>3.86</v>
      </c>
      <c r="G53" s="64">
        <v>101.81</v>
      </c>
      <c r="H53" s="64">
        <v>35.79</v>
      </c>
      <c r="I53" s="64">
        <v>3.4</v>
      </c>
      <c r="J53" s="64">
        <v>1.37</v>
      </c>
      <c r="K53" s="64">
        <v>333.62</v>
      </c>
      <c r="L53" s="64">
        <v>35.24</v>
      </c>
      <c r="M53" s="64">
        <v>58.04</v>
      </c>
      <c r="N53" s="64">
        <v>755.4</v>
      </c>
      <c r="O53" s="64">
        <v>0</v>
      </c>
      <c r="P53" s="64">
        <v>0.76</v>
      </c>
      <c r="Q53" s="64">
        <v>10.119999999999999</v>
      </c>
      <c r="R53" s="198"/>
      <c r="S53" s="198"/>
      <c r="T53" s="198"/>
      <c r="U53" s="198"/>
    </row>
    <row r="54" spans="1:21" s="12" customFormat="1" x14ac:dyDescent="0.25">
      <c r="A54" s="214" t="s">
        <v>2212</v>
      </c>
      <c r="B54" s="64">
        <v>4.34</v>
      </c>
      <c r="C54" s="64">
        <v>3.26</v>
      </c>
      <c r="D54" s="64">
        <v>7.37</v>
      </c>
      <c r="E54" s="64">
        <v>4.55</v>
      </c>
      <c r="F54" s="64">
        <v>3.9</v>
      </c>
      <c r="G54" s="64">
        <v>123.04</v>
      </c>
      <c r="H54" s="64">
        <v>30.89</v>
      </c>
      <c r="I54" s="64">
        <v>3.52</v>
      </c>
      <c r="J54" s="64">
        <v>0.9</v>
      </c>
      <c r="K54" s="64">
        <v>354.22</v>
      </c>
      <c r="L54" s="64">
        <v>35</v>
      </c>
      <c r="M54" s="64">
        <v>57.18</v>
      </c>
      <c r="N54" s="64">
        <v>801</v>
      </c>
      <c r="O54" s="64">
        <v>0</v>
      </c>
      <c r="P54" s="64">
        <v>0.71</v>
      </c>
      <c r="Q54" s="64">
        <v>10.08</v>
      </c>
      <c r="R54" s="198"/>
      <c r="S54" s="198"/>
      <c r="T54" s="198"/>
      <c r="U54" s="198"/>
    </row>
    <row r="55" spans="1:21" s="12" customFormat="1" x14ac:dyDescent="0.25">
      <c r="A55" s="214" t="s">
        <v>2213</v>
      </c>
      <c r="B55" s="64">
        <v>4.28</v>
      </c>
      <c r="C55" s="64">
        <v>3.21</v>
      </c>
      <c r="D55" s="64">
        <v>7.3</v>
      </c>
      <c r="E55" s="64">
        <v>4.4000000000000004</v>
      </c>
      <c r="F55" s="64">
        <v>3.88</v>
      </c>
      <c r="G55" s="64">
        <v>123.04</v>
      </c>
      <c r="H55" s="64">
        <v>30.89</v>
      </c>
      <c r="I55" s="64">
        <v>4.08</v>
      </c>
      <c r="J55" s="64">
        <v>0.64</v>
      </c>
      <c r="K55" s="64">
        <v>343.71</v>
      </c>
      <c r="L55" s="64">
        <v>34.14</v>
      </c>
      <c r="M55" s="64">
        <v>59.83</v>
      </c>
      <c r="N55" s="64">
        <v>749.9</v>
      </c>
      <c r="O55" s="64">
        <v>0</v>
      </c>
      <c r="P55" s="64">
        <v>0.72</v>
      </c>
      <c r="Q55" s="64">
        <v>10.06</v>
      </c>
      <c r="R55" s="198"/>
      <c r="S55" s="198"/>
      <c r="T55" s="198"/>
      <c r="U55" s="198"/>
    </row>
    <row r="56" spans="1:21" s="12" customFormat="1" x14ac:dyDescent="0.25">
      <c r="A56" s="214" t="s">
        <v>2214</v>
      </c>
      <c r="B56" s="64">
        <v>4.24</v>
      </c>
      <c r="C56" s="64">
        <v>3.15</v>
      </c>
      <c r="D56" s="64">
        <v>7.24</v>
      </c>
      <c r="E56" s="64">
        <v>4.72</v>
      </c>
      <c r="F56" s="64">
        <v>4.03</v>
      </c>
      <c r="G56" s="64">
        <v>123.04</v>
      </c>
      <c r="H56" s="64">
        <v>30.89</v>
      </c>
      <c r="I56" s="64">
        <v>4.5599999999999996</v>
      </c>
      <c r="J56" s="64">
        <v>0.64</v>
      </c>
      <c r="K56" s="64">
        <v>89.23</v>
      </c>
      <c r="L56" s="64">
        <v>32.56</v>
      </c>
      <c r="M56" s="64">
        <v>62.29</v>
      </c>
      <c r="N56" s="64">
        <v>717.4</v>
      </c>
      <c r="O56" s="64">
        <v>0</v>
      </c>
      <c r="P56" s="64">
        <v>0.66</v>
      </c>
      <c r="Q56" s="64">
        <v>10.029999999999999</v>
      </c>
      <c r="R56" s="198"/>
      <c r="S56" s="198"/>
      <c r="T56" s="198"/>
      <c r="U56" s="198"/>
    </row>
    <row r="57" spans="1:21" s="12" customFormat="1" x14ac:dyDescent="0.25">
      <c r="A57" s="214" t="s">
        <v>2215</v>
      </c>
      <c r="B57" s="64">
        <v>4.24</v>
      </c>
      <c r="C57" s="64">
        <v>3.17</v>
      </c>
      <c r="D57" s="64">
        <v>7.25</v>
      </c>
      <c r="E57" s="64">
        <v>4.99</v>
      </c>
      <c r="F57" s="64">
        <v>3.94</v>
      </c>
      <c r="G57" s="64">
        <v>119.86</v>
      </c>
      <c r="H57" s="64">
        <v>29.43</v>
      </c>
      <c r="I57" s="64">
        <v>4.4800000000000004</v>
      </c>
      <c r="J57" s="64">
        <v>1.33</v>
      </c>
      <c r="K57" s="64">
        <v>335</v>
      </c>
      <c r="L57" s="64">
        <v>34.409999999999997</v>
      </c>
      <c r="M57" s="64">
        <v>58.51</v>
      </c>
      <c r="N57" s="64">
        <v>509.1</v>
      </c>
      <c r="O57" s="64">
        <v>0</v>
      </c>
      <c r="P57" s="64">
        <v>0.69</v>
      </c>
      <c r="Q57" s="64">
        <v>9.98</v>
      </c>
      <c r="R57" s="198"/>
      <c r="S57" s="198"/>
      <c r="T57" s="198"/>
      <c r="U57" s="198"/>
    </row>
    <row r="58" spans="1:21" s="12" customFormat="1" x14ac:dyDescent="0.25">
      <c r="A58" s="214" t="s">
        <v>2216</v>
      </c>
      <c r="B58" s="64">
        <v>4.25</v>
      </c>
      <c r="C58" s="64">
        <v>3.22</v>
      </c>
      <c r="D58" s="64">
        <v>7.29</v>
      </c>
      <c r="E58" s="64">
        <v>4.76</v>
      </c>
      <c r="F58" s="64">
        <v>4.12</v>
      </c>
      <c r="G58" s="64">
        <v>94.37</v>
      </c>
      <c r="H58" s="64">
        <v>18.84</v>
      </c>
      <c r="I58" s="64">
        <v>4.1900000000000004</v>
      </c>
      <c r="J58" s="64">
        <v>1.71</v>
      </c>
      <c r="K58" s="64">
        <v>334.14</v>
      </c>
      <c r="L58" s="64">
        <v>33.97</v>
      </c>
      <c r="M58" s="64">
        <v>62.32</v>
      </c>
      <c r="N58" s="64">
        <v>175.1</v>
      </c>
      <c r="O58" s="64">
        <v>0</v>
      </c>
      <c r="P58" s="64">
        <v>0.71</v>
      </c>
      <c r="Q58" s="64">
        <v>9.94</v>
      </c>
      <c r="R58" s="198"/>
      <c r="S58" s="198"/>
      <c r="T58" s="198"/>
      <c r="U58" s="198"/>
    </row>
    <row r="59" spans="1:21" s="12" customFormat="1" x14ac:dyDescent="0.25">
      <c r="A59" s="214" t="s">
        <v>2217</v>
      </c>
      <c r="B59" s="64">
        <v>4.2300000000000004</v>
      </c>
      <c r="C59" s="64">
        <v>3.19</v>
      </c>
      <c r="D59" s="64">
        <v>7.25</v>
      </c>
      <c r="E59" s="64">
        <v>5.21</v>
      </c>
      <c r="F59" s="64">
        <v>3.99</v>
      </c>
      <c r="G59" s="64">
        <v>94.37</v>
      </c>
      <c r="H59" s="64">
        <v>18.84</v>
      </c>
      <c r="I59" s="64">
        <v>4.67</v>
      </c>
      <c r="J59" s="64">
        <v>1.44</v>
      </c>
      <c r="K59" s="64">
        <v>339.86</v>
      </c>
      <c r="L59" s="64">
        <v>32.770000000000003</v>
      </c>
      <c r="M59" s="64">
        <v>66.069999999999993</v>
      </c>
      <c r="N59" s="64">
        <v>182.3</v>
      </c>
      <c r="O59" s="64">
        <v>0</v>
      </c>
      <c r="P59" s="64">
        <v>0.69</v>
      </c>
      <c r="Q59" s="64">
        <v>9.89</v>
      </c>
      <c r="R59" s="198"/>
      <c r="S59" s="198"/>
      <c r="T59" s="198"/>
      <c r="U59" s="198"/>
    </row>
    <row r="60" spans="1:21" s="12" customFormat="1" x14ac:dyDescent="0.25">
      <c r="A60" s="214" t="s">
        <v>2218</v>
      </c>
      <c r="B60" s="64">
        <v>4.26</v>
      </c>
      <c r="C60" s="64">
        <v>3.22</v>
      </c>
      <c r="D60" s="64">
        <v>7.29</v>
      </c>
      <c r="E60" s="64">
        <v>4.7699999999999996</v>
      </c>
      <c r="F60" s="64">
        <v>4.8600000000000003</v>
      </c>
      <c r="G60" s="64">
        <v>94.37</v>
      </c>
      <c r="H60" s="64">
        <v>18.84</v>
      </c>
      <c r="I60" s="64">
        <v>4.5199999999999996</v>
      </c>
      <c r="J60" s="64">
        <v>1.17</v>
      </c>
      <c r="K60" s="64">
        <v>335.5</v>
      </c>
      <c r="L60" s="64">
        <v>32.56</v>
      </c>
      <c r="M60" s="64">
        <v>63.89</v>
      </c>
      <c r="N60" s="64">
        <v>471.9</v>
      </c>
      <c r="O60" s="64">
        <v>0</v>
      </c>
      <c r="P60" s="64">
        <v>0.69</v>
      </c>
      <c r="Q60" s="64">
        <v>9.84</v>
      </c>
      <c r="R60" s="198"/>
      <c r="S60" s="198"/>
      <c r="T60" s="198"/>
      <c r="U60" s="198"/>
    </row>
    <row r="61" spans="1:21" s="12" customFormat="1" x14ac:dyDescent="0.25">
      <c r="A61" s="214" t="s">
        <v>2219</v>
      </c>
      <c r="B61" s="64">
        <v>4.2300000000000004</v>
      </c>
      <c r="C61" s="64">
        <v>3.24</v>
      </c>
      <c r="D61" s="64">
        <v>7.27</v>
      </c>
      <c r="E61" s="64">
        <v>4.74</v>
      </c>
      <c r="F61" s="64">
        <v>3.96</v>
      </c>
      <c r="G61" s="64">
        <v>96.32</v>
      </c>
      <c r="H61" s="64">
        <v>72.41</v>
      </c>
      <c r="I61" s="64">
        <v>4.13</v>
      </c>
      <c r="J61" s="64">
        <v>0.83</v>
      </c>
      <c r="K61" s="64">
        <v>342.55</v>
      </c>
      <c r="L61" s="64">
        <v>33.450000000000003</v>
      </c>
      <c r="M61" s="64">
        <v>61.77</v>
      </c>
      <c r="N61" s="64">
        <v>409.8</v>
      </c>
      <c r="O61" s="64">
        <v>0</v>
      </c>
      <c r="P61" s="64">
        <v>0.66</v>
      </c>
      <c r="Q61" s="64">
        <v>9.85</v>
      </c>
      <c r="R61" s="198"/>
      <c r="S61" s="198"/>
      <c r="T61" s="198"/>
      <c r="U61" s="198"/>
    </row>
    <row r="62" spans="1:21" s="12" customFormat="1" x14ac:dyDescent="0.25">
      <c r="A62" s="214" t="s">
        <v>2220</v>
      </c>
      <c r="B62" s="64">
        <v>4.24</v>
      </c>
      <c r="C62" s="64">
        <v>3.21</v>
      </c>
      <c r="D62" s="64">
        <v>7.26</v>
      </c>
      <c r="E62" s="64">
        <v>4.47</v>
      </c>
      <c r="F62" s="64">
        <v>3.86</v>
      </c>
      <c r="G62" s="64">
        <v>111.99</v>
      </c>
      <c r="H62" s="212" t="s">
        <v>42</v>
      </c>
      <c r="I62" s="64">
        <v>4.12</v>
      </c>
      <c r="J62" s="64">
        <v>1.65</v>
      </c>
      <c r="K62" s="64">
        <v>337.77</v>
      </c>
      <c r="L62" s="64">
        <v>33.340000000000003</v>
      </c>
      <c r="M62" s="64">
        <v>64</v>
      </c>
      <c r="N62" s="64">
        <v>480.9</v>
      </c>
      <c r="O62" s="64">
        <v>0</v>
      </c>
      <c r="P62" s="64">
        <v>0.7</v>
      </c>
      <c r="Q62" s="64">
        <v>9.8000000000000007</v>
      </c>
      <c r="R62" s="198"/>
      <c r="S62" s="198"/>
      <c r="T62" s="198"/>
      <c r="U62" s="198"/>
    </row>
    <row r="63" spans="1:21" s="12" customFormat="1" x14ac:dyDescent="0.25">
      <c r="A63" s="214" t="s">
        <v>2221</v>
      </c>
      <c r="B63" s="64">
        <v>4.26</v>
      </c>
      <c r="C63" s="64">
        <v>3.22</v>
      </c>
      <c r="D63" s="64">
        <v>7.29</v>
      </c>
      <c r="E63" s="64">
        <v>6</v>
      </c>
      <c r="F63" s="64">
        <v>4.9800000000000004</v>
      </c>
      <c r="G63" s="64">
        <v>111.99</v>
      </c>
      <c r="H63" s="212" t="s">
        <v>42</v>
      </c>
      <c r="I63" s="64">
        <v>3.68</v>
      </c>
      <c r="J63" s="64">
        <v>1.19</v>
      </c>
      <c r="K63" s="64">
        <v>331.17</v>
      </c>
      <c r="L63" s="64">
        <v>33.03</v>
      </c>
      <c r="M63" s="64">
        <v>65.760000000000005</v>
      </c>
      <c r="N63" s="64">
        <v>315</v>
      </c>
      <c r="O63" s="64">
        <v>0</v>
      </c>
      <c r="P63" s="64">
        <v>0.69</v>
      </c>
      <c r="Q63" s="64">
        <v>9.76</v>
      </c>
      <c r="R63" s="198"/>
      <c r="S63" s="198"/>
      <c r="T63" s="198"/>
      <c r="U63" s="198"/>
    </row>
    <row r="64" spans="1:21" s="12" customFormat="1" x14ac:dyDescent="0.25">
      <c r="A64" s="214" t="s">
        <v>2222</v>
      </c>
      <c r="B64" s="64">
        <v>4.2300000000000004</v>
      </c>
      <c r="C64" s="64">
        <v>3.19</v>
      </c>
      <c r="D64" s="64">
        <v>7.25</v>
      </c>
      <c r="E64" s="64">
        <v>4.99</v>
      </c>
      <c r="F64" s="64">
        <v>4.3</v>
      </c>
      <c r="G64" s="64">
        <v>111.99</v>
      </c>
      <c r="H64" s="212" t="s">
        <v>42</v>
      </c>
      <c r="I64" s="64">
        <v>3.73</v>
      </c>
      <c r="J64" s="64">
        <v>1.02</v>
      </c>
      <c r="K64" s="64">
        <v>333.2</v>
      </c>
      <c r="L64" s="64">
        <v>32.869999999999997</v>
      </c>
      <c r="M64" s="64">
        <v>65.489999999999995</v>
      </c>
      <c r="N64" s="64">
        <v>261.60000000000002</v>
      </c>
      <c r="O64" s="64">
        <v>0</v>
      </c>
      <c r="P64" s="64">
        <v>0.64</v>
      </c>
      <c r="Q64" s="64">
        <v>9.7100000000000009</v>
      </c>
      <c r="R64" s="198"/>
      <c r="S64" s="198"/>
      <c r="T64" s="198"/>
      <c r="U64" s="198"/>
    </row>
    <row r="65" spans="1:21" s="12" customFormat="1" x14ac:dyDescent="0.25">
      <c r="A65" s="214" t="s">
        <v>2223</v>
      </c>
      <c r="B65" s="64">
        <v>4.26</v>
      </c>
      <c r="C65" s="64">
        <v>3.17</v>
      </c>
      <c r="D65" s="64">
        <v>7.26</v>
      </c>
      <c r="E65" s="64">
        <v>4.4800000000000004</v>
      </c>
      <c r="F65" s="64">
        <v>5.16</v>
      </c>
      <c r="G65" s="64">
        <v>110</v>
      </c>
      <c r="H65" s="212" t="s">
        <v>42</v>
      </c>
      <c r="I65" s="64">
        <v>3.84</v>
      </c>
      <c r="J65" s="64">
        <v>0.37</v>
      </c>
      <c r="K65" s="64">
        <v>345.11</v>
      </c>
      <c r="L65" s="64">
        <v>32.33</v>
      </c>
      <c r="M65" s="64">
        <v>65.680000000000007</v>
      </c>
      <c r="N65" s="64">
        <v>228.7</v>
      </c>
      <c r="O65" s="64">
        <v>0</v>
      </c>
      <c r="P65" s="64">
        <v>0.61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4" t="s">
        <v>2224</v>
      </c>
      <c r="B66" s="64">
        <v>4.26</v>
      </c>
      <c r="C66" s="64">
        <v>3.17</v>
      </c>
      <c r="D66" s="64">
        <v>7.26</v>
      </c>
      <c r="E66" s="64">
        <v>4.58</v>
      </c>
      <c r="F66" s="64">
        <v>5.07</v>
      </c>
      <c r="G66" s="64">
        <v>94.08</v>
      </c>
      <c r="H66" s="64">
        <v>20.13</v>
      </c>
      <c r="I66" s="64">
        <v>3.1</v>
      </c>
      <c r="J66" s="64">
        <v>0.72</v>
      </c>
      <c r="K66" s="64">
        <v>336.02</v>
      </c>
      <c r="L66" s="64">
        <v>31.76</v>
      </c>
      <c r="M66" s="64">
        <v>68.87</v>
      </c>
      <c r="N66" s="64">
        <v>206.2</v>
      </c>
      <c r="O66" s="64">
        <v>0</v>
      </c>
      <c r="P66" s="64">
        <v>0.64</v>
      </c>
      <c r="Q66" s="64">
        <v>9.66</v>
      </c>
      <c r="R66" s="198"/>
      <c r="S66" s="198"/>
      <c r="T66" s="198"/>
      <c r="U66" s="198"/>
    </row>
    <row r="67" spans="1:21" s="12" customFormat="1" x14ac:dyDescent="0.25">
      <c r="A67" s="214" t="s">
        <v>2225</v>
      </c>
      <c r="B67" s="64">
        <v>4.2699999999999996</v>
      </c>
      <c r="C67" s="64">
        <v>3.2</v>
      </c>
      <c r="D67" s="64">
        <v>7.29</v>
      </c>
      <c r="E67" s="64">
        <v>4.58</v>
      </c>
      <c r="F67" s="64">
        <v>4.7300000000000004</v>
      </c>
      <c r="G67" s="64">
        <v>94.08</v>
      </c>
      <c r="H67" s="64">
        <v>20.13</v>
      </c>
      <c r="I67" s="64">
        <v>2.35</v>
      </c>
      <c r="J67" s="64">
        <v>1.26</v>
      </c>
      <c r="K67" s="64">
        <v>335.92</v>
      </c>
      <c r="L67" s="64">
        <v>32.43</v>
      </c>
      <c r="M67" s="64">
        <v>65.37</v>
      </c>
      <c r="N67" s="64">
        <v>216</v>
      </c>
      <c r="O67" s="64">
        <v>0</v>
      </c>
      <c r="P67" s="64">
        <v>0.67</v>
      </c>
      <c r="Q67" s="64">
        <v>9.65</v>
      </c>
      <c r="R67" s="198"/>
      <c r="S67" s="198"/>
      <c r="T67" s="198"/>
      <c r="U67" s="198"/>
    </row>
    <row r="68" spans="1:21" s="12" customFormat="1" x14ac:dyDescent="0.25">
      <c r="A68" s="214" t="s">
        <v>2226</v>
      </c>
      <c r="B68" s="64">
        <v>4.28</v>
      </c>
      <c r="C68" s="64">
        <v>3.18</v>
      </c>
      <c r="D68" s="64">
        <v>7.28</v>
      </c>
      <c r="E68" s="64">
        <v>4.87</v>
      </c>
      <c r="F68" s="64">
        <v>5.46</v>
      </c>
      <c r="G68" s="64">
        <v>94.08</v>
      </c>
      <c r="H68" s="64">
        <v>20.13</v>
      </c>
      <c r="I68" s="64">
        <v>2.4500000000000002</v>
      </c>
      <c r="J68" s="64">
        <v>0.65</v>
      </c>
      <c r="K68" s="64">
        <v>355.99</v>
      </c>
      <c r="L68" s="64">
        <v>32.21</v>
      </c>
      <c r="M68" s="64">
        <v>65.739999999999995</v>
      </c>
      <c r="N68" s="64">
        <v>180.6</v>
      </c>
      <c r="O68" s="64">
        <v>0</v>
      </c>
      <c r="P68" s="64">
        <v>0.6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4" t="s">
        <v>2227</v>
      </c>
      <c r="B69" s="64">
        <v>4.29</v>
      </c>
      <c r="C69" s="64">
        <v>3.26</v>
      </c>
      <c r="D69" s="64">
        <v>7.33</v>
      </c>
      <c r="E69" s="64">
        <v>4.92</v>
      </c>
      <c r="F69" s="64">
        <v>6.15</v>
      </c>
      <c r="G69" s="64">
        <v>94.67</v>
      </c>
      <c r="H69" s="64">
        <v>21.6</v>
      </c>
      <c r="I69" s="64">
        <v>3.03</v>
      </c>
      <c r="J69" s="64">
        <v>0.26</v>
      </c>
      <c r="K69" s="64">
        <v>9</v>
      </c>
      <c r="L69" s="64">
        <v>31.61</v>
      </c>
      <c r="M69" s="64">
        <v>68.56</v>
      </c>
      <c r="N69" s="64">
        <v>194.4</v>
      </c>
      <c r="O69" s="64">
        <v>0</v>
      </c>
      <c r="P69" s="64">
        <v>0.56999999999999995</v>
      </c>
      <c r="Q69" s="64">
        <v>9.6300000000000008</v>
      </c>
      <c r="R69" s="198"/>
      <c r="S69" s="198"/>
      <c r="T69" s="198"/>
      <c r="U69" s="198"/>
    </row>
    <row r="70" spans="1:21" s="12" customFormat="1" x14ac:dyDescent="0.25">
      <c r="A70" s="214" t="s">
        <v>2228</v>
      </c>
      <c r="B70" s="64">
        <v>4.29</v>
      </c>
      <c r="C70" s="64">
        <v>3.27</v>
      </c>
      <c r="D70" s="64">
        <v>7.34</v>
      </c>
      <c r="E70" s="64">
        <v>4.68</v>
      </c>
      <c r="F70" s="64">
        <v>4.96</v>
      </c>
      <c r="G70" s="64">
        <v>99.42</v>
      </c>
      <c r="H70" s="64">
        <v>31.07</v>
      </c>
      <c r="I70" s="64">
        <v>2.78</v>
      </c>
      <c r="J70" s="64">
        <v>1.5</v>
      </c>
      <c r="K70" s="64">
        <v>338.13</v>
      </c>
      <c r="L70" s="64">
        <v>31.81</v>
      </c>
      <c r="M70" s="64">
        <v>69.72</v>
      </c>
      <c r="N70" s="64">
        <v>146.19999999999999</v>
      </c>
      <c r="O70" s="64">
        <v>0</v>
      </c>
      <c r="P70" s="64">
        <v>0.6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4" t="s">
        <v>2229</v>
      </c>
      <c r="B71" s="64">
        <v>4.26</v>
      </c>
      <c r="C71" s="64">
        <v>3.19</v>
      </c>
      <c r="D71" s="64">
        <v>7.27</v>
      </c>
      <c r="E71" s="64">
        <v>4.87</v>
      </c>
      <c r="F71" s="64">
        <v>4.6399999999999997</v>
      </c>
      <c r="G71" s="64">
        <v>99.42</v>
      </c>
      <c r="H71" s="64">
        <v>31.07</v>
      </c>
      <c r="I71" s="64">
        <v>2.54</v>
      </c>
      <c r="J71" s="64">
        <v>1.22</v>
      </c>
      <c r="K71" s="64">
        <v>344.67</v>
      </c>
      <c r="L71" s="64">
        <v>31.99</v>
      </c>
      <c r="M71" s="64">
        <v>67.83</v>
      </c>
      <c r="N71" s="64">
        <v>141.69999999999999</v>
      </c>
      <c r="O71" s="64">
        <v>0</v>
      </c>
      <c r="P71" s="64">
        <v>0.64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4" t="s">
        <v>2230</v>
      </c>
      <c r="B72" s="64">
        <v>4.24</v>
      </c>
      <c r="C72" s="64">
        <v>3.26</v>
      </c>
      <c r="D72" s="64">
        <v>7.3</v>
      </c>
      <c r="E72" s="64">
        <v>3.92</v>
      </c>
      <c r="F72" s="64">
        <v>4.8899999999999997</v>
      </c>
      <c r="G72" s="64">
        <v>99.42</v>
      </c>
      <c r="H72" s="64">
        <v>31.07</v>
      </c>
      <c r="I72" s="64">
        <v>2.95</v>
      </c>
      <c r="J72" s="64">
        <v>0.16</v>
      </c>
      <c r="K72" s="64">
        <v>61.77</v>
      </c>
      <c r="L72" s="64">
        <v>30.99</v>
      </c>
      <c r="M72" s="64">
        <v>70.819999999999993</v>
      </c>
      <c r="N72" s="64">
        <v>100.3</v>
      </c>
      <c r="O72" s="64">
        <v>0</v>
      </c>
      <c r="P72" s="64">
        <v>0.56999999999999995</v>
      </c>
      <c r="Q72" s="64">
        <v>9.67</v>
      </c>
      <c r="R72" s="198"/>
      <c r="S72" s="198"/>
      <c r="T72" s="198"/>
      <c r="U72" s="198"/>
    </row>
    <row r="73" spans="1:21" s="12" customFormat="1" x14ac:dyDescent="0.25">
      <c r="A73" s="214" t="s">
        <v>2231</v>
      </c>
      <c r="B73" s="64">
        <v>4.2300000000000004</v>
      </c>
      <c r="C73" s="64">
        <v>3.21</v>
      </c>
      <c r="D73" s="64">
        <v>7.26</v>
      </c>
      <c r="E73" s="64">
        <v>3.66</v>
      </c>
      <c r="F73" s="64">
        <v>4.82</v>
      </c>
      <c r="G73" s="64">
        <v>98.33</v>
      </c>
      <c r="H73" s="64">
        <v>31.59</v>
      </c>
      <c r="I73" s="64">
        <v>3.22</v>
      </c>
      <c r="J73" s="64">
        <v>0.93</v>
      </c>
      <c r="K73" s="64">
        <v>342.83</v>
      </c>
      <c r="L73" s="64">
        <v>30.83</v>
      </c>
      <c r="M73" s="64">
        <v>73.709999999999994</v>
      </c>
      <c r="N73" s="64">
        <v>87.8</v>
      </c>
      <c r="O73" s="64">
        <v>0</v>
      </c>
      <c r="P73" s="64">
        <v>0.65</v>
      </c>
      <c r="Q73" s="64">
        <v>9.66</v>
      </c>
      <c r="R73" s="198"/>
      <c r="S73" s="198"/>
      <c r="T73" s="198"/>
      <c r="U73" s="198"/>
    </row>
    <row r="74" spans="1:21" s="12" customFormat="1" x14ac:dyDescent="0.25">
      <c r="A74" s="214" t="s">
        <v>2232</v>
      </c>
      <c r="B74" s="64">
        <v>4.21</v>
      </c>
      <c r="C74" s="64">
        <v>3.18</v>
      </c>
      <c r="D74" s="64">
        <v>7.23</v>
      </c>
      <c r="E74" s="64">
        <v>3.63</v>
      </c>
      <c r="F74" s="64">
        <v>5.43</v>
      </c>
      <c r="G74" s="64">
        <v>89.6</v>
      </c>
      <c r="H74" s="64">
        <v>34.97</v>
      </c>
      <c r="I74" s="64">
        <v>2.68</v>
      </c>
      <c r="J74" s="64">
        <v>0.66</v>
      </c>
      <c r="K74" s="64">
        <v>335.73</v>
      </c>
      <c r="L74" s="64">
        <v>30.76</v>
      </c>
      <c r="M74" s="64">
        <v>75.349999999999994</v>
      </c>
      <c r="N74" s="64">
        <v>95.9</v>
      </c>
      <c r="O74" s="64">
        <v>0</v>
      </c>
      <c r="P74" s="64">
        <v>0.63</v>
      </c>
      <c r="Q74" s="64">
        <v>9.69</v>
      </c>
      <c r="R74" s="198"/>
      <c r="S74" s="198"/>
      <c r="T74" s="198"/>
      <c r="U74" s="198"/>
    </row>
    <row r="75" spans="1:21" s="12" customFormat="1" x14ac:dyDescent="0.25">
      <c r="A75" s="214" t="s">
        <v>2233</v>
      </c>
      <c r="B75" s="64">
        <v>4.2300000000000004</v>
      </c>
      <c r="C75" s="64">
        <v>3.23</v>
      </c>
      <c r="D75" s="64">
        <v>7.27</v>
      </c>
      <c r="E75" s="64">
        <v>3.62</v>
      </c>
      <c r="F75" s="64">
        <v>5.01</v>
      </c>
      <c r="G75" s="64">
        <v>89.6</v>
      </c>
      <c r="H75" s="64">
        <v>34.97</v>
      </c>
      <c r="I75" s="64">
        <v>2.56</v>
      </c>
      <c r="J75" s="64">
        <v>0.31</v>
      </c>
      <c r="K75" s="64">
        <v>73.290000000000006</v>
      </c>
      <c r="L75" s="64">
        <v>30.41</v>
      </c>
      <c r="M75" s="64">
        <v>75.709999999999994</v>
      </c>
      <c r="N75" s="64">
        <v>97.8</v>
      </c>
      <c r="O75" s="64">
        <v>0</v>
      </c>
      <c r="P75" s="64">
        <v>0.69</v>
      </c>
      <c r="Q75" s="64">
        <v>9.68</v>
      </c>
      <c r="R75" s="198"/>
      <c r="S75" s="198"/>
      <c r="T75" s="198"/>
      <c r="U75" s="198"/>
    </row>
    <row r="76" spans="1:21" s="12" customFormat="1" x14ac:dyDescent="0.25">
      <c r="A76" s="214" t="s">
        <v>2234</v>
      </c>
      <c r="B76" s="64">
        <v>4.2300000000000004</v>
      </c>
      <c r="C76" s="64">
        <v>3.15</v>
      </c>
      <c r="D76" s="64">
        <v>7.23</v>
      </c>
      <c r="E76" s="64">
        <v>3.23</v>
      </c>
      <c r="F76" s="64">
        <v>5.46</v>
      </c>
      <c r="G76" s="64">
        <v>89.6</v>
      </c>
      <c r="H76" s="64">
        <v>34.97</v>
      </c>
      <c r="I76" s="64">
        <v>2.66</v>
      </c>
      <c r="J76" s="64">
        <v>0.66</v>
      </c>
      <c r="K76" s="64">
        <v>108.28</v>
      </c>
      <c r="L76" s="64">
        <v>30.22</v>
      </c>
      <c r="M76" s="64">
        <v>75.14</v>
      </c>
      <c r="N76" s="64">
        <v>86.3</v>
      </c>
      <c r="O76" s="64">
        <v>0</v>
      </c>
      <c r="P76" s="64">
        <v>0.62</v>
      </c>
      <c r="Q76" s="64">
        <v>9.67</v>
      </c>
      <c r="R76" s="198"/>
      <c r="S76" s="198"/>
      <c r="T76" s="198"/>
      <c r="U76" s="198"/>
    </row>
    <row r="77" spans="1:21" s="12" customFormat="1" x14ac:dyDescent="0.25">
      <c r="A77" s="214" t="s">
        <v>2235</v>
      </c>
      <c r="B77" s="64">
        <v>4.2</v>
      </c>
      <c r="C77" s="64">
        <v>3.19</v>
      </c>
      <c r="D77" s="64">
        <v>7.23</v>
      </c>
      <c r="E77" s="64">
        <v>3.51</v>
      </c>
      <c r="F77" s="64">
        <v>4.6900000000000004</v>
      </c>
      <c r="G77" s="64">
        <v>90.43</v>
      </c>
      <c r="H77" s="64">
        <v>48.25</v>
      </c>
      <c r="I77" s="64">
        <v>2.74</v>
      </c>
      <c r="J77" s="64">
        <v>7.0000000000000007E-2</v>
      </c>
      <c r="K77" s="64">
        <v>136.37</v>
      </c>
      <c r="L77" s="64">
        <v>29.78</v>
      </c>
      <c r="M77" s="64">
        <v>79.53</v>
      </c>
      <c r="N77" s="64">
        <v>64</v>
      </c>
      <c r="O77" s="64">
        <v>0</v>
      </c>
      <c r="P77" s="64">
        <v>0.59</v>
      </c>
      <c r="Q77" s="64">
        <v>9.67</v>
      </c>
      <c r="R77" s="198"/>
      <c r="S77" s="198"/>
      <c r="T77" s="198"/>
      <c r="U77" s="198"/>
    </row>
    <row r="78" spans="1:21" s="12" customFormat="1" x14ac:dyDescent="0.25">
      <c r="A78" s="214" t="s">
        <v>2236</v>
      </c>
      <c r="B78" s="64">
        <v>4.22</v>
      </c>
      <c r="C78" s="64">
        <v>3.16</v>
      </c>
      <c r="D78" s="64">
        <v>7.23</v>
      </c>
      <c r="E78" s="64">
        <v>3.41</v>
      </c>
      <c r="F78" s="64">
        <v>5.1100000000000003</v>
      </c>
      <c r="G78" s="64">
        <v>97.1</v>
      </c>
      <c r="H78" s="212" t="s">
        <v>42</v>
      </c>
      <c r="I78" s="64">
        <v>2.87</v>
      </c>
      <c r="J78" s="64">
        <v>0.06</v>
      </c>
      <c r="K78" s="64">
        <v>38.57</v>
      </c>
      <c r="L78" s="64">
        <v>29.64</v>
      </c>
      <c r="M78" s="64">
        <v>78.58</v>
      </c>
      <c r="N78" s="64">
        <v>51.9</v>
      </c>
      <c r="O78" s="64">
        <v>0</v>
      </c>
      <c r="P78" s="64">
        <v>0.61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4" t="s">
        <v>2237</v>
      </c>
      <c r="B79" s="64">
        <v>4.25</v>
      </c>
      <c r="C79" s="64">
        <v>3.22</v>
      </c>
      <c r="D79" s="64">
        <v>7.28</v>
      </c>
      <c r="E79" s="64">
        <v>3.3</v>
      </c>
      <c r="F79" s="64">
        <v>5.55</v>
      </c>
      <c r="G79" s="64">
        <v>97.1</v>
      </c>
      <c r="H79" s="212" t="s">
        <v>42</v>
      </c>
      <c r="I79" s="64">
        <v>2.4500000000000002</v>
      </c>
      <c r="J79" s="64">
        <v>0.08</v>
      </c>
      <c r="K79" s="64">
        <v>20.16</v>
      </c>
      <c r="L79" s="64">
        <v>29.64</v>
      </c>
      <c r="M79" s="64">
        <v>79.290000000000006</v>
      </c>
      <c r="N79" s="64">
        <v>43.4</v>
      </c>
      <c r="O79" s="64">
        <v>0</v>
      </c>
      <c r="P79" s="64">
        <v>0.65</v>
      </c>
      <c r="Q79" s="64">
        <v>9.67</v>
      </c>
      <c r="R79" s="198"/>
      <c r="S79" s="198"/>
      <c r="T79" s="198"/>
      <c r="U79" s="198"/>
    </row>
    <row r="80" spans="1:21" s="12" customFormat="1" x14ac:dyDescent="0.25">
      <c r="A80" s="214" t="s">
        <v>2238</v>
      </c>
      <c r="B80" s="64">
        <v>4.2</v>
      </c>
      <c r="C80" s="64">
        <v>3.15</v>
      </c>
      <c r="D80" s="64">
        <v>7.21</v>
      </c>
      <c r="E80" s="64">
        <v>3.43</v>
      </c>
      <c r="F80" s="64">
        <v>5.56</v>
      </c>
      <c r="G80" s="64">
        <v>97.1</v>
      </c>
      <c r="H80" s="212" t="s">
        <v>42</v>
      </c>
      <c r="I80" s="64">
        <v>2.41</v>
      </c>
      <c r="J80" s="64">
        <v>0.51</v>
      </c>
      <c r="K80" s="64">
        <v>110.1</v>
      </c>
      <c r="L80" s="64">
        <v>29.43</v>
      </c>
      <c r="M80" s="64">
        <v>79.63</v>
      </c>
      <c r="N80" s="64">
        <v>32.700000000000003</v>
      </c>
      <c r="O80" s="64">
        <v>0</v>
      </c>
      <c r="P80" s="64">
        <v>0.61</v>
      </c>
      <c r="Q80" s="64">
        <v>9.67</v>
      </c>
      <c r="R80" s="198"/>
      <c r="S80" s="198"/>
      <c r="T80" s="198"/>
      <c r="U80" s="198"/>
    </row>
    <row r="81" spans="1:26" s="12" customFormat="1" x14ac:dyDescent="0.25">
      <c r="A81" s="214" t="s">
        <v>2239</v>
      </c>
      <c r="B81" s="64">
        <v>4.22</v>
      </c>
      <c r="C81" s="64">
        <v>3.22</v>
      </c>
      <c r="D81" s="64">
        <v>7.26</v>
      </c>
      <c r="E81" s="64">
        <v>3.86</v>
      </c>
      <c r="F81" s="64">
        <v>6.27</v>
      </c>
      <c r="G81" s="64">
        <v>95.39</v>
      </c>
      <c r="H81" s="212" t="s">
        <v>42</v>
      </c>
      <c r="I81" s="64">
        <v>2.91</v>
      </c>
      <c r="J81" s="64">
        <v>0.81</v>
      </c>
      <c r="K81" s="64">
        <v>114.84</v>
      </c>
      <c r="L81" s="64">
        <v>29.24</v>
      </c>
      <c r="M81" s="64">
        <v>79.89</v>
      </c>
      <c r="N81" s="64">
        <v>27.1</v>
      </c>
      <c r="O81" s="64">
        <v>0</v>
      </c>
      <c r="P81" s="64">
        <v>0.53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4" t="s">
        <v>2240</v>
      </c>
      <c r="B82" s="64">
        <v>4.24</v>
      </c>
      <c r="C82" s="64">
        <v>3.2</v>
      </c>
      <c r="D82" s="64">
        <v>7.26</v>
      </c>
      <c r="E82" s="64">
        <v>3.66</v>
      </c>
      <c r="F82" s="64">
        <v>7.01</v>
      </c>
      <c r="G82" s="64">
        <v>81.760000000000005</v>
      </c>
      <c r="H82" s="64">
        <v>25.05</v>
      </c>
      <c r="I82" s="64">
        <v>2.2799999999999998</v>
      </c>
      <c r="J82" s="64">
        <v>0.3</v>
      </c>
      <c r="K82" s="64">
        <v>95.85</v>
      </c>
      <c r="L82" s="64">
        <v>29.01</v>
      </c>
      <c r="M82" s="64">
        <v>81.53</v>
      </c>
      <c r="N82" s="64">
        <v>26.3</v>
      </c>
      <c r="O82" s="64">
        <v>0</v>
      </c>
      <c r="P82" s="64">
        <v>0.67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4" t="s">
        <v>2241</v>
      </c>
      <c r="B83" s="64">
        <v>4.24</v>
      </c>
      <c r="C83" s="64">
        <v>3.17</v>
      </c>
      <c r="D83" s="64">
        <v>7.25</v>
      </c>
      <c r="E83" s="64">
        <v>3.24</v>
      </c>
      <c r="F83" s="64">
        <v>6.89</v>
      </c>
      <c r="G83" s="64">
        <v>81.760000000000005</v>
      </c>
      <c r="H83" s="64">
        <v>25.05</v>
      </c>
      <c r="I83" s="64">
        <v>1.78</v>
      </c>
      <c r="J83" s="64">
        <v>0.8</v>
      </c>
      <c r="K83" s="64">
        <v>118.63</v>
      </c>
      <c r="L83" s="64">
        <v>28.94</v>
      </c>
      <c r="M83" s="64">
        <v>84.2</v>
      </c>
      <c r="N83" s="64">
        <v>26.1</v>
      </c>
      <c r="O83" s="64">
        <v>0</v>
      </c>
      <c r="P83" s="64">
        <v>0.55000000000000004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4" t="s">
        <v>2242</v>
      </c>
      <c r="B84" s="64">
        <v>4.2699999999999996</v>
      </c>
      <c r="C84" s="64">
        <v>3.19</v>
      </c>
      <c r="D84" s="64">
        <v>7.28</v>
      </c>
      <c r="E84" s="64">
        <v>3.63</v>
      </c>
      <c r="F84" s="64">
        <v>6.89</v>
      </c>
      <c r="G84" s="64">
        <v>81.760000000000005</v>
      </c>
      <c r="H84" s="64">
        <v>25.05</v>
      </c>
      <c r="I84" s="64">
        <v>2.04</v>
      </c>
      <c r="J84" s="64">
        <v>0.88</v>
      </c>
      <c r="K84" s="64">
        <v>105.93</v>
      </c>
      <c r="L84" s="64">
        <v>28.91</v>
      </c>
      <c r="M84" s="64">
        <v>86.78</v>
      </c>
      <c r="N84" s="64">
        <v>26</v>
      </c>
      <c r="O84" s="64">
        <v>0</v>
      </c>
      <c r="P84" s="64">
        <v>0.52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4" t="s">
        <v>2243</v>
      </c>
      <c r="B85" s="64">
        <v>4.2699999999999996</v>
      </c>
      <c r="C85" s="64">
        <v>3.16</v>
      </c>
      <c r="D85" s="64">
        <v>7.27</v>
      </c>
      <c r="E85" s="64">
        <v>3.67</v>
      </c>
      <c r="F85" s="64">
        <v>10.4</v>
      </c>
      <c r="G85" s="64">
        <v>82.7</v>
      </c>
      <c r="H85" s="64">
        <v>24.2</v>
      </c>
      <c r="I85" s="64">
        <v>2.16</v>
      </c>
      <c r="J85" s="64">
        <v>0.7</v>
      </c>
      <c r="K85" s="64">
        <v>118.1</v>
      </c>
      <c r="L85" s="64">
        <v>28.81</v>
      </c>
      <c r="M85" s="64">
        <v>87.62</v>
      </c>
      <c r="N85" s="64">
        <v>26.1</v>
      </c>
      <c r="O85" s="64">
        <v>0</v>
      </c>
      <c r="P85" s="64">
        <v>0.53</v>
      </c>
      <c r="Q85" s="64">
        <v>9.65</v>
      </c>
      <c r="R85" s="198"/>
      <c r="S85" s="198"/>
      <c r="T85" s="198"/>
      <c r="U85" s="198"/>
    </row>
    <row r="86" spans="1:26" s="12" customFormat="1" x14ac:dyDescent="0.25">
      <c r="A86" s="214" t="s">
        <v>2244</v>
      </c>
      <c r="B86" s="64">
        <v>4.29</v>
      </c>
      <c r="C86" s="64">
        <v>3.18</v>
      </c>
      <c r="D86" s="64">
        <v>7.29</v>
      </c>
      <c r="E86" s="64">
        <v>3.3</v>
      </c>
      <c r="F86" s="64">
        <v>5.95</v>
      </c>
      <c r="G86" s="64">
        <v>90.2</v>
      </c>
      <c r="H86" s="64">
        <v>18.72</v>
      </c>
      <c r="I86" s="64">
        <v>3.5</v>
      </c>
      <c r="J86" s="64">
        <v>0.74</v>
      </c>
      <c r="K86" s="64">
        <v>104.81</v>
      </c>
      <c r="L86" s="64">
        <v>28.77</v>
      </c>
      <c r="M86" s="64">
        <v>87.57</v>
      </c>
      <c r="N86" s="64">
        <v>26.1</v>
      </c>
      <c r="O86" s="64">
        <v>0</v>
      </c>
      <c r="P86" s="64">
        <v>0.5</v>
      </c>
      <c r="Q86" s="64">
        <v>9.65</v>
      </c>
      <c r="R86" s="198"/>
      <c r="S86" s="198"/>
      <c r="T86" s="198"/>
      <c r="U86" s="198"/>
    </row>
    <row r="87" spans="1:26" s="12" customFormat="1" x14ac:dyDescent="0.25">
      <c r="A87" s="214" t="s">
        <v>2245</v>
      </c>
      <c r="B87" s="64">
        <v>4.29</v>
      </c>
      <c r="C87" s="64">
        <v>3.12</v>
      </c>
      <c r="D87" s="64">
        <v>7.26</v>
      </c>
      <c r="E87" s="64">
        <v>3.49</v>
      </c>
      <c r="F87" s="64">
        <v>5.72</v>
      </c>
      <c r="G87" s="64">
        <v>90.2</v>
      </c>
      <c r="H87" s="64">
        <v>18.72</v>
      </c>
      <c r="I87" s="64">
        <v>5.78</v>
      </c>
      <c r="J87" s="64">
        <v>0.71</v>
      </c>
      <c r="K87" s="64">
        <v>115.55</v>
      </c>
      <c r="L87" s="64">
        <v>28.66</v>
      </c>
      <c r="M87" s="64">
        <v>87.81</v>
      </c>
      <c r="N87" s="64">
        <v>26.1</v>
      </c>
      <c r="O87" s="64">
        <v>0</v>
      </c>
      <c r="P87" s="64">
        <v>0.48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4" t="s">
        <v>2246</v>
      </c>
      <c r="B88" s="64">
        <v>4.26</v>
      </c>
      <c r="C88" s="64">
        <v>3.09</v>
      </c>
      <c r="D88" s="64">
        <v>7.22</v>
      </c>
      <c r="E88" s="64">
        <v>3.42</v>
      </c>
      <c r="F88" s="64">
        <v>5.81</v>
      </c>
      <c r="G88" s="64">
        <v>90.2</v>
      </c>
      <c r="H88" s="64">
        <v>18.72</v>
      </c>
      <c r="I88" s="64">
        <v>6.82</v>
      </c>
      <c r="J88" s="64">
        <v>0.47</v>
      </c>
      <c r="K88" s="64">
        <v>95.26</v>
      </c>
      <c r="L88" s="64">
        <v>28.54</v>
      </c>
      <c r="M88" s="64">
        <v>88.1</v>
      </c>
      <c r="N88" s="64">
        <v>26.1</v>
      </c>
      <c r="O88" s="64">
        <v>0</v>
      </c>
      <c r="P88" s="64">
        <v>0.49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4" t="s">
        <v>2247</v>
      </c>
      <c r="B89" s="64">
        <v>4.22</v>
      </c>
      <c r="C89" s="64">
        <v>3.12</v>
      </c>
      <c r="D89" s="64">
        <v>7.2</v>
      </c>
      <c r="E89" s="64">
        <v>3.22</v>
      </c>
      <c r="F89" s="64">
        <v>4.58</v>
      </c>
      <c r="G89" s="64">
        <v>89.45</v>
      </c>
      <c r="H89" s="64">
        <v>18.02</v>
      </c>
      <c r="I89" s="64">
        <v>7.18</v>
      </c>
      <c r="J89" s="64">
        <v>1.03</v>
      </c>
      <c r="K89" s="64">
        <v>114.02</v>
      </c>
      <c r="L89" s="64">
        <v>28.53</v>
      </c>
      <c r="M89" s="64">
        <v>88.31</v>
      </c>
      <c r="N89" s="64">
        <v>25.9</v>
      </c>
      <c r="O89" s="64">
        <v>0</v>
      </c>
      <c r="P89" s="64">
        <v>0.53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4" t="s">
        <v>2248</v>
      </c>
      <c r="B90" s="64">
        <v>4.2300000000000004</v>
      </c>
      <c r="C90" s="64">
        <v>3.11</v>
      </c>
      <c r="D90" s="64">
        <v>7.2</v>
      </c>
      <c r="E90" s="64">
        <v>3.58</v>
      </c>
      <c r="F90" s="64">
        <v>4.9400000000000004</v>
      </c>
      <c r="G90" s="64">
        <v>83.46</v>
      </c>
      <c r="H90" s="64">
        <v>13.53</v>
      </c>
      <c r="I90" s="64">
        <v>5.82</v>
      </c>
      <c r="J90" s="64">
        <v>0.55000000000000004</v>
      </c>
      <c r="K90" s="64">
        <v>106.66</v>
      </c>
      <c r="L90" s="64">
        <v>28.48</v>
      </c>
      <c r="M90" s="64">
        <v>88.56</v>
      </c>
      <c r="N90" s="64">
        <v>26.1</v>
      </c>
      <c r="O90" s="64">
        <v>0</v>
      </c>
      <c r="P90" s="64">
        <v>0.54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4" t="s">
        <v>2249</v>
      </c>
      <c r="B91" s="64">
        <v>4.22</v>
      </c>
      <c r="C91" s="64">
        <v>3.19</v>
      </c>
      <c r="D91" s="64">
        <v>7.24</v>
      </c>
      <c r="E91" s="64">
        <v>3.35</v>
      </c>
      <c r="F91" s="64">
        <v>4.8</v>
      </c>
      <c r="G91" s="64">
        <v>83.46</v>
      </c>
      <c r="H91" s="64">
        <v>13.53</v>
      </c>
      <c r="I91" s="64">
        <v>4.87</v>
      </c>
      <c r="J91" s="64">
        <v>0.87</v>
      </c>
      <c r="K91" s="64">
        <v>109.66</v>
      </c>
      <c r="L91" s="64">
        <v>28.41</v>
      </c>
      <c r="M91" s="64">
        <v>89.1</v>
      </c>
      <c r="N91" s="64">
        <v>26</v>
      </c>
      <c r="O91" s="64">
        <v>0</v>
      </c>
      <c r="P91" s="64">
        <v>0.53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4" t="s">
        <v>2250</v>
      </c>
      <c r="B92" s="64">
        <v>4.2</v>
      </c>
      <c r="C92" s="64">
        <v>3.14</v>
      </c>
      <c r="D92" s="64">
        <v>7.2</v>
      </c>
      <c r="E92" s="64">
        <v>3.37</v>
      </c>
      <c r="F92" s="64">
        <v>4.25</v>
      </c>
      <c r="G92" s="64">
        <v>83.46</v>
      </c>
      <c r="H92" s="64">
        <v>13.53</v>
      </c>
      <c r="I92" s="64">
        <v>5.62</v>
      </c>
      <c r="J92" s="64">
        <v>0.75</v>
      </c>
      <c r="K92" s="64">
        <v>100.26</v>
      </c>
      <c r="L92" s="64">
        <v>28.38</v>
      </c>
      <c r="M92" s="64">
        <v>90</v>
      </c>
      <c r="N92" s="64">
        <v>26</v>
      </c>
      <c r="O92" s="64">
        <v>0</v>
      </c>
      <c r="P92" s="64">
        <v>0.56000000000000005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4" t="s">
        <v>2251</v>
      </c>
      <c r="B93" s="64">
        <v>4.22</v>
      </c>
      <c r="C93" s="64">
        <v>3.21</v>
      </c>
      <c r="D93" s="64">
        <v>7.25</v>
      </c>
      <c r="E93" s="64">
        <v>3.26</v>
      </c>
      <c r="F93" s="64">
        <v>4.6100000000000003</v>
      </c>
      <c r="G93" s="64">
        <v>83.46</v>
      </c>
      <c r="H93" s="64">
        <v>16.32</v>
      </c>
      <c r="I93" s="64">
        <v>4.78</v>
      </c>
      <c r="J93" s="64">
        <v>0.26</v>
      </c>
      <c r="K93" s="64">
        <v>291.86</v>
      </c>
      <c r="L93" s="64">
        <v>28.05</v>
      </c>
      <c r="M93" s="64">
        <v>93.68</v>
      </c>
      <c r="N93" s="64">
        <v>26.4</v>
      </c>
      <c r="O93" s="64">
        <v>0</v>
      </c>
      <c r="P93" s="64">
        <v>0.85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4" t="s">
        <v>2252</v>
      </c>
      <c r="B94" s="64">
        <v>4.25</v>
      </c>
      <c r="C94" s="64">
        <v>3.27</v>
      </c>
      <c r="D94" s="64">
        <v>7.31</v>
      </c>
      <c r="E94" s="64">
        <v>3.48</v>
      </c>
      <c r="F94" s="64">
        <v>3.37</v>
      </c>
      <c r="G94" s="64">
        <v>83.47</v>
      </c>
      <c r="H94" s="64">
        <v>32.24</v>
      </c>
      <c r="I94" s="64">
        <v>4.55</v>
      </c>
      <c r="J94" s="64">
        <v>0.17</v>
      </c>
      <c r="K94" s="64">
        <v>122.91</v>
      </c>
      <c r="L94" s="64">
        <v>27.74</v>
      </c>
      <c r="M94" s="64">
        <v>96.92</v>
      </c>
      <c r="N94" s="64">
        <v>26.3</v>
      </c>
      <c r="O94" s="64">
        <v>0</v>
      </c>
      <c r="P94" s="64">
        <v>0.87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4" t="s">
        <v>2253</v>
      </c>
      <c r="B95" s="64">
        <v>4.2300000000000004</v>
      </c>
      <c r="C95" s="64">
        <v>3.22</v>
      </c>
      <c r="D95" s="64">
        <v>7.26</v>
      </c>
      <c r="E95" s="64">
        <v>3.12</v>
      </c>
      <c r="F95" s="64">
        <v>4.3099999999999996</v>
      </c>
      <c r="G95" s="64">
        <v>83.47</v>
      </c>
      <c r="H95" s="64">
        <v>32.24</v>
      </c>
      <c r="I95" s="64">
        <v>4.97</v>
      </c>
      <c r="J95" s="64">
        <v>0.33</v>
      </c>
      <c r="K95" s="64">
        <v>281.73</v>
      </c>
      <c r="L95" s="64">
        <v>27.57</v>
      </c>
      <c r="M95" s="64">
        <v>98.83</v>
      </c>
      <c r="N95" s="64">
        <v>26.2</v>
      </c>
      <c r="O95" s="64">
        <v>0</v>
      </c>
      <c r="P95" s="64">
        <v>0.81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4" t="s">
        <v>2254</v>
      </c>
      <c r="B96" s="64">
        <v>4.21</v>
      </c>
      <c r="C96" s="64">
        <v>3.16</v>
      </c>
      <c r="D96" s="64">
        <v>7.21</v>
      </c>
      <c r="E96" s="64">
        <v>3.1</v>
      </c>
      <c r="F96" s="64">
        <v>2.8</v>
      </c>
      <c r="G96" s="64">
        <v>83.47</v>
      </c>
      <c r="H96" s="64">
        <v>32.24</v>
      </c>
      <c r="I96" s="64">
        <v>4.46</v>
      </c>
      <c r="J96" s="64">
        <v>0.32</v>
      </c>
      <c r="K96" s="64">
        <v>357.89</v>
      </c>
      <c r="L96" s="64">
        <v>27.39</v>
      </c>
      <c r="M96" s="64">
        <v>100.46</v>
      </c>
      <c r="N96" s="64">
        <v>26.3</v>
      </c>
      <c r="O96" s="64">
        <v>0</v>
      </c>
      <c r="P96" s="64">
        <v>1.28</v>
      </c>
      <c r="Q96" s="64">
        <v>9.69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2255</v>
      </c>
      <c r="B97" s="64">
        <v>4.24</v>
      </c>
      <c r="C97" s="64">
        <v>3.19</v>
      </c>
      <c r="D97" s="64">
        <v>7.26</v>
      </c>
      <c r="E97" s="64">
        <v>3.66</v>
      </c>
      <c r="F97" s="64">
        <v>3.49</v>
      </c>
      <c r="G97" s="64">
        <v>85.34</v>
      </c>
      <c r="H97" s="64">
        <v>33.49</v>
      </c>
      <c r="I97" s="64">
        <v>4.58</v>
      </c>
      <c r="J97" s="64">
        <v>0.3</v>
      </c>
      <c r="K97" s="64">
        <v>317</v>
      </c>
      <c r="L97" s="64">
        <v>27.15</v>
      </c>
      <c r="M97" s="64">
        <v>101.51</v>
      </c>
      <c r="N97" s="64">
        <v>26.2</v>
      </c>
      <c r="O97" s="64">
        <v>0</v>
      </c>
      <c r="P97" s="64">
        <v>0.76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14" t="s">
        <v>2256</v>
      </c>
      <c r="B98" s="64">
        <v>4.25</v>
      </c>
      <c r="C98" s="64">
        <v>3.21</v>
      </c>
      <c r="D98" s="64">
        <v>7.28</v>
      </c>
      <c r="E98" s="64">
        <v>3.33</v>
      </c>
      <c r="F98" s="64">
        <v>3.87</v>
      </c>
      <c r="G98" s="64">
        <v>100.34</v>
      </c>
      <c r="H98" s="64">
        <v>41.43</v>
      </c>
      <c r="I98" s="64">
        <v>4.49</v>
      </c>
      <c r="J98" s="64">
        <v>0.17</v>
      </c>
      <c r="K98" s="64">
        <v>183.18</v>
      </c>
      <c r="L98" s="64">
        <v>27.29</v>
      </c>
      <c r="M98" s="64">
        <v>99.77</v>
      </c>
      <c r="N98" s="64">
        <v>25.9</v>
      </c>
      <c r="O98" s="64">
        <v>0</v>
      </c>
      <c r="P98" s="64">
        <v>0.69</v>
      </c>
      <c r="Q98" s="64">
        <v>9.7799999999999994</v>
      </c>
      <c r="R98" s="198"/>
      <c r="S98" s="198"/>
      <c r="T98" s="198"/>
      <c r="U98" s="198"/>
    </row>
    <row r="99" spans="1:33" s="12" customFormat="1" x14ac:dyDescent="0.25">
      <c r="A99" s="214" t="s">
        <v>2257</v>
      </c>
      <c r="B99" s="64">
        <v>4.3099999999999996</v>
      </c>
      <c r="C99" s="64">
        <v>3.25</v>
      </c>
      <c r="D99" s="64">
        <v>7.34</v>
      </c>
      <c r="E99" s="64">
        <v>3.25</v>
      </c>
      <c r="F99" s="64">
        <v>4.13</v>
      </c>
      <c r="G99" s="64">
        <v>100.34</v>
      </c>
      <c r="H99" s="64">
        <v>41.43</v>
      </c>
      <c r="I99" s="64">
        <v>5.0599999999999996</v>
      </c>
      <c r="J99" s="64">
        <v>0.3</v>
      </c>
      <c r="K99" s="64">
        <v>320.52999999999997</v>
      </c>
      <c r="L99" s="64">
        <v>27.3</v>
      </c>
      <c r="M99" s="64">
        <v>100.69</v>
      </c>
      <c r="N99" s="64">
        <v>26.2</v>
      </c>
      <c r="O99" s="64">
        <v>0</v>
      </c>
      <c r="P99" s="64">
        <v>1.01</v>
      </c>
      <c r="Q99" s="64">
        <v>9.82</v>
      </c>
      <c r="R99" s="198"/>
      <c r="S99" s="198"/>
      <c r="T99" s="198"/>
      <c r="U99" s="198"/>
    </row>
    <row r="100" spans="1:33" s="12" customFormat="1" x14ac:dyDescent="0.25">
      <c r="A100" s="214" t="s">
        <v>2258</v>
      </c>
      <c r="B100" s="64">
        <v>4.32</v>
      </c>
      <c r="C100" s="64">
        <v>3.23</v>
      </c>
      <c r="D100" s="64">
        <v>7.34</v>
      </c>
      <c r="E100" s="64">
        <v>3.12</v>
      </c>
      <c r="F100" s="64">
        <v>4.28</v>
      </c>
      <c r="G100" s="64">
        <v>100.34</v>
      </c>
      <c r="H100" s="64">
        <v>41.43</v>
      </c>
      <c r="I100" s="64">
        <v>5.55</v>
      </c>
      <c r="J100" s="64">
        <v>0.3</v>
      </c>
      <c r="K100" s="64">
        <v>223.87</v>
      </c>
      <c r="L100" s="64">
        <v>27.08</v>
      </c>
      <c r="M100" s="64">
        <v>101.38</v>
      </c>
      <c r="N100" s="64">
        <v>26.1</v>
      </c>
      <c r="O100" s="64">
        <v>0</v>
      </c>
      <c r="P100" s="64">
        <v>0.87</v>
      </c>
      <c r="Q100" s="64">
        <v>9.83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2259</v>
      </c>
      <c r="B101" s="64">
        <v>4.3</v>
      </c>
      <c r="C101" s="64">
        <v>3.17</v>
      </c>
      <c r="D101" s="64">
        <v>7.3</v>
      </c>
      <c r="E101" s="64">
        <v>3.27</v>
      </c>
      <c r="F101" s="64">
        <v>4.49</v>
      </c>
      <c r="G101" s="64">
        <v>100.09</v>
      </c>
      <c r="H101" s="64">
        <v>40.67</v>
      </c>
      <c r="I101" s="64">
        <v>5.04</v>
      </c>
      <c r="J101" s="64">
        <v>0.25</v>
      </c>
      <c r="K101" s="64">
        <v>227.46</v>
      </c>
      <c r="L101" s="64">
        <v>27.07</v>
      </c>
      <c r="M101" s="64">
        <v>101.62</v>
      </c>
      <c r="N101" s="64">
        <v>26.2</v>
      </c>
      <c r="O101" s="64">
        <v>0</v>
      </c>
      <c r="P101" s="64">
        <v>0.69</v>
      </c>
      <c r="Q101" s="64">
        <v>9.89</v>
      </c>
      <c r="R101" s="198"/>
      <c r="S101" s="198"/>
      <c r="T101" s="198"/>
      <c r="U101" s="198"/>
    </row>
    <row r="102" spans="1:33" s="12" customFormat="1" x14ac:dyDescent="0.25">
      <c r="A102" s="214" t="s">
        <v>2260</v>
      </c>
      <c r="B102" s="64">
        <v>4.3</v>
      </c>
      <c r="C102" s="64">
        <v>3.23</v>
      </c>
      <c r="D102" s="64">
        <v>7.32</v>
      </c>
      <c r="E102" s="64">
        <v>3.75</v>
      </c>
      <c r="F102" s="64">
        <v>4.41</v>
      </c>
      <c r="G102" s="64">
        <v>98.11</v>
      </c>
      <c r="H102" s="64">
        <v>35.35</v>
      </c>
      <c r="I102" s="64">
        <v>3.69</v>
      </c>
      <c r="J102" s="64">
        <v>0.11</v>
      </c>
      <c r="K102" s="64">
        <v>279.33</v>
      </c>
      <c r="L102" s="64">
        <v>27</v>
      </c>
      <c r="M102" s="64">
        <v>101.7</v>
      </c>
      <c r="N102" s="64">
        <v>26.1</v>
      </c>
      <c r="O102" s="64">
        <v>0</v>
      </c>
      <c r="P102" s="64">
        <v>0.6</v>
      </c>
      <c r="Q102" s="64">
        <v>9.92</v>
      </c>
      <c r="R102" s="198"/>
      <c r="S102" s="198"/>
      <c r="T102" s="198"/>
      <c r="U102" s="198"/>
    </row>
    <row r="103" spans="1:33" s="12" customFormat="1" x14ac:dyDescent="0.25">
      <c r="A103" s="214" t="s">
        <v>2261</v>
      </c>
      <c r="B103" s="64">
        <v>4.33</v>
      </c>
      <c r="C103" s="64">
        <v>3.24</v>
      </c>
      <c r="D103" s="64">
        <v>7.35</v>
      </c>
      <c r="E103" s="64">
        <v>3.63</v>
      </c>
      <c r="F103" s="64">
        <v>4.4000000000000004</v>
      </c>
      <c r="G103" s="64">
        <v>98.11</v>
      </c>
      <c r="H103" s="64">
        <v>35.35</v>
      </c>
      <c r="I103" s="64">
        <v>2.96</v>
      </c>
      <c r="J103" s="64">
        <v>0.28000000000000003</v>
      </c>
      <c r="K103" s="64">
        <v>294.25</v>
      </c>
      <c r="L103" s="64">
        <v>26.92</v>
      </c>
      <c r="M103" s="64">
        <v>101.71</v>
      </c>
      <c r="N103" s="64">
        <v>26.1</v>
      </c>
      <c r="O103" s="64">
        <v>0</v>
      </c>
      <c r="P103" s="64">
        <v>0.52</v>
      </c>
      <c r="Q103" s="64">
        <v>9.94</v>
      </c>
      <c r="R103" s="198"/>
      <c r="S103" s="198"/>
      <c r="T103" s="198"/>
      <c r="U103" s="198"/>
    </row>
    <row r="104" spans="1:33" s="12" customFormat="1" x14ac:dyDescent="0.25">
      <c r="A104" s="214" t="s">
        <v>2262</v>
      </c>
      <c r="B104" s="64">
        <v>4.33</v>
      </c>
      <c r="C104" s="64">
        <v>3.18</v>
      </c>
      <c r="D104" s="64">
        <v>7.32</v>
      </c>
      <c r="E104" s="64">
        <v>3.15</v>
      </c>
      <c r="F104" s="64">
        <v>4.2</v>
      </c>
      <c r="G104" s="64">
        <v>98.11</v>
      </c>
      <c r="H104" s="64">
        <v>35.35</v>
      </c>
      <c r="I104" s="64">
        <v>2.29</v>
      </c>
      <c r="J104" s="64">
        <v>0.39</v>
      </c>
      <c r="K104" s="64">
        <v>4.63</v>
      </c>
      <c r="L104" s="64">
        <v>26.74</v>
      </c>
      <c r="M104" s="64">
        <v>101.78</v>
      </c>
      <c r="N104" s="64">
        <v>26.1</v>
      </c>
      <c r="O104" s="64">
        <v>0</v>
      </c>
      <c r="P104" s="64">
        <v>0.53</v>
      </c>
      <c r="Q104" s="64">
        <v>9.93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</v>
      </c>
      <c r="C106" s="67">
        <f>MIN(C9:C104)</f>
        <v>3.09</v>
      </c>
      <c r="D106" s="67">
        <f t="shared" ref="D106:Q106" si="0">MIN(D9:D104)</f>
        <v>7.2</v>
      </c>
      <c r="E106" s="67">
        <f t="shared" si="0"/>
        <v>3.1</v>
      </c>
      <c r="F106" s="67">
        <f t="shared" si="0"/>
        <v>2.8</v>
      </c>
      <c r="G106" s="67">
        <f t="shared" si="0"/>
        <v>28.23</v>
      </c>
      <c r="H106" s="67">
        <f t="shared" si="0"/>
        <v>6.51</v>
      </c>
      <c r="I106" s="67">
        <f t="shared" si="0"/>
        <v>1.04</v>
      </c>
      <c r="J106" s="67">
        <f t="shared" si="0"/>
        <v>0.04</v>
      </c>
      <c r="K106" s="67">
        <f t="shared" si="0"/>
        <v>4.63</v>
      </c>
      <c r="L106" s="67">
        <f t="shared" si="0"/>
        <v>24.46</v>
      </c>
      <c r="M106" s="67">
        <f t="shared" si="0"/>
        <v>57.18</v>
      </c>
      <c r="N106" s="67">
        <f t="shared" si="0"/>
        <v>25.8</v>
      </c>
      <c r="O106" s="67">
        <f t="shared" si="0"/>
        <v>0</v>
      </c>
      <c r="P106" s="67">
        <f t="shared" si="0"/>
        <v>0.37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4.47</v>
      </c>
      <c r="C107" s="66">
        <f t="shared" ref="C107:Q107" si="1">MAX(C9:C104)</f>
        <v>3.53</v>
      </c>
      <c r="D107" s="66">
        <f t="shared" si="1"/>
        <v>7.61</v>
      </c>
      <c r="E107" s="66">
        <f t="shared" si="1"/>
        <v>6</v>
      </c>
      <c r="F107" s="66">
        <f t="shared" si="1"/>
        <v>10.4</v>
      </c>
      <c r="G107" s="66">
        <f t="shared" si="1"/>
        <v>257.55</v>
      </c>
      <c r="H107" s="66">
        <f t="shared" si="1"/>
        <v>72.41</v>
      </c>
      <c r="I107" s="66">
        <f t="shared" si="1"/>
        <v>7.18</v>
      </c>
      <c r="J107" s="66">
        <f t="shared" si="1"/>
        <v>1.71</v>
      </c>
      <c r="K107" s="66">
        <f t="shared" si="1"/>
        <v>357.89</v>
      </c>
      <c r="L107" s="66">
        <f t="shared" si="1"/>
        <v>35.24</v>
      </c>
      <c r="M107" s="66">
        <f t="shared" si="1"/>
        <v>101.86</v>
      </c>
      <c r="N107" s="66">
        <f t="shared" si="1"/>
        <v>801</v>
      </c>
      <c r="O107" s="66">
        <f t="shared" si="1"/>
        <v>0</v>
      </c>
      <c r="P107" s="66">
        <f t="shared" si="1"/>
        <v>1.28</v>
      </c>
      <c r="Q107" s="66">
        <f t="shared" si="1"/>
        <v>10.3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4.2802083333333352</v>
      </c>
      <c r="C108" s="67">
        <f t="shared" ref="C108:Q108" si="2">AVERAGE(C9:C104)</f>
        <v>3.2164583333333336</v>
      </c>
      <c r="D108" s="67">
        <f t="shared" si="2"/>
        <v>7.3026041666666686</v>
      </c>
      <c r="E108" s="67">
        <f t="shared" si="2"/>
        <v>4.0514583333333372</v>
      </c>
      <c r="F108" s="67">
        <f t="shared" si="2"/>
        <v>4.3553125000000001</v>
      </c>
      <c r="G108" s="67">
        <f t="shared" si="2"/>
        <v>100.48812500000001</v>
      </c>
      <c r="H108" s="67">
        <f t="shared" si="2"/>
        <v>23.568522727272729</v>
      </c>
      <c r="I108" s="67">
        <f t="shared" si="2"/>
        <v>3.3586458333333336</v>
      </c>
      <c r="J108" s="67">
        <f t="shared" si="2"/>
        <v>0.62770833333333298</v>
      </c>
      <c r="K108" s="67">
        <f t="shared" si="2"/>
        <v>249.35562499999992</v>
      </c>
      <c r="L108" s="67">
        <f t="shared" si="2"/>
        <v>29.076354166666658</v>
      </c>
      <c r="M108" s="67">
        <f t="shared" si="2"/>
        <v>84.730000000000018</v>
      </c>
      <c r="N108" s="67">
        <f t="shared" si="2"/>
        <v>164.13125000000002</v>
      </c>
      <c r="O108" s="67">
        <f t="shared" si="2"/>
        <v>0</v>
      </c>
      <c r="P108" s="67">
        <f t="shared" si="2"/>
        <v>0.62927083333333333</v>
      </c>
      <c r="Q108" s="67">
        <f t="shared" si="2"/>
        <v>9.9178124999999984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4.7105238655291044E-2</v>
      </c>
      <c r="C109" s="67">
        <f t="shared" ref="C109:Q109" si="3">STDEV(C9:C104)</f>
        <v>5.7564228048999209E-2</v>
      </c>
      <c r="D109" s="67">
        <f t="shared" si="3"/>
        <v>6.1937911044540474E-2</v>
      </c>
      <c r="E109" s="67">
        <f t="shared" si="3"/>
        <v>0.59067130260345491</v>
      </c>
      <c r="F109" s="67">
        <f t="shared" si="3"/>
        <v>1.1112543440208722</v>
      </c>
      <c r="G109" s="67">
        <f t="shared" si="3"/>
        <v>49.70043014348434</v>
      </c>
      <c r="H109" s="67">
        <f t="shared" si="3"/>
        <v>12.511721266754165</v>
      </c>
      <c r="I109" s="67">
        <f t="shared" si="3"/>
        <v>1.2725098446866965</v>
      </c>
      <c r="J109" s="67">
        <f t="shared" si="3"/>
        <v>0.40437470681135868</v>
      </c>
      <c r="K109" s="67">
        <f t="shared" si="3"/>
        <v>109.22932210732769</v>
      </c>
      <c r="L109" s="67">
        <f t="shared" si="3"/>
        <v>3.4750642916558316</v>
      </c>
      <c r="M109" s="67">
        <f t="shared" si="3"/>
        <v>16.167695405865238</v>
      </c>
      <c r="N109" s="67">
        <f t="shared" si="3"/>
        <v>207.10023930073345</v>
      </c>
      <c r="O109" s="67">
        <f t="shared" si="3"/>
        <v>0</v>
      </c>
      <c r="P109" s="67">
        <f t="shared" si="3"/>
        <v>0.15385054122455152</v>
      </c>
      <c r="Q109" s="67">
        <f t="shared" si="3"/>
        <v>0.22737959508970421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>COUNT(H9:H104)+8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2263</v>
      </c>
      <c r="B9" s="64">
        <v>4.32</v>
      </c>
      <c r="C9" s="64">
        <v>3.16</v>
      </c>
      <c r="D9" s="64">
        <v>7.3</v>
      </c>
      <c r="E9" s="64">
        <v>3.7</v>
      </c>
      <c r="F9" s="64">
        <v>4.71</v>
      </c>
      <c r="G9" s="64">
        <v>96.8</v>
      </c>
      <c r="H9" s="64">
        <v>33.700000000000003</v>
      </c>
      <c r="I9" s="64">
        <v>1.85</v>
      </c>
      <c r="J9" s="64">
        <v>0.47</v>
      </c>
      <c r="K9" s="64">
        <v>340.34</v>
      </c>
      <c r="L9" s="64">
        <v>26.52</v>
      </c>
      <c r="M9" s="64">
        <v>101.78</v>
      </c>
      <c r="N9" s="64">
        <v>26.1</v>
      </c>
      <c r="O9" s="64">
        <v>0</v>
      </c>
      <c r="P9" s="64">
        <v>0.6</v>
      </c>
      <c r="Q9" s="64">
        <v>9.92</v>
      </c>
      <c r="R9" s="198"/>
      <c r="S9" s="198"/>
      <c r="T9" s="198"/>
      <c r="U9" s="198"/>
    </row>
    <row r="10" spans="1:21" s="12" customFormat="1" x14ac:dyDescent="0.25">
      <c r="A10" s="214" t="s">
        <v>2264</v>
      </c>
      <c r="B10" s="64">
        <v>4.2699999999999996</v>
      </c>
      <c r="C10" s="64">
        <v>3.18</v>
      </c>
      <c r="D10" s="64">
        <v>7.28</v>
      </c>
      <c r="E10" s="64">
        <v>3.75</v>
      </c>
      <c r="F10" s="64">
        <v>3.85</v>
      </c>
      <c r="G10" s="64">
        <v>86.29</v>
      </c>
      <c r="H10" s="64">
        <v>24.31</v>
      </c>
      <c r="I10" s="64">
        <v>1.86</v>
      </c>
      <c r="J10" s="64">
        <v>0.28000000000000003</v>
      </c>
      <c r="K10" s="64">
        <v>256.68</v>
      </c>
      <c r="L10" s="64">
        <v>26.29</v>
      </c>
      <c r="M10" s="64">
        <v>101.78</v>
      </c>
      <c r="N10" s="64">
        <v>26.1</v>
      </c>
      <c r="O10" s="64">
        <v>0</v>
      </c>
      <c r="P10" s="64">
        <v>0.5</v>
      </c>
      <c r="Q10" s="64">
        <v>9.8800000000000008</v>
      </c>
      <c r="R10" s="198"/>
      <c r="S10" s="198"/>
      <c r="T10" s="198"/>
      <c r="U10" s="198"/>
    </row>
    <row r="11" spans="1:21" s="12" customFormat="1" x14ac:dyDescent="0.25">
      <c r="A11" s="214" t="s">
        <v>2265</v>
      </c>
      <c r="B11" s="64">
        <v>4.28</v>
      </c>
      <c r="C11" s="64">
        <v>3.17</v>
      </c>
      <c r="D11" s="64">
        <v>7.28</v>
      </c>
      <c r="E11" s="64">
        <v>3.51</v>
      </c>
      <c r="F11" s="64">
        <v>3.8</v>
      </c>
      <c r="G11" s="64">
        <v>86.29</v>
      </c>
      <c r="H11" s="64">
        <v>24.31</v>
      </c>
      <c r="I11" s="64">
        <v>1.71</v>
      </c>
      <c r="J11" s="64">
        <v>0.49</v>
      </c>
      <c r="K11" s="64">
        <v>140.01</v>
      </c>
      <c r="L11" s="64">
        <v>26.36</v>
      </c>
      <c r="M11" s="64">
        <v>101.78</v>
      </c>
      <c r="N11" s="64">
        <v>26</v>
      </c>
      <c r="O11" s="64">
        <v>0</v>
      </c>
      <c r="P11" s="64">
        <v>0.47</v>
      </c>
      <c r="Q11" s="64">
        <v>9.86</v>
      </c>
      <c r="R11" s="198"/>
      <c r="S11" s="198"/>
      <c r="T11" s="198"/>
      <c r="U11" s="198"/>
    </row>
    <row r="12" spans="1:21" s="12" customFormat="1" x14ac:dyDescent="0.25">
      <c r="A12" s="214" t="s">
        <v>2266</v>
      </c>
      <c r="B12" s="64">
        <v>4.24</v>
      </c>
      <c r="C12" s="64">
        <v>3.15</v>
      </c>
      <c r="D12" s="64">
        <v>7.23</v>
      </c>
      <c r="E12" s="64">
        <v>3.32</v>
      </c>
      <c r="F12" s="64">
        <v>5.05</v>
      </c>
      <c r="G12" s="64">
        <v>86.29</v>
      </c>
      <c r="H12" s="64">
        <v>24.31</v>
      </c>
      <c r="I12" s="64">
        <v>1.59</v>
      </c>
      <c r="J12" s="64">
        <v>0.19</v>
      </c>
      <c r="K12" s="64">
        <v>150.76</v>
      </c>
      <c r="L12" s="64">
        <v>26.44</v>
      </c>
      <c r="M12" s="64">
        <v>101.78</v>
      </c>
      <c r="N12" s="64">
        <v>26</v>
      </c>
      <c r="O12" s="64">
        <v>0</v>
      </c>
      <c r="P12" s="64">
        <v>0.49</v>
      </c>
      <c r="Q12" s="64">
        <v>9.84</v>
      </c>
      <c r="R12" s="198"/>
      <c r="S12" s="198"/>
      <c r="T12" s="198"/>
      <c r="U12" s="198"/>
    </row>
    <row r="13" spans="1:21" s="12" customFormat="1" x14ac:dyDescent="0.25">
      <c r="A13" s="214" t="s">
        <v>2267</v>
      </c>
      <c r="B13" s="64">
        <v>4.2300000000000004</v>
      </c>
      <c r="C13" s="64">
        <v>3.14</v>
      </c>
      <c r="D13" s="64">
        <v>7.23</v>
      </c>
      <c r="E13" s="64">
        <v>3.55</v>
      </c>
      <c r="F13" s="64">
        <v>4.6900000000000004</v>
      </c>
      <c r="G13" s="64">
        <v>85.4</v>
      </c>
      <c r="H13" s="64">
        <v>27.5</v>
      </c>
      <c r="I13" s="64">
        <v>2.23</v>
      </c>
      <c r="J13" s="64">
        <v>1.61</v>
      </c>
      <c r="K13" s="64">
        <v>340.71</v>
      </c>
      <c r="L13" s="64">
        <v>26.23</v>
      </c>
      <c r="M13" s="64">
        <v>96.15</v>
      </c>
      <c r="N13" s="64">
        <v>27.1</v>
      </c>
      <c r="O13" s="64">
        <v>0</v>
      </c>
      <c r="P13" s="64">
        <v>0.61</v>
      </c>
      <c r="Q13" s="64">
        <v>9.82</v>
      </c>
      <c r="R13" s="198"/>
      <c r="S13" s="198"/>
      <c r="T13" s="198"/>
      <c r="U13" s="198"/>
    </row>
    <row r="14" spans="1:21" s="12" customFormat="1" x14ac:dyDescent="0.25">
      <c r="A14" s="214" t="s">
        <v>2268</v>
      </c>
      <c r="B14" s="64">
        <v>4.22</v>
      </c>
      <c r="C14" s="64">
        <v>3.13</v>
      </c>
      <c r="D14" s="64">
        <v>7.21</v>
      </c>
      <c r="E14" s="64">
        <v>3.82</v>
      </c>
      <c r="F14" s="64">
        <v>4.97</v>
      </c>
      <c r="G14" s="64">
        <v>78.25</v>
      </c>
      <c r="H14" s="64">
        <v>48.09</v>
      </c>
      <c r="I14" s="64">
        <v>2.06</v>
      </c>
      <c r="J14" s="64">
        <v>2.8</v>
      </c>
      <c r="K14" s="64">
        <v>337.85</v>
      </c>
      <c r="L14" s="64">
        <v>25.02</v>
      </c>
      <c r="M14" s="64">
        <v>93.51</v>
      </c>
      <c r="N14" s="64">
        <v>28.2</v>
      </c>
      <c r="O14" s="64">
        <v>0</v>
      </c>
      <c r="P14" s="64">
        <v>0.62</v>
      </c>
      <c r="Q14" s="64">
        <v>9.7899999999999991</v>
      </c>
      <c r="R14" s="198"/>
      <c r="S14" s="198"/>
      <c r="T14" s="198"/>
      <c r="U14" s="198"/>
    </row>
    <row r="15" spans="1:21" s="12" customFormat="1" x14ac:dyDescent="0.25">
      <c r="A15" s="214" t="s">
        <v>2269</v>
      </c>
      <c r="B15" s="64">
        <v>4.2</v>
      </c>
      <c r="C15" s="64">
        <v>3.14</v>
      </c>
      <c r="D15" s="64">
        <v>7.2</v>
      </c>
      <c r="E15" s="64">
        <v>3.77</v>
      </c>
      <c r="F15" s="64">
        <v>2.96</v>
      </c>
      <c r="G15" s="64">
        <v>78.25</v>
      </c>
      <c r="H15" s="64">
        <v>48.09</v>
      </c>
      <c r="I15" s="64">
        <v>6.58</v>
      </c>
      <c r="J15" s="64">
        <v>3.15</v>
      </c>
      <c r="K15" s="64">
        <v>336.67</v>
      </c>
      <c r="L15" s="64">
        <v>24.35</v>
      </c>
      <c r="M15" s="64">
        <v>98.42</v>
      </c>
      <c r="N15" s="64">
        <v>28.6</v>
      </c>
      <c r="O15" s="64">
        <v>0</v>
      </c>
      <c r="P15" s="64">
        <v>0.57999999999999996</v>
      </c>
      <c r="Q15" s="64">
        <v>9.75</v>
      </c>
      <c r="R15" s="198"/>
      <c r="S15" s="198"/>
      <c r="T15" s="198"/>
      <c r="U15" s="198"/>
    </row>
    <row r="16" spans="1:21" s="12" customFormat="1" x14ac:dyDescent="0.25">
      <c r="A16" s="214" t="s">
        <v>2270</v>
      </c>
      <c r="B16" s="64">
        <v>4.1900000000000004</v>
      </c>
      <c r="C16" s="64">
        <v>3.16</v>
      </c>
      <c r="D16" s="64">
        <v>7.2</v>
      </c>
      <c r="E16" s="64">
        <v>3.54</v>
      </c>
      <c r="F16" s="64">
        <v>4.8899999999999997</v>
      </c>
      <c r="G16" s="64">
        <v>78.25</v>
      </c>
      <c r="H16" s="64">
        <v>48.09</v>
      </c>
      <c r="I16" s="64">
        <v>9.93</v>
      </c>
      <c r="J16" s="64">
        <v>2.9</v>
      </c>
      <c r="K16" s="64">
        <v>331.61</v>
      </c>
      <c r="L16" s="64">
        <v>23.16</v>
      </c>
      <c r="M16" s="64">
        <v>101.82</v>
      </c>
      <c r="N16" s="64">
        <v>27.8</v>
      </c>
      <c r="O16" s="64">
        <v>0</v>
      </c>
      <c r="P16" s="64">
        <v>0.54</v>
      </c>
      <c r="Q16" s="64">
        <v>9.7100000000000009</v>
      </c>
      <c r="R16" s="198"/>
      <c r="S16" s="198"/>
      <c r="T16" s="198"/>
      <c r="U16" s="198"/>
    </row>
    <row r="17" spans="1:21" s="12" customFormat="1" x14ac:dyDescent="0.25">
      <c r="A17" s="214" t="s">
        <v>2271</v>
      </c>
      <c r="B17" s="64">
        <v>4.2</v>
      </c>
      <c r="C17" s="64">
        <v>3.15</v>
      </c>
      <c r="D17" s="64">
        <v>7.2</v>
      </c>
      <c r="E17" s="64">
        <v>3.32</v>
      </c>
      <c r="F17" s="64">
        <v>2.58</v>
      </c>
      <c r="G17" s="64">
        <v>75.52</v>
      </c>
      <c r="H17" s="64">
        <v>42.99</v>
      </c>
      <c r="I17" s="64">
        <v>8.86</v>
      </c>
      <c r="J17" s="64">
        <v>0.57999999999999996</v>
      </c>
      <c r="K17" s="64">
        <v>329.81</v>
      </c>
      <c r="L17" s="64">
        <v>22.81</v>
      </c>
      <c r="M17" s="64">
        <v>101.82</v>
      </c>
      <c r="N17" s="64">
        <v>26.7</v>
      </c>
      <c r="O17" s="64">
        <v>0</v>
      </c>
      <c r="P17" s="64">
        <v>0.5</v>
      </c>
      <c r="Q17" s="64">
        <v>9.69</v>
      </c>
      <c r="R17" s="198"/>
      <c r="S17" s="198"/>
      <c r="T17" s="198"/>
      <c r="U17" s="198"/>
    </row>
    <row r="18" spans="1:21" s="12" customFormat="1" x14ac:dyDescent="0.25">
      <c r="A18" s="214" t="s">
        <v>2272</v>
      </c>
      <c r="B18" s="64">
        <v>4.2300000000000004</v>
      </c>
      <c r="C18" s="64">
        <v>3.19</v>
      </c>
      <c r="D18" s="64">
        <v>7.25</v>
      </c>
      <c r="E18" s="64">
        <v>3.34</v>
      </c>
      <c r="F18" s="64">
        <v>3.81</v>
      </c>
      <c r="G18" s="64">
        <v>53.7</v>
      </c>
      <c r="H18" s="64">
        <v>10.11</v>
      </c>
      <c r="I18" s="64">
        <v>7.8</v>
      </c>
      <c r="J18" s="64">
        <v>0.16</v>
      </c>
      <c r="K18" s="64">
        <v>88.95</v>
      </c>
      <c r="L18" s="64">
        <v>22.77</v>
      </c>
      <c r="M18" s="64">
        <v>101.8</v>
      </c>
      <c r="N18" s="64">
        <v>26.5</v>
      </c>
      <c r="O18" s="64">
        <v>0</v>
      </c>
      <c r="P18" s="64">
        <v>0.34</v>
      </c>
      <c r="Q18" s="64">
        <v>9.66</v>
      </c>
      <c r="R18" s="198"/>
      <c r="S18" s="198"/>
      <c r="T18" s="198"/>
      <c r="U18" s="198"/>
    </row>
    <row r="19" spans="1:21" s="12" customFormat="1" x14ac:dyDescent="0.25">
      <c r="A19" s="214" t="s">
        <v>2273</v>
      </c>
      <c r="B19" s="64">
        <v>4.2699999999999996</v>
      </c>
      <c r="C19" s="64">
        <v>3.14</v>
      </c>
      <c r="D19" s="64">
        <v>7.25</v>
      </c>
      <c r="E19" s="64">
        <v>3.15</v>
      </c>
      <c r="F19" s="64">
        <v>4.25</v>
      </c>
      <c r="G19" s="64">
        <v>53.7</v>
      </c>
      <c r="H19" s="64">
        <v>10.11</v>
      </c>
      <c r="I19" s="64">
        <v>5.94</v>
      </c>
      <c r="J19" s="64">
        <v>0.38</v>
      </c>
      <c r="K19" s="64">
        <v>321.23</v>
      </c>
      <c r="L19" s="64">
        <v>22.8</v>
      </c>
      <c r="M19" s="64">
        <v>101.81</v>
      </c>
      <c r="N19" s="64">
        <v>26.2</v>
      </c>
      <c r="O19" s="64">
        <v>0</v>
      </c>
      <c r="P19" s="64">
        <v>0.33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4" t="s">
        <v>2274</v>
      </c>
      <c r="B20" s="64">
        <v>4.28</v>
      </c>
      <c r="C20" s="64">
        <v>3.17</v>
      </c>
      <c r="D20" s="64">
        <v>7.28</v>
      </c>
      <c r="E20" s="64">
        <v>3.48</v>
      </c>
      <c r="F20" s="64">
        <v>4.34</v>
      </c>
      <c r="G20" s="64">
        <v>53.7</v>
      </c>
      <c r="H20" s="64">
        <v>10.11</v>
      </c>
      <c r="I20" s="64">
        <v>3.32</v>
      </c>
      <c r="J20" s="64">
        <v>0.23</v>
      </c>
      <c r="K20" s="64">
        <v>340.16</v>
      </c>
      <c r="L20" s="64">
        <v>23.02</v>
      </c>
      <c r="M20" s="64">
        <v>101.81</v>
      </c>
      <c r="N20" s="64">
        <v>26</v>
      </c>
      <c r="O20" s="64">
        <v>0</v>
      </c>
      <c r="P20" s="64">
        <v>0.36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4" t="s">
        <v>2275</v>
      </c>
      <c r="B21" s="64">
        <v>4.28</v>
      </c>
      <c r="C21" s="64">
        <v>3.16</v>
      </c>
      <c r="D21" s="64">
        <v>7.27</v>
      </c>
      <c r="E21" s="64">
        <v>3.43</v>
      </c>
      <c r="F21" s="64">
        <v>3.87</v>
      </c>
      <c r="G21" s="64">
        <v>52.28</v>
      </c>
      <c r="H21" s="64">
        <v>9.8699999999999992</v>
      </c>
      <c r="I21" s="64">
        <v>2.2799999999999998</v>
      </c>
      <c r="J21" s="64">
        <v>0.21</v>
      </c>
      <c r="K21" s="64">
        <v>314.36</v>
      </c>
      <c r="L21" s="64">
        <v>23.22</v>
      </c>
      <c r="M21" s="64">
        <v>101.8</v>
      </c>
      <c r="N21" s="64">
        <v>26.1</v>
      </c>
      <c r="O21" s="64">
        <v>0</v>
      </c>
      <c r="P21" s="64">
        <v>0.33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4" t="s">
        <v>2276</v>
      </c>
      <c r="B22" s="64">
        <v>4.28</v>
      </c>
      <c r="C22" s="64">
        <v>3.15</v>
      </c>
      <c r="D22" s="64">
        <v>7.26</v>
      </c>
      <c r="E22" s="64">
        <v>3.22</v>
      </c>
      <c r="F22" s="64">
        <v>4.53</v>
      </c>
      <c r="G22" s="64">
        <v>40.880000000000003</v>
      </c>
      <c r="H22" s="64">
        <v>8.2799999999999994</v>
      </c>
      <c r="I22" s="64">
        <v>3.62</v>
      </c>
      <c r="J22" s="64">
        <v>0.08</v>
      </c>
      <c r="K22" s="64">
        <v>321.97000000000003</v>
      </c>
      <c r="L22" s="64">
        <v>23.22</v>
      </c>
      <c r="M22" s="64">
        <v>101.78</v>
      </c>
      <c r="N22" s="64">
        <v>26.3</v>
      </c>
      <c r="O22" s="64">
        <v>0</v>
      </c>
      <c r="P22" s="64">
        <v>0.33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4" t="s">
        <v>2277</v>
      </c>
      <c r="B23" s="64">
        <v>4.29</v>
      </c>
      <c r="C23" s="64">
        <v>3.14</v>
      </c>
      <c r="D23" s="64">
        <v>7.27</v>
      </c>
      <c r="E23" s="64">
        <v>3.55</v>
      </c>
      <c r="F23" s="64">
        <v>4.58</v>
      </c>
      <c r="G23" s="64">
        <v>40.880000000000003</v>
      </c>
      <c r="H23" s="64">
        <v>8.2799999999999994</v>
      </c>
      <c r="I23" s="64">
        <v>2.56</v>
      </c>
      <c r="J23" s="64">
        <v>0.26</v>
      </c>
      <c r="K23" s="64">
        <v>316.52</v>
      </c>
      <c r="L23" s="64">
        <v>23.25</v>
      </c>
      <c r="M23" s="64">
        <v>101.77</v>
      </c>
      <c r="N23" s="64">
        <v>26.2</v>
      </c>
      <c r="O23" s="64">
        <v>0</v>
      </c>
      <c r="P23" s="64">
        <v>0.32</v>
      </c>
      <c r="Q23" s="64">
        <v>9.66</v>
      </c>
      <c r="R23" s="198"/>
      <c r="S23" s="198"/>
      <c r="T23" s="198"/>
      <c r="U23" s="198"/>
    </row>
    <row r="24" spans="1:21" s="12" customFormat="1" x14ac:dyDescent="0.25">
      <c r="A24" s="214" t="s">
        <v>2278</v>
      </c>
      <c r="B24" s="64">
        <v>4.2699999999999996</v>
      </c>
      <c r="C24" s="64">
        <v>3.13</v>
      </c>
      <c r="D24" s="64">
        <v>7.25</v>
      </c>
      <c r="E24" s="64">
        <v>5.46</v>
      </c>
      <c r="F24" s="64">
        <v>4.1500000000000004</v>
      </c>
      <c r="G24" s="64">
        <v>40.880000000000003</v>
      </c>
      <c r="H24" s="64">
        <v>8.2799999999999994</v>
      </c>
      <c r="I24" s="64">
        <v>2.75</v>
      </c>
      <c r="J24" s="64">
        <v>0.36</v>
      </c>
      <c r="K24" s="64">
        <v>337.14</v>
      </c>
      <c r="L24" s="64">
        <v>23.06</v>
      </c>
      <c r="M24" s="64">
        <v>101.78</v>
      </c>
      <c r="N24" s="64">
        <v>26.3</v>
      </c>
      <c r="O24" s="64">
        <v>0</v>
      </c>
      <c r="P24" s="64">
        <v>0.3</v>
      </c>
      <c r="Q24" s="64">
        <v>9.65</v>
      </c>
      <c r="R24" s="198"/>
      <c r="S24" s="198"/>
      <c r="T24" s="198"/>
      <c r="U24" s="198"/>
    </row>
    <row r="25" spans="1:21" s="12" customFormat="1" x14ac:dyDescent="0.25">
      <c r="A25" s="214" t="s">
        <v>2279</v>
      </c>
      <c r="B25" s="64">
        <v>4.2699999999999996</v>
      </c>
      <c r="C25" s="64">
        <v>3.15</v>
      </c>
      <c r="D25" s="64">
        <v>7.26</v>
      </c>
      <c r="E25" s="64">
        <v>5.0999999999999996</v>
      </c>
      <c r="F25" s="64">
        <v>4.51</v>
      </c>
      <c r="G25" s="64">
        <v>40.11</v>
      </c>
      <c r="H25" s="64">
        <v>7.4</v>
      </c>
      <c r="I25" s="64">
        <v>3.17</v>
      </c>
      <c r="J25" s="64">
        <v>0.23</v>
      </c>
      <c r="K25" s="64">
        <v>108.22</v>
      </c>
      <c r="L25" s="64">
        <v>22.94</v>
      </c>
      <c r="M25" s="64">
        <v>101.78</v>
      </c>
      <c r="N25" s="64">
        <v>26.1</v>
      </c>
      <c r="O25" s="64">
        <v>0</v>
      </c>
      <c r="P25" s="64">
        <v>0.32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4" t="s">
        <v>2280</v>
      </c>
      <c r="B26" s="64">
        <v>4.25</v>
      </c>
      <c r="C26" s="64">
        <v>3.13</v>
      </c>
      <c r="D26" s="64">
        <v>7.23</v>
      </c>
      <c r="E26" s="64">
        <v>5.0999999999999996</v>
      </c>
      <c r="F26" s="64">
        <v>4.97</v>
      </c>
      <c r="G26" s="64">
        <v>33.97</v>
      </c>
      <c r="H26" s="64">
        <v>1.78</v>
      </c>
      <c r="I26" s="64">
        <v>1.81</v>
      </c>
      <c r="J26" s="64">
        <v>0.18</v>
      </c>
      <c r="K26" s="64">
        <v>56.92</v>
      </c>
      <c r="L26" s="64">
        <v>22.94</v>
      </c>
      <c r="M26" s="64">
        <v>101.78</v>
      </c>
      <c r="N26" s="64">
        <v>26.1</v>
      </c>
      <c r="O26" s="64">
        <v>0</v>
      </c>
      <c r="P26" s="64">
        <v>0.42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2281</v>
      </c>
      <c r="B27" s="64">
        <v>4.2300000000000004</v>
      </c>
      <c r="C27" s="64">
        <v>3.13</v>
      </c>
      <c r="D27" s="64">
        <v>7.21</v>
      </c>
      <c r="E27" s="64">
        <v>5.59</v>
      </c>
      <c r="F27" s="64">
        <v>2.9</v>
      </c>
      <c r="G27" s="64">
        <v>33.97</v>
      </c>
      <c r="H27" s="64">
        <v>1.78</v>
      </c>
      <c r="I27" s="64">
        <v>4.82</v>
      </c>
      <c r="J27" s="64">
        <v>0.41</v>
      </c>
      <c r="K27" s="64">
        <v>262.72000000000003</v>
      </c>
      <c r="L27" s="64">
        <v>23.05</v>
      </c>
      <c r="M27" s="64">
        <v>101.81</v>
      </c>
      <c r="N27" s="64">
        <v>26.2</v>
      </c>
      <c r="O27" s="64">
        <v>0</v>
      </c>
      <c r="P27" s="64">
        <v>0.37</v>
      </c>
      <c r="Q27" s="64">
        <v>9.5299999999999994</v>
      </c>
      <c r="R27" s="198"/>
      <c r="S27" s="198"/>
      <c r="T27" s="198"/>
      <c r="U27" s="198"/>
    </row>
    <row r="28" spans="1:21" s="12" customFormat="1" x14ac:dyDescent="0.25">
      <c r="A28" s="214" t="s">
        <v>2282</v>
      </c>
      <c r="B28" s="64">
        <v>4.24</v>
      </c>
      <c r="C28" s="64">
        <v>3.16</v>
      </c>
      <c r="D28" s="64">
        <v>7.24</v>
      </c>
      <c r="E28" s="64">
        <v>5.67</v>
      </c>
      <c r="F28" s="64">
        <v>4</v>
      </c>
      <c r="G28" s="64">
        <v>33.97</v>
      </c>
      <c r="H28" s="64">
        <v>1.78</v>
      </c>
      <c r="I28" s="64">
        <v>8.0500000000000007</v>
      </c>
      <c r="J28" s="64">
        <v>0.15</v>
      </c>
      <c r="K28" s="64">
        <v>156.84</v>
      </c>
      <c r="L28" s="64">
        <v>23.07</v>
      </c>
      <c r="M28" s="64">
        <v>101.82</v>
      </c>
      <c r="N28" s="64">
        <v>26.1</v>
      </c>
      <c r="O28" s="64">
        <v>0</v>
      </c>
      <c r="P28" s="64">
        <v>0.38</v>
      </c>
      <c r="Q28" s="64">
        <v>9.5299999999999994</v>
      </c>
      <c r="R28" s="198"/>
      <c r="S28" s="198"/>
      <c r="T28" s="198"/>
      <c r="U28" s="198"/>
    </row>
    <row r="29" spans="1:21" s="12" customFormat="1" x14ac:dyDescent="0.25">
      <c r="A29" s="214" t="s">
        <v>2283</v>
      </c>
      <c r="B29" s="64">
        <v>4.21</v>
      </c>
      <c r="C29" s="64">
        <v>3.1</v>
      </c>
      <c r="D29" s="64">
        <v>7.19</v>
      </c>
      <c r="E29" s="64">
        <v>5.36</v>
      </c>
      <c r="F29" s="64">
        <v>2.5099999999999998</v>
      </c>
      <c r="G29" s="64">
        <v>33.03</v>
      </c>
      <c r="H29" s="64">
        <v>2.71</v>
      </c>
      <c r="I29" s="64">
        <v>6.01</v>
      </c>
      <c r="J29" s="64">
        <v>0.27</v>
      </c>
      <c r="K29" s="64">
        <v>24.3</v>
      </c>
      <c r="L29" s="64">
        <v>23.34</v>
      </c>
      <c r="M29" s="64">
        <v>101.81</v>
      </c>
      <c r="N29" s="64">
        <v>26</v>
      </c>
      <c r="O29" s="64">
        <v>0</v>
      </c>
      <c r="P29" s="64">
        <v>0.38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14" t="s">
        <v>2284</v>
      </c>
      <c r="B30" s="64">
        <v>4.21</v>
      </c>
      <c r="C30" s="64">
        <v>3.13</v>
      </c>
      <c r="D30" s="64">
        <v>7.2</v>
      </c>
      <c r="E30" s="64">
        <v>4.8600000000000003</v>
      </c>
      <c r="F30" s="64">
        <v>3.59</v>
      </c>
      <c r="G30" s="64">
        <v>25.56</v>
      </c>
      <c r="H30" s="64">
        <v>8.7200000000000006</v>
      </c>
      <c r="I30" s="64">
        <v>5.73</v>
      </c>
      <c r="J30" s="64">
        <v>0.42</v>
      </c>
      <c r="K30" s="64">
        <v>331.08</v>
      </c>
      <c r="L30" s="64">
        <v>23.4</v>
      </c>
      <c r="M30" s="64">
        <v>101.8</v>
      </c>
      <c r="N30" s="64">
        <v>26.1</v>
      </c>
      <c r="O30" s="64">
        <v>0</v>
      </c>
      <c r="P30" s="64">
        <v>0.4</v>
      </c>
      <c r="Q30" s="64">
        <v>9.57</v>
      </c>
      <c r="R30" s="198"/>
      <c r="S30" s="198"/>
      <c r="T30" s="198"/>
      <c r="U30" s="198"/>
    </row>
    <row r="31" spans="1:21" s="12" customFormat="1" x14ac:dyDescent="0.25">
      <c r="A31" s="214" t="s">
        <v>2285</v>
      </c>
      <c r="B31" s="64">
        <v>4.22</v>
      </c>
      <c r="C31" s="64">
        <v>3.19</v>
      </c>
      <c r="D31" s="64">
        <v>7.24</v>
      </c>
      <c r="E31" s="64">
        <v>4.9800000000000004</v>
      </c>
      <c r="F31" s="64">
        <v>2.3199999999999998</v>
      </c>
      <c r="G31" s="64">
        <v>25.56</v>
      </c>
      <c r="H31" s="64">
        <v>8.7200000000000006</v>
      </c>
      <c r="I31" s="64">
        <v>6.2</v>
      </c>
      <c r="J31" s="64">
        <v>0.49</v>
      </c>
      <c r="K31" s="64">
        <v>323.57</v>
      </c>
      <c r="L31" s="64">
        <v>23.41</v>
      </c>
      <c r="M31" s="64">
        <v>101.8</v>
      </c>
      <c r="N31" s="64">
        <v>26.3</v>
      </c>
      <c r="O31" s="64">
        <v>0</v>
      </c>
      <c r="P31" s="64">
        <v>0.38</v>
      </c>
      <c r="Q31" s="64">
        <v>9.58</v>
      </c>
      <c r="R31" s="198"/>
      <c r="S31" s="198"/>
      <c r="T31" s="198"/>
      <c r="U31" s="198"/>
    </row>
    <row r="32" spans="1:21" s="12" customFormat="1" x14ac:dyDescent="0.25">
      <c r="A32" s="214" t="s">
        <v>2286</v>
      </c>
      <c r="B32" s="64">
        <v>4.24</v>
      </c>
      <c r="C32" s="64">
        <v>3.18</v>
      </c>
      <c r="D32" s="64">
        <v>7.26</v>
      </c>
      <c r="E32" s="64">
        <v>4.7300000000000004</v>
      </c>
      <c r="F32" s="64">
        <v>4.93</v>
      </c>
      <c r="G32" s="64">
        <v>25.56</v>
      </c>
      <c r="H32" s="64">
        <v>8.7200000000000006</v>
      </c>
      <c r="I32" s="64">
        <v>6.99</v>
      </c>
      <c r="J32" s="64">
        <v>0.71</v>
      </c>
      <c r="K32" s="64">
        <v>316.18</v>
      </c>
      <c r="L32" s="64">
        <v>23.34</v>
      </c>
      <c r="M32" s="64">
        <v>101.81</v>
      </c>
      <c r="N32" s="64">
        <v>29.3</v>
      </c>
      <c r="O32" s="64">
        <v>0</v>
      </c>
      <c r="P32" s="64">
        <v>0.38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4" t="s">
        <v>2287</v>
      </c>
      <c r="B33" s="64">
        <v>4.22</v>
      </c>
      <c r="C33" s="64">
        <v>3.16</v>
      </c>
      <c r="D33" s="64">
        <v>7.22</v>
      </c>
      <c r="E33" s="64">
        <v>5.09</v>
      </c>
      <c r="F33" s="64">
        <v>2.35</v>
      </c>
      <c r="G33" s="64">
        <v>26.18</v>
      </c>
      <c r="H33" s="64">
        <v>8.32</v>
      </c>
      <c r="I33" s="64">
        <v>7.84</v>
      </c>
      <c r="J33" s="64">
        <v>1.1299999999999999</v>
      </c>
      <c r="K33" s="64">
        <v>332.61</v>
      </c>
      <c r="L33" s="64">
        <v>23.36</v>
      </c>
      <c r="M33" s="64">
        <v>101.83</v>
      </c>
      <c r="N33" s="64">
        <v>40.9</v>
      </c>
      <c r="O33" s="64">
        <v>0</v>
      </c>
      <c r="P33" s="64">
        <v>0.39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4" t="s">
        <v>2288</v>
      </c>
      <c r="B34" s="64">
        <v>4.22</v>
      </c>
      <c r="C34" s="64">
        <v>3.11</v>
      </c>
      <c r="D34" s="64">
        <v>7.2</v>
      </c>
      <c r="E34" s="64">
        <v>4.9400000000000004</v>
      </c>
      <c r="F34" s="64">
        <v>4.24</v>
      </c>
      <c r="G34" s="64">
        <v>31.13</v>
      </c>
      <c r="H34" s="64">
        <v>5.76</v>
      </c>
      <c r="I34" s="64">
        <v>7.39</v>
      </c>
      <c r="J34" s="64">
        <v>0.52</v>
      </c>
      <c r="K34" s="64">
        <v>324.19</v>
      </c>
      <c r="L34" s="64">
        <v>23.61</v>
      </c>
      <c r="M34" s="64">
        <v>101.81</v>
      </c>
      <c r="N34" s="64">
        <v>66.099999999999994</v>
      </c>
      <c r="O34" s="64">
        <v>0</v>
      </c>
      <c r="P34" s="64">
        <v>0.39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4" t="s">
        <v>2289</v>
      </c>
      <c r="B35" s="64">
        <v>4.2300000000000004</v>
      </c>
      <c r="C35" s="64">
        <v>3.11</v>
      </c>
      <c r="D35" s="64">
        <v>7.21</v>
      </c>
      <c r="E35" s="64">
        <v>5.0599999999999996</v>
      </c>
      <c r="F35" s="64">
        <v>2.73</v>
      </c>
      <c r="G35" s="64">
        <v>31.13</v>
      </c>
      <c r="H35" s="64">
        <v>5.76</v>
      </c>
      <c r="I35" s="64">
        <v>6.81</v>
      </c>
      <c r="J35" s="64">
        <v>0.99</v>
      </c>
      <c r="K35" s="64">
        <v>327.52</v>
      </c>
      <c r="L35" s="64">
        <v>24.19</v>
      </c>
      <c r="M35" s="64">
        <v>101.53</v>
      </c>
      <c r="N35" s="64">
        <v>92.4</v>
      </c>
      <c r="O35" s="64">
        <v>0</v>
      </c>
      <c r="P35" s="64">
        <v>0.4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4" t="s">
        <v>2290</v>
      </c>
      <c r="B36" s="64">
        <v>4.2699999999999996</v>
      </c>
      <c r="C36" s="64">
        <v>3.23</v>
      </c>
      <c r="D36" s="64">
        <v>7.3</v>
      </c>
      <c r="E36" s="64">
        <v>5.28</v>
      </c>
      <c r="F36" s="64">
        <v>3.39</v>
      </c>
      <c r="G36" s="64">
        <v>31.13</v>
      </c>
      <c r="H36" s="64">
        <v>5.76</v>
      </c>
      <c r="I36" s="64">
        <v>5.99</v>
      </c>
      <c r="J36" s="64">
        <v>0.91</v>
      </c>
      <c r="K36" s="64">
        <v>331.37</v>
      </c>
      <c r="L36" s="64">
        <v>25.12</v>
      </c>
      <c r="M36" s="64">
        <v>98.05</v>
      </c>
      <c r="N36" s="64">
        <v>130.69999999999999</v>
      </c>
      <c r="O36" s="64">
        <v>0</v>
      </c>
      <c r="P36" s="64">
        <v>0.45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4" t="s">
        <v>2291</v>
      </c>
      <c r="B37" s="64">
        <v>4.2699999999999996</v>
      </c>
      <c r="C37" s="64">
        <v>3.21</v>
      </c>
      <c r="D37" s="64">
        <v>7.29</v>
      </c>
      <c r="E37" s="64">
        <v>5.15</v>
      </c>
      <c r="F37" s="64">
        <v>3.17</v>
      </c>
      <c r="G37" s="64">
        <v>31.68</v>
      </c>
      <c r="H37" s="64">
        <v>5.18</v>
      </c>
      <c r="I37" s="64">
        <v>5.25</v>
      </c>
      <c r="J37" s="64">
        <v>1.26</v>
      </c>
      <c r="K37" s="64">
        <v>338.49</v>
      </c>
      <c r="L37" s="64">
        <v>26.29</v>
      </c>
      <c r="M37" s="64">
        <v>90.65</v>
      </c>
      <c r="N37" s="64">
        <v>166.9</v>
      </c>
      <c r="O37" s="64">
        <v>0</v>
      </c>
      <c r="P37" s="64">
        <v>0.42</v>
      </c>
      <c r="Q37" s="64">
        <v>9.6999999999999993</v>
      </c>
      <c r="R37" s="198"/>
      <c r="S37" s="198"/>
      <c r="T37" s="198"/>
      <c r="U37" s="198"/>
    </row>
    <row r="38" spans="1:21" s="12" customFormat="1" x14ac:dyDescent="0.25">
      <c r="A38" s="214" t="s">
        <v>2292</v>
      </c>
      <c r="B38" s="64">
        <v>4.3099999999999996</v>
      </c>
      <c r="C38" s="64">
        <v>3.27</v>
      </c>
      <c r="D38" s="64">
        <v>7.36</v>
      </c>
      <c r="E38" s="64">
        <v>5.1100000000000003</v>
      </c>
      <c r="F38" s="64">
        <v>3.57</v>
      </c>
      <c r="G38" s="64">
        <v>36.11</v>
      </c>
      <c r="H38" s="64">
        <v>1.5</v>
      </c>
      <c r="I38" s="64">
        <v>4.93</v>
      </c>
      <c r="J38" s="64">
        <v>1.22</v>
      </c>
      <c r="K38" s="64">
        <v>341.01</v>
      </c>
      <c r="L38" s="64">
        <v>27.51</v>
      </c>
      <c r="M38" s="64">
        <v>84.83</v>
      </c>
      <c r="N38" s="64">
        <v>209.1</v>
      </c>
      <c r="O38" s="64">
        <v>0</v>
      </c>
      <c r="P38" s="64">
        <v>0.41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4" t="s">
        <v>2293</v>
      </c>
      <c r="B39" s="64">
        <v>4.3</v>
      </c>
      <c r="C39" s="64">
        <v>3.17</v>
      </c>
      <c r="D39" s="64">
        <v>7.3</v>
      </c>
      <c r="E39" s="64">
        <v>5.29</v>
      </c>
      <c r="F39" s="64">
        <v>3.44</v>
      </c>
      <c r="G39" s="64">
        <v>36.11</v>
      </c>
      <c r="H39" s="64">
        <v>1.5</v>
      </c>
      <c r="I39" s="64">
        <v>4.79</v>
      </c>
      <c r="J39" s="64">
        <v>1.31</v>
      </c>
      <c r="K39" s="64">
        <v>335.49</v>
      </c>
      <c r="L39" s="64">
        <v>28.84</v>
      </c>
      <c r="M39" s="64">
        <v>77.709999999999994</v>
      </c>
      <c r="N39" s="64">
        <v>268.39999999999998</v>
      </c>
      <c r="O39" s="64">
        <v>0</v>
      </c>
      <c r="P39" s="64">
        <v>0.42</v>
      </c>
      <c r="Q39" s="64">
        <v>9.75</v>
      </c>
      <c r="R39" s="198"/>
      <c r="S39" s="198"/>
      <c r="T39" s="198"/>
      <c r="U39" s="198"/>
    </row>
    <row r="40" spans="1:21" s="12" customFormat="1" x14ac:dyDescent="0.25">
      <c r="A40" s="214" t="s">
        <v>2294</v>
      </c>
      <c r="B40" s="64">
        <v>4.3</v>
      </c>
      <c r="C40" s="64">
        <v>3.17</v>
      </c>
      <c r="D40" s="64">
        <v>7.29</v>
      </c>
      <c r="E40" s="64">
        <v>4.32</v>
      </c>
      <c r="F40" s="64">
        <v>3.56</v>
      </c>
      <c r="G40" s="64">
        <v>36.11</v>
      </c>
      <c r="H40" s="64">
        <v>1.5</v>
      </c>
      <c r="I40" s="64">
        <v>4.7</v>
      </c>
      <c r="J40" s="64">
        <v>1.1599999999999999</v>
      </c>
      <c r="K40" s="64">
        <v>340.53</v>
      </c>
      <c r="L40" s="64">
        <v>30.2</v>
      </c>
      <c r="M40" s="64">
        <v>72.150000000000006</v>
      </c>
      <c r="N40" s="64">
        <v>320.60000000000002</v>
      </c>
      <c r="O40" s="64">
        <v>0</v>
      </c>
      <c r="P40" s="64">
        <v>0.43</v>
      </c>
      <c r="Q40" s="64">
        <v>9.75</v>
      </c>
      <c r="R40" s="198"/>
      <c r="S40" s="198"/>
      <c r="T40" s="198"/>
      <c r="U40" s="198"/>
    </row>
    <row r="41" spans="1:21" s="12" customFormat="1" x14ac:dyDescent="0.25">
      <c r="A41" s="214" t="s">
        <v>2295</v>
      </c>
      <c r="B41" s="64">
        <v>4.3099999999999996</v>
      </c>
      <c r="C41" s="64">
        <v>3.21</v>
      </c>
      <c r="D41" s="64">
        <v>7.32</v>
      </c>
      <c r="E41" s="64">
        <v>3.74</v>
      </c>
      <c r="F41" s="64">
        <v>3.81</v>
      </c>
      <c r="G41" s="64">
        <v>36.56</v>
      </c>
      <c r="H41" s="64">
        <v>3.76</v>
      </c>
      <c r="I41" s="64">
        <v>4.8499999999999996</v>
      </c>
      <c r="J41" s="64">
        <v>1.26</v>
      </c>
      <c r="K41" s="64">
        <v>334.34</v>
      </c>
      <c r="L41" s="64">
        <v>31.52</v>
      </c>
      <c r="M41" s="64">
        <v>67.08</v>
      </c>
      <c r="N41" s="64">
        <v>366.9</v>
      </c>
      <c r="O41" s="64">
        <v>0</v>
      </c>
      <c r="P41" s="64">
        <v>0.46</v>
      </c>
      <c r="Q41" s="64">
        <v>9.74</v>
      </c>
      <c r="R41" s="198"/>
      <c r="S41" s="198"/>
      <c r="T41" s="198"/>
      <c r="U41" s="198"/>
    </row>
    <row r="42" spans="1:21" s="12" customFormat="1" x14ac:dyDescent="0.25">
      <c r="A42" s="214" t="s">
        <v>2296</v>
      </c>
      <c r="B42" s="64">
        <v>4.29</v>
      </c>
      <c r="C42" s="64">
        <v>3.19</v>
      </c>
      <c r="D42" s="64">
        <v>7.29</v>
      </c>
      <c r="E42" s="64">
        <v>3.96</v>
      </c>
      <c r="F42" s="64">
        <v>4.32</v>
      </c>
      <c r="G42" s="64">
        <v>40.11</v>
      </c>
      <c r="H42" s="64">
        <v>18.37</v>
      </c>
      <c r="I42" s="64">
        <v>4.91</v>
      </c>
      <c r="J42" s="64">
        <v>1.26</v>
      </c>
      <c r="K42" s="64">
        <v>332.83</v>
      </c>
      <c r="L42" s="64">
        <v>32.43</v>
      </c>
      <c r="M42" s="64">
        <v>64.81</v>
      </c>
      <c r="N42" s="64">
        <v>388.7</v>
      </c>
      <c r="O42" s="64">
        <v>0</v>
      </c>
      <c r="P42" s="64">
        <v>0.47</v>
      </c>
      <c r="Q42" s="64">
        <v>9.77</v>
      </c>
      <c r="R42" s="198"/>
      <c r="S42" s="198"/>
      <c r="T42" s="198"/>
      <c r="U42" s="198"/>
    </row>
    <row r="43" spans="1:21" s="12" customFormat="1" x14ac:dyDescent="0.25">
      <c r="A43" s="214" t="s">
        <v>2297</v>
      </c>
      <c r="B43" s="64">
        <v>4.2699999999999996</v>
      </c>
      <c r="C43" s="64">
        <v>3.16</v>
      </c>
      <c r="D43" s="64">
        <v>7.26</v>
      </c>
      <c r="E43" s="64">
        <v>4.33</v>
      </c>
      <c r="F43" s="64">
        <v>3.7</v>
      </c>
      <c r="G43" s="64">
        <v>40.11</v>
      </c>
      <c r="H43" s="64">
        <v>18.37</v>
      </c>
      <c r="I43" s="64">
        <v>4.93</v>
      </c>
      <c r="J43" s="64">
        <v>1.1200000000000001</v>
      </c>
      <c r="K43" s="64">
        <v>337.02</v>
      </c>
      <c r="L43" s="64">
        <v>32.56</v>
      </c>
      <c r="M43" s="64">
        <v>65.44</v>
      </c>
      <c r="N43" s="64">
        <v>379.7</v>
      </c>
      <c r="O43" s="64">
        <v>0</v>
      </c>
      <c r="P43" s="64">
        <v>0.56000000000000005</v>
      </c>
      <c r="Q43" s="64">
        <v>9.74</v>
      </c>
      <c r="R43" s="198"/>
      <c r="S43" s="198"/>
      <c r="T43" s="198"/>
      <c r="U43" s="198"/>
    </row>
    <row r="44" spans="1:21" s="12" customFormat="1" x14ac:dyDescent="0.25">
      <c r="A44" s="214" t="s">
        <v>2298</v>
      </c>
      <c r="B44" s="64">
        <v>4.26</v>
      </c>
      <c r="C44" s="64">
        <v>3.17</v>
      </c>
      <c r="D44" s="64">
        <v>7.26</v>
      </c>
      <c r="E44" s="64">
        <v>3.9</v>
      </c>
      <c r="F44" s="64">
        <v>3.89</v>
      </c>
      <c r="G44" s="64">
        <v>40.11</v>
      </c>
      <c r="H44" s="64">
        <v>18.37</v>
      </c>
      <c r="I44" s="64">
        <v>6.02</v>
      </c>
      <c r="J44" s="64">
        <v>1.31</v>
      </c>
      <c r="K44" s="64">
        <v>337.01</v>
      </c>
      <c r="L44" s="64">
        <v>32.46</v>
      </c>
      <c r="M44" s="64">
        <v>67.459999999999994</v>
      </c>
      <c r="N44" s="64">
        <v>392.2</v>
      </c>
      <c r="O44" s="64">
        <v>0</v>
      </c>
      <c r="P44" s="64">
        <v>0.55000000000000004</v>
      </c>
      <c r="Q44" s="64">
        <v>9.75</v>
      </c>
      <c r="R44" s="198"/>
      <c r="S44" s="198"/>
      <c r="T44" s="198"/>
      <c r="U44" s="198"/>
    </row>
    <row r="45" spans="1:21" s="12" customFormat="1" x14ac:dyDescent="0.25">
      <c r="A45" s="214" t="s">
        <v>2299</v>
      </c>
      <c r="B45" s="64">
        <v>4.2300000000000004</v>
      </c>
      <c r="C45" s="64">
        <v>3.14</v>
      </c>
      <c r="D45" s="64">
        <v>7.22</v>
      </c>
      <c r="E45" s="64">
        <v>4.13</v>
      </c>
      <c r="F45" s="64">
        <v>3.68</v>
      </c>
      <c r="G45" s="64">
        <v>43.19</v>
      </c>
      <c r="H45" s="64">
        <v>19.96</v>
      </c>
      <c r="I45" s="64">
        <v>6.02</v>
      </c>
      <c r="J45" s="64">
        <v>1.17</v>
      </c>
      <c r="K45" s="64">
        <v>341.42</v>
      </c>
      <c r="L45" s="64">
        <v>33.04</v>
      </c>
      <c r="M45" s="64">
        <v>65.55</v>
      </c>
      <c r="N45" s="64">
        <v>447</v>
      </c>
      <c r="O45" s="64">
        <v>0</v>
      </c>
      <c r="P45" s="64">
        <v>0.64</v>
      </c>
      <c r="Q45" s="64">
        <v>9.7899999999999991</v>
      </c>
      <c r="R45" s="198"/>
      <c r="S45" s="198"/>
      <c r="T45" s="198"/>
      <c r="U45" s="198"/>
    </row>
    <row r="46" spans="1:21" s="12" customFormat="1" x14ac:dyDescent="0.25">
      <c r="A46" s="214" t="s">
        <v>2300</v>
      </c>
      <c r="B46" s="64">
        <v>4.2699999999999996</v>
      </c>
      <c r="C46" s="64">
        <v>3.19</v>
      </c>
      <c r="D46" s="64">
        <v>7.28</v>
      </c>
      <c r="E46" s="64">
        <v>4.04</v>
      </c>
      <c r="F46" s="64">
        <v>4.0599999999999996</v>
      </c>
      <c r="G46" s="64">
        <v>67.81</v>
      </c>
      <c r="H46" s="64">
        <v>30.18</v>
      </c>
      <c r="I46" s="64">
        <v>5.97</v>
      </c>
      <c r="J46" s="64">
        <v>1.53</v>
      </c>
      <c r="K46" s="64">
        <v>339.12</v>
      </c>
      <c r="L46" s="64">
        <v>33.44</v>
      </c>
      <c r="M46" s="64">
        <v>64.739999999999995</v>
      </c>
      <c r="N46" s="64">
        <v>494.1</v>
      </c>
      <c r="O46" s="64">
        <v>0</v>
      </c>
      <c r="P46" s="64">
        <v>0.56000000000000005</v>
      </c>
      <c r="Q46" s="64">
        <v>9.8800000000000008</v>
      </c>
      <c r="R46" s="198"/>
      <c r="S46" s="198"/>
      <c r="T46" s="198"/>
      <c r="U46" s="198"/>
    </row>
    <row r="47" spans="1:21" s="12" customFormat="1" x14ac:dyDescent="0.25">
      <c r="A47" s="214" t="s">
        <v>2301</v>
      </c>
      <c r="B47" s="64">
        <v>4.2699999999999996</v>
      </c>
      <c r="C47" s="64">
        <v>3.24</v>
      </c>
      <c r="D47" s="64">
        <v>7.3</v>
      </c>
      <c r="E47" s="64">
        <v>3.84</v>
      </c>
      <c r="F47" s="64">
        <v>2.85</v>
      </c>
      <c r="G47" s="64">
        <v>67.81</v>
      </c>
      <c r="H47" s="64">
        <v>30.18</v>
      </c>
      <c r="I47" s="64">
        <v>5.89</v>
      </c>
      <c r="J47" s="64">
        <v>1.36</v>
      </c>
      <c r="K47" s="64">
        <v>335.94</v>
      </c>
      <c r="L47" s="64">
        <v>34.119999999999997</v>
      </c>
      <c r="M47" s="64">
        <v>63.82</v>
      </c>
      <c r="N47" s="64">
        <v>575.5</v>
      </c>
      <c r="O47" s="64">
        <v>0</v>
      </c>
      <c r="P47" s="64">
        <v>0.61</v>
      </c>
      <c r="Q47" s="64">
        <v>9.9</v>
      </c>
      <c r="R47" s="198"/>
      <c r="S47" s="198"/>
      <c r="T47" s="198"/>
      <c r="U47" s="198"/>
    </row>
    <row r="48" spans="1:21" s="12" customFormat="1" x14ac:dyDescent="0.25">
      <c r="A48" s="214" t="s">
        <v>2302</v>
      </c>
      <c r="B48" s="64">
        <v>4.24</v>
      </c>
      <c r="C48" s="64">
        <v>3.17</v>
      </c>
      <c r="D48" s="64">
        <v>7.25</v>
      </c>
      <c r="E48" s="64">
        <v>4.03</v>
      </c>
      <c r="F48" s="64">
        <v>3.16</v>
      </c>
      <c r="G48" s="64">
        <v>67.81</v>
      </c>
      <c r="H48" s="64">
        <v>30.18</v>
      </c>
      <c r="I48" s="64">
        <v>5.88</v>
      </c>
      <c r="J48" s="64">
        <v>0.42</v>
      </c>
      <c r="K48" s="64">
        <v>13.5</v>
      </c>
      <c r="L48" s="64">
        <v>33.4</v>
      </c>
      <c r="M48" s="64">
        <v>67.3</v>
      </c>
      <c r="N48" s="64">
        <v>577.4</v>
      </c>
      <c r="O48" s="64">
        <v>0</v>
      </c>
      <c r="P48" s="64">
        <v>0.67</v>
      </c>
      <c r="Q48" s="64">
        <v>9.92</v>
      </c>
      <c r="R48" s="198"/>
      <c r="S48" s="198"/>
      <c r="T48" s="198"/>
      <c r="U48" s="198"/>
    </row>
    <row r="49" spans="1:21" s="12" customFormat="1" x14ac:dyDescent="0.25">
      <c r="A49" s="214" t="s">
        <v>2303</v>
      </c>
      <c r="B49" s="64">
        <v>4.26</v>
      </c>
      <c r="C49" s="64">
        <v>3.22</v>
      </c>
      <c r="D49" s="64">
        <v>7.29</v>
      </c>
      <c r="E49" s="64">
        <v>3.72</v>
      </c>
      <c r="F49" s="64">
        <v>4.34</v>
      </c>
      <c r="G49" s="64">
        <v>69.209999999999994</v>
      </c>
      <c r="H49" s="64">
        <v>31.76</v>
      </c>
      <c r="I49" s="64">
        <v>5.89</v>
      </c>
      <c r="J49" s="64">
        <v>1.08</v>
      </c>
      <c r="K49" s="64">
        <v>330.99</v>
      </c>
      <c r="L49" s="64">
        <v>32.5</v>
      </c>
      <c r="M49" s="64">
        <v>70.930000000000007</v>
      </c>
      <c r="N49" s="64">
        <v>605</v>
      </c>
      <c r="O49" s="64">
        <v>0</v>
      </c>
      <c r="P49" s="64">
        <v>0.64</v>
      </c>
      <c r="Q49" s="64">
        <v>9.9600000000000009</v>
      </c>
      <c r="R49" s="198"/>
      <c r="S49" s="198"/>
      <c r="T49" s="198"/>
      <c r="U49" s="198"/>
    </row>
    <row r="50" spans="1:21" s="12" customFormat="1" x14ac:dyDescent="0.25">
      <c r="A50" s="214" t="s">
        <v>2304</v>
      </c>
      <c r="B50" s="64">
        <v>4.29</v>
      </c>
      <c r="C50" s="64">
        <v>3.25</v>
      </c>
      <c r="D50" s="64">
        <v>7.33</v>
      </c>
      <c r="E50" s="64">
        <v>4.0199999999999996</v>
      </c>
      <c r="F50" s="64">
        <v>2.81</v>
      </c>
      <c r="G50" s="64">
        <v>80.39</v>
      </c>
      <c r="H50" s="64">
        <v>41.91</v>
      </c>
      <c r="I50" s="64">
        <v>5.71</v>
      </c>
      <c r="J50" s="64">
        <v>1.55</v>
      </c>
      <c r="K50" s="64">
        <v>336.69</v>
      </c>
      <c r="L50" s="64">
        <v>33.18</v>
      </c>
      <c r="M50" s="64">
        <v>68.34</v>
      </c>
      <c r="N50" s="64">
        <v>612.70000000000005</v>
      </c>
      <c r="O50" s="64">
        <v>0</v>
      </c>
      <c r="P50" s="64">
        <v>0.63</v>
      </c>
      <c r="Q50" s="64">
        <v>9.9700000000000006</v>
      </c>
      <c r="R50" s="198"/>
      <c r="S50" s="198"/>
      <c r="T50" s="198"/>
      <c r="U50" s="198"/>
    </row>
    <row r="51" spans="1:21" s="12" customFormat="1" x14ac:dyDescent="0.25">
      <c r="A51" s="214" t="s">
        <v>2305</v>
      </c>
      <c r="B51" s="64">
        <v>4.2699999999999996</v>
      </c>
      <c r="C51" s="64">
        <v>3.27</v>
      </c>
      <c r="D51" s="64">
        <v>7.32</v>
      </c>
      <c r="E51" s="64">
        <v>3.69</v>
      </c>
      <c r="F51" s="64">
        <v>3.2</v>
      </c>
      <c r="G51" s="64">
        <v>80.39</v>
      </c>
      <c r="H51" s="64">
        <v>41.91</v>
      </c>
      <c r="I51" s="64">
        <v>6.13</v>
      </c>
      <c r="J51" s="64">
        <v>0.98</v>
      </c>
      <c r="K51" s="64">
        <v>103.47</v>
      </c>
      <c r="L51" s="64">
        <v>31.8</v>
      </c>
      <c r="M51" s="64">
        <v>73.89</v>
      </c>
      <c r="N51" s="64">
        <v>758.4</v>
      </c>
      <c r="O51" s="64">
        <v>0</v>
      </c>
      <c r="P51" s="64">
        <v>0.6</v>
      </c>
      <c r="Q51" s="64">
        <v>9.94</v>
      </c>
      <c r="R51" s="198"/>
      <c r="S51" s="198"/>
      <c r="T51" s="198"/>
      <c r="U51" s="198"/>
    </row>
    <row r="52" spans="1:21" s="12" customFormat="1" x14ac:dyDescent="0.25">
      <c r="A52" s="214" t="s">
        <v>2306</v>
      </c>
      <c r="B52" s="64">
        <v>4.29</v>
      </c>
      <c r="C52" s="64">
        <v>3.27</v>
      </c>
      <c r="D52" s="64">
        <v>7.34</v>
      </c>
      <c r="E52" s="64">
        <v>3.86</v>
      </c>
      <c r="F52" s="64">
        <v>3.72</v>
      </c>
      <c r="G52" s="64">
        <v>80.39</v>
      </c>
      <c r="H52" s="64">
        <v>41.91</v>
      </c>
      <c r="I52" s="64">
        <v>5.83</v>
      </c>
      <c r="J52" s="64">
        <v>1.3</v>
      </c>
      <c r="K52" s="64">
        <v>328.92</v>
      </c>
      <c r="L52" s="64">
        <v>32.69</v>
      </c>
      <c r="M52" s="64">
        <v>70.39</v>
      </c>
      <c r="N52" s="64">
        <v>684.1</v>
      </c>
      <c r="O52" s="64">
        <v>0</v>
      </c>
      <c r="P52" s="64">
        <v>0.61</v>
      </c>
      <c r="Q52" s="64">
        <v>9.89</v>
      </c>
      <c r="R52" s="198"/>
      <c r="S52" s="198"/>
      <c r="T52" s="198"/>
      <c r="U52" s="198"/>
    </row>
    <row r="53" spans="1:21" s="12" customFormat="1" x14ac:dyDescent="0.25">
      <c r="A53" s="214" t="s">
        <v>2307</v>
      </c>
      <c r="B53" s="64">
        <v>4.29</v>
      </c>
      <c r="C53" s="64">
        <v>3.21</v>
      </c>
      <c r="D53" s="64">
        <v>7.31</v>
      </c>
      <c r="E53" s="64">
        <v>3.68</v>
      </c>
      <c r="F53" s="64">
        <v>3.91</v>
      </c>
      <c r="G53" s="64">
        <v>78.3</v>
      </c>
      <c r="H53" s="64">
        <v>38.270000000000003</v>
      </c>
      <c r="I53" s="64">
        <v>5.1100000000000003</v>
      </c>
      <c r="J53" s="64">
        <v>1.03</v>
      </c>
      <c r="K53" s="64">
        <v>341.55</v>
      </c>
      <c r="L53" s="64">
        <v>34.01</v>
      </c>
      <c r="M53" s="64">
        <v>63.86</v>
      </c>
      <c r="N53" s="64">
        <v>731.6</v>
      </c>
      <c r="O53" s="64">
        <v>0</v>
      </c>
      <c r="P53" s="64">
        <v>0.59</v>
      </c>
      <c r="Q53" s="64">
        <v>9.86</v>
      </c>
      <c r="R53" s="198"/>
      <c r="S53" s="198"/>
      <c r="T53" s="198"/>
      <c r="U53" s="198"/>
    </row>
    <row r="54" spans="1:21" s="12" customFormat="1" x14ac:dyDescent="0.25">
      <c r="A54" s="214" t="s">
        <v>2308</v>
      </c>
      <c r="B54" s="64">
        <v>4.3</v>
      </c>
      <c r="C54" s="64">
        <v>3.19</v>
      </c>
      <c r="D54" s="64">
        <v>7.31</v>
      </c>
      <c r="E54" s="64">
        <v>4</v>
      </c>
      <c r="F54" s="64">
        <v>4.28</v>
      </c>
      <c r="G54" s="64">
        <v>61.56</v>
      </c>
      <c r="H54" s="64">
        <v>14.79</v>
      </c>
      <c r="I54" s="64">
        <v>4.97</v>
      </c>
      <c r="J54" s="64">
        <v>0.63</v>
      </c>
      <c r="K54" s="64">
        <v>331.62</v>
      </c>
      <c r="L54" s="64">
        <v>34.6</v>
      </c>
      <c r="M54" s="64">
        <v>62.43</v>
      </c>
      <c r="N54" s="64">
        <v>810.2</v>
      </c>
      <c r="O54" s="64">
        <v>0</v>
      </c>
      <c r="P54" s="64">
        <v>0.56999999999999995</v>
      </c>
      <c r="Q54" s="64">
        <v>9.8699999999999992</v>
      </c>
      <c r="R54" s="198"/>
      <c r="S54" s="198"/>
      <c r="T54" s="198"/>
      <c r="U54" s="198"/>
    </row>
    <row r="55" spans="1:21" s="12" customFormat="1" x14ac:dyDescent="0.25">
      <c r="A55" s="214" t="s">
        <v>2309</v>
      </c>
      <c r="B55" s="64">
        <v>4.3</v>
      </c>
      <c r="C55" s="64">
        <v>3.22</v>
      </c>
      <c r="D55" s="64">
        <v>7.32</v>
      </c>
      <c r="E55" s="64">
        <v>3.8</v>
      </c>
      <c r="F55" s="64">
        <v>4.17</v>
      </c>
      <c r="G55" s="64">
        <v>61.56</v>
      </c>
      <c r="H55" s="64">
        <v>14.79</v>
      </c>
      <c r="I55" s="64">
        <v>4.6399999999999997</v>
      </c>
      <c r="J55" s="64">
        <v>0.97</v>
      </c>
      <c r="K55" s="64">
        <v>347.8</v>
      </c>
      <c r="L55" s="64">
        <v>34.159999999999997</v>
      </c>
      <c r="M55" s="64">
        <v>64.16</v>
      </c>
      <c r="N55" s="64">
        <v>684.7</v>
      </c>
      <c r="O55" s="64">
        <v>0</v>
      </c>
      <c r="P55" s="64">
        <v>0.6</v>
      </c>
      <c r="Q55" s="64">
        <v>9.86</v>
      </c>
      <c r="R55" s="198"/>
      <c r="S55" s="198"/>
      <c r="T55" s="198"/>
      <c r="U55" s="198"/>
    </row>
    <row r="56" spans="1:21" s="12" customFormat="1" x14ac:dyDescent="0.25">
      <c r="A56" s="214" t="s">
        <v>2310</v>
      </c>
      <c r="B56" s="64">
        <v>4.29</v>
      </c>
      <c r="C56" s="64">
        <v>3.27</v>
      </c>
      <c r="D56" s="64">
        <v>7.34</v>
      </c>
      <c r="E56" s="64">
        <v>3.94</v>
      </c>
      <c r="F56" s="64">
        <v>3.9</v>
      </c>
      <c r="G56" s="64">
        <v>61.56</v>
      </c>
      <c r="H56" s="64">
        <v>14.79</v>
      </c>
      <c r="I56" s="64">
        <v>4.16</v>
      </c>
      <c r="J56" s="64">
        <v>1.25</v>
      </c>
      <c r="K56" s="64">
        <v>347.18</v>
      </c>
      <c r="L56" s="64">
        <v>34.32</v>
      </c>
      <c r="M56" s="64">
        <v>62.85</v>
      </c>
      <c r="N56" s="64">
        <v>503.1</v>
      </c>
      <c r="O56" s="64">
        <v>0</v>
      </c>
      <c r="P56" s="64">
        <v>0.59</v>
      </c>
      <c r="Q56" s="64">
        <v>9.83</v>
      </c>
      <c r="R56" s="198"/>
      <c r="S56" s="198"/>
      <c r="T56" s="198"/>
      <c r="U56" s="198"/>
    </row>
    <row r="57" spans="1:21" s="12" customFormat="1" x14ac:dyDescent="0.25">
      <c r="A57" s="214" t="s">
        <v>2311</v>
      </c>
      <c r="B57" s="64">
        <v>4.29</v>
      </c>
      <c r="C57" s="64">
        <v>3.22</v>
      </c>
      <c r="D57" s="64">
        <v>7.31</v>
      </c>
      <c r="E57" s="64">
        <v>3.37</v>
      </c>
      <c r="F57" s="64">
        <v>4.04</v>
      </c>
      <c r="G57" s="64">
        <v>61.93</v>
      </c>
      <c r="H57" s="64">
        <v>15.3</v>
      </c>
      <c r="I57" s="64">
        <v>4.93</v>
      </c>
      <c r="J57" s="64">
        <v>0.61</v>
      </c>
      <c r="K57" s="64">
        <v>332.82</v>
      </c>
      <c r="L57" s="64">
        <v>33.33</v>
      </c>
      <c r="M57" s="64">
        <v>64.959999999999994</v>
      </c>
      <c r="N57" s="64">
        <v>754.6</v>
      </c>
      <c r="O57" s="64">
        <v>0</v>
      </c>
      <c r="P57" s="64">
        <v>0.59</v>
      </c>
      <c r="Q57" s="64">
        <v>9.7799999999999994</v>
      </c>
      <c r="R57" s="198"/>
      <c r="S57" s="198"/>
      <c r="T57" s="198"/>
      <c r="U57" s="198"/>
    </row>
    <row r="58" spans="1:21" s="12" customFormat="1" x14ac:dyDescent="0.25">
      <c r="A58" s="214" t="s">
        <v>2312</v>
      </c>
      <c r="B58" s="64">
        <v>4.29</v>
      </c>
      <c r="C58" s="64">
        <v>3.22</v>
      </c>
      <c r="D58" s="64">
        <v>7.31</v>
      </c>
      <c r="E58" s="64">
        <v>3.07</v>
      </c>
      <c r="F58" s="64">
        <v>3.88</v>
      </c>
      <c r="G58" s="64">
        <v>64.95</v>
      </c>
      <c r="H58" s="64">
        <v>18.63</v>
      </c>
      <c r="I58" s="64">
        <v>4.78</v>
      </c>
      <c r="J58" s="64">
        <v>0.92</v>
      </c>
      <c r="K58" s="64">
        <v>356.3</v>
      </c>
      <c r="L58" s="64">
        <v>33.15</v>
      </c>
      <c r="M58" s="64">
        <v>65.459999999999994</v>
      </c>
      <c r="N58" s="64">
        <v>630.70000000000005</v>
      </c>
      <c r="O58" s="64">
        <v>0</v>
      </c>
      <c r="P58" s="64">
        <v>0.59</v>
      </c>
      <c r="Q58" s="64">
        <v>9.7899999999999991</v>
      </c>
      <c r="R58" s="198"/>
      <c r="S58" s="198"/>
      <c r="T58" s="198"/>
      <c r="U58" s="198"/>
    </row>
    <row r="59" spans="1:21" s="12" customFormat="1" x14ac:dyDescent="0.25">
      <c r="A59" s="214" t="s">
        <v>2313</v>
      </c>
      <c r="B59" s="64">
        <v>4.2699999999999996</v>
      </c>
      <c r="C59" s="64">
        <v>3.22</v>
      </c>
      <c r="D59" s="64">
        <v>7.3</v>
      </c>
      <c r="E59" s="64">
        <v>3.04</v>
      </c>
      <c r="F59" s="64">
        <v>4.71</v>
      </c>
      <c r="G59" s="64">
        <v>64.95</v>
      </c>
      <c r="H59" s="64">
        <v>18.63</v>
      </c>
      <c r="I59" s="64">
        <v>4.3</v>
      </c>
      <c r="J59" s="64">
        <v>2.08</v>
      </c>
      <c r="K59" s="64">
        <v>334.9</v>
      </c>
      <c r="L59" s="64">
        <v>33.51</v>
      </c>
      <c r="M59" s="64">
        <v>64.66</v>
      </c>
      <c r="N59" s="64">
        <v>533.9</v>
      </c>
      <c r="O59" s="64">
        <v>0</v>
      </c>
      <c r="P59" s="64">
        <v>0.61</v>
      </c>
      <c r="Q59" s="64">
        <v>9.8000000000000007</v>
      </c>
      <c r="R59" s="198"/>
      <c r="S59" s="198"/>
      <c r="T59" s="198"/>
      <c r="U59" s="198"/>
    </row>
    <row r="60" spans="1:21" s="12" customFormat="1" x14ac:dyDescent="0.25">
      <c r="A60" s="214" t="s">
        <v>2314</v>
      </c>
      <c r="B60" s="64">
        <v>4.2300000000000004</v>
      </c>
      <c r="C60" s="64">
        <v>3.19</v>
      </c>
      <c r="D60" s="64">
        <v>7.25</v>
      </c>
      <c r="E60" s="64">
        <v>3.84</v>
      </c>
      <c r="F60" s="64">
        <v>3.65</v>
      </c>
      <c r="G60" s="64">
        <v>64.95</v>
      </c>
      <c r="H60" s="64">
        <v>18.63</v>
      </c>
      <c r="I60" s="64">
        <v>5.03</v>
      </c>
      <c r="J60" s="64">
        <v>1.46</v>
      </c>
      <c r="K60" s="64">
        <v>336.64</v>
      </c>
      <c r="L60" s="64">
        <v>33.369999999999997</v>
      </c>
      <c r="M60" s="64">
        <v>64.930000000000007</v>
      </c>
      <c r="N60" s="64">
        <v>480.7</v>
      </c>
      <c r="O60" s="64">
        <v>0</v>
      </c>
      <c r="P60" s="64">
        <v>0.61</v>
      </c>
      <c r="Q60" s="64">
        <v>9.74</v>
      </c>
      <c r="R60" s="198"/>
      <c r="S60" s="198"/>
      <c r="T60" s="198"/>
      <c r="U60" s="198"/>
    </row>
    <row r="61" spans="1:21" s="12" customFormat="1" x14ac:dyDescent="0.25">
      <c r="A61" s="214" t="s">
        <v>2315</v>
      </c>
      <c r="B61" s="64">
        <v>4.26</v>
      </c>
      <c r="C61" s="64">
        <v>3.25</v>
      </c>
      <c r="D61" s="64">
        <v>7.31</v>
      </c>
      <c r="E61" s="64">
        <v>3.56</v>
      </c>
      <c r="F61" s="64">
        <v>4.18</v>
      </c>
      <c r="G61" s="64">
        <v>64.17</v>
      </c>
      <c r="H61" s="64">
        <v>29.4</v>
      </c>
      <c r="I61" s="64">
        <v>5.69</v>
      </c>
      <c r="J61" s="64">
        <v>0.8</v>
      </c>
      <c r="K61" s="64">
        <v>103.09</v>
      </c>
      <c r="L61" s="64">
        <v>31.84</v>
      </c>
      <c r="M61" s="64">
        <v>69.3</v>
      </c>
      <c r="N61" s="64">
        <v>387.9</v>
      </c>
      <c r="O61" s="64">
        <v>0</v>
      </c>
      <c r="P61" s="64">
        <v>0.55000000000000004</v>
      </c>
      <c r="Q61" s="64">
        <v>9.73</v>
      </c>
      <c r="R61" s="198"/>
      <c r="S61" s="198"/>
      <c r="T61" s="198"/>
      <c r="U61" s="198"/>
    </row>
    <row r="62" spans="1:21" s="12" customFormat="1" x14ac:dyDescent="0.25">
      <c r="A62" s="214" t="s">
        <v>2316</v>
      </c>
      <c r="B62" s="64">
        <v>4.24</v>
      </c>
      <c r="C62" s="64">
        <v>3.24</v>
      </c>
      <c r="D62" s="64">
        <v>7.28</v>
      </c>
      <c r="E62" s="64">
        <v>3.32</v>
      </c>
      <c r="F62" s="64">
        <v>5.12</v>
      </c>
      <c r="G62" s="64">
        <v>57.99</v>
      </c>
      <c r="H62" s="212" t="s">
        <v>42</v>
      </c>
      <c r="I62" s="64">
        <v>5.13</v>
      </c>
      <c r="J62" s="64">
        <v>1.22</v>
      </c>
      <c r="K62" s="64">
        <v>336.45</v>
      </c>
      <c r="L62" s="64">
        <v>32.47</v>
      </c>
      <c r="M62" s="64">
        <v>66.27</v>
      </c>
      <c r="N62" s="64">
        <v>592.9</v>
      </c>
      <c r="O62" s="64">
        <v>0</v>
      </c>
      <c r="P62" s="64">
        <v>0.6</v>
      </c>
      <c r="Q62" s="64">
        <v>9.77</v>
      </c>
      <c r="R62" s="198"/>
      <c r="S62" s="198"/>
      <c r="T62" s="198"/>
      <c r="U62" s="198"/>
    </row>
    <row r="63" spans="1:21" s="12" customFormat="1" x14ac:dyDescent="0.25">
      <c r="A63" s="214" t="s">
        <v>2317</v>
      </c>
      <c r="B63" s="64">
        <v>4.24</v>
      </c>
      <c r="C63" s="64">
        <v>3.24</v>
      </c>
      <c r="D63" s="64">
        <v>7.28</v>
      </c>
      <c r="E63" s="64">
        <v>4.53</v>
      </c>
      <c r="F63" s="64">
        <v>3.29</v>
      </c>
      <c r="G63" s="64">
        <v>57.99</v>
      </c>
      <c r="H63" s="212" t="s">
        <v>42</v>
      </c>
      <c r="I63" s="64">
        <v>4.7300000000000004</v>
      </c>
      <c r="J63" s="64">
        <v>1.24</v>
      </c>
      <c r="K63" s="64">
        <v>336.43</v>
      </c>
      <c r="L63" s="64">
        <v>33.47</v>
      </c>
      <c r="M63" s="64">
        <v>62.83</v>
      </c>
      <c r="N63" s="64">
        <v>352.9</v>
      </c>
      <c r="O63" s="64">
        <v>0</v>
      </c>
      <c r="P63" s="64">
        <v>0.61</v>
      </c>
      <c r="Q63" s="64">
        <v>9.7200000000000006</v>
      </c>
      <c r="R63" s="198"/>
      <c r="S63" s="198"/>
      <c r="T63" s="198"/>
      <c r="U63" s="198"/>
    </row>
    <row r="64" spans="1:21" s="12" customFormat="1" x14ac:dyDescent="0.25">
      <c r="A64" s="214" t="s">
        <v>2318</v>
      </c>
      <c r="B64" s="64">
        <v>4.24</v>
      </c>
      <c r="C64" s="64">
        <v>3.19</v>
      </c>
      <c r="D64" s="64">
        <v>7.26</v>
      </c>
      <c r="E64" s="64">
        <v>3.48</v>
      </c>
      <c r="F64" s="64">
        <v>3.87</v>
      </c>
      <c r="G64" s="64">
        <v>57.99</v>
      </c>
      <c r="H64" s="212" t="s">
        <v>42</v>
      </c>
      <c r="I64" s="64">
        <v>4.84</v>
      </c>
      <c r="J64" s="64">
        <v>0.32</v>
      </c>
      <c r="K64" s="64">
        <v>332.06</v>
      </c>
      <c r="L64" s="64">
        <v>32.619999999999997</v>
      </c>
      <c r="M64" s="64">
        <v>65.12</v>
      </c>
      <c r="N64" s="64">
        <v>258.7</v>
      </c>
      <c r="O64" s="64">
        <v>0</v>
      </c>
      <c r="P64" s="64">
        <v>0.56999999999999995</v>
      </c>
      <c r="Q64" s="64">
        <v>9.69</v>
      </c>
      <c r="R64" s="198"/>
      <c r="S64" s="198"/>
      <c r="T64" s="198"/>
      <c r="U64" s="198"/>
    </row>
    <row r="65" spans="1:21" s="12" customFormat="1" x14ac:dyDescent="0.25">
      <c r="A65" s="214" t="s">
        <v>2319</v>
      </c>
      <c r="B65" s="64">
        <v>4.22</v>
      </c>
      <c r="C65" s="64">
        <v>3.17</v>
      </c>
      <c r="D65" s="64">
        <v>7.23</v>
      </c>
      <c r="E65" s="64">
        <v>3.03</v>
      </c>
      <c r="F65" s="64">
        <v>5.04</v>
      </c>
      <c r="G65" s="64">
        <v>58.36</v>
      </c>
      <c r="H65" s="212" t="s">
        <v>42</v>
      </c>
      <c r="I65" s="64">
        <v>4.42</v>
      </c>
      <c r="J65" s="64">
        <v>1.04</v>
      </c>
      <c r="K65" s="64">
        <v>342.46</v>
      </c>
      <c r="L65" s="64">
        <v>32.229999999999997</v>
      </c>
      <c r="M65" s="64">
        <v>66.62</v>
      </c>
      <c r="N65" s="64">
        <v>239.1</v>
      </c>
      <c r="O65" s="64">
        <v>0</v>
      </c>
      <c r="P65" s="64">
        <v>0.56999999999999995</v>
      </c>
      <c r="Q65" s="64">
        <v>9.7100000000000009</v>
      </c>
      <c r="R65" s="198"/>
      <c r="S65" s="198"/>
      <c r="T65" s="198"/>
      <c r="U65" s="198"/>
    </row>
    <row r="66" spans="1:21" s="12" customFormat="1" x14ac:dyDescent="0.25">
      <c r="A66" s="214" t="s">
        <v>2320</v>
      </c>
      <c r="B66" s="64">
        <v>4.22</v>
      </c>
      <c r="C66" s="64">
        <v>3.18</v>
      </c>
      <c r="D66" s="64">
        <v>7.24</v>
      </c>
      <c r="E66" s="64">
        <v>2.97</v>
      </c>
      <c r="F66" s="64">
        <v>3.31</v>
      </c>
      <c r="G66" s="64">
        <v>61.3</v>
      </c>
      <c r="H66" s="64">
        <v>16.62</v>
      </c>
      <c r="I66" s="64">
        <v>3.55</v>
      </c>
      <c r="J66" s="64">
        <v>1.42</v>
      </c>
      <c r="K66" s="64">
        <v>333.51</v>
      </c>
      <c r="L66" s="64">
        <v>33.119999999999997</v>
      </c>
      <c r="M66" s="64">
        <v>61.7</v>
      </c>
      <c r="N66" s="64">
        <v>284.5</v>
      </c>
      <c r="O66" s="64">
        <v>0</v>
      </c>
      <c r="P66" s="64">
        <v>0.61</v>
      </c>
      <c r="Q66" s="64">
        <v>9.7200000000000006</v>
      </c>
      <c r="R66" s="198"/>
      <c r="S66" s="198"/>
      <c r="T66" s="198"/>
      <c r="U66" s="198"/>
    </row>
    <row r="67" spans="1:21" s="12" customFormat="1" x14ac:dyDescent="0.25">
      <c r="A67" s="214" t="s">
        <v>2321</v>
      </c>
      <c r="B67" s="64">
        <v>4.25</v>
      </c>
      <c r="C67" s="64">
        <v>3.25</v>
      </c>
      <c r="D67" s="64">
        <v>7.3</v>
      </c>
      <c r="E67" s="64">
        <v>3.41</v>
      </c>
      <c r="F67" s="64">
        <v>3.66</v>
      </c>
      <c r="G67" s="64">
        <v>61.3</v>
      </c>
      <c r="H67" s="64">
        <v>16.62</v>
      </c>
      <c r="I67" s="64">
        <v>4.16</v>
      </c>
      <c r="J67" s="64">
        <v>1.92</v>
      </c>
      <c r="K67" s="64">
        <v>333.92</v>
      </c>
      <c r="L67" s="64">
        <v>33.17</v>
      </c>
      <c r="M67" s="64">
        <v>60.92</v>
      </c>
      <c r="N67" s="64">
        <v>269.2</v>
      </c>
      <c r="O67" s="64">
        <v>0</v>
      </c>
      <c r="P67" s="64">
        <v>0.56999999999999995</v>
      </c>
      <c r="Q67" s="64">
        <v>9.68</v>
      </c>
      <c r="R67" s="198"/>
      <c r="S67" s="198"/>
      <c r="T67" s="198"/>
      <c r="U67" s="198"/>
    </row>
    <row r="68" spans="1:21" s="12" customFormat="1" x14ac:dyDescent="0.25">
      <c r="A68" s="214" t="s">
        <v>2322</v>
      </c>
      <c r="B68" s="64">
        <v>4.2699999999999996</v>
      </c>
      <c r="C68" s="64">
        <v>3.32</v>
      </c>
      <c r="D68" s="64">
        <v>7.35</v>
      </c>
      <c r="E68" s="64">
        <v>3.09</v>
      </c>
      <c r="F68" s="64">
        <v>4.33</v>
      </c>
      <c r="G68" s="64">
        <v>61.3</v>
      </c>
      <c r="H68" s="64">
        <v>16.62</v>
      </c>
      <c r="I68" s="64">
        <v>4.25</v>
      </c>
      <c r="J68" s="64">
        <v>1.85</v>
      </c>
      <c r="K68" s="64">
        <v>337.67</v>
      </c>
      <c r="L68" s="64">
        <v>32.74</v>
      </c>
      <c r="M68" s="64">
        <v>65.510000000000005</v>
      </c>
      <c r="N68" s="64">
        <v>190.4</v>
      </c>
      <c r="O68" s="64">
        <v>0</v>
      </c>
      <c r="P68" s="64">
        <v>0.56999999999999995</v>
      </c>
      <c r="Q68" s="64">
        <v>9.66</v>
      </c>
      <c r="R68" s="198"/>
      <c r="S68" s="198"/>
      <c r="T68" s="198"/>
      <c r="U68" s="198"/>
    </row>
    <row r="69" spans="1:21" s="12" customFormat="1" x14ac:dyDescent="0.25">
      <c r="A69" s="214" t="s">
        <v>2323</v>
      </c>
      <c r="B69" s="64">
        <v>4.2699999999999996</v>
      </c>
      <c r="C69" s="64">
        <v>3.2</v>
      </c>
      <c r="D69" s="64">
        <v>7.29</v>
      </c>
      <c r="E69" s="64">
        <v>3.35</v>
      </c>
      <c r="F69" s="64">
        <v>5.21</v>
      </c>
      <c r="G69" s="64">
        <v>61.31</v>
      </c>
      <c r="H69" s="64">
        <v>17.079999999999998</v>
      </c>
      <c r="I69" s="64">
        <v>4.2</v>
      </c>
      <c r="J69" s="64">
        <v>0.99</v>
      </c>
      <c r="K69" s="64">
        <v>337.48</v>
      </c>
      <c r="L69" s="64">
        <v>32.020000000000003</v>
      </c>
      <c r="M69" s="64">
        <v>67.45</v>
      </c>
      <c r="N69" s="64">
        <v>144.19999999999999</v>
      </c>
      <c r="O69" s="64">
        <v>0</v>
      </c>
      <c r="P69" s="64">
        <v>0.6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4" t="s">
        <v>2324</v>
      </c>
      <c r="B70" s="64">
        <v>4.2699999999999996</v>
      </c>
      <c r="C70" s="64">
        <v>3.22</v>
      </c>
      <c r="D70" s="64">
        <v>7.3</v>
      </c>
      <c r="E70" s="64">
        <v>3.06</v>
      </c>
      <c r="F70" s="64">
        <v>5.47</v>
      </c>
      <c r="G70" s="64">
        <v>61.39</v>
      </c>
      <c r="H70" s="64">
        <v>20.02</v>
      </c>
      <c r="I70" s="64">
        <v>3.91</v>
      </c>
      <c r="J70" s="64">
        <v>0.79</v>
      </c>
      <c r="K70" s="64">
        <v>331</v>
      </c>
      <c r="L70" s="64">
        <v>31.28</v>
      </c>
      <c r="M70" s="64">
        <v>72.349999999999994</v>
      </c>
      <c r="N70" s="64">
        <v>150.1</v>
      </c>
      <c r="O70" s="64">
        <v>0</v>
      </c>
      <c r="P70" s="64">
        <v>0.64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4" t="s">
        <v>2325</v>
      </c>
      <c r="B71" s="64">
        <v>4.29</v>
      </c>
      <c r="C71" s="64">
        <v>3.25</v>
      </c>
      <c r="D71" s="64">
        <v>7.33</v>
      </c>
      <c r="E71" s="64">
        <v>3</v>
      </c>
      <c r="F71" s="64">
        <v>4.66</v>
      </c>
      <c r="G71" s="64">
        <v>61.39</v>
      </c>
      <c r="H71" s="64">
        <v>20.02</v>
      </c>
      <c r="I71" s="64">
        <v>2.52</v>
      </c>
      <c r="J71" s="64">
        <v>0.88</v>
      </c>
      <c r="K71" s="64">
        <v>343.8</v>
      </c>
      <c r="L71" s="64">
        <v>31.01</v>
      </c>
      <c r="M71" s="64">
        <v>73.83</v>
      </c>
      <c r="N71" s="64">
        <v>179.8</v>
      </c>
      <c r="O71" s="64">
        <v>0</v>
      </c>
      <c r="P71" s="64">
        <v>0.67</v>
      </c>
      <c r="Q71" s="64">
        <v>9.65</v>
      </c>
      <c r="R71" s="198"/>
      <c r="S71" s="198"/>
      <c r="T71" s="198"/>
      <c r="U71" s="198"/>
    </row>
    <row r="72" spans="1:21" s="12" customFormat="1" x14ac:dyDescent="0.25">
      <c r="A72" s="214" t="s">
        <v>2326</v>
      </c>
      <c r="B72" s="64">
        <v>4.3099999999999996</v>
      </c>
      <c r="C72" s="64">
        <v>3.31</v>
      </c>
      <c r="D72" s="64">
        <v>7.38</v>
      </c>
      <c r="E72" s="64">
        <v>4.46</v>
      </c>
      <c r="F72" s="64">
        <v>4.26</v>
      </c>
      <c r="G72" s="64">
        <v>61.39</v>
      </c>
      <c r="H72" s="64">
        <v>20.02</v>
      </c>
      <c r="I72" s="64">
        <v>2.13</v>
      </c>
      <c r="J72" s="64">
        <v>1.46</v>
      </c>
      <c r="K72" s="64">
        <v>338.49</v>
      </c>
      <c r="L72" s="64">
        <v>31.59</v>
      </c>
      <c r="M72" s="64">
        <v>71.47</v>
      </c>
      <c r="N72" s="64">
        <v>195.6</v>
      </c>
      <c r="O72" s="64">
        <v>0</v>
      </c>
      <c r="P72" s="64">
        <v>0.65</v>
      </c>
      <c r="Q72" s="64">
        <v>9.64</v>
      </c>
      <c r="R72" s="198"/>
      <c r="S72" s="198"/>
      <c r="T72" s="198"/>
      <c r="U72" s="198"/>
    </row>
    <row r="73" spans="1:21" s="12" customFormat="1" x14ac:dyDescent="0.25">
      <c r="A73" s="214" t="s">
        <v>2327</v>
      </c>
      <c r="B73" s="64">
        <v>4.28</v>
      </c>
      <c r="C73" s="64">
        <v>3.14</v>
      </c>
      <c r="D73" s="64">
        <v>7.26</v>
      </c>
      <c r="E73" s="64">
        <v>4.9800000000000004</v>
      </c>
      <c r="F73" s="64">
        <v>3.47</v>
      </c>
      <c r="G73" s="64">
        <v>61.76</v>
      </c>
      <c r="H73" s="64">
        <v>18.53</v>
      </c>
      <c r="I73" s="64">
        <v>2.93</v>
      </c>
      <c r="J73" s="64">
        <v>1.49</v>
      </c>
      <c r="K73" s="64">
        <v>111.61</v>
      </c>
      <c r="L73" s="64">
        <v>29.15</v>
      </c>
      <c r="M73" s="64">
        <v>77.64</v>
      </c>
      <c r="N73" s="64">
        <v>91.5</v>
      </c>
      <c r="O73" s="64">
        <v>0</v>
      </c>
      <c r="P73" s="64">
        <v>0.62</v>
      </c>
      <c r="Q73" s="64">
        <v>9.65</v>
      </c>
      <c r="R73" s="198"/>
      <c r="S73" s="198"/>
      <c r="T73" s="198"/>
      <c r="U73" s="198"/>
    </row>
    <row r="74" spans="1:21" s="12" customFormat="1" x14ac:dyDescent="0.25">
      <c r="A74" s="214" t="s">
        <v>2328</v>
      </c>
      <c r="B74" s="64">
        <v>4.28</v>
      </c>
      <c r="C74" s="64">
        <v>3.19</v>
      </c>
      <c r="D74" s="64">
        <v>7.29</v>
      </c>
      <c r="E74" s="64">
        <v>4.57</v>
      </c>
      <c r="F74" s="64">
        <v>3.93</v>
      </c>
      <c r="G74" s="64">
        <v>64.72</v>
      </c>
      <c r="H74" s="64">
        <v>8.9600000000000009</v>
      </c>
      <c r="I74" s="64">
        <v>3.2</v>
      </c>
      <c r="J74" s="64">
        <v>1.91</v>
      </c>
      <c r="K74" s="64">
        <v>116.87</v>
      </c>
      <c r="L74" s="64">
        <v>26.15</v>
      </c>
      <c r="M74" s="64">
        <v>90.33</v>
      </c>
      <c r="N74" s="64">
        <v>68.2</v>
      </c>
      <c r="O74" s="64">
        <v>0.6</v>
      </c>
      <c r="P74" s="64">
        <v>0.56000000000000005</v>
      </c>
      <c r="Q74" s="64">
        <v>9.66</v>
      </c>
      <c r="R74" s="198"/>
      <c r="S74" s="198"/>
      <c r="T74" s="198"/>
      <c r="U74" s="198"/>
    </row>
    <row r="75" spans="1:21" s="12" customFormat="1" x14ac:dyDescent="0.25">
      <c r="A75" s="214" t="s">
        <v>2329</v>
      </c>
      <c r="B75" s="64">
        <v>4.28</v>
      </c>
      <c r="C75" s="64">
        <v>3.22</v>
      </c>
      <c r="D75" s="64">
        <v>7.31</v>
      </c>
      <c r="E75" s="64">
        <v>4.8099999999999996</v>
      </c>
      <c r="F75" s="64">
        <v>4.17</v>
      </c>
      <c r="G75" s="64">
        <v>64.72</v>
      </c>
      <c r="H75" s="64">
        <v>8.9600000000000009</v>
      </c>
      <c r="I75" s="64">
        <v>3.72</v>
      </c>
      <c r="J75" s="64">
        <v>1.97</v>
      </c>
      <c r="K75" s="64">
        <v>119.8</v>
      </c>
      <c r="L75" s="64">
        <v>24.51</v>
      </c>
      <c r="M75" s="64">
        <v>92.83</v>
      </c>
      <c r="N75" s="64">
        <v>66.099999999999994</v>
      </c>
      <c r="O75" s="64">
        <v>0.4</v>
      </c>
      <c r="P75" s="64">
        <v>0.55000000000000004</v>
      </c>
      <c r="Q75" s="64">
        <v>9.65</v>
      </c>
      <c r="R75" s="198"/>
      <c r="S75" s="198"/>
      <c r="T75" s="198"/>
      <c r="U75" s="198"/>
    </row>
    <row r="76" spans="1:21" s="12" customFormat="1" x14ac:dyDescent="0.25">
      <c r="A76" s="214" t="s">
        <v>2330</v>
      </c>
      <c r="B76" s="64">
        <v>4.24</v>
      </c>
      <c r="C76" s="64">
        <v>3.19</v>
      </c>
      <c r="D76" s="64">
        <v>7.25</v>
      </c>
      <c r="E76" s="64">
        <v>4.7699999999999996</v>
      </c>
      <c r="F76" s="64">
        <v>5.08</v>
      </c>
      <c r="G76" s="64">
        <v>64.72</v>
      </c>
      <c r="H76" s="64">
        <v>8.9600000000000009</v>
      </c>
      <c r="I76" s="64">
        <v>4.68</v>
      </c>
      <c r="J76" s="64">
        <v>1.1599999999999999</v>
      </c>
      <c r="K76" s="64">
        <v>110.41</v>
      </c>
      <c r="L76" s="64">
        <v>25.25</v>
      </c>
      <c r="M76" s="64">
        <v>88.89</v>
      </c>
      <c r="N76" s="64">
        <v>49.5</v>
      </c>
      <c r="O76" s="64">
        <v>0</v>
      </c>
      <c r="P76" s="64">
        <v>0.55000000000000004</v>
      </c>
      <c r="Q76" s="64">
        <v>9.67</v>
      </c>
      <c r="R76" s="198"/>
      <c r="S76" s="198"/>
      <c r="T76" s="198"/>
      <c r="U76" s="198"/>
    </row>
    <row r="77" spans="1:21" s="12" customFormat="1" x14ac:dyDescent="0.25">
      <c r="A77" s="214" t="s">
        <v>2331</v>
      </c>
      <c r="B77" s="64">
        <v>4.22</v>
      </c>
      <c r="C77" s="64">
        <v>3.15</v>
      </c>
      <c r="D77" s="64">
        <v>7.22</v>
      </c>
      <c r="E77" s="64">
        <v>4.5599999999999996</v>
      </c>
      <c r="F77" s="64">
        <v>4.08</v>
      </c>
      <c r="G77" s="64">
        <v>62.53</v>
      </c>
      <c r="H77" s="64">
        <v>7.84</v>
      </c>
      <c r="I77" s="64">
        <v>5.19</v>
      </c>
      <c r="J77" s="64">
        <v>0.84</v>
      </c>
      <c r="K77" s="64">
        <v>113.87</v>
      </c>
      <c r="L77" s="64">
        <v>25.56</v>
      </c>
      <c r="M77" s="64">
        <v>90.84</v>
      </c>
      <c r="N77" s="64">
        <v>45.8</v>
      </c>
      <c r="O77" s="64">
        <v>0</v>
      </c>
      <c r="P77" s="64">
        <v>0.43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2332</v>
      </c>
      <c r="B78" s="64">
        <v>4.22</v>
      </c>
      <c r="C78" s="64">
        <v>3.12</v>
      </c>
      <c r="D78" s="64">
        <v>7.2</v>
      </c>
      <c r="E78" s="64">
        <v>4.75</v>
      </c>
      <c r="F78" s="64">
        <v>4.5599999999999996</v>
      </c>
      <c r="G78" s="64">
        <v>44.99</v>
      </c>
      <c r="H78" s="64">
        <v>0.62</v>
      </c>
      <c r="I78" s="64">
        <v>4.6100000000000003</v>
      </c>
      <c r="J78" s="64">
        <v>2.15</v>
      </c>
      <c r="K78" s="64">
        <v>114.52</v>
      </c>
      <c r="L78" s="64">
        <v>26.6</v>
      </c>
      <c r="M78" s="64">
        <v>79.84</v>
      </c>
      <c r="N78" s="64">
        <v>43.9</v>
      </c>
      <c r="O78" s="64">
        <v>0</v>
      </c>
      <c r="P78" s="64">
        <v>0.52</v>
      </c>
      <c r="Q78" s="64">
        <v>9.65</v>
      </c>
      <c r="R78" s="198"/>
      <c r="S78" s="198"/>
      <c r="T78" s="198"/>
      <c r="U78" s="198"/>
    </row>
    <row r="79" spans="1:21" s="12" customFormat="1" x14ac:dyDescent="0.25">
      <c r="A79" s="214" t="s">
        <v>2333</v>
      </c>
      <c r="B79" s="64">
        <v>4.22</v>
      </c>
      <c r="C79" s="64">
        <v>3.14</v>
      </c>
      <c r="D79" s="64">
        <v>7.22</v>
      </c>
      <c r="E79" s="64">
        <v>4.75</v>
      </c>
      <c r="F79" s="64">
        <v>3.24</v>
      </c>
      <c r="G79" s="64">
        <v>44.99</v>
      </c>
      <c r="H79" s="64">
        <v>0.62</v>
      </c>
      <c r="I79" s="64">
        <v>3.91</v>
      </c>
      <c r="J79" s="64">
        <v>1.37</v>
      </c>
      <c r="K79" s="64">
        <v>105.05</v>
      </c>
      <c r="L79" s="64">
        <v>25.86</v>
      </c>
      <c r="M79" s="64">
        <v>85.53</v>
      </c>
      <c r="N79" s="64">
        <v>34.200000000000003</v>
      </c>
      <c r="O79" s="64">
        <v>0</v>
      </c>
      <c r="P79" s="64">
        <v>0.49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4" t="s">
        <v>2334</v>
      </c>
      <c r="B80" s="64">
        <v>4.21</v>
      </c>
      <c r="C80" s="64">
        <v>3.14</v>
      </c>
      <c r="D80" s="64">
        <v>7.21</v>
      </c>
      <c r="E80" s="64">
        <v>4.74</v>
      </c>
      <c r="F80" s="64">
        <v>5.23</v>
      </c>
      <c r="G80" s="64">
        <v>44.99</v>
      </c>
      <c r="H80" s="64">
        <v>0.62</v>
      </c>
      <c r="I80" s="64">
        <v>4.6500000000000004</v>
      </c>
      <c r="J80" s="64">
        <v>0.6</v>
      </c>
      <c r="K80" s="64">
        <v>155.75</v>
      </c>
      <c r="L80" s="64">
        <v>25.01</v>
      </c>
      <c r="M80" s="64">
        <v>93.84</v>
      </c>
      <c r="N80" s="64">
        <v>28.1</v>
      </c>
      <c r="O80" s="64">
        <v>0</v>
      </c>
      <c r="P80" s="64">
        <v>0.47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4" t="s">
        <v>2335</v>
      </c>
      <c r="B81" s="64">
        <v>4.21</v>
      </c>
      <c r="C81" s="64">
        <v>3.15</v>
      </c>
      <c r="D81" s="64">
        <v>7.21</v>
      </c>
      <c r="E81" s="64">
        <v>4.72</v>
      </c>
      <c r="F81" s="64">
        <v>2.48</v>
      </c>
      <c r="G81" s="64">
        <v>44.19</v>
      </c>
      <c r="H81" s="64">
        <v>0.54</v>
      </c>
      <c r="I81" s="64">
        <v>5.34</v>
      </c>
      <c r="J81" s="64">
        <v>0.86</v>
      </c>
      <c r="K81" s="64">
        <v>157.97</v>
      </c>
      <c r="L81" s="64">
        <v>24.78</v>
      </c>
      <c r="M81" s="64">
        <v>97.68</v>
      </c>
      <c r="N81" s="64">
        <v>26.3</v>
      </c>
      <c r="O81" s="64">
        <v>0</v>
      </c>
      <c r="P81" s="64">
        <v>0.45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2336</v>
      </c>
      <c r="B82" s="64">
        <v>4.21</v>
      </c>
      <c r="C82" s="64">
        <v>3.13</v>
      </c>
      <c r="D82" s="64">
        <v>7.2</v>
      </c>
      <c r="E82" s="64">
        <v>4.74</v>
      </c>
      <c r="F82" s="64">
        <v>4.38</v>
      </c>
      <c r="G82" s="64">
        <v>37.770000000000003</v>
      </c>
      <c r="H82" s="64">
        <v>0.05</v>
      </c>
      <c r="I82" s="64">
        <v>5.2</v>
      </c>
      <c r="J82" s="64">
        <v>0.71</v>
      </c>
      <c r="K82" s="64">
        <v>138.44</v>
      </c>
      <c r="L82" s="64">
        <v>24.59</v>
      </c>
      <c r="M82" s="64">
        <v>99.87</v>
      </c>
      <c r="N82" s="64">
        <v>26.4</v>
      </c>
      <c r="O82" s="64">
        <v>0</v>
      </c>
      <c r="P82" s="64">
        <v>0.44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4" t="s">
        <v>2337</v>
      </c>
      <c r="B83" s="64">
        <v>4.22</v>
      </c>
      <c r="C83" s="64">
        <v>3.16</v>
      </c>
      <c r="D83" s="64">
        <v>7.22</v>
      </c>
      <c r="E83" s="64">
        <v>4.46</v>
      </c>
      <c r="F83" s="64">
        <v>2.99</v>
      </c>
      <c r="G83" s="64">
        <v>37.770000000000003</v>
      </c>
      <c r="H83" s="64">
        <v>0.05</v>
      </c>
      <c r="I83" s="64">
        <v>4.68</v>
      </c>
      <c r="J83" s="64">
        <v>1.26</v>
      </c>
      <c r="K83" s="64">
        <v>145.65</v>
      </c>
      <c r="L83" s="64">
        <v>24.52</v>
      </c>
      <c r="M83" s="64">
        <v>101.06</v>
      </c>
      <c r="N83" s="64">
        <v>26.2</v>
      </c>
      <c r="O83" s="64">
        <v>0</v>
      </c>
      <c r="P83" s="64">
        <v>0.42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4" t="s">
        <v>2338</v>
      </c>
      <c r="B84" s="64">
        <v>4.21</v>
      </c>
      <c r="C84" s="64">
        <v>3.13</v>
      </c>
      <c r="D84" s="64">
        <v>7.2</v>
      </c>
      <c r="E84" s="64">
        <v>4.6900000000000004</v>
      </c>
      <c r="F84" s="64">
        <v>4.87</v>
      </c>
      <c r="G84" s="64">
        <v>37.770000000000003</v>
      </c>
      <c r="H84" s="64">
        <v>0.05</v>
      </c>
      <c r="I84" s="64">
        <v>4.3</v>
      </c>
      <c r="J84" s="64">
        <v>0.92</v>
      </c>
      <c r="K84" s="64">
        <v>144.13</v>
      </c>
      <c r="L84" s="64">
        <v>24.37</v>
      </c>
      <c r="M84" s="64">
        <v>101.26</v>
      </c>
      <c r="N84" s="64">
        <v>26.5</v>
      </c>
      <c r="O84" s="64">
        <v>0</v>
      </c>
      <c r="P84" s="64">
        <v>0.43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4" t="s">
        <v>2339</v>
      </c>
      <c r="B85" s="64">
        <v>4.2300000000000004</v>
      </c>
      <c r="C85" s="64">
        <v>3.05</v>
      </c>
      <c r="D85" s="64">
        <v>7.17</v>
      </c>
      <c r="E85" s="64">
        <v>4.6500000000000004</v>
      </c>
      <c r="F85" s="64">
        <v>4.91</v>
      </c>
      <c r="G85" s="64">
        <v>37.619999999999997</v>
      </c>
      <c r="H85" s="64">
        <v>5.46</v>
      </c>
      <c r="I85" s="64">
        <v>4.3600000000000003</v>
      </c>
      <c r="J85" s="64">
        <v>0.42</v>
      </c>
      <c r="K85" s="64">
        <v>168.42</v>
      </c>
      <c r="L85" s="64">
        <v>24.36</v>
      </c>
      <c r="M85" s="64">
        <v>101.05</v>
      </c>
      <c r="N85" s="64">
        <v>26.1</v>
      </c>
      <c r="O85" s="64">
        <v>0</v>
      </c>
      <c r="P85" s="64">
        <v>0.38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4" t="s">
        <v>2340</v>
      </c>
      <c r="B86" s="64">
        <v>4.2699999999999996</v>
      </c>
      <c r="C86" s="64">
        <v>3.14</v>
      </c>
      <c r="D86" s="64">
        <v>7.25</v>
      </c>
      <c r="E86" s="64">
        <v>4.9400000000000004</v>
      </c>
      <c r="F86" s="64">
        <v>4.22</v>
      </c>
      <c r="G86" s="64">
        <v>36.44</v>
      </c>
      <c r="H86" s="64">
        <v>39.729999999999997</v>
      </c>
      <c r="I86" s="64">
        <v>3.53</v>
      </c>
      <c r="J86" s="64">
        <v>0.7</v>
      </c>
      <c r="K86" s="64">
        <v>163.88</v>
      </c>
      <c r="L86" s="64">
        <v>24.59</v>
      </c>
      <c r="M86" s="64">
        <v>98.36</v>
      </c>
      <c r="N86" s="64">
        <v>25.9</v>
      </c>
      <c r="O86" s="64">
        <v>0</v>
      </c>
      <c r="P86" s="64">
        <v>0.42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4" t="s">
        <v>2341</v>
      </c>
      <c r="B87" s="64">
        <v>4.2699999999999996</v>
      </c>
      <c r="C87" s="64">
        <v>3.18</v>
      </c>
      <c r="D87" s="64">
        <v>7.28</v>
      </c>
      <c r="E87" s="64">
        <v>4.71</v>
      </c>
      <c r="F87" s="64">
        <v>4.2300000000000004</v>
      </c>
      <c r="G87" s="64">
        <v>36.44</v>
      </c>
      <c r="H87" s="64">
        <v>39.729999999999997</v>
      </c>
      <c r="I87" s="64">
        <v>1.96</v>
      </c>
      <c r="J87" s="64">
        <v>0.14000000000000001</v>
      </c>
      <c r="K87" s="64">
        <v>144.97</v>
      </c>
      <c r="L87" s="64">
        <v>24.82</v>
      </c>
      <c r="M87" s="64">
        <v>97.2</v>
      </c>
      <c r="N87" s="64">
        <v>26</v>
      </c>
      <c r="O87" s="64">
        <v>0</v>
      </c>
      <c r="P87" s="64">
        <v>0.49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4" t="s">
        <v>2342</v>
      </c>
      <c r="B88" s="64">
        <v>4.28</v>
      </c>
      <c r="C88" s="64">
        <v>3.2</v>
      </c>
      <c r="D88" s="64">
        <v>7.3</v>
      </c>
      <c r="E88" s="64">
        <v>3.39</v>
      </c>
      <c r="F88" s="64">
        <v>4.3499999999999996</v>
      </c>
      <c r="G88" s="64">
        <v>36.44</v>
      </c>
      <c r="H88" s="64">
        <v>39.729999999999997</v>
      </c>
      <c r="I88" s="64">
        <v>1.68</v>
      </c>
      <c r="J88" s="64">
        <v>0.76</v>
      </c>
      <c r="K88" s="64">
        <v>149.85</v>
      </c>
      <c r="L88" s="64">
        <v>24.94</v>
      </c>
      <c r="M88" s="64">
        <v>96.38</v>
      </c>
      <c r="N88" s="64">
        <v>26</v>
      </c>
      <c r="O88" s="64">
        <v>0</v>
      </c>
      <c r="P88" s="64">
        <v>0.48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4" t="s">
        <v>2343</v>
      </c>
      <c r="B89" s="64">
        <v>4.29</v>
      </c>
      <c r="C89" s="64">
        <v>3.21</v>
      </c>
      <c r="D89" s="64">
        <v>7.3</v>
      </c>
      <c r="E89" s="64">
        <v>4.16</v>
      </c>
      <c r="F89" s="64">
        <v>4.16</v>
      </c>
      <c r="G89" s="64">
        <v>35.93</v>
      </c>
      <c r="H89" s="64">
        <v>35.03</v>
      </c>
      <c r="I89" s="64">
        <v>1.99</v>
      </c>
      <c r="J89" s="64">
        <v>0.45</v>
      </c>
      <c r="K89" s="64">
        <v>196.11</v>
      </c>
      <c r="L89" s="64">
        <v>24.74</v>
      </c>
      <c r="M89" s="64">
        <v>101.03</v>
      </c>
      <c r="N89" s="64">
        <v>26.5</v>
      </c>
      <c r="O89" s="64">
        <v>0</v>
      </c>
      <c r="P89" s="64">
        <v>0.45</v>
      </c>
      <c r="Q89" s="64">
        <v>9.66</v>
      </c>
      <c r="R89" s="198"/>
      <c r="S89" s="198"/>
      <c r="T89" s="198"/>
      <c r="U89" s="198"/>
    </row>
    <row r="90" spans="1:26" s="12" customFormat="1" x14ac:dyDescent="0.25">
      <c r="A90" s="214" t="s">
        <v>2344</v>
      </c>
      <c r="B90" s="64">
        <v>4.28</v>
      </c>
      <c r="C90" s="64">
        <v>3.13</v>
      </c>
      <c r="D90" s="64">
        <v>7.25</v>
      </c>
      <c r="E90" s="64">
        <v>3.91</v>
      </c>
      <c r="F90" s="64">
        <v>4.13</v>
      </c>
      <c r="G90" s="64">
        <v>31.88</v>
      </c>
      <c r="H90" s="64">
        <v>4.7699999999999996</v>
      </c>
      <c r="I90" s="64">
        <v>2.2400000000000002</v>
      </c>
      <c r="J90" s="64">
        <v>0.16</v>
      </c>
      <c r="K90" s="64">
        <v>245.22</v>
      </c>
      <c r="L90" s="64">
        <v>24.46</v>
      </c>
      <c r="M90" s="64">
        <v>101.78</v>
      </c>
      <c r="N90" s="64">
        <v>26.3</v>
      </c>
      <c r="O90" s="64">
        <v>0</v>
      </c>
      <c r="P90" s="64">
        <v>0.46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4" t="s">
        <v>2345</v>
      </c>
      <c r="B91" s="64">
        <v>4.29</v>
      </c>
      <c r="C91" s="64">
        <v>3.14</v>
      </c>
      <c r="D91" s="64">
        <v>7.27</v>
      </c>
      <c r="E91" s="64">
        <v>4.41</v>
      </c>
      <c r="F91" s="64">
        <v>3.97</v>
      </c>
      <c r="G91" s="64">
        <v>31.88</v>
      </c>
      <c r="H91" s="64">
        <v>4.7699999999999996</v>
      </c>
      <c r="I91" s="64">
        <v>1.82</v>
      </c>
      <c r="J91" s="64">
        <v>0.01</v>
      </c>
      <c r="K91" s="64">
        <v>238.66</v>
      </c>
      <c r="L91" s="64">
        <v>24.37</v>
      </c>
      <c r="M91" s="64">
        <v>101.79</v>
      </c>
      <c r="N91" s="64">
        <v>26.1</v>
      </c>
      <c r="O91" s="64">
        <v>0</v>
      </c>
      <c r="P91" s="64">
        <v>0.43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4" t="s">
        <v>2346</v>
      </c>
      <c r="B92" s="64">
        <v>4.2699999999999996</v>
      </c>
      <c r="C92" s="64">
        <v>3.17</v>
      </c>
      <c r="D92" s="64">
        <v>7.27</v>
      </c>
      <c r="E92" s="64">
        <v>4.0599999999999996</v>
      </c>
      <c r="F92" s="64">
        <v>3.49</v>
      </c>
      <c r="G92" s="64">
        <v>31.88</v>
      </c>
      <c r="H92" s="64">
        <v>4.7699999999999996</v>
      </c>
      <c r="I92" s="64">
        <v>1.44</v>
      </c>
      <c r="J92" s="64">
        <v>0.13</v>
      </c>
      <c r="K92" s="64">
        <v>262.83999999999997</v>
      </c>
      <c r="L92" s="64">
        <v>24.33</v>
      </c>
      <c r="M92" s="64">
        <v>101.8</v>
      </c>
      <c r="N92" s="64">
        <v>26.1</v>
      </c>
      <c r="O92" s="64">
        <v>0</v>
      </c>
      <c r="P92" s="64">
        <v>0.44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4" t="s">
        <v>2347</v>
      </c>
      <c r="B93" s="64">
        <v>4.22</v>
      </c>
      <c r="C93" s="64">
        <v>3.14</v>
      </c>
      <c r="D93" s="64">
        <v>7.22</v>
      </c>
      <c r="E93" s="64">
        <v>4</v>
      </c>
      <c r="F93" s="64">
        <v>3.5</v>
      </c>
      <c r="G93" s="64">
        <v>31.42</v>
      </c>
      <c r="H93" s="64">
        <v>4.25</v>
      </c>
      <c r="I93" s="64">
        <v>1.73</v>
      </c>
      <c r="J93" s="64">
        <v>0.05</v>
      </c>
      <c r="K93" s="64">
        <v>300.25</v>
      </c>
      <c r="L93" s="64">
        <v>24.22</v>
      </c>
      <c r="M93" s="64">
        <v>101.63</v>
      </c>
      <c r="N93" s="64">
        <v>26.1</v>
      </c>
      <c r="O93" s="64">
        <v>0</v>
      </c>
      <c r="P93" s="64">
        <v>0.44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4" t="s">
        <v>2348</v>
      </c>
      <c r="B94" s="64">
        <v>4.21</v>
      </c>
      <c r="C94" s="64">
        <v>3.13</v>
      </c>
      <c r="D94" s="64">
        <v>7.2</v>
      </c>
      <c r="E94" s="64">
        <v>3.99</v>
      </c>
      <c r="F94" s="64">
        <v>4.6900000000000004</v>
      </c>
      <c r="G94" s="64">
        <v>27.72</v>
      </c>
      <c r="H94" s="64">
        <v>0.93</v>
      </c>
      <c r="I94" s="64">
        <v>3.25</v>
      </c>
      <c r="J94" s="64">
        <v>0.26</v>
      </c>
      <c r="K94" s="64">
        <v>58.37</v>
      </c>
      <c r="L94" s="64">
        <v>24.22</v>
      </c>
      <c r="M94" s="64">
        <v>101.66</v>
      </c>
      <c r="N94" s="64">
        <v>26.1</v>
      </c>
      <c r="O94" s="64">
        <v>0</v>
      </c>
      <c r="P94" s="64">
        <v>0.44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14" t="s">
        <v>2349</v>
      </c>
      <c r="B95" s="64">
        <v>4.22</v>
      </c>
      <c r="C95" s="64">
        <v>3.14</v>
      </c>
      <c r="D95" s="64">
        <v>7.21</v>
      </c>
      <c r="E95" s="64">
        <v>4.0599999999999996</v>
      </c>
      <c r="F95" s="64">
        <v>3.28</v>
      </c>
      <c r="G95" s="64">
        <v>27.72</v>
      </c>
      <c r="H95" s="64">
        <v>0.93</v>
      </c>
      <c r="I95" s="64">
        <v>3.44</v>
      </c>
      <c r="J95" s="64">
        <v>0.24</v>
      </c>
      <c r="K95" s="64">
        <v>102.26</v>
      </c>
      <c r="L95" s="64">
        <v>24.13</v>
      </c>
      <c r="M95" s="64">
        <v>101.8</v>
      </c>
      <c r="N95" s="64">
        <v>26.1</v>
      </c>
      <c r="O95" s="64">
        <v>0</v>
      </c>
      <c r="P95" s="64">
        <v>0.43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4" t="s">
        <v>2350</v>
      </c>
      <c r="B96" s="64">
        <v>4.21</v>
      </c>
      <c r="C96" s="64">
        <v>3.14</v>
      </c>
      <c r="D96" s="64">
        <v>7.21</v>
      </c>
      <c r="E96" s="64">
        <v>3.68</v>
      </c>
      <c r="F96" s="64">
        <v>4.08</v>
      </c>
      <c r="G96" s="64">
        <v>27.72</v>
      </c>
      <c r="H96" s="64">
        <v>0.93</v>
      </c>
      <c r="I96" s="64">
        <v>2.84</v>
      </c>
      <c r="J96" s="64">
        <v>0.54</v>
      </c>
      <c r="K96" s="64">
        <v>142.44999999999999</v>
      </c>
      <c r="L96" s="64">
        <v>24.02</v>
      </c>
      <c r="M96" s="64">
        <v>101.8</v>
      </c>
      <c r="N96" s="64">
        <v>26.1</v>
      </c>
      <c r="O96" s="64">
        <v>0</v>
      </c>
      <c r="P96" s="64">
        <v>0.43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2351</v>
      </c>
      <c r="B97" s="64">
        <v>4.21</v>
      </c>
      <c r="C97" s="64">
        <v>3.11</v>
      </c>
      <c r="D97" s="64">
        <v>7.19</v>
      </c>
      <c r="E97" s="64">
        <v>4.01</v>
      </c>
      <c r="F97" s="64">
        <v>3.93</v>
      </c>
      <c r="G97" s="64">
        <v>27.49</v>
      </c>
      <c r="H97" s="64">
        <v>4.5599999999999996</v>
      </c>
      <c r="I97" s="64">
        <v>3.05</v>
      </c>
      <c r="J97" s="64">
        <v>0.2</v>
      </c>
      <c r="K97" s="64">
        <v>329.32</v>
      </c>
      <c r="L97" s="64">
        <v>23.97</v>
      </c>
      <c r="M97" s="64">
        <v>101.8</v>
      </c>
      <c r="N97" s="64">
        <v>26.1</v>
      </c>
      <c r="O97" s="64">
        <v>0</v>
      </c>
      <c r="P97" s="64">
        <v>0.42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4" t="s">
        <v>2352</v>
      </c>
      <c r="B98" s="64">
        <v>4.22</v>
      </c>
      <c r="C98" s="64">
        <v>3.13</v>
      </c>
      <c r="D98" s="64">
        <v>7.21</v>
      </c>
      <c r="E98" s="64">
        <v>4.63</v>
      </c>
      <c r="F98" s="64">
        <v>3.14</v>
      </c>
      <c r="G98" s="64">
        <v>25.63</v>
      </c>
      <c r="H98" s="64">
        <v>27.54</v>
      </c>
      <c r="I98" s="64">
        <v>2.0699999999999998</v>
      </c>
      <c r="J98" s="64">
        <v>0.22</v>
      </c>
      <c r="K98" s="64">
        <v>5.18</v>
      </c>
      <c r="L98" s="64">
        <v>23.9</v>
      </c>
      <c r="M98" s="64">
        <v>101.8</v>
      </c>
      <c r="N98" s="64">
        <v>26.1</v>
      </c>
      <c r="O98" s="64">
        <v>0</v>
      </c>
      <c r="P98" s="64">
        <v>0.41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4" t="s">
        <v>2353</v>
      </c>
      <c r="B99" s="64">
        <v>4.25</v>
      </c>
      <c r="C99" s="64">
        <v>3.19</v>
      </c>
      <c r="D99" s="64">
        <v>7.26</v>
      </c>
      <c r="E99" s="64">
        <v>4.04</v>
      </c>
      <c r="F99" s="64">
        <v>3.87</v>
      </c>
      <c r="G99" s="64">
        <v>25.63</v>
      </c>
      <c r="H99" s="64">
        <v>27.54</v>
      </c>
      <c r="I99" s="64">
        <v>2.2999999999999998</v>
      </c>
      <c r="J99" s="64">
        <v>0.35</v>
      </c>
      <c r="K99" s="64">
        <v>22.95</v>
      </c>
      <c r="L99" s="64">
        <v>23.93</v>
      </c>
      <c r="M99" s="64">
        <v>101.83</v>
      </c>
      <c r="N99" s="64">
        <v>26.1</v>
      </c>
      <c r="O99" s="64">
        <v>0</v>
      </c>
      <c r="P99" s="64">
        <v>0.42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4" t="s">
        <v>2354</v>
      </c>
      <c r="B100" s="64">
        <v>4.22</v>
      </c>
      <c r="C100" s="64">
        <v>3.18</v>
      </c>
      <c r="D100" s="64">
        <v>7.23</v>
      </c>
      <c r="E100" s="64">
        <v>3.67</v>
      </c>
      <c r="F100" s="64">
        <v>3.37</v>
      </c>
      <c r="G100" s="64">
        <v>25.63</v>
      </c>
      <c r="H100" s="64">
        <v>27.54</v>
      </c>
      <c r="I100" s="64">
        <v>2.75</v>
      </c>
      <c r="J100" s="64">
        <v>7.0000000000000007E-2</v>
      </c>
      <c r="K100" s="64">
        <v>103.06</v>
      </c>
      <c r="L100" s="64">
        <v>23.85</v>
      </c>
      <c r="M100" s="64">
        <v>101.83</v>
      </c>
      <c r="N100" s="64">
        <v>26.1</v>
      </c>
      <c r="O100" s="64">
        <v>0</v>
      </c>
      <c r="P100" s="64">
        <v>0.41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2355</v>
      </c>
      <c r="B101" s="64">
        <v>4.24</v>
      </c>
      <c r="C101" s="64">
        <v>3.09</v>
      </c>
      <c r="D101" s="64">
        <v>7.2</v>
      </c>
      <c r="E101" s="64">
        <v>4.22</v>
      </c>
      <c r="F101" s="64">
        <v>3.79</v>
      </c>
      <c r="G101" s="64">
        <v>25.51</v>
      </c>
      <c r="H101" s="64">
        <v>25.73</v>
      </c>
      <c r="I101" s="64">
        <v>2.91</v>
      </c>
      <c r="J101" s="64">
        <v>0.21</v>
      </c>
      <c r="K101" s="64">
        <v>329.41</v>
      </c>
      <c r="L101" s="64">
        <v>23.83</v>
      </c>
      <c r="M101" s="64">
        <v>101.83</v>
      </c>
      <c r="N101" s="64">
        <v>26</v>
      </c>
      <c r="O101" s="64">
        <v>0</v>
      </c>
      <c r="P101" s="64">
        <v>0.39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4" t="s">
        <v>2356</v>
      </c>
      <c r="B102" s="64">
        <v>4.25</v>
      </c>
      <c r="C102" s="64">
        <v>3.1</v>
      </c>
      <c r="D102" s="64">
        <v>7.22</v>
      </c>
      <c r="E102" s="64">
        <v>4.1399999999999997</v>
      </c>
      <c r="F102" s="64">
        <v>3.71</v>
      </c>
      <c r="G102" s="64">
        <v>24.57</v>
      </c>
      <c r="H102" s="64">
        <v>14.02</v>
      </c>
      <c r="I102" s="64">
        <v>2.72</v>
      </c>
      <c r="J102" s="64">
        <v>0.19</v>
      </c>
      <c r="K102" s="64">
        <v>313.32</v>
      </c>
      <c r="L102" s="64">
        <v>23.84</v>
      </c>
      <c r="M102" s="64">
        <v>101.81</v>
      </c>
      <c r="N102" s="64">
        <v>26.1</v>
      </c>
      <c r="O102" s="64">
        <v>0</v>
      </c>
      <c r="P102" s="64">
        <v>0.35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4" t="s">
        <v>2357</v>
      </c>
      <c r="B103" s="64">
        <v>4.29</v>
      </c>
      <c r="C103" s="64">
        <v>3.15</v>
      </c>
      <c r="D103" s="64">
        <v>7.27</v>
      </c>
      <c r="E103" s="64">
        <v>3.78</v>
      </c>
      <c r="F103" s="64">
        <v>4.22</v>
      </c>
      <c r="G103" s="64">
        <v>24.57</v>
      </c>
      <c r="H103" s="64">
        <v>14.02</v>
      </c>
      <c r="I103" s="64">
        <v>1.68</v>
      </c>
      <c r="J103" s="64">
        <v>0.17</v>
      </c>
      <c r="K103" s="64">
        <v>320.18</v>
      </c>
      <c r="L103" s="64">
        <v>23.82</v>
      </c>
      <c r="M103" s="64">
        <v>101.82</v>
      </c>
      <c r="N103" s="64">
        <v>26.1</v>
      </c>
      <c r="O103" s="64">
        <v>0</v>
      </c>
      <c r="P103" s="64">
        <v>0.37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4" t="s">
        <v>2358</v>
      </c>
      <c r="B104" s="64">
        <v>4.2699999999999996</v>
      </c>
      <c r="C104" s="64">
        <v>3.12</v>
      </c>
      <c r="D104" s="64">
        <v>7.24</v>
      </c>
      <c r="E104" s="64">
        <v>4.4400000000000004</v>
      </c>
      <c r="F104" s="64">
        <v>4.1399999999999997</v>
      </c>
      <c r="G104" s="64">
        <v>24.57</v>
      </c>
      <c r="H104" s="64">
        <v>14.02</v>
      </c>
      <c r="I104" s="64">
        <v>1.1100000000000001</v>
      </c>
      <c r="J104" s="64">
        <v>0.38</v>
      </c>
      <c r="K104" s="64">
        <v>341.69</v>
      </c>
      <c r="L104" s="64">
        <v>23.83</v>
      </c>
      <c r="M104" s="64">
        <v>101.83</v>
      </c>
      <c r="N104" s="64">
        <v>26</v>
      </c>
      <c r="O104" s="64">
        <v>0</v>
      </c>
      <c r="P104" s="64">
        <v>0.39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4.1900000000000004</v>
      </c>
      <c r="C106" s="67">
        <f>MIN(C9:C104)</f>
        <v>3.05</v>
      </c>
      <c r="D106" s="67">
        <f t="shared" ref="D106:Q106" si="0">MIN(D9:D104)</f>
        <v>7.17</v>
      </c>
      <c r="E106" s="67">
        <f t="shared" si="0"/>
        <v>2.97</v>
      </c>
      <c r="F106" s="67">
        <f t="shared" si="0"/>
        <v>2.3199999999999998</v>
      </c>
      <c r="G106" s="67">
        <f t="shared" si="0"/>
        <v>24.57</v>
      </c>
      <c r="H106" s="67">
        <f t="shared" si="0"/>
        <v>0.05</v>
      </c>
      <c r="I106" s="67">
        <f t="shared" si="0"/>
        <v>1.1100000000000001</v>
      </c>
      <c r="J106" s="67">
        <f t="shared" si="0"/>
        <v>0.01</v>
      </c>
      <c r="K106" s="67">
        <f t="shared" si="0"/>
        <v>5.18</v>
      </c>
      <c r="L106" s="67">
        <f t="shared" si="0"/>
        <v>22.77</v>
      </c>
      <c r="M106" s="67">
        <f t="shared" si="0"/>
        <v>60.92</v>
      </c>
      <c r="N106" s="67">
        <f t="shared" si="0"/>
        <v>25.9</v>
      </c>
      <c r="O106" s="67">
        <f t="shared" si="0"/>
        <v>0</v>
      </c>
      <c r="P106" s="67">
        <f t="shared" si="0"/>
        <v>0.3</v>
      </c>
      <c r="Q106" s="67">
        <f t="shared" si="0"/>
        <v>9.5299999999999994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4.32</v>
      </c>
      <c r="C107" s="66">
        <f t="shared" ref="C107:Q107" si="1">MAX(C9:C104)</f>
        <v>3.32</v>
      </c>
      <c r="D107" s="66">
        <f t="shared" si="1"/>
        <v>7.38</v>
      </c>
      <c r="E107" s="66">
        <f t="shared" si="1"/>
        <v>5.67</v>
      </c>
      <c r="F107" s="66">
        <f t="shared" si="1"/>
        <v>5.47</v>
      </c>
      <c r="G107" s="66">
        <f t="shared" si="1"/>
        <v>96.8</v>
      </c>
      <c r="H107" s="66">
        <f t="shared" si="1"/>
        <v>48.09</v>
      </c>
      <c r="I107" s="66">
        <f t="shared" si="1"/>
        <v>9.93</v>
      </c>
      <c r="J107" s="66">
        <f t="shared" si="1"/>
        <v>3.15</v>
      </c>
      <c r="K107" s="66">
        <f t="shared" si="1"/>
        <v>356.3</v>
      </c>
      <c r="L107" s="66">
        <f t="shared" si="1"/>
        <v>34.6</v>
      </c>
      <c r="M107" s="66">
        <f t="shared" si="1"/>
        <v>101.83</v>
      </c>
      <c r="N107" s="66">
        <f t="shared" si="1"/>
        <v>810.2</v>
      </c>
      <c r="O107" s="66">
        <f t="shared" si="1"/>
        <v>0.6</v>
      </c>
      <c r="P107" s="66">
        <f t="shared" si="1"/>
        <v>0.67</v>
      </c>
      <c r="Q107" s="66">
        <f t="shared" si="1"/>
        <v>9.9700000000000006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4.2543749999999996</v>
      </c>
      <c r="C108" s="67">
        <f t="shared" ref="C108:Q108" si="2">AVERAGE(C9:C104)</f>
        <v>3.1749999999999989</v>
      </c>
      <c r="D108" s="67">
        <f t="shared" si="2"/>
        <v>7.2600000000000042</v>
      </c>
      <c r="E108" s="67">
        <f t="shared" si="2"/>
        <v>4.1273958333333347</v>
      </c>
      <c r="F108" s="67">
        <f t="shared" si="2"/>
        <v>3.9515625000000014</v>
      </c>
      <c r="G108" s="67">
        <f t="shared" si="2"/>
        <v>49.643854166666642</v>
      </c>
      <c r="H108" s="67">
        <f t="shared" si="2"/>
        <v>16.219673913043465</v>
      </c>
      <c r="I108" s="67">
        <f t="shared" si="2"/>
        <v>4.2935416666666679</v>
      </c>
      <c r="J108" s="67">
        <f t="shared" si="2"/>
        <v>0.8710416666666666</v>
      </c>
      <c r="K108" s="67">
        <f t="shared" si="2"/>
        <v>253.48635416666662</v>
      </c>
      <c r="L108" s="67">
        <f t="shared" si="2"/>
        <v>27.341666666666658</v>
      </c>
      <c r="M108" s="67">
        <f t="shared" si="2"/>
        <v>87.512812500000038</v>
      </c>
      <c r="N108" s="67">
        <f t="shared" si="2"/>
        <v>183.79895833333319</v>
      </c>
      <c r="O108" s="67">
        <f t="shared" si="2"/>
        <v>1.0416666666666666E-2</v>
      </c>
      <c r="P108" s="67">
        <f t="shared" si="2"/>
        <v>0.48854166666666671</v>
      </c>
      <c r="Q108" s="67">
        <f t="shared" si="2"/>
        <v>9.7009374999999967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3.211205708960909E-2</v>
      </c>
      <c r="C109" s="67">
        <f t="shared" ref="C109:Q109" si="3">STDEV(C9:C104)</f>
        <v>4.935371793172439E-2</v>
      </c>
      <c r="D109" s="67">
        <f t="shared" si="3"/>
        <v>4.5421997916613444E-2</v>
      </c>
      <c r="E109" s="67">
        <f t="shared" si="3"/>
        <v>0.68977531779201207</v>
      </c>
      <c r="F109" s="67">
        <f t="shared" si="3"/>
        <v>0.70673203158882525</v>
      </c>
      <c r="G109" s="67">
        <f t="shared" si="3"/>
        <v>18.991500002829117</v>
      </c>
      <c r="H109" s="67">
        <f t="shared" si="3"/>
        <v>13.528387934720062</v>
      </c>
      <c r="I109" s="67">
        <f t="shared" si="3"/>
        <v>1.8271957111012107</v>
      </c>
      <c r="J109" s="67">
        <f t="shared" si="3"/>
        <v>0.65720217055519281</v>
      </c>
      <c r="K109" s="67">
        <f t="shared" si="3"/>
        <v>107.35901509588042</v>
      </c>
      <c r="L109" s="67">
        <f t="shared" si="3"/>
        <v>4.1485824254016324</v>
      </c>
      <c r="M109" s="67">
        <f t="shared" si="3"/>
        <v>16.130782844129651</v>
      </c>
      <c r="N109" s="67">
        <f t="shared" si="3"/>
        <v>229.92333115503936</v>
      </c>
      <c r="O109" s="67">
        <f t="shared" si="3"/>
        <v>7.3239573235507713E-2</v>
      </c>
      <c r="P109" s="67">
        <f t="shared" si="3"/>
        <v>0.10017856863638547</v>
      </c>
      <c r="Q109" s="67">
        <f t="shared" si="3"/>
        <v>0.10211529216888547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COUNT(H9:H104)+4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2359</v>
      </c>
      <c r="B9" s="64">
        <v>4.29</v>
      </c>
      <c r="C9" s="64">
        <v>3.14</v>
      </c>
      <c r="D9" s="64">
        <v>7.27</v>
      </c>
      <c r="E9" s="64">
        <v>4.1100000000000003</v>
      </c>
      <c r="F9" s="64">
        <v>4.26</v>
      </c>
      <c r="G9" s="64">
        <v>24.39</v>
      </c>
      <c r="H9" s="64">
        <v>12.52</v>
      </c>
      <c r="I9" s="64">
        <v>1.34</v>
      </c>
      <c r="J9" s="64">
        <v>0.09</v>
      </c>
      <c r="K9" s="64">
        <v>313.42</v>
      </c>
      <c r="L9" s="64">
        <v>23.78</v>
      </c>
      <c r="M9" s="64">
        <v>101.82</v>
      </c>
      <c r="N9" s="64">
        <v>26</v>
      </c>
      <c r="O9" s="64">
        <v>0</v>
      </c>
      <c r="P9" s="64">
        <v>0.33</v>
      </c>
      <c r="Q9" s="64">
        <v>9.65</v>
      </c>
      <c r="S9" s="198"/>
      <c r="T9" s="198"/>
      <c r="U9" s="198"/>
    </row>
    <row r="10" spans="1:21" s="12" customFormat="1" x14ac:dyDescent="0.25">
      <c r="A10" s="214" t="s">
        <v>2360</v>
      </c>
      <c r="B10" s="64">
        <v>4.28</v>
      </c>
      <c r="C10" s="64">
        <v>3.15</v>
      </c>
      <c r="D10" s="64">
        <v>7.27</v>
      </c>
      <c r="E10" s="64">
        <v>4.04</v>
      </c>
      <c r="F10" s="64">
        <v>4.3</v>
      </c>
      <c r="G10" s="64">
        <v>22.96</v>
      </c>
      <c r="H10" s="64">
        <v>2.8</v>
      </c>
      <c r="I10" s="64">
        <v>1.54</v>
      </c>
      <c r="J10" s="64">
        <v>0.48</v>
      </c>
      <c r="K10" s="64">
        <v>327.01</v>
      </c>
      <c r="L10" s="64">
        <v>23.7</v>
      </c>
      <c r="M10" s="64">
        <v>101.82</v>
      </c>
      <c r="N10" s="64">
        <v>26</v>
      </c>
      <c r="O10" s="64">
        <v>0</v>
      </c>
      <c r="P10" s="64">
        <v>0.35</v>
      </c>
      <c r="Q10" s="64">
        <v>9.66</v>
      </c>
      <c r="S10" s="198"/>
      <c r="T10" s="198"/>
      <c r="U10" s="198"/>
    </row>
    <row r="11" spans="1:21" s="12" customFormat="1" x14ac:dyDescent="0.25">
      <c r="A11" s="214" t="s">
        <v>2361</v>
      </c>
      <c r="B11" s="64">
        <v>4.28</v>
      </c>
      <c r="C11" s="64">
        <v>3.12</v>
      </c>
      <c r="D11" s="64">
        <v>7.25</v>
      </c>
      <c r="E11" s="64">
        <v>4.2</v>
      </c>
      <c r="F11" s="64">
        <v>3.74</v>
      </c>
      <c r="G11" s="64">
        <v>22.96</v>
      </c>
      <c r="H11" s="64">
        <v>2.8</v>
      </c>
      <c r="I11" s="64">
        <v>1.03</v>
      </c>
      <c r="J11" s="64">
        <v>0.77</v>
      </c>
      <c r="K11" s="64">
        <v>338.07</v>
      </c>
      <c r="L11" s="64">
        <v>23.7</v>
      </c>
      <c r="M11" s="64">
        <v>101.81</v>
      </c>
      <c r="N11" s="64">
        <v>26</v>
      </c>
      <c r="O11" s="64">
        <v>0</v>
      </c>
      <c r="P11" s="64">
        <v>0.36</v>
      </c>
      <c r="Q11" s="64">
        <v>9.67</v>
      </c>
      <c r="S11" s="198"/>
      <c r="T11" s="198"/>
      <c r="U11" s="198"/>
    </row>
    <row r="12" spans="1:21" s="12" customFormat="1" x14ac:dyDescent="0.25">
      <c r="A12" s="214" t="s">
        <v>2362</v>
      </c>
      <c r="B12" s="64">
        <v>4.28</v>
      </c>
      <c r="C12" s="64">
        <v>3.13</v>
      </c>
      <c r="D12" s="64">
        <v>7.25</v>
      </c>
      <c r="E12" s="64">
        <v>3.92</v>
      </c>
      <c r="F12" s="64">
        <v>3.77</v>
      </c>
      <c r="G12" s="64">
        <v>22.96</v>
      </c>
      <c r="H12" s="64">
        <v>2.8</v>
      </c>
      <c r="I12" s="64">
        <v>1.49</v>
      </c>
      <c r="J12" s="64">
        <v>0.71</v>
      </c>
      <c r="K12" s="64">
        <v>342.61</v>
      </c>
      <c r="L12" s="64">
        <v>23.71</v>
      </c>
      <c r="M12" s="64">
        <v>101.82</v>
      </c>
      <c r="N12" s="64">
        <v>26</v>
      </c>
      <c r="O12" s="64">
        <v>0</v>
      </c>
      <c r="P12" s="64">
        <v>0.39</v>
      </c>
      <c r="Q12" s="64">
        <v>9.64</v>
      </c>
      <c r="S12" s="198"/>
      <c r="T12" s="198"/>
      <c r="U12" s="198"/>
    </row>
    <row r="13" spans="1:21" s="12" customFormat="1" x14ac:dyDescent="0.25">
      <c r="A13" s="214" t="s">
        <v>2363</v>
      </c>
      <c r="B13" s="64">
        <v>4.28</v>
      </c>
      <c r="C13" s="64">
        <v>3.15</v>
      </c>
      <c r="D13" s="64">
        <v>7.26</v>
      </c>
      <c r="E13" s="64">
        <v>4.08</v>
      </c>
      <c r="F13" s="64">
        <v>4.68</v>
      </c>
      <c r="G13" s="64">
        <v>22.86</v>
      </c>
      <c r="H13" s="64">
        <v>5.45</v>
      </c>
      <c r="I13" s="64">
        <v>1.72</v>
      </c>
      <c r="J13" s="64">
        <v>0.54</v>
      </c>
      <c r="K13" s="64">
        <v>333.72</v>
      </c>
      <c r="L13" s="64">
        <v>23.75</v>
      </c>
      <c r="M13" s="64">
        <v>101.83</v>
      </c>
      <c r="N13" s="64">
        <v>26</v>
      </c>
      <c r="O13" s="64">
        <v>0</v>
      </c>
      <c r="P13" s="64">
        <v>0.39</v>
      </c>
      <c r="Q13" s="64">
        <v>9.64</v>
      </c>
      <c r="S13" s="198"/>
      <c r="T13" s="198"/>
      <c r="U13" s="198"/>
    </row>
    <row r="14" spans="1:21" s="12" customFormat="1" x14ac:dyDescent="0.25">
      <c r="A14" s="214" t="s">
        <v>2364</v>
      </c>
      <c r="B14" s="64">
        <v>4.21</v>
      </c>
      <c r="C14" s="64">
        <v>3.14</v>
      </c>
      <c r="D14" s="64">
        <v>7.21</v>
      </c>
      <c r="E14" s="64">
        <v>4.22</v>
      </c>
      <c r="F14" s="64">
        <v>3.82</v>
      </c>
      <c r="G14" s="64">
        <v>22</v>
      </c>
      <c r="H14" s="64">
        <v>22.48</v>
      </c>
      <c r="I14" s="64">
        <v>2.23</v>
      </c>
      <c r="J14" s="64">
        <v>0.41</v>
      </c>
      <c r="K14" s="64">
        <v>184.24</v>
      </c>
      <c r="L14" s="64">
        <v>23.55</v>
      </c>
      <c r="M14" s="64">
        <v>101.83</v>
      </c>
      <c r="N14" s="64">
        <v>26.1</v>
      </c>
      <c r="O14" s="64">
        <v>0</v>
      </c>
      <c r="P14" s="64">
        <v>0.36</v>
      </c>
      <c r="Q14" s="64">
        <v>9.64</v>
      </c>
      <c r="S14" s="198"/>
      <c r="T14" s="198"/>
      <c r="U14" s="198"/>
    </row>
    <row r="15" spans="1:21" s="12" customFormat="1" x14ac:dyDescent="0.25">
      <c r="A15" s="214" t="s">
        <v>2365</v>
      </c>
      <c r="B15" s="64">
        <v>4.21</v>
      </c>
      <c r="C15" s="64">
        <v>3.17</v>
      </c>
      <c r="D15" s="64">
        <v>7.22</v>
      </c>
      <c r="E15" s="64">
        <v>4.1399999999999997</v>
      </c>
      <c r="F15" s="64">
        <v>4.55</v>
      </c>
      <c r="G15" s="64">
        <v>22</v>
      </c>
      <c r="H15" s="64">
        <v>22.48</v>
      </c>
      <c r="I15" s="64">
        <v>3.15</v>
      </c>
      <c r="J15" s="64">
        <v>0.62</v>
      </c>
      <c r="K15" s="64">
        <v>337.96</v>
      </c>
      <c r="L15" s="64">
        <v>23.54</v>
      </c>
      <c r="M15" s="64">
        <v>101.83</v>
      </c>
      <c r="N15" s="64">
        <v>25.9</v>
      </c>
      <c r="O15" s="64">
        <v>0</v>
      </c>
      <c r="P15" s="64">
        <v>0.38</v>
      </c>
      <c r="Q15" s="64">
        <v>9.6300000000000008</v>
      </c>
      <c r="S15" s="198"/>
      <c r="T15" s="198"/>
      <c r="U15" s="198"/>
    </row>
    <row r="16" spans="1:21" s="12" customFormat="1" x14ac:dyDescent="0.25">
      <c r="A16" s="214" t="s">
        <v>2366</v>
      </c>
      <c r="B16" s="64">
        <v>4.21</v>
      </c>
      <c r="C16" s="64">
        <v>3.14</v>
      </c>
      <c r="D16" s="64">
        <v>7.21</v>
      </c>
      <c r="E16" s="64">
        <v>4.0199999999999996</v>
      </c>
      <c r="F16" s="64">
        <v>3.91</v>
      </c>
      <c r="G16" s="64">
        <v>22</v>
      </c>
      <c r="H16" s="64">
        <v>22.48</v>
      </c>
      <c r="I16" s="64">
        <v>2.15</v>
      </c>
      <c r="J16" s="64">
        <v>0.17</v>
      </c>
      <c r="K16" s="64">
        <v>339.22</v>
      </c>
      <c r="L16" s="64">
        <v>23.65</v>
      </c>
      <c r="M16" s="64">
        <v>101.82</v>
      </c>
      <c r="N16" s="64">
        <v>26</v>
      </c>
      <c r="O16" s="64">
        <v>0</v>
      </c>
      <c r="P16" s="64">
        <v>0.35</v>
      </c>
      <c r="Q16" s="64">
        <v>9.6199999999999992</v>
      </c>
      <c r="S16" s="198"/>
      <c r="T16" s="198"/>
      <c r="U16" s="198"/>
    </row>
    <row r="17" spans="1:21" s="12" customFormat="1" x14ac:dyDescent="0.25">
      <c r="A17" s="214" t="s">
        <v>2367</v>
      </c>
      <c r="B17" s="64">
        <v>4.22</v>
      </c>
      <c r="C17" s="64">
        <v>3.15</v>
      </c>
      <c r="D17" s="64">
        <v>7.22</v>
      </c>
      <c r="E17" s="64">
        <v>3.97</v>
      </c>
      <c r="F17" s="64">
        <v>4.54</v>
      </c>
      <c r="G17" s="64">
        <v>22.11</v>
      </c>
      <c r="H17" s="64">
        <v>24.38</v>
      </c>
      <c r="I17" s="64">
        <v>2.08</v>
      </c>
      <c r="J17" s="64">
        <v>0.79</v>
      </c>
      <c r="K17" s="64">
        <v>328.25</v>
      </c>
      <c r="L17" s="64">
        <v>23.69</v>
      </c>
      <c r="M17" s="64">
        <v>101.82</v>
      </c>
      <c r="N17" s="64">
        <v>25.9</v>
      </c>
      <c r="O17" s="64">
        <v>0</v>
      </c>
      <c r="P17" s="64">
        <v>0.38</v>
      </c>
      <c r="Q17" s="64">
        <v>9.61</v>
      </c>
      <c r="S17" s="198"/>
      <c r="T17" s="198"/>
      <c r="U17" s="198"/>
    </row>
    <row r="18" spans="1:21" s="12" customFormat="1" x14ac:dyDescent="0.25">
      <c r="A18" s="214" t="s">
        <v>2368</v>
      </c>
      <c r="B18" s="64">
        <v>4.22</v>
      </c>
      <c r="C18" s="64">
        <v>3.12</v>
      </c>
      <c r="D18" s="64">
        <v>7.2</v>
      </c>
      <c r="E18" s="64">
        <v>3.86</v>
      </c>
      <c r="F18" s="64">
        <v>3.19</v>
      </c>
      <c r="G18" s="64">
        <v>22.99</v>
      </c>
      <c r="H18" s="64">
        <v>36.590000000000003</v>
      </c>
      <c r="I18" s="64">
        <v>2</v>
      </c>
      <c r="J18" s="64">
        <v>0.8</v>
      </c>
      <c r="K18" s="64">
        <v>324.36</v>
      </c>
      <c r="L18" s="64">
        <v>23.82</v>
      </c>
      <c r="M18" s="64">
        <v>101.81</v>
      </c>
      <c r="N18" s="64">
        <v>25.9</v>
      </c>
      <c r="O18" s="64">
        <v>0</v>
      </c>
      <c r="P18" s="64">
        <v>0.46</v>
      </c>
      <c r="Q18" s="64">
        <v>9.61</v>
      </c>
      <c r="S18" s="198"/>
      <c r="T18" s="198"/>
      <c r="U18" s="198"/>
    </row>
    <row r="19" spans="1:21" s="12" customFormat="1" x14ac:dyDescent="0.25">
      <c r="A19" s="214" t="s">
        <v>2369</v>
      </c>
      <c r="B19" s="64">
        <v>4.24</v>
      </c>
      <c r="C19" s="64">
        <v>3.17</v>
      </c>
      <c r="D19" s="64">
        <v>7.25</v>
      </c>
      <c r="E19" s="64">
        <v>4.1900000000000004</v>
      </c>
      <c r="F19" s="64">
        <v>3.92</v>
      </c>
      <c r="G19" s="64">
        <v>22.99</v>
      </c>
      <c r="H19" s="64">
        <v>36.590000000000003</v>
      </c>
      <c r="I19" s="64">
        <v>2.34</v>
      </c>
      <c r="J19" s="64">
        <v>1.04</v>
      </c>
      <c r="K19" s="64">
        <v>331.71</v>
      </c>
      <c r="L19" s="64">
        <v>23.94</v>
      </c>
      <c r="M19" s="64">
        <v>101.82</v>
      </c>
      <c r="N19" s="64">
        <v>26</v>
      </c>
      <c r="O19" s="64">
        <v>0</v>
      </c>
      <c r="P19" s="64">
        <v>0.42</v>
      </c>
      <c r="Q19" s="64">
        <v>9.58</v>
      </c>
      <c r="S19" s="198"/>
      <c r="T19" s="198"/>
      <c r="U19" s="198"/>
    </row>
    <row r="20" spans="1:21" s="12" customFormat="1" x14ac:dyDescent="0.25">
      <c r="A20" s="214" t="s">
        <v>2370</v>
      </c>
      <c r="B20" s="64">
        <v>4.2300000000000004</v>
      </c>
      <c r="C20" s="64">
        <v>3.22</v>
      </c>
      <c r="D20" s="64">
        <v>7.26</v>
      </c>
      <c r="E20" s="64">
        <v>4</v>
      </c>
      <c r="F20" s="64">
        <v>2.86</v>
      </c>
      <c r="G20" s="64">
        <v>22.99</v>
      </c>
      <c r="H20" s="64">
        <v>36.590000000000003</v>
      </c>
      <c r="I20" s="64">
        <v>2.91</v>
      </c>
      <c r="J20" s="64">
        <v>1.08</v>
      </c>
      <c r="K20" s="64">
        <v>339.14</v>
      </c>
      <c r="L20" s="64">
        <v>24.02</v>
      </c>
      <c r="M20" s="64">
        <v>101.81</v>
      </c>
      <c r="N20" s="64">
        <v>26.1</v>
      </c>
      <c r="O20" s="64">
        <v>0</v>
      </c>
      <c r="P20" s="64">
        <v>0.44</v>
      </c>
      <c r="Q20" s="64">
        <v>9.6300000000000008</v>
      </c>
      <c r="S20" s="198"/>
      <c r="T20" s="198"/>
      <c r="U20" s="198"/>
    </row>
    <row r="21" spans="1:21" s="12" customFormat="1" x14ac:dyDescent="0.25">
      <c r="A21" s="214" t="s">
        <v>2371</v>
      </c>
      <c r="B21" s="64">
        <v>4.21</v>
      </c>
      <c r="C21" s="64">
        <v>3.14</v>
      </c>
      <c r="D21" s="64">
        <v>7.2</v>
      </c>
      <c r="E21" s="64">
        <v>4.05</v>
      </c>
      <c r="F21" s="64">
        <v>3.99</v>
      </c>
      <c r="G21" s="64">
        <v>25.35</v>
      </c>
      <c r="H21" s="64">
        <v>34.57</v>
      </c>
      <c r="I21" s="64">
        <v>3.01</v>
      </c>
      <c r="J21" s="64">
        <v>1.05</v>
      </c>
      <c r="K21" s="64">
        <v>332.54</v>
      </c>
      <c r="L21" s="64">
        <v>24.21</v>
      </c>
      <c r="M21" s="64">
        <v>101.8</v>
      </c>
      <c r="N21" s="64">
        <v>26.1</v>
      </c>
      <c r="O21" s="64">
        <v>0</v>
      </c>
      <c r="P21" s="64">
        <v>0.44</v>
      </c>
      <c r="Q21" s="64">
        <v>9.6300000000000008</v>
      </c>
      <c r="S21" s="198"/>
      <c r="T21" s="198"/>
      <c r="U21" s="198"/>
    </row>
    <row r="22" spans="1:21" s="12" customFormat="1" x14ac:dyDescent="0.25">
      <c r="A22" s="214" t="s">
        <v>2372</v>
      </c>
      <c r="B22" s="64">
        <v>4.21</v>
      </c>
      <c r="C22" s="64">
        <v>3.11</v>
      </c>
      <c r="D22" s="64">
        <v>7.19</v>
      </c>
      <c r="E22" s="64">
        <v>4.7699999999999996</v>
      </c>
      <c r="F22" s="64">
        <v>2.92</v>
      </c>
      <c r="G22" s="64">
        <v>44.23</v>
      </c>
      <c r="H22" s="64">
        <v>21.52</v>
      </c>
      <c r="I22" s="64">
        <v>3.21</v>
      </c>
      <c r="J22" s="64">
        <v>0.86</v>
      </c>
      <c r="K22" s="64">
        <v>335.51</v>
      </c>
      <c r="L22" s="64">
        <v>24.18</v>
      </c>
      <c r="M22" s="64">
        <v>101.81</v>
      </c>
      <c r="N22" s="64">
        <v>26.2</v>
      </c>
      <c r="O22" s="64">
        <v>0</v>
      </c>
      <c r="P22" s="64">
        <v>0.49</v>
      </c>
      <c r="Q22" s="64">
        <v>9.6199999999999992</v>
      </c>
      <c r="S22" s="198"/>
      <c r="T22" s="198"/>
      <c r="U22" s="198"/>
    </row>
    <row r="23" spans="1:21" s="12" customFormat="1" x14ac:dyDescent="0.25">
      <c r="A23" s="214" t="s">
        <v>2373</v>
      </c>
      <c r="B23" s="64">
        <v>4.25</v>
      </c>
      <c r="C23" s="64">
        <v>3.13</v>
      </c>
      <c r="D23" s="64">
        <v>7.23</v>
      </c>
      <c r="E23" s="64">
        <v>4.12</v>
      </c>
      <c r="F23" s="64">
        <v>3.31</v>
      </c>
      <c r="G23" s="64">
        <v>44.23</v>
      </c>
      <c r="H23" s="64">
        <v>21.52</v>
      </c>
      <c r="I23" s="64">
        <v>3.22</v>
      </c>
      <c r="J23" s="64">
        <v>1.1200000000000001</v>
      </c>
      <c r="K23" s="64">
        <v>333.28</v>
      </c>
      <c r="L23" s="64">
        <v>24.28</v>
      </c>
      <c r="M23" s="64">
        <v>101.82</v>
      </c>
      <c r="N23" s="64">
        <v>26.1</v>
      </c>
      <c r="O23" s="64">
        <v>0</v>
      </c>
      <c r="P23" s="64">
        <v>0.48</v>
      </c>
      <c r="Q23" s="64">
        <v>9.59</v>
      </c>
      <c r="S23" s="198"/>
      <c r="T23" s="198"/>
      <c r="U23" s="198"/>
    </row>
    <row r="24" spans="1:21" s="12" customFormat="1" x14ac:dyDescent="0.25">
      <c r="A24" s="214" t="s">
        <v>2374</v>
      </c>
      <c r="B24" s="64">
        <v>4.2699999999999996</v>
      </c>
      <c r="C24" s="64">
        <v>3.22</v>
      </c>
      <c r="D24" s="64">
        <v>7.3</v>
      </c>
      <c r="E24" s="64">
        <v>4.55</v>
      </c>
      <c r="F24" s="64">
        <v>3.25</v>
      </c>
      <c r="G24" s="64">
        <v>44.23</v>
      </c>
      <c r="H24" s="64">
        <v>21.52</v>
      </c>
      <c r="I24" s="64">
        <v>2.88</v>
      </c>
      <c r="J24" s="64">
        <v>0.94</v>
      </c>
      <c r="K24" s="64">
        <v>337.37</v>
      </c>
      <c r="L24" s="64">
        <v>24.3</v>
      </c>
      <c r="M24" s="64">
        <v>101.83</v>
      </c>
      <c r="N24" s="64">
        <v>26.1</v>
      </c>
      <c r="O24" s="64">
        <v>0</v>
      </c>
      <c r="P24" s="64">
        <v>0.56000000000000005</v>
      </c>
      <c r="Q24" s="64">
        <v>9.6199999999999992</v>
      </c>
      <c r="S24" s="198"/>
      <c r="T24" s="198"/>
      <c r="U24" s="198"/>
    </row>
    <row r="25" spans="1:21" s="12" customFormat="1" x14ac:dyDescent="0.25">
      <c r="A25" s="214" t="s">
        <v>2375</v>
      </c>
      <c r="B25" s="64">
        <v>4.29</v>
      </c>
      <c r="C25" s="64">
        <v>3.25</v>
      </c>
      <c r="D25" s="64">
        <v>7.33</v>
      </c>
      <c r="E25" s="64">
        <v>4.22</v>
      </c>
      <c r="F25" s="64">
        <v>3.92</v>
      </c>
      <c r="G25" s="64">
        <v>45.29</v>
      </c>
      <c r="H25" s="64">
        <v>24.43</v>
      </c>
      <c r="I25" s="64">
        <v>2.5099999999999998</v>
      </c>
      <c r="J25" s="64">
        <v>0.85</v>
      </c>
      <c r="K25" s="64">
        <v>335.81</v>
      </c>
      <c r="L25" s="64">
        <v>24.41</v>
      </c>
      <c r="M25" s="64">
        <v>101.81</v>
      </c>
      <c r="N25" s="64">
        <v>26.1</v>
      </c>
      <c r="O25" s="64">
        <v>0</v>
      </c>
      <c r="P25" s="64">
        <v>0.56000000000000005</v>
      </c>
      <c r="Q25" s="64">
        <v>9.65</v>
      </c>
      <c r="S25" s="198"/>
      <c r="T25" s="198"/>
      <c r="U25" s="198"/>
    </row>
    <row r="26" spans="1:21" s="12" customFormat="1" x14ac:dyDescent="0.25">
      <c r="A26" s="214" t="s">
        <v>2376</v>
      </c>
      <c r="B26" s="64">
        <v>4.28</v>
      </c>
      <c r="C26" s="64">
        <v>3.19</v>
      </c>
      <c r="D26" s="64">
        <v>7.29</v>
      </c>
      <c r="E26" s="64">
        <v>4.3600000000000003</v>
      </c>
      <c r="F26" s="64">
        <v>3.47</v>
      </c>
      <c r="G26" s="64">
        <v>53.77</v>
      </c>
      <c r="H26" s="64">
        <v>43.16</v>
      </c>
      <c r="I26" s="64">
        <v>2.5299999999999998</v>
      </c>
      <c r="J26" s="64">
        <v>0.83</v>
      </c>
      <c r="K26" s="64">
        <v>336</v>
      </c>
      <c r="L26" s="64">
        <v>24.3</v>
      </c>
      <c r="M26" s="64">
        <v>101.81</v>
      </c>
      <c r="N26" s="64">
        <v>26</v>
      </c>
      <c r="O26" s="64">
        <v>0</v>
      </c>
      <c r="P26" s="64">
        <v>0.55000000000000004</v>
      </c>
      <c r="Q26" s="64">
        <v>9.67</v>
      </c>
      <c r="S26" s="198"/>
      <c r="T26" s="198"/>
      <c r="U26" s="198"/>
    </row>
    <row r="27" spans="1:21" s="12" customFormat="1" x14ac:dyDescent="0.25">
      <c r="A27" s="214" t="s">
        <v>2377</v>
      </c>
      <c r="B27" s="64">
        <v>4.2699999999999996</v>
      </c>
      <c r="C27" s="64">
        <v>3.17</v>
      </c>
      <c r="D27" s="64">
        <v>7.27</v>
      </c>
      <c r="E27" s="64">
        <v>4.3</v>
      </c>
      <c r="F27" s="64">
        <v>3.35</v>
      </c>
      <c r="G27" s="64">
        <v>53.77</v>
      </c>
      <c r="H27" s="64">
        <v>43.16</v>
      </c>
      <c r="I27" s="64">
        <v>2.4</v>
      </c>
      <c r="J27" s="64">
        <v>1.23</v>
      </c>
      <c r="K27" s="64">
        <v>340.07</v>
      </c>
      <c r="L27" s="64">
        <v>24.35</v>
      </c>
      <c r="M27" s="64">
        <v>101.8</v>
      </c>
      <c r="N27" s="64">
        <v>26</v>
      </c>
      <c r="O27" s="64">
        <v>0</v>
      </c>
      <c r="P27" s="64">
        <v>0.49</v>
      </c>
      <c r="Q27" s="64">
        <v>9.68</v>
      </c>
      <c r="S27" s="198"/>
      <c r="T27" s="198"/>
      <c r="U27" s="198"/>
    </row>
    <row r="28" spans="1:21" s="12" customFormat="1" x14ac:dyDescent="0.25">
      <c r="A28" s="214" t="s">
        <v>2378</v>
      </c>
      <c r="B28" s="64">
        <v>4.2699999999999996</v>
      </c>
      <c r="C28" s="64">
        <v>3.14</v>
      </c>
      <c r="D28" s="64">
        <v>7.26</v>
      </c>
      <c r="E28" s="64">
        <v>4.0599999999999996</v>
      </c>
      <c r="F28" s="64">
        <v>3.17</v>
      </c>
      <c r="G28" s="64">
        <v>53.77</v>
      </c>
      <c r="H28" s="64">
        <v>43.16</v>
      </c>
      <c r="I28" s="64">
        <v>2.59</v>
      </c>
      <c r="J28" s="64">
        <v>1.1299999999999999</v>
      </c>
      <c r="K28" s="64">
        <v>332.69</v>
      </c>
      <c r="L28" s="64">
        <v>24.21</v>
      </c>
      <c r="M28" s="64">
        <v>101.82</v>
      </c>
      <c r="N28" s="64">
        <v>26.1</v>
      </c>
      <c r="O28" s="64">
        <v>0</v>
      </c>
      <c r="P28" s="64">
        <v>0.52</v>
      </c>
      <c r="Q28" s="64">
        <v>9.67</v>
      </c>
      <c r="S28" s="198"/>
      <c r="T28" s="198"/>
      <c r="U28" s="198"/>
    </row>
    <row r="29" spans="1:21" s="12" customFormat="1" x14ac:dyDescent="0.25">
      <c r="A29" s="214" t="s">
        <v>2379</v>
      </c>
      <c r="B29" s="64">
        <v>4.28</v>
      </c>
      <c r="C29" s="64">
        <v>3.19</v>
      </c>
      <c r="D29" s="64">
        <v>7.29</v>
      </c>
      <c r="E29" s="64">
        <v>4.38</v>
      </c>
      <c r="F29" s="64">
        <v>3.07</v>
      </c>
      <c r="G29" s="64">
        <v>54.68</v>
      </c>
      <c r="H29" s="64">
        <v>61.29</v>
      </c>
      <c r="I29" s="64">
        <v>2.96</v>
      </c>
      <c r="J29" s="64">
        <v>1</v>
      </c>
      <c r="K29" s="64">
        <v>335.17</v>
      </c>
      <c r="L29" s="64">
        <v>24.17</v>
      </c>
      <c r="M29" s="64">
        <v>101.83</v>
      </c>
      <c r="N29" s="64">
        <v>26.1</v>
      </c>
      <c r="O29" s="64">
        <v>0</v>
      </c>
      <c r="P29" s="64">
        <v>0.56000000000000005</v>
      </c>
      <c r="Q29" s="64">
        <v>9.67</v>
      </c>
      <c r="S29" s="198"/>
      <c r="T29" s="198"/>
      <c r="U29" s="198"/>
    </row>
    <row r="30" spans="1:21" s="12" customFormat="1" x14ac:dyDescent="0.25">
      <c r="A30" s="214" t="s">
        <v>2380</v>
      </c>
      <c r="B30" s="64">
        <v>4.26</v>
      </c>
      <c r="C30" s="64">
        <v>3.13</v>
      </c>
      <c r="D30" s="64">
        <v>7.24</v>
      </c>
      <c r="E30" s="64">
        <v>3.96</v>
      </c>
      <c r="F30" s="64">
        <v>3.48</v>
      </c>
      <c r="G30" s="64">
        <v>61.99</v>
      </c>
      <c r="H30" s="212" t="s">
        <v>42</v>
      </c>
      <c r="I30" s="64">
        <v>2.86</v>
      </c>
      <c r="J30" s="64">
        <v>0.67</v>
      </c>
      <c r="K30" s="64">
        <v>346.8</v>
      </c>
      <c r="L30" s="64">
        <v>23.96</v>
      </c>
      <c r="M30" s="64">
        <v>101.83</v>
      </c>
      <c r="N30" s="64">
        <v>26.1</v>
      </c>
      <c r="O30" s="64">
        <v>0</v>
      </c>
      <c r="P30" s="64">
        <v>0.52</v>
      </c>
      <c r="Q30" s="64">
        <v>9.7100000000000009</v>
      </c>
      <c r="S30" s="198"/>
      <c r="T30" s="198"/>
      <c r="U30" s="198"/>
    </row>
    <row r="31" spans="1:21" s="12" customFormat="1" x14ac:dyDescent="0.25">
      <c r="A31" s="214" t="s">
        <v>2381</v>
      </c>
      <c r="B31" s="64">
        <v>4.24</v>
      </c>
      <c r="C31" s="64">
        <v>3.14</v>
      </c>
      <c r="D31" s="64">
        <v>7.23</v>
      </c>
      <c r="E31" s="64">
        <v>4.53</v>
      </c>
      <c r="F31" s="64">
        <v>3.35</v>
      </c>
      <c r="G31" s="64">
        <v>61.99</v>
      </c>
      <c r="H31" s="212" t="s">
        <v>42</v>
      </c>
      <c r="I31" s="64">
        <v>3.03</v>
      </c>
      <c r="J31" s="64">
        <v>0.49</v>
      </c>
      <c r="K31" s="64">
        <v>352.11</v>
      </c>
      <c r="L31" s="64">
        <v>23.86</v>
      </c>
      <c r="M31" s="64">
        <v>101.83</v>
      </c>
      <c r="N31" s="64">
        <v>26.1</v>
      </c>
      <c r="O31" s="64">
        <v>0</v>
      </c>
      <c r="P31" s="64">
        <v>0.61</v>
      </c>
      <c r="Q31" s="64">
        <v>9.73</v>
      </c>
      <c r="S31" s="198"/>
      <c r="T31" s="198"/>
      <c r="U31" s="198"/>
    </row>
    <row r="32" spans="1:21" s="12" customFormat="1" x14ac:dyDescent="0.25">
      <c r="A32" s="214" t="s">
        <v>2382</v>
      </c>
      <c r="B32" s="64">
        <v>4.25</v>
      </c>
      <c r="C32" s="64">
        <v>3.12</v>
      </c>
      <c r="D32" s="64">
        <v>7.22</v>
      </c>
      <c r="E32" s="64">
        <v>4.01</v>
      </c>
      <c r="F32" s="64">
        <v>3.75</v>
      </c>
      <c r="G32" s="64">
        <v>61.99</v>
      </c>
      <c r="H32" s="212" t="s">
        <v>42</v>
      </c>
      <c r="I32" s="64">
        <v>3.46</v>
      </c>
      <c r="J32" s="64">
        <v>0.87</v>
      </c>
      <c r="K32" s="64">
        <v>342.68</v>
      </c>
      <c r="L32" s="64">
        <v>24.01</v>
      </c>
      <c r="M32" s="64">
        <v>101.81</v>
      </c>
      <c r="N32" s="64">
        <v>28.6</v>
      </c>
      <c r="O32" s="64">
        <v>0</v>
      </c>
      <c r="P32" s="64">
        <v>0.54</v>
      </c>
      <c r="Q32" s="64">
        <v>9.7799999999999994</v>
      </c>
      <c r="S32" s="198"/>
      <c r="T32" s="198"/>
      <c r="U32" s="198"/>
    </row>
    <row r="33" spans="1:21" s="12" customFormat="1" x14ac:dyDescent="0.25">
      <c r="A33" s="214" t="s">
        <v>2383</v>
      </c>
      <c r="B33" s="64">
        <v>4.2300000000000004</v>
      </c>
      <c r="C33" s="64">
        <v>3.13</v>
      </c>
      <c r="D33" s="64">
        <v>7.22</v>
      </c>
      <c r="E33" s="64">
        <v>4.1399999999999997</v>
      </c>
      <c r="F33" s="64">
        <v>3.63</v>
      </c>
      <c r="G33" s="64">
        <v>62.73</v>
      </c>
      <c r="H33" s="212" t="s">
        <v>42</v>
      </c>
      <c r="I33" s="64">
        <v>3.26</v>
      </c>
      <c r="J33" s="64">
        <v>0.9</v>
      </c>
      <c r="K33" s="64">
        <v>341.93</v>
      </c>
      <c r="L33" s="64">
        <v>24.15</v>
      </c>
      <c r="M33" s="64">
        <v>101.8</v>
      </c>
      <c r="N33" s="64">
        <v>40.1</v>
      </c>
      <c r="O33" s="64">
        <v>0</v>
      </c>
      <c r="P33" s="64">
        <v>0.62</v>
      </c>
      <c r="Q33" s="64">
        <v>9.8000000000000007</v>
      </c>
      <c r="S33" s="198"/>
      <c r="T33" s="198"/>
      <c r="U33" s="198"/>
    </row>
    <row r="34" spans="1:21" s="12" customFormat="1" x14ac:dyDescent="0.25">
      <c r="A34" s="214" t="s">
        <v>2384</v>
      </c>
      <c r="B34" s="64">
        <v>4.25</v>
      </c>
      <c r="C34" s="64">
        <v>3.16</v>
      </c>
      <c r="D34" s="64">
        <v>7.25</v>
      </c>
      <c r="E34" s="64">
        <v>4.0999999999999996</v>
      </c>
      <c r="F34" s="64">
        <v>3.74</v>
      </c>
      <c r="G34" s="64">
        <v>68.59</v>
      </c>
      <c r="H34" s="212" t="s">
        <v>42</v>
      </c>
      <c r="I34" s="64">
        <v>2.98</v>
      </c>
      <c r="J34" s="64">
        <v>1.06</v>
      </c>
      <c r="K34" s="64">
        <v>345.16</v>
      </c>
      <c r="L34" s="64">
        <v>24.48</v>
      </c>
      <c r="M34" s="64">
        <v>101.7</v>
      </c>
      <c r="N34" s="64">
        <v>62</v>
      </c>
      <c r="O34" s="64">
        <v>0</v>
      </c>
      <c r="P34" s="64">
        <v>0.55000000000000004</v>
      </c>
      <c r="Q34" s="64">
        <v>9.84</v>
      </c>
      <c r="S34" s="198"/>
      <c r="T34" s="198"/>
      <c r="U34" s="198"/>
    </row>
    <row r="35" spans="1:21" s="12" customFormat="1" x14ac:dyDescent="0.25">
      <c r="A35" s="214" t="s">
        <v>2385</v>
      </c>
      <c r="B35" s="64">
        <v>4.24</v>
      </c>
      <c r="C35" s="64">
        <v>3.16</v>
      </c>
      <c r="D35" s="64">
        <v>7.24</v>
      </c>
      <c r="E35" s="64">
        <v>3.95</v>
      </c>
      <c r="F35" s="64">
        <v>3.9</v>
      </c>
      <c r="G35" s="64">
        <v>68.59</v>
      </c>
      <c r="H35" s="212" t="s">
        <v>42</v>
      </c>
      <c r="I35" s="64">
        <v>3.47</v>
      </c>
      <c r="J35" s="64">
        <v>1.1000000000000001</v>
      </c>
      <c r="K35" s="64">
        <v>341.85</v>
      </c>
      <c r="L35" s="64">
        <v>25.37</v>
      </c>
      <c r="M35" s="64">
        <v>98.62</v>
      </c>
      <c r="N35" s="64">
        <v>96.7</v>
      </c>
      <c r="O35" s="64">
        <v>0</v>
      </c>
      <c r="P35" s="64">
        <v>0.56000000000000005</v>
      </c>
      <c r="Q35" s="64">
        <v>9.85</v>
      </c>
      <c r="S35" s="198"/>
      <c r="T35" s="198"/>
      <c r="U35" s="198"/>
    </row>
    <row r="36" spans="1:21" s="12" customFormat="1" x14ac:dyDescent="0.25">
      <c r="A36" s="214" t="s">
        <v>2386</v>
      </c>
      <c r="B36" s="64">
        <v>4.25</v>
      </c>
      <c r="C36" s="64">
        <v>3.2</v>
      </c>
      <c r="D36" s="64">
        <v>7.27</v>
      </c>
      <c r="E36" s="64">
        <v>4.13</v>
      </c>
      <c r="F36" s="64">
        <v>3.17</v>
      </c>
      <c r="G36" s="64">
        <v>68.59</v>
      </c>
      <c r="H36" s="212" t="s">
        <v>42</v>
      </c>
      <c r="I36" s="64">
        <v>3.71</v>
      </c>
      <c r="J36" s="64">
        <v>1.1499999999999999</v>
      </c>
      <c r="K36" s="64">
        <v>342.48</v>
      </c>
      <c r="L36" s="64">
        <v>26.67</v>
      </c>
      <c r="M36" s="64">
        <v>93.35</v>
      </c>
      <c r="N36" s="64">
        <v>139.19999999999999</v>
      </c>
      <c r="O36" s="64">
        <v>0</v>
      </c>
      <c r="P36" s="64">
        <v>0.59</v>
      </c>
      <c r="Q36" s="64">
        <v>9.85</v>
      </c>
      <c r="S36" s="198"/>
      <c r="T36" s="198"/>
      <c r="U36" s="198"/>
    </row>
    <row r="37" spans="1:21" s="12" customFormat="1" x14ac:dyDescent="0.25">
      <c r="A37" s="214" t="s">
        <v>2387</v>
      </c>
      <c r="B37" s="64">
        <v>4.26</v>
      </c>
      <c r="C37" s="64">
        <v>3.23</v>
      </c>
      <c r="D37" s="64">
        <v>7.29</v>
      </c>
      <c r="E37" s="64">
        <v>4.76</v>
      </c>
      <c r="F37" s="64">
        <v>3.61</v>
      </c>
      <c r="G37" s="64">
        <v>68.03</v>
      </c>
      <c r="H37" s="64">
        <v>6.4</v>
      </c>
      <c r="I37" s="64">
        <v>3.69</v>
      </c>
      <c r="J37" s="64">
        <v>0.37</v>
      </c>
      <c r="K37" s="64">
        <v>347.18</v>
      </c>
      <c r="L37" s="64">
        <v>27.39</v>
      </c>
      <c r="M37" s="64">
        <v>91.12</v>
      </c>
      <c r="N37" s="64">
        <v>182.4</v>
      </c>
      <c r="O37" s="64">
        <v>0</v>
      </c>
      <c r="P37" s="64">
        <v>0.63</v>
      </c>
      <c r="Q37" s="64">
        <v>9.8800000000000008</v>
      </c>
      <c r="S37" s="198"/>
      <c r="T37" s="198"/>
      <c r="U37" s="198"/>
    </row>
    <row r="38" spans="1:21" s="12" customFormat="1" x14ac:dyDescent="0.25">
      <c r="A38" s="214" t="s">
        <v>2388</v>
      </c>
      <c r="B38" s="64">
        <v>4.28</v>
      </c>
      <c r="C38" s="64">
        <v>3.25</v>
      </c>
      <c r="D38" s="64">
        <v>7.32</v>
      </c>
      <c r="E38" s="64">
        <v>4.7300000000000004</v>
      </c>
      <c r="F38" s="64">
        <v>4.0199999999999996</v>
      </c>
      <c r="G38" s="64">
        <v>63.5</v>
      </c>
      <c r="H38" s="64">
        <v>47.64</v>
      </c>
      <c r="I38" s="64">
        <v>3.86</v>
      </c>
      <c r="J38" s="64">
        <v>1.1100000000000001</v>
      </c>
      <c r="K38" s="64">
        <v>336.67</v>
      </c>
      <c r="L38" s="64">
        <v>28</v>
      </c>
      <c r="M38" s="64">
        <v>87.14</v>
      </c>
      <c r="N38" s="64">
        <v>248</v>
      </c>
      <c r="O38" s="64">
        <v>0</v>
      </c>
      <c r="P38" s="64">
        <v>0.6</v>
      </c>
      <c r="Q38" s="64">
        <v>9.91</v>
      </c>
      <c r="S38" s="198"/>
      <c r="T38" s="198"/>
      <c r="U38" s="198"/>
    </row>
    <row r="39" spans="1:21" s="12" customFormat="1" x14ac:dyDescent="0.25">
      <c r="A39" s="214" t="s">
        <v>2389</v>
      </c>
      <c r="B39" s="64">
        <v>4.29</v>
      </c>
      <c r="C39" s="64">
        <v>3.21</v>
      </c>
      <c r="D39" s="64">
        <v>7.3</v>
      </c>
      <c r="E39" s="64">
        <v>4.75</v>
      </c>
      <c r="F39" s="64">
        <v>3.52</v>
      </c>
      <c r="G39" s="64">
        <v>63.5</v>
      </c>
      <c r="H39" s="64">
        <v>47.64</v>
      </c>
      <c r="I39" s="64">
        <v>3.66</v>
      </c>
      <c r="J39" s="64">
        <v>0.63</v>
      </c>
      <c r="K39" s="64">
        <v>340.9</v>
      </c>
      <c r="L39" s="64">
        <v>29.4</v>
      </c>
      <c r="M39" s="64">
        <v>80.89</v>
      </c>
      <c r="N39" s="64">
        <v>304.3</v>
      </c>
      <c r="O39" s="64">
        <v>0</v>
      </c>
      <c r="P39" s="64">
        <v>0.92</v>
      </c>
      <c r="Q39" s="64">
        <v>9.89</v>
      </c>
      <c r="S39" s="198"/>
      <c r="T39" s="198"/>
      <c r="U39" s="198"/>
    </row>
    <row r="40" spans="1:21" s="12" customFormat="1" x14ac:dyDescent="0.25">
      <c r="A40" s="214" t="s">
        <v>2390</v>
      </c>
      <c r="B40" s="64">
        <v>4.32</v>
      </c>
      <c r="C40" s="64">
        <v>3.27</v>
      </c>
      <c r="D40" s="64">
        <v>7.36</v>
      </c>
      <c r="E40" s="64">
        <v>4.47</v>
      </c>
      <c r="F40" s="64">
        <v>3.99</v>
      </c>
      <c r="G40" s="64">
        <v>63.5</v>
      </c>
      <c r="H40" s="64">
        <v>47.64</v>
      </c>
      <c r="I40" s="64">
        <v>3.53</v>
      </c>
      <c r="J40" s="64">
        <v>0.55000000000000004</v>
      </c>
      <c r="K40" s="64">
        <v>322.74</v>
      </c>
      <c r="L40" s="64">
        <v>30.29</v>
      </c>
      <c r="M40" s="64">
        <v>77.459999999999994</v>
      </c>
      <c r="N40" s="64">
        <v>352.8</v>
      </c>
      <c r="O40" s="64">
        <v>0</v>
      </c>
      <c r="P40" s="64">
        <v>0.78</v>
      </c>
      <c r="Q40" s="64">
        <v>9.89</v>
      </c>
      <c r="S40" s="198"/>
      <c r="T40" s="198"/>
      <c r="U40" s="198"/>
    </row>
    <row r="41" spans="1:21" s="12" customFormat="1" x14ac:dyDescent="0.25">
      <c r="A41" s="214" t="s">
        <v>2391</v>
      </c>
      <c r="B41" s="64">
        <v>4.34</v>
      </c>
      <c r="C41" s="64">
        <v>3.23</v>
      </c>
      <c r="D41" s="64">
        <v>7.36</v>
      </c>
      <c r="E41" s="64">
        <v>4.24</v>
      </c>
      <c r="F41" s="64">
        <v>3.69</v>
      </c>
      <c r="G41" s="64">
        <v>64.290000000000006</v>
      </c>
      <c r="H41" s="64">
        <v>42.71</v>
      </c>
      <c r="I41" s="64">
        <v>3.15</v>
      </c>
      <c r="J41" s="64">
        <v>0.34</v>
      </c>
      <c r="K41" s="64">
        <v>9.86</v>
      </c>
      <c r="L41" s="64">
        <v>30.51</v>
      </c>
      <c r="M41" s="64">
        <v>76.92</v>
      </c>
      <c r="N41" s="64">
        <v>423.6</v>
      </c>
      <c r="O41" s="64">
        <v>0</v>
      </c>
      <c r="P41" s="64">
        <v>0.61</v>
      </c>
      <c r="Q41" s="64">
        <v>9.94</v>
      </c>
      <c r="S41" s="198"/>
      <c r="T41" s="198"/>
      <c r="U41" s="198"/>
    </row>
    <row r="42" spans="1:21" s="12" customFormat="1" x14ac:dyDescent="0.25">
      <c r="A42" s="214" t="s">
        <v>2392</v>
      </c>
      <c r="B42" s="64">
        <v>4.33</v>
      </c>
      <c r="C42" s="64">
        <v>3.23</v>
      </c>
      <c r="D42" s="64">
        <v>7.35</v>
      </c>
      <c r="E42" s="64">
        <v>4.46</v>
      </c>
      <c r="F42" s="64">
        <v>3.75</v>
      </c>
      <c r="G42" s="64">
        <v>70.63</v>
      </c>
      <c r="H42" s="64">
        <v>1.91</v>
      </c>
      <c r="I42" s="64">
        <v>2.82</v>
      </c>
      <c r="J42" s="64">
        <v>0.91</v>
      </c>
      <c r="K42" s="64">
        <v>119.1</v>
      </c>
      <c r="L42" s="64">
        <v>29.28</v>
      </c>
      <c r="M42" s="64">
        <v>80.180000000000007</v>
      </c>
      <c r="N42" s="64">
        <v>496.4</v>
      </c>
      <c r="O42" s="64">
        <v>0</v>
      </c>
      <c r="P42" s="64">
        <v>0.53</v>
      </c>
      <c r="Q42" s="64">
        <v>9.98</v>
      </c>
      <c r="S42" s="198"/>
      <c r="T42" s="198"/>
      <c r="U42" s="198"/>
    </row>
    <row r="43" spans="1:21" s="12" customFormat="1" x14ac:dyDescent="0.25">
      <c r="A43" s="214" t="s">
        <v>2393</v>
      </c>
      <c r="B43" s="64">
        <v>4.34</v>
      </c>
      <c r="C43" s="64">
        <v>3.25</v>
      </c>
      <c r="D43" s="64">
        <v>7.37</v>
      </c>
      <c r="E43" s="64">
        <v>4.6100000000000003</v>
      </c>
      <c r="F43" s="64">
        <v>3.81</v>
      </c>
      <c r="G43" s="64">
        <v>70.63</v>
      </c>
      <c r="H43" s="64">
        <v>1.91</v>
      </c>
      <c r="I43" s="64">
        <v>2.82</v>
      </c>
      <c r="J43" s="64">
        <v>1.41</v>
      </c>
      <c r="K43" s="64">
        <v>116.93</v>
      </c>
      <c r="L43" s="64">
        <v>29.32</v>
      </c>
      <c r="M43" s="64">
        <v>78.67</v>
      </c>
      <c r="N43" s="64">
        <v>552.29999999999995</v>
      </c>
      <c r="O43" s="64">
        <v>0</v>
      </c>
      <c r="P43" s="64">
        <v>0.52</v>
      </c>
      <c r="Q43" s="64">
        <v>9.98</v>
      </c>
      <c r="S43" s="198"/>
      <c r="T43" s="198"/>
      <c r="U43" s="198"/>
    </row>
    <row r="44" spans="1:21" s="12" customFormat="1" x14ac:dyDescent="0.25">
      <c r="A44" s="214" t="s">
        <v>2394</v>
      </c>
      <c r="B44" s="64">
        <v>4.3</v>
      </c>
      <c r="C44" s="64">
        <v>3.17</v>
      </c>
      <c r="D44" s="64">
        <v>7.3</v>
      </c>
      <c r="E44" s="64">
        <v>4.54</v>
      </c>
      <c r="F44" s="64">
        <v>3.88</v>
      </c>
      <c r="G44" s="64">
        <v>70.63</v>
      </c>
      <c r="H44" s="64">
        <v>1.91</v>
      </c>
      <c r="I44" s="64">
        <v>2.95</v>
      </c>
      <c r="J44" s="64">
        <v>0.28999999999999998</v>
      </c>
      <c r="K44" s="64">
        <v>71.44</v>
      </c>
      <c r="L44" s="64">
        <v>29.78</v>
      </c>
      <c r="M44" s="64">
        <v>78.47</v>
      </c>
      <c r="N44" s="64">
        <v>590.79999999999995</v>
      </c>
      <c r="O44" s="64">
        <v>0</v>
      </c>
      <c r="P44" s="64">
        <v>0.52</v>
      </c>
      <c r="Q44" s="64">
        <v>9.9600000000000009</v>
      </c>
      <c r="S44" s="198"/>
      <c r="T44" s="198"/>
      <c r="U44" s="198"/>
    </row>
    <row r="45" spans="1:21" s="12" customFormat="1" x14ac:dyDescent="0.25">
      <c r="A45" s="214" t="s">
        <v>2395</v>
      </c>
      <c r="B45" s="64">
        <v>4.28</v>
      </c>
      <c r="C45" s="64">
        <v>3.18</v>
      </c>
      <c r="D45" s="64">
        <v>7.28</v>
      </c>
      <c r="E45" s="64">
        <v>4.37</v>
      </c>
      <c r="F45" s="64">
        <v>3.07</v>
      </c>
      <c r="G45" s="64">
        <v>68.55</v>
      </c>
      <c r="H45" s="64">
        <v>16.62</v>
      </c>
      <c r="I45" s="64">
        <v>3.21</v>
      </c>
      <c r="J45" s="64">
        <v>1.21</v>
      </c>
      <c r="K45" s="64">
        <v>119.47</v>
      </c>
      <c r="L45" s="64">
        <v>29.65</v>
      </c>
      <c r="M45" s="64">
        <v>77.77</v>
      </c>
      <c r="N45" s="64">
        <v>630.9</v>
      </c>
      <c r="O45" s="64">
        <v>0</v>
      </c>
      <c r="P45" s="64">
        <v>0.57999999999999996</v>
      </c>
      <c r="Q45" s="64">
        <v>9.98</v>
      </c>
      <c r="S45" s="198"/>
      <c r="T45" s="198"/>
      <c r="U45" s="198"/>
    </row>
    <row r="46" spans="1:21" s="12" customFormat="1" x14ac:dyDescent="0.25">
      <c r="A46" s="214" t="s">
        <v>2396</v>
      </c>
      <c r="B46" s="64">
        <v>4.3</v>
      </c>
      <c r="C46" s="64">
        <v>3.25</v>
      </c>
      <c r="D46" s="64">
        <v>7.34</v>
      </c>
      <c r="E46" s="64">
        <v>4.0999999999999996</v>
      </c>
      <c r="F46" s="64">
        <v>3.43</v>
      </c>
      <c r="G46" s="64">
        <v>51.9</v>
      </c>
      <c r="H46" s="212" t="s">
        <v>42</v>
      </c>
      <c r="I46" s="64">
        <v>3.53</v>
      </c>
      <c r="J46" s="64">
        <v>0.09</v>
      </c>
      <c r="K46" s="64">
        <v>85.39</v>
      </c>
      <c r="L46" s="64">
        <v>30.32</v>
      </c>
      <c r="M46" s="64">
        <v>77.069999999999993</v>
      </c>
      <c r="N46" s="64">
        <v>671</v>
      </c>
      <c r="O46" s="64">
        <v>0</v>
      </c>
      <c r="P46" s="64">
        <v>0.57999999999999996</v>
      </c>
      <c r="Q46" s="64">
        <v>9.9499999999999993</v>
      </c>
      <c r="S46" s="198"/>
      <c r="T46" s="198"/>
      <c r="U46" s="198"/>
    </row>
    <row r="47" spans="1:21" s="12" customFormat="1" x14ac:dyDescent="0.25">
      <c r="A47" s="214" t="s">
        <v>2397</v>
      </c>
      <c r="B47" s="64">
        <v>4.2699999999999996</v>
      </c>
      <c r="C47" s="64">
        <v>3.22</v>
      </c>
      <c r="D47" s="64">
        <v>7.3</v>
      </c>
      <c r="E47" s="64">
        <v>5.1100000000000003</v>
      </c>
      <c r="F47" s="64">
        <v>3.59</v>
      </c>
      <c r="G47" s="64">
        <v>51.9</v>
      </c>
      <c r="H47" s="212" t="s">
        <v>42</v>
      </c>
      <c r="I47" s="64">
        <v>3.75</v>
      </c>
      <c r="J47" s="64">
        <v>0.39</v>
      </c>
      <c r="K47" s="64">
        <v>109.51</v>
      </c>
      <c r="L47" s="64">
        <v>30.72</v>
      </c>
      <c r="M47" s="64">
        <v>75.05</v>
      </c>
      <c r="N47" s="64">
        <v>693.2</v>
      </c>
      <c r="O47" s="64">
        <v>0</v>
      </c>
      <c r="P47" s="64">
        <v>0.56999999999999995</v>
      </c>
      <c r="Q47" s="64">
        <v>9.93</v>
      </c>
      <c r="S47" s="198"/>
      <c r="T47" s="198"/>
      <c r="U47" s="198"/>
    </row>
    <row r="48" spans="1:21" s="12" customFormat="1" x14ac:dyDescent="0.25">
      <c r="A48" s="214" t="s">
        <v>2398</v>
      </c>
      <c r="B48" s="64">
        <v>4.29</v>
      </c>
      <c r="C48" s="64">
        <v>3.25</v>
      </c>
      <c r="D48" s="64">
        <v>7.32</v>
      </c>
      <c r="E48" s="64">
        <v>4.47</v>
      </c>
      <c r="F48" s="64">
        <v>4.1100000000000003</v>
      </c>
      <c r="G48" s="64">
        <v>51.9</v>
      </c>
      <c r="H48" s="212" t="s">
        <v>42</v>
      </c>
      <c r="I48" s="64">
        <v>5.0999999999999996</v>
      </c>
      <c r="J48" s="64">
        <v>0.37</v>
      </c>
      <c r="K48" s="64">
        <v>50.7</v>
      </c>
      <c r="L48" s="64">
        <v>31.55</v>
      </c>
      <c r="M48" s="64">
        <v>71.67</v>
      </c>
      <c r="N48" s="64">
        <v>740.8</v>
      </c>
      <c r="O48" s="64">
        <v>0</v>
      </c>
      <c r="P48" s="64">
        <v>0.57999999999999996</v>
      </c>
      <c r="Q48" s="64">
        <v>9.89</v>
      </c>
      <c r="S48" s="198"/>
      <c r="T48" s="198"/>
      <c r="U48" s="198"/>
    </row>
    <row r="49" spans="1:21" s="12" customFormat="1" x14ac:dyDescent="0.25">
      <c r="A49" s="214" t="s">
        <v>2399</v>
      </c>
      <c r="B49" s="64">
        <v>4.28</v>
      </c>
      <c r="C49" s="64">
        <v>3.29</v>
      </c>
      <c r="D49" s="64">
        <v>7.35</v>
      </c>
      <c r="E49" s="64">
        <v>4.46</v>
      </c>
      <c r="F49" s="64">
        <v>3.78</v>
      </c>
      <c r="G49" s="64">
        <v>51.51</v>
      </c>
      <c r="H49" s="212" t="s">
        <v>42</v>
      </c>
      <c r="I49" s="64">
        <v>5.78</v>
      </c>
      <c r="J49" s="64">
        <v>1.33</v>
      </c>
      <c r="K49" s="64">
        <v>113.04</v>
      </c>
      <c r="L49" s="64">
        <v>30.41</v>
      </c>
      <c r="M49" s="64">
        <v>75.099999999999994</v>
      </c>
      <c r="N49" s="64">
        <v>789.6</v>
      </c>
      <c r="O49" s="64">
        <v>0</v>
      </c>
      <c r="P49" s="64">
        <v>0.55000000000000004</v>
      </c>
      <c r="Q49" s="64">
        <v>9.89</v>
      </c>
      <c r="S49" s="198"/>
      <c r="T49" s="198"/>
      <c r="U49" s="198"/>
    </row>
    <row r="50" spans="1:21" s="12" customFormat="1" x14ac:dyDescent="0.25">
      <c r="A50" s="214" t="s">
        <v>2400</v>
      </c>
      <c r="B50" s="64">
        <v>4.2699999999999996</v>
      </c>
      <c r="C50" s="64">
        <v>3.22</v>
      </c>
      <c r="D50" s="64">
        <v>7.3</v>
      </c>
      <c r="E50" s="64">
        <v>4.43</v>
      </c>
      <c r="F50" s="64">
        <v>3.52</v>
      </c>
      <c r="G50" s="64">
        <v>48.38</v>
      </c>
      <c r="H50" s="212" t="s">
        <v>42</v>
      </c>
      <c r="I50" s="64">
        <v>5.94</v>
      </c>
      <c r="J50" s="64">
        <v>1.78</v>
      </c>
      <c r="K50" s="64">
        <v>118.67</v>
      </c>
      <c r="L50" s="64">
        <v>30.1</v>
      </c>
      <c r="M50" s="64">
        <v>75.28</v>
      </c>
      <c r="N50" s="64">
        <v>818.9</v>
      </c>
      <c r="O50" s="64">
        <v>0</v>
      </c>
      <c r="P50" s="64">
        <v>0.54</v>
      </c>
      <c r="Q50" s="64">
        <v>9.8699999999999992</v>
      </c>
      <c r="S50" s="198"/>
      <c r="T50" s="198"/>
      <c r="U50" s="198"/>
    </row>
    <row r="51" spans="1:21" s="12" customFormat="1" x14ac:dyDescent="0.25">
      <c r="A51" s="214" t="s">
        <v>2401</v>
      </c>
      <c r="B51" s="64">
        <v>4.25</v>
      </c>
      <c r="C51" s="64">
        <v>3.17</v>
      </c>
      <c r="D51" s="64">
        <v>7.26</v>
      </c>
      <c r="E51" s="64">
        <v>4.28</v>
      </c>
      <c r="F51" s="64">
        <v>4.2699999999999996</v>
      </c>
      <c r="G51" s="64">
        <v>48.38</v>
      </c>
      <c r="H51" s="212" t="s">
        <v>42</v>
      </c>
      <c r="I51" s="64">
        <v>6.02</v>
      </c>
      <c r="J51" s="64">
        <v>1.42</v>
      </c>
      <c r="K51" s="64">
        <v>111.6</v>
      </c>
      <c r="L51" s="64">
        <v>30.15</v>
      </c>
      <c r="M51" s="64">
        <v>74.489999999999995</v>
      </c>
      <c r="N51" s="64">
        <v>852.5</v>
      </c>
      <c r="O51" s="64">
        <v>0</v>
      </c>
      <c r="P51" s="64">
        <v>0.53</v>
      </c>
      <c r="Q51" s="64">
        <v>9.86</v>
      </c>
      <c r="S51" s="198"/>
      <c r="T51" s="198"/>
      <c r="U51" s="198"/>
    </row>
    <row r="52" spans="1:21" s="12" customFormat="1" x14ac:dyDescent="0.25">
      <c r="A52" s="214" t="s">
        <v>2402</v>
      </c>
      <c r="B52" s="64">
        <v>4.25</v>
      </c>
      <c r="C52" s="64">
        <v>3.21</v>
      </c>
      <c r="D52" s="64">
        <v>7.28</v>
      </c>
      <c r="E52" s="64">
        <v>4.29</v>
      </c>
      <c r="F52" s="64">
        <v>3.35</v>
      </c>
      <c r="G52" s="64">
        <v>48.38</v>
      </c>
      <c r="H52" s="212" t="s">
        <v>42</v>
      </c>
      <c r="I52" s="64">
        <v>6.2</v>
      </c>
      <c r="J52" s="64">
        <v>1.24</v>
      </c>
      <c r="K52" s="64">
        <v>117.32</v>
      </c>
      <c r="L52" s="64">
        <v>30.56</v>
      </c>
      <c r="M52" s="64">
        <v>73.19</v>
      </c>
      <c r="N52" s="64">
        <v>864.7</v>
      </c>
      <c r="O52" s="64">
        <v>0</v>
      </c>
      <c r="P52" s="64">
        <v>0.51</v>
      </c>
      <c r="Q52" s="64">
        <v>9.83</v>
      </c>
      <c r="S52" s="198"/>
      <c r="T52" s="198"/>
      <c r="U52" s="198"/>
    </row>
    <row r="53" spans="1:21" s="12" customFormat="1" x14ac:dyDescent="0.25">
      <c r="A53" s="214" t="s">
        <v>2403</v>
      </c>
      <c r="B53" s="64">
        <v>4.2300000000000004</v>
      </c>
      <c r="C53" s="64">
        <v>3.22</v>
      </c>
      <c r="D53" s="64">
        <v>7.26</v>
      </c>
      <c r="E53" s="64">
        <v>4.78</v>
      </c>
      <c r="F53" s="64">
        <v>18.04</v>
      </c>
      <c r="G53" s="64">
        <v>46.54</v>
      </c>
      <c r="H53" s="212" t="s">
        <v>42</v>
      </c>
      <c r="I53" s="64">
        <v>6.55</v>
      </c>
      <c r="J53" s="64">
        <v>1.34</v>
      </c>
      <c r="K53" s="64">
        <v>120.51</v>
      </c>
      <c r="L53" s="64">
        <v>30.79</v>
      </c>
      <c r="M53" s="64">
        <v>72.489999999999995</v>
      </c>
      <c r="N53" s="64">
        <v>811.7</v>
      </c>
      <c r="O53" s="64">
        <v>0</v>
      </c>
      <c r="P53" s="64">
        <v>0.47</v>
      </c>
      <c r="Q53" s="64">
        <v>9.81</v>
      </c>
      <c r="S53" s="198"/>
      <c r="T53" s="198"/>
      <c r="U53" s="198"/>
    </row>
    <row r="54" spans="1:21" s="12" customFormat="1" x14ac:dyDescent="0.25">
      <c r="A54" s="214" t="s">
        <v>2404</v>
      </c>
      <c r="B54" s="64">
        <v>4.22</v>
      </c>
      <c r="C54" s="64">
        <v>3.22</v>
      </c>
      <c r="D54" s="64">
        <v>7.26</v>
      </c>
      <c r="E54" s="64">
        <v>4.3099999999999996</v>
      </c>
      <c r="F54" s="64">
        <v>10.4</v>
      </c>
      <c r="G54" s="64">
        <v>31.76</v>
      </c>
      <c r="H54" s="212" t="s">
        <v>42</v>
      </c>
      <c r="I54" s="64">
        <v>5.91</v>
      </c>
      <c r="J54" s="64">
        <v>0.3</v>
      </c>
      <c r="K54" s="64">
        <v>17.43</v>
      </c>
      <c r="L54" s="64">
        <v>32.29</v>
      </c>
      <c r="M54" s="64">
        <v>66.7</v>
      </c>
      <c r="N54" s="64">
        <v>610.29999999999995</v>
      </c>
      <c r="O54" s="64">
        <v>0</v>
      </c>
      <c r="P54" s="64">
        <v>0.43</v>
      </c>
      <c r="Q54" s="64">
        <v>9.68</v>
      </c>
      <c r="S54" s="198"/>
      <c r="T54" s="198"/>
      <c r="U54" s="198"/>
    </row>
    <row r="55" spans="1:21" s="12" customFormat="1" x14ac:dyDescent="0.25">
      <c r="A55" s="214" t="s">
        <v>2405</v>
      </c>
      <c r="B55" s="64">
        <v>4.22</v>
      </c>
      <c r="C55" s="64">
        <v>3.19</v>
      </c>
      <c r="D55" s="64">
        <v>7.24</v>
      </c>
      <c r="E55" s="64">
        <v>3.9</v>
      </c>
      <c r="F55" s="64">
        <v>6.07</v>
      </c>
      <c r="G55" s="64">
        <v>31.76</v>
      </c>
      <c r="H55" s="212" t="s">
        <v>42</v>
      </c>
      <c r="I55" s="64">
        <v>3.94</v>
      </c>
      <c r="J55" s="64">
        <v>0.69</v>
      </c>
      <c r="K55" s="64">
        <v>106.31</v>
      </c>
      <c r="L55" s="64">
        <v>30.88</v>
      </c>
      <c r="M55" s="64">
        <v>72.23</v>
      </c>
      <c r="N55" s="64">
        <v>445.5</v>
      </c>
      <c r="O55" s="64">
        <v>0</v>
      </c>
      <c r="P55" s="64">
        <v>0.38</v>
      </c>
      <c r="Q55" s="64">
        <v>9.61</v>
      </c>
      <c r="S55" s="198"/>
      <c r="T55" s="198"/>
      <c r="U55" s="198"/>
    </row>
    <row r="56" spans="1:21" s="12" customFormat="1" x14ac:dyDescent="0.25">
      <c r="A56" s="214" t="s">
        <v>2406</v>
      </c>
      <c r="B56" s="64">
        <v>4.24</v>
      </c>
      <c r="C56" s="64">
        <v>3.17</v>
      </c>
      <c r="D56" s="64">
        <v>7.25</v>
      </c>
      <c r="E56" s="64">
        <v>3.67</v>
      </c>
      <c r="F56" s="64">
        <v>4.5199999999999996</v>
      </c>
      <c r="G56" s="64">
        <v>31.76</v>
      </c>
      <c r="H56" s="212" t="s">
        <v>42</v>
      </c>
      <c r="I56" s="64">
        <v>2.75</v>
      </c>
      <c r="J56" s="64">
        <v>1.39</v>
      </c>
      <c r="K56" s="64">
        <v>111.24</v>
      </c>
      <c r="L56" s="64">
        <v>30.31</v>
      </c>
      <c r="M56" s="64">
        <v>73.849999999999994</v>
      </c>
      <c r="N56" s="64">
        <v>366.6</v>
      </c>
      <c r="O56" s="64">
        <v>0</v>
      </c>
      <c r="P56" s="64">
        <v>0.4</v>
      </c>
      <c r="Q56" s="64">
        <v>9.5500000000000007</v>
      </c>
      <c r="S56" s="198"/>
      <c r="T56" s="198"/>
      <c r="U56" s="198"/>
    </row>
    <row r="57" spans="1:21" s="12" customFormat="1" x14ac:dyDescent="0.25">
      <c r="A57" s="214" t="s">
        <v>2407</v>
      </c>
      <c r="B57" s="64">
        <v>4.24</v>
      </c>
      <c r="C57" s="64">
        <v>3.19</v>
      </c>
      <c r="D57" s="64">
        <v>7.26</v>
      </c>
      <c r="E57" s="64">
        <v>4.0599999999999996</v>
      </c>
      <c r="F57" s="64">
        <v>5.33</v>
      </c>
      <c r="G57" s="64">
        <v>32.76</v>
      </c>
      <c r="H57" s="212" t="s">
        <v>42</v>
      </c>
      <c r="I57" s="64">
        <v>2.73</v>
      </c>
      <c r="J57" s="64">
        <v>0.54</v>
      </c>
      <c r="K57" s="64">
        <v>88.78</v>
      </c>
      <c r="L57" s="64">
        <v>30.93</v>
      </c>
      <c r="M57" s="64">
        <v>71.37</v>
      </c>
      <c r="N57" s="64">
        <v>610</v>
      </c>
      <c r="O57" s="64">
        <v>0</v>
      </c>
      <c r="P57" s="64">
        <v>0.4</v>
      </c>
      <c r="Q57" s="64">
        <v>9.56</v>
      </c>
      <c r="S57" s="198"/>
      <c r="T57" s="198"/>
      <c r="U57" s="198"/>
    </row>
    <row r="58" spans="1:21" s="12" customFormat="1" x14ac:dyDescent="0.25">
      <c r="A58" s="214" t="s">
        <v>2408</v>
      </c>
      <c r="B58" s="64">
        <v>4.2699999999999996</v>
      </c>
      <c r="C58" s="64">
        <v>3.23</v>
      </c>
      <c r="D58" s="64">
        <v>7.3</v>
      </c>
      <c r="E58" s="64">
        <v>4.4800000000000004</v>
      </c>
      <c r="F58" s="64">
        <v>8.4499999999999993</v>
      </c>
      <c r="G58" s="64">
        <v>40.76</v>
      </c>
      <c r="H58" s="212" t="s">
        <v>42</v>
      </c>
      <c r="I58" s="64">
        <v>2.73</v>
      </c>
      <c r="J58" s="64">
        <v>0.64</v>
      </c>
      <c r="K58" s="64">
        <v>115.64</v>
      </c>
      <c r="L58" s="64">
        <v>31.25</v>
      </c>
      <c r="M58" s="64">
        <v>69.900000000000006</v>
      </c>
      <c r="N58" s="64">
        <v>444.5</v>
      </c>
      <c r="O58" s="64">
        <v>0</v>
      </c>
      <c r="P58" s="64">
        <v>0.39</v>
      </c>
      <c r="Q58" s="64">
        <v>9.59</v>
      </c>
      <c r="S58" s="198"/>
      <c r="T58" s="198"/>
      <c r="U58" s="198"/>
    </row>
    <row r="59" spans="1:21" s="12" customFormat="1" x14ac:dyDescent="0.25">
      <c r="A59" s="214" t="s">
        <v>2409</v>
      </c>
      <c r="B59" s="64">
        <v>4.2699999999999996</v>
      </c>
      <c r="C59" s="64">
        <v>3.16</v>
      </c>
      <c r="D59" s="64">
        <v>7.26</v>
      </c>
      <c r="E59" s="64">
        <v>4.66</v>
      </c>
      <c r="F59" s="64">
        <v>15.24</v>
      </c>
      <c r="G59" s="64">
        <v>40.76</v>
      </c>
      <c r="H59" s="212" t="s">
        <v>42</v>
      </c>
      <c r="I59" s="64">
        <v>3</v>
      </c>
      <c r="J59" s="64">
        <v>0.38</v>
      </c>
      <c r="K59" s="64">
        <v>112.6</v>
      </c>
      <c r="L59" s="64">
        <v>30.44</v>
      </c>
      <c r="M59" s="64">
        <v>75.540000000000006</v>
      </c>
      <c r="N59" s="64">
        <v>232.7</v>
      </c>
      <c r="O59" s="64">
        <v>0</v>
      </c>
      <c r="P59" s="64">
        <v>0.34</v>
      </c>
      <c r="Q59" s="64">
        <v>9.61</v>
      </c>
      <c r="S59" s="198"/>
      <c r="T59" s="198"/>
      <c r="U59" s="198"/>
    </row>
    <row r="60" spans="1:21" s="12" customFormat="1" x14ac:dyDescent="0.25">
      <c r="A60" s="214" t="s">
        <v>2410</v>
      </c>
      <c r="B60" s="64">
        <v>4.2699999999999996</v>
      </c>
      <c r="C60" s="64">
        <v>3.17</v>
      </c>
      <c r="D60" s="64">
        <v>7.27</v>
      </c>
      <c r="E60" s="64">
        <v>4.47</v>
      </c>
      <c r="F60" s="64">
        <v>13.6</v>
      </c>
      <c r="G60" s="64">
        <v>40.76</v>
      </c>
      <c r="H60" s="212" t="s">
        <v>42</v>
      </c>
      <c r="I60" s="64">
        <v>2.0099999999999998</v>
      </c>
      <c r="J60" s="64">
        <v>0.55000000000000004</v>
      </c>
      <c r="K60" s="64">
        <v>95.46</v>
      </c>
      <c r="L60" s="64">
        <v>30.69</v>
      </c>
      <c r="M60" s="64">
        <v>72.72</v>
      </c>
      <c r="N60" s="64">
        <v>494.1</v>
      </c>
      <c r="O60" s="64">
        <v>0</v>
      </c>
      <c r="P60" s="64">
        <v>0.41</v>
      </c>
      <c r="Q60" s="64">
        <v>9.6</v>
      </c>
      <c r="S60" s="198"/>
      <c r="T60" s="198"/>
      <c r="U60" s="198"/>
    </row>
    <row r="61" spans="1:21" s="12" customFormat="1" x14ac:dyDescent="0.25">
      <c r="A61" s="214" t="s">
        <v>2411</v>
      </c>
      <c r="B61" s="64">
        <v>4.2699999999999996</v>
      </c>
      <c r="C61" s="64">
        <v>3.16</v>
      </c>
      <c r="D61" s="64">
        <v>7.27</v>
      </c>
      <c r="E61" s="64">
        <v>4.6399999999999997</v>
      </c>
      <c r="F61" s="64">
        <v>24.21</v>
      </c>
      <c r="G61" s="64">
        <v>39.89</v>
      </c>
      <c r="H61" s="212" t="s">
        <v>42</v>
      </c>
      <c r="I61" s="64">
        <v>1.43</v>
      </c>
      <c r="J61" s="64">
        <v>0.56999999999999995</v>
      </c>
      <c r="K61" s="64">
        <v>99.64</v>
      </c>
      <c r="L61" s="64">
        <v>31.31</v>
      </c>
      <c r="M61" s="64">
        <v>68.97</v>
      </c>
      <c r="N61" s="64">
        <v>469.3</v>
      </c>
      <c r="O61" s="64">
        <v>0</v>
      </c>
      <c r="P61" s="64">
        <v>0.32</v>
      </c>
      <c r="Q61" s="64">
        <v>9.6</v>
      </c>
      <c r="S61" s="198"/>
      <c r="T61" s="198"/>
      <c r="U61" s="198"/>
    </row>
    <row r="62" spans="1:21" s="12" customFormat="1" x14ac:dyDescent="0.25">
      <c r="A62" s="214" t="s">
        <v>2412</v>
      </c>
      <c r="B62" s="64">
        <v>4.28</v>
      </c>
      <c r="C62" s="64">
        <v>3.19</v>
      </c>
      <c r="D62" s="64">
        <v>7.29</v>
      </c>
      <c r="E62" s="64">
        <v>4.1500000000000004</v>
      </c>
      <c r="F62" s="64">
        <v>18.3</v>
      </c>
      <c r="G62" s="64">
        <v>32.89</v>
      </c>
      <c r="H62" s="212" t="s">
        <v>42</v>
      </c>
      <c r="I62" s="64">
        <v>1.2</v>
      </c>
      <c r="J62" s="64">
        <v>0.45</v>
      </c>
      <c r="K62" s="64">
        <v>98.34</v>
      </c>
      <c r="L62" s="64">
        <v>31.96</v>
      </c>
      <c r="M62" s="64">
        <v>66.260000000000005</v>
      </c>
      <c r="N62" s="64">
        <v>243.8</v>
      </c>
      <c r="O62" s="64">
        <v>0</v>
      </c>
      <c r="P62" s="64">
        <v>0.34</v>
      </c>
      <c r="Q62" s="64">
        <v>9.59</v>
      </c>
      <c r="S62" s="198"/>
      <c r="T62" s="198"/>
      <c r="U62" s="198"/>
    </row>
    <row r="63" spans="1:21" s="12" customFormat="1" x14ac:dyDescent="0.25">
      <c r="A63" s="214" t="s">
        <v>2413</v>
      </c>
      <c r="B63" s="64">
        <v>4.26</v>
      </c>
      <c r="C63" s="64">
        <v>3.16</v>
      </c>
      <c r="D63" s="64">
        <v>7.26</v>
      </c>
      <c r="E63" s="64">
        <v>5.32</v>
      </c>
      <c r="F63" s="64">
        <v>8.6</v>
      </c>
      <c r="G63" s="64">
        <v>32.89</v>
      </c>
      <c r="H63" s="212" t="s">
        <v>42</v>
      </c>
      <c r="I63" s="64">
        <v>0.96</v>
      </c>
      <c r="J63" s="64">
        <v>1.28</v>
      </c>
      <c r="K63" s="64">
        <v>113.64</v>
      </c>
      <c r="L63" s="64">
        <v>31.02</v>
      </c>
      <c r="M63" s="64">
        <v>67.3</v>
      </c>
      <c r="N63" s="64">
        <v>327</v>
      </c>
      <c r="O63" s="64">
        <v>0</v>
      </c>
      <c r="P63" s="64">
        <v>0.31</v>
      </c>
      <c r="Q63" s="64">
        <v>9.61</v>
      </c>
      <c r="S63" s="198"/>
      <c r="T63" s="198"/>
      <c r="U63" s="198"/>
    </row>
    <row r="64" spans="1:21" s="12" customFormat="1" x14ac:dyDescent="0.25">
      <c r="A64" s="214" t="s">
        <v>2414</v>
      </c>
      <c r="B64" s="64">
        <v>4.24</v>
      </c>
      <c r="C64" s="64">
        <v>3.17</v>
      </c>
      <c r="D64" s="64">
        <v>7.25</v>
      </c>
      <c r="E64" s="64">
        <v>4.53</v>
      </c>
      <c r="F64" s="64">
        <v>6.73</v>
      </c>
      <c r="G64" s="64">
        <v>32.89</v>
      </c>
      <c r="H64" s="212" t="s">
        <v>42</v>
      </c>
      <c r="I64" s="64">
        <v>1.37</v>
      </c>
      <c r="J64" s="64">
        <v>1.1000000000000001</v>
      </c>
      <c r="K64" s="64">
        <v>112.94</v>
      </c>
      <c r="L64" s="64">
        <v>30.99</v>
      </c>
      <c r="M64" s="64">
        <v>67.38</v>
      </c>
      <c r="N64" s="64">
        <v>213.2</v>
      </c>
      <c r="O64" s="64">
        <v>0</v>
      </c>
      <c r="P64" s="64">
        <v>0.33</v>
      </c>
      <c r="Q64" s="64">
        <v>9.6199999999999992</v>
      </c>
      <c r="S64" s="198"/>
      <c r="T64" s="198"/>
      <c r="U64" s="198"/>
    </row>
    <row r="65" spans="1:21" s="12" customFormat="1" x14ac:dyDescent="0.25">
      <c r="A65" s="214" t="s">
        <v>2415</v>
      </c>
      <c r="B65" s="64">
        <v>4.22</v>
      </c>
      <c r="C65" s="64">
        <v>3.17</v>
      </c>
      <c r="D65" s="64">
        <v>7.23</v>
      </c>
      <c r="E65" s="64">
        <v>4.37</v>
      </c>
      <c r="F65" s="64">
        <v>7.05</v>
      </c>
      <c r="G65" s="64">
        <v>32.92</v>
      </c>
      <c r="H65" s="212" t="s">
        <v>42</v>
      </c>
      <c r="I65" s="64">
        <v>1.98</v>
      </c>
      <c r="J65" s="64">
        <v>1.18</v>
      </c>
      <c r="K65" s="64">
        <v>111.22</v>
      </c>
      <c r="L65" s="64">
        <v>30.99</v>
      </c>
      <c r="M65" s="64">
        <v>68.48</v>
      </c>
      <c r="N65" s="64">
        <v>188.3</v>
      </c>
      <c r="O65" s="64">
        <v>0</v>
      </c>
      <c r="P65" s="64">
        <v>0.35</v>
      </c>
      <c r="Q65" s="64">
        <v>9.6</v>
      </c>
      <c r="S65" s="198"/>
      <c r="T65" s="198"/>
      <c r="U65" s="198"/>
    </row>
    <row r="66" spans="1:21" s="12" customFormat="1" x14ac:dyDescent="0.25">
      <c r="A66" s="214" t="s">
        <v>2416</v>
      </c>
      <c r="B66" s="64">
        <v>4.21</v>
      </c>
      <c r="C66" s="64">
        <v>3.14</v>
      </c>
      <c r="D66" s="64">
        <v>7.21</v>
      </c>
      <c r="E66" s="64">
        <v>4.58</v>
      </c>
      <c r="F66" s="64">
        <v>13.68</v>
      </c>
      <c r="G66" s="64">
        <v>33.119999999999997</v>
      </c>
      <c r="H66" s="212" t="s">
        <v>42</v>
      </c>
      <c r="I66" s="64">
        <v>2.0299999999999998</v>
      </c>
      <c r="J66" s="64">
        <v>0.28999999999999998</v>
      </c>
      <c r="K66" s="64">
        <v>358.75</v>
      </c>
      <c r="L66" s="64">
        <v>31.69</v>
      </c>
      <c r="M66" s="64">
        <v>67.12</v>
      </c>
      <c r="N66" s="64">
        <v>194.2</v>
      </c>
      <c r="O66" s="64">
        <v>0</v>
      </c>
      <c r="P66" s="64">
        <v>0.44</v>
      </c>
      <c r="Q66" s="64">
        <v>9.59</v>
      </c>
      <c r="S66" s="198"/>
      <c r="T66" s="198"/>
      <c r="U66" s="198"/>
    </row>
    <row r="67" spans="1:21" s="12" customFormat="1" x14ac:dyDescent="0.25">
      <c r="A67" s="214" t="s">
        <v>2417</v>
      </c>
      <c r="B67" s="64">
        <v>4.2300000000000004</v>
      </c>
      <c r="C67" s="64">
        <v>3.28</v>
      </c>
      <c r="D67" s="64">
        <v>7.3</v>
      </c>
      <c r="E67" s="64">
        <v>4.95</v>
      </c>
      <c r="F67" s="64">
        <v>14.87</v>
      </c>
      <c r="G67" s="64">
        <v>33.119999999999997</v>
      </c>
      <c r="H67" s="212" t="s">
        <v>42</v>
      </c>
      <c r="I67" s="64">
        <v>1.84</v>
      </c>
      <c r="J67" s="64">
        <v>1.58</v>
      </c>
      <c r="K67" s="64">
        <v>112.6</v>
      </c>
      <c r="L67" s="64">
        <v>31.51</v>
      </c>
      <c r="M67" s="64">
        <v>64.040000000000006</v>
      </c>
      <c r="N67" s="64">
        <v>170.7</v>
      </c>
      <c r="O67" s="64">
        <v>0</v>
      </c>
      <c r="P67" s="64">
        <v>0.41</v>
      </c>
      <c r="Q67" s="64">
        <v>9.57</v>
      </c>
      <c r="S67" s="198"/>
      <c r="T67" s="198"/>
      <c r="U67" s="198"/>
    </row>
    <row r="68" spans="1:21" s="12" customFormat="1" x14ac:dyDescent="0.25">
      <c r="A68" s="214" t="s">
        <v>2418</v>
      </c>
      <c r="B68" s="64">
        <v>4.25</v>
      </c>
      <c r="C68" s="64">
        <v>3.2</v>
      </c>
      <c r="D68" s="64">
        <v>7.27</v>
      </c>
      <c r="E68" s="64">
        <v>4.37</v>
      </c>
      <c r="F68" s="64">
        <v>8.8000000000000007</v>
      </c>
      <c r="G68" s="64">
        <v>33.119999999999997</v>
      </c>
      <c r="H68" s="212" t="s">
        <v>42</v>
      </c>
      <c r="I68" s="64">
        <v>1.74</v>
      </c>
      <c r="J68" s="64">
        <v>0.42</v>
      </c>
      <c r="K68" s="64">
        <v>72.790000000000006</v>
      </c>
      <c r="L68" s="64">
        <v>31.6</v>
      </c>
      <c r="M68" s="64">
        <v>64.22</v>
      </c>
      <c r="N68" s="64">
        <v>180.2</v>
      </c>
      <c r="O68" s="64">
        <v>0</v>
      </c>
      <c r="P68" s="64">
        <v>0.42</v>
      </c>
      <c r="Q68" s="64">
        <v>9.56</v>
      </c>
      <c r="S68" s="198"/>
      <c r="T68" s="198"/>
      <c r="U68" s="198"/>
    </row>
    <row r="69" spans="1:21" s="12" customFormat="1" x14ac:dyDescent="0.25">
      <c r="A69" s="214" t="s">
        <v>2419</v>
      </c>
      <c r="B69" s="64">
        <v>4.2300000000000004</v>
      </c>
      <c r="C69" s="64">
        <v>3.14</v>
      </c>
      <c r="D69" s="64">
        <v>7.22</v>
      </c>
      <c r="E69" s="64">
        <v>4.33</v>
      </c>
      <c r="F69" s="64">
        <v>6.94</v>
      </c>
      <c r="G69" s="64">
        <v>35.159999999999997</v>
      </c>
      <c r="H69" s="212" t="s">
        <v>42</v>
      </c>
      <c r="I69" s="64">
        <v>1.73</v>
      </c>
      <c r="J69" s="64">
        <v>0.95</v>
      </c>
      <c r="K69" s="64">
        <v>110.92</v>
      </c>
      <c r="L69" s="64">
        <v>31.21</v>
      </c>
      <c r="M69" s="64">
        <v>67.13</v>
      </c>
      <c r="N69" s="64">
        <v>170.8</v>
      </c>
      <c r="O69" s="64">
        <v>0</v>
      </c>
      <c r="P69" s="64">
        <v>0.4</v>
      </c>
      <c r="Q69" s="64">
        <v>9.58</v>
      </c>
      <c r="S69" s="198"/>
      <c r="T69" s="198"/>
      <c r="U69" s="198"/>
    </row>
    <row r="70" spans="1:21" s="12" customFormat="1" x14ac:dyDescent="0.25">
      <c r="A70" s="214" t="s">
        <v>2420</v>
      </c>
      <c r="B70" s="64">
        <v>4.21</v>
      </c>
      <c r="C70" s="64">
        <v>3.13</v>
      </c>
      <c r="D70" s="64">
        <v>7.2</v>
      </c>
      <c r="E70" s="64">
        <v>4.62</v>
      </c>
      <c r="F70" s="64">
        <v>4.0999999999999996</v>
      </c>
      <c r="G70" s="64">
        <v>51.51</v>
      </c>
      <c r="H70" s="212" t="s">
        <v>42</v>
      </c>
      <c r="I70" s="64">
        <v>1.7</v>
      </c>
      <c r="J70" s="64">
        <v>0.44</v>
      </c>
      <c r="K70" s="64">
        <v>67.75</v>
      </c>
      <c r="L70" s="64">
        <v>31.46</v>
      </c>
      <c r="M70" s="64">
        <v>66.47</v>
      </c>
      <c r="N70" s="64">
        <v>158.9</v>
      </c>
      <c r="O70" s="64">
        <v>0</v>
      </c>
      <c r="P70" s="64">
        <v>0.46</v>
      </c>
      <c r="Q70" s="64">
        <v>9.6199999999999992</v>
      </c>
      <c r="S70" s="198"/>
      <c r="T70" s="198"/>
      <c r="U70" s="198"/>
    </row>
    <row r="71" spans="1:21" s="12" customFormat="1" x14ac:dyDescent="0.25">
      <c r="A71" s="214" t="s">
        <v>2421</v>
      </c>
      <c r="B71" s="64">
        <v>4.2</v>
      </c>
      <c r="C71" s="64">
        <v>3.17</v>
      </c>
      <c r="D71" s="64">
        <v>7.21</v>
      </c>
      <c r="E71" s="64">
        <v>4.72</v>
      </c>
      <c r="F71" s="64">
        <v>5.34</v>
      </c>
      <c r="G71" s="64">
        <v>51.51</v>
      </c>
      <c r="H71" s="212" t="s">
        <v>42</v>
      </c>
      <c r="I71" s="64">
        <v>2.34</v>
      </c>
      <c r="J71" s="64">
        <v>1.35</v>
      </c>
      <c r="K71" s="64">
        <v>119.13</v>
      </c>
      <c r="L71" s="64">
        <v>31.2</v>
      </c>
      <c r="M71" s="64">
        <v>67.5</v>
      </c>
      <c r="N71" s="64">
        <v>190</v>
      </c>
      <c r="O71" s="64">
        <v>0</v>
      </c>
      <c r="P71" s="64">
        <v>0.34</v>
      </c>
      <c r="Q71" s="64">
        <v>9.59</v>
      </c>
      <c r="S71" s="198"/>
      <c r="T71" s="198"/>
      <c r="U71" s="198"/>
    </row>
    <row r="72" spans="1:21" s="12" customFormat="1" x14ac:dyDescent="0.25">
      <c r="A72" s="214" t="s">
        <v>2422</v>
      </c>
      <c r="B72" s="64">
        <v>4.2300000000000004</v>
      </c>
      <c r="C72" s="64">
        <v>3.24</v>
      </c>
      <c r="D72" s="64">
        <v>7.28</v>
      </c>
      <c r="E72" s="64">
        <v>4.05</v>
      </c>
      <c r="F72" s="64">
        <v>6.7</v>
      </c>
      <c r="G72" s="64">
        <v>51.51</v>
      </c>
      <c r="H72" s="212" t="s">
        <v>42</v>
      </c>
      <c r="I72" s="64">
        <v>1.95</v>
      </c>
      <c r="J72" s="64">
        <v>0.74</v>
      </c>
      <c r="K72" s="64">
        <v>105.89</v>
      </c>
      <c r="L72" s="64">
        <v>31.3</v>
      </c>
      <c r="M72" s="64">
        <v>66.67</v>
      </c>
      <c r="N72" s="64">
        <v>214.7</v>
      </c>
      <c r="O72" s="64">
        <v>0</v>
      </c>
      <c r="P72" s="64">
        <v>0.39</v>
      </c>
      <c r="Q72" s="64">
        <v>9.6</v>
      </c>
      <c r="S72" s="198"/>
      <c r="T72" s="198"/>
      <c r="U72" s="198"/>
    </row>
    <row r="73" spans="1:21" s="12" customFormat="1" x14ac:dyDescent="0.25">
      <c r="A73" s="214" t="s">
        <v>2423</v>
      </c>
      <c r="B73" s="64">
        <v>4.25</v>
      </c>
      <c r="C73" s="64">
        <v>3.16</v>
      </c>
      <c r="D73" s="64">
        <v>7.25</v>
      </c>
      <c r="E73" s="64">
        <v>4.8099999999999996</v>
      </c>
      <c r="F73" s="64">
        <v>7.55</v>
      </c>
      <c r="G73" s="64">
        <v>49.25</v>
      </c>
      <c r="H73" s="212" t="s">
        <v>42</v>
      </c>
      <c r="I73" s="64">
        <v>1.4</v>
      </c>
      <c r="J73" s="64">
        <v>0.51</v>
      </c>
      <c r="K73" s="64">
        <v>350.19</v>
      </c>
      <c r="L73" s="64">
        <v>31.93</v>
      </c>
      <c r="M73" s="64">
        <v>67.349999999999994</v>
      </c>
      <c r="N73" s="64">
        <v>197</v>
      </c>
      <c r="O73" s="64">
        <v>0</v>
      </c>
      <c r="P73" s="64">
        <v>0.46</v>
      </c>
      <c r="Q73" s="64">
        <v>9.6</v>
      </c>
      <c r="S73" s="198"/>
      <c r="T73" s="198"/>
      <c r="U73" s="198"/>
    </row>
    <row r="74" spans="1:21" s="12" customFormat="1" x14ac:dyDescent="0.25">
      <c r="A74" s="214" t="s">
        <v>2424</v>
      </c>
      <c r="B74" s="64">
        <v>4.25</v>
      </c>
      <c r="C74" s="64">
        <v>3.16</v>
      </c>
      <c r="D74" s="64">
        <v>7.25</v>
      </c>
      <c r="E74" s="64">
        <v>4.96</v>
      </c>
      <c r="F74" s="64">
        <v>8.85</v>
      </c>
      <c r="G74" s="64">
        <v>31.14</v>
      </c>
      <c r="H74" s="212" t="s">
        <v>42</v>
      </c>
      <c r="I74" s="64">
        <v>1.2</v>
      </c>
      <c r="J74" s="64">
        <v>0.57999999999999996</v>
      </c>
      <c r="K74" s="64">
        <v>350.69</v>
      </c>
      <c r="L74" s="64">
        <v>31.37</v>
      </c>
      <c r="M74" s="64">
        <v>73.709999999999994</v>
      </c>
      <c r="N74" s="64">
        <v>135.19999999999999</v>
      </c>
      <c r="O74" s="64">
        <v>0</v>
      </c>
      <c r="P74" s="64">
        <v>0.48</v>
      </c>
      <c r="Q74" s="64">
        <v>9.5500000000000007</v>
      </c>
      <c r="S74" s="198"/>
      <c r="T74" s="198"/>
      <c r="U74" s="198"/>
    </row>
    <row r="75" spans="1:21" s="12" customFormat="1" x14ac:dyDescent="0.25">
      <c r="A75" s="214" t="s">
        <v>2425</v>
      </c>
      <c r="B75" s="64">
        <v>4.26</v>
      </c>
      <c r="C75" s="64">
        <v>3.21</v>
      </c>
      <c r="D75" s="64">
        <v>7.28</v>
      </c>
      <c r="E75" s="64">
        <v>4.8899999999999997</v>
      </c>
      <c r="F75" s="64">
        <v>6.5</v>
      </c>
      <c r="G75" s="64">
        <v>31.14</v>
      </c>
      <c r="H75" s="212" t="s">
        <v>42</v>
      </c>
      <c r="I75" s="64">
        <v>2.1800000000000002</v>
      </c>
      <c r="J75" s="64">
        <v>0.5</v>
      </c>
      <c r="K75" s="64">
        <v>1.86</v>
      </c>
      <c r="L75" s="64">
        <v>31.21</v>
      </c>
      <c r="M75" s="64">
        <v>74.069999999999993</v>
      </c>
      <c r="N75" s="64">
        <v>102</v>
      </c>
      <c r="O75" s="64">
        <v>0</v>
      </c>
      <c r="P75" s="64">
        <v>0.55000000000000004</v>
      </c>
      <c r="Q75" s="64">
        <v>9.57</v>
      </c>
      <c r="S75" s="198"/>
      <c r="T75" s="198"/>
      <c r="U75" s="198"/>
    </row>
    <row r="76" spans="1:21" s="12" customFormat="1" x14ac:dyDescent="0.25">
      <c r="A76" s="214" t="s">
        <v>2426</v>
      </c>
      <c r="B76" s="64">
        <v>4.25</v>
      </c>
      <c r="C76" s="64">
        <v>3.26</v>
      </c>
      <c r="D76" s="64">
        <v>7.3</v>
      </c>
      <c r="E76" s="64">
        <v>4.76</v>
      </c>
      <c r="F76" s="64">
        <v>7.92</v>
      </c>
      <c r="G76" s="64">
        <v>31.14</v>
      </c>
      <c r="H76" s="212" t="s">
        <v>42</v>
      </c>
      <c r="I76" s="64">
        <v>2.94</v>
      </c>
      <c r="J76" s="64">
        <v>0.52</v>
      </c>
      <c r="K76" s="64">
        <v>345.05</v>
      </c>
      <c r="L76" s="64">
        <v>30.79</v>
      </c>
      <c r="M76" s="64">
        <v>76.66</v>
      </c>
      <c r="N76" s="64">
        <v>81.599999999999994</v>
      </c>
      <c r="O76" s="64">
        <v>0</v>
      </c>
      <c r="P76" s="64">
        <v>0.67</v>
      </c>
      <c r="Q76" s="64">
        <v>9.59</v>
      </c>
      <c r="S76" s="198"/>
      <c r="T76" s="198"/>
      <c r="U76" s="198"/>
    </row>
    <row r="77" spans="1:21" s="12" customFormat="1" x14ac:dyDescent="0.25">
      <c r="A77" s="214" t="s">
        <v>2427</v>
      </c>
      <c r="B77" s="64">
        <v>4.2300000000000004</v>
      </c>
      <c r="C77" s="64">
        <v>3.25</v>
      </c>
      <c r="D77" s="64">
        <v>7.28</v>
      </c>
      <c r="E77" s="64">
        <v>4.55</v>
      </c>
      <c r="F77" s="64">
        <v>6.75</v>
      </c>
      <c r="G77" s="64">
        <v>30.67</v>
      </c>
      <c r="H77" s="212" t="s">
        <v>42</v>
      </c>
      <c r="I77" s="64">
        <v>2.66</v>
      </c>
      <c r="J77" s="64">
        <v>0.4</v>
      </c>
      <c r="K77" s="64">
        <v>358.78</v>
      </c>
      <c r="L77" s="64">
        <v>30.36</v>
      </c>
      <c r="M77" s="64">
        <v>79.38</v>
      </c>
      <c r="N77" s="64">
        <v>63.9</v>
      </c>
      <c r="O77" s="64">
        <v>0</v>
      </c>
      <c r="P77" s="64">
        <v>0.61</v>
      </c>
      <c r="Q77" s="64">
        <v>9.6</v>
      </c>
      <c r="S77" s="198"/>
      <c r="T77" s="198"/>
      <c r="U77" s="198"/>
    </row>
    <row r="78" spans="1:21" s="12" customFormat="1" x14ac:dyDescent="0.25">
      <c r="A78" s="214" t="s">
        <v>2428</v>
      </c>
      <c r="B78" s="64">
        <v>4.22</v>
      </c>
      <c r="C78" s="64">
        <v>3.21</v>
      </c>
      <c r="D78" s="64">
        <v>7.25</v>
      </c>
      <c r="E78" s="64">
        <v>4.79</v>
      </c>
      <c r="F78" s="64">
        <v>7.73</v>
      </c>
      <c r="G78" s="212" t="s">
        <v>42</v>
      </c>
      <c r="H78" s="212" t="s">
        <v>42</v>
      </c>
      <c r="I78" s="64">
        <v>2.46</v>
      </c>
      <c r="J78" s="64">
        <v>0.48</v>
      </c>
      <c r="K78" s="64">
        <v>357.31</v>
      </c>
      <c r="L78" s="64">
        <v>29.25</v>
      </c>
      <c r="M78" s="64">
        <v>87.8</v>
      </c>
      <c r="N78" s="64">
        <v>46.8</v>
      </c>
      <c r="O78" s="64">
        <v>0</v>
      </c>
      <c r="P78" s="64">
        <v>0.64</v>
      </c>
      <c r="Q78" s="64">
        <v>9.6</v>
      </c>
      <c r="S78" s="198"/>
      <c r="T78" s="198"/>
      <c r="U78" s="198"/>
    </row>
    <row r="79" spans="1:21" s="12" customFormat="1" x14ac:dyDescent="0.25">
      <c r="A79" s="214" t="s">
        <v>2429</v>
      </c>
      <c r="B79" s="64">
        <v>4.24</v>
      </c>
      <c r="C79" s="64">
        <v>3.23</v>
      </c>
      <c r="D79" s="64">
        <v>7.28</v>
      </c>
      <c r="E79" s="64">
        <v>4.4000000000000004</v>
      </c>
      <c r="F79" s="64">
        <v>6.3</v>
      </c>
      <c r="G79" s="212" t="s">
        <v>42</v>
      </c>
      <c r="H79" s="212" t="s">
        <v>42</v>
      </c>
      <c r="I79" s="64">
        <v>2.4900000000000002</v>
      </c>
      <c r="J79" s="64">
        <v>0.49</v>
      </c>
      <c r="K79" s="64">
        <v>345.59</v>
      </c>
      <c r="L79" s="64">
        <v>28.81</v>
      </c>
      <c r="M79" s="64">
        <v>90.86</v>
      </c>
      <c r="N79" s="64">
        <v>37.200000000000003</v>
      </c>
      <c r="O79" s="64">
        <v>0</v>
      </c>
      <c r="P79" s="64">
        <v>0.89</v>
      </c>
      <c r="Q79" s="64">
        <v>9.58</v>
      </c>
      <c r="S79" s="198"/>
      <c r="T79" s="198"/>
      <c r="U79" s="198"/>
    </row>
    <row r="80" spans="1:21" s="12" customFormat="1" x14ac:dyDescent="0.25">
      <c r="A80" s="214" t="s">
        <v>2430</v>
      </c>
      <c r="B80" s="64">
        <v>4.24</v>
      </c>
      <c r="C80" s="64">
        <v>3.23</v>
      </c>
      <c r="D80" s="64">
        <v>7.28</v>
      </c>
      <c r="E80" s="64">
        <v>4.5</v>
      </c>
      <c r="F80" s="64">
        <v>5.8</v>
      </c>
      <c r="G80" s="212" t="s">
        <v>42</v>
      </c>
      <c r="H80" s="212" t="s">
        <v>42</v>
      </c>
      <c r="I80" s="64">
        <v>3.06</v>
      </c>
      <c r="J80" s="64">
        <v>0.13</v>
      </c>
      <c r="K80" s="64">
        <v>144.61000000000001</v>
      </c>
      <c r="L80" s="64">
        <v>28.64</v>
      </c>
      <c r="M80" s="64">
        <v>90.68</v>
      </c>
      <c r="N80" s="64">
        <v>29.7</v>
      </c>
      <c r="O80" s="64">
        <v>0</v>
      </c>
      <c r="P80" s="64">
        <v>0.66</v>
      </c>
      <c r="Q80" s="64">
        <v>9.61</v>
      </c>
      <c r="S80" s="198"/>
      <c r="T80" s="198"/>
      <c r="U80" s="198"/>
    </row>
    <row r="81" spans="1:26" s="12" customFormat="1" x14ac:dyDescent="0.25">
      <c r="A81" s="214" t="s">
        <v>2431</v>
      </c>
      <c r="B81" s="64">
        <v>4.21</v>
      </c>
      <c r="C81" s="64">
        <v>3.19</v>
      </c>
      <c r="D81" s="64">
        <v>7.23</v>
      </c>
      <c r="E81" s="64">
        <v>5.16</v>
      </c>
      <c r="F81" s="64">
        <v>3.91</v>
      </c>
      <c r="G81" s="64">
        <v>32.82</v>
      </c>
      <c r="H81" s="212" t="s">
        <v>42</v>
      </c>
      <c r="I81" s="64">
        <v>3.4</v>
      </c>
      <c r="J81" s="64">
        <v>0.19</v>
      </c>
      <c r="K81" s="64">
        <v>34.47</v>
      </c>
      <c r="L81" s="64">
        <v>28.53</v>
      </c>
      <c r="M81" s="64">
        <v>92.08</v>
      </c>
      <c r="N81" s="64">
        <v>27</v>
      </c>
      <c r="O81" s="64">
        <v>0</v>
      </c>
      <c r="P81" s="64">
        <v>0.59</v>
      </c>
      <c r="Q81" s="64">
        <v>9.56</v>
      </c>
      <c r="S81" s="198"/>
      <c r="T81" s="198"/>
      <c r="U81" s="198"/>
    </row>
    <row r="82" spans="1:26" s="12" customFormat="1" x14ac:dyDescent="0.25">
      <c r="A82" s="214" t="s">
        <v>2432</v>
      </c>
      <c r="B82" s="64">
        <v>4.1900000000000004</v>
      </c>
      <c r="C82" s="64">
        <v>3.19</v>
      </c>
      <c r="D82" s="64">
        <v>7.22</v>
      </c>
      <c r="E82" s="64">
        <v>4.66</v>
      </c>
      <c r="F82" s="64">
        <v>4.12</v>
      </c>
      <c r="G82" s="64">
        <v>118.16</v>
      </c>
      <c r="H82" s="212" t="s">
        <v>42</v>
      </c>
      <c r="I82" s="64">
        <v>3.13</v>
      </c>
      <c r="J82" s="64">
        <v>0.31</v>
      </c>
      <c r="K82" s="64">
        <v>25.36</v>
      </c>
      <c r="L82" s="64">
        <v>28.49</v>
      </c>
      <c r="M82" s="64">
        <v>91.47</v>
      </c>
      <c r="N82" s="64">
        <v>26.4</v>
      </c>
      <c r="O82" s="64">
        <v>0</v>
      </c>
      <c r="P82" s="64">
        <v>0.6</v>
      </c>
      <c r="Q82" s="64">
        <v>9.5500000000000007</v>
      </c>
      <c r="S82" s="198"/>
      <c r="T82" s="198"/>
      <c r="U82" s="198"/>
    </row>
    <row r="83" spans="1:26" s="12" customFormat="1" x14ac:dyDescent="0.25">
      <c r="A83" s="214" t="s">
        <v>2433</v>
      </c>
      <c r="B83" s="64">
        <v>4.2</v>
      </c>
      <c r="C83" s="64">
        <v>3.19</v>
      </c>
      <c r="D83" s="64">
        <v>7.22</v>
      </c>
      <c r="E83" s="64">
        <v>4.79</v>
      </c>
      <c r="F83" s="64">
        <v>5.64</v>
      </c>
      <c r="G83" s="64">
        <v>118.16</v>
      </c>
      <c r="H83" s="212" t="s">
        <v>42</v>
      </c>
      <c r="I83" s="64">
        <v>2.66</v>
      </c>
      <c r="J83" s="64">
        <v>0.89</v>
      </c>
      <c r="K83" s="64">
        <v>338.59</v>
      </c>
      <c r="L83" s="64">
        <v>28.54</v>
      </c>
      <c r="M83" s="64">
        <v>91.45</v>
      </c>
      <c r="N83" s="64">
        <v>28.2</v>
      </c>
      <c r="O83" s="64">
        <v>0.4</v>
      </c>
      <c r="P83" s="64">
        <v>0.61</v>
      </c>
      <c r="Q83" s="64">
        <v>9.6199999999999992</v>
      </c>
      <c r="S83" s="198"/>
      <c r="T83" s="198"/>
      <c r="U83" s="198"/>
    </row>
    <row r="84" spans="1:26" s="12" customFormat="1" x14ac:dyDescent="0.25">
      <c r="A84" s="214" t="s">
        <v>2434</v>
      </c>
      <c r="B84" s="64">
        <v>4.2</v>
      </c>
      <c r="C84" s="64">
        <v>3.15</v>
      </c>
      <c r="D84" s="64">
        <v>7.2</v>
      </c>
      <c r="E84" s="64">
        <v>4.75</v>
      </c>
      <c r="F84" s="64">
        <v>3.06</v>
      </c>
      <c r="G84" s="64">
        <v>118.16</v>
      </c>
      <c r="H84" s="212" t="s">
        <v>42</v>
      </c>
      <c r="I84" s="64">
        <v>2.82</v>
      </c>
      <c r="J84" s="64">
        <v>0.2</v>
      </c>
      <c r="K84" s="64">
        <v>38.700000000000003</v>
      </c>
      <c r="L84" s="64">
        <v>26.55</v>
      </c>
      <c r="M84" s="64">
        <v>101.42</v>
      </c>
      <c r="N84" s="64">
        <v>28.2</v>
      </c>
      <c r="O84" s="64">
        <v>0.4</v>
      </c>
      <c r="P84" s="64">
        <v>0.55000000000000004</v>
      </c>
      <c r="Q84" s="64">
        <v>9.6199999999999992</v>
      </c>
      <c r="S84" s="198"/>
      <c r="T84" s="198"/>
      <c r="U84" s="198"/>
    </row>
    <row r="85" spans="1:26" s="12" customFormat="1" x14ac:dyDescent="0.25">
      <c r="A85" s="214" t="s">
        <v>2435</v>
      </c>
      <c r="B85" s="64">
        <v>4.2</v>
      </c>
      <c r="C85" s="64">
        <v>3.19</v>
      </c>
      <c r="D85" s="64">
        <v>7.23</v>
      </c>
      <c r="E85" s="64">
        <v>4.6900000000000004</v>
      </c>
      <c r="F85" s="64">
        <v>6.86</v>
      </c>
      <c r="G85" s="64">
        <v>111.93</v>
      </c>
      <c r="H85" s="64">
        <v>92.9</v>
      </c>
      <c r="I85" s="64">
        <v>3.22</v>
      </c>
      <c r="J85" s="64">
        <v>0.02</v>
      </c>
      <c r="K85" s="64">
        <v>197.38</v>
      </c>
      <c r="L85" s="64">
        <v>26.14</v>
      </c>
      <c r="M85" s="64">
        <v>101.94</v>
      </c>
      <c r="N85" s="64">
        <v>26.6</v>
      </c>
      <c r="O85" s="64">
        <v>0</v>
      </c>
      <c r="P85" s="64">
        <v>0.51</v>
      </c>
      <c r="Q85" s="64">
        <v>9.61</v>
      </c>
      <c r="S85" s="198"/>
      <c r="T85" s="198"/>
      <c r="U85" s="198"/>
    </row>
    <row r="86" spans="1:26" s="12" customFormat="1" x14ac:dyDescent="0.25">
      <c r="A86" s="214" t="s">
        <v>2436</v>
      </c>
      <c r="B86" s="64">
        <v>4.1900000000000004</v>
      </c>
      <c r="C86" s="64">
        <v>3.19</v>
      </c>
      <c r="D86" s="64">
        <v>7.22</v>
      </c>
      <c r="E86" s="64">
        <v>4.68</v>
      </c>
      <c r="F86" s="64">
        <v>5.51</v>
      </c>
      <c r="G86" s="64">
        <v>95.73</v>
      </c>
      <c r="H86" s="64">
        <v>40.68</v>
      </c>
      <c r="I86" s="64">
        <v>2.25</v>
      </c>
      <c r="J86" s="64">
        <v>0.6</v>
      </c>
      <c r="K86" s="64">
        <v>14.12</v>
      </c>
      <c r="L86" s="64">
        <v>25.86</v>
      </c>
      <c r="M86" s="64">
        <v>101.94</v>
      </c>
      <c r="N86" s="64">
        <v>27.8</v>
      </c>
      <c r="O86" s="64">
        <v>0</v>
      </c>
      <c r="P86" s="64">
        <v>0.6</v>
      </c>
      <c r="Q86" s="64">
        <v>9.6300000000000008</v>
      </c>
      <c r="S86" s="198"/>
      <c r="T86" s="198"/>
      <c r="U86" s="198"/>
    </row>
    <row r="87" spans="1:26" s="12" customFormat="1" x14ac:dyDescent="0.25">
      <c r="A87" s="214" t="s">
        <v>2437</v>
      </c>
      <c r="B87" s="64">
        <v>4.18</v>
      </c>
      <c r="C87" s="64">
        <v>3.18</v>
      </c>
      <c r="D87" s="64">
        <v>7.21</v>
      </c>
      <c r="E87" s="64">
        <v>4.58</v>
      </c>
      <c r="F87" s="64">
        <v>3.09</v>
      </c>
      <c r="G87" s="64">
        <v>95.73</v>
      </c>
      <c r="H87" s="64">
        <v>40.68</v>
      </c>
      <c r="I87" s="64">
        <v>2.17</v>
      </c>
      <c r="J87" s="64">
        <v>0.48</v>
      </c>
      <c r="K87" s="64">
        <v>348.51</v>
      </c>
      <c r="L87" s="64">
        <v>25.73</v>
      </c>
      <c r="M87" s="64">
        <v>101.95</v>
      </c>
      <c r="N87" s="64">
        <v>27.3</v>
      </c>
      <c r="O87" s="64">
        <v>0</v>
      </c>
      <c r="P87" s="64">
        <v>0.62</v>
      </c>
      <c r="Q87" s="64">
        <v>9.6</v>
      </c>
      <c r="S87" s="198"/>
      <c r="T87" s="198"/>
      <c r="U87" s="198"/>
    </row>
    <row r="88" spans="1:26" s="12" customFormat="1" x14ac:dyDescent="0.25">
      <c r="A88" s="214" t="s">
        <v>2438</v>
      </c>
      <c r="B88" s="64">
        <v>4.2</v>
      </c>
      <c r="C88" s="64">
        <v>3.13</v>
      </c>
      <c r="D88" s="64">
        <v>7.19</v>
      </c>
      <c r="E88" s="64">
        <v>4.82</v>
      </c>
      <c r="F88" s="64">
        <v>4.68</v>
      </c>
      <c r="G88" s="64">
        <v>95.73</v>
      </c>
      <c r="H88" s="64">
        <v>40.68</v>
      </c>
      <c r="I88" s="64">
        <v>3.24</v>
      </c>
      <c r="J88" s="64">
        <v>0.06</v>
      </c>
      <c r="K88" s="64">
        <v>88.26</v>
      </c>
      <c r="L88" s="64">
        <v>25.54</v>
      </c>
      <c r="M88" s="64">
        <v>100.72</v>
      </c>
      <c r="N88" s="64">
        <v>27.9</v>
      </c>
      <c r="O88" s="64">
        <v>0</v>
      </c>
      <c r="P88" s="64">
        <v>0.6</v>
      </c>
      <c r="Q88" s="64">
        <v>9.6</v>
      </c>
      <c r="S88" s="198"/>
      <c r="T88" s="198"/>
      <c r="U88" s="198"/>
    </row>
    <row r="89" spans="1:26" s="12" customFormat="1" x14ac:dyDescent="0.25">
      <c r="A89" s="214" t="s">
        <v>2439</v>
      </c>
      <c r="B89" s="64">
        <v>4.21</v>
      </c>
      <c r="C89" s="64">
        <v>3.11</v>
      </c>
      <c r="D89" s="64">
        <v>7.19</v>
      </c>
      <c r="E89" s="64">
        <v>4.16</v>
      </c>
      <c r="F89" s="64">
        <v>3.82</v>
      </c>
      <c r="G89" s="64">
        <v>86.47</v>
      </c>
      <c r="H89" s="64">
        <v>27.29</v>
      </c>
      <c r="I89" s="64">
        <v>2.98</v>
      </c>
      <c r="J89" s="64">
        <v>0.38</v>
      </c>
      <c r="K89" s="64">
        <v>6.55</v>
      </c>
      <c r="L89" s="64">
        <v>25.23</v>
      </c>
      <c r="M89" s="64">
        <v>101.1</v>
      </c>
      <c r="N89" s="64">
        <v>27.3</v>
      </c>
      <c r="O89" s="64">
        <v>0</v>
      </c>
      <c r="P89" s="64">
        <v>0.68</v>
      </c>
      <c r="Q89" s="64">
        <v>9.65</v>
      </c>
      <c r="S89" s="198"/>
      <c r="T89" s="198"/>
      <c r="U89" s="198"/>
    </row>
    <row r="90" spans="1:26" s="12" customFormat="1" x14ac:dyDescent="0.25">
      <c r="A90" s="214" t="s">
        <v>2440</v>
      </c>
      <c r="B90" s="64">
        <v>4.25</v>
      </c>
      <c r="C90" s="64">
        <v>3.19</v>
      </c>
      <c r="D90" s="64">
        <v>7.27</v>
      </c>
      <c r="E90" s="64">
        <v>4.28</v>
      </c>
      <c r="F90" s="64">
        <v>4.18</v>
      </c>
      <c r="G90" s="64">
        <v>62.39</v>
      </c>
      <c r="H90" s="64">
        <v>4.79</v>
      </c>
      <c r="I90" s="64">
        <v>2.37</v>
      </c>
      <c r="J90" s="64">
        <v>0.48</v>
      </c>
      <c r="K90" s="64">
        <v>93.28</v>
      </c>
      <c r="L90" s="64">
        <v>25.12</v>
      </c>
      <c r="M90" s="64">
        <v>101.92</v>
      </c>
      <c r="N90" s="64">
        <v>27.1</v>
      </c>
      <c r="O90" s="64">
        <v>0</v>
      </c>
      <c r="P90" s="64">
        <v>0.67</v>
      </c>
      <c r="Q90" s="64">
        <v>9.6300000000000008</v>
      </c>
      <c r="S90" s="198"/>
      <c r="T90" s="198"/>
      <c r="U90" s="198"/>
    </row>
    <row r="91" spans="1:26" s="12" customFormat="1" x14ac:dyDescent="0.25">
      <c r="A91" s="214" t="s">
        <v>2441</v>
      </c>
      <c r="B91" s="64">
        <v>4.28</v>
      </c>
      <c r="C91" s="64">
        <v>3.28</v>
      </c>
      <c r="D91" s="64">
        <v>7.34</v>
      </c>
      <c r="E91" s="64">
        <v>3.96</v>
      </c>
      <c r="F91" s="64">
        <v>4.1500000000000004</v>
      </c>
      <c r="G91" s="64">
        <v>62.39</v>
      </c>
      <c r="H91" s="64">
        <v>4.79</v>
      </c>
      <c r="I91" s="64">
        <v>2.29</v>
      </c>
      <c r="J91" s="64">
        <v>0.13</v>
      </c>
      <c r="K91" s="64">
        <v>183.29</v>
      </c>
      <c r="L91" s="64">
        <v>25.26</v>
      </c>
      <c r="M91" s="64">
        <v>101.86</v>
      </c>
      <c r="N91" s="64">
        <v>26.8</v>
      </c>
      <c r="O91" s="64">
        <v>0</v>
      </c>
      <c r="P91" s="64">
        <v>0.8</v>
      </c>
      <c r="Q91" s="64">
        <v>9.66</v>
      </c>
      <c r="S91" s="198"/>
      <c r="T91" s="198"/>
      <c r="U91" s="198"/>
    </row>
    <row r="92" spans="1:26" s="12" customFormat="1" x14ac:dyDescent="0.25">
      <c r="A92" s="214" t="s">
        <v>2442</v>
      </c>
      <c r="B92" s="64">
        <v>4.29</v>
      </c>
      <c r="C92" s="64">
        <v>3.25</v>
      </c>
      <c r="D92" s="64">
        <v>7.33</v>
      </c>
      <c r="E92" s="64">
        <v>4.0199999999999996</v>
      </c>
      <c r="F92" s="64">
        <v>4.33</v>
      </c>
      <c r="G92" s="64">
        <v>62.39</v>
      </c>
      <c r="H92" s="64">
        <v>4.79</v>
      </c>
      <c r="I92" s="64">
        <v>2.06</v>
      </c>
      <c r="J92" s="64">
        <v>0.48</v>
      </c>
      <c r="K92" s="64">
        <v>332.78</v>
      </c>
      <c r="L92" s="64">
        <v>25.39</v>
      </c>
      <c r="M92" s="64">
        <v>101.94</v>
      </c>
      <c r="N92" s="64">
        <v>26.3</v>
      </c>
      <c r="O92" s="64">
        <v>0</v>
      </c>
      <c r="P92" s="64">
        <v>1.01</v>
      </c>
      <c r="Q92" s="64">
        <v>9.67</v>
      </c>
      <c r="S92" s="198"/>
      <c r="T92" s="198"/>
      <c r="U92" s="198"/>
    </row>
    <row r="93" spans="1:26" s="12" customFormat="1" x14ac:dyDescent="0.25">
      <c r="A93" s="214" t="s">
        <v>2443</v>
      </c>
      <c r="B93" s="64">
        <v>4.26</v>
      </c>
      <c r="C93" s="64">
        <v>3.14</v>
      </c>
      <c r="D93" s="64">
        <v>7.25</v>
      </c>
      <c r="E93" s="64">
        <v>4.3099999999999996</v>
      </c>
      <c r="F93" s="64">
        <v>4.01</v>
      </c>
      <c r="G93" s="64">
        <v>60.14</v>
      </c>
      <c r="H93" s="64">
        <v>9.33</v>
      </c>
      <c r="I93" s="64">
        <v>2.27</v>
      </c>
      <c r="J93" s="64">
        <v>0.21</v>
      </c>
      <c r="K93" s="64">
        <v>3.33</v>
      </c>
      <c r="L93" s="64">
        <v>25.5</v>
      </c>
      <c r="M93" s="64">
        <v>101.92</v>
      </c>
      <c r="N93" s="64">
        <v>26.8</v>
      </c>
      <c r="O93" s="64">
        <v>0</v>
      </c>
      <c r="P93" s="64">
        <v>1.3</v>
      </c>
      <c r="Q93" s="64">
        <v>9.69</v>
      </c>
      <c r="S93" s="198"/>
      <c r="T93" s="198"/>
      <c r="U93" s="198"/>
    </row>
    <row r="94" spans="1:26" s="12" customFormat="1" x14ac:dyDescent="0.25">
      <c r="A94" s="214" t="s">
        <v>2444</v>
      </c>
      <c r="B94" s="64">
        <v>4.24</v>
      </c>
      <c r="C94" s="64">
        <v>3.11</v>
      </c>
      <c r="D94" s="64">
        <v>7.22</v>
      </c>
      <c r="E94" s="64">
        <v>4.29</v>
      </c>
      <c r="F94" s="64">
        <v>4.09</v>
      </c>
      <c r="G94" s="64">
        <v>54.29</v>
      </c>
      <c r="H94" s="64">
        <v>26.69</v>
      </c>
      <c r="I94" s="64">
        <v>3.14</v>
      </c>
      <c r="J94" s="64">
        <v>0.25</v>
      </c>
      <c r="K94" s="64">
        <v>351.3</v>
      </c>
      <c r="L94" s="64">
        <v>25.5</v>
      </c>
      <c r="M94" s="64">
        <v>101.75</v>
      </c>
      <c r="N94" s="64">
        <v>26.7</v>
      </c>
      <c r="O94" s="64">
        <v>0</v>
      </c>
      <c r="P94" s="64">
        <v>1.06</v>
      </c>
      <c r="Q94" s="64">
        <v>9.74</v>
      </c>
      <c r="S94" s="198"/>
      <c r="T94" s="198"/>
      <c r="U94" s="198"/>
    </row>
    <row r="95" spans="1:26" s="12" customFormat="1" x14ac:dyDescent="0.25">
      <c r="A95" s="214" t="s">
        <v>2445</v>
      </c>
      <c r="B95" s="64">
        <v>4.25</v>
      </c>
      <c r="C95" s="64">
        <v>3.13</v>
      </c>
      <c r="D95" s="64">
        <v>7.23</v>
      </c>
      <c r="E95" s="64">
        <v>4.6100000000000003</v>
      </c>
      <c r="F95" s="64">
        <v>4.1399999999999997</v>
      </c>
      <c r="G95" s="64">
        <v>54.29</v>
      </c>
      <c r="H95" s="64">
        <v>26.69</v>
      </c>
      <c r="I95" s="64">
        <v>3.35</v>
      </c>
      <c r="J95" s="64">
        <v>0.61</v>
      </c>
      <c r="K95" s="64">
        <v>334.2</v>
      </c>
      <c r="L95" s="64">
        <v>25.61</v>
      </c>
      <c r="M95" s="64">
        <v>99.93</v>
      </c>
      <c r="N95" s="64">
        <v>26.9</v>
      </c>
      <c r="O95" s="64">
        <v>0</v>
      </c>
      <c r="P95" s="64">
        <v>1.23</v>
      </c>
      <c r="Q95" s="64">
        <v>9.75</v>
      </c>
      <c r="S95" s="198"/>
      <c r="T95" s="198"/>
      <c r="U95" s="198"/>
    </row>
    <row r="96" spans="1:26" s="12" customFormat="1" x14ac:dyDescent="0.25">
      <c r="A96" s="214" t="s">
        <v>2446</v>
      </c>
      <c r="B96" s="64">
        <v>4.25</v>
      </c>
      <c r="C96" s="64">
        <v>3.12</v>
      </c>
      <c r="D96" s="64">
        <v>7.23</v>
      </c>
      <c r="E96" s="64">
        <v>4.2300000000000004</v>
      </c>
      <c r="F96" s="64">
        <v>3.77</v>
      </c>
      <c r="G96" s="64">
        <v>54.29</v>
      </c>
      <c r="H96" s="64">
        <v>26.69</v>
      </c>
      <c r="I96" s="64">
        <v>3.37</v>
      </c>
      <c r="J96" s="64">
        <v>0.26</v>
      </c>
      <c r="K96" s="64">
        <v>249.41</v>
      </c>
      <c r="L96" s="64">
        <v>25.68</v>
      </c>
      <c r="M96" s="64">
        <v>98.7</v>
      </c>
      <c r="N96" s="64">
        <v>27.2</v>
      </c>
      <c r="O96" s="64">
        <v>0</v>
      </c>
      <c r="P96" s="64">
        <v>0.89</v>
      </c>
      <c r="Q96" s="64">
        <v>9.7799999999999994</v>
      </c>
      <c r="S96" s="198"/>
      <c r="T96" s="198"/>
      <c r="U96" s="198"/>
      <c r="Z96" s="109"/>
    </row>
    <row r="97" spans="1:33" s="12" customFormat="1" x14ac:dyDescent="0.25">
      <c r="A97" s="214" t="s">
        <v>2447</v>
      </c>
      <c r="B97" s="64">
        <v>4.22</v>
      </c>
      <c r="C97" s="64">
        <v>3.17</v>
      </c>
      <c r="D97" s="64">
        <v>7.23</v>
      </c>
      <c r="E97" s="64">
        <v>4.68</v>
      </c>
      <c r="F97" s="64">
        <v>4.45</v>
      </c>
      <c r="G97" s="64">
        <v>52.68</v>
      </c>
      <c r="H97" s="64">
        <v>26.08</v>
      </c>
      <c r="I97" s="64">
        <v>3.37</v>
      </c>
      <c r="J97" s="64">
        <v>0.38</v>
      </c>
      <c r="K97" s="64">
        <v>154.85</v>
      </c>
      <c r="L97" s="64">
        <v>25.38</v>
      </c>
      <c r="M97" s="64">
        <v>101.81</v>
      </c>
      <c r="N97" s="64">
        <v>27.3</v>
      </c>
      <c r="O97" s="64">
        <v>0</v>
      </c>
      <c r="P97" s="64">
        <v>0.74</v>
      </c>
      <c r="Q97" s="64">
        <v>9.83</v>
      </c>
      <c r="S97" s="198"/>
      <c r="T97" s="198"/>
      <c r="U97" s="198"/>
    </row>
    <row r="98" spans="1:33" s="12" customFormat="1" x14ac:dyDescent="0.25">
      <c r="A98" s="214" t="s">
        <v>2448</v>
      </c>
      <c r="B98" s="64">
        <v>4.2300000000000004</v>
      </c>
      <c r="C98" s="64">
        <v>3.19</v>
      </c>
      <c r="D98" s="64">
        <v>7.25</v>
      </c>
      <c r="E98" s="64">
        <v>4.54</v>
      </c>
      <c r="F98" s="64">
        <v>3.29</v>
      </c>
      <c r="G98" s="64">
        <v>48.49</v>
      </c>
      <c r="H98" s="64">
        <v>25.06</v>
      </c>
      <c r="I98" s="64">
        <v>3.99</v>
      </c>
      <c r="J98" s="64">
        <v>0.11</v>
      </c>
      <c r="K98" s="64">
        <v>159.94999999999999</v>
      </c>
      <c r="L98" s="64">
        <v>25</v>
      </c>
      <c r="M98" s="64">
        <v>101.9</v>
      </c>
      <c r="N98" s="64">
        <v>26.8</v>
      </c>
      <c r="O98" s="64">
        <v>0</v>
      </c>
      <c r="P98" s="64">
        <v>0.6</v>
      </c>
      <c r="Q98" s="64">
        <v>9.81</v>
      </c>
      <c r="S98" s="198"/>
      <c r="T98" s="198"/>
      <c r="U98" s="198"/>
    </row>
    <row r="99" spans="1:33" s="12" customFormat="1" x14ac:dyDescent="0.25">
      <c r="A99" s="214" t="s">
        <v>2449</v>
      </c>
      <c r="B99" s="64">
        <v>4.26</v>
      </c>
      <c r="C99" s="64">
        <v>3.26</v>
      </c>
      <c r="D99" s="64">
        <v>7.31</v>
      </c>
      <c r="E99" s="64">
        <v>4.3099999999999996</v>
      </c>
      <c r="F99" s="64">
        <v>4.5599999999999996</v>
      </c>
      <c r="G99" s="64">
        <v>48.49</v>
      </c>
      <c r="H99" s="64">
        <v>25.06</v>
      </c>
      <c r="I99" s="64">
        <v>4.4000000000000004</v>
      </c>
      <c r="J99" s="64">
        <v>0.43</v>
      </c>
      <c r="K99" s="64">
        <v>7.49</v>
      </c>
      <c r="L99" s="64">
        <v>24.81</v>
      </c>
      <c r="M99" s="64">
        <v>101.91</v>
      </c>
      <c r="N99" s="64">
        <v>26.5</v>
      </c>
      <c r="O99" s="64">
        <v>0</v>
      </c>
      <c r="P99" s="64">
        <v>0.67</v>
      </c>
      <c r="Q99" s="64">
        <v>9.8000000000000007</v>
      </c>
      <c r="S99" s="198"/>
      <c r="T99" s="198"/>
      <c r="U99" s="198"/>
    </row>
    <row r="100" spans="1:33" s="12" customFormat="1" x14ac:dyDescent="0.25">
      <c r="A100" s="214" t="s">
        <v>2450</v>
      </c>
      <c r="B100" s="64">
        <v>4.2300000000000004</v>
      </c>
      <c r="C100" s="64">
        <v>3.2</v>
      </c>
      <c r="D100" s="64">
        <v>7.26</v>
      </c>
      <c r="E100" s="64">
        <v>4.1900000000000004</v>
      </c>
      <c r="F100" s="64">
        <v>2.6</v>
      </c>
      <c r="G100" s="64">
        <v>48.49</v>
      </c>
      <c r="H100" s="64">
        <v>25.06</v>
      </c>
      <c r="I100" s="64">
        <v>3.23</v>
      </c>
      <c r="J100" s="64">
        <v>0.32</v>
      </c>
      <c r="K100" s="64">
        <v>9.11</v>
      </c>
      <c r="L100" s="64">
        <v>24.77</v>
      </c>
      <c r="M100" s="64">
        <v>101.88</v>
      </c>
      <c r="N100" s="64">
        <v>26.4</v>
      </c>
      <c r="O100" s="64">
        <v>0</v>
      </c>
      <c r="P100" s="64">
        <v>0.6</v>
      </c>
      <c r="Q100" s="64">
        <v>9.7799999999999994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2451</v>
      </c>
      <c r="B101" s="64">
        <v>4.21</v>
      </c>
      <c r="C101" s="64">
        <v>3.13</v>
      </c>
      <c r="D101" s="64">
        <v>7.2</v>
      </c>
      <c r="E101" s="64">
        <v>4.29</v>
      </c>
      <c r="F101" s="64">
        <v>4.13</v>
      </c>
      <c r="G101" s="64">
        <v>45.85</v>
      </c>
      <c r="H101" s="64">
        <v>25.08</v>
      </c>
      <c r="I101" s="64">
        <v>3.42</v>
      </c>
      <c r="J101" s="64">
        <v>0.3</v>
      </c>
      <c r="K101" s="64">
        <v>14.91</v>
      </c>
      <c r="L101" s="64">
        <v>24.69</v>
      </c>
      <c r="M101" s="64">
        <v>100.83</v>
      </c>
      <c r="N101" s="64">
        <v>26.2</v>
      </c>
      <c r="O101" s="64">
        <v>0</v>
      </c>
      <c r="P101" s="64">
        <v>0.56000000000000005</v>
      </c>
      <c r="Q101" s="64">
        <v>9.77</v>
      </c>
      <c r="S101" s="198"/>
      <c r="T101" s="198"/>
      <c r="U101" s="198"/>
    </row>
    <row r="102" spans="1:33" s="12" customFormat="1" x14ac:dyDescent="0.25">
      <c r="A102" s="214" t="s">
        <v>2452</v>
      </c>
      <c r="B102" s="64">
        <v>4.21</v>
      </c>
      <c r="C102" s="64">
        <v>3.16</v>
      </c>
      <c r="D102" s="64">
        <v>7.21</v>
      </c>
      <c r="E102" s="64">
        <v>4.55</v>
      </c>
      <c r="F102" s="64">
        <v>3.09</v>
      </c>
      <c r="G102" s="64">
        <v>38.979999999999997</v>
      </c>
      <c r="H102" s="64">
        <v>25.12</v>
      </c>
      <c r="I102" s="64">
        <v>3.28</v>
      </c>
      <c r="J102" s="64">
        <v>0.3</v>
      </c>
      <c r="K102" s="64">
        <v>110.81</v>
      </c>
      <c r="L102" s="64">
        <v>24.78</v>
      </c>
      <c r="M102" s="64">
        <v>96.84</v>
      </c>
      <c r="N102" s="64">
        <v>25.9</v>
      </c>
      <c r="O102" s="64">
        <v>0</v>
      </c>
      <c r="P102" s="64">
        <v>0.49</v>
      </c>
      <c r="Q102" s="64">
        <v>9.77</v>
      </c>
      <c r="S102" s="198"/>
      <c r="T102" s="198"/>
      <c r="U102" s="198"/>
    </row>
    <row r="103" spans="1:33" s="12" customFormat="1" x14ac:dyDescent="0.25">
      <c r="A103" s="214" t="s">
        <v>2453</v>
      </c>
      <c r="B103" s="64">
        <v>4.22</v>
      </c>
      <c r="C103" s="64">
        <v>3.12</v>
      </c>
      <c r="D103" s="64">
        <v>7.21</v>
      </c>
      <c r="E103" s="64">
        <v>4.21</v>
      </c>
      <c r="F103" s="64">
        <v>3.79</v>
      </c>
      <c r="G103" s="64">
        <v>38.979999999999997</v>
      </c>
      <c r="H103" s="64">
        <v>25.12</v>
      </c>
      <c r="I103" s="64">
        <v>2.65</v>
      </c>
      <c r="J103" s="64">
        <v>0.18</v>
      </c>
      <c r="K103" s="64">
        <v>206.09</v>
      </c>
      <c r="L103" s="64">
        <v>24.98</v>
      </c>
      <c r="M103" s="64">
        <v>94.2</v>
      </c>
      <c r="N103" s="64">
        <v>26</v>
      </c>
      <c r="O103" s="64">
        <v>0</v>
      </c>
      <c r="P103" s="64">
        <v>0.46</v>
      </c>
      <c r="Q103" s="64">
        <v>9.74</v>
      </c>
      <c r="S103" s="198"/>
      <c r="T103" s="198"/>
      <c r="U103" s="198"/>
    </row>
    <row r="104" spans="1:33" s="12" customFormat="1" x14ac:dyDescent="0.25">
      <c r="A104" s="214" t="s">
        <v>2454</v>
      </c>
      <c r="B104" s="64">
        <v>4.25</v>
      </c>
      <c r="C104" s="64">
        <v>3.12</v>
      </c>
      <c r="D104" s="64">
        <v>7.23</v>
      </c>
      <c r="E104" s="64">
        <v>5.22</v>
      </c>
      <c r="F104" s="64">
        <v>3.61</v>
      </c>
      <c r="G104" s="64">
        <v>38.979999999999997</v>
      </c>
      <c r="H104" s="64">
        <v>25.12</v>
      </c>
      <c r="I104" s="64">
        <v>1.54</v>
      </c>
      <c r="J104" s="64">
        <v>0.08</v>
      </c>
      <c r="K104" s="64">
        <v>254.02</v>
      </c>
      <c r="L104" s="64">
        <v>25.05</v>
      </c>
      <c r="M104" s="64">
        <v>94.3</v>
      </c>
      <c r="N104" s="64">
        <v>26.1</v>
      </c>
      <c r="O104" s="64">
        <v>0</v>
      </c>
      <c r="P104" s="64">
        <v>0.49</v>
      </c>
      <c r="Q104" s="64">
        <v>9.77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4.18</v>
      </c>
      <c r="C106" s="67">
        <f>MIN(C9:C104)</f>
        <v>3.11</v>
      </c>
      <c r="D106" s="67">
        <f t="shared" ref="D106:Q106" si="0">MIN(D9:D104)</f>
        <v>7.19</v>
      </c>
      <c r="E106" s="67">
        <f t="shared" si="0"/>
        <v>3.67</v>
      </c>
      <c r="F106" s="67">
        <f t="shared" si="0"/>
        <v>2.6</v>
      </c>
      <c r="G106" s="67">
        <f t="shared" si="0"/>
        <v>22</v>
      </c>
      <c r="H106" s="67">
        <f t="shared" si="0"/>
        <v>1.91</v>
      </c>
      <c r="I106" s="67">
        <f t="shared" si="0"/>
        <v>0.96</v>
      </c>
      <c r="J106" s="67">
        <f t="shared" si="0"/>
        <v>0.02</v>
      </c>
      <c r="K106" s="67">
        <f t="shared" si="0"/>
        <v>1.86</v>
      </c>
      <c r="L106" s="67">
        <f t="shared" si="0"/>
        <v>23.54</v>
      </c>
      <c r="M106" s="67">
        <f t="shared" si="0"/>
        <v>64.040000000000006</v>
      </c>
      <c r="N106" s="67">
        <f t="shared" si="0"/>
        <v>25.9</v>
      </c>
      <c r="O106" s="67">
        <f t="shared" si="0"/>
        <v>0</v>
      </c>
      <c r="P106" s="67">
        <f t="shared" si="0"/>
        <v>0.31</v>
      </c>
      <c r="Q106" s="67">
        <f t="shared" si="0"/>
        <v>9.5500000000000007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4.34</v>
      </c>
      <c r="C107" s="66">
        <f t="shared" ref="C107:Q107" si="1">MAX(C9:C104)</f>
        <v>3.29</v>
      </c>
      <c r="D107" s="66">
        <f t="shared" si="1"/>
        <v>7.37</v>
      </c>
      <c r="E107" s="66">
        <f t="shared" si="1"/>
        <v>5.32</v>
      </c>
      <c r="F107" s="66">
        <f t="shared" si="1"/>
        <v>24.21</v>
      </c>
      <c r="G107" s="66">
        <f t="shared" si="1"/>
        <v>118.16</v>
      </c>
      <c r="H107" s="66">
        <f t="shared" si="1"/>
        <v>92.9</v>
      </c>
      <c r="I107" s="66">
        <f t="shared" si="1"/>
        <v>6.55</v>
      </c>
      <c r="J107" s="66">
        <f t="shared" si="1"/>
        <v>1.78</v>
      </c>
      <c r="K107" s="66">
        <f t="shared" si="1"/>
        <v>358.78</v>
      </c>
      <c r="L107" s="66">
        <f t="shared" si="1"/>
        <v>32.29</v>
      </c>
      <c r="M107" s="66">
        <f t="shared" si="1"/>
        <v>101.95</v>
      </c>
      <c r="N107" s="66">
        <f t="shared" si="1"/>
        <v>864.7</v>
      </c>
      <c r="O107" s="66">
        <f t="shared" si="1"/>
        <v>0.4</v>
      </c>
      <c r="P107" s="66">
        <f t="shared" si="1"/>
        <v>1.3</v>
      </c>
      <c r="Q107" s="66">
        <f t="shared" si="1"/>
        <v>9.98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4.2480208333333342</v>
      </c>
      <c r="C108" s="67">
        <f t="shared" ref="C108:Q108" si="2">AVERAGE(C9:C104)</f>
        <v>3.1823958333333313</v>
      </c>
      <c r="D108" s="67">
        <f t="shared" si="2"/>
        <v>7.2595833333333362</v>
      </c>
      <c r="E108" s="67">
        <f t="shared" si="2"/>
        <v>4.4067708333333346</v>
      </c>
      <c r="F108" s="67">
        <f t="shared" si="2"/>
        <v>5.4755208333333343</v>
      </c>
      <c r="G108" s="67">
        <f t="shared" si="2"/>
        <v>50.294086021505372</v>
      </c>
      <c r="H108" s="67">
        <f t="shared" si="2"/>
        <v>26.087399999999981</v>
      </c>
      <c r="I108" s="67">
        <f t="shared" si="2"/>
        <v>2.8848958333333319</v>
      </c>
      <c r="J108" s="67">
        <f t="shared" si="2"/>
        <v>0.66281250000000014</v>
      </c>
      <c r="K108" s="67">
        <f t="shared" si="2"/>
        <v>206.50104166666668</v>
      </c>
      <c r="L108" s="67">
        <f t="shared" si="2"/>
        <v>27.473958333333339</v>
      </c>
      <c r="M108" s="67">
        <f t="shared" si="2"/>
        <v>88.460312499999986</v>
      </c>
      <c r="N108" s="67">
        <f t="shared" si="2"/>
        <v>190.13854166666673</v>
      </c>
      <c r="O108" s="67">
        <f t="shared" si="2"/>
        <v>8.3333333333333332E-3</v>
      </c>
      <c r="P108" s="67">
        <f t="shared" si="2"/>
        <v>0.54604166666666665</v>
      </c>
      <c r="Q108" s="67">
        <f t="shared" si="2"/>
        <v>9.6983333333333359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3.3736433270643178E-2</v>
      </c>
      <c r="C109" s="67">
        <f t="shared" ref="C109:Q109" si="3">STDEV(C9:C104)</f>
        <v>4.5831379543683742E-2</v>
      </c>
      <c r="D109" s="67">
        <f t="shared" si="3"/>
        <v>4.299122717526313E-2</v>
      </c>
      <c r="E109" s="67">
        <f t="shared" si="3"/>
        <v>0.33030287470000574</v>
      </c>
      <c r="F109" s="67">
        <f t="shared" si="3"/>
        <v>3.6946310605046331</v>
      </c>
      <c r="G109" s="67">
        <f t="shared" si="3"/>
        <v>22.380872619491651</v>
      </c>
      <c r="H109" s="67">
        <f t="shared" si="3"/>
        <v>17.794307712849985</v>
      </c>
      <c r="I109" s="67">
        <f t="shared" si="3"/>
        <v>1.1364941427053274</v>
      </c>
      <c r="J109" s="67">
        <f t="shared" si="3"/>
        <v>0.40474996342771524</v>
      </c>
      <c r="K109" s="67">
        <f t="shared" si="3"/>
        <v>128.64044191367518</v>
      </c>
      <c r="L109" s="67">
        <f t="shared" si="3"/>
        <v>3.0524328447862135</v>
      </c>
      <c r="M109" s="67">
        <f t="shared" si="3"/>
        <v>14.161055227788399</v>
      </c>
      <c r="N109" s="67">
        <f t="shared" si="3"/>
        <v>243.94799289140624</v>
      </c>
      <c r="O109" s="67">
        <f t="shared" si="3"/>
        <v>5.7430354465518391E-2</v>
      </c>
      <c r="P109" s="67">
        <f t="shared" si="3"/>
        <v>0.18152267752581308</v>
      </c>
      <c r="Q109" s="67">
        <f t="shared" si="3"/>
        <v>0.1236690546891958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COUNT(H9:H104)+46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2455</v>
      </c>
      <c r="B9" s="64">
        <v>4.25</v>
      </c>
      <c r="C9" s="64">
        <v>3.17</v>
      </c>
      <c r="D9" s="64">
        <v>7.25</v>
      </c>
      <c r="E9" s="64">
        <v>4.83</v>
      </c>
      <c r="F9" s="64">
        <v>3.59</v>
      </c>
      <c r="G9" s="64">
        <v>37.18</v>
      </c>
      <c r="H9" s="64">
        <v>16.68</v>
      </c>
      <c r="I9" s="64">
        <v>2.21</v>
      </c>
      <c r="J9" s="64">
        <v>0.12</v>
      </c>
      <c r="K9" s="64">
        <v>35.56</v>
      </c>
      <c r="L9" s="64">
        <v>25.05</v>
      </c>
      <c r="M9" s="64">
        <v>97.53</v>
      </c>
      <c r="N9" s="64">
        <v>26.2</v>
      </c>
      <c r="O9" s="64">
        <v>0</v>
      </c>
      <c r="P9" s="64">
        <v>0.4</v>
      </c>
      <c r="Q9" s="64">
        <v>9.75</v>
      </c>
      <c r="R9" s="198"/>
      <c r="S9" s="198"/>
      <c r="T9" s="198"/>
      <c r="U9" s="198"/>
    </row>
    <row r="10" spans="1:21" s="12" customFormat="1" x14ac:dyDescent="0.25">
      <c r="A10" s="214" t="s">
        <v>2456</v>
      </c>
      <c r="B10" s="64">
        <v>4.24</v>
      </c>
      <c r="C10" s="64">
        <v>3.22</v>
      </c>
      <c r="D10" s="64">
        <v>7.27</v>
      </c>
      <c r="E10" s="64">
        <v>4.75</v>
      </c>
      <c r="F10" s="64">
        <v>4.2300000000000004</v>
      </c>
      <c r="G10" s="64">
        <v>32.51</v>
      </c>
      <c r="H10" s="64">
        <v>2.5099999999999998</v>
      </c>
      <c r="I10" s="64">
        <v>1.92</v>
      </c>
      <c r="J10" s="64">
        <v>0.56999999999999995</v>
      </c>
      <c r="K10" s="64">
        <v>93.31</v>
      </c>
      <c r="L10" s="64">
        <v>25.12</v>
      </c>
      <c r="M10" s="64">
        <v>95.71</v>
      </c>
      <c r="N10" s="64">
        <v>25.7</v>
      </c>
      <c r="O10" s="64">
        <v>0</v>
      </c>
      <c r="P10" s="64">
        <v>0.45</v>
      </c>
      <c r="Q10" s="64">
        <v>9.75</v>
      </c>
      <c r="R10" s="198"/>
      <c r="S10" s="198"/>
      <c r="T10" s="198"/>
      <c r="U10" s="198"/>
    </row>
    <row r="11" spans="1:21" s="12" customFormat="1" x14ac:dyDescent="0.25">
      <c r="A11" s="214" t="s">
        <v>2457</v>
      </c>
      <c r="B11" s="64">
        <v>4.24</v>
      </c>
      <c r="C11" s="64">
        <v>3.12</v>
      </c>
      <c r="D11" s="64">
        <v>7.23</v>
      </c>
      <c r="E11" s="64">
        <v>4.9400000000000004</v>
      </c>
      <c r="F11" s="64">
        <v>3.63</v>
      </c>
      <c r="G11" s="64">
        <v>32.51</v>
      </c>
      <c r="H11" s="64">
        <v>2.5099999999999998</v>
      </c>
      <c r="I11" s="64">
        <v>0.82</v>
      </c>
      <c r="J11" s="64">
        <v>3.87</v>
      </c>
      <c r="K11" s="64">
        <v>112.08</v>
      </c>
      <c r="L11" s="64">
        <v>23.99</v>
      </c>
      <c r="M11" s="64">
        <v>96.28</v>
      </c>
      <c r="N11" s="64">
        <v>30.8</v>
      </c>
      <c r="O11" s="64">
        <v>0.4</v>
      </c>
      <c r="P11" s="64">
        <v>0.55000000000000004</v>
      </c>
      <c r="Q11" s="64">
        <v>9.75</v>
      </c>
      <c r="R11" s="198"/>
      <c r="S11" s="198"/>
      <c r="T11" s="198"/>
      <c r="U11" s="198"/>
    </row>
    <row r="12" spans="1:21" s="12" customFormat="1" x14ac:dyDescent="0.25">
      <c r="A12" s="214" t="s">
        <v>2458</v>
      </c>
      <c r="B12" s="64">
        <v>4.26</v>
      </c>
      <c r="C12" s="64">
        <v>3.15</v>
      </c>
      <c r="D12" s="64">
        <v>7.25</v>
      </c>
      <c r="E12" s="64">
        <v>4.96</v>
      </c>
      <c r="F12" s="64">
        <v>4.1500000000000004</v>
      </c>
      <c r="G12" s="64">
        <v>32.51</v>
      </c>
      <c r="H12" s="64">
        <v>2.5099999999999998</v>
      </c>
      <c r="I12" s="64">
        <v>2.4</v>
      </c>
      <c r="J12" s="64">
        <v>2.62</v>
      </c>
      <c r="K12" s="64">
        <v>105.92</v>
      </c>
      <c r="L12" s="64">
        <v>21.63</v>
      </c>
      <c r="M12" s="64">
        <v>101.99</v>
      </c>
      <c r="N12" s="64">
        <v>29.7</v>
      </c>
      <c r="O12" s="64">
        <v>5.8</v>
      </c>
      <c r="P12" s="64">
        <v>0.51</v>
      </c>
      <c r="Q12" s="64">
        <v>9.74</v>
      </c>
      <c r="R12" s="198"/>
      <c r="S12" s="198"/>
      <c r="T12" s="198"/>
      <c r="U12" s="198"/>
    </row>
    <row r="13" spans="1:21" s="12" customFormat="1" x14ac:dyDescent="0.25">
      <c r="A13" s="214" t="s">
        <v>2459</v>
      </c>
      <c r="B13" s="64">
        <v>4.2699999999999996</v>
      </c>
      <c r="C13" s="64">
        <v>3.16</v>
      </c>
      <c r="D13" s="64">
        <v>7.26</v>
      </c>
      <c r="E13" s="64">
        <v>4.7</v>
      </c>
      <c r="F13" s="64">
        <v>4.6100000000000003</v>
      </c>
      <c r="G13" s="64">
        <v>32.15</v>
      </c>
      <c r="H13" s="64">
        <v>4.17</v>
      </c>
      <c r="I13" s="64">
        <v>4.7300000000000004</v>
      </c>
      <c r="J13" s="64">
        <v>2</v>
      </c>
      <c r="K13" s="64">
        <v>99.41</v>
      </c>
      <c r="L13" s="64">
        <v>20.99</v>
      </c>
      <c r="M13" s="64">
        <v>102.01</v>
      </c>
      <c r="N13" s="64">
        <v>26.9</v>
      </c>
      <c r="O13" s="64">
        <v>0.2</v>
      </c>
      <c r="P13" s="64">
        <v>0.44</v>
      </c>
      <c r="Q13" s="64">
        <v>9.7100000000000009</v>
      </c>
      <c r="R13" s="198"/>
      <c r="S13" s="198"/>
      <c r="T13" s="198"/>
      <c r="U13" s="198"/>
    </row>
    <row r="14" spans="1:21" s="12" customFormat="1" x14ac:dyDescent="0.25">
      <c r="A14" s="214" t="s">
        <v>2460</v>
      </c>
      <c r="B14" s="64">
        <v>4.24</v>
      </c>
      <c r="C14" s="64">
        <v>3.13</v>
      </c>
      <c r="D14" s="64">
        <v>7.23</v>
      </c>
      <c r="E14" s="64">
        <v>4.41</v>
      </c>
      <c r="F14" s="64">
        <v>3.84</v>
      </c>
      <c r="G14" s="64">
        <v>31.21</v>
      </c>
      <c r="H14" s="64">
        <v>11.11</v>
      </c>
      <c r="I14" s="64">
        <v>5.47</v>
      </c>
      <c r="J14" s="64">
        <v>0.92</v>
      </c>
      <c r="K14" s="64">
        <v>125.61</v>
      </c>
      <c r="L14" s="64">
        <v>21.01</v>
      </c>
      <c r="M14" s="64">
        <v>102.03</v>
      </c>
      <c r="N14" s="64">
        <v>26.5</v>
      </c>
      <c r="O14" s="64">
        <v>0</v>
      </c>
      <c r="P14" s="64">
        <v>0.45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14" t="s">
        <v>2461</v>
      </c>
      <c r="B15" s="64">
        <v>4.2699999999999996</v>
      </c>
      <c r="C15" s="64">
        <v>3.16</v>
      </c>
      <c r="D15" s="64">
        <v>7.26</v>
      </c>
      <c r="E15" s="64">
        <v>4.88</v>
      </c>
      <c r="F15" s="64">
        <v>3.59</v>
      </c>
      <c r="G15" s="64">
        <v>31.21</v>
      </c>
      <c r="H15" s="64">
        <v>11.11</v>
      </c>
      <c r="I15" s="64">
        <v>5.45</v>
      </c>
      <c r="J15" s="64">
        <v>0.56999999999999995</v>
      </c>
      <c r="K15" s="64">
        <v>139.69</v>
      </c>
      <c r="L15" s="64">
        <v>21.14</v>
      </c>
      <c r="M15" s="64">
        <v>102.03</v>
      </c>
      <c r="N15" s="64">
        <v>26.5</v>
      </c>
      <c r="O15" s="64">
        <v>0.2</v>
      </c>
      <c r="P15" s="64">
        <v>0.4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4" t="s">
        <v>2462</v>
      </c>
      <c r="B16" s="64">
        <v>4.26</v>
      </c>
      <c r="C16" s="64">
        <v>3.2</v>
      </c>
      <c r="D16" s="64">
        <v>7.28</v>
      </c>
      <c r="E16" s="64">
        <v>4.88</v>
      </c>
      <c r="F16" s="64">
        <v>3.58</v>
      </c>
      <c r="G16" s="64">
        <v>31.21</v>
      </c>
      <c r="H16" s="64">
        <v>11.11</v>
      </c>
      <c r="I16" s="64">
        <v>5.28</v>
      </c>
      <c r="J16" s="64">
        <v>0.74</v>
      </c>
      <c r="K16" s="64">
        <v>113.24</v>
      </c>
      <c r="L16" s="64">
        <v>21.26</v>
      </c>
      <c r="M16" s="64">
        <v>102.03</v>
      </c>
      <c r="N16" s="64">
        <v>26.3</v>
      </c>
      <c r="O16" s="64">
        <v>0.4</v>
      </c>
      <c r="P16" s="64">
        <v>0.4</v>
      </c>
      <c r="Q16" s="64">
        <v>9.68</v>
      </c>
      <c r="R16" s="198"/>
      <c r="S16" s="198"/>
      <c r="T16" s="198"/>
      <c r="U16" s="198"/>
    </row>
    <row r="17" spans="1:21" s="12" customFormat="1" x14ac:dyDescent="0.25">
      <c r="A17" s="214" t="s">
        <v>2463</v>
      </c>
      <c r="B17" s="64">
        <v>4.24</v>
      </c>
      <c r="C17" s="64">
        <v>3.17</v>
      </c>
      <c r="D17" s="64">
        <v>7.24</v>
      </c>
      <c r="E17" s="64">
        <v>4.9400000000000004</v>
      </c>
      <c r="F17" s="64">
        <v>4.04</v>
      </c>
      <c r="G17" s="64">
        <v>28.89</v>
      </c>
      <c r="H17" s="64">
        <v>15.6</v>
      </c>
      <c r="I17" s="64">
        <v>4.71</v>
      </c>
      <c r="J17" s="64">
        <v>0.91</v>
      </c>
      <c r="K17" s="64">
        <v>161.43</v>
      </c>
      <c r="L17" s="64">
        <v>21.22</v>
      </c>
      <c r="M17" s="64">
        <v>102.03</v>
      </c>
      <c r="N17" s="64">
        <v>26.5</v>
      </c>
      <c r="O17" s="64">
        <v>0.4</v>
      </c>
      <c r="P17" s="64">
        <v>0.41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4" t="s">
        <v>2464</v>
      </c>
      <c r="B18" s="64">
        <v>4.21</v>
      </c>
      <c r="C18" s="64">
        <v>3.16</v>
      </c>
      <c r="D18" s="64">
        <v>7.22</v>
      </c>
      <c r="E18" s="64">
        <v>5</v>
      </c>
      <c r="F18" s="64">
        <v>4.55</v>
      </c>
      <c r="G18" s="64">
        <v>22.86</v>
      </c>
      <c r="H18" s="64">
        <v>23.45</v>
      </c>
      <c r="I18" s="64">
        <v>4.6500000000000004</v>
      </c>
      <c r="J18" s="64">
        <v>0.59</v>
      </c>
      <c r="K18" s="64">
        <v>174.09</v>
      </c>
      <c r="L18" s="64">
        <v>21.24</v>
      </c>
      <c r="M18" s="64">
        <v>102.03</v>
      </c>
      <c r="N18" s="64">
        <v>26.4</v>
      </c>
      <c r="O18" s="64">
        <v>0.2</v>
      </c>
      <c r="P18" s="64">
        <v>0.42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4" t="s">
        <v>2465</v>
      </c>
      <c r="B19" s="64">
        <v>4.1900000000000004</v>
      </c>
      <c r="C19" s="64">
        <v>3.13</v>
      </c>
      <c r="D19" s="64">
        <v>7.18</v>
      </c>
      <c r="E19" s="64">
        <v>4.82</v>
      </c>
      <c r="F19" s="64">
        <v>3</v>
      </c>
      <c r="G19" s="64">
        <v>22.86</v>
      </c>
      <c r="H19" s="64">
        <v>23.45</v>
      </c>
      <c r="I19" s="64">
        <v>5.15</v>
      </c>
      <c r="J19" s="64">
        <v>0.57999999999999996</v>
      </c>
      <c r="K19" s="64">
        <v>163.86</v>
      </c>
      <c r="L19" s="64">
        <v>21.26</v>
      </c>
      <c r="M19" s="64">
        <v>102.03</v>
      </c>
      <c r="N19" s="64">
        <v>26.4</v>
      </c>
      <c r="O19" s="64">
        <v>0.2</v>
      </c>
      <c r="P19" s="64">
        <v>0.4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4" t="s">
        <v>2466</v>
      </c>
      <c r="B20" s="64">
        <v>4.2</v>
      </c>
      <c r="C20" s="64">
        <v>3.08</v>
      </c>
      <c r="D20" s="64">
        <v>7.17</v>
      </c>
      <c r="E20" s="64">
        <v>5.0599999999999996</v>
      </c>
      <c r="F20" s="64">
        <v>4.5999999999999996</v>
      </c>
      <c r="G20" s="64">
        <v>22.86</v>
      </c>
      <c r="H20" s="64">
        <v>23.45</v>
      </c>
      <c r="I20" s="64">
        <v>5.29</v>
      </c>
      <c r="J20" s="64">
        <v>0.67</v>
      </c>
      <c r="K20" s="64">
        <v>154.09</v>
      </c>
      <c r="L20" s="64">
        <v>21.46</v>
      </c>
      <c r="M20" s="64">
        <v>102.03</v>
      </c>
      <c r="N20" s="64">
        <v>26.4</v>
      </c>
      <c r="O20" s="64">
        <v>0</v>
      </c>
      <c r="P20" s="64">
        <v>0.4</v>
      </c>
      <c r="Q20" s="64">
        <v>9.56</v>
      </c>
      <c r="R20" s="198"/>
      <c r="S20" s="198"/>
      <c r="T20" s="198"/>
      <c r="U20" s="198"/>
    </row>
    <row r="21" spans="1:21" s="12" customFormat="1" x14ac:dyDescent="0.25">
      <c r="A21" s="214" t="s">
        <v>2467</v>
      </c>
      <c r="B21" s="64">
        <v>4.1900000000000004</v>
      </c>
      <c r="C21" s="64">
        <v>3.06</v>
      </c>
      <c r="D21" s="64">
        <v>7.15</v>
      </c>
      <c r="E21" s="64">
        <v>5.12</v>
      </c>
      <c r="F21" s="64">
        <v>3.08</v>
      </c>
      <c r="G21" s="64">
        <v>21.21</v>
      </c>
      <c r="H21" s="64">
        <v>16.48</v>
      </c>
      <c r="I21" s="64">
        <v>5.09</v>
      </c>
      <c r="J21" s="64">
        <v>0.23</v>
      </c>
      <c r="K21" s="64">
        <v>203.48</v>
      </c>
      <c r="L21" s="64">
        <v>21.54</v>
      </c>
      <c r="M21" s="64">
        <v>102.03</v>
      </c>
      <c r="N21" s="64">
        <v>26.3</v>
      </c>
      <c r="O21" s="64">
        <v>0</v>
      </c>
      <c r="P21" s="64">
        <v>0.37</v>
      </c>
      <c r="Q21" s="64">
        <v>9.5399999999999991</v>
      </c>
      <c r="R21" s="198"/>
      <c r="S21" s="198"/>
      <c r="T21" s="198"/>
      <c r="U21" s="198"/>
    </row>
    <row r="22" spans="1:21" s="12" customFormat="1" x14ac:dyDescent="0.25">
      <c r="A22" s="214" t="s">
        <v>2468</v>
      </c>
      <c r="B22" s="64">
        <v>4.2</v>
      </c>
      <c r="C22" s="64">
        <v>3.08</v>
      </c>
      <c r="D22" s="64">
        <v>7.17</v>
      </c>
      <c r="E22" s="64">
        <v>5.35</v>
      </c>
      <c r="F22" s="64">
        <v>4.1900000000000004</v>
      </c>
      <c r="G22" s="64">
        <v>16.93</v>
      </c>
      <c r="H22" s="64">
        <v>4.7699999999999996</v>
      </c>
      <c r="I22" s="64">
        <v>4.9000000000000004</v>
      </c>
      <c r="J22" s="64">
        <v>0.61</v>
      </c>
      <c r="K22" s="64">
        <v>141.18</v>
      </c>
      <c r="L22" s="64">
        <v>21.59</v>
      </c>
      <c r="M22" s="64">
        <v>102.03</v>
      </c>
      <c r="N22" s="64">
        <v>26.8</v>
      </c>
      <c r="O22" s="64">
        <v>0</v>
      </c>
      <c r="P22" s="64">
        <v>0.38</v>
      </c>
      <c r="Q22" s="64">
        <v>9.56</v>
      </c>
      <c r="R22" s="198"/>
      <c r="S22" s="198"/>
      <c r="T22" s="198"/>
      <c r="U22" s="198"/>
    </row>
    <row r="23" spans="1:21" s="12" customFormat="1" x14ac:dyDescent="0.25">
      <c r="A23" s="214" t="s">
        <v>2469</v>
      </c>
      <c r="B23" s="64">
        <v>4.1900000000000004</v>
      </c>
      <c r="C23" s="64">
        <v>3.13</v>
      </c>
      <c r="D23" s="64">
        <v>7.19</v>
      </c>
      <c r="E23" s="64">
        <v>4.75</v>
      </c>
      <c r="F23" s="64">
        <v>2.97</v>
      </c>
      <c r="G23" s="64">
        <v>16.93</v>
      </c>
      <c r="H23" s="64">
        <v>4.7699999999999996</v>
      </c>
      <c r="I23" s="64">
        <v>4.6100000000000003</v>
      </c>
      <c r="J23" s="64">
        <v>0.26</v>
      </c>
      <c r="K23" s="64">
        <v>27.63</v>
      </c>
      <c r="L23" s="64">
        <v>21.66</v>
      </c>
      <c r="M23" s="64">
        <v>102.03</v>
      </c>
      <c r="N23" s="64">
        <v>26.5</v>
      </c>
      <c r="O23" s="64">
        <v>0</v>
      </c>
      <c r="P23" s="64">
        <v>0.35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14" t="s">
        <v>2470</v>
      </c>
      <c r="B24" s="64">
        <v>4.18</v>
      </c>
      <c r="C24" s="64">
        <v>3.11</v>
      </c>
      <c r="D24" s="64">
        <v>7.17</v>
      </c>
      <c r="E24" s="64">
        <v>5.52</v>
      </c>
      <c r="F24" s="64">
        <v>4.7300000000000004</v>
      </c>
      <c r="G24" s="64">
        <v>16.93</v>
      </c>
      <c r="H24" s="64">
        <v>4.7699999999999996</v>
      </c>
      <c r="I24" s="64">
        <v>4.42</v>
      </c>
      <c r="J24" s="64">
        <v>0.18</v>
      </c>
      <c r="K24" s="64">
        <v>186.28</v>
      </c>
      <c r="L24" s="64">
        <v>21.61</v>
      </c>
      <c r="M24" s="64">
        <v>102.03</v>
      </c>
      <c r="N24" s="64">
        <v>26.6</v>
      </c>
      <c r="O24" s="64">
        <v>0</v>
      </c>
      <c r="P24" s="64">
        <v>0.36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14" t="s">
        <v>2471</v>
      </c>
      <c r="B25" s="64">
        <v>4.18</v>
      </c>
      <c r="C25" s="64">
        <v>3.1</v>
      </c>
      <c r="D25" s="64">
        <v>7.16</v>
      </c>
      <c r="E25" s="64">
        <v>5.29</v>
      </c>
      <c r="F25" s="64">
        <v>2.58</v>
      </c>
      <c r="G25" s="64">
        <v>15.55</v>
      </c>
      <c r="H25" s="64">
        <v>3.6</v>
      </c>
      <c r="I25" s="64">
        <v>4.29</v>
      </c>
      <c r="J25" s="64">
        <v>0.15</v>
      </c>
      <c r="K25" s="64">
        <v>9.35</v>
      </c>
      <c r="L25" s="64">
        <v>21.65</v>
      </c>
      <c r="M25" s="64">
        <v>102.03</v>
      </c>
      <c r="N25" s="64">
        <v>26.4</v>
      </c>
      <c r="O25" s="64">
        <v>0</v>
      </c>
      <c r="P25" s="64">
        <v>0.34</v>
      </c>
      <c r="Q25" s="64">
        <v>9.59</v>
      </c>
      <c r="R25" s="198"/>
      <c r="S25" s="198"/>
      <c r="T25" s="198"/>
      <c r="U25" s="198"/>
    </row>
    <row r="26" spans="1:21" s="12" customFormat="1" x14ac:dyDescent="0.25">
      <c r="A26" s="214" t="s">
        <v>2472</v>
      </c>
      <c r="B26" s="64">
        <v>4.18</v>
      </c>
      <c r="C26" s="64">
        <v>3.09</v>
      </c>
      <c r="D26" s="64">
        <v>7.16</v>
      </c>
      <c r="E26" s="64">
        <v>5.14</v>
      </c>
      <c r="F26" s="64">
        <v>3.81</v>
      </c>
      <c r="G26" s="64">
        <v>11.97</v>
      </c>
      <c r="H26" s="64">
        <v>1.55</v>
      </c>
      <c r="I26" s="64">
        <v>4.1100000000000003</v>
      </c>
      <c r="J26" s="64">
        <v>0.11</v>
      </c>
      <c r="K26" s="64">
        <v>214.72</v>
      </c>
      <c r="L26" s="64">
        <v>21.68</v>
      </c>
      <c r="M26" s="64">
        <v>102.03</v>
      </c>
      <c r="N26" s="64">
        <v>26.5</v>
      </c>
      <c r="O26" s="64">
        <v>0</v>
      </c>
      <c r="P26" s="64">
        <v>0.3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4" t="s">
        <v>2473</v>
      </c>
      <c r="B27" s="64">
        <v>4.2300000000000004</v>
      </c>
      <c r="C27" s="64">
        <v>3.16</v>
      </c>
      <c r="D27" s="64">
        <v>7.23</v>
      </c>
      <c r="E27" s="64">
        <v>5.08</v>
      </c>
      <c r="F27" s="64">
        <v>3.55</v>
      </c>
      <c r="G27" s="64">
        <v>11.97</v>
      </c>
      <c r="H27" s="64">
        <v>1.55</v>
      </c>
      <c r="I27" s="64">
        <v>3.83</v>
      </c>
      <c r="J27" s="64">
        <v>0.17</v>
      </c>
      <c r="K27" s="64">
        <v>273.89999999999998</v>
      </c>
      <c r="L27" s="64">
        <v>21.73</v>
      </c>
      <c r="M27" s="64">
        <v>102.05</v>
      </c>
      <c r="N27" s="64">
        <v>26.5</v>
      </c>
      <c r="O27" s="64">
        <v>0</v>
      </c>
      <c r="P27" s="64">
        <v>0.28999999999999998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2474</v>
      </c>
      <c r="B28" s="64">
        <v>4.25</v>
      </c>
      <c r="C28" s="64">
        <v>3.16</v>
      </c>
      <c r="D28" s="64">
        <v>7.25</v>
      </c>
      <c r="E28" s="64">
        <v>4.92</v>
      </c>
      <c r="F28" s="64">
        <v>3.74</v>
      </c>
      <c r="G28" s="64">
        <v>11.97</v>
      </c>
      <c r="H28" s="64">
        <v>1.55</v>
      </c>
      <c r="I28" s="64">
        <v>2.67</v>
      </c>
      <c r="J28" s="64">
        <v>0.14000000000000001</v>
      </c>
      <c r="K28" s="64">
        <v>35.049999999999997</v>
      </c>
      <c r="L28" s="64">
        <v>21.76</v>
      </c>
      <c r="M28" s="64">
        <v>102.05</v>
      </c>
      <c r="N28" s="64">
        <v>26.5</v>
      </c>
      <c r="O28" s="64">
        <v>0</v>
      </c>
      <c r="P28" s="64">
        <v>0.28999999999999998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2475</v>
      </c>
      <c r="B29" s="64">
        <v>4.24</v>
      </c>
      <c r="C29" s="64">
        <v>3.14</v>
      </c>
      <c r="D29" s="64">
        <v>7.23</v>
      </c>
      <c r="E29" s="64">
        <v>5.14</v>
      </c>
      <c r="F29" s="64">
        <v>3.66</v>
      </c>
      <c r="G29" s="64">
        <v>10.99</v>
      </c>
      <c r="H29" s="64">
        <v>1.46</v>
      </c>
      <c r="I29" s="64">
        <v>2.08</v>
      </c>
      <c r="J29" s="64">
        <v>0.32</v>
      </c>
      <c r="K29" s="64">
        <v>333.28</v>
      </c>
      <c r="L29" s="64">
        <v>21.85</v>
      </c>
      <c r="M29" s="64">
        <v>102.05</v>
      </c>
      <c r="N29" s="64">
        <v>26.8</v>
      </c>
      <c r="O29" s="64">
        <v>0</v>
      </c>
      <c r="P29" s="64">
        <v>0.3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4" t="s">
        <v>2476</v>
      </c>
      <c r="B30" s="64">
        <v>4.2300000000000004</v>
      </c>
      <c r="C30" s="64">
        <v>3.14</v>
      </c>
      <c r="D30" s="64">
        <v>7.22</v>
      </c>
      <c r="E30" s="64">
        <v>5.0599999999999996</v>
      </c>
      <c r="F30" s="64">
        <v>3.39</v>
      </c>
      <c r="G30" s="64">
        <v>8.43</v>
      </c>
      <c r="H30" s="64">
        <v>1.06</v>
      </c>
      <c r="I30" s="64">
        <v>2.4300000000000002</v>
      </c>
      <c r="J30" s="64">
        <v>0.55000000000000004</v>
      </c>
      <c r="K30" s="64">
        <v>326.14999999999998</v>
      </c>
      <c r="L30" s="64">
        <v>21.86</v>
      </c>
      <c r="M30" s="64">
        <v>102.03</v>
      </c>
      <c r="N30" s="64">
        <v>27.1</v>
      </c>
      <c r="O30" s="64">
        <v>0</v>
      </c>
      <c r="P30" s="64">
        <v>0.3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4" t="s">
        <v>2477</v>
      </c>
      <c r="B31" s="64">
        <v>4.24</v>
      </c>
      <c r="C31" s="64">
        <v>3.15</v>
      </c>
      <c r="D31" s="64">
        <v>7.24</v>
      </c>
      <c r="E31" s="64">
        <v>4.87</v>
      </c>
      <c r="F31" s="64">
        <v>3.73</v>
      </c>
      <c r="G31" s="64">
        <v>8.43</v>
      </c>
      <c r="H31" s="64">
        <v>1.06</v>
      </c>
      <c r="I31" s="64">
        <v>2.68</v>
      </c>
      <c r="J31" s="64">
        <v>0.22</v>
      </c>
      <c r="K31" s="64">
        <v>262.76</v>
      </c>
      <c r="L31" s="64">
        <v>21.86</v>
      </c>
      <c r="M31" s="64">
        <v>102.05</v>
      </c>
      <c r="N31" s="64">
        <v>26.8</v>
      </c>
      <c r="O31" s="64">
        <v>0</v>
      </c>
      <c r="P31" s="64">
        <v>0.28999999999999998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2478</v>
      </c>
      <c r="B32" s="64">
        <v>4.26</v>
      </c>
      <c r="C32" s="64">
        <v>3.12</v>
      </c>
      <c r="D32" s="64">
        <v>7.24</v>
      </c>
      <c r="E32" s="64">
        <v>5.0999999999999996</v>
      </c>
      <c r="F32" s="64">
        <v>3.66</v>
      </c>
      <c r="G32" s="64">
        <v>8.43</v>
      </c>
      <c r="H32" s="64">
        <v>1.06</v>
      </c>
      <c r="I32" s="64">
        <v>2.73</v>
      </c>
      <c r="J32" s="64">
        <v>0.39</v>
      </c>
      <c r="K32" s="64">
        <v>302.13</v>
      </c>
      <c r="L32" s="64">
        <v>21.82</v>
      </c>
      <c r="M32" s="64">
        <v>102.05</v>
      </c>
      <c r="N32" s="64">
        <v>27.9</v>
      </c>
      <c r="O32" s="64">
        <v>0</v>
      </c>
      <c r="P32" s="64">
        <v>0.28999999999999998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4" t="s">
        <v>2479</v>
      </c>
      <c r="B33" s="64">
        <v>4.26</v>
      </c>
      <c r="C33" s="64">
        <v>3.15</v>
      </c>
      <c r="D33" s="64">
        <v>7.26</v>
      </c>
      <c r="E33" s="64">
        <v>5.32</v>
      </c>
      <c r="F33" s="64">
        <v>3.53</v>
      </c>
      <c r="G33" s="64">
        <v>7.94</v>
      </c>
      <c r="H33" s="64">
        <v>1.83</v>
      </c>
      <c r="I33" s="64">
        <v>2.72</v>
      </c>
      <c r="J33" s="64">
        <v>0.5</v>
      </c>
      <c r="K33" s="64">
        <v>305.91000000000003</v>
      </c>
      <c r="L33" s="64">
        <v>21.81</v>
      </c>
      <c r="M33" s="64">
        <v>102.05</v>
      </c>
      <c r="N33" s="64">
        <v>32.4</v>
      </c>
      <c r="O33" s="64">
        <v>0</v>
      </c>
      <c r="P33" s="64">
        <v>0.34</v>
      </c>
      <c r="Q33" s="64">
        <v>9.6300000000000008</v>
      </c>
      <c r="R33" s="198"/>
      <c r="S33" s="198"/>
      <c r="T33" s="198"/>
      <c r="U33" s="198"/>
    </row>
    <row r="34" spans="1:21" s="12" customFormat="1" x14ac:dyDescent="0.25">
      <c r="A34" s="214" t="s">
        <v>2480</v>
      </c>
      <c r="B34" s="64">
        <v>4.2300000000000004</v>
      </c>
      <c r="C34" s="64">
        <v>3.13</v>
      </c>
      <c r="D34" s="64">
        <v>7.22</v>
      </c>
      <c r="E34" s="64">
        <v>5.26</v>
      </c>
      <c r="F34" s="64">
        <v>3.64</v>
      </c>
      <c r="G34" s="64">
        <v>6.68</v>
      </c>
      <c r="H34" s="64">
        <v>3.18</v>
      </c>
      <c r="I34" s="64">
        <v>2.5299999999999998</v>
      </c>
      <c r="J34" s="64">
        <v>0.49</v>
      </c>
      <c r="K34" s="64">
        <v>351.07</v>
      </c>
      <c r="L34" s="64">
        <v>21.95</v>
      </c>
      <c r="M34" s="64">
        <v>102.04</v>
      </c>
      <c r="N34" s="64">
        <v>37.700000000000003</v>
      </c>
      <c r="O34" s="64">
        <v>0</v>
      </c>
      <c r="P34" s="64">
        <v>0.32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4" t="s">
        <v>2481</v>
      </c>
      <c r="B35" s="64">
        <v>4.2300000000000004</v>
      </c>
      <c r="C35" s="64">
        <v>3.19</v>
      </c>
      <c r="D35" s="64">
        <v>7.25</v>
      </c>
      <c r="E35" s="64">
        <v>5.32</v>
      </c>
      <c r="F35" s="64">
        <v>3.43</v>
      </c>
      <c r="G35" s="64">
        <v>6.68</v>
      </c>
      <c r="H35" s="64">
        <v>3.18</v>
      </c>
      <c r="I35" s="64">
        <v>2.8</v>
      </c>
      <c r="J35" s="64">
        <v>0.77</v>
      </c>
      <c r="K35" s="64">
        <v>343.9</v>
      </c>
      <c r="L35" s="64">
        <v>22.19</v>
      </c>
      <c r="M35" s="64">
        <v>102.05</v>
      </c>
      <c r="N35" s="64">
        <v>40.1</v>
      </c>
      <c r="O35" s="64">
        <v>0</v>
      </c>
      <c r="P35" s="64">
        <v>0.33</v>
      </c>
      <c r="Q35" s="64">
        <v>9.58</v>
      </c>
      <c r="R35" s="198"/>
      <c r="S35" s="198"/>
      <c r="T35" s="198"/>
      <c r="U35" s="198"/>
    </row>
    <row r="36" spans="1:21" s="12" customFormat="1" x14ac:dyDescent="0.25">
      <c r="A36" s="214" t="s">
        <v>2482</v>
      </c>
      <c r="B36" s="64">
        <v>4.24</v>
      </c>
      <c r="C36" s="64">
        <v>3.21</v>
      </c>
      <c r="D36" s="64">
        <v>7.26</v>
      </c>
      <c r="E36" s="64">
        <v>5.57</v>
      </c>
      <c r="F36" s="64">
        <v>4.17</v>
      </c>
      <c r="G36" s="64">
        <v>6.68</v>
      </c>
      <c r="H36" s="64">
        <v>3.18</v>
      </c>
      <c r="I36" s="64">
        <v>3.55</v>
      </c>
      <c r="J36" s="64">
        <v>0.55000000000000004</v>
      </c>
      <c r="K36" s="64">
        <v>339.82</v>
      </c>
      <c r="L36" s="64">
        <v>22.32</v>
      </c>
      <c r="M36" s="64">
        <v>102.03</v>
      </c>
      <c r="N36" s="64">
        <v>45.5</v>
      </c>
      <c r="O36" s="64">
        <v>0</v>
      </c>
      <c r="P36" s="64">
        <v>0.34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4" t="s">
        <v>2483</v>
      </c>
      <c r="B37" s="64">
        <v>4.21</v>
      </c>
      <c r="C37" s="64">
        <v>3.15</v>
      </c>
      <c r="D37" s="64">
        <v>7.21</v>
      </c>
      <c r="E37" s="64">
        <v>5.44</v>
      </c>
      <c r="F37" s="64">
        <v>2.4500000000000002</v>
      </c>
      <c r="G37" s="64">
        <v>6.26</v>
      </c>
      <c r="H37" s="64">
        <v>3.51</v>
      </c>
      <c r="I37" s="64">
        <v>3.82</v>
      </c>
      <c r="J37" s="64">
        <v>0.53</v>
      </c>
      <c r="K37" s="64">
        <v>354.28</v>
      </c>
      <c r="L37" s="64">
        <v>22.36</v>
      </c>
      <c r="M37" s="64">
        <v>102.03</v>
      </c>
      <c r="N37" s="64">
        <v>55.9</v>
      </c>
      <c r="O37" s="64">
        <v>0</v>
      </c>
      <c r="P37" s="64">
        <v>0.35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4" t="s">
        <v>2484</v>
      </c>
      <c r="B38" s="64">
        <v>4.21</v>
      </c>
      <c r="C38" s="64">
        <v>3.15</v>
      </c>
      <c r="D38" s="64">
        <v>7.22</v>
      </c>
      <c r="E38" s="64">
        <v>5.36</v>
      </c>
      <c r="F38" s="64">
        <v>3.78</v>
      </c>
      <c r="G38" s="64">
        <v>5.19</v>
      </c>
      <c r="H38" s="64">
        <v>4.07</v>
      </c>
      <c r="I38" s="64">
        <v>3.76</v>
      </c>
      <c r="J38" s="64">
        <v>1.04</v>
      </c>
      <c r="K38" s="64">
        <v>341.58</v>
      </c>
      <c r="L38" s="64">
        <v>22.66</v>
      </c>
      <c r="M38" s="64">
        <v>102.02</v>
      </c>
      <c r="N38" s="64">
        <v>64.099999999999994</v>
      </c>
      <c r="O38" s="64">
        <v>0</v>
      </c>
      <c r="P38" s="64">
        <v>0.37</v>
      </c>
      <c r="Q38" s="64">
        <v>9.69</v>
      </c>
      <c r="R38" s="198"/>
      <c r="S38" s="198"/>
      <c r="T38" s="198"/>
      <c r="U38" s="198"/>
    </row>
    <row r="39" spans="1:21" s="12" customFormat="1" x14ac:dyDescent="0.25">
      <c r="A39" s="214" t="s">
        <v>2485</v>
      </c>
      <c r="B39" s="64">
        <v>4.22</v>
      </c>
      <c r="C39" s="64">
        <v>3.11</v>
      </c>
      <c r="D39" s="64">
        <v>7.2</v>
      </c>
      <c r="E39" s="64">
        <v>5.87</v>
      </c>
      <c r="F39" s="64">
        <v>2.99</v>
      </c>
      <c r="G39" s="64">
        <v>5.19</v>
      </c>
      <c r="H39" s="64">
        <v>4.07</v>
      </c>
      <c r="I39" s="64">
        <v>3.68</v>
      </c>
      <c r="J39" s="64">
        <v>1.46</v>
      </c>
      <c r="K39" s="64">
        <v>334.33</v>
      </c>
      <c r="L39" s="64">
        <v>22.92</v>
      </c>
      <c r="M39" s="64">
        <v>102</v>
      </c>
      <c r="N39" s="64">
        <v>73.400000000000006</v>
      </c>
      <c r="O39" s="64">
        <v>0</v>
      </c>
      <c r="P39" s="64">
        <v>0.37</v>
      </c>
      <c r="Q39" s="64">
        <v>9.6999999999999993</v>
      </c>
      <c r="R39" s="198"/>
      <c r="S39" s="198"/>
      <c r="T39" s="198"/>
      <c r="U39" s="198"/>
    </row>
    <row r="40" spans="1:21" s="12" customFormat="1" x14ac:dyDescent="0.25">
      <c r="A40" s="214" t="s">
        <v>2486</v>
      </c>
      <c r="B40" s="64">
        <v>4.2</v>
      </c>
      <c r="C40" s="64">
        <v>3.1</v>
      </c>
      <c r="D40" s="64">
        <v>7.18</v>
      </c>
      <c r="E40" s="64">
        <v>3.19</v>
      </c>
      <c r="F40" s="64">
        <v>3.83</v>
      </c>
      <c r="G40" s="64">
        <v>5.19</v>
      </c>
      <c r="H40" s="64">
        <v>4.07</v>
      </c>
      <c r="I40" s="64">
        <v>3.7</v>
      </c>
      <c r="J40" s="64">
        <v>1.48</v>
      </c>
      <c r="K40" s="64">
        <v>340</v>
      </c>
      <c r="L40" s="64">
        <v>23.2</v>
      </c>
      <c r="M40" s="64">
        <v>102</v>
      </c>
      <c r="N40" s="64">
        <v>106.5</v>
      </c>
      <c r="O40" s="64">
        <v>0</v>
      </c>
      <c r="P40" s="64">
        <v>0.4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4" t="s">
        <v>2487</v>
      </c>
      <c r="B41" s="64">
        <v>4.21</v>
      </c>
      <c r="C41" s="64">
        <v>3.13</v>
      </c>
      <c r="D41" s="64">
        <v>7.2</v>
      </c>
      <c r="E41" s="64">
        <v>3.98</v>
      </c>
      <c r="F41" s="64">
        <v>3.02</v>
      </c>
      <c r="G41" s="64">
        <v>4.95</v>
      </c>
      <c r="H41" s="64">
        <v>4.13</v>
      </c>
      <c r="I41" s="64">
        <v>3.7</v>
      </c>
      <c r="J41" s="64">
        <v>1.58</v>
      </c>
      <c r="K41" s="64">
        <v>341.66</v>
      </c>
      <c r="L41" s="64">
        <v>23.61</v>
      </c>
      <c r="M41" s="64">
        <v>101.97</v>
      </c>
      <c r="N41" s="64">
        <v>107.8</v>
      </c>
      <c r="O41" s="64">
        <v>0</v>
      </c>
      <c r="P41" s="64">
        <v>0.4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14" t="s">
        <v>2488</v>
      </c>
      <c r="B42" s="64">
        <v>4.21</v>
      </c>
      <c r="C42" s="64">
        <v>3.07</v>
      </c>
      <c r="D42" s="64">
        <v>7.17</v>
      </c>
      <c r="E42" s="64">
        <v>3.76</v>
      </c>
      <c r="F42" s="64">
        <v>3.5</v>
      </c>
      <c r="G42" s="64">
        <v>4.32</v>
      </c>
      <c r="H42" s="64">
        <v>4.2300000000000004</v>
      </c>
      <c r="I42" s="64">
        <v>3.56</v>
      </c>
      <c r="J42" s="64">
        <v>1.06</v>
      </c>
      <c r="K42" s="64">
        <v>341.91</v>
      </c>
      <c r="L42" s="64">
        <v>23.83</v>
      </c>
      <c r="M42" s="64">
        <v>101.97</v>
      </c>
      <c r="N42" s="64">
        <v>104.2</v>
      </c>
      <c r="O42" s="64">
        <v>0</v>
      </c>
      <c r="P42" s="64">
        <v>0.43</v>
      </c>
      <c r="Q42" s="64">
        <v>9.74</v>
      </c>
      <c r="R42" s="198"/>
      <c r="S42" s="198"/>
      <c r="T42" s="198"/>
      <c r="U42" s="198"/>
    </row>
    <row r="43" spans="1:21" s="12" customFormat="1" x14ac:dyDescent="0.25">
      <c r="A43" s="214" t="s">
        <v>2489</v>
      </c>
      <c r="B43" s="64">
        <v>4.21</v>
      </c>
      <c r="C43" s="64">
        <v>3.1</v>
      </c>
      <c r="D43" s="64">
        <v>7.19</v>
      </c>
      <c r="E43" s="64">
        <v>4.03</v>
      </c>
      <c r="F43" s="64">
        <v>2.7</v>
      </c>
      <c r="G43" s="64">
        <v>4.32</v>
      </c>
      <c r="H43" s="64">
        <v>4.2300000000000004</v>
      </c>
      <c r="I43" s="64">
        <v>3.46</v>
      </c>
      <c r="J43" s="64">
        <v>0.96</v>
      </c>
      <c r="K43" s="64">
        <v>334.28</v>
      </c>
      <c r="L43" s="64">
        <v>23.97</v>
      </c>
      <c r="M43" s="64">
        <v>101.97</v>
      </c>
      <c r="N43" s="64">
        <v>97.6</v>
      </c>
      <c r="O43" s="64">
        <v>0</v>
      </c>
      <c r="P43" s="64">
        <v>0.5</v>
      </c>
      <c r="Q43" s="64">
        <v>9.76</v>
      </c>
      <c r="R43" s="198"/>
      <c r="S43" s="198"/>
      <c r="T43" s="198"/>
      <c r="U43" s="198"/>
    </row>
    <row r="44" spans="1:21" s="12" customFormat="1" x14ac:dyDescent="0.25">
      <c r="A44" s="214" t="s">
        <v>2490</v>
      </c>
      <c r="B44" s="64">
        <v>4.26</v>
      </c>
      <c r="C44" s="64">
        <v>3.2</v>
      </c>
      <c r="D44" s="64">
        <v>7.28</v>
      </c>
      <c r="E44" s="64">
        <v>3.75</v>
      </c>
      <c r="F44" s="64">
        <v>3.41</v>
      </c>
      <c r="G44" s="64">
        <v>4.32</v>
      </c>
      <c r="H44" s="64">
        <v>4.2300000000000004</v>
      </c>
      <c r="I44" s="64">
        <v>3.39</v>
      </c>
      <c r="J44" s="64">
        <v>1.17</v>
      </c>
      <c r="K44" s="64">
        <v>339.5</v>
      </c>
      <c r="L44" s="64">
        <v>24.13</v>
      </c>
      <c r="M44" s="64">
        <v>101.96</v>
      </c>
      <c r="N44" s="64">
        <v>118.5</v>
      </c>
      <c r="O44" s="64">
        <v>0</v>
      </c>
      <c r="P44" s="64">
        <v>0.47</v>
      </c>
      <c r="Q44" s="64">
        <v>9.8000000000000007</v>
      </c>
      <c r="R44" s="198"/>
      <c r="S44" s="198"/>
      <c r="T44" s="198"/>
      <c r="U44" s="198"/>
    </row>
    <row r="45" spans="1:21" s="12" customFormat="1" x14ac:dyDescent="0.25">
      <c r="A45" s="214" t="s">
        <v>2491</v>
      </c>
      <c r="B45" s="64">
        <v>4.2699999999999996</v>
      </c>
      <c r="C45" s="64">
        <v>3.18</v>
      </c>
      <c r="D45" s="64">
        <v>7.28</v>
      </c>
      <c r="E45" s="64">
        <v>3.94</v>
      </c>
      <c r="F45" s="64">
        <v>3.51</v>
      </c>
      <c r="G45" s="64">
        <v>7.7</v>
      </c>
      <c r="H45" s="64">
        <v>5.57</v>
      </c>
      <c r="I45" s="64">
        <v>3.15</v>
      </c>
      <c r="J45" s="64">
        <v>1.38</v>
      </c>
      <c r="K45" s="64">
        <v>344.65</v>
      </c>
      <c r="L45" s="64">
        <v>24.7</v>
      </c>
      <c r="M45" s="64">
        <v>101.94</v>
      </c>
      <c r="N45" s="64">
        <v>210.9</v>
      </c>
      <c r="O45" s="64">
        <v>0</v>
      </c>
      <c r="P45" s="64">
        <v>0.51</v>
      </c>
      <c r="Q45" s="64">
        <v>9.84</v>
      </c>
      <c r="R45" s="198"/>
      <c r="S45" s="198"/>
      <c r="T45" s="198"/>
      <c r="U45" s="198"/>
    </row>
    <row r="46" spans="1:21" s="12" customFormat="1" x14ac:dyDescent="0.25">
      <c r="A46" s="214" t="s">
        <v>2492</v>
      </c>
      <c r="B46" s="64">
        <v>4.2699999999999996</v>
      </c>
      <c r="C46" s="64">
        <v>3.19</v>
      </c>
      <c r="D46" s="64">
        <v>7.29</v>
      </c>
      <c r="E46" s="64">
        <v>3.86</v>
      </c>
      <c r="F46" s="64">
        <v>3.58</v>
      </c>
      <c r="G46" s="64">
        <v>16.47</v>
      </c>
      <c r="H46" s="64">
        <v>11.22</v>
      </c>
      <c r="I46" s="64">
        <v>3.27</v>
      </c>
      <c r="J46" s="64">
        <v>1.1000000000000001</v>
      </c>
      <c r="K46" s="64">
        <v>332.39</v>
      </c>
      <c r="L46" s="64">
        <v>25.83</v>
      </c>
      <c r="M46" s="64">
        <v>98.98</v>
      </c>
      <c r="N46" s="64">
        <v>268.10000000000002</v>
      </c>
      <c r="O46" s="64">
        <v>0</v>
      </c>
      <c r="P46" s="64">
        <v>0.56999999999999995</v>
      </c>
      <c r="Q46" s="64">
        <v>9.9</v>
      </c>
      <c r="R46" s="198"/>
      <c r="S46" s="198"/>
      <c r="T46" s="198"/>
      <c r="U46" s="198"/>
    </row>
    <row r="47" spans="1:21" s="12" customFormat="1" x14ac:dyDescent="0.25">
      <c r="A47" s="214" t="s">
        <v>2493</v>
      </c>
      <c r="B47" s="64">
        <v>4.28</v>
      </c>
      <c r="C47" s="64">
        <v>3.19</v>
      </c>
      <c r="D47" s="64">
        <v>7.29</v>
      </c>
      <c r="E47" s="64">
        <v>4.04</v>
      </c>
      <c r="F47" s="64">
        <v>3.49</v>
      </c>
      <c r="G47" s="64">
        <v>16.47</v>
      </c>
      <c r="H47" s="64">
        <v>11.22</v>
      </c>
      <c r="I47" s="64">
        <v>3.51</v>
      </c>
      <c r="J47" s="64">
        <v>0.76</v>
      </c>
      <c r="K47" s="64">
        <v>337.3</v>
      </c>
      <c r="L47" s="64">
        <v>26.54</v>
      </c>
      <c r="M47" s="64">
        <v>94.19</v>
      </c>
      <c r="N47" s="64">
        <v>249.1</v>
      </c>
      <c r="O47" s="64">
        <v>0</v>
      </c>
      <c r="P47" s="64">
        <v>0.57999999999999996</v>
      </c>
      <c r="Q47" s="64">
        <v>9.94</v>
      </c>
      <c r="R47" s="198"/>
      <c r="S47" s="198"/>
      <c r="T47" s="198"/>
      <c r="U47" s="198"/>
    </row>
    <row r="48" spans="1:21" s="12" customFormat="1" x14ac:dyDescent="0.25">
      <c r="A48" s="214" t="s">
        <v>2494</v>
      </c>
      <c r="B48" s="64">
        <v>4.29</v>
      </c>
      <c r="C48" s="64">
        <v>3.2</v>
      </c>
      <c r="D48" s="64">
        <v>7.3</v>
      </c>
      <c r="E48" s="64">
        <v>3.96</v>
      </c>
      <c r="F48" s="64">
        <v>3.38</v>
      </c>
      <c r="G48" s="64">
        <v>16.47</v>
      </c>
      <c r="H48" s="64">
        <v>11.22</v>
      </c>
      <c r="I48" s="64">
        <v>3.62</v>
      </c>
      <c r="J48" s="64">
        <v>1.26</v>
      </c>
      <c r="K48" s="64">
        <v>340.81</v>
      </c>
      <c r="L48" s="64">
        <v>27.24</v>
      </c>
      <c r="M48" s="64">
        <v>90.5</v>
      </c>
      <c r="N48" s="64">
        <v>326.2</v>
      </c>
      <c r="O48" s="64">
        <v>0</v>
      </c>
      <c r="P48" s="64">
        <v>0.55000000000000004</v>
      </c>
      <c r="Q48" s="64">
        <v>9.9600000000000009</v>
      </c>
      <c r="R48" s="198"/>
      <c r="S48" s="198"/>
      <c r="T48" s="198"/>
      <c r="U48" s="198"/>
    </row>
    <row r="49" spans="1:21" s="12" customFormat="1" x14ac:dyDescent="0.25">
      <c r="A49" s="214" t="s">
        <v>2495</v>
      </c>
      <c r="B49" s="64">
        <v>4.33</v>
      </c>
      <c r="C49" s="64">
        <v>3.26</v>
      </c>
      <c r="D49" s="64">
        <v>7.36</v>
      </c>
      <c r="E49" s="64">
        <v>3.84</v>
      </c>
      <c r="F49" s="64">
        <v>3.46</v>
      </c>
      <c r="G49" s="64">
        <v>17.3</v>
      </c>
      <c r="H49" s="64">
        <v>12.38</v>
      </c>
      <c r="I49" s="64">
        <v>3.8</v>
      </c>
      <c r="J49" s="64">
        <v>0.99</v>
      </c>
      <c r="K49" s="64">
        <v>346.83</v>
      </c>
      <c r="L49" s="64">
        <v>27.74</v>
      </c>
      <c r="M49" s="64">
        <v>86.54</v>
      </c>
      <c r="N49" s="64">
        <v>365.7</v>
      </c>
      <c r="O49" s="64">
        <v>0</v>
      </c>
      <c r="P49" s="64">
        <v>0.6</v>
      </c>
      <c r="Q49" s="64">
        <v>9.9700000000000006</v>
      </c>
      <c r="R49" s="198"/>
      <c r="S49" s="198"/>
      <c r="T49" s="198"/>
      <c r="U49" s="198"/>
    </row>
    <row r="50" spans="1:21" s="12" customFormat="1" x14ac:dyDescent="0.25">
      <c r="A50" s="214" t="s">
        <v>2496</v>
      </c>
      <c r="B50" s="64">
        <v>4.32</v>
      </c>
      <c r="C50" s="64">
        <v>3.21</v>
      </c>
      <c r="D50" s="64">
        <v>7.34</v>
      </c>
      <c r="E50" s="64">
        <v>3.81</v>
      </c>
      <c r="F50" s="64">
        <v>3.47</v>
      </c>
      <c r="G50" s="64">
        <v>19.46</v>
      </c>
      <c r="H50" s="64">
        <v>14.34</v>
      </c>
      <c r="I50" s="64">
        <v>3.6</v>
      </c>
      <c r="J50" s="64">
        <v>0.64</v>
      </c>
      <c r="K50" s="64">
        <v>324.39</v>
      </c>
      <c r="L50" s="64">
        <v>29.04</v>
      </c>
      <c r="M50" s="64">
        <v>80.87</v>
      </c>
      <c r="N50" s="64">
        <v>454.1</v>
      </c>
      <c r="O50" s="64">
        <v>0</v>
      </c>
      <c r="P50" s="64">
        <v>0.56000000000000005</v>
      </c>
      <c r="Q50" s="64">
        <v>9.9600000000000009</v>
      </c>
      <c r="R50" s="198"/>
      <c r="S50" s="198"/>
      <c r="T50" s="198"/>
      <c r="U50" s="198"/>
    </row>
    <row r="51" spans="1:21" s="12" customFormat="1" x14ac:dyDescent="0.25">
      <c r="A51" s="214" t="s">
        <v>2497</v>
      </c>
      <c r="B51" s="64">
        <v>4.28</v>
      </c>
      <c r="C51" s="64">
        <v>3.14</v>
      </c>
      <c r="D51" s="64">
        <v>7.26</v>
      </c>
      <c r="E51" s="64">
        <v>4.0999999999999996</v>
      </c>
      <c r="F51" s="64">
        <v>4.32</v>
      </c>
      <c r="G51" s="64">
        <v>19.46</v>
      </c>
      <c r="H51" s="64">
        <v>14.34</v>
      </c>
      <c r="I51" s="64">
        <v>3.6</v>
      </c>
      <c r="J51" s="64">
        <v>0.67</v>
      </c>
      <c r="K51" s="64">
        <v>346.43</v>
      </c>
      <c r="L51" s="64">
        <v>28.85</v>
      </c>
      <c r="M51" s="64">
        <v>78.64</v>
      </c>
      <c r="N51" s="64">
        <v>331</v>
      </c>
      <c r="O51" s="64">
        <v>0</v>
      </c>
      <c r="P51" s="64">
        <v>0.63</v>
      </c>
      <c r="Q51" s="64">
        <v>9.9499999999999993</v>
      </c>
      <c r="R51" s="198"/>
      <c r="S51" s="198"/>
      <c r="T51" s="198"/>
      <c r="U51" s="198"/>
    </row>
    <row r="52" spans="1:21" s="12" customFormat="1" x14ac:dyDescent="0.25">
      <c r="A52" s="214" t="s">
        <v>2498</v>
      </c>
      <c r="B52" s="64">
        <v>4.2699999999999996</v>
      </c>
      <c r="C52" s="64">
        <v>3.19</v>
      </c>
      <c r="D52" s="64">
        <v>7.28</v>
      </c>
      <c r="E52" s="64">
        <v>4.0599999999999996</v>
      </c>
      <c r="F52" s="64">
        <v>2.92</v>
      </c>
      <c r="G52" s="64">
        <v>19.46</v>
      </c>
      <c r="H52" s="64">
        <v>14.34</v>
      </c>
      <c r="I52" s="64">
        <v>4.1100000000000003</v>
      </c>
      <c r="J52" s="64">
        <v>0.62</v>
      </c>
      <c r="K52" s="64">
        <v>343.86</v>
      </c>
      <c r="L52" s="64">
        <v>29.18</v>
      </c>
      <c r="M52" s="64">
        <v>75.849999999999994</v>
      </c>
      <c r="N52" s="64">
        <v>389.8</v>
      </c>
      <c r="O52" s="64">
        <v>0</v>
      </c>
      <c r="P52" s="64">
        <v>0.57999999999999996</v>
      </c>
      <c r="Q52" s="64">
        <v>9.93</v>
      </c>
      <c r="R52" s="198"/>
      <c r="S52" s="198"/>
      <c r="T52" s="198"/>
      <c r="U52" s="198"/>
    </row>
    <row r="53" spans="1:21" s="12" customFormat="1" x14ac:dyDescent="0.25">
      <c r="A53" s="214" t="s">
        <v>2499</v>
      </c>
      <c r="B53" s="64">
        <v>4.25</v>
      </c>
      <c r="C53" s="64">
        <v>3.19</v>
      </c>
      <c r="D53" s="64">
        <v>7.27</v>
      </c>
      <c r="E53" s="64">
        <v>3.82</v>
      </c>
      <c r="F53" s="64">
        <v>4.63</v>
      </c>
      <c r="G53" s="64">
        <v>20.76</v>
      </c>
      <c r="H53" s="64">
        <v>14.58</v>
      </c>
      <c r="I53" s="64">
        <v>4.2699999999999996</v>
      </c>
      <c r="J53" s="64">
        <v>0.4</v>
      </c>
      <c r="K53" s="64">
        <v>3.36</v>
      </c>
      <c r="L53" s="64">
        <v>29.85</v>
      </c>
      <c r="M53" s="64">
        <v>74.209999999999994</v>
      </c>
      <c r="N53" s="64">
        <v>662.2</v>
      </c>
      <c r="O53" s="64">
        <v>0</v>
      </c>
      <c r="P53" s="64">
        <v>0.6</v>
      </c>
      <c r="Q53" s="64">
        <v>9.9600000000000009</v>
      </c>
      <c r="R53" s="198"/>
      <c r="S53" s="198"/>
      <c r="T53" s="198"/>
      <c r="U53" s="198"/>
    </row>
    <row r="54" spans="1:21" s="12" customFormat="1" x14ac:dyDescent="0.25">
      <c r="A54" s="214" t="s">
        <v>2500</v>
      </c>
      <c r="B54" s="64">
        <v>4.28</v>
      </c>
      <c r="C54" s="64">
        <v>3.28</v>
      </c>
      <c r="D54" s="64">
        <v>7.33</v>
      </c>
      <c r="E54" s="64">
        <v>3.77</v>
      </c>
      <c r="F54" s="64">
        <v>3.29</v>
      </c>
      <c r="G54" s="64">
        <v>24.16</v>
      </c>
      <c r="H54" s="64">
        <v>14.99</v>
      </c>
      <c r="I54" s="64">
        <v>4.2300000000000004</v>
      </c>
      <c r="J54" s="64">
        <v>0.66</v>
      </c>
      <c r="K54" s="64">
        <v>344.95</v>
      </c>
      <c r="L54" s="64">
        <v>30.96</v>
      </c>
      <c r="M54" s="64">
        <v>71.91</v>
      </c>
      <c r="N54" s="64">
        <v>686.4</v>
      </c>
      <c r="O54" s="64">
        <v>0</v>
      </c>
      <c r="P54" s="64">
        <v>0.61</v>
      </c>
      <c r="Q54" s="64">
        <v>9.94</v>
      </c>
      <c r="R54" s="198"/>
      <c r="S54" s="198"/>
      <c r="T54" s="198"/>
      <c r="U54" s="198"/>
    </row>
    <row r="55" spans="1:21" s="12" customFormat="1" x14ac:dyDescent="0.25">
      <c r="A55" s="214" t="s">
        <v>2501</v>
      </c>
      <c r="B55" s="64">
        <v>4.3099999999999996</v>
      </c>
      <c r="C55" s="64">
        <v>3.37</v>
      </c>
      <c r="D55" s="64">
        <v>7.41</v>
      </c>
      <c r="E55" s="64">
        <v>3.42</v>
      </c>
      <c r="F55" s="64">
        <v>4.16</v>
      </c>
      <c r="G55" s="64">
        <v>24.16</v>
      </c>
      <c r="H55" s="64">
        <v>14.99</v>
      </c>
      <c r="I55" s="64">
        <v>4.32</v>
      </c>
      <c r="J55" s="64">
        <v>0.51</v>
      </c>
      <c r="K55" s="64">
        <v>344.79</v>
      </c>
      <c r="L55" s="64">
        <v>31.59</v>
      </c>
      <c r="M55" s="64">
        <v>70.459999999999994</v>
      </c>
      <c r="N55" s="64">
        <v>840.1</v>
      </c>
      <c r="O55" s="64">
        <v>0</v>
      </c>
      <c r="P55" s="64">
        <v>0.63</v>
      </c>
      <c r="Q55" s="64">
        <v>9.91</v>
      </c>
      <c r="R55" s="198"/>
      <c r="S55" s="198"/>
      <c r="T55" s="198"/>
      <c r="U55" s="198"/>
    </row>
    <row r="56" spans="1:21" s="12" customFormat="1" x14ac:dyDescent="0.25">
      <c r="A56" s="214" t="s">
        <v>2502</v>
      </c>
      <c r="B56" s="64">
        <v>4.26</v>
      </c>
      <c r="C56" s="64">
        <v>3.18</v>
      </c>
      <c r="D56" s="64">
        <v>7.27</v>
      </c>
      <c r="E56" s="64">
        <v>5.03</v>
      </c>
      <c r="F56" s="64">
        <v>3.11</v>
      </c>
      <c r="G56" s="64">
        <v>24.16</v>
      </c>
      <c r="H56" s="64">
        <v>14.99</v>
      </c>
      <c r="I56" s="64">
        <v>4.3</v>
      </c>
      <c r="J56" s="64">
        <v>1.1200000000000001</v>
      </c>
      <c r="K56" s="64">
        <v>338.1</v>
      </c>
      <c r="L56" s="64">
        <v>32.21</v>
      </c>
      <c r="M56" s="64">
        <v>67.98</v>
      </c>
      <c r="N56" s="64">
        <v>574.6</v>
      </c>
      <c r="O56" s="64">
        <v>0</v>
      </c>
      <c r="P56" s="64">
        <v>0.66</v>
      </c>
      <c r="Q56" s="64">
        <v>9.92</v>
      </c>
      <c r="R56" s="198"/>
      <c r="S56" s="198"/>
      <c r="T56" s="198"/>
      <c r="U56" s="198"/>
    </row>
    <row r="57" spans="1:21" s="12" customFormat="1" x14ac:dyDescent="0.25">
      <c r="A57" s="214" t="s">
        <v>2503</v>
      </c>
      <c r="B57" s="64">
        <v>4.2699999999999996</v>
      </c>
      <c r="C57" s="64">
        <v>3.19</v>
      </c>
      <c r="D57" s="64">
        <v>7.28</v>
      </c>
      <c r="E57" s="64">
        <v>5.07</v>
      </c>
      <c r="F57" s="64">
        <v>3.41</v>
      </c>
      <c r="G57" s="64">
        <v>31.19</v>
      </c>
      <c r="H57" s="64">
        <v>22.6</v>
      </c>
      <c r="I57" s="64">
        <v>4.41</v>
      </c>
      <c r="J57" s="64">
        <v>0.9</v>
      </c>
      <c r="K57" s="64">
        <v>342.26</v>
      </c>
      <c r="L57" s="64">
        <v>31.75</v>
      </c>
      <c r="M57" s="64">
        <v>70.150000000000006</v>
      </c>
      <c r="N57" s="64">
        <v>568</v>
      </c>
      <c r="O57" s="64">
        <v>0</v>
      </c>
      <c r="P57" s="64">
        <v>0.71</v>
      </c>
      <c r="Q57" s="64">
        <v>9.9</v>
      </c>
      <c r="R57" s="198"/>
      <c r="S57" s="198"/>
      <c r="T57" s="198"/>
      <c r="U57" s="198"/>
    </row>
    <row r="58" spans="1:21" s="12" customFormat="1" x14ac:dyDescent="0.25">
      <c r="A58" s="214" t="s">
        <v>2504</v>
      </c>
      <c r="B58" s="64">
        <v>4.3099999999999996</v>
      </c>
      <c r="C58" s="64">
        <v>3.32</v>
      </c>
      <c r="D58" s="64">
        <v>7.38</v>
      </c>
      <c r="E58" s="64">
        <v>4.93</v>
      </c>
      <c r="F58" s="64">
        <v>4.2300000000000004</v>
      </c>
      <c r="G58" s="64">
        <v>49.49</v>
      </c>
      <c r="H58" s="64">
        <v>35.39</v>
      </c>
      <c r="I58" s="64">
        <v>4.3499999999999996</v>
      </c>
      <c r="J58" s="64">
        <v>0.5</v>
      </c>
      <c r="K58" s="64">
        <v>332.96</v>
      </c>
      <c r="L58" s="64">
        <v>31.75</v>
      </c>
      <c r="M58" s="64">
        <v>69.099999999999994</v>
      </c>
      <c r="N58" s="64">
        <v>466.7</v>
      </c>
      <c r="O58" s="64">
        <v>0</v>
      </c>
      <c r="P58" s="64">
        <v>0.7</v>
      </c>
      <c r="Q58" s="64">
        <v>9.9</v>
      </c>
      <c r="R58" s="198"/>
      <c r="S58" s="198"/>
      <c r="T58" s="198"/>
      <c r="U58" s="198"/>
    </row>
    <row r="59" spans="1:21" s="12" customFormat="1" x14ac:dyDescent="0.25">
      <c r="A59" s="214" t="s">
        <v>2505</v>
      </c>
      <c r="B59" s="64">
        <v>4.28</v>
      </c>
      <c r="C59" s="64">
        <v>3.23</v>
      </c>
      <c r="D59" s="64">
        <v>7.31</v>
      </c>
      <c r="E59" s="64">
        <v>4.82</v>
      </c>
      <c r="F59" s="64">
        <v>3.31</v>
      </c>
      <c r="G59" s="64">
        <v>49.49</v>
      </c>
      <c r="H59" s="64">
        <v>35.39</v>
      </c>
      <c r="I59" s="64">
        <v>4.45</v>
      </c>
      <c r="J59" s="64">
        <v>0.15</v>
      </c>
      <c r="K59" s="64">
        <v>36.67</v>
      </c>
      <c r="L59" s="64">
        <v>31.58</v>
      </c>
      <c r="M59" s="64">
        <v>69.5</v>
      </c>
      <c r="N59" s="64">
        <v>415.8</v>
      </c>
      <c r="O59" s="64">
        <v>0</v>
      </c>
      <c r="P59" s="64">
        <v>0.72</v>
      </c>
      <c r="Q59" s="64">
        <v>9.8800000000000008</v>
      </c>
      <c r="R59" s="198"/>
      <c r="S59" s="198"/>
      <c r="T59" s="198"/>
      <c r="U59" s="198"/>
    </row>
    <row r="60" spans="1:21" s="12" customFormat="1" x14ac:dyDescent="0.25">
      <c r="A60" s="214" t="s">
        <v>2506</v>
      </c>
      <c r="B60" s="64">
        <v>4.3099999999999996</v>
      </c>
      <c r="C60" s="64">
        <v>3.28</v>
      </c>
      <c r="D60" s="64">
        <v>7.35</v>
      </c>
      <c r="E60" s="64">
        <v>4.8899999999999997</v>
      </c>
      <c r="F60" s="64">
        <v>3.71</v>
      </c>
      <c r="G60" s="64">
        <v>49.49</v>
      </c>
      <c r="H60" s="64">
        <v>35.39</v>
      </c>
      <c r="I60" s="64">
        <v>4.67</v>
      </c>
      <c r="J60" s="64">
        <v>0.77</v>
      </c>
      <c r="K60" s="64">
        <v>117.48</v>
      </c>
      <c r="L60" s="64">
        <v>29.29</v>
      </c>
      <c r="M60" s="64">
        <v>75.34</v>
      </c>
      <c r="N60" s="64">
        <v>406.1</v>
      </c>
      <c r="O60" s="64">
        <v>0</v>
      </c>
      <c r="P60" s="64">
        <v>0.64</v>
      </c>
      <c r="Q60" s="64">
        <v>9.86</v>
      </c>
      <c r="R60" s="198"/>
      <c r="S60" s="198"/>
      <c r="T60" s="198"/>
      <c r="U60" s="198"/>
    </row>
    <row r="61" spans="1:21" s="12" customFormat="1" x14ac:dyDescent="0.25">
      <c r="A61" s="214" t="s">
        <v>2507</v>
      </c>
      <c r="B61" s="64">
        <v>4.3</v>
      </c>
      <c r="C61" s="64">
        <v>3.3</v>
      </c>
      <c r="D61" s="64">
        <v>7.36</v>
      </c>
      <c r="E61" s="64">
        <v>4.53</v>
      </c>
      <c r="F61" s="64">
        <v>4.2300000000000004</v>
      </c>
      <c r="G61" s="64">
        <v>51.47</v>
      </c>
      <c r="H61" s="64">
        <v>34.24</v>
      </c>
      <c r="I61" s="64">
        <v>4.3</v>
      </c>
      <c r="J61" s="64">
        <v>1.03</v>
      </c>
      <c r="K61" s="64">
        <v>127.17</v>
      </c>
      <c r="L61" s="64">
        <v>29.18</v>
      </c>
      <c r="M61" s="64">
        <v>74.39</v>
      </c>
      <c r="N61" s="64">
        <v>492.1</v>
      </c>
      <c r="O61" s="64">
        <v>0</v>
      </c>
      <c r="P61" s="64">
        <v>0.62</v>
      </c>
      <c r="Q61" s="64">
        <v>9.8699999999999992</v>
      </c>
      <c r="R61" s="198"/>
      <c r="S61" s="198"/>
      <c r="T61" s="198"/>
      <c r="U61" s="198"/>
    </row>
    <row r="62" spans="1:21" s="12" customFormat="1" x14ac:dyDescent="0.25">
      <c r="A62" s="214" t="s">
        <v>2508</v>
      </c>
      <c r="B62" s="64">
        <v>4.2699999999999996</v>
      </c>
      <c r="C62" s="64">
        <v>3.26</v>
      </c>
      <c r="D62" s="64">
        <v>7.31</v>
      </c>
      <c r="E62" s="64">
        <v>5.0999999999999996</v>
      </c>
      <c r="F62" s="64">
        <v>3.99</v>
      </c>
      <c r="G62" s="64">
        <v>56.62</v>
      </c>
      <c r="H62" s="64">
        <v>29.88</v>
      </c>
      <c r="I62" s="64">
        <v>4.09</v>
      </c>
      <c r="J62" s="64">
        <v>0.43</v>
      </c>
      <c r="K62" s="64">
        <v>114.33</v>
      </c>
      <c r="L62" s="64">
        <v>29.75</v>
      </c>
      <c r="M62" s="64">
        <v>72.900000000000006</v>
      </c>
      <c r="N62" s="64">
        <v>369.9</v>
      </c>
      <c r="O62" s="64">
        <v>0</v>
      </c>
      <c r="P62" s="64">
        <v>0.67</v>
      </c>
      <c r="Q62" s="64">
        <v>9.8699999999999992</v>
      </c>
      <c r="R62" s="198"/>
      <c r="S62" s="198"/>
      <c r="T62" s="198"/>
      <c r="U62" s="198"/>
    </row>
    <row r="63" spans="1:21" s="12" customFormat="1" x14ac:dyDescent="0.25">
      <c r="A63" s="214" t="s">
        <v>2509</v>
      </c>
      <c r="B63" s="64">
        <v>4.2699999999999996</v>
      </c>
      <c r="C63" s="64">
        <v>3.21</v>
      </c>
      <c r="D63" s="64">
        <v>7.29</v>
      </c>
      <c r="E63" s="64">
        <v>5.53</v>
      </c>
      <c r="F63" s="64">
        <v>3.86</v>
      </c>
      <c r="G63" s="64">
        <v>56.62</v>
      </c>
      <c r="H63" s="64">
        <v>29.88</v>
      </c>
      <c r="I63" s="64">
        <v>4.3099999999999996</v>
      </c>
      <c r="J63" s="64">
        <v>0.97</v>
      </c>
      <c r="K63" s="64">
        <v>132.19</v>
      </c>
      <c r="L63" s="64">
        <v>29.28</v>
      </c>
      <c r="M63" s="64">
        <v>74.92</v>
      </c>
      <c r="N63" s="64">
        <v>354.5</v>
      </c>
      <c r="O63" s="64">
        <v>0</v>
      </c>
      <c r="P63" s="64">
        <v>0.66</v>
      </c>
      <c r="Q63" s="64">
        <v>9.85</v>
      </c>
      <c r="R63" s="198"/>
      <c r="S63" s="198"/>
      <c r="T63" s="198"/>
      <c r="U63" s="198"/>
    </row>
    <row r="64" spans="1:21" s="12" customFormat="1" x14ac:dyDescent="0.25">
      <c r="A64" s="214" t="s">
        <v>2510</v>
      </c>
      <c r="B64" s="64">
        <v>4.28</v>
      </c>
      <c r="C64" s="64">
        <v>3.27</v>
      </c>
      <c r="D64" s="64">
        <v>7.33</v>
      </c>
      <c r="E64" s="64">
        <v>5.0999999999999996</v>
      </c>
      <c r="F64" s="64">
        <v>4.01</v>
      </c>
      <c r="G64" s="64">
        <v>56.62</v>
      </c>
      <c r="H64" s="64">
        <v>29.88</v>
      </c>
      <c r="I64" s="64">
        <v>4.58</v>
      </c>
      <c r="J64" s="64">
        <v>0.18</v>
      </c>
      <c r="K64" s="64">
        <v>353.95</v>
      </c>
      <c r="L64" s="64">
        <v>29.59</v>
      </c>
      <c r="M64" s="64">
        <v>75.03</v>
      </c>
      <c r="N64" s="64">
        <v>270.3</v>
      </c>
      <c r="O64" s="64">
        <v>0</v>
      </c>
      <c r="P64" s="64">
        <v>0.61</v>
      </c>
      <c r="Q64" s="64">
        <v>9.84</v>
      </c>
      <c r="R64" s="198"/>
      <c r="S64" s="198"/>
      <c r="T64" s="198"/>
      <c r="U64" s="198"/>
    </row>
    <row r="65" spans="1:21" s="12" customFormat="1" x14ac:dyDescent="0.25">
      <c r="A65" s="214" t="s">
        <v>2511</v>
      </c>
      <c r="B65" s="64">
        <v>4.2699999999999996</v>
      </c>
      <c r="C65" s="64">
        <v>3.26</v>
      </c>
      <c r="D65" s="64">
        <v>7.32</v>
      </c>
      <c r="E65" s="64">
        <v>4.82</v>
      </c>
      <c r="F65" s="64">
        <v>4.3099999999999996</v>
      </c>
      <c r="G65" s="64">
        <v>56.39</v>
      </c>
      <c r="H65" s="64">
        <v>30.09</v>
      </c>
      <c r="I65" s="64">
        <v>4.4000000000000004</v>
      </c>
      <c r="J65" s="64">
        <v>0.28999999999999998</v>
      </c>
      <c r="K65" s="64">
        <v>113.31</v>
      </c>
      <c r="L65" s="64">
        <v>28.93</v>
      </c>
      <c r="M65" s="64">
        <v>81.12</v>
      </c>
      <c r="N65" s="64">
        <v>285.60000000000002</v>
      </c>
      <c r="O65" s="64">
        <v>0</v>
      </c>
      <c r="P65" s="64">
        <v>0.65</v>
      </c>
      <c r="Q65" s="64">
        <v>9.84</v>
      </c>
      <c r="R65" s="198"/>
      <c r="S65" s="198"/>
      <c r="T65" s="198"/>
      <c r="U65" s="198"/>
    </row>
    <row r="66" spans="1:21" s="12" customFormat="1" x14ac:dyDescent="0.25">
      <c r="A66" s="214" t="s">
        <v>2512</v>
      </c>
      <c r="B66" s="64">
        <v>4.28</v>
      </c>
      <c r="C66" s="64">
        <v>3.19</v>
      </c>
      <c r="D66" s="64">
        <v>7.29</v>
      </c>
      <c r="E66" s="64">
        <v>4.97</v>
      </c>
      <c r="F66" s="64">
        <v>4.21</v>
      </c>
      <c r="G66" s="64">
        <v>55.79</v>
      </c>
      <c r="H66" s="64">
        <v>30.45</v>
      </c>
      <c r="I66" s="64">
        <v>4.49</v>
      </c>
      <c r="J66" s="64">
        <v>0.64</v>
      </c>
      <c r="K66" s="64">
        <v>138.59</v>
      </c>
      <c r="L66" s="64">
        <v>28.46</v>
      </c>
      <c r="M66" s="64">
        <v>82.52</v>
      </c>
      <c r="N66" s="64">
        <v>291.2</v>
      </c>
      <c r="O66" s="64">
        <v>0</v>
      </c>
      <c r="P66" s="64">
        <v>0.64</v>
      </c>
      <c r="Q66" s="64">
        <v>9.8000000000000007</v>
      </c>
      <c r="R66" s="198"/>
      <c r="S66" s="198"/>
      <c r="T66" s="198"/>
      <c r="U66" s="198"/>
    </row>
    <row r="67" spans="1:21" s="12" customFormat="1" x14ac:dyDescent="0.25">
      <c r="A67" s="214" t="s">
        <v>2513</v>
      </c>
      <c r="B67" s="64">
        <v>4.2699999999999996</v>
      </c>
      <c r="C67" s="64">
        <v>3.17</v>
      </c>
      <c r="D67" s="64">
        <v>7.27</v>
      </c>
      <c r="E67" s="64">
        <v>4.92</v>
      </c>
      <c r="F67" s="64">
        <v>4.9400000000000004</v>
      </c>
      <c r="G67" s="64">
        <v>55.79</v>
      </c>
      <c r="H67" s="64">
        <v>30.45</v>
      </c>
      <c r="I67" s="64">
        <v>5.19</v>
      </c>
      <c r="J67" s="64">
        <v>1.1499999999999999</v>
      </c>
      <c r="K67" s="64">
        <v>137.63999999999999</v>
      </c>
      <c r="L67" s="64">
        <v>28.61</v>
      </c>
      <c r="M67" s="64">
        <v>82.95</v>
      </c>
      <c r="N67" s="64">
        <v>223.9</v>
      </c>
      <c r="O67" s="64">
        <v>0</v>
      </c>
      <c r="P67" s="64">
        <v>0.64</v>
      </c>
      <c r="Q67" s="64">
        <v>9.75</v>
      </c>
      <c r="R67" s="198"/>
      <c r="S67" s="198"/>
      <c r="T67" s="198"/>
      <c r="U67" s="198"/>
    </row>
    <row r="68" spans="1:21" s="12" customFormat="1" x14ac:dyDescent="0.25">
      <c r="A68" s="214" t="s">
        <v>2514</v>
      </c>
      <c r="B68" s="64">
        <v>4.21</v>
      </c>
      <c r="C68" s="64">
        <v>3.11</v>
      </c>
      <c r="D68" s="64">
        <v>7.19</v>
      </c>
      <c r="E68" s="64">
        <v>5.09</v>
      </c>
      <c r="F68" s="64">
        <v>4.6399999999999997</v>
      </c>
      <c r="G68" s="64">
        <v>55.79</v>
      </c>
      <c r="H68" s="64">
        <v>30.45</v>
      </c>
      <c r="I68" s="64">
        <v>5.12</v>
      </c>
      <c r="J68" s="64">
        <v>0.48</v>
      </c>
      <c r="K68" s="64">
        <v>138.72</v>
      </c>
      <c r="L68" s="64">
        <v>28.15</v>
      </c>
      <c r="M68" s="64">
        <v>83.76</v>
      </c>
      <c r="N68" s="64">
        <v>189.9</v>
      </c>
      <c r="O68" s="64">
        <v>0</v>
      </c>
      <c r="P68" s="64">
        <v>0.59</v>
      </c>
      <c r="Q68" s="64">
        <v>9.6999999999999993</v>
      </c>
      <c r="R68" s="198"/>
      <c r="S68" s="198"/>
      <c r="T68" s="198"/>
      <c r="U68" s="198"/>
    </row>
    <row r="69" spans="1:21" s="12" customFormat="1" x14ac:dyDescent="0.25">
      <c r="A69" s="214" t="s">
        <v>2515</v>
      </c>
      <c r="B69" s="64">
        <v>4.1900000000000004</v>
      </c>
      <c r="C69" s="64">
        <v>3.17</v>
      </c>
      <c r="D69" s="64">
        <v>7.2</v>
      </c>
      <c r="E69" s="64">
        <v>4.68</v>
      </c>
      <c r="F69" s="64">
        <v>4.53</v>
      </c>
      <c r="G69" s="64">
        <v>55.53</v>
      </c>
      <c r="H69" s="64">
        <v>27.69</v>
      </c>
      <c r="I69" s="64">
        <v>5.79</v>
      </c>
      <c r="J69" s="64">
        <v>0.89</v>
      </c>
      <c r="K69" s="64">
        <v>136.24</v>
      </c>
      <c r="L69" s="64">
        <v>27.95</v>
      </c>
      <c r="M69" s="64">
        <v>85.81</v>
      </c>
      <c r="N69" s="64">
        <v>163.4</v>
      </c>
      <c r="O69" s="64">
        <v>0</v>
      </c>
      <c r="P69" s="64">
        <v>0.59</v>
      </c>
      <c r="Q69" s="64">
        <v>9.66</v>
      </c>
      <c r="R69" s="198"/>
      <c r="S69" s="198"/>
      <c r="T69" s="198"/>
      <c r="U69" s="198"/>
    </row>
    <row r="70" spans="1:21" s="12" customFormat="1" x14ac:dyDescent="0.25">
      <c r="A70" s="214" t="s">
        <v>2516</v>
      </c>
      <c r="B70" s="64">
        <v>4.2</v>
      </c>
      <c r="C70" s="64">
        <v>3.14</v>
      </c>
      <c r="D70" s="64">
        <v>7.19</v>
      </c>
      <c r="E70" s="64">
        <v>4.47</v>
      </c>
      <c r="F70" s="64">
        <v>5.9</v>
      </c>
      <c r="G70" s="64">
        <v>54.83</v>
      </c>
      <c r="H70" s="64">
        <v>23.04</v>
      </c>
      <c r="I70" s="64">
        <v>5.03</v>
      </c>
      <c r="J70" s="64">
        <v>0.1</v>
      </c>
      <c r="K70" s="64">
        <v>102.61</v>
      </c>
      <c r="L70" s="64">
        <v>27.81</v>
      </c>
      <c r="M70" s="64">
        <v>86.73</v>
      </c>
      <c r="N70" s="64">
        <v>150</v>
      </c>
      <c r="O70" s="64">
        <v>0</v>
      </c>
      <c r="P70" s="64">
        <v>0.62</v>
      </c>
      <c r="Q70" s="64">
        <v>9.65</v>
      </c>
      <c r="R70" s="198"/>
      <c r="S70" s="198"/>
      <c r="T70" s="198"/>
      <c r="U70" s="198"/>
    </row>
    <row r="71" spans="1:21" s="12" customFormat="1" x14ac:dyDescent="0.25">
      <c r="A71" s="214" t="s">
        <v>2517</v>
      </c>
      <c r="B71" s="64">
        <v>4.1900000000000004</v>
      </c>
      <c r="C71" s="64">
        <v>3.13</v>
      </c>
      <c r="D71" s="64">
        <v>7.18</v>
      </c>
      <c r="E71" s="64">
        <v>4.62</v>
      </c>
      <c r="F71" s="64">
        <v>3.83</v>
      </c>
      <c r="G71" s="64">
        <v>54.83</v>
      </c>
      <c r="H71" s="64">
        <v>23.04</v>
      </c>
      <c r="I71" s="64">
        <v>4.7300000000000004</v>
      </c>
      <c r="J71" s="64">
        <v>0.24</v>
      </c>
      <c r="K71" s="64">
        <v>120.3</v>
      </c>
      <c r="L71" s="64">
        <v>27.72</v>
      </c>
      <c r="M71" s="64">
        <v>88.27</v>
      </c>
      <c r="N71" s="64">
        <v>105.2</v>
      </c>
      <c r="O71" s="64">
        <v>0</v>
      </c>
      <c r="P71" s="64">
        <v>0.57999999999999996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4" t="s">
        <v>2518</v>
      </c>
      <c r="B72" s="64">
        <v>4.21</v>
      </c>
      <c r="C72" s="64">
        <v>3.13</v>
      </c>
      <c r="D72" s="64">
        <v>7.2</v>
      </c>
      <c r="E72" s="64">
        <v>3.87</v>
      </c>
      <c r="F72" s="64">
        <v>4.92</v>
      </c>
      <c r="G72" s="64">
        <v>54.83</v>
      </c>
      <c r="H72" s="64">
        <v>23.04</v>
      </c>
      <c r="I72" s="64">
        <v>5.45</v>
      </c>
      <c r="J72" s="64">
        <v>0.44</v>
      </c>
      <c r="K72" s="64">
        <v>137.56</v>
      </c>
      <c r="L72" s="64">
        <v>27.42</v>
      </c>
      <c r="M72" s="64">
        <v>90.34</v>
      </c>
      <c r="N72" s="64">
        <v>103.8</v>
      </c>
      <c r="O72" s="64">
        <v>0</v>
      </c>
      <c r="P72" s="64">
        <v>0.55000000000000004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4" t="s">
        <v>2519</v>
      </c>
      <c r="B73" s="64">
        <v>4.21</v>
      </c>
      <c r="C73" s="64">
        <v>3.14</v>
      </c>
      <c r="D73" s="64">
        <v>7.21</v>
      </c>
      <c r="E73" s="64">
        <v>4.45</v>
      </c>
      <c r="F73" s="64">
        <v>5.41</v>
      </c>
      <c r="G73" s="64">
        <v>53.43</v>
      </c>
      <c r="H73" s="64">
        <v>22.08</v>
      </c>
      <c r="I73" s="64">
        <v>4.8499999999999996</v>
      </c>
      <c r="J73" s="64">
        <v>0.27</v>
      </c>
      <c r="K73" s="64">
        <v>135.71</v>
      </c>
      <c r="L73" s="64">
        <v>27.37</v>
      </c>
      <c r="M73" s="64">
        <v>90.42</v>
      </c>
      <c r="N73" s="64">
        <v>98.6</v>
      </c>
      <c r="O73" s="64">
        <v>0</v>
      </c>
      <c r="P73" s="64">
        <v>0.57999999999999996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4" t="s">
        <v>2520</v>
      </c>
      <c r="B74" s="64">
        <v>4.2</v>
      </c>
      <c r="C74" s="64">
        <v>3.11</v>
      </c>
      <c r="D74" s="64">
        <v>7.18</v>
      </c>
      <c r="E74" s="64">
        <v>4.6100000000000003</v>
      </c>
      <c r="F74" s="64">
        <v>4.4000000000000004</v>
      </c>
      <c r="G74" s="64">
        <v>49.79</v>
      </c>
      <c r="H74" s="64">
        <v>20.46</v>
      </c>
      <c r="I74" s="64">
        <v>4.6900000000000004</v>
      </c>
      <c r="J74" s="64">
        <v>0.76</v>
      </c>
      <c r="K74" s="64">
        <v>134.03</v>
      </c>
      <c r="L74" s="64">
        <v>27.41</v>
      </c>
      <c r="M74" s="64">
        <v>88.91</v>
      </c>
      <c r="N74" s="64">
        <v>88.9</v>
      </c>
      <c r="O74" s="64">
        <v>0</v>
      </c>
      <c r="P74" s="64">
        <v>0.51</v>
      </c>
      <c r="Q74" s="64">
        <v>9.58</v>
      </c>
      <c r="R74" s="198"/>
      <c r="S74" s="198"/>
      <c r="T74" s="198"/>
      <c r="U74" s="198"/>
    </row>
    <row r="75" spans="1:21" s="12" customFormat="1" x14ac:dyDescent="0.25">
      <c r="A75" s="214" t="s">
        <v>2521</v>
      </c>
      <c r="B75" s="64">
        <v>4.1900000000000004</v>
      </c>
      <c r="C75" s="64">
        <v>3.1</v>
      </c>
      <c r="D75" s="64">
        <v>7.17</v>
      </c>
      <c r="E75" s="64">
        <v>4.45</v>
      </c>
      <c r="F75" s="64">
        <v>5.74</v>
      </c>
      <c r="G75" s="64">
        <v>49.79</v>
      </c>
      <c r="H75" s="64">
        <v>20.46</v>
      </c>
      <c r="I75" s="64">
        <v>3.87</v>
      </c>
      <c r="J75" s="64">
        <v>0.06</v>
      </c>
      <c r="K75" s="64">
        <v>200.59</v>
      </c>
      <c r="L75" s="64">
        <v>27.53</v>
      </c>
      <c r="M75" s="64">
        <v>90.64</v>
      </c>
      <c r="N75" s="64">
        <v>74.599999999999994</v>
      </c>
      <c r="O75" s="64">
        <v>0</v>
      </c>
      <c r="P75" s="64">
        <v>0.55000000000000004</v>
      </c>
      <c r="Q75" s="64">
        <v>9.58</v>
      </c>
      <c r="R75" s="198"/>
      <c r="S75" s="198"/>
      <c r="T75" s="198"/>
      <c r="U75" s="198"/>
    </row>
    <row r="76" spans="1:21" s="12" customFormat="1" x14ac:dyDescent="0.25">
      <c r="A76" s="214" t="s">
        <v>2522</v>
      </c>
      <c r="B76" s="64">
        <v>4.18</v>
      </c>
      <c r="C76" s="64">
        <v>3.09</v>
      </c>
      <c r="D76" s="64">
        <v>7.16</v>
      </c>
      <c r="E76" s="64">
        <v>4.66</v>
      </c>
      <c r="F76" s="64">
        <v>5</v>
      </c>
      <c r="G76" s="64">
        <v>49.79</v>
      </c>
      <c r="H76" s="64">
        <v>20.46</v>
      </c>
      <c r="I76" s="64">
        <v>2.95</v>
      </c>
      <c r="J76" s="64">
        <v>0.15</v>
      </c>
      <c r="K76" s="64">
        <v>100.54</v>
      </c>
      <c r="L76" s="64">
        <v>27.24</v>
      </c>
      <c r="M76" s="64">
        <v>92.1</v>
      </c>
      <c r="N76" s="64">
        <v>60.5</v>
      </c>
      <c r="O76" s="64">
        <v>0</v>
      </c>
      <c r="P76" s="64">
        <v>0.54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4" t="s">
        <v>2523</v>
      </c>
      <c r="B77" s="64">
        <v>4.22</v>
      </c>
      <c r="C77" s="64">
        <v>3.09</v>
      </c>
      <c r="D77" s="64">
        <v>7.19</v>
      </c>
      <c r="E77" s="64">
        <v>4.2300000000000004</v>
      </c>
      <c r="F77" s="64">
        <v>5.92</v>
      </c>
      <c r="G77" s="64">
        <v>48.05</v>
      </c>
      <c r="H77" s="64">
        <v>20.36</v>
      </c>
      <c r="I77" s="64">
        <v>4.01</v>
      </c>
      <c r="J77" s="64">
        <v>0.14000000000000001</v>
      </c>
      <c r="K77" s="64">
        <v>330.71</v>
      </c>
      <c r="L77" s="64">
        <v>27.16</v>
      </c>
      <c r="M77" s="64">
        <v>93.55</v>
      </c>
      <c r="N77" s="64">
        <v>50.9</v>
      </c>
      <c r="O77" s="64">
        <v>0</v>
      </c>
      <c r="P77" s="64">
        <v>0.51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14" t="s">
        <v>2524</v>
      </c>
      <c r="B78" s="64">
        <v>4.25</v>
      </c>
      <c r="C78" s="64">
        <v>3.12</v>
      </c>
      <c r="D78" s="64">
        <v>7.23</v>
      </c>
      <c r="E78" s="64">
        <v>4.09</v>
      </c>
      <c r="F78" s="64">
        <v>6.27</v>
      </c>
      <c r="G78" s="64">
        <v>43.53</v>
      </c>
      <c r="H78" s="64">
        <v>19.96</v>
      </c>
      <c r="I78" s="64">
        <v>3.11</v>
      </c>
      <c r="J78" s="64">
        <v>0.34</v>
      </c>
      <c r="K78" s="64">
        <v>348.65</v>
      </c>
      <c r="L78" s="64">
        <v>26.96</v>
      </c>
      <c r="M78" s="64">
        <v>94.19</v>
      </c>
      <c r="N78" s="64">
        <v>44.3</v>
      </c>
      <c r="O78" s="64">
        <v>0</v>
      </c>
      <c r="P78" s="64">
        <v>0.51</v>
      </c>
      <c r="Q78" s="64">
        <v>9.57</v>
      </c>
      <c r="R78" s="198"/>
      <c r="S78" s="198"/>
      <c r="T78" s="198"/>
      <c r="U78" s="198"/>
    </row>
    <row r="79" spans="1:21" s="12" customFormat="1" x14ac:dyDescent="0.25">
      <c r="A79" s="214" t="s">
        <v>2525</v>
      </c>
      <c r="B79" s="64">
        <v>4.25</v>
      </c>
      <c r="C79" s="64">
        <v>3.12</v>
      </c>
      <c r="D79" s="64">
        <v>7.23</v>
      </c>
      <c r="E79" s="64">
        <v>4.26</v>
      </c>
      <c r="F79" s="64">
        <v>6.3</v>
      </c>
      <c r="G79" s="64">
        <v>43.53</v>
      </c>
      <c r="H79" s="64">
        <v>19.96</v>
      </c>
      <c r="I79" s="64">
        <v>1.66</v>
      </c>
      <c r="J79" s="64">
        <v>0.02</v>
      </c>
      <c r="K79" s="64">
        <v>34.58</v>
      </c>
      <c r="L79" s="64">
        <v>26.92</v>
      </c>
      <c r="M79" s="64">
        <v>95.66</v>
      </c>
      <c r="N79" s="64">
        <v>34.6</v>
      </c>
      <c r="O79" s="64">
        <v>0</v>
      </c>
      <c r="P79" s="64">
        <v>0.72</v>
      </c>
      <c r="Q79" s="64">
        <v>9.59</v>
      </c>
      <c r="R79" s="198"/>
      <c r="S79" s="198"/>
      <c r="T79" s="198"/>
      <c r="U79" s="198"/>
    </row>
    <row r="80" spans="1:21" s="12" customFormat="1" x14ac:dyDescent="0.25">
      <c r="A80" s="214" t="s">
        <v>2526</v>
      </c>
      <c r="B80" s="64">
        <v>4.25</v>
      </c>
      <c r="C80" s="64">
        <v>3.11</v>
      </c>
      <c r="D80" s="64">
        <v>7.22</v>
      </c>
      <c r="E80" s="64">
        <v>4.22</v>
      </c>
      <c r="F80" s="64">
        <v>6.18</v>
      </c>
      <c r="G80" s="64">
        <v>43.53</v>
      </c>
      <c r="H80" s="64">
        <v>19.96</v>
      </c>
      <c r="I80" s="64">
        <v>1.95</v>
      </c>
      <c r="J80" s="64">
        <v>0.11</v>
      </c>
      <c r="K80" s="64">
        <v>195.91</v>
      </c>
      <c r="L80" s="64">
        <v>26.84</v>
      </c>
      <c r="M80" s="64">
        <v>96.06</v>
      </c>
      <c r="N80" s="64">
        <v>28.4</v>
      </c>
      <c r="O80" s="64">
        <v>0</v>
      </c>
      <c r="P80" s="64">
        <v>0.65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4" t="s">
        <v>2527</v>
      </c>
      <c r="B81" s="64">
        <v>4.26</v>
      </c>
      <c r="C81" s="64">
        <v>3.19</v>
      </c>
      <c r="D81" s="64">
        <v>7.27</v>
      </c>
      <c r="E81" s="64">
        <v>4.6399999999999997</v>
      </c>
      <c r="F81" s="64">
        <v>6.55</v>
      </c>
      <c r="G81" s="64">
        <v>44.55</v>
      </c>
      <c r="H81" s="64">
        <v>18.57</v>
      </c>
      <c r="I81" s="64">
        <v>2.48</v>
      </c>
      <c r="J81" s="64">
        <v>0.45</v>
      </c>
      <c r="K81" s="64">
        <v>147.04</v>
      </c>
      <c r="L81" s="64">
        <v>26.68</v>
      </c>
      <c r="M81" s="64">
        <v>97.75</v>
      </c>
      <c r="N81" s="64">
        <v>26.6</v>
      </c>
      <c r="O81" s="64">
        <v>0</v>
      </c>
      <c r="P81" s="64">
        <v>0.56999999999999995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4" t="s">
        <v>2528</v>
      </c>
      <c r="B82" s="64">
        <v>4.26</v>
      </c>
      <c r="C82" s="64">
        <v>3.15</v>
      </c>
      <c r="D82" s="64">
        <v>7.25</v>
      </c>
      <c r="E82" s="64">
        <v>4.67</v>
      </c>
      <c r="F82" s="64">
        <v>6.41</v>
      </c>
      <c r="G82" s="64">
        <v>47.23</v>
      </c>
      <c r="H82" s="64">
        <v>16.22</v>
      </c>
      <c r="I82" s="64">
        <v>2.63</v>
      </c>
      <c r="J82" s="64">
        <v>0.18</v>
      </c>
      <c r="K82" s="64">
        <v>155.44999999999999</v>
      </c>
      <c r="L82" s="64">
        <v>26.74</v>
      </c>
      <c r="M82" s="64">
        <v>97.67</v>
      </c>
      <c r="N82" s="64">
        <v>26.5</v>
      </c>
      <c r="O82" s="64">
        <v>0</v>
      </c>
      <c r="P82" s="64">
        <v>0.56999999999999995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4" t="s">
        <v>2529</v>
      </c>
      <c r="B83" s="64">
        <v>4.2699999999999996</v>
      </c>
      <c r="C83" s="64">
        <v>3.16</v>
      </c>
      <c r="D83" s="64">
        <v>7.26</v>
      </c>
      <c r="E83" s="64">
        <v>4.58</v>
      </c>
      <c r="F83" s="64">
        <v>5.83</v>
      </c>
      <c r="G83" s="64">
        <v>47.23</v>
      </c>
      <c r="H83" s="64">
        <v>16.22</v>
      </c>
      <c r="I83" s="64">
        <v>2.69</v>
      </c>
      <c r="J83" s="64">
        <v>0.19</v>
      </c>
      <c r="K83" s="64">
        <v>11.66</v>
      </c>
      <c r="L83" s="64">
        <v>26.62</v>
      </c>
      <c r="M83" s="64">
        <v>99.29</v>
      </c>
      <c r="N83" s="64">
        <v>26.3</v>
      </c>
      <c r="O83" s="64">
        <v>0</v>
      </c>
      <c r="P83" s="64">
        <v>0.93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4" t="s">
        <v>2530</v>
      </c>
      <c r="B84" s="64">
        <v>4.25</v>
      </c>
      <c r="C84" s="64">
        <v>3.11</v>
      </c>
      <c r="D84" s="64">
        <v>7.22</v>
      </c>
      <c r="E84" s="64">
        <v>4.58</v>
      </c>
      <c r="F84" s="64">
        <v>4.9000000000000004</v>
      </c>
      <c r="G84" s="64">
        <v>47.23</v>
      </c>
      <c r="H84" s="64">
        <v>16.22</v>
      </c>
      <c r="I84" s="64">
        <v>2.38</v>
      </c>
      <c r="J84" s="64">
        <v>0.21</v>
      </c>
      <c r="K84" s="64">
        <v>197.75</v>
      </c>
      <c r="L84" s="64">
        <v>26.4</v>
      </c>
      <c r="M84" s="64">
        <v>100.85</v>
      </c>
      <c r="N84" s="64">
        <v>26.4</v>
      </c>
      <c r="O84" s="64">
        <v>0</v>
      </c>
      <c r="P84" s="64">
        <v>0.99</v>
      </c>
      <c r="Q84" s="64">
        <v>9.59</v>
      </c>
      <c r="R84" s="198"/>
      <c r="S84" s="198"/>
      <c r="T84" s="198"/>
      <c r="U84" s="198"/>
    </row>
    <row r="85" spans="1:26" s="12" customFormat="1" x14ac:dyDescent="0.25">
      <c r="A85" s="214" t="s">
        <v>2531</v>
      </c>
      <c r="B85" s="64">
        <v>4.21</v>
      </c>
      <c r="C85" s="64">
        <v>3.12</v>
      </c>
      <c r="D85" s="64">
        <v>7.2</v>
      </c>
      <c r="E85" s="64">
        <v>4.5999999999999996</v>
      </c>
      <c r="F85" s="64">
        <v>6.68</v>
      </c>
      <c r="G85" s="64">
        <v>46.78</v>
      </c>
      <c r="H85" s="64">
        <v>17.649999999999999</v>
      </c>
      <c r="I85" s="64">
        <v>3.09</v>
      </c>
      <c r="J85" s="64">
        <v>0.05</v>
      </c>
      <c r="K85" s="64">
        <v>219.1</v>
      </c>
      <c r="L85" s="64">
        <v>26.4</v>
      </c>
      <c r="M85" s="64">
        <v>100.3</v>
      </c>
      <c r="N85" s="64">
        <v>26.1</v>
      </c>
      <c r="O85" s="64">
        <v>0</v>
      </c>
      <c r="P85" s="64">
        <v>0.69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4" t="s">
        <v>2532</v>
      </c>
      <c r="B86" s="64">
        <v>4.2300000000000004</v>
      </c>
      <c r="C86" s="64">
        <v>3.22</v>
      </c>
      <c r="D86" s="64">
        <v>7.27</v>
      </c>
      <c r="E86" s="64">
        <v>4.21</v>
      </c>
      <c r="F86" s="64">
        <v>5.24</v>
      </c>
      <c r="G86" s="64">
        <v>45.61</v>
      </c>
      <c r="H86" s="64">
        <v>20.05</v>
      </c>
      <c r="I86" s="64">
        <v>3.72</v>
      </c>
      <c r="J86" s="64">
        <v>0.32</v>
      </c>
      <c r="K86" s="64">
        <v>308.41000000000003</v>
      </c>
      <c r="L86" s="64">
        <v>26.52</v>
      </c>
      <c r="M86" s="64">
        <v>99.35</v>
      </c>
      <c r="N86" s="64">
        <v>26.1</v>
      </c>
      <c r="O86" s="64">
        <v>0</v>
      </c>
      <c r="P86" s="64">
        <v>0.65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4" t="s">
        <v>2533</v>
      </c>
      <c r="B87" s="64">
        <v>4.2300000000000004</v>
      </c>
      <c r="C87" s="64">
        <v>3.16</v>
      </c>
      <c r="D87" s="64">
        <v>7.23</v>
      </c>
      <c r="E87" s="64">
        <v>4.55</v>
      </c>
      <c r="F87" s="64">
        <v>4.82</v>
      </c>
      <c r="G87" s="64">
        <v>45.61</v>
      </c>
      <c r="H87" s="64">
        <v>20.05</v>
      </c>
      <c r="I87" s="64">
        <v>3.05</v>
      </c>
      <c r="J87" s="64">
        <v>0.34</v>
      </c>
      <c r="K87" s="64">
        <v>14.61</v>
      </c>
      <c r="L87" s="64">
        <v>26.45</v>
      </c>
      <c r="M87" s="64">
        <v>96.06</v>
      </c>
      <c r="N87" s="64">
        <v>26.6</v>
      </c>
      <c r="O87" s="64">
        <v>0</v>
      </c>
      <c r="P87" s="64">
        <v>0.7</v>
      </c>
      <c r="Q87" s="64">
        <v>9.59</v>
      </c>
      <c r="R87" s="198"/>
      <c r="S87" s="198"/>
      <c r="T87" s="198"/>
      <c r="U87" s="198"/>
    </row>
    <row r="88" spans="1:26" s="12" customFormat="1" x14ac:dyDescent="0.25">
      <c r="A88" s="214" t="s">
        <v>2534</v>
      </c>
      <c r="B88" s="64">
        <v>4.22</v>
      </c>
      <c r="C88" s="64">
        <v>3.17</v>
      </c>
      <c r="D88" s="64">
        <v>7.22</v>
      </c>
      <c r="E88" s="64">
        <v>4.5599999999999996</v>
      </c>
      <c r="F88" s="64">
        <v>3.8</v>
      </c>
      <c r="G88" s="64">
        <v>45.61</v>
      </c>
      <c r="H88" s="64">
        <v>20.05</v>
      </c>
      <c r="I88" s="64">
        <v>3.09</v>
      </c>
      <c r="J88" s="64">
        <v>0.32</v>
      </c>
      <c r="K88" s="64">
        <v>95.44</v>
      </c>
      <c r="L88" s="64">
        <v>25.64</v>
      </c>
      <c r="M88" s="64">
        <v>98.45</v>
      </c>
      <c r="N88" s="64">
        <v>27.1</v>
      </c>
      <c r="O88" s="64">
        <v>0</v>
      </c>
      <c r="P88" s="64">
        <v>0.64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4" t="s">
        <v>2535</v>
      </c>
      <c r="B89" s="64">
        <v>4.22</v>
      </c>
      <c r="C89" s="64">
        <v>3.14</v>
      </c>
      <c r="D89" s="64">
        <v>7.22</v>
      </c>
      <c r="E89" s="64">
        <v>4.47</v>
      </c>
      <c r="F89" s="64">
        <v>4.17</v>
      </c>
      <c r="G89" s="64">
        <v>44.11</v>
      </c>
      <c r="H89" s="64">
        <v>19.22</v>
      </c>
      <c r="I89" s="64">
        <v>4.6100000000000003</v>
      </c>
      <c r="J89" s="64">
        <v>0.37</v>
      </c>
      <c r="K89" s="64">
        <v>100.79</v>
      </c>
      <c r="L89" s="64">
        <v>25.09</v>
      </c>
      <c r="M89" s="64">
        <v>101.02</v>
      </c>
      <c r="N89" s="64">
        <v>27</v>
      </c>
      <c r="O89" s="64">
        <v>0</v>
      </c>
      <c r="P89" s="64">
        <v>0.63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4" t="s">
        <v>2536</v>
      </c>
      <c r="B90" s="64">
        <v>4.2</v>
      </c>
      <c r="C90" s="64">
        <v>3.09</v>
      </c>
      <c r="D90" s="64">
        <v>7.17</v>
      </c>
      <c r="E90" s="64">
        <v>4.55</v>
      </c>
      <c r="F90" s="64">
        <v>3.72</v>
      </c>
      <c r="G90" s="64">
        <v>40.200000000000003</v>
      </c>
      <c r="H90" s="64">
        <v>17.84</v>
      </c>
      <c r="I90" s="64">
        <v>4.9800000000000004</v>
      </c>
      <c r="J90" s="64">
        <v>0.61</v>
      </c>
      <c r="K90" s="64">
        <v>108.7</v>
      </c>
      <c r="L90" s="64">
        <v>24.38</v>
      </c>
      <c r="M90" s="64">
        <v>101.97</v>
      </c>
      <c r="N90" s="64">
        <v>25.9</v>
      </c>
      <c r="O90" s="64">
        <v>0</v>
      </c>
      <c r="P90" s="64">
        <v>0.56999999999999995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4" t="s">
        <v>2537</v>
      </c>
      <c r="B91" s="64">
        <v>4.22</v>
      </c>
      <c r="C91" s="64">
        <v>3.15</v>
      </c>
      <c r="D91" s="64">
        <v>7.22</v>
      </c>
      <c r="E91" s="64">
        <v>4.3899999999999997</v>
      </c>
      <c r="F91" s="64">
        <v>4.18</v>
      </c>
      <c r="G91" s="64">
        <v>40.200000000000003</v>
      </c>
      <c r="H91" s="64">
        <v>17.84</v>
      </c>
      <c r="I91" s="64">
        <v>4.9400000000000004</v>
      </c>
      <c r="J91" s="64">
        <v>0.87</v>
      </c>
      <c r="K91" s="64">
        <v>107.04</v>
      </c>
      <c r="L91" s="64">
        <v>24.27</v>
      </c>
      <c r="M91" s="64">
        <v>101.98</v>
      </c>
      <c r="N91" s="64">
        <v>26.1</v>
      </c>
      <c r="O91" s="64">
        <v>0</v>
      </c>
      <c r="P91" s="64">
        <v>0.7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4" t="s">
        <v>2538</v>
      </c>
      <c r="B92" s="64">
        <v>4.2</v>
      </c>
      <c r="C92" s="64">
        <v>3.12</v>
      </c>
      <c r="D92" s="64">
        <v>7.19</v>
      </c>
      <c r="E92" s="64">
        <v>4.4400000000000004</v>
      </c>
      <c r="F92" s="64">
        <v>3.56</v>
      </c>
      <c r="G92" s="64">
        <v>40.200000000000003</v>
      </c>
      <c r="H92" s="64">
        <v>17.84</v>
      </c>
      <c r="I92" s="64">
        <v>4.6900000000000004</v>
      </c>
      <c r="J92" s="64">
        <v>0.86</v>
      </c>
      <c r="K92" s="64">
        <v>113.44</v>
      </c>
      <c r="L92" s="64">
        <v>24.33</v>
      </c>
      <c r="M92" s="64">
        <v>101.98</v>
      </c>
      <c r="N92" s="64">
        <v>26.1</v>
      </c>
      <c r="O92" s="64">
        <v>0</v>
      </c>
      <c r="P92" s="64">
        <v>0.62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4" t="s">
        <v>2539</v>
      </c>
      <c r="B93" s="64">
        <v>4.2</v>
      </c>
      <c r="C93" s="64">
        <v>3.11</v>
      </c>
      <c r="D93" s="64">
        <v>7.18</v>
      </c>
      <c r="E93" s="64">
        <v>4.82</v>
      </c>
      <c r="F93" s="64">
        <v>3.88</v>
      </c>
      <c r="G93" s="64">
        <v>39.51</v>
      </c>
      <c r="H93" s="64">
        <v>17.55</v>
      </c>
      <c r="I93" s="64">
        <v>5.19</v>
      </c>
      <c r="J93" s="64">
        <v>0.62</v>
      </c>
      <c r="K93" s="64">
        <v>111.81</v>
      </c>
      <c r="L93" s="64">
        <v>24.36</v>
      </c>
      <c r="M93" s="64">
        <v>101.98</v>
      </c>
      <c r="N93" s="64">
        <v>26.1</v>
      </c>
      <c r="O93" s="64">
        <v>0</v>
      </c>
      <c r="P93" s="64">
        <v>0.55000000000000004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4" t="s">
        <v>2540</v>
      </c>
      <c r="B94" s="64">
        <v>4.22</v>
      </c>
      <c r="C94" s="64">
        <v>3.16</v>
      </c>
      <c r="D94" s="64">
        <v>7.23</v>
      </c>
      <c r="E94" s="64">
        <v>4.49</v>
      </c>
      <c r="F94" s="64">
        <v>3.77</v>
      </c>
      <c r="G94" s="64">
        <v>37.71</v>
      </c>
      <c r="H94" s="64">
        <v>16.46</v>
      </c>
      <c r="I94" s="64">
        <v>4.95</v>
      </c>
      <c r="J94" s="64">
        <v>0.96</v>
      </c>
      <c r="K94" s="64">
        <v>112.65</v>
      </c>
      <c r="L94" s="64">
        <v>24.46</v>
      </c>
      <c r="M94" s="64">
        <v>101.97</v>
      </c>
      <c r="N94" s="64">
        <v>26.1</v>
      </c>
      <c r="O94" s="64">
        <v>0</v>
      </c>
      <c r="P94" s="64">
        <v>0.54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4" t="s">
        <v>2541</v>
      </c>
      <c r="B95" s="64">
        <v>4.26</v>
      </c>
      <c r="C95" s="64">
        <v>3.16</v>
      </c>
      <c r="D95" s="64">
        <v>7.26</v>
      </c>
      <c r="E95" s="64">
        <v>4.3</v>
      </c>
      <c r="F95" s="64">
        <v>3.81</v>
      </c>
      <c r="G95" s="64">
        <v>37.71</v>
      </c>
      <c r="H95" s="64">
        <v>16.46</v>
      </c>
      <c r="I95" s="64">
        <v>3.3</v>
      </c>
      <c r="J95" s="64">
        <v>1.24</v>
      </c>
      <c r="K95" s="64">
        <v>109.27</v>
      </c>
      <c r="L95" s="64">
        <v>24.52</v>
      </c>
      <c r="M95" s="64">
        <v>101.95</v>
      </c>
      <c r="N95" s="64">
        <v>26.1</v>
      </c>
      <c r="O95" s="64">
        <v>0</v>
      </c>
      <c r="P95" s="64">
        <v>0.53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4" t="s">
        <v>2542</v>
      </c>
      <c r="B96" s="64">
        <v>4.26</v>
      </c>
      <c r="C96" s="64">
        <v>3.13</v>
      </c>
      <c r="D96" s="64">
        <v>7.24</v>
      </c>
      <c r="E96" s="64">
        <v>4.5</v>
      </c>
      <c r="F96" s="64">
        <v>3.83</v>
      </c>
      <c r="G96" s="64">
        <v>37.71</v>
      </c>
      <c r="H96" s="64">
        <v>16.46</v>
      </c>
      <c r="I96" s="64">
        <v>3.18</v>
      </c>
      <c r="J96" s="64">
        <v>1.47</v>
      </c>
      <c r="K96" s="64">
        <v>117.59</v>
      </c>
      <c r="L96" s="64">
        <v>24.5</v>
      </c>
      <c r="M96" s="64">
        <v>101.93</v>
      </c>
      <c r="N96" s="64">
        <v>26.2</v>
      </c>
      <c r="O96" s="64">
        <v>0</v>
      </c>
      <c r="P96" s="64">
        <v>0.49</v>
      </c>
      <c r="Q96" s="64">
        <v>9.66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2543</v>
      </c>
      <c r="B97" s="64">
        <v>4.2699999999999996</v>
      </c>
      <c r="C97" s="64">
        <v>3.16</v>
      </c>
      <c r="D97" s="64">
        <v>7.26</v>
      </c>
      <c r="E97" s="64">
        <v>4.42</v>
      </c>
      <c r="F97" s="64">
        <v>3.85</v>
      </c>
      <c r="G97" s="64">
        <v>36.17</v>
      </c>
      <c r="H97" s="64">
        <v>13.67</v>
      </c>
      <c r="I97" s="64">
        <v>4.17</v>
      </c>
      <c r="J97" s="64">
        <v>1.59</v>
      </c>
      <c r="K97" s="64">
        <v>112.46</v>
      </c>
      <c r="L97" s="64">
        <v>24.5</v>
      </c>
      <c r="M97" s="64">
        <v>101.65</v>
      </c>
      <c r="N97" s="64">
        <v>26.2</v>
      </c>
      <c r="O97" s="64">
        <v>0</v>
      </c>
      <c r="P97" s="64">
        <v>0.52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4" t="s">
        <v>2544</v>
      </c>
      <c r="B98" s="64">
        <v>4.2699999999999996</v>
      </c>
      <c r="C98" s="64">
        <v>3.16</v>
      </c>
      <c r="D98" s="64">
        <v>7.26</v>
      </c>
      <c r="E98" s="64">
        <v>4.75</v>
      </c>
      <c r="F98" s="64">
        <v>3.35</v>
      </c>
      <c r="G98" s="64">
        <v>32.18</v>
      </c>
      <c r="H98" s="64">
        <v>8.98</v>
      </c>
      <c r="I98" s="64">
        <v>4.75</v>
      </c>
      <c r="J98" s="64">
        <v>1.3</v>
      </c>
      <c r="K98" s="64">
        <v>105.5</v>
      </c>
      <c r="L98" s="64">
        <v>24.36</v>
      </c>
      <c r="M98" s="64">
        <v>101.95</v>
      </c>
      <c r="N98" s="64">
        <v>26.5</v>
      </c>
      <c r="O98" s="64">
        <v>0</v>
      </c>
      <c r="P98" s="64">
        <v>0.51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4" t="s">
        <v>2545</v>
      </c>
      <c r="B99" s="64">
        <v>4.25</v>
      </c>
      <c r="C99" s="64">
        <v>3.16</v>
      </c>
      <c r="D99" s="64">
        <v>7.25</v>
      </c>
      <c r="E99" s="64">
        <v>4.66</v>
      </c>
      <c r="F99" s="64">
        <v>2.98</v>
      </c>
      <c r="G99" s="64">
        <v>32.18</v>
      </c>
      <c r="H99" s="64">
        <v>8.98</v>
      </c>
      <c r="I99" s="64">
        <v>5.09</v>
      </c>
      <c r="J99" s="64">
        <v>1.55</v>
      </c>
      <c r="K99" s="64">
        <v>106.74</v>
      </c>
      <c r="L99" s="64">
        <v>24.31</v>
      </c>
      <c r="M99" s="64">
        <v>101.95</v>
      </c>
      <c r="N99" s="64">
        <v>26.2</v>
      </c>
      <c r="O99" s="64">
        <v>0</v>
      </c>
      <c r="P99" s="64">
        <v>0.48</v>
      </c>
      <c r="Q99" s="64">
        <v>9.66</v>
      </c>
      <c r="R99" s="198"/>
      <c r="S99" s="198"/>
      <c r="T99" s="198"/>
      <c r="U99" s="198"/>
    </row>
    <row r="100" spans="1:33" s="12" customFormat="1" x14ac:dyDescent="0.25">
      <c r="A100" s="214" t="s">
        <v>2546</v>
      </c>
      <c r="B100" s="64">
        <v>4.26</v>
      </c>
      <c r="C100" s="64">
        <v>3.12</v>
      </c>
      <c r="D100" s="64">
        <v>7.24</v>
      </c>
      <c r="E100" s="64">
        <v>4.51</v>
      </c>
      <c r="F100" s="64">
        <v>3.76</v>
      </c>
      <c r="G100" s="64">
        <v>32.18</v>
      </c>
      <c r="H100" s="64">
        <v>8.98</v>
      </c>
      <c r="I100" s="64">
        <v>5.62</v>
      </c>
      <c r="J100" s="64">
        <v>1.34</v>
      </c>
      <c r="K100" s="64">
        <v>111.39</v>
      </c>
      <c r="L100" s="64">
        <v>24.26</v>
      </c>
      <c r="M100" s="64">
        <v>101.95</v>
      </c>
      <c r="N100" s="64">
        <v>26.2</v>
      </c>
      <c r="O100" s="64">
        <v>0</v>
      </c>
      <c r="P100" s="64">
        <v>0.49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2547</v>
      </c>
      <c r="B101" s="64">
        <v>4.22</v>
      </c>
      <c r="C101" s="64">
        <v>3.12</v>
      </c>
      <c r="D101" s="64">
        <v>7.2</v>
      </c>
      <c r="E101" s="64">
        <v>5</v>
      </c>
      <c r="F101" s="64">
        <v>4.6900000000000004</v>
      </c>
      <c r="G101" s="64">
        <v>30.59</v>
      </c>
      <c r="H101" s="64">
        <v>9.49</v>
      </c>
      <c r="I101" s="64">
        <v>6.03</v>
      </c>
      <c r="J101" s="64">
        <v>1.03</v>
      </c>
      <c r="K101" s="64">
        <v>106.33</v>
      </c>
      <c r="L101" s="64">
        <v>24.21</v>
      </c>
      <c r="M101" s="64">
        <v>101.95</v>
      </c>
      <c r="N101" s="64">
        <v>26.1</v>
      </c>
      <c r="O101" s="64">
        <v>0</v>
      </c>
      <c r="P101" s="64">
        <v>0.52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4" t="s">
        <v>2548</v>
      </c>
      <c r="B102" s="64">
        <v>4.21</v>
      </c>
      <c r="C102" s="64">
        <v>3.1</v>
      </c>
      <c r="D102" s="64">
        <v>7.18</v>
      </c>
      <c r="E102" s="64">
        <v>4.99</v>
      </c>
      <c r="F102" s="64">
        <v>3.05</v>
      </c>
      <c r="G102" s="64">
        <v>26.45</v>
      </c>
      <c r="H102" s="64">
        <v>10.52</v>
      </c>
      <c r="I102" s="64">
        <v>7.17</v>
      </c>
      <c r="J102" s="64">
        <v>1.1499999999999999</v>
      </c>
      <c r="K102" s="64">
        <v>119.32</v>
      </c>
      <c r="L102" s="64">
        <v>24.2</v>
      </c>
      <c r="M102" s="64">
        <v>101.95</v>
      </c>
      <c r="N102" s="64">
        <v>26.1</v>
      </c>
      <c r="O102" s="64">
        <v>0</v>
      </c>
      <c r="P102" s="64">
        <v>0.44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4" t="s">
        <v>2549</v>
      </c>
      <c r="B103" s="64">
        <v>4.2</v>
      </c>
      <c r="C103" s="64">
        <v>3.1</v>
      </c>
      <c r="D103" s="64">
        <v>7.18</v>
      </c>
      <c r="E103" s="64">
        <v>4.8600000000000003</v>
      </c>
      <c r="F103" s="64">
        <v>4.59</v>
      </c>
      <c r="G103" s="64">
        <v>26.45</v>
      </c>
      <c r="H103" s="64">
        <v>10.52</v>
      </c>
      <c r="I103" s="64">
        <v>7.35</v>
      </c>
      <c r="J103" s="64">
        <v>0.98</v>
      </c>
      <c r="K103" s="64">
        <v>109.57</v>
      </c>
      <c r="L103" s="64">
        <v>24.2</v>
      </c>
      <c r="M103" s="64">
        <v>101.95</v>
      </c>
      <c r="N103" s="64">
        <v>26.1</v>
      </c>
      <c r="O103" s="64">
        <v>0</v>
      </c>
      <c r="P103" s="64">
        <v>0.48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4" t="s">
        <v>2550</v>
      </c>
      <c r="B104" s="64">
        <v>4.2</v>
      </c>
      <c r="C104" s="64">
        <v>3.11</v>
      </c>
      <c r="D104" s="64">
        <v>7.18</v>
      </c>
      <c r="E104" s="64">
        <v>4.01</v>
      </c>
      <c r="F104" s="64">
        <v>2.93</v>
      </c>
      <c r="G104" s="64">
        <v>26.45</v>
      </c>
      <c r="H104" s="64">
        <v>10.52</v>
      </c>
      <c r="I104" s="64">
        <v>6.47</v>
      </c>
      <c r="J104" s="64">
        <v>1.36</v>
      </c>
      <c r="K104" s="64">
        <v>120.35</v>
      </c>
      <c r="L104" s="64">
        <v>24.22</v>
      </c>
      <c r="M104" s="64">
        <v>101.95</v>
      </c>
      <c r="N104" s="64">
        <v>26.1</v>
      </c>
      <c r="O104" s="64">
        <v>0</v>
      </c>
      <c r="P104" s="64">
        <v>0.42</v>
      </c>
      <c r="Q104" s="64">
        <v>9.59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4.18</v>
      </c>
      <c r="C106" s="67">
        <f>MIN(C9:C104)</f>
        <v>3.06</v>
      </c>
      <c r="D106" s="67">
        <f t="shared" ref="D106:Q106" si="0">MIN(D9:D104)</f>
        <v>7.15</v>
      </c>
      <c r="E106" s="67">
        <f t="shared" si="0"/>
        <v>3.19</v>
      </c>
      <c r="F106" s="67">
        <f t="shared" si="0"/>
        <v>2.4500000000000002</v>
      </c>
      <c r="G106" s="67">
        <f t="shared" si="0"/>
        <v>4.32</v>
      </c>
      <c r="H106" s="67">
        <f t="shared" si="0"/>
        <v>1.06</v>
      </c>
      <c r="I106" s="67">
        <f t="shared" si="0"/>
        <v>0.82</v>
      </c>
      <c r="J106" s="67">
        <f t="shared" si="0"/>
        <v>0.02</v>
      </c>
      <c r="K106" s="67">
        <f t="shared" si="0"/>
        <v>3.36</v>
      </c>
      <c r="L106" s="67">
        <f t="shared" si="0"/>
        <v>20.99</v>
      </c>
      <c r="M106" s="67">
        <f t="shared" si="0"/>
        <v>67.98</v>
      </c>
      <c r="N106" s="67">
        <f t="shared" si="0"/>
        <v>25.7</v>
      </c>
      <c r="O106" s="67">
        <f t="shared" si="0"/>
        <v>0</v>
      </c>
      <c r="P106" s="67">
        <f t="shared" si="0"/>
        <v>0.28999999999999998</v>
      </c>
      <c r="Q106" s="67">
        <f t="shared" si="0"/>
        <v>9.5399999999999991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4.33</v>
      </c>
      <c r="C107" s="66">
        <f t="shared" ref="C107:Q107" si="1">MAX(C9:C104)</f>
        <v>3.37</v>
      </c>
      <c r="D107" s="66">
        <f t="shared" si="1"/>
        <v>7.41</v>
      </c>
      <c r="E107" s="66">
        <f t="shared" si="1"/>
        <v>5.87</v>
      </c>
      <c r="F107" s="66">
        <f t="shared" si="1"/>
        <v>6.68</v>
      </c>
      <c r="G107" s="66">
        <f t="shared" si="1"/>
        <v>56.62</v>
      </c>
      <c r="H107" s="66">
        <f t="shared" si="1"/>
        <v>35.39</v>
      </c>
      <c r="I107" s="66">
        <f t="shared" si="1"/>
        <v>7.35</v>
      </c>
      <c r="J107" s="66">
        <f t="shared" si="1"/>
        <v>3.87</v>
      </c>
      <c r="K107" s="66">
        <f t="shared" si="1"/>
        <v>354.28</v>
      </c>
      <c r="L107" s="66">
        <f t="shared" si="1"/>
        <v>32.21</v>
      </c>
      <c r="M107" s="66">
        <f t="shared" si="1"/>
        <v>102.05</v>
      </c>
      <c r="N107" s="66">
        <f t="shared" si="1"/>
        <v>840.1</v>
      </c>
      <c r="O107" s="66">
        <f t="shared" si="1"/>
        <v>5.8</v>
      </c>
      <c r="P107" s="66">
        <f t="shared" si="1"/>
        <v>0.99</v>
      </c>
      <c r="Q107" s="66">
        <f t="shared" si="1"/>
        <v>9.9700000000000006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4.2394791666666674</v>
      </c>
      <c r="C108" s="67">
        <f t="shared" ref="C108:Q108" si="2">AVERAGE(C9:C104)</f>
        <v>3.1580208333333348</v>
      </c>
      <c r="D108" s="67">
        <f t="shared" si="2"/>
        <v>7.2394791666666656</v>
      </c>
      <c r="E108" s="67">
        <f t="shared" si="2"/>
        <v>4.6452083333333345</v>
      </c>
      <c r="F108" s="67">
        <f t="shared" si="2"/>
        <v>4.0819791666666676</v>
      </c>
      <c r="G108" s="67">
        <f t="shared" si="2"/>
        <v>30.911562499999999</v>
      </c>
      <c r="H108" s="67">
        <f t="shared" si="2"/>
        <v>14.483229166666669</v>
      </c>
      <c r="I108" s="67">
        <f t="shared" si="2"/>
        <v>4.0254166666666675</v>
      </c>
      <c r="J108" s="67">
        <f t="shared" si="2"/>
        <v>0.72458333333333336</v>
      </c>
      <c r="K108" s="67">
        <f t="shared" si="2"/>
        <v>193.70218750000001</v>
      </c>
      <c r="L108" s="67">
        <f t="shared" si="2"/>
        <v>25.322187500000009</v>
      </c>
      <c r="M108" s="67">
        <f t="shared" si="2"/>
        <v>94.505312500000073</v>
      </c>
      <c r="N108" s="67">
        <f t="shared" si="2"/>
        <v>133.90520833333338</v>
      </c>
      <c r="O108" s="67">
        <f t="shared" si="2"/>
        <v>8.1250000000000017E-2</v>
      </c>
      <c r="P108" s="67">
        <f t="shared" si="2"/>
        <v>0.51854166666666657</v>
      </c>
      <c r="Q108" s="67">
        <f t="shared" si="2"/>
        <v>9.6969791666666705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3.5611050670045587E-2</v>
      </c>
      <c r="C109" s="67">
        <f t="shared" ref="C109:Q109" si="3">STDEV(C9:C104)</f>
        <v>5.6932458444734338E-2</v>
      </c>
      <c r="D109" s="67">
        <f t="shared" si="3"/>
        <v>5.421923899496358E-2</v>
      </c>
      <c r="E109" s="67">
        <f t="shared" si="3"/>
        <v>0.51381130914325646</v>
      </c>
      <c r="F109" s="67">
        <f t="shared" si="3"/>
        <v>0.93337713908790643</v>
      </c>
      <c r="G109" s="67">
        <f t="shared" si="3"/>
        <v>16.875086484183843</v>
      </c>
      <c r="H109" s="67">
        <f t="shared" si="3"/>
        <v>9.4611922576598833</v>
      </c>
      <c r="I109" s="67">
        <f t="shared" si="3"/>
        <v>1.1738590578597135</v>
      </c>
      <c r="J109" s="67">
        <f t="shared" si="3"/>
        <v>0.58347401812296773</v>
      </c>
      <c r="K109" s="67">
        <f t="shared" si="3"/>
        <v>111.88008873416422</v>
      </c>
      <c r="L109" s="67">
        <f t="shared" si="3"/>
        <v>3.0796391460260732</v>
      </c>
      <c r="M109" s="67">
        <f t="shared" si="3"/>
        <v>10.640727710879933</v>
      </c>
      <c r="N109" s="67">
        <f t="shared" si="3"/>
        <v>178.69651448301164</v>
      </c>
      <c r="O109" s="67">
        <f t="shared" si="3"/>
        <v>0.59512272064808514</v>
      </c>
      <c r="P109" s="67">
        <f t="shared" si="3"/>
        <v>0.13803873725319296</v>
      </c>
      <c r="Q109" s="67">
        <f t="shared" si="3"/>
        <v>0.12425033975738088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2551</v>
      </c>
      <c r="B9" s="64">
        <v>4.22</v>
      </c>
      <c r="C9" s="64">
        <v>3.11</v>
      </c>
      <c r="D9" s="64">
        <v>7.2</v>
      </c>
      <c r="E9" s="64">
        <v>4.4800000000000004</v>
      </c>
      <c r="F9" s="64">
        <v>4.21</v>
      </c>
      <c r="G9" s="64">
        <v>25.27</v>
      </c>
      <c r="H9" s="64">
        <v>9.93</v>
      </c>
      <c r="I9" s="64">
        <v>6.87</v>
      </c>
      <c r="J9" s="64">
        <v>1.57</v>
      </c>
      <c r="K9" s="64">
        <v>111.76</v>
      </c>
      <c r="L9" s="64">
        <v>24.25</v>
      </c>
      <c r="M9" s="64">
        <v>101.95</v>
      </c>
      <c r="N9" s="64">
        <v>26.2</v>
      </c>
      <c r="O9" s="64">
        <v>0</v>
      </c>
      <c r="P9" s="64">
        <v>0.45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4" t="s">
        <v>2552</v>
      </c>
      <c r="B10" s="64">
        <v>4.22</v>
      </c>
      <c r="C10" s="64">
        <v>3.16</v>
      </c>
      <c r="D10" s="64">
        <v>7.22</v>
      </c>
      <c r="E10" s="64">
        <v>4.42</v>
      </c>
      <c r="F10" s="64">
        <v>2.97</v>
      </c>
      <c r="G10" s="64">
        <v>22.18</v>
      </c>
      <c r="H10" s="64">
        <v>8.93</v>
      </c>
      <c r="I10" s="64">
        <v>6.37</v>
      </c>
      <c r="J10" s="64">
        <v>1.43</v>
      </c>
      <c r="K10" s="64">
        <v>111.49</v>
      </c>
      <c r="L10" s="64">
        <v>24.17</v>
      </c>
      <c r="M10" s="64">
        <v>101.96</v>
      </c>
      <c r="N10" s="64">
        <v>26.2</v>
      </c>
      <c r="O10" s="64">
        <v>0</v>
      </c>
      <c r="P10" s="64">
        <v>0.41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4" t="s">
        <v>2553</v>
      </c>
      <c r="B11" s="64">
        <v>4.1900000000000004</v>
      </c>
      <c r="C11" s="64">
        <v>3.17</v>
      </c>
      <c r="D11" s="64">
        <v>7.21</v>
      </c>
      <c r="E11" s="64">
        <v>4.5199999999999996</v>
      </c>
      <c r="F11" s="64">
        <v>5.23</v>
      </c>
      <c r="G11" s="64">
        <v>22.18</v>
      </c>
      <c r="H11" s="64">
        <v>8.93</v>
      </c>
      <c r="I11" s="64">
        <v>6.63</v>
      </c>
      <c r="J11" s="64">
        <v>0.69</v>
      </c>
      <c r="K11" s="64">
        <v>115.14</v>
      </c>
      <c r="L11" s="64">
        <v>24.14</v>
      </c>
      <c r="M11" s="64">
        <v>101.97</v>
      </c>
      <c r="N11" s="64">
        <v>26.1</v>
      </c>
      <c r="O11" s="64">
        <v>0</v>
      </c>
      <c r="P11" s="64">
        <v>0.41</v>
      </c>
      <c r="Q11" s="64">
        <v>9.59</v>
      </c>
      <c r="R11" s="198"/>
      <c r="S11" s="198"/>
      <c r="T11" s="198"/>
      <c r="U11" s="198"/>
    </row>
    <row r="12" spans="1:21" s="12" customFormat="1" x14ac:dyDescent="0.25">
      <c r="A12" s="214" t="s">
        <v>2554</v>
      </c>
      <c r="B12" s="64">
        <v>4.1900000000000004</v>
      </c>
      <c r="C12" s="64">
        <v>3.1</v>
      </c>
      <c r="D12" s="64">
        <v>7.17</v>
      </c>
      <c r="E12" s="64">
        <v>4.8099999999999996</v>
      </c>
      <c r="F12" s="64">
        <v>2.85</v>
      </c>
      <c r="G12" s="64">
        <v>22.18</v>
      </c>
      <c r="H12" s="64">
        <v>8.93</v>
      </c>
      <c r="I12" s="64">
        <v>6.68</v>
      </c>
      <c r="J12" s="64">
        <v>0.34</v>
      </c>
      <c r="K12" s="64">
        <v>108</v>
      </c>
      <c r="L12" s="64">
        <v>24.14</v>
      </c>
      <c r="M12" s="64">
        <v>101.98</v>
      </c>
      <c r="N12" s="64">
        <v>26.1</v>
      </c>
      <c r="O12" s="64">
        <v>0</v>
      </c>
      <c r="P12" s="64">
        <v>0.34</v>
      </c>
      <c r="Q12" s="64">
        <v>9.58</v>
      </c>
      <c r="R12" s="198"/>
      <c r="S12" s="198"/>
      <c r="T12" s="198"/>
      <c r="U12" s="198"/>
    </row>
    <row r="13" spans="1:21" s="12" customFormat="1" x14ac:dyDescent="0.25">
      <c r="A13" s="214" t="s">
        <v>2555</v>
      </c>
      <c r="B13" s="64">
        <v>4.2</v>
      </c>
      <c r="C13" s="64">
        <v>3.06</v>
      </c>
      <c r="D13" s="64">
        <v>7.16</v>
      </c>
      <c r="E13" s="64">
        <v>4.4000000000000004</v>
      </c>
      <c r="F13" s="64">
        <v>5.72</v>
      </c>
      <c r="G13" s="64">
        <v>21.95</v>
      </c>
      <c r="H13" s="64">
        <v>9.11</v>
      </c>
      <c r="I13" s="64">
        <v>5.53</v>
      </c>
      <c r="J13" s="64">
        <v>0.89</v>
      </c>
      <c r="K13" s="64">
        <v>112.67</v>
      </c>
      <c r="L13" s="64">
        <v>24.07</v>
      </c>
      <c r="M13" s="64">
        <v>101.98</v>
      </c>
      <c r="N13" s="64">
        <v>26.1</v>
      </c>
      <c r="O13" s="64">
        <v>0</v>
      </c>
      <c r="P13" s="64">
        <v>0.44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14" t="s">
        <v>2556</v>
      </c>
      <c r="B14" s="64">
        <v>4.22</v>
      </c>
      <c r="C14" s="64">
        <v>3.09</v>
      </c>
      <c r="D14" s="64">
        <v>7.19</v>
      </c>
      <c r="E14" s="64">
        <v>4.4000000000000004</v>
      </c>
      <c r="F14" s="64">
        <v>3.45</v>
      </c>
      <c r="G14" s="64">
        <v>21.37</v>
      </c>
      <c r="H14" s="64">
        <v>9.86</v>
      </c>
      <c r="I14" s="64">
        <v>4.4400000000000004</v>
      </c>
      <c r="J14" s="64">
        <v>0.46</v>
      </c>
      <c r="K14" s="64">
        <v>113.39</v>
      </c>
      <c r="L14" s="64">
        <v>24.02</v>
      </c>
      <c r="M14" s="64">
        <v>101.98</v>
      </c>
      <c r="N14" s="64">
        <v>26.1</v>
      </c>
      <c r="O14" s="64">
        <v>0</v>
      </c>
      <c r="P14" s="64">
        <v>0.39</v>
      </c>
      <c r="Q14" s="64">
        <v>9.6</v>
      </c>
      <c r="R14" s="198"/>
      <c r="S14" s="198"/>
      <c r="T14" s="198"/>
      <c r="U14" s="198"/>
    </row>
    <row r="15" spans="1:21" s="12" customFormat="1" x14ac:dyDescent="0.25">
      <c r="A15" s="214" t="s">
        <v>2557</v>
      </c>
      <c r="B15" s="64">
        <v>4.25</v>
      </c>
      <c r="C15" s="64">
        <v>3.19</v>
      </c>
      <c r="D15" s="64">
        <v>7.26</v>
      </c>
      <c r="E15" s="64">
        <v>4.75</v>
      </c>
      <c r="F15" s="64">
        <v>4.04</v>
      </c>
      <c r="G15" s="64">
        <v>21.37</v>
      </c>
      <c r="H15" s="64">
        <v>9.86</v>
      </c>
      <c r="I15" s="64">
        <v>3.36</v>
      </c>
      <c r="J15" s="64">
        <v>0.69</v>
      </c>
      <c r="K15" s="64">
        <v>109.82</v>
      </c>
      <c r="L15" s="64">
        <v>24</v>
      </c>
      <c r="M15" s="64">
        <v>101.99</v>
      </c>
      <c r="N15" s="64">
        <v>26.1</v>
      </c>
      <c r="O15" s="64">
        <v>0</v>
      </c>
      <c r="P15" s="64">
        <v>0.4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4" t="s">
        <v>2558</v>
      </c>
      <c r="B16" s="64">
        <v>4.25</v>
      </c>
      <c r="C16" s="64">
        <v>3.16</v>
      </c>
      <c r="D16" s="64">
        <v>7.26</v>
      </c>
      <c r="E16" s="64">
        <v>4.58</v>
      </c>
      <c r="F16" s="64">
        <v>4.13</v>
      </c>
      <c r="G16" s="64">
        <v>21.37</v>
      </c>
      <c r="H16" s="64">
        <v>9.86</v>
      </c>
      <c r="I16" s="64">
        <v>2.2200000000000002</v>
      </c>
      <c r="J16" s="64">
        <v>0.64</v>
      </c>
      <c r="K16" s="64">
        <v>111.58</v>
      </c>
      <c r="L16" s="64">
        <v>23.99</v>
      </c>
      <c r="M16" s="64">
        <v>102</v>
      </c>
      <c r="N16" s="64">
        <v>26.1</v>
      </c>
      <c r="O16" s="64">
        <v>0</v>
      </c>
      <c r="P16" s="64">
        <v>0.4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4" t="s">
        <v>2559</v>
      </c>
      <c r="B17" s="64">
        <v>4.26</v>
      </c>
      <c r="C17" s="64">
        <v>3.13</v>
      </c>
      <c r="D17" s="64">
        <v>7.25</v>
      </c>
      <c r="E17" s="64">
        <v>4.33</v>
      </c>
      <c r="F17" s="64">
        <v>4.32</v>
      </c>
      <c r="G17" s="64">
        <v>21.48</v>
      </c>
      <c r="H17" s="64">
        <v>10.86</v>
      </c>
      <c r="I17" s="64">
        <v>2.46</v>
      </c>
      <c r="J17" s="64">
        <v>0.59</v>
      </c>
      <c r="K17" s="64">
        <v>122</v>
      </c>
      <c r="L17" s="64">
        <v>23.92</v>
      </c>
      <c r="M17" s="64">
        <v>102</v>
      </c>
      <c r="N17" s="64">
        <v>26.1</v>
      </c>
      <c r="O17" s="64">
        <v>0</v>
      </c>
      <c r="P17" s="64">
        <v>0.38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4" t="s">
        <v>2560</v>
      </c>
      <c r="B18" s="64">
        <v>4.25</v>
      </c>
      <c r="C18" s="64">
        <v>3.15</v>
      </c>
      <c r="D18" s="64">
        <v>7.25</v>
      </c>
      <c r="E18" s="64">
        <v>4.5999999999999996</v>
      </c>
      <c r="F18" s="64">
        <v>3.99</v>
      </c>
      <c r="G18" s="64">
        <v>21.76</v>
      </c>
      <c r="H18" s="64">
        <v>12.66</v>
      </c>
      <c r="I18" s="64">
        <v>2.1800000000000002</v>
      </c>
      <c r="J18" s="64">
        <v>0.93</v>
      </c>
      <c r="K18" s="64">
        <v>112.69</v>
      </c>
      <c r="L18" s="64">
        <v>23.82</v>
      </c>
      <c r="M18" s="64">
        <v>102.02</v>
      </c>
      <c r="N18" s="64">
        <v>26.1</v>
      </c>
      <c r="O18" s="64">
        <v>0</v>
      </c>
      <c r="P18" s="64">
        <v>0.37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4" t="s">
        <v>2561</v>
      </c>
      <c r="B19" s="64">
        <v>4.26</v>
      </c>
      <c r="C19" s="64">
        <v>3.13</v>
      </c>
      <c r="D19" s="64">
        <v>7.24</v>
      </c>
      <c r="E19" s="64">
        <v>4.2699999999999996</v>
      </c>
      <c r="F19" s="64">
        <v>3.99</v>
      </c>
      <c r="G19" s="64">
        <v>21.76</v>
      </c>
      <c r="H19" s="64">
        <v>12.66</v>
      </c>
      <c r="I19" s="64">
        <v>2.2000000000000002</v>
      </c>
      <c r="J19" s="64">
        <v>0.61</v>
      </c>
      <c r="K19" s="64">
        <v>116.17</v>
      </c>
      <c r="L19" s="64">
        <v>23.73</v>
      </c>
      <c r="M19" s="64">
        <v>102.03</v>
      </c>
      <c r="N19" s="64">
        <v>26.1</v>
      </c>
      <c r="O19" s="64">
        <v>0</v>
      </c>
      <c r="P19" s="64">
        <v>0.36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2562</v>
      </c>
      <c r="B20" s="64">
        <v>4.26</v>
      </c>
      <c r="C20" s="64">
        <v>3.13</v>
      </c>
      <c r="D20" s="64">
        <v>7.24</v>
      </c>
      <c r="E20" s="64">
        <v>4.53</v>
      </c>
      <c r="F20" s="64">
        <v>3.98</v>
      </c>
      <c r="G20" s="64">
        <v>21.76</v>
      </c>
      <c r="H20" s="64">
        <v>12.66</v>
      </c>
      <c r="I20" s="64">
        <v>2.62</v>
      </c>
      <c r="J20" s="64">
        <v>0.15</v>
      </c>
      <c r="K20" s="64">
        <v>61.64</v>
      </c>
      <c r="L20" s="64">
        <v>23.72</v>
      </c>
      <c r="M20" s="64">
        <v>102.03</v>
      </c>
      <c r="N20" s="64">
        <v>26.1</v>
      </c>
      <c r="O20" s="64">
        <v>0</v>
      </c>
      <c r="P20" s="64">
        <v>0.39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2563</v>
      </c>
      <c r="B21" s="64">
        <v>4.26</v>
      </c>
      <c r="C21" s="64">
        <v>3.14</v>
      </c>
      <c r="D21" s="64">
        <v>7.25</v>
      </c>
      <c r="E21" s="64">
        <v>4.51</v>
      </c>
      <c r="F21" s="64">
        <v>4.66</v>
      </c>
      <c r="G21" s="64">
        <v>21.37</v>
      </c>
      <c r="H21" s="64">
        <v>12.27</v>
      </c>
      <c r="I21" s="64">
        <v>2.57</v>
      </c>
      <c r="J21" s="64">
        <v>0.23</v>
      </c>
      <c r="K21" s="64">
        <v>95.78</v>
      </c>
      <c r="L21" s="64">
        <v>23.73</v>
      </c>
      <c r="M21" s="64">
        <v>102.03</v>
      </c>
      <c r="N21" s="64">
        <v>26.1</v>
      </c>
      <c r="O21" s="64">
        <v>0</v>
      </c>
      <c r="P21" s="64">
        <v>0.4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4" t="s">
        <v>2564</v>
      </c>
      <c r="B22" s="64">
        <v>4.2300000000000004</v>
      </c>
      <c r="C22" s="64">
        <v>3.13</v>
      </c>
      <c r="D22" s="64">
        <v>7.22</v>
      </c>
      <c r="E22" s="64">
        <v>4.6500000000000004</v>
      </c>
      <c r="F22" s="64">
        <v>3.99</v>
      </c>
      <c r="G22" s="64">
        <v>20.36</v>
      </c>
      <c r="H22" s="64">
        <v>11.6</v>
      </c>
      <c r="I22" s="64">
        <v>2.66</v>
      </c>
      <c r="J22" s="64">
        <v>0.25</v>
      </c>
      <c r="K22" s="64">
        <v>90.72</v>
      </c>
      <c r="L22" s="64">
        <v>23.72</v>
      </c>
      <c r="M22" s="64">
        <v>102.03</v>
      </c>
      <c r="N22" s="64">
        <v>26.1</v>
      </c>
      <c r="O22" s="64">
        <v>0</v>
      </c>
      <c r="P22" s="64">
        <v>0.39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4" t="s">
        <v>2565</v>
      </c>
      <c r="B23" s="64">
        <v>4.2</v>
      </c>
      <c r="C23" s="64">
        <v>3.11</v>
      </c>
      <c r="D23" s="64">
        <v>7.19</v>
      </c>
      <c r="E23" s="64">
        <v>4.91</v>
      </c>
      <c r="F23" s="64">
        <v>4.3499999999999996</v>
      </c>
      <c r="G23" s="64">
        <v>20.36</v>
      </c>
      <c r="H23" s="64">
        <v>11.6</v>
      </c>
      <c r="I23" s="64">
        <v>4.8</v>
      </c>
      <c r="J23" s="64">
        <v>0.04</v>
      </c>
      <c r="K23" s="64">
        <v>57.23</v>
      </c>
      <c r="L23" s="64">
        <v>23.69</v>
      </c>
      <c r="M23" s="64">
        <v>102.02</v>
      </c>
      <c r="N23" s="64">
        <v>26.1</v>
      </c>
      <c r="O23" s="64">
        <v>0</v>
      </c>
      <c r="P23" s="64">
        <v>0.38</v>
      </c>
      <c r="Q23" s="64">
        <v>9.59</v>
      </c>
      <c r="R23" s="198"/>
      <c r="S23" s="198"/>
      <c r="T23" s="198"/>
      <c r="U23" s="198"/>
    </row>
    <row r="24" spans="1:21" s="12" customFormat="1" x14ac:dyDescent="0.25">
      <c r="A24" s="214" t="s">
        <v>2566</v>
      </c>
      <c r="B24" s="64">
        <v>4.22</v>
      </c>
      <c r="C24" s="64">
        <v>3.17</v>
      </c>
      <c r="D24" s="64">
        <v>7.23</v>
      </c>
      <c r="E24" s="64">
        <v>4.79</v>
      </c>
      <c r="F24" s="64">
        <v>3.92</v>
      </c>
      <c r="G24" s="64">
        <v>20.36</v>
      </c>
      <c r="H24" s="64">
        <v>11.6</v>
      </c>
      <c r="I24" s="64">
        <v>3.64</v>
      </c>
      <c r="J24" s="64">
        <v>0.25</v>
      </c>
      <c r="K24" s="64">
        <v>90.6</v>
      </c>
      <c r="L24" s="64">
        <v>23.63</v>
      </c>
      <c r="M24" s="64">
        <v>102.03</v>
      </c>
      <c r="N24" s="64">
        <v>26.1</v>
      </c>
      <c r="O24" s="64">
        <v>0</v>
      </c>
      <c r="P24" s="64">
        <v>0.38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14" t="s">
        <v>2567</v>
      </c>
      <c r="B25" s="64">
        <v>4.2</v>
      </c>
      <c r="C25" s="64">
        <v>3.17</v>
      </c>
      <c r="D25" s="64">
        <v>7.22</v>
      </c>
      <c r="E25" s="64">
        <v>4.95</v>
      </c>
      <c r="F25" s="64">
        <v>4.22</v>
      </c>
      <c r="G25" s="64">
        <v>19.78</v>
      </c>
      <c r="H25" s="64">
        <v>12.25</v>
      </c>
      <c r="I25" s="64">
        <v>3.87</v>
      </c>
      <c r="J25" s="64">
        <v>0.18</v>
      </c>
      <c r="K25" s="64">
        <v>89.25</v>
      </c>
      <c r="L25" s="64">
        <v>23.65</v>
      </c>
      <c r="M25" s="64">
        <v>102.01</v>
      </c>
      <c r="N25" s="64">
        <v>26.1</v>
      </c>
      <c r="O25" s="64">
        <v>0</v>
      </c>
      <c r="P25" s="64">
        <v>0.39</v>
      </c>
      <c r="Q25" s="64">
        <v>9.59</v>
      </c>
      <c r="R25" s="198"/>
      <c r="S25" s="198"/>
      <c r="T25" s="198"/>
      <c r="U25" s="198"/>
    </row>
    <row r="26" spans="1:21" s="12" customFormat="1" x14ac:dyDescent="0.25">
      <c r="A26" s="214" t="s">
        <v>2568</v>
      </c>
      <c r="B26" s="64">
        <v>4.2</v>
      </c>
      <c r="C26" s="64">
        <v>3.11</v>
      </c>
      <c r="D26" s="64">
        <v>7.19</v>
      </c>
      <c r="E26" s="64">
        <v>4.5599999999999996</v>
      </c>
      <c r="F26" s="64">
        <v>3.46</v>
      </c>
      <c r="G26" s="64">
        <v>18.28</v>
      </c>
      <c r="H26" s="64">
        <v>13.35</v>
      </c>
      <c r="I26" s="64">
        <v>3.61</v>
      </c>
      <c r="J26" s="64">
        <v>0.12</v>
      </c>
      <c r="K26" s="64">
        <v>342.43</v>
      </c>
      <c r="L26" s="64">
        <v>23.62</v>
      </c>
      <c r="M26" s="64">
        <v>102.02</v>
      </c>
      <c r="N26" s="64">
        <v>26.1</v>
      </c>
      <c r="O26" s="64">
        <v>0</v>
      </c>
      <c r="P26" s="64">
        <v>0.38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14" t="s">
        <v>2569</v>
      </c>
      <c r="B27" s="64">
        <v>4.21</v>
      </c>
      <c r="C27" s="64">
        <v>3.08</v>
      </c>
      <c r="D27" s="64">
        <v>7.18</v>
      </c>
      <c r="E27" s="64">
        <v>5.14</v>
      </c>
      <c r="F27" s="64">
        <v>4.33</v>
      </c>
      <c r="G27" s="64">
        <v>18.28</v>
      </c>
      <c r="H27" s="64">
        <v>13.35</v>
      </c>
      <c r="I27" s="64">
        <v>3.76</v>
      </c>
      <c r="J27" s="64">
        <v>0.23</v>
      </c>
      <c r="K27" s="64">
        <v>85.94</v>
      </c>
      <c r="L27" s="64">
        <v>23.61</v>
      </c>
      <c r="M27" s="64">
        <v>102.02</v>
      </c>
      <c r="N27" s="64">
        <v>26.1</v>
      </c>
      <c r="O27" s="64">
        <v>0</v>
      </c>
      <c r="P27" s="64">
        <v>0.39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4" t="s">
        <v>2570</v>
      </c>
      <c r="B28" s="64">
        <v>4.2</v>
      </c>
      <c r="C28" s="64">
        <v>3.1</v>
      </c>
      <c r="D28" s="64">
        <v>7.18</v>
      </c>
      <c r="E28" s="64">
        <v>5.18</v>
      </c>
      <c r="F28" s="64">
        <v>2.98</v>
      </c>
      <c r="G28" s="64">
        <v>18.28</v>
      </c>
      <c r="H28" s="64">
        <v>13.35</v>
      </c>
      <c r="I28" s="64">
        <v>4.01</v>
      </c>
      <c r="J28" s="64">
        <v>0.65</v>
      </c>
      <c r="K28" s="64">
        <v>110.74</v>
      </c>
      <c r="L28" s="64">
        <v>23.56</v>
      </c>
      <c r="M28" s="64">
        <v>102.03</v>
      </c>
      <c r="N28" s="64">
        <v>26</v>
      </c>
      <c r="O28" s="64">
        <v>0</v>
      </c>
      <c r="P28" s="64">
        <v>0.37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4" t="s">
        <v>2571</v>
      </c>
      <c r="B29" s="64">
        <v>4.1900000000000004</v>
      </c>
      <c r="C29" s="64">
        <v>3.11</v>
      </c>
      <c r="D29" s="64">
        <v>7.18</v>
      </c>
      <c r="E29" s="64">
        <v>4.84</v>
      </c>
      <c r="F29" s="64">
        <v>4.1100000000000003</v>
      </c>
      <c r="G29" s="64">
        <v>19.329999999999998</v>
      </c>
      <c r="H29" s="64">
        <v>13.06</v>
      </c>
      <c r="I29" s="64">
        <v>3.56</v>
      </c>
      <c r="J29" s="64">
        <v>0.25</v>
      </c>
      <c r="K29" s="64">
        <v>110.71</v>
      </c>
      <c r="L29" s="64">
        <v>23.58</v>
      </c>
      <c r="M29" s="64">
        <v>101.99</v>
      </c>
      <c r="N29" s="64">
        <v>26.1</v>
      </c>
      <c r="O29" s="64">
        <v>0</v>
      </c>
      <c r="P29" s="64">
        <v>0.38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4" t="s">
        <v>2572</v>
      </c>
      <c r="B30" s="64">
        <v>4.21</v>
      </c>
      <c r="C30" s="64">
        <v>3.07</v>
      </c>
      <c r="D30" s="64">
        <v>7.17</v>
      </c>
      <c r="E30" s="64">
        <v>5.12</v>
      </c>
      <c r="F30" s="64">
        <v>3.49</v>
      </c>
      <c r="G30" s="64">
        <v>22.04</v>
      </c>
      <c r="H30" s="64">
        <v>11.83</v>
      </c>
      <c r="I30" s="64">
        <v>3.38</v>
      </c>
      <c r="J30" s="64">
        <v>0.11</v>
      </c>
      <c r="K30" s="64">
        <v>149.19999999999999</v>
      </c>
      <c r="L30" s="64">
        <v>23.52</v>
      </c>
      <c r="M30" s="64">
        <v>102.02</v>
      </c>
      <c r="N30" s="64">
        <v>26.1</v>
      </c>
      <c r="O30" s="64">
        <v>0</v>
      </c>
      <c r="P30" s="64">
        <v>0.4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4" t="s">
        <v>2573</v>
      </c>
      <c r="B31" s="64">
        <v>4.21</v>
      </c>
      <c r="C31" s="64">
        <v>3.07</v>
      </c>
      <c r="D31" s="64">
        <v>7.17</v>
      </c>
      <c r="E31" s="64">
        <v>5</v>
      </c>
      <c r="F31" s="64">
        <v>3.7</v>
      </c>
      <c r="G31" s="64">
        <v>22.04</v>
      </c>
      <c r="H31" s="64">
        <v>11.83</v>
      </c>
      <c r="I31" s="64">
        <v>4.2300000000000004</v>
      </c>
      <c r="J31" s="64">
        <v>0.03</v>
      </c>
      <c r="K31" s="64">
        <v>16.46</v>
      </c>
      <c r="L31" s="64">
        <v>23.56</v>
      </c>
      <c r="M31" s="64">
        <v>102.03</v>
      </c>
      <c r="N31" s="64">
        <v>26.2</v>
      </c>
      <c r="O31" s="64">
        <v>0</v>
      </c>
      <c r="P31" s="64">
        <v>0.38</v>
      </c>
      <c r="Q31" s="64">
        <v>9.57</v>
      </c>
      <c r="R31" s="198"/>
      <c r="S31" s="198"/>
      <c r="T31" s="198"/>
      <c r="U31" s="198"/>
    </row>
    <row r="32" spans="1:21" s="12" customFormat="1" x14ac:dyDescent="0.25">
      <c r="A32" s="214" t="s">
        <v>2574</v>
      </c>
      <c r="B32" s="64">
        <v>4.24</v>
      </c>
      <c r="C32" s="64">
        <v>3.13</v>
      </c>
      <c r="D32" s="64">
        <v>7.23</v>
      </c>
      <c r="E32" s="64">
        <v>4.9400000000000004</v>
      </c>
      <c r="F32" s="64">
        <v>3.99</v>
      </c>
      <c r="G32" s="64">
        <v>22.04</v>
      </c>
      <c r="H32" s="64">
        <v>11.83</v>
      </c>
      <c r="I32" s="64">
        <v>3.33</v>
      </c>
      <c r="J32" s="64">
        <v>0.21</v>
      </c>
      <c r="K32" s="64">
        <v>310.38</v>
      </c>
      <c r="L32" s="64">
        <v>23.64</v>
      </c>
      <c r="M32" s="64">
        <v>102.02</v>
      </c>
      <c r="N32" s="64">
        <v>28.7</v>
      </c>
      <c r="O32" s="64">
        <v>0</v>
      </c>
      <c r="P32" s="64">
        <v>0.39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4" t="s">
        <v>2575</v>
      </c>
      <c r="B33" s="64">
        <v>4.24</v>
      </c>
      <c r="C33" s="64">
        <v>3.11</v>
      </c>
      <c r="D33" s="64">
        <v>7.22</v>
      </c>
      <c r="E33" s="64">
        <v>5.05</v>
      </c>
      <c r="F33" s="64">
        <v>4.22</v>
      </c>
      <c r="G33" s="64">
        <v>21.57</v>
      </c>
      <c r="H33" s="64">
        <v>10.77</v>
      </c>
      <c r="I33" s="64">
        <v>1.86</v>
      </c>
      <c r="J33" s="64">
        <v>0.39</v>
      </c>
      <c r="K33" s="64">
        <v>119.67</v>
      </c>
      <c r="L33" s="64">
        <v>23.67</v>
      </c>
      <c r="M33" s="64">
        <v>102.02</v>
      </c>
      <c r="N33" s="64">
        <v>42.9</v>
      </c>
      <c r="O33" s="64">
        <v>0</v>
      </c>
      <c r="P33" s="64">
        <v>0.38</v>
      </c>
      <c r="Q33" s="64">
        <v>9.6300000000000008</v>
      </c>
      <c r="R33" s="198"/>
      <c r="S33" s="198"/>
      <c r="T33" s="198"/>
      <c r="U33" s="198"/>
    </row>
    <row r="34" spans="1:21" s="12" customFormat="1" x14ac:dyDescent="0.25">
      <c r="A34" s="214" t="s">
        <v>2576</v>
      </c>
      <c r="B34" s="64">
        <v>4.25</v>
      </c>
      <c r="C34" s="64">
        <v>3.11</v>
      </c>
      <c r="D34" s="64">
        <v>7.22</v>
      </c>
      <c r="E34" s="64">
        <v>5.14</v>
      </c>
      <c r="F34" s="64">
        <v>4.4400000000000004</v>
      </c>
      <c r="G34" s="64">
        <v>20.350000000000001</v>
      </c>
      <c r="H34" s="64">
        <v>8.91</v>
      </c>
      <c r="I34" s="64">
        <v>1.64</v>
      </c>
      <c r="J34" s="64">
        <v>0.49</v>
      </c>
      <c r="K34" s="64">
        <v>133.38999999999999</v>
      </c>
      <c r="L34" s="64">
        <v>23.89</v>
      </c>
      <c r="M34" s="64">
        <v>102</v>
      </c>
      <c r="N34" s="64">
        <v>63.5</v>
      </c>
      <c r="O34" s="64">
        <v>0</v>
      </c>
      <c r="P34" s="64">
        <v>0.38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4" t="s">
        <v>2577</v>
      </c>
      <c r="B35" s="64">
        <v>4.26</v>
      </c>
      <c r="C35" s="64">
        <v>3.15</v>
      </c>
      <c r="D35" s="64">
        <v>7.25</v>
      </c>
      <c r="E35" s="64">
        <v>5</v>
      </c>
      <c r="F35" s="64">
        <v>4.1399999999999997</v>
      </c>
      <c r="G35" s="64">
        <v>20.350000000000001</v>
      </c>
      <c r="H35" s="64">
        <v>8.91</v>
      </c>
      <c r="I35" s="64">
        <v>1.18</v>
      </c>
      <c r="J35" s="64">
        <v>0.41</v>
      </c>
      <c r="K35" s="64">
        <v>115.94</v>
      </c>
      <c r="L35" s="64">
        <v>24.17</v>
      </c>
      <c r="M35" s="64">
        <v>102</v>
      </c>
      <c r="N35" s="64">
        <v>65.3</v>
      </c>
      <c r="O35" s="64">
        <v>0</v>
      </c>
      <c r="P35" s="64">
        <v>0.45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4" t="s">
        <v>2578</v>
      </c>
      <c r="B36" s="64">
        <v>4.2699999999999996</v>
      </c>
      <c r="C36" s="64">
        <v>3.13</v>
      </c>
      <c r="D36" s="64">
        <v>7.25</v>
      </c>
      <c r="E36" s="64">
        <v>4.97</v>
      </c>
      <c r="F36" s="64">
        <v>3.91</v>
      </c>
      <c r="G36" s="64">
        <v>20.350000000000001</v>
      </c>
      <c r="H36" s="64">
        <v>8.91</v>
      </c>
      <c r="I36" s="64">
        <v>0.94</v>
      </c>
      <c r="J36" s="64">
        <v>0.31</v>
      </c>
      <c r="K36" s="64">
        <v>59.34</v>
      </c>
      <c r="L36" s="64">
        <v>24.19</v>
      </c>
      <c r="M36" s="64">
        <v>102</v>
      </c>
      <c r="N36" s="64">
        <v>44.6</v>
      </c>
      <c r="O36" s="64">
        <v>0</v>
      </c>
      <c r="P36" s="64">
        <v>0.38</v>
      </c>
      <c r="Q36" s="64">
        <v>9.67</v>
      </c>
      <c r="R36" s="198"/>
      <c r="S36" s="198"/>
      <c r="T36" s="198"/>
      <c r="U36" s="198"/>
    </row>
    <row r="37" spans="1:21" s="12" customFormat="1" x14ac:dyDescent="0.25">
      <c r="A37" s="214" t="s">
        <v>2579</v>
      </c>
      <c r="B37" s="64">
        <v>4.28</v>
      </c>
      <c r="C37" s="64">
        <v>3.16</v>
      </c>
      <c r="D37" s="64">
        <v>7.27</v>
      </c>
      <c r="E37" s="64">
        <v>4.63</v>
      </c>
      <c r="F37" s="64">
        <v>4.6399999999999997</v>
      </c>
      <c r="G37" s="64">
        <v>20.239999999999998</v>
      </c>
      <c r="H37" s="64">
        <v>9.49</v>
      </c>
      <c r="I37" s="64">
        <v>1.58</v>
      </c>
      <c r="J37" s="64">
        <v>0.79</v>
      </c>
      <c r="K37" s="64">
        <v>341.85</v>
      </c>
      <c r="L37" s="64">
        <v>24.52</v>
      </c>
      <c r="M37" s="64">
        <v>102</v>
      </c>
      <c r="N37" s="64">
        <v>63.1</v>
      </c>
      <c r="O37" s="64">
        <v>0</v>
      </c>
      <c r="P37" s="64">
        <v>0.54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2580</v>
      </c>
      <c r="B38" s="64">
        <v>4.26</v>
      </c>
      <c r="C38" s="64">
        <v>3.18</v>
      </c>
      <c r="D38" s="64">
        <v>7.26</v>
      </c>
      <c r="E38" s="64">
        <v>4.93</v>
      </c>
      <c r="F38" s="64">
        <v>3.48</v>
      </c>
      <c r="G38" s="64">
        <v>19.96</v>
      </c>
      <c r="H38" s="64">
        <v>10.52</v>
      </c>
      <c r="I38" s="64">
        <v>2.46</v>
      </c>
      <c r="J38" s="64">
        <v>0.46</v>
      </c>
      <c r="K38" s="64">
        <v>346.96</v>
      </c>
      <c r="L38" s="64">
        <v>24.73</v>
      </c>
      <c r="M38" s="64">
        <v>101.99</v>
      </c>
      <c r="N38" s="64">
        <v>49.3</v>
      </c>
      <c r="O38" s="64">
        <v>0</v>
      </c>
      <c r="P38" s="64">
        <v>0.42</v>
      </c>
      <c r="Q38" s="64">
        <v>9.67</v>
      </c>
      <c r="R38" s="198"/>
      <c r="S38" s="198"/>
      <c r="T38" s="198"/>
      <c r="U38" s="198"/>
    </row>
    <row r="39" spans="1:21" s="12" customFormat="1" x14ac:dyDescent="0.25">
      <c r="A39" s="214" t="s">
        <v>2581</v>
      </c>
      <c r="B39" s="64">
        <v>4.2</v>
      </c>
      <c r="C39" s="64">
        <v>3.08</v>
      </c>
      <c r="D39" s="64">
        <v>7.17</v>
      </c>
      <c r="E39" s="64">
        <v>5.14</v>
      </c>
      <c r="F39" s="64">
        <v>3.55</v>
      </c>
      <c r="G39" s="64">
        <v>19.96</v>
      </c>
      <c r="H39" s="64">
        <v>10.52</v>
      </c>
      <c r="I39" s="64">
        <v>3.81</v>
      </c>
      <c r="J39" s="64">
        <v>0.35</v>
      </c>
      <c r="K39" s="64">
        <v>120.28</v>
      </c>
      <c r="L39" s="64">
        <v>24.51</v>
      </c>
      <c r="M39" s="64">
        <v>102</v>
      </c>
      <c r="N39" s="64">
        <v>55.8</v>
      </c>
      <c r="O39" s="64">
        <v>0</v>
      </c>
      <c r="P39" s="64">
        <v>0.49</v>
      </c>
      <c r="Q39" s="64">
        <v>9.67</v>
      </c>
      <c r="R39" s="198"/>
      <c r="S39" s="198"/>
      <c r="T39" s="198"/>
      <c r="U39" s="198"/>
    </row>
    <row r="40" spans="1:21" s="12" customFormat="1" x14ac:dyDescent="0.25">
      <c r="A40" s="214" t="s">
        <v>2582</v>
      </c>
      <c r="B40" s="64">
        <v>4.2300000000000004</v>
      </c>
      <c r="C40" s="64">
        <v>3.12</v>
      </c>
      <c r="D40" s="64">
        <v>7.21</v>
      </c>
      <c r="E40" s="64">
        <v>5.19</v>
      </c>
      <c r="F40" s="64">
        <v>4.1500000000000004</v>
      </c>
      <c r="G40" s="64">
        <v>19.96</v>
      </c>
      <c r="H40" s="64">
        <v>10.52</v>
      </c>
      <c r="I40" s="64">
        <v>4.7300000000000004</v>
      </c>
      <c r="J40" s="64">
        <v>0.63</v>
      </c>
      <c r="K40" s="64">
        <v>339.16</v>
      </c>
      <c r="L40" s="64">
        <v>24.61</v>
      </c>
      <c r="M40" s="64">
        <v>102</v>
      </c>
      <c r="N40" s="64">
        <v>48.4</v>
      </c>
      <c r="O40" s="64">
        <v>0</v>
      </c>
      <c r="P40" s="64">
        <v>0.48</v>
      </c>
      <c r="Q40" s="64">
        <v>9.69</v>
      </c>
      <c r="R40" s="198"/>
      <c r="S40" s="198"/>
      <c r="T40" s="198"/>
      <c r="U40" s="198"/>
    </row>
    <row r="41" spans="1:21" s="12" customFormat="1" x14ac:dyDescent="0.25">
      <c r="A41" s="214" t="s">
        <v>2583</v>
      </c>
      <c r="B41" s="64">
        <v>4.24</v>
      </c>
      <c r="C41" s="64">
        <v>3.15</v>
      </c>
      <c r="D41" s="64">
        <v>7.24</v>
      </c>
      <c r="E41" s="64">
        <v>4.09</v>
      </c>
      <c r="F41" s="64">
        <v>3.65</v>
      </c>
      <c r="G41" s="64">
        <v>20.92</v>
      </c>
      <c r="H41" s="64">
        <v>10.84</v>
      </c>
      <c r="I41" s="64">
        <v>4.1900000000000004</v>
      </c>
      <c r="J41" s="64">
        <v>0.42</v>
      </c>
      <c r="K41" s="64">
        <v>352.98</v>
      </c>
      <c r="L41" s="64">
        <v>24.93</v>
      </c>
      <c r="M41" s="64">
        <v>101.98</v>
      </c>
      <c r="N41" s="64">
        <v>82.4</v>
      </c>
      <c r="O41" s="64">
        <v>0</v>
      </c>
      <c r="P41" s="64">
        <v>0.61</v>
      </c>
      <c r="Q41" s="64">
        <v>9.7100000000000009</v>
      </c>
      <c r="R41" s="198"/>
      <c r="S41" s="198"/>
      <c r="T41" s="198"/>
      <c r="U41" s="198"/>
    </row>
    <row r="42" spans="1:21" s="12" customFormat="1" x14ac:dyDescent="0.25">
      <c r="A42" s="214" t="s">
        <v>2584</v>
      </c>
      <c r="B42" s="64">
        <v>4.2699999999999996</v>
      </c>
      <c r="C42" s="64">
        <v>3.29</v>
      </c>
      <c r="D42" s="64">
        <v>7.33</v>
      </c>
      <c r="E42" s="64">
        <v>4.12</v>
      </c>
      <c r="F42" s="64">
        <v>3.98</v>
      </c>
      <c r="G42" s="64">
        <v>23.39</v>
      </c>
      <c r="H42" s="64">
        <v>11.37</v>
      </c>
      <c r="I42" s="64">
        <v>3.51</v>
      </c>
      <c r="J42" s="64">
        <v>0.52</v>
      </c>
      <c r="K42" s="64">
        <v>111.25</v>
      </c>
      <c r="L42" s="64">
        <v>24.97</v>
      </c>
      <c r="M42" s="64">
        <v>101.96</v>
      </c>
      <c r="N42" s="64">
        <v>148.9</v>
      </c>
      <c r="O42" s="64">
        <v>0</v>
      </c>
      <c r="P42" s="64">
        <v>0.49</v>
      </c>
      <c r="Q42" s="64">
        <v>9.76</v>
      </c>
      <c r="R42" s="198"/>
      <c r="S42" s="198"/>
      <c r="T42" s="198"/>
      <c r="U42" s="198"/>
    </row>
    <row r="43" spans="1:21" s="12" customFormat="1" x14ac:dyDescent="0.25">
      <c r="A43" s="214" t="s">
        <v>2585</v>
      </c>
      <c r="B43" s="64">
        <v>4.25</v>
      </c>
      <c r="C43" s="64">
        <v>3.25</v>
      </c>
      <c r="D43" s="64">
        <v>7.3</v>
      </c>
      <c r="E43" s="64">
        <v>4.28</v>
      </c>
      <c r="F43" s="64">
        <v>3.59</v>
      </c>
      <c r="G43" s="64">
        <v>23.39</v>
      </c>
      <c r="H43" s="64">
        <v>11.37</v>
      </c>
      <c r="I43" s="64">
        <v>4.3600000000000003</v>
      </c>
      <c r="J43" s="64">
        <v>0.34</v>
      </c>
      <c r="K43" s="64">
        <v>104.27</v>
      </c>
      <c r="L43" s="64">
        <v>25.33</v>
      </c>
      <c r="M43" s="64">
        <v>101.87</v>
      </c>
      <c r="N43" s="64">
        <v>135.69999999999999</v>
      </c>
      <c r="O43" s="64">
        <v>0</v>
      </c>
      <c r="P43" s="64">
        <v>0.5</v>
      </c>
      <c r="Q43" s="64">
        <v>9.7899999999999991</v>
      </c>
      <c r="R43" s="198"/>
      <c r="S43" s="198"/>
      <c r="T43" s="198"/>
      <c r="U43" s="198"/>
    </row>
    <row r="44" spans="1:21" s="12" customFormat="1" x14ac:dyDescent="0.25">
      <c r="A44" s="214" t="s">
        <v>2586</v>
      </c>
      <c r="B44" s="64">
        <v>4.22</v>
      </c>
      <c r="C44" s="64">
        <v>3.19</v>
      </c>
      <c r="D44" s="64">
        <v>7.24</v>
      </c>
      <c r="E44" s="64">
        <v>3.91</v>
      </c>
      <c r="F44" s="64">
        <v>3.05</v>
      </c>
      <c r="G44" s="64">
        <v>23.39</v>
      </c>
      <c r="H44" s="64">
        <v>11.37</v>
      </c>
      <c r="I44" s="64">
        <v>4.3600000000000003</v>
      </c>
      <c r="J44" s="64">
        <v>0.78</v>
      </c>
      <c r="K44" s="64">
        <v>139.97</v>
      </c>
      <c r="L44" s="64">
        <v>25.16</v>
      </c>
      <c r="M44" s="64">
        <v>101.96</v>
      </c>
      <c r="N44" s="64">
        <v>108.9</v>
      </c>
      <c r="O44" s="64">
        <v>0</v>
      </c>
      <c r="P44" s="64">
        <v>0.49</v>
      </c>
      <c r="Q44" s="64">
        <v>9.81</v>
      </c>
      <c r="R44" s="198"/>
      <c r="S44" s="198"/>
      <c r="T44" s="198"/>
      <c r="U44" s="198"/>
    </row>
    <row r="45" spans="1:21" s="12" customFormat="1" x14ac:dyDescent="0.25">
      <c r="A45" s="214" t="s">
        <v>2587</v>
      </c>
      <c r="B45" s="64">
        <v>4.2300000000000004</v>
      </c>
      <c r="C45" s="64">
        <v>3.14</v>
      </c>
      <c r="D45" s="64">
        <v>7.23</v>
      </c>
      <c r="E45" s="64">
        <v>4.03</v>
      </c>
      <c r="F45" s="64">
        <v>3.85</v>
      </c>
      <c r="G45" s="64">
        <v>24.69</v>
      </c>
      <c r="H45" s="64">
        <v>11.36</v>
      </c>
      <c r="I45" s="64">
        <v>4.75</v>
      </c>
      <c r="J45" s="64">
        <v>0.25</v>
      </c>
      <c r="K45" s="64">
        <v>133.4</v>
      </c>
      <c r="L45" s="64">
        <v>24.76</v>
      </c>
      <c r="M45" s="64">
        <v>101.98</v>
      </c>
      <c r="N45" s="64">
        <v>84.9</v>
      </c>
      <c r="O45" s="64">
        <v>0</v>
      </c>
      <c r="P45" s="64">
        <v>0.49</v>
      </c>
      <c r="Q45" s="64">
        <v>9.84</v>
      </c>
      <c r="R45" s="198"/>
      <c r="S45" s="198"/>
      <c r="T45" s="198"/>
      <c r="U45" s="198"/>
    </row>
    <row r="46" spans="1:21" s="12" customFormat="1" x14ac:dyDescent="0.25">
      <c r="A46" s="214" t="s">
        <v>2588</v>
      </c>
      <c r="B46" s="64">
        <v>4.25</v>
      </c>
      <c r="C46" s="64">
        <v>3.15</v>
      </c>
      <c r="D46" s="64">
        <v>7.25</v>
      </c>
      <c r="E46" s="64">
        <v>4.2</v>
      </c>
      <c r="F46" s="64">
        <v>3.1</v>
      </c>
      <c r="G46" s="64">
        <v>28.07</v>
      </c>
      <c r="H46" s="64">
        <v>11.33</v>
      </c>
      <c r="I46" s="64">
        <v>5.52</v>
      </c>
      <c r="J46" s="64">
        <v>0.87</v>
      </c>
      <c r="K46" s="64">
        <v>145.71</v>
      </c>
      <c r="L46" s="64">
        <v>24.9</v>
      </c>
      <c r="M46" s="64">
        <v>101.98</v>
      </c>
      <c r="N46" s="64">
        <v>208</v>
      </c>
      <c r="O46" s="64">
        <v>0</v>
      </c>
      <c r="P46" s="64">
        <v>0.49</v>
      </c>
      <c r="Q46" s="64">
        <v>9.84</v>
      </c>
      <c r="R46" s="198"/>
      <c r="S46" s="198"/>
      <c r="T46" s="198"/>
      <c r="U46" s="198"/>
    </row>
    <row r="47" spans="1:21" s="12" customFormat="1" x14ac:dyDescent="0.25">
      <c r="A47" s="214" t="s">
        <v>2589</v>
      </c>
      <c r="B47" s="64">
        <v>4.25</v>
      </c>
      <c r="C47" s="64">
        <v>3.16</v>
      </c>
      <c r="D47" s="64">
        <v>7.25</v>
      </c>
      <c r="E47" s="64">
        <v>4.32</v>
      </c>
      <c r="F47" s="64">
        <v>3.29</v>
      </c>
      <c r="G47" s="64">
        <v>28.07</v>
      </c>
      <c r="H47" s="64">
        <v>11.33</v>
      </c>
      <c r="I47" s="64">
        <v>5.72</v>
      </c>
      <c r="J47" s="64">
        <v>1.05</v>
      </c>
      <c r="K47" s="64">
        <v>156.36000000000001</v>
      </c>
      <c r="L47" s="64">
        <v>25.54</v>
      </c>
      <c r="M47" s="64">
        <v>101.95</v>
      </c>
      <c r="N47" s="64">
        <v>279.39999999999998</v>
      </c>
      <c r="O47" s="64">
        <v>0</v>
      </c>
      <c r="P47" s="64">
        <v>0.47</v>
      </c>
      <c r="Q47" s="64">
        <v>9.8000000000000007</v>
      </c>
      <c r="R47" s="198"/>
      <c r="S47" s="198"/>
      <c r="T47" s="198"/>
      <c r="U47" s="198"/>
    </row>
    <row r="48" spans="1:21" s="12" customFormat="1" x14ac:dyDescent="0.25">
      <c r="A48" s="214" t="s">
        <v>2590</v>
      </c>
      <c r="B48" s="64">
        <v>4.2699999999999996</v>
      </c>
      <c r="C48" s="64">
        <v>3.19</v>
      </c>
      <c r="D48" s="64">
        <v>7.28</v>
      </c>
      <c r="E48" s="64">
        <v>3.85</v>
      </c>
      <c r="F48" s="64">
        <v>3.74</v>
      </c>
      <c r="G48" s="64">
        <v>28.07</v>
      </c>
      <c r="H48" s="64">
        <v>11.33</v>
      </c>
      <c r="I48" s="64">
        <v>5.59</v>
      </c>
      <c r="J48" s="64">
        <v>0.78</v>
      </c>
      <c r="K48" s="64">
        <v>151.5</v>
      </c>
      <c r="L48" s="64">
        <v>25.24</v>
      </c>
      <c r="M48" s="64">
        <v>101.96</v>
      </c>
      <c r="N48" s="64">
        <v>120.6</v>
      </c>
      <c r="O48" s="64">
        <v>0</v>
      </c>
      <c r="P48" s="64">
        <v>0.47</v>
      </c>
      <c r="Q48" s="64">
        <v>9.83</v>
      </c>
      <c r="R48" s="198"/>
      <c r="S48" s="198"/>
      <c r="T48" s="198"/>
      <c r="U48" s="198"/>
    </row>
    <row r="49" spans="1:21" s="12" customFormat="1" x14ac:dyDescent="0.25">
      <c r="A49" s="214" t="s">
        <v>2591</v>
      </c>
      <c r="B49" s="64">
        <v>4.29</v>
      </c>
      <c r="C49" s="64">
        <v>3.18</v>
      </c>
      <c r="D49" s="64">
        <v>7.29</v>
      </c>
      <c r="E49" s="64">
        <v>3.53</v>
      </c>
      <c r="F49" s="64">
        <v>3.37</v>
      </c>
      <c r="G49" s="64">
        <v>27.78</v>
      </c>
      <c r="H49" s="64">
        <v>11.28</v>
      </c>
      <c r="I49" s="64">
        <v>5.0599999999999996</v>
      </c>
      <c r="J49" s="64">
        <v>1</v>
      </c>
      <c r="K49" s="64">
        <v>156.54</v>
      </c>
      <c r="L49" s="64">
        <v>25.33</v>
      </c>
      <c r="M49" s="64">
        <v>101.94</v>
      </c>
      <c r="N49" s="64">
        <v>150.1</v>
      </c>
      <c r="O49" s="64">
        <v>0</v>
      </c>
      <c r="P49" s="64">
        <v>0.46</v>
      </c>
      <c r="Q49" s="64">
        <v>9.85</v>
      </c>
      <c r="R49" s="198"/>
      <c r="S49" s="198"/>
      <c r="T49" s="198"/>
      <c r="U49" s="198"/>
    </row>
    <row r="50" spans="1:21" s="12" customFormat="1" x14ac:dyDescent="0.25">
      <c r="A50" s="214" t="s">
        <v>2592</v>
      </c>
      <c r="B50" s="64">
        <v>4.3</v>
      </c>
      <c r="C50" s="64">
        <v>3.18</v>
      </c>
      <c r="D50" s="64">
        <v>7.3</v>
      </c>
      <c r="E50" s="64">
        <v>3.91</v>
      </c>
      <c r="F50" s="64">
        <v>3.3</v>
      </c>
      <c r="G50" s="64">
        <v>27.02</v>
      </c>
      <c r="H50" s="64">
        <v>11.18</v>
      </c>
      <c r="I50" s="64">
        <v>4.79</v>
      </c>
      <c r="J50" s="64">
        <v>1.06</v>
      </c>
      <c r="K50" s="64">
        <v>154.84</v>
      </c>
      <c r="L50" s="64">
        <v>25.69</v>
      </c>
      <c r="M50" s="64">
        <v>101.22</v>
      </c>
      <c r="N50" s="64">
        <v>260.60000000000002</v>
      </c>
      <c r="O50" s="64">
        <v>0</v>
      </c>
      <c r="P50" s="64">
        <v>0.47</v>
      </c>
      <c r="Q50" s="64">
        <v>9.84</v>
      </c>
      <c r="R50" s="198"/>
      <c r="S50" s="198"/>
      <c r="T50" s="198"/>
      <c r="U50" s="198"/>
    </row>
    <row r="51" spans="1:21" s="12" customFormat="1" x14ac:dyDescent="0.25">
      <c r="A51" s="214" t="s">
        <v>2593</v>
      </c>
      <c r="B51" s="64">
        <v>4.3</v>
      </c>
      <c r="C51" s="64">
        <v>3.17</v>
      </c>
      <c r="D51" s="64">
        <v>7.3</v>
      </c>
      <c r="E51" s="64">
        <v>4.03</v>
      </c>
      <c r="F51" s="64">
        <v>4.0999999999999996</v>
      </c>
      <c r="G51" s="64">
        <v>27.02</v>
      </c>
      <c r="H51" s="64">
        <v>11.18</v>
      </c>
      <c r="I51" s="64">
        <v>5.19</v>
      </c>
      <c r="J51" s="64">
        <v>1.04</v>
      </c>
      <c r="K51" s="64">
        <v>148.16</v>
      </c>
      <c r="L51" s="64">
        <v>26.14</v>
      </c>
      <c r="M51" s="64">
        <v>100.09</v>
      </c>
      <c r="N51" s="64">
        <v>286.60000000000002</v>
      </c>
      <c r="O51" s="64">
        <v>0</v>
      </c>
      <c r="P51" s="64">
        <v>0.46</v>
      </c>
      <c r="Q51" s="64">
        <v>9.82</v>
      </c>
      <c r="R51" s="198"/>
      <c r="S51" s="198"/>
      <c r="T51" s="198"/>
      <c r="U51" s="198"/>
    </row>
    <row r="52" spans="1:21" s="12" customFormat="1" x14ac:dyDescent="0.25">
      <c r="A52" s="214" t="s">
        <v>2594</v>
      </c>
      <c r="B52" s="64">
        <v>4.2699999999999996</v>
      </c>
      <c r="C52" s="64">
        <v>3.17</v>
      </c>
      <c r="D52" s="64">
        <v>7.28</v>
      </c>
      <c r="E52" s="64">
        <v>4.2300000000000004</v>
      </c>
      <c r="F52" s="64">
        <v>4.03</v>
      </c>
      <c r="G52" s="64">
        <v>27.02</v>
      </c>
      <c r="H52" s="64">
        <v>11.18</v>
      </c>
      <c r="I52" s="64">
        <v>4.8899999999999997</v>
      </c>
      <c r="J52" s="64">
        <v>0.74</v>
      </c>
      <c r="K52" s="64">
        <v>133.18</v>
      </c>
      <c r="L52" s="64">
        <v>25.91</v>
      </c>
      <c r="M52" s="64">
        <v>100.99</v>
      </c>
      <c r="N52" s="64">
        <v>206.9</v>
      </c>
      <c r="O52" s="64">
        <v>0</v>
      </c>
      <c r="P52" s="64">
        <v>0.44</v>
      </c>
      <c r="Q52" s="210" t="s">
        <v>36</v>
      </c>
      <c r="R52" s="198"/>
      <c r="S52" s="198"/>
      <c r="T52" s="198"/>
      <c r="U52" s="198"/>
    </row>
    <row r="53" spans="1:21" s="12" customFormat="1" x14ac:dyDescent="0.25">
      <c r="A53" s="214" t="s">
        <v>2595</v>
      </c>
      <c r="B53" s="64">
        <v>4.24</v>
      </c>
      <c r="C53" s="64">
        <v>3.13</v>
      </c>
      <c r="D53" s="64">
        <v>7.23</v>
      </c>
      <c r="E53" s="64">
        <v>4.47</v>
      </c>
      <c r="F53" s="64">
        <v>4.16</v>
      </c>
      <c r="G53" s="64">
        <v>24.82</v>
      </c>
      <c r="H53" s="64">
        <v>10.47</v>
      </c>
      <c r="I53" s="64">
        <v>4.92</v>
      </c>
      <c r="J53" s="64">
        <v>0.93</v>
      </c>
      <c r="K53" s="64">
        <v>157.6</v>
      </c>
      <c r="L53" s="64">
        <v>25.81</v>
      </c>
      <c r="M53" s="64">
        <v>101.15</v>
      </c>
      <c r="N53" s="64">
        <v>212.1</v>
      </c>
      <c r="O53" s="64">
        <v>0</v>
      </c>
      <c r="P53" s="64">
        <v>0.44</v>
      </c>
      <c r="Q53" s="210" t="s">
        <v>36</v>
      </c>
      <c r="R53" s="198"/>
      <c r="S53" s="198"/>
      <c r="T53" s="198"/>
      <c r="U53" s="198"/>
    </row>
    <row r="54" spans="1:21" s="12" customFormat="1" x14ac:dyDescent="0.25">
      <c r="A54" s="214" t="s">
        <v>2596</v>
      </c>
      <c r="B54" s="64">
        <v>4.25</v>
      </c>
      <c r="C54" s="64">
        <v>3.17</v>
      </c>
      <c r="D54" s="64">
        <v>7.26</v>
      </c>
      <c r="E54" s="64">
        <v>4.09</v>
      </c>
      <c r="F54" s="64">
        <v>4.0199999999999996</v>
      </c>
      <c r="G54" s="64">
        <v>19.100000000000001</v>
      </c>
      <c r="H54" s="64">
        <v>9.24</v>
      </c>
      <c r="I54" s="64">
        <v>4.3</v>
      </c>
      <c r="J54" s="64">
        <v>1.24</v>
      </c>
      <c r="K54" s="64">
        <v>149.56</v>
      </c>
      <c r="L54" s="64">
        <v>25.65</v>
      </c>
      <c r="M54" s="64">
        <v>101.81</v>
      </c>
      <c r="N54" s="64">
        <v>248.2</v>
      </c>
      <c r="O54" s="64">
        <v>0</v>
      </c>
      <c r="P54" s="64">
        <v>0.43</v>
      </c>
      <c r="Q54" s="210" t="s">
        <v>36</v>
      </c>
      <c r="R54" s="198"/>
      <c r="S54" s="198"/>
      <c r="T54" s="198"/>
      <c r="U54" s="198"/>
    </row>
    <row r="55" spans="1:21" s="12" customFormat="1" x14ac:dyDescent="0.25">
      <c r="A55" s="214" t="s">
        <v>2597</v>
      </c>
      <c r="B55" s="64">
        <v>4.26</v>
      </c>
      <c r="C55" s="64">
        <v>3.22</v>
      </c>
      <c r="D55" s="64">
        <v>7.28</v>
      </c>
      <c r="E55" s="64">
        <v>4.21</v>
      </c>
      <c r="F55" s="64">
        <v>4.54</v>
      </c>
      <c r="G55" s="64">
        <v>19.100000000000001</v>
      </c>
      <c r="H55" s="64">
        <v>9.24</v>
      </c>
      <c r="I55" s="64">
        <v>4.25</v>
      </c>
      <c r="J55" s="64">
        <v>0.78</v>
      </c>
      <c r="K55" s="64">
        <v>145.63</v>
      </c>
      <c r="L55" s="64">
        <v>25.59</v>
      </c>
      <c r="M55" s="64">
        <v>101.89</v>
      </c>
      <c r="N55" s="64">
        <v>226.3</v>
      </c>
      <c r="O55" s="64">
        <v>0</v>
      </c>
      <c r="P55" s="64">
        <v>0.43</v>
      </c>
      <c r="Q55" s="210" t="s">
        <v>36</v>
      </c>
      <c r="R55" s="198"/>
      <c r="S55" s="198"/>
      <c r="T55" s="198"/>
      <c r="U55" s="198"/>
    </row>
    <row r="56" spans="1:21" s="12" customFormat="1" x14ac:dyDescent="0.25">
      <c r="A56" s="214" t="s">
        <v>2598</v>
      </c>
      <c r="B56" s="210" t="s">
        <v>36</v>
      </c>
      <c r="C56" s="210" t="s">
        <v>36</v>
      </c>
      <c r="D56" s="210" t="s">
        <v>36</v>
      </c>
      <c r="E56" s="64">
        <v>3.99</v>
      </c>
      <c r="F56" s="64">
        <v>5.69</v>
      </c>
      <c r="G56" s="64">
        <v>19.100000000000001</v>
      </c>
      <c r="H56" s="64">
        <v>9.24</v>
      </c>
      <c r="I56" s="64">
        <v>5.54</v>
      </c>
      <c r="J56" s="64">
        <v>0.73</v>
      </c>
      <c r="K56" s="64">
        <v>339.99</v>
      </c>
      <c r="L56" s="64">
        <v>25.84</v>
      </c>
      <c r="M56" s="64">
        <v>101.9</v>
      </c>
      <c r="N56" s="64">
        <v>134</v>
      </c>
      <c r="O56" s="64">
        <v>0</v>
      </c>
      <c r="P56" s="64">
        <v>0.41</v>
      </c>
      <c r="Q56" s="210" t="s">
        <v>36</v>
      </c>
      <c r="R56" s="198"/>
      <c r="S56" s="198"/>
      <c r="T56" s="198"/>
      <c r="U56" s="198"/>
    </row>
    <row r="57" spans="1:21" s="12" customFormat="1" x14ac:dyDescent="0.25">
      <c r="A57" s="214" t="s">
        <v>2599</v>
      </c>
      <c r="B57" s="210" t="s">
        <v>36</v>
      </c>
      <c r="C57" s="210" t="s">
        <v>36</v>
      </c>
      <c r="D57" s="210" t="s">
        <v>36</v>
      </c>
      <c r="E57" s="64">
        <v>4.1500000000000004</v>
      </c>
      <c r="F57" s="64">
        <v>5.01</v>
      </c>
      <c r="G57" s="64">
        <v>20.56</v>
      </c>
      <c r="H57" s="64">
        <v>9.57</v>
      </c>
      <c r="I57" s="64">
        <v>4.74</v>
      </c>
      <c r="J57" s="64">
        <v>1.05</v>
      </c>
      <c r="K57" s="64">
        <v>338.72</v>
      </c>
      <c r="L57" s="64">
        <v>25.86</v>
      </c>
      <c r="M57" s="64">
        <v>101.45</v>
      </c>
      <c r="N57" s="64">
        <v>339.7</v>
      </c>
      <c r="O57" s="64">
        <v>0</v>
      </c>
      <c r="P57" s="64">
        <v>0.51</v>
      </c>
      <c r="Q57" s="210" t="s">
        <v>36</v>
      </c>
      <c r="R57" s="198"/>
      <c r="S57" s="198"/>
      <c r="T57" s="198"/>
      <c r="U57" s="198"/>
    </row>
    <row r="58" spans="1:21" s="12" customFormat="1" x14ac:dyDescent="0.25">
      <c r="A58" s="214" t="s">
        <v>2600</v>
      </c>
      <c r="B58" s="64">
        <v>12.29</v>
      </c>
      <c r="C58" s="64">
        <v>15.41</v>
      </c>
      <c r="D58" s="64">
        <v>20.100000000000001</v>
      </c>
      <c r="E58" s="64">
        <v>4.0599999999999996</v>
      </c>
      <c r="F58" s="64">
        <v>4.7699999999999996</v>
      </c>
      <c r="G58" s="64">
        <v>24.34</v>
      </c>
      <c r="H58" s="64">
        <v>10.16</v>
      </c>
      <c r="I58" s="64">
        <v>3.58</v>
      </c>
      <c r="J58" s="64">
        <v>0.34</v>
      </c>
      <c r="K58" s="64">
        <v>13.93</v>
      </c>
      <c r="L58" s="64">
        <v>26.22</v>
      </c>
      <c r="M58" s="64">
        <v>99.68</v>
      </c>
      <c r="N58" s="64">
        <v>282.10000000000002</v>
      </c>
      <c r="O58" s="64">
        <v>0</v>
      </c>
      <c r="P58" s="64">
        <v>0.51</v>
      </c>
      <c r="Q58" s="210" t="s">
        <v>36</v>
      </c>
      <c r="R58" s="198"/>
      <c r="S58" s="198"/>
      <c r="T58" s="198"/>
      <c r="U58" s="198"/>
    </row>
    <row r="59" spans="1:21" s="12" customFormat="1" x14ac:dyDescent="0.25">
      <c r="A59" s="214" t="s">
        <v>2601</v>
      </c>
      <c r="B59" s="64">
        <v>13.12</v>
      </c>
      <c r="C59" s="64">
        <v>22.12</v>
      </c>
      <c r="D59" s="64">
        <v>24.27</v>
      </c>
      <c r="E59" s="64">
        <v>4.0999999999999996</v>
      </c>
      <c r="F59" s="64">
        <v>2.76</v>
      </c>
      <c r="G59" s="64">
        <v>24.34</v>
      </c>
      <c r="H59" s="64">
        <v>10.16</v>
      </c>
      <c r="I59" s="64">
        <v>3.15</v>
      </c>
      <c r="J59" s="64">
        <v>0.77</v>
      </c>
      <c r="K59" s="64">
        <v>342.96</v>
      </c>
      <c r="L59" s="64">
        <v>26.93</v>
      </c>
      <c r="M59" s="64">
        <v>98.49</v>
      </c>
      <c r="N59" s="64">
        <v>289.3</v>
      </c>
      <c r="O59" s="64">
        <v>0</v>
      </c>
      <c r="P59" s="64">
        <v>0.57999999999999996</v>
      </c>
      <c r="Q59" s="64">
        <v>2.34</v>
      </c>
      <c r="R59" s="198"/>
      <c r="S59" s="198"/>
      <c r="T59" s="198"/>
      <c r="U59" s="198"/>
    </row>
    <row r="60" spans="1:21" s="12" customFormat="1" x14ac:dyDescent="0.25">
      <c r="A60" s="214" t="s">
        <v>2602</v>
      </c>
      <c r="B60" s="64">
        <v>11.97</v>
      </c>
      <c r="C60" s="64">
        <v>26.71</v>
      </c>
      <c r="D60" s="64">
        <v>25.26</v>
      </c>
      <c r="E60" s="64">
        <v>4.29</v>
      </c>
      <c r="F60" s="64">
        <v>4.16</v>
      </c>
      <c r="G60" s="64">
        <v>24.34</v>
      </c>
      <c r="H60" s="64">
        <v>10.16</v>
      </c>
      <c r="I60" s="64">
        <v>2.91</v>
      </c>
      <c r="J60" s="64">
        <v>0.26</v>
      </c>
      <c r="K60" s="64">
        <v>14.45</v>
      </c>
      <c r="L60" s="64">
        <v>27.27</v>
      </c>
      <c r="M60" s="64">
        <v>93.91</v>
      </c>
      <c r="N60" s="64">
        <v>273.8</v>
      </c>
      <c r="O60" s="64">
        <v>0</v>
      </c>
      <c r="P60" s="64">
        <v>0.56999999999999995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4" t="s">
        <v>2603</v>
      </c>
      <c r="B61" s="64">
        <v>7.15</v>
      </c>
      <c r="C61" s="64">
        <v>26.12</v>
      </c>
      <c r="D61" s="64">
        <v>19.38</v>
      </c>
      <c r="E61" s="64">
        <v>4.13</v>
      </c>
      <c r="F61" s="64">
        <v>4.7699999999999996</v>
      </c>
      <c r="G61" s="64">
        <v>25.3</v>
      </c>
      <c r="H61" s="64">
        <v>10.96</v>
      </c>
      <c r="I61" s="64">
        <v>2.91</v>
      </c>
      <c r="J61" s="64">
        <v>0.72</v>
      </c>
      <c r="K61" s="64">
        <v>325.5</v>
      </c>
      <c r="L61" s="64">
        <v>27.81</v>
      </c>
      <c r="M61" s="64">
        <v>92.35</v>
      </c>
      <c r="N61" s="64">
        <v>192</v>
      </c>
      <c r="O61" s="64">
        <v>0</v>
      </c>
      <c r="P61" s="64">
        <v>0.57999999999999996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4" t="s">
        <v>2604</v>
      </c>
      <c r="B62" s="64">
        <v>6.85</v>
      </c>
      <c r="C62" s="64">
        <v>27.14</v>
      </c>
      <c r="D62" s="64">
        <v>19.670000000000002</v>
      </c>
      <c r="E62" s="64">
        <v>3.95</v>
      </c>
      <c r="F62" s="64">
        <v>4.2300000000000004</v>
      </c>
      <c r="G62" s="64">
        <v>27.79</v>
      </c>
      <c r="H62" s="64">
        <v>14.34</v>
      </c>
      <c r="I62" s="64">
        <v>2.79</v>
      </c>
      <c r="J62" s="64">
        <v>0.49</v>
      </c>
      <c r="K62" s="64">
        <v>336.06</v>
      </c>
      <c r="L62" s="64">
        <v>28.11</v>
      </c>
      <c r="M62" s="64">
        <v>90.57</v>
      </c>
      <c r="N62" s="64">
        <v>241.1</v>
      </c>
      <c r="O62" s="64">
        <v>0</v>
      </c>
      <c r="P62" s="64">
        <v>0.64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14" t="s">
        <v>2605</v>
      </c>
      <c r="B63" s="64">
        <v>8.4499999999999993</v>
      </c>
      <c r="C63" s="64">
        <v>27.88</v>
      </c>
      <c r="D63" s="64">
        <v>21.34</v>
      </c>
      <c r="E63" s="64">
        <v>5.36</v>
      </c>
      <c r="F63" s="64">
        <v>4.97</v>
      </c>
      <c r="G63" s="64">
        <v>27.79</v>
      </c>
      <c r="H63" s="64">
        <v>14.34</v>
      </c>
      <c r="I63" s="64">
        <v>2.74</v>
      </c>
      <c r="J63" s="64">
        <v>0.45</v>
      </c>
      <c r="K63" s="64">
        <v>307.33</v>
      </c>
      <c r="L63" s="64">
        <v>28.25</v>
      </c>
      <c r="M63" s="64">
        <v>88.47</v>
      </c>
      <c r="N63" s="64">
        <v>253.4</v>
      </c>
      <c r="O63" s="64">
        <v>0</v>
      </c>
      <c r="P63" s="64">
        <v>0.68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4" t="s">
        <v>2606</v>
      </c>
      <c r="B64" s="64">
        <v>7.56</v>
      </c>
      <c r="C64" s="64">
        <v>28.73</v>
      </c>
      <c r="D64" s="64">
        <v>21.07</v>
      </c>
      <c r="E64" s="64">
        <v>3.93</v>
      </c>
      <c r="F64" s="64">
        <v>5.24</v>
      </c>
      <c r="G64" s="64">
        <v>27.79</v>
      </c>
      <c r="H64" s="64">
        <v>14.34</v>
      </c>
      <c r="I64" s="64">
        <v>2.52</v>
      </c>
      <c r="J64" s="64">
        <v>0.04</v>
      </c>
      <c r="K64" s="64">
        <v>191.36</v>
      </c>
      <c r="L64" s="64">
        <v>27.96</v>
      </c>
      <c r="M64" s="64">
        <v>89.1</v>
      </c>
      <c r="N64" s="64">
        <v>258.10000000000002</v>
      </c>
      <c r="O64" s="64">
        <v>0</v>
      </c>
      <c r="P64" s="64">
        <v>0.65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4" t="s">
        <v>2607</v>
      </c>
      <c r="B65" s="64">
        <v>3.36</v>
      </c>
      <c r="C65" s="64">
        <v>29.5</v>
      </c>
      <c r="D65" s="64">
        <v>18.11</v>
      </c>
      <c r="E65" s="64">
        <v>3.81</v>
      </c>
      <c r="F65" s="64">
        <v>4.78</v>
      </c>
      <c r="G65" s="64">
        <v>33.49</v>
      </c>
      <c r="H65" s="64">
        <v>15</v>
      </c>
      <c r="I65" s="64">
        <v>2.23</v>
      </c>
      <c r="J65" s="64">
        <v>0.12</v>
      </c>
      <c r="K65" s="64">
        <v>158.69999999999999</v>
      </c>
      <c r="L65" s="64">
        <v>27.31</v>
      </c>
      <c r="M65" s="64">
        <v>92.14</v>
      </c>
      <c r="N65" s="64">
        <v>221</v>
      </c>
      <c r="O65" s="64">
        <v>0</v>
      </c>
      <c r="P65" s="64">
        <v>0.56000000000000005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4" t="s">
        <v>2608</v>
      </c>
      <c r="B66" s="64">
        <v>2.11</v>
      </c>
      <c r="C66" s="64">
        <v>25.1</v>
      </c>
      <c r="D66" s="64">
        <v>14.81</v>
      </c>
      <c r="E66" s="64">
        <v>3.86</v>
      </c>
      <c r="F66" s="64">
        <v>4.3600000000000003</v>
      </c>
      <c r="G66" s="64">
        <v>48.31</v>
      </c>
      <c r="H66" s="64">
        <v>16.12</v>
      </c>
      <c r="I66" s="64">
        <v>1.99</v>
      </c>
      <c r="J66" s="64">
        <v>0.28000000000000003</v>
      </c>
      <c r="K66" s="64">
        <v>150.29</v>
      </c>
      <c r="L66" s="64">
        <v>26.99</v>
      </c>
      <c r="M66" s="64">
        <v>94.17</v>
      </c>
      <c r="N66" s="64">
        <v>207</v>
      </c>
      <c r="O66" s="64">
        <v>0</v>
      </c>
      <c r="P66" s="64">
        <v>0.57999999999999996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4" t="s">
        <v>2609</v>
      </c>
      <c r="B67" s="64">
        <v>2.23</v>
      </c>
      <c r="C67" s="64">
        <v>20.93</v>
      </c>
      <c r="D67" s="64">
        <v>12.73</v>
      </c>
      <c r="E67" s="64">
        <v>3.37</v>
      </c>
      <c r="F67" s="64">
        <v>4.09</v>
      </c>
      <c r="G67" s="64">
        <v>48.31</v>
      </c>
      <c r="H67" s="64">
        <v>16.12</v>
      </c>
      <c r="I67" s="64">
        <v>1.72</v>
      </c>
      <c r="J67" s="64">
        <v>0.77</v>
      </c>
      <c r="K67" s="64">
        <v>346.44</v>
      </c>
      <c r="L67" s="64">
        <v>27.52</v>
      </c>
      <c r="M67" s="64">
        <v>92.69</v>
      </c>
      <c r="N67" s="64">
        <v>199.1</v>
      </c>
      <c r="O67" s="64">
        <v>0</v>
      </c>
      <c r="P67" s="64">
        <v>0.62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2610</v>
      </c>
      <c r="B68" s="64">
        <v>4.3899999999999997</v>
      </c>
      <c r="C68" s="64">
        <v>22.15</v>
      </c>
      <c r="D68" s="64">
        <v>15.09</v>
      </c>
      <c r="E68" s="64">
        <v>4.2300000000000004</v>
      </c>
      <c r="F68" s="64">
        <v>4.3099999999999996</v>
      </c>
      <c r="G68" s="64">
        <v>48.31</v>
      </c>
      <c r="H68" s="64">
        <v>16.12</v>
      </c>
      <c r="I68" s="64">
        <v>1.9</v>
      </c>
      <c r="J68" s="64">
        <v>0.84</v>
      </c>
      <c r="K68" s="64">
        <v>331.95</v>
      </c>
      <c r="L68" s="64">
        <v>28.31</v>
      </c>
      <c r="M68" s="64">
        <v>90.05</v>
      </c>
      <c r="N68" s="64">
        <v>165.3</v>
      </c>
      <c r="O68" s="64">
        <v>0</v>
      </c>
      <c r="P68" s="64">
        <v>0.68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4" t="s">
        <v>2611</v>
      </c>
      <c r="B69" s="64">
        <v>6.01</v>
      </c>
      <c r="C69" s="64">
        <v>22.81</v>
      </c>
      <c r="D69" s="64">
        <v>16.739999999999998</v>
      </c>
      <c r="E69" s="64">
        <v>3.88</v>
      </c>
      <c r="F69" s="64">
        <v>3.78</v>
      </c>
      <c r="G69" s="64">
        <v>46.63</v>
      </c>
      <c r="H69" s="64">
        <v>15.69</v>
      </c>
      <c r="I69" s="64">
        <v>1.92</v>
      </c>
      <c r="J69" s="64">
        <v>0.55000000000000004</v>
      </c>
      <c r="K69" s="64">
        <v>348.76</v>
      </c>
      <c r="L69" s="64">
        <v>28.44</v>
      </c>
      <c r="M69" s="64">
        <v>89.49</v>
      </c>
      <c r="N69" s="64">
        <v>187.2</v>
      </c>
      <c r="O69" s="64">
        <v>0</v>
      </c>
      <c r="P69" s="64">
        <v>0.69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4" t="s">
        <v>2612</v>
      </c>
      <c r="B70" s="64">
        <v>6.85</v>
      </c>
      <c r="C70" s="64">
        <v>20.64</v>
      </c>
      <c r="D70" s="64">
        <v>16.28</v>
      </c>
      <c r="E70" s="64">
        <v>3.51</v>
      </c>
      <c r="F70" s="64">
        <v>3.85</v>
      </c>
      <c r="G70" s="64">
        <v>42.25</v>
      </c>
      <c r="H70" s="64">
        <v>14.97</v>
      </c>
      <c r="I70" s="64">
        <v>1.99</v>
      </c>
      <c r="J70" s="64">
        <v>0.85</v>
      </c>
      <c r="K70" s="64">
        <v>338.17</v>
      </c>
      <c r="L70" s="64">
        <v>28.91</v>
      </c>
      <c r="M70" s="64">
        <v>87.14</v>
      </c>
      <c r="N70" s="64">
        <v>233.2</v>
      </c>
      <c r="O70" s="64">
        <v>0</v>
      </c>
      <c r="P70" s="64">
        <v>0.65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4" t="s">
        <v>2613</v>
      </c>
      <c r="B71" s="64">
        <v>7.18</v>
      </c>
      <c r="C71" s="64">
        <v>18.18</v>
      </c>
      <c r="D71" s="64">
        <v>15.25</v>
      </c>
      <c r="E71" s="64">
        <v>3.82</v>
      </c>
      <c r="F71" s="64">
        <v>4.42</v>
      </c>
      <c r="G71" s="64">
        <v>42.25</v>
      </c>
      <c r="H71" s="64">
        <v>14.97</v>
      </c>
      <c r="I71" s="64">
        <v>2.1</v>
      </c>
      <c r="J71" s="64">
        <v>0.04</v>
      </c>
      <c r="K71" s="64">
        <v>179.79</v>
      </c>
      <c r="L71" s="64">
        <v>28.41</v>
      </c>
      <c r="M71" s="64">
        <v>89.09</v>
      </c>
      <c r="N71" s="64">
        <v>202.7</v>
      </c>
      <c r="O71" s="64">
        <v>0</v>
      </c>
      <c r="P71" s="64">
        <v>0.63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2614</v>
      </c>
      <c r="B72" s="64">
        <v>4.96</v>
      </c>
      <c r="C72" s="64">
        <v>22.13</v>
      </c>
      <c r="D72" s="64">
        <v>15.54</v>
      </c>
      <c r="E72" s="64">
        <v>4.57</v>
      </c>
      <c r="F72" s="64">
        <v>4.93</v>
      </c>
      <c r="G72" s="64">
        <v>42.25</v>
      </c>
      <c r="H72" s="64">
        <v>14.97</v>
      </c>
      <c r="I72" s="64">
        <v>2.2000000000000002</v>
      </c>
      <c r="J72" s="64">
        <v>0.16</v>
      </c>
      <c r="K72" s="64">
        <v>340.39</v>
      </c>
      <c r="L72" s="64">
        <v>28.34</v>
      </c>
      <c r="M72" s="64">
        <v>90.76</v>
      </c>
      <c r="N72" s="64">
        <v>151</v>
      </c>
      <c r="O72" s="64">
        <v>0</v>
      </c>
      <c r="P72" s="64">
        <v>0.6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4" t="s">
        <v>2615</v>
      </c>
      <c r="B73" s="64">
        <v>2.61</v>
      </c>
      <c r="C73" s="64">
        <v>23.46</v>
      </c>
      <c r="D73" s="64">
        <v>14.35</v>
      </c>
      <c r="E73" s="64">
        <v>4.17</v>
      </c>
      <c r="F73" s="64">
        <v>4.2300000000000004</v>
      </c>
      <c r="G73" s="64">
        <v>43.34</v>
      </c>
      <c r="H73" s="64">
        <v>15.84</v>
      </c>
      <c r="I73" s="64">
        <v>2.95</v>
      </c>
      <c r="J73" s="64">
        <v>0.4</v>
      </c>
      <c r="K73" s="64">
        <v>353.63</v>
      </c>
      <c r="L73" s="64">
        <v>28.19</v>
      </c>
      <c r="M73" s="64">
        <v>91.77</v>
      </c>
      <c r="N73" s="64">
        <v>94.3</v>
      </c>
      <c r="O73" s="64">
        <v>0</v>
      </c>
      <c r="P73" s="64">
        <v>0.62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4" t="s">
        <v>2616</v>
      </c>
      <c r="B74" s="64">
        <v>2.87</v>
      </c>
      <c r="C74" s="64">
        <v>20.079999999999998</v>
      </c>
      <c r="D74" s="64">
        <v>12.8</v>
      </c>
      <c r="E74" s="64">
        <v>3.93</v>
      </c>
      <c r="F74" s="64">
        <v>3.35</v>
      </c>
      <c r="G74" s="64">
        <v>46.19</v>
      </c>
      <c r="H74" s="64">
        <v>17.309999999999999</v>
      </c>
      <c r="I74" s="64">
        <v>2.98</v>
      </c>
      <c r="J74" s="64">
        <v>0.36</v>
      </c>
      <c r="K74" s="64">
        <v>4.83</v>
      </c>
      <c r="L74" s="64">
        <v>27.89</v>
      </c>
      <c r="M74" s="64">
        <v>93.43</v>
      </c>
      <c r="N74" s="64">
        <v>97.5</v>
      </c>
      <c r="O74" s="64">
        <v>0</v>
      </c>
      <c r="P74" s="64">
        <v>0.68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2617</v>
      </c>
      <c r="B75" s="64">
        <v>3.62</v>
      </c>
      <c r="C75" s="64">
        <v>16.21</v>
      </c>
      <c r="D75" s="64">
        <v>11.38</v>
      </c>
      <c r="E75" s="64">
        <v>4.12</v>
      </c>
      <c r="F75" s="64">
        <v>2.57</v>
      </c>
      <c r="G75" s="64">
        <v>46.19</v>
      </c>
      <c r="H75" s="64">
        <v>17.309999999999999</v>
      </c>
      <c r="I75" s="64">
        <v>2.98</v>
      </c>
      <c r="J75" s="64">
        <v>0.34</v>
      </c>
      <c r="K75" s="64">
        <v>181.42</v>
      </c>
      <c r="L75" s="64">
        <v>27.51</v>
      </c>
      <c r="M75" s="64">
        <v>94.68</v>
      </c>
      <c r="N75" s="64">
        <v>77.8</v>
      </c>
      <c r="O75" s="64">
        <v>0</v>
      </c>
      <c r="P75" s="64">
        <v>0.56999999999999995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2618</v>
      </c>
      <c r="B76" s="64">
        <v>4.04</v>
      </c>
      <c r="C76" s="64">
        <v>14.09</v>
      </c>
      <c r="D76" s="64">
        <v>10.61</v>
      </c>
      <c r="E76" s="64">
        <v>3.98</v>
      </c>
      <c r="F76" s="64">
        <v>4.1500000000000004</v>
      </c>
      <c r="G76" s="64">
        <v>46.19</v>
      </c>
      <c r="H76" s="64">
        <v>17.309999999999999</v>
      </c>
      <c r="I76" s="64">
        <v>2.5499999999999998</v>
      </c>
      <c r="J76" s="64">
        <v>0.16</v>
      </c>
      <c r="K76" s="64">
        <v>214.41</v>
      </c>
      <c r="L76" s="64">
        <v>27.27</v>
      </c>
      <c r="M76" s="64">
        <v>96.21</v>
      </c>
      <c r="N76" s="64">
        <v>53</v>
      </c>
      <c r="O76" s="64">
        <v>0</v>
      </c>
      <c r="P76" s="64">
        <v>0.64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4" t="s">
        <v>2619</v>
      </c>
      <c r="B77" s="64">
        <v>4.3499999999999996</v>
      </c>
      <c r="C77" s="64">
        <v>20.28</v>
      </c>
      <c r="D77" s="64">
        <v>14.08</v>
      </c>
      <c r="E77" s="64">
        <v>4.29</v>
      </c>
      <c r="F77" s="64">
        <v>2.67</v>
      </c>
      <c r="G77" s="64">
        <v>41.58</v>
      </c>
      <c r="H77" s="64">
        <v>17.34</v>
      </c>
      <c r="I77" s="64">
        <v>2.2799999999999998</v>
      </c>
      <c r="J77" s="64">
        <v>0.22</v>
      </c>
      <c r="K77" s="64">
        <v>340.25</v>
      </c>
      <c r="L77" s="64">
        <v>27.03</v>
      </c>
      <c r="M77" s="64">
        <v>99.38</v>
      </c>
      <c r="N77" s="64">
        <v>47.4</v>
      </c>
      <c r="O77" s="64">
        <v>0</v>
      </c>
      <c r="P77" s="64">
        <v>0.81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4" t="s">
        <v>2620</v>
      </c>
      <c r="B78" s="64">
        <v>4.5599999999999996</v>
      </c>
      <c r="C78" s="64">
        <v>21.98</v>
      </c>
      <c r="D78" s="64">
        <v>15.14</v>
      </c>
      <c r="E78" s="64">
        <v>4.25</v>
      </c>
      <c r="F78" s="64">
        <v>3.05</v>
      </c>
      <c r="G78" s="64">
        <v>29.61</v>
      </c>
      <c r="H78" s="64">
        <v>17.489999999999998</v>
      </c>
      <c r="I78" s="64">
        <v>2.91</v>
      </c>
      <c r="J78" s="64">
        <v>0.55000000000000004</v>
      </c>
      <c r="K78" s="64">
        <v>138.77000000000001</v>
      </c>
      <c r="L78" s="64">
        <v>26.48</v>
      </c>
      <c r="M78" s="64">
        <v>101.62</v>
      </c>
      <c r="N78" s="64">
        <v>43.5</v>
      </c>
      <c r="O78" s="64">
        <v>0</v>
      </c>
      <c r="P78" s="64">
        <v>0.7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2621</v>
      </c>
      <c r="B79" s="64">
        <v>4.99</v>
      </c>
      <c r="C79" s="64">
        <v>18.75</v>
      </c>
      <c r="D79" s="64">
        <v>13.8</v>
      </c>
      <c r="E79" s="64">
        <v>3.96</v>
      </c>
      <c r="F79" s="64">
        <v>4.0599999999999996</v>
      </c>
      <c r="G79" s="64">
        <v>29.61</v>
      </c>
      <c r="H79" s="64">
        <v>17.489999999999998</v>
      </c>
      <c r="I79" s="64">
        <v>2.7</v>
      </c>
      <c r="J79" s="64">
        <v>0.61</v>
      </c>
      <c r="K79" s="64">
        <v>138.05000000000001</v>
      </c>
      <c r="L79" s="64">
        <v>26.27</v>
      </c>
      <c r="M79" s="64">
        <v>101.94</v>
      </c>
      <c r="N79" s="64">
        <v>35.299999999999997</v>
      </c>
      <c r="O79" s="64">
        <v>0</v>
      </c>
      <c r="P79" s="64">
        <v>0.67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4" t="s">
        <v>2622</v>
      </c>
      <c r="B80" s="64">
        <v>5.34</v>
      </c>
      <c r="C80" s="64">
        <v>15.36</v>
      </c>
      <c r="D80" s="64">
        <v>12.3</v>
      </c>
      <c r="E80" s="64">
        <v>4</v>
      </c>
      <c r="F80" s="64">
        <v>2.59</v>
      </c>
      <c r="G80" s="64">
        <v>29.61</v>
      </c>
      <c r="H80" s="64">
        <v>17.489999999999998</v>
      </c>
      <c r="I80" s="64">
        <v>2.67</v>
      </c>
      <c r="J80" s="64">
        <v>0.15</v>
      </c>
      <c r="K80" s="64">
        <v>64.41</v>
      </c>
      <c r="L80" s="64">
        <v>26.14</v>
      </c>
      <c r="M80" s="64">
        <v>101.96</v>
      </c>
      <c r="N80" s="64">
        <v>28.4</v>
      </c>
      <c r="O80" s="64">
        <v>0</v>
      </c>
      <c r="P80" s="64">
        <v>0.68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4" t="s">
        <v>2623</v>
      </c>
      <c r="B81" s="64">
        <v>5.65</v>
      </c>
      <c r="C81" s="64">
        <v>12.69</v>
      </c>
      <c r="D81" s="64">
        <v>11.16</v>
      </c>
      <c r="E81" s="64">
        <v>4.03</v>
      </c>
      <c r="F81" s="64">
        <v>3.05</v>
      </c>
      <c r="G81" s="64">
        <v>33.630000000000003</v>
      </c>
      <c r="H81" s="64">
        <v>17.510000000000002</v>
      </c>
      <c r="I81" s="64">
        <v>3.22</v>
      </c>
      <c r="J81" s="64">
        <v>0.45</v>
      </c>
      <c r="K81" s="64">
        <v>333.45</v>
      </c>
      <c r="L81" s="64">
        <v>25.94</v>
      </c>
      <c r="M81" s="64">
        <v>101.98</v>
      </c>
      <c r="N81" s="64">
        <v>26.5</v>
      </c>
      <c r="O81" s="64">
        <v>0</v>
      </c>
      <c r="P81" s="64">
        <v>1.1299999999999999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4" t="s">
        <v>2624</v>
      </c>
      <c r="B82" s="64">
        <v>6.91</v>
      </c>
      <c r="C82" s="64">
        <v>11.21</v>
      </c>
      <c r="D82" s="64">
        <v>11.4</v>
      </c>
      <c r="E82" s="64">
        <v>3.78</v>
      </c>
      <c r="F82" s="64">
        <v>3.52</v>
      </c>
      <c r="G82" s="64">
        <v>44.07</v>
      </c>
      <c r="H82" s="64">
        <v>17.54</v>
      </c>
      <c r="I82" s="64">
        <v>3.26</v>
      </c>
      <c r="J82" s="64">
        <v>0.48</v>
      </c>
      <c r="K82" s="64">
        <v>323.79000000000002</v>
      </c>
      <c r="L82" s="64">
        <v>26.03</v>
      </c>
      <c r="M82" s="64">
        <v>100.56</v>
      </c>
      <c r="N82" s="64">
        <v>26.2</v>
      </c>
      <c r="O82" s="64">
        <v>0</v>
      </c>
      <c r="P82" s="64">
        <v>1.04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4" t="s">
        <v>2625</v>
      </c>
      <c r="B83" s="64">
        <v>7.92</v>
      </c>
      <c r="C83" s="64">
        <v>10.54</v>
      </c>
      <c r="D83" s="64">
        <v>11.86</v>
      </c>
      <c r="E83" s="64">
        <v>3.77</v>
      </c>
      <c r="F83" s="64">
        <v>3.76</v>
      </c>
      <c r="G83" s="64">
        <v>44.07</v>
      </c>
      <c r="H83" s="64">
        <v>17.54</v>
      </c>
      <c r="I83" s="64">
        <v>3.83</v>
      </c>
      <c r="J83" s="64">
        <v>0.63</v>
      </c>
      <c r="K83" s="64">
        <v>332.58</v>
      </c>
      <c r="L83" s="64">
        <v>26.17</v>
      </c>
      <c r="M83" s="64">
        <v>99.03</v>
      </c>
      <c r="N83" s="64">
        <v>26.2</v>
      </c>
      <c r="O83" s="64">
        <v>0</v>
      </c>
      <c r="P83" s="64">
        <v>1.31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4" t="s">
        <v>2626</v>
      </c>
      <c r="B84" s="64">
        <v>9.02</v>
      </c>
      <c r="C84" s="64">
        <v>10.15</v>
      </c>
      <c r="D84" s="64">
        <v>12.53</v>
      </c>
      <c r="E84" s="64">
        <v>3.83</v>
      </c>
      <c r="F84" s="64">
        <v>3.94</v>
      </c>
      <c r="G84" s="64">
        <v>44.07</v>
      </c>
      <c r="H84" s="64">
        <v>17.54</v>
      </c>
      <c r="I84" s="64">
        <v>3.77</v>
      </c>
      <c r="J84" s="64">
        <v>0.49</v>
      </c>
      <c r="K84" s="64">
        <v>318.68</v>
      </c>
      <c r="L84" s="64">
        <v>26.09</v>
      </c>
      <c r="M84" s="64">
        <v>100</v>
      </c>
      <c r="N84" s="64">
        <v>26.2</v>
      </c>
      <c r="O84" s="64">
        <v>0</v>
      </c>
      <c r="P84" s="64">
        <v>1.53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4" t="s">
        <v>2627</v>
      </c>
      <c r="B85" s="64">
        <v>10.14</v>
      </c>
      <c r="C85" s="64">
        <v>9.82</v>
      </c>
      <c r="D85" s="64">
        <v>13.26</v>
      </c>
      <c r="E85" s="64">
        <v>3.9</v>
      </c>
      <c r="F85" s="64">
        <v>3.67</v>
      </c>
      <c r="G85" s="64">
        <v>45.32</v>
      </c>
      <c r="H85" s="64">
        <v>18.149999999999999</v>
      </c>
      <c r="I85" s="64">
        <v>3.69</v>
      </c>
      <c r="J85" s="64">
        <v>0.53</v>
      </c>
      <c r="K85" s="64">
        <v>118.98</v>
      </c>
      <c r="L85" s="64">
        <v>25.87</v>
      </c>
      <c r="M85" s="64">
        <v>98.51</v>
      </c>
      <c r="N85" s="64">
        <v>26.3</v>
      </c>
      <c r="O85" s="64">
        <v>0</v>
      </c>
      <c r="P85" s="64">
        <v>0.73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4" t="s">
        <v>2628</v>
      </c>
      <c r="B86" s="64">
        <v>10.220000000000001</v>
      </c>
      <c r="C86" s="64">
        <v>9.2200000000000006</v>
      </c>
      <c r="D86" s="64">
        <v>13.01</v>
      </c>
      <c r="E86" s="64">
        <v>4.08</v>
      </c>
      <c r="F86" s="64">
        <v>3.91</v>
      </c>
      <c r="G86" s="64">
        <v>48.54</v>
      </c>
      <c r="H86" s="64">
        <v>19.16</v>
      </c>
      <c r="I86" s="64">
        <v>3.98</v>
      </c>
      <c r="J86" s="64">
        <v>0.22</v>
      </c>
      <c r="K86" s="64">
        <v>107.53</v>
      </c>
      <c r="L86" s="64">
        <v>25.77</v>
      </c>
      <c r="M86" s="64">
        <v>97.56</v>
      </c>
      <c r="N86" s="64">
        <v>26.2</v>
      </c>
      <c r="O86" s="64">
        <v>0</v>
      </c>
      <c r="P86" s="64">
        <v>0.97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4" t="s">
        <v>2629</v>
      </c>
      <c r="B87" s="64">
        <v>10.61</v>
      </c>
      <c r="C87" s="64">
        <v>8.9600000000000009</v>
      </c>
      <c r="D87" s="64">
        <v>13.19</v>
      </c>
      <c r="E87" s="64">
        <v>4.01</v>
      </c>
      <c r="F87" s="64">
        <v>3.64</v>
      </c>
      <c r="G87" s="64">
        <v>48.54</v>
      </c>
      <c r="H87" s="64">
        <v>19.16</v>
      </c>
      <c r="I87" s="64">
        <v>3.02</v>
      </c>
      <c r="J87" s="64">
        <v>0.56000000000000005</v>
      </c>
      <c r="K87" s="64">
        <v>326.04000000000002</v>
      </c>
      <c r="L87" s="64">
        <v>25.79</v>
      </c>
      <c r="M87" s="64">
        <v>100.15</v>
      </c>
      <c r="N87" s="64">
        <v>26.2</v>
      </c>
      <c r="O87" s="64">
        <v>0</v>
      </c>
      <c r="P87" s="64">
        <v>1.1599999999999999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4" t="s">
        <v>2630</v>
      </c>
      <c r="B88" s="64">
        <v>11.52</v>
      </c>
      <c r="C88" s="64">
        <v>9.16</v>
      </c>
      <c r="D88" s="64">
        <v>14.02</v>
      </c>
      <c r="E88" s="64">
        <v>4.9400000000000004</v>
      </c>
      <c r="F88" s="64">
        <v>4.2699999999999996</v>
      </c>
      <c r="G88" s="64">
        <v>48.54</v>
      </c>
      <c r="H88" s="64">
        <v>19.16</v>
      </c>
      <c r="I88" s="64">
        <v>3.3</v>
      </c>
      <c r="J88" s="64">
        <v>0.09</v>
      </c>
      <c r="K88" s="64">
        <v>208.05</v>
      </c>
      <c r="L88" s="64">
        <v>25.75</v>
      </c>
      <c r="M88" s="64">
        <v>101.36</v>
      </c>
      <c r="N88" s="64">
        <v>26.4</v>
      </c>
      <c r="O88" s="64">
        <v>0</v>
      </c>
      <c r="P88" s="64">
        <v>0.99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4" t="s">
        <v>2631</v>
      </c>
      <c r="B89" s="64">
        <v>12.09</v>
      </c>
      <c r="C89" s="64">
        <v>9.52</v>
      </c>
      <c r="D89" s="64">
        <v>14.67</v>
      </c>
      <c r="E89" s="64">
        <v>4.54</v>
      </c>
      <c r="F89" s="64">
        <v>3.18</v>
      </c>
      <c r="G89" s="64">
        <v>49.7</v>
      </c>
      <c r="H89" s="64">
        <v>20.14</v>
      </c>
      <c r="I89" s="64">
        <v>4.47</v>
      </c>
      <c r="J89" s="64">
        <v>0.14000000000000001</v>
      </c>
      <c r="K89" s="64">
        <v>27.07</v>
      </c>
      <c r="L89" s="64">
        <v>25.58</v>
      </c>
      <c r="M89" s="64">
        <v>101.96</v>
      </c>
      <c r="N89" s="64">
        <v>26.2</v>
      </c>
      <c r="O89" s="64">
        <v>0</v>
      </c>
      <c r="P89" s="64">
        <v>0.96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4" t="s">
        <v>2632</v>
      </c>
      <c r="B90" s="64">
        <v>12.45</v>
      </c>
      <c r="C90" s="64">
        <v>8.8699999999999992</v>
      </c>
      <c r="D90" s="64">
        <v>14.62</v>
      </c>
      <c r="E90" s="64">
        <v>4.3600000000000003</v>
      </c>
      <c r="F90" s="64">
        <v>3.33</v>
      </c>
      <c r="G90" s="64">
        <v>52.69</v>
      </c>
      <c r="H90" s="64">
        <v>21.85</v>
      </c>
      <c r="I90" s="64">
        <v>5.43</v>
      </c>
      <c r="J90" s="64">
        <v>0.25</v>
      </c>
      <c r="K90" s="64">
        <v>10.69</v>
      </c>
      <c r="L90" s="64">
        <v>25.46</v>
      </c>
      <c r="M90" s="64">
        <v>101.95</v>
      </c>
      <c r="N90" s="64">
        <v>26.1</v>
      </c>
      <c r="O90" s="64">
        <v>0</v>
      </c>
      <c r="P90" s="64">
        <v>1.07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4" t="s">
        <v>2633</v>
      </c>
      <c r="B91" s="64">
        <v>12.73</v>
      </c>
      <c r="C91" s="64">
        <v>8.8699999999999992</v>
      </c>
      <c r="D91" s="64">
        <v>14.84</v>
      </c>
      <c r="E91" s="64">
        <v>4.33</v>
      </c>
      <c r="F91" s="64">
        <v>3.76</v>
      </c>
      <c r="G91" s="64">
        <v>52.69</v>
      </c>
      <c r="H91" s="64">
        <v>21.85</v>
      </c>
      <c r="I91" s="64">
        <v>4.54</v>
      </c>
      <c r="J91" s="64">
        <v>0.38</v>
      </c>
      <c r="K91" s="64">
        <v>100.85</v>
      </c>
      <c r="L91" s="64">
        <v>25.4</v>
      </c>
      <c r="M91" s="64">
        <v>101.95</v>
      </c>
      <c r="N91" s="64">
        <v>26.1</v>
      </c>
      <c r="O91" s="64">
        <v>0</v>
      </c>
      <c r="P91" s="64">
        <v>1.1000000000000001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4" t="s">
        <v>2634</v>
      </c>
      <c r="B92" s="64">
        <v>13.43</v>
      </c>
      <c r="C92" s="64">
        <v>8.65</v>
      </c>
      <c r="D92" s="64">
        <v>15.29</v>
      </c>
      <c r="E92" s="64">
        <v>4.24</v>
      </c>
      <c r="F92" s="64">
        <v>2.54</v>
      </c>
      <c r="G92" s="64">
        <v>52.69</v>
      </c>
      <c r="H92" s="64">
        <v>21.85</v>
      </c>
      <c r="I92" s="64">
        <v>4.41</v>
      </c>
      <c r="J92" s="64">
        <v>0.14000000000000001</v>
      </c>
      <c r="K92" s="64">
        <v>104.56</v>
      </c>
      <c r="L92" s="64">
        <v>25.47</v>
      </c>
      <c r="M92" s="64">
        <v>101.95</v>
      </c>
      <c r="N92" s="64">
        <v>26.1</v>
      </c>
      <c r="O92" s="64">
        <v>0</v>
      </c>
      <c r="P92" s="64">
        <v>0.99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4" t="s">
        <v>2635</v>
      </c>
      <c r="B93" s="64">
        <v>13.97</v>
      </c>
      <c r="C93" s="64">
        <v>8.41</v>
      </c>
      <c r="D93" s="64">
        <v>15.6</v>
      </c>
      <c r="E93" s="64">
        <v>4.7300000000000004</v>
      </c>
      <c r="F93" s="64">
        <v>4.5</v>
      </c>
      <c r="G93" s="64">
        <v>52.65</v>
      </c>
      <c r="H93" s="64">
        <v>21.53</v>
      </c>
      <c r="I93" s="64">
        <v>4.92</v>
      </c>
      <c r="J93" s="64">
        <v>0.23</v>
      </c>
      <c r="K93" s="64">
        <v>90.49</v>
      </c>
      <c r="L93" s="64">
        <v>25.49</v>
      </c>
      <c r="M93" s="64">
        <v>101.95</v>
      </c>
      <c r="N93" s="64">
        <v>26.1</v>
      </c>
      <c r="O93" s="64">
        <v>0</v>
      </c>
      <c r="P93" s="64">
        <v>1.08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4" t="s">
        <v>2636</v>
      </c>
      <c r="B94" s="64">
        <v>14.61</v>
      </c>
      <c r="C94" s="64">
        <v>8.7100000000000009</v>
      </c>
      <c r="D94" s="64">
        <v>16.27</v>
      </c>
      <c r="E94" s="64">
        <v>4.41</v>
      </c>
      <c r="F94" s="64">
        <v>2.74</v>
      </c>
      <c r="G94" s="64">
        <v>52.52</v>
      </c>
      <c r="H94" s="64">
        <v>20.32</v>
      </c>
      <c r="I94" s="64">
        <v>4.99</v>
      </c>
      <c r="J94" s="64">
        <v>0.38</v>
      </c>
      <c r="K94" s="64">
        <v>135.43</v>
      </c>
      <c r="L94" s="64">
        <v>25.41</v>
      </c>
      <c r="M94" s="64">
        <v>101.95</v>
      </c>
      <c r="N94" s="64">
        <v>26.3</v>
      </c>
      <c r="O94" s="64">
        <v>0</v>
      </c>
      <c r="P94" s="64">
        <v>0.9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2637</v>
      </c>
      <c r="B95" s="64">
        <v>14.53</v>
      </c>
      <c r="C95" s="64">
        <v>8.02</v>
      </c>
      <c r="D95" s="64">
        <v>15.84</v>
      </c>
      <c r="E95" s="64">
        <v>4.5</v>
      </c>
      <c r="F95" s="64">
        <v>3.88</v>
      </c>
      <c r="G95" s="64">
        <v>52.52</v>
      </c>
      <c r="H95" s="64">
        <v>20.32</v>
      </c>
      <c r="I95" s="64">
        <v>4.96</v>
      </c>
      <c r="J95" s="64">
        <v>0.57999999999999996</v>
      </c>
      <c r="K95" s="64">
        <v>116.57</v>
      </c>
      <c r="L95" s="64">
        <v>25.38</v>
      </c>
      <c r="M95" s="64">
        <v>101.95</v>
      </c>
      <c r="N95" s="64">
        <v>26.2</v>
      </c>
      <c r="O95" s="64">
        <v>0</v>
      </c>
      <c r="P95" s="64">
        <v>0.84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4" t="s">
        <v>2638</v>
      </c>
      <c r="B96" s="64">
        <v>13.93</v>
      </c>
      <c r="C96" s="64">
        <v>8.3000000000000007</v>
      </c>
      <c r="D96" s="64">
        <v>15.51</v>
      </c>
      <c r="E96" s="64">
        <v>4.45</v>
      </c>
      <c r="F96" s="64">
        <v>3.36</v>
      </c>
      <c r="G96" s="64">
        <v>52.52</v>
      </c>
      <c r="H96" s="64">
        <v>20.32</v>
      </c>
      <c r="I96" s="64">
        <v>3.54</v>
      </c>
      <c r="J96" s="64">
        <v>0.93</v>
      </c>
      <c r="K96" s="64">
        <v>127.55</v>
      </c>
      <c r="L96" s="64">
        <v>25.37</v>
      </c>
      <c r="M96" s="64">
        <v>101.95</v>
      </c>
      <c r="N96" s="64">
        <v>26.1</v>
      </c>
      <c r="O96" s="64">
        <v>0</v>
      </c>
      <c r="P96" s="64">
        <v>0.81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2639</v>
      </c>
      <c r="B97" s="64">
        <v>13.21</v>
      </c>
      <c r="C97" s="64">
        <v>7.82</v>
      </c>
      <c r="D97" s="64">
        <v>14.68</v>
      </c>
      <c r="E97" s="64">
        <v>4.41</v>
      </c>
      <c r="F97" s="64">
        <v>2.81</v>
      </c>
      <c r="G97" s="64">
        <v>50.19</v>
      </c>
      <c r="H97" s="64">
        <v>19.190000000000001</v>
      </c>
      <c r="I97" s="64">
        <v>4.54</v>
      </c>
      <c r="J97" s="64">
        <v>0.39</v>
      </c>
      <c r="K97" s="64">
        <v>124.15</v>
      </c>
      <c r="L97" s="64">
        <v>25.31</v>
      </c>
      <c r="M97" s="64">
        <v>101.97</v>
      </c>
      <c r="N97" s="64">
        <v>26.2</v>
      </c>
      <c r="O97" s="64">
        <v>0</v>
      </c>
      <c r="P97" s="64">
        <v>0.67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4" t="s">
        <v>2640</v>
      </c>
      <c r="B98" s="64">
        <v>12.89</v>
      </c>
      <c r="C98" s="64">
        <v>7.32</v>
      </c>
      <c r="D98" s="64">
        <v>14.16</v>
      </c>
      <c r="E98" s="64">
        <v>4.34</v>
      </c>
      <c r="F98" s="64">
        <v>3.32</v>
      </c>
      <c r="G98" s="64">
        <v>44.13</v>
      </c>
      <c r="H98" s="64">
        <v>17.29</v>
      </c>
      <c r="I98" s="64">
        <v>3.86</v>
      </c>
      <c r="J98" s="64">
        <v>0.52</v>
      </c>
      <c r="K98" s="64">
        <v>120.41</v>
      </c>
      <c r="L98" s="64">
        <v>25.24</v>
      </c>
      <c r="M98" s="64">
        <v>101.97</v>
      </c>
      <c r="N98" s="64">
        <v>26.2</v>
      </c>
      <c r="O98" s="64">
        <v>0</v>
      </c>
      <c r="P98" s="64">
        <v>0.64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4" t="s">
        <v>2641</v>
      </c>
      <c r="B99" s="64">
        <v>12.83</v>
      </c>
      <c r="C99" s="64">
        <v>7.3</v>
      </c>
      <c r="D99" s="64">
        <v>14.1</v>
      </c>
      <c r="E99" s="64">
        <v>4.2699999999999996</v>
      </c>
      <c r="F99" s="64">
        <v>3.59</v>
      </c>
      <c r="G99" s="64">
        <v>44.13</v>
      </c>
      <c r="H99" s="64">
        <v>17.29</v>
      </c>
      <c r="I99" s="64">
        <v>2.16</v>
      </c>
      <c r="J99" s="64">
        <v>0.25</v>
      </c>
      <c r="K99" s="64">
        <v>258.22000000000003</v>
      </c>
      <c r="L99" s="64">
        <v>25.09</v>
      </c>
      <c r="M99" s="64">
        <v>101.99</v>
      </c>
      <c r="N99" s="64">
        <v>26.3</v>
      </c>
      <c r="O99" s="64">
        <v>0</v>
      </c>
      <c r="P99" s="64">
        <v>0.96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2642</v>
      </c>
      <c r="B100" s="64">
        <v>13.12</v>
      </c>
      <c r="C100" s="64">
        <v>7.34</v>
      </c>
      <c r="D100" s="64">
        <v>14.35</v>
      </c>
      <c r="E100" s="64">
        <v>3.85</v>
      </c>
      <c r="F100" s="64">
        <v>3.44</v>
      </c>
      <c r="G100" s="64">
        <v>44.13</v>
      </c>
      <c r="H100" s="64">
        <v>17.29</v>
      </c>
      <c r="I100" s="64">
        <v>2.12</v>
      </c>
      <c r="J100" s="64">
        <v>0.44</v>
      </c>
      <c r="K100" s="64">
        <v>180.93</v>
      </c>
      <c r="L100" s="64">
        <v>25.05</v>
      </c>
      <c r="M100" s="64">
        <v>102</v>
      </c>
      <c r="N100" s="64">
        <v>26.1</v>
      </c>
      <c r="O100" s="64">
        <v>0</v>
      </c>
      <c r="P100" s="64">
        <v>0.63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2643</v>
      </c>
      <c r="B101" s="64">
        <v>12.84</v>
      </c>
      <c r="C101" s="64">
        <v>7.18</v>
      </c>
      <c r="D101" s="64">
        <v>14.04</v>
      </c>
      <c r="E101" s="64">
        <v>4.3600000000000003</v>
      </c>
      <c r="F101" s="64">
        <v>3.53</v>
      </c>
      <c r="G101" s="64">
        <v>43.54</v>
      </c>
      <c r="H101" s="64">
        <v>17.170000000000002</v>
      </c>
      <c r="I101" s="64">
        <v>2.23</v>
      </c>
      <c r="J101" s="64">
        <v>0.71</v>
      </c>
      <c r="K101" s="64">
        <v>159.99</v>
      </c>
      <c r="L101" s="64">
        <v>25.17</v>
      </c>
      <c r="M101" s="64">
        <v>102</v>
      </c>
      <c r="N101" s="64">
        <v>26.1</v>
      </c>
      <c r="O101" s="64">
        <v>0</v>
      </c>
      <c r="P101" s="64">
        <v>0.56000000000000005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4" t="s">
        <v>2644</v>
      </c>
      <c r="B102" s="64">
        <v>12.35</v>
      </c>
      <c r="C102" s="64">
        <v>6.83</v>
      </c>
      <c r="D102" s="64">
        <v>13.47</v>
      </c>
      <c r="E102" s="64">
        <v>4.29</v>
      </c>
      <c r="F102" s="64">
        <v>3.37</v>
      </c>
      <c r="G102" s="64">
        <v>42.01</v>
      </c>
      <c r="H102" s="64">
        <v>16.96</v>
      </c>
      <c r="I102" s="64">
        <v>1.82</v>
      </c>
      <c r="J102" s="64">
        <v>0.56000000000000005</v>
      </c>
      <c r="K102" s="64">
        <v>167.41</v>
      </c>
      <c r="L102" s="64">
        <v>25.16</v>
      </c>
      <c r="M102" s="64">
        <v>102</v>
      </c>
      <c r="N102" s="64">
        <v>26.3</v>
      </c>
      <c r="O102" s="64">
        <v>0</v>
      </c>
      <c r="P102" s="64">
        <v>0.54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4" t="s">
        <v>2645</v>
      </c>
      <c r="B103" s="64">
        <v>11.75</v>
      </c>
      <c r="C103" s="64">
        <v>6.52</v>
      </c>
      <c r="D103" s="64">
        <v>12.83</v>
      </c>
      <c r="E103" s="64">
        <v>4.01</v>
      </c>
      <c r="F103" s="64">
        <v>3.55</v>
      </c>
      <c r="G103" s="64">
        <v>42.01</v>
      </c>
      <c r="H103" s="64">
        <v>16.96</v>
      </c>
      <c r="I103" s="64">
        <v>1.49</v>
      </c>
      <c r="J103" s="64">
        <v>0.49</v>
      </c>
      <c r="K103" s="64">
        <v>138.34</v>
      </c>
      <c r="L103" s="64">
        <v>25.04</v>
      </c>
      <c r="M103" s="64">
        <v>102</v>
      </c>
      <c r="N103" s="64">
        <v>26.2</v>
      </c>
      <c r="O103" s="64">
        <v>0</v>
      </c>
      <c r="P103" s="64">
        <v>0.53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4" t="s">
        <v>2646</v>
      </c>
      <c r="B104" s="64">
        <v>11.22</v>
      </c>
      <c r="C104" s="64">
        <v>6.19</v>
      </c>
      <c r="D104" s="64">
        <v>12.23</v>
      </c>
      <c r="E104" s="64">
        <v>4.75</v>
      </c>
      <c r="F104" s="64">
        <v>3.74</v>
      </c>
      <c r="G104" s="64">
        <v>42.01</v>
      </c>
      <c r="H104" s="64">
        <v>16.96</v>
      </c>
      <c r="I104" s="64">
        <v>1.4</v>
      </c>
      <c r="J104" s="64">
        <v>0.3</v>
      </c>
      <c r="K104" s="64">
        <v>92.62</v>
      </c>
      <c r="L104" s="64">
        <v>24.92</v>
      </c>
      <c r="M104" s="64">
        <v>102</v>
      </c>
      <c r="N104" s="64">
        <v>26.2</v>
      </c>
      <c r="O104" s="64">
        <v>0</v>
      </c>
      <c r="P104" s="64">
        <v>0.52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2.11</v>
      </c>
      <c r="C106" s="67">
        <f>MIN(C9:C104)</f>
        <v>3.06</v>
      </c>
      <c r="D106" s="67">
        <f t="shared" ref="D106:Q106" si="0">MIN(D9:D104)</f>
        <v>7.16</v>
      </c>
      <c r="E106" s="67">
        <f t="shared" si="0"/>
        <v>3.37</v>
      </c>
      <c r="F106" s="67">
        <f t="shared" si="0"/>
        <v>2.54</v>
      </c>
      <c r="G106" s="67">
        <f t="shared" si="0"/>
        <v>18.28</v>
      </c>
      <c r="H106" s="67">
        <f t="shared" si="0"/>
        <v>8.91</v>
      </c>
      <c r="I106" s="67">
        <f t="shared" si="0"/>
        <v>0.94</v>
      </c>
      <c r="J106" s="67">
        <f t="shared" si="0"/>
        <v>0.03</v>
      </c>
      <c r="K106" s="67">
        <f t="shared" si="0"/>
        <v>4.83</v>
      </c>
      <c r="L106" s="67">
        <f t="shared" si="0"/>
        <v>23.52</v>
      </c>
      <c r="M106" s="67">
        <f t="shared" si="0"/>
        <v>87.14</v>
      </c>
      <c r="N106" s="67">
        <f t="shared" si="0"/>
        <v>26</v>
      </c>
      <c r="O106" s="67">
        <f t="shared" si="0"/>
        <v>0</v>
      </c>
      <c r="P106" s="67">
        <f t="shared" si="0"/>
        <v>0.34</v>
      </c>
      <c r="Q106" s="67">
        <f t="shared" si="0"/>
        <v>2.34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14.61</v>
      </c>
      <c r="C107" s="66">
        <f t="shared" ref="C107:Q107" si="1">MAX(C9:C104)</f>
        <v>29.5</v>
      </c>
      <c r="D107" s="66">
        <f t="shared" si="1"/>
        <v>25.26</v>
      </c>
      <c r="E107" s="66">
        <f t="shared" si="1"/>
        <v>5.36</v>
      </c>
      <c r="F107" s="66">
        <f t="shared" si="1"/>
        <v>5.72</v>
      </c>
      <c r="G107" s="66">
        <f t="shared" si="1"/>
        <v>52.69</v>
      </c>
      <c r="H107" s="66">
        <f t="shared" si="1"/>
        <v>21.85</v>
      </c>
      <c r="I107" s="66">
        <f t="shared" si="1"/>
        <v>6.87</v>
      </c>
      <c r="J107" s="66">
        <f t="shared" si="1"/>
        <v>1.57</v>
      </c>
      <c r="K107" s="66">
        <f t="shared" si="1"/>
        <v>353.63</v>
      </c>
      <c r="L107" s="66">
        <f t="shared" si="1"/>
        <v>28.91</v>
      </c>
      <c r="M107" s="66">
        <f t="shared" si="1"/>
        <v>102.03</v>
      </c>
      <c r="N107" s="66">
        <f t="shared" si="1"/>
        <v>339.7</v>
      </c>
      <c r="O107" s="66">
        <f t="shared" si="1"/>
        <v>0</v>
      </c>
      <c r="P107" s="66">
        <f t="shared" si="1"/>
        <v>1.53</v>
      </c>
      <c r="Q107" s="66">
        <f t="shared" si="1"/>
        <v>9.85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6.5534042553191512</v>
      </c>
      <c r="C108" s="67">
        <f t="shared" ref="C108:Q108" si="2">AVERAGE(C9:C104)</f>
        <v>9.1607446808510655</v>
      </c>
      <c r="D108" s="67">
        <f t="shared" si="2"/>
        <v>11.202127659574463</v>
      </c>
      <c r="E108" s="67">
        <f t="shared" si="2"/>
        <v>4.3530208333333329</v>
      </c>
      <c r="F108" s="67">
        <f t="shared" si="2"/>
        <v>3.8705208333333334</v>
      </c>
      <c r="G108" s="67">
        <f t="shared" si="2"/>
        <v>31.81375000000001</v>
      </c>
      <c r="H108" s="67">
        <f t="shared" si="2"/>
        <v>13.881770833333329</v>
      </c>
      <c r="I108" s="67">
        <f t="shared" si="2"/>
        <v>3.5258333333333347</v>
      </c>
      <c r="J108" s="67">
        <f t="shared" si="2"/>
        <v>0.50583333333333347</v>
      </c>
      <c r="K108" s="67">
        <f t="shared" si="2"/>
        <v>173.31531250000003</v>
      </c>
      <c r="L108" s="67">
        <f t="shared" si="2"/>
        <v>25.457604166666659</v>
      </c>
      <c r="M108" s="67">
        <f t="shared" si="2"/>
        <v>99.812604166666702</v>
      </c>
      <c r="N108" s="67">
        <f t="shared" si="2"/>
        <v>91.228125000000077</v>
      </c>
      <c r="O108" s="67">
        <f t="shared" si="2"/>
        <v>0</v>
      </c>
      <c r="P108" s="67">
        <f t="shared" si="2"/>
        <v>0.59583333333333355</v>
      </c>
      <c r="Q108" s="67">
        <f t="shared" si="2"/>
        <v>9.557191011235961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3.6363089974784799</v>
      </c>
      <c r="C109" s="67">
        <f t="shared" ref="C109:Q109" si="3">STDEV(C9:C104)</f>
        <v>8.0188805749959009</v>
      </c>
      <c r="D109" s="67">
        <f t="shared" si="3"/>
        <v>4.5878788109024757</v>
      </c>
      <c r="E109" s="67">
        <f t="shared" si="3"/>
        <v>0.43145804160621071</v>
      </c>
      <c r="F109" s="67">
        <f t="shared" si="3"/>
        <v>0.66307159221573453</v>
      </c>
      <c r="G109" s="67">
        <f t="shared" si="3"/>
        <v>11.952665965558047</v>
      </c>
      <c r="H109" s="67">
        <f t="shared" si="3"/>
        <v>3.7802144174195655</v>
      </c>
      <c r="I109" s="67">
        <f t="shared" si="3"/>
        <v>1.3467713178027434</v>
      </c>
      <c r="J109" s="67">
        <f t="shared" si="3"/>
        <v>0.31653940194303792</v>
      </c>
      <c r="K109" s="67">
        <f t="shared" si="3"/>
        <v>102.97843878520459</v>
      </c>
      <c r="L109" s="67">
        <f t="shared" si="3"/>
        <v>1.4437828563892523</v>
      </c>
      <c r="M109" s="67">
        <f t="shared" si="3"/>
        <v>4.0841859962779594</v>
      </c>
      <c r="N109" s="67">
        <f t="shared" si="3"/>
        <v>90.400063697142102</v>
      </c>
      <c r="O109" s="67">
        <f t="shared" si="3"/>
        <v>0</v>
      </c>
      <c r="P109" s="67">
        <f t="shared" si="3"/>
        <v>0.24067740657379427</v>
      </c>
      <c r="Q109" s="67">
        <f t="shared" si="3"/>
        <v>0.77674728071625787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COUNT(B9:B104)+2</f>
        <v>96</v>
      </c>
      <c r="C110" s="66">
        <f t="shared" ref="C110:D110" si="4">COUNT(C9:C104)+2</f>
        <v>96</v>
      </c>
      <c r="D110" s="66">
        <f t="shared" si="4"/>
        <v>96</v>
      </c>
      <c r="E110" s="66">
        <f t="shared" ref="E110:P110" si="5">COUNT(E9:E104)</f>
        <v>96</v>
      </c>
      <c r="F110" s="66">
        <f t="shared" si="5"/>
        <v>96</v>
      </c>
      <c r="G110" s="66">
        <f t="shared" si="5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>COUNT(Q9:Q104)+7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2647</v>
      </c>
      <c r="B9" s="64">
        <v>10.71</v>
      </c>
      <c r="C9" s="64">
        <v>6.51</v>
      </c>
      <c r="D9" s="64">
        <v>11.99</v>
      </c>
      <c r="E9" s="64">
        <v>5.43</v>
      </c>
      <c r="F9" s="64">
        <v>4.42</v>
      </c>
      <c r="G9" s="64">
        <v>40.76</v>
      </c>
      <c r="H9" s="64">
        <v>17.850000000000001</v>
      </c>
      <c r="I9" s="64">
        <v>1.29</v>
      </c>
      <c r="J9" s="64">
        <v>0.34</v>
      </c>
      <c r="K9" s="64">
        <v>50.07</v>
      </c>
      <c r="L9" s="64">
        <v>24.83</v>
      </c>
      <c r="M9" s="64">
        <v>102.02</v>
      </c>
      <c r="N9" s="64">
        <v>26.1</v>
      </c>
      <c r="O9" s="64">
        <v>0</v>
      </c>
      <c r="P9" s="64">
        <v>0.73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2648</v>
      </c>
      <c r="B10" s="64">
        <v>10.29</v>
      </c>
      <c r="C10" s="64">
        <v>6.72</v>
      </c>
      <c r="D10" s="64">
        <v>11.76</v>
      </c>
      <c r="E10" s="64">
        <v>5.4</v>
      </c>
      <c r="F10" s="64">
        <v>2.66</v>
      </c>
      <c r="G10" s="64">
        <v>37.54</v>
      </c>
      <c r="H10" s="64">
        <v>19.329999999999998</v>
      </c>
      <c r="I10" s="64">
        <v>2.72</v>
      </c>
      <c r="J10" s="64">
        <v>0.17</v>
      </c>
      <c r="K10" s="64">
        <v>296.24</v>
      </c>
      <c r="L10" s="64">
        <v>24.76</v>
      </c>
      <c r="M10" s="64">
        <v>102.01</v>
      </c>
      <c r="N10" s="64">
        <v>26.1</v>
      </c>
      <c r="O10" s="64">
        <v>0</v>
      </c>
      <c r="P10" s="64">
        <v>0.54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4" t="s">
        <v>2649</v>
      </c>
      <c r="B11" s="64">
        <v>9.75</v>
      </c>
      <c r="C11" s="64">
        <v>6.03</v>
      </c>
      <c r="D11" s="64">
        <v>10.97</v>
      </c>
      <c r="E11" s="64">
        <v>5.28</v>
      </c>
      <c r="F11" s="64">
        <v>4.08</v>
      </c>
      <c r="G11" s="64">
        <v>37.54</v>
      </c>
      <c r="H11" s="64">
        <v>19.329999999999998</v>
      </c>
      <c r="I11" s="64">
        <v>3.78</v>
      </c>
      <c r="J11" s="64">
        <v>0.4</v>
      </c>
      <c r="K11" s="64">
        <v>264.68</v>
      </c>
      <c r="L11" s="64">
        <v>24.66</v>
      </c>
      <c r="M11" s="64">
        <v>102.03</v>
      </c>
      <c r="N11" s="64">
        <v>26.1</v>
      </c>
      <c r="O11" s="64">
        <v>0</v>
      </c>
      <c r="P11" s="64">
        <v>0.73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4" t="s">
        <v>2650</v>
      </c>
      <c r="B12" s="64">
        <v>9.32</v>
      </c>
      <c r="C12" s="64">
        <v>6.26</v>
      </c>
      <c r="D12" s="64">
        <v>10.75</v>
      </c>
      <c r="E12" s="64">
        <v>5.7</v>
      </c>
      <c r="F12" s="64">
        <v>2.5</v>
      </c>
      <c r="G12" s="64">
        <v>37.54</v>
      </c>
      <c r="H12" s="64">
        <v>19.329999999999998</v>
      </c>
      <c r="I12" s="64">
        <v>3.15</v>
      </c>
      <c r="J12" s="64">
        <v>0.52</v>
      </c>
      <c r="K12" s="64">
        <v>159.47999999999999</v>
      </c>
      <c r="L12" s="64">
        <v>24.61</v>
      </c>
      <c r="M12" s="64">
        <v>102.01</v>
      </c>
      <c r="N12" s="64">
        <v>26.1</v>
      </c>
      <c r="O12" s="64">
        <v>0</v>
      </c>
      <c r="P12" s="64">
        <v>0.5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4" t="s">
        <v>2651</v>
      </c>
      <c r="B13" s="64">
        <v>8.68</v>
      </c>
      <c r="C13" s="64">
        <v>5.7</v>
      </c>
      <c r="D13" s="64">
        <v>9.94</v>
      </c>
      <c r="E13" s="64">
        <v>5.2</v>
      </c>
      <c r="F13" s="64">
        <v>6.15</v>
      </c>
      <c r="G13" s="64">
        <v>36.07</v>
      </c>
      <c r="H13" s="64">
        <v>19.149999999999999</v>
      </c>
      <c r="I13" s="64">
        <v>3.72</v>
      </c>
      <c r="J13" s="64">
        <v>1.03</v>
      </c>
      <c r="K13" s="64">
        <v>143.05000000000001</v>
      </c>
      <c r="L13" s="64">
        <v>24.78</v>
      </c>
      <c r="M13" s="64">
        <v>102.01</v>
      </c>
      <c r="N13" s="64">
        <v>26</v>
      </c>
      <c r="O13" s="64">
        <v>0</v>
      </c>
      <c r="P13" s="64">
        <v>0.54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4" t="s">
        <v>2652</v>
      </c>
      <c r="B14" s="64">
        <v>8.39</v>
      </c>
      <c r="C14" s="64">
        <v>6.08</v>
      </c>
      <c r="D14" s="64">
        <v>9.9</v>
      </c>
      <c r="E14" s="64">
        <v>5.39</v>
      </c>
      <c r="F14" s="64">
        <v>3.39</v>
      </c>
      <c r="G14" s="64">
        <v>32.270000000000003</v>
      </c>
      <c r="H14" s="64">
        <v>18.5</v>
      </c>
      <c r="I14" s="64">
        <v>3.09</v>
      </c>
      <c r="J14" s="64">
        <v>1.1000000000000001</v>
      </c>
      <c r="K14" s="64">
        <v>148.16</v>
      </c>
      <c r="L14" s="64">
        <v>24.76</v>
      </c>
      <c r="M14" s="64">
        <v>102.02</v>
      </c>
      <c r="N14" s="64">
        <v>26.1</v>
      </c>
      <c r="O14" s="64">
        <v>0</v>
      </c>
      <c r="P14" s="64">
        <v>0.63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4" t="s">
        <v>2653</v>
      </c>
      <c r="B15" s="64">
        <v>7.86</v>
      </c>
      <c r="C15" s="64">
        <v>5.63</v>
      </c>
      <c r="D15" s="64">
        <v>9.24</v>
      </c>
      <c r="E15" s="64">
        <v>5.4</v>
      </c>
      <c r="F15" s="64">
        <v>3.19</v>
      </c>
      <c r="G15" s="64">
        <v>32.270000000000003</v>
      </c>
      <c r="H15" s="64">
        <v>18.5</v>
      </c>
      <c r="I15" s="64">
        <v>3.35</v>
      </c>
      <c r="J15" s="64">
        <v>1.19</v>
      </c>
      <c r="K15" s="64">
        <v>142.78</v>
      </c>
      <c r="L15" s="64">
        <v>24.7</v>
      </c>
      <c r="M15" s="64">
        <v>102.03</v>
      </c>
      <c r="N15" s="64">
        <v>26.1</v>
      </c>
      <c r="O15" s="64">
        <v>0</v>
      </c>
      <c r="P15" s="64">
        <v>0.57999999999999996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4" t="s">
        <v>2654</v>
      </c>
      <c r="B16" s="64">
        <v>7.4</v>
      </c>
      <c r="C16" s="64">
        <v>5.61</v>
      </c>
      <c r="D16" s="64">
        <v>8.86</v>
      </c>
      <c r="E16" s="64">
        <v>4.99</v>
      </c>
      <c r="F16" s="64">
        <v>3.32</v>
      </c>
      <c r="G16" s="64">
        <v>32.270000000000003</v>
      </c>
      <c r="H16" s="64">
        <v>18.5</v>
      </c>
      <c r="I16" s="64">
        <v>4.01</v>
      </c>
      <c r="J16" s="64">
        <v>2.08</v>
      </c>
      <c r="K16" s="64">
        <v>140.63</v>
      </c>
      <c r="L16" s="64">
        <v>24.49</v>
      </c>
      <c r="M16" s="64">
        <v>102.02</v>
      </c>
      <c r="N16" s="64">
        <v>26.7</v>
      </c>
      <c r="O16" s="64">
        <v>0</v>
      </c>
      <c r="P16" s="64">
        <v>0.63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4" t="s">
        <v>2655</v>
      </c>
      <c r="B17" s="64">
        <v>6.77</v>
      </c>
      <c r="C17" s="64">
        <v>5.07</v>
      </c>
      <c r="D17" s="64">
        <v>8.08</v>
      </c>
      <c r="E17" s="64">
        <v>5.19</v>
      </c>
      <c r="F17" s="64">
        <v>2.57</v>
      </c>
      <c r="G17" s="64">
        <v>30.79</v>
      </c>
      <c r="H17" s="64">
        <v>16.77</v>
      </c>
      <c r="I17" s="64">
        <v>4.8499999999999996</v>
      </c>
      <c r="J17" s="64">
        <v>1.62</v>
      </c>
      <c r="K17" s="64">
        <v>137.38999999999999</v>
      </c>
      <c r="L17" s="64">
        <v>24.24</v>
      </c>
      <c r="M17" s="64">
        <v>102</v>
      </c>
      <c r="N17" s="64">
        <v>26.5</v>
      </c>
      <c r="O17" s="64">
        <v>0</v>
      </c>
      <c r="P17" s="64">
        <v>0.56999999999999995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4" t="s">
        <v>2656</v>
      </c>
      <c r="B18" s="64">
        <v>6.21</v>
      </c>
      <c r="C18" s="64">
        <v>4.53</v>
      </c>
      <c r="D18" s="64">
        <v>7.35</v>
      </c>
      <c r="E18" s="64">
        <v>5.36</v>
      </c>
      <c r="F18" s="64">
        <v>3.27</v>
      </c>
      <c r="G18" s="64">
        <v>26.92</v>
      </c>
      <c r="H18" s="64">
        <v>13.74</v>
      </c>
      <c r="I18" s="64">
        <v>5.96</v>
      </c>
      <c r="J18" s="64">
        <v>0.6</v>
      </c>
      <c r="K18" s="64">
        <v>118.79</v>
      </c>
      <c r="L18" s="64">
        <v>24.16</v>
      </c>
      <c r="M18" s="64">
        <v>102</v>
      </c>
      <c r="N18" s="64">
        <v>26.4</v>
      </c>
      <c r="O18" s="64">
        <v>0</v>
      </c>
      <c r="P18" s="64">
        <v>0.39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4" t="s">
        <v>2657</v>
      </c>
      <c r="B19" s="64">
        <v>5.87</v>
      </c>
      <c r="C19" s="64">
        <v>4.2300000000000004</v>
      </c>
      <c r="D19" s="64">
        <v>6.91</v>
      </c>
      <c r="E19" s="64">
        <v>5.17</v>
      </c>
      <c r="F19" s="64">
        <v>3.38</v>
      </c>
      <c r="G19" s="64">
        <v>26.92</v>
      </c>
      <c r="H19" s="64">
        <v>13.74</v>
      </c>
      <c r="I19" s="64">
        <v>5.25</v>
      </c>
      <c r="J19" s="64">
        <v>0.19</v>
      </c>
      <c r="K19" s="64">
        <v>119.78</v>
      </c>
      <c r="L19" s="64">
        <v>24.05</v>
      </c>
      <c r="M19" s="64">
        <v>102.01</v>
      </c>
      <c r="N19" s="64">
        <v>26.9</v>
      </c>
      <c r="O19" s="64">
        <v>0.6</v>
      </c>
      <c r="P19" s="64">
        <v>0.36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4" t="s">
        <v>2658</v>
      </c>
      <c r="B20" s="64">
        <v>5.63</v>
      </c>
      <c r="C20" s="64">
        <v>3.95</v>
      </c>
      <c r="D20" s="64">
        <v>6.57</v>
      </c>
      <c r="E20" s="64">
        <v>5.27</v>
      </c>
      <c r="F20" s="64">
        <v>3.59</v>
      </c>
      <c r="G20" s="64">
        <v>26.92</v>
      </c>
      <c r="H20" s="64">
        <v>13.74</v>
      </c>
      <c r="I20" s="64">
        <v>3.07</v>
      </c>
      <c r="J20" s="64">
        <v>0.18</v>
      </c>
      <c r="K20" s="64">
        <v>26.87</v>
      </c>
      <c r="L20" s="64">
        <v>23.73</v>
      </c>
      <c r="M20" s="64">
        <v>102.05</v>
      </c>
      <c r="N20" s="64">
        <v>26.7</v>
      </c>
      <c r="O20" s="64">
        <v>0.2</v>
      </c>
      <c r="P20" s="64">
        <v>0.3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4" t="s">
        <v>2659</v>
      </c>
      <c r="B21" s="64">
        <v>5.38</v>
      </c>
      <c r="C21" s="64">
        <v>3.94</v>
      </c>
      <c r="D21" s="64">
        <v>6.37</v>
      </c>
      <c r="E21" s="64">
        <v>5.36</v>
      </c>
      <c r="F21" s="64">
        <v>3.41</v>
      </c>
      <c r="G21" s="64">
        <v>24.74</v>
      </c>
      <c r="H21" s="64">
        <v>12.9</v>
      </c>
      <c r="I21" s="64">
        <v>1.6</v>
      </c>
      <c r="J21" s="64">
        <v>0.3</v>
      </c>
      <c r="K21" s="64">
        <v>326.83999999999997</v>
      </c>
      <c r="L21" s="64">
        <v>23.56</v>
      </c>
      <c r="M21" s="64">
        <v>102.06</v>
      </c>
      <c r="N21" s="64">
        <v>26.4</v>
      </c>
      <c r="O21" s="64">
        <v>0</v>
      </c>
      <c r="P21" s="64">
        <v>0.3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4" t="s">
        <v>2660</v>
      </c>
      <c r="B22" s="64">
        <v>5.28</v>
      </c>
      <c r="C22" s="64">
        <v>3.79</v>
      </c>
      <c r="D22" s="64">
        <v>6.21</v>
      </c>
      <c r="E22" s="64">
        <v>5.52</v>
      </c>
      <c r="F22" s="64">
        <v>3.53</v>
      </c>
      <c r="G22" s="64">
        <v>19.059999999999999</v>
      </c>
      <c r="H22" s="64">
        <v>11.43</v>
      </c>
      <c r="I22" s="64">
        <v>1.07</v>
      </c>
      <c r="J22" s="64">
        <v>0.08</v>
      </c>
      <c r="K22" s="64">
        <v>28.22</v>
      </c>
      <c r="L22" s="64">
        <v>23.49</v>
      </c>
      <c r="M22" s="64">
        <v>102.08</v>
      </c>
      <c r="N22" s="64">
        <v>26.3</v>
      </c>
      <c r="O22" s="64">
        <v>0</v>
      </c>
      <c r="P22" s="64">
        <v>0.28999999999999998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4" t="s">
        <v>2661</v>
      </c>
      <c r="B23" s="64">
        <v>5.1100000000000003</v>
      </c>
      <c r="C23" s="64">
        <v>3.61</v>
      </c>
      <c r="D23" s="64">
        <v>5.99</v>
      </c>
      <c r="E23" s="64">
        <v>5.36</v>
      </c>
      <c r="F23" s="64">
        <v>3.78</v>
      </c>
      <c r="G23" s="64">
        <v>19.059999999999999</v>
      </c>
      <c r="H23" s="64">
        <v>11.43</v>
      </c>
      <c r="I23" s="64">
        <v>1.05</v>
      </c>
      <c r="J23" s="64">
        <v>0.26</v>
      </c>
      <c r="K23" s="64">
        <v>87.8</v>
      </c>
      <c r="L23" s="64">
        <v>23.48</v>
      </c>
      <c r="M23" s="64">
        <v>102.08</v>
      </c>
      <c r="N23" s="64">
        <v>26.1</v>
      </c>
      <c r="O23" s="64">
        <v>0</v>
      </c>
      <c r="P23" s="64">
        <v>0.28999999999999998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4" t="s">
        <v>2662</v>
      </c>
      <c r="B24" s="64">
        <v>4.97</v>
      </c>
      <c r="C24" s="64">
        <v>3.63</v>
      </c>
      <c r="D24" s="64">
        <v>5.88</v>
      </c>
      <c r="E24" s="64">
        <v>4.63</v>
      </c>
      <c r="F24" s="64">
        <v>3.34</v>
      </c>
      <c r="G24" s="64">
        <v>19.059999999999999</v>
      </c>
      <c r="H24" s="64">
        <v>11.43</v>
      </c>
      <c r="I24" s="64">
        <v>0.9</v>
      </c>
      <c r="J24" s="64">
        <v>0.4</v>
      </c>
      <c r="K24" s="64">
        <v>115.91</v>
      </c>
      <c r="L24" s="64">
        <v>23.57</v>
      </c>
      <c r="M24" s="64">
        <v>102.08</v>
      </c>
      <c r="N24" s="64">
        <v>26.1</v>
      </c>
      <c r="O24" s="64">
        <v>0</v>
      </c>
      <c r="P24" s="64">
        <v>0.31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4" t="s">
        <v>2663</v>
      </c>
      <c r="B25" s="64">
        <v>4.87</v>
      </c>
      <c r="C25" s="64">
        <v>3.72</v>
      </c>
      <c r="D25" s="64">
        <v>5.85</v>
      </c>
      <c r="E25" s="64">
        <v>4.8899999999999997</v>
      </c>
      <c r="F25" s="64">
        <v>3.37</v>
      </c>
      <c r="G25" s="64">
        <v>19.25</v>
      </c>
      <c r="H25" s="64">
        <v>10.69</v>
      </c>
      <c r="I25" s="64">
        <v>0.7</v>
      </c>
      <c r="J25" s="64">
        <v>0.38</v>
      </c>
      <c r="K25" s="64">
        <v>96.61</v>
      </c>
      <c r="L25" s="64">
        <v>23.62</v>
      </c>
      <c r="M25" s="64">
        <v>102.07</v>
      </c>
      <c r="N25" s="64">
        <v>26.3</v>
      </c>
      <c r="O25" s="64">
        <v>0</v>
      </c>
      <c r="P25" s="64">
        <v>0.36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2664</v>
      </c>
      <c r="B26" s="64">
        <v>4.96</v>
      </c>
      <c r="C26" s="64">
        <v>4.21</v>
      </c>
      <c r="D26" s="64">
        <v>6.18</v>
      </c>
      <c r="E26" s="64">
        <v>5.29</v>
      </c>
      <c r="F26" s="64">
        <v>4.53</v>
      </c>
      <c r="G26" s="64">
        <v>19.72</v>
      </c>
      <c r="H26" s="64">
        <v>9.4499999999999993</v>
      </c>
      <c r="I26" s="64">
        <v>0.96</v>
      </c>
      <c r="J26" s="64">
        <v>0.93</v>
      </c>
      <c r="K26" s="64">
        <v>134.07</v>
      </c>
      <c r="L26" s="64">
        <v>23.59</v>
      </c>
      <c r="M26" s="64">
        <v>102.08</v>
      </c>
      <c r="N26" s="64">
        <v>26.6</v>
      </c>
      <c r="O26" s="64">
        <v>0</v>
      </c>
      <c r="P26" s="64">
        <v>0.47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4" t="s">
        <v>2665</v>
      </c>
      <c r="B27" s="64">
        <v>4.84</v>
      </c>
      <c r="C27" s="64">
        <v>4.53</v>
      </c>
      <c r="D27" s="64">
        <v>6.25</v>
      </c>
      <c r="E27" s="64">
        <v>5.39</v>
      </c>
      <c r="F27" s="64">
        <v>2.21</v>
      </c>
      <c r="G27" s="64">
        <v>19.72</v>
      </c>
      <c r="H27" s="64">
        <v>9.4499999999999993</v>
      </c>
      <c r="I27" s="64">
        <v>3.11</v>
      </c>
      <c r="J27" s="64">
        <v>0.73</v>
      </c>
      <c r="K27" s="64">
        <v>131.09</v>
      </c>
      <c r="L27" s="64">
        <v>23.59</v>
      </c>
      <c r="M27" s="64">
        <v>102.08</v>
      </c>
      <c r="N27" s="64">
        <v>26.4</v>
      </c>
      <c r="O27" s="64">
        <v>0</v>
      </c>
      <c r="P27" s="64">
        <v>0.36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4" t="s">
        <v>2666</v>
      </c>
      <c r="B28" s="64">
        <v>4.5999999999999996</v>
      </c>
      <c r="C28" s="64">
        <v>4.21</v>
      </c>
      <c r="D28" s="64">
        <v>5.89</v>
      </c>
      <c r="E28" s="64">
        <v>5.08</v>
      </c>
      <c r="F28" s="64">
        <v>5.23</v>
      </c>
      <c r="G28" s="64">
        <v>19.72</v>
      </c>
      <c r="H28" s="64">
        <v>9.4499999999999993</v>
      </c>
      <c r="I28" s="64">
        <v>4</v>
      </c>
      <c r="J28" s="64">
        <v>0.35</v>
      </c>
      <c r="K28" s="64">
        <v>199.84</v>
      </c>
      <c r="L28" s="64">
        <v>23.56</v>
      </c>
      <c r="M28" s="64">
        <v>102.08</v>
      </c>
      <c r="N28" s="64">
        <v>26.4</v>
      </c>
      <c r="O28" s="64">
        <v>0</v>
      </c>
      <c r="P28" s="64">
        <v>0.44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4" t="s">
        <v>2667</v>
      </c>
      <c r="B29" s="64">
        <v>4.66</v>
      </c>
      <c r="C29" s="64">
        <v>4.53</v>
      </c>
      <c r="D29" s="64">
        <v>6.11</v>
      </c>
      <c r="E29" s="64">
        <v>5.21</v>
      </c>
      <c r="F29" s="64">
        <v>2.5499999999999998</v>
      </c>
      <c r="G29" s="64">
        <v>19.190000000000001</v>
      </c>
      <c r="H29" s="64">
        <v>9.59</v>
      </c>
      <c r="I29" s="64">
        <v>3.49</v>
      </c>
      <c r="J29" s="64">
        <v>0.85</v>
      </c>
      <c r="K29" s="64">
        <v>130.99</v>
      </c>
      <c r="L29" s="64">
        <v>23.53</v>
      </c>
      <c r="M29" s="64">
        <v>102.07</v>
      </c>
      <c r="N29" s="64">
        <v>26.3</v>
      </c>
      <c r="O29" s="64">
        <v>0</v>
      </c>
      <c r="P29" s="64">
        <v>0.37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4" t="s">
        <v>2668</v>
      </c>
      <c r="B30" s="64">
        <v>4.6900000000000004</v>
      </c>
      <c r="C30" s="64">
        <v>4.4000000000000004</v>
      </c>
      <c r="D30" s="64">
        <v>6.06</v>
      </c>
      <c r="E30" s="64">
        <v>5.19</v>
      </c>
      <c r="F30" s="64">
        <v>3.91</v>
      </c>
      <c r="G30" s="64">
        <v>17.8</v>
      </c>
      <c r="H30" s="64">
        <v>10.18</v>
      </c>
      <c r="I30" s="64">
        <v>3.69</v>
      </c>
      <c r="J30" s="64">
        <v>0.16</v>
      </c>
      <c r="K30" s="64">
        <v>3.19</v>
      </c>
      <c r="L30" s="64">
        <v>23.58</v>
      </c>
      <c r="M30" s="64">
        <v>102.06</v>
      </c>
      <c r="N30" s="64">
        <v>26.4</v>
      </c>
      <c r="O30" s="64">
        <v>0</v>
      </c>
      <c r="P30" s="64">
        <v>0.42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4" t="s">
        <v>2669</v>
      </c>
      <c r="B31" s="64">
        <v>4.6500000000000004</v>
      </c>
      <c r="C31" s="64">
        <v>4.51</v>
      </c>
      <c r="D31" s="64">
        <v>6.09</v>
      </c>
      <c r="E31" s="64">
        <v>4.96</v>
      </c>
      <c r="F31" s="64">
        <v>2.3199999999999998</v>
      </c>
      <c r="G31" s="64">
        <v>17.8</v>
      </c>
      <c r="H31" s="64">
        <v>10.18</v>
      </c>
      <c r="I31" s="64">
        <v>3.49</v>
      </c>
      <c r="J31" s="64">
        <v>0.22</v>
      </c>
      <c r="K31" s="64">
        <v>95.84</v>
      </c>
      <c r="L31" s="64">
        <v>23.62</v>
      </c>
      <c r="M31" s="64">
        <v>102.08</v>
      </c>
      <c r="N31" s="64">
        <v>26.6</v>
      </c>
      <c r="O31" s="64">
        <v>0</v>
      </c>
      <c r="P31" s="64">
        <v>0.35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4" t="s">
        <v>2670</v>
      </c>
      <c r="B32" s="64">
        <v>4.58</v>
      </c>
      <c r="C32" s="64">
        <v>4.38</v>
      </c>
      <c r="D32" s="64">
        <v>5.96</v>
      </c>
      <c r="E32" s="64">
        <v>5.2</v>
      </c>
      <c r="F32" s="64">
        <v>3.9</v>
      </c>
      <c r="G32" s="64">
        <v>17.8</v>
      </c>
      <c r="H32" s="64">
        <v>10.18</v>
      </c>
      <c r="I32" s="64">
        <v>2.93</v>
      </c>
      <c r="J32" s="64">
        <v>0.41</v>
      </c>
      <c r="K32" s="64">
        <v>116.81</v>
      </c>
      <c r="L32" s="64">
        <v>23.66</v>
      </c>
      <c r="M32" s="64">
        <v>102.08</v>
      </c>
      <c r="N32" s="64">
        <v>27.9</v>
      </c>
      <c r="O32" s="64">
        <v>0</v>
      </c>
      <c r="P32" s="64">
        <v>0.41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4" t="s">
        <v>2671</v>
      </c>
      <c r="B33" s="64">
        <v>4.62</v>
      </c>
      <c r="C33" s="64">
        <v>4.49</v>
      </c>
      <c r="D33" s="64">
        <v>6.05</v>
      </c>
      <c r="E33" s="64">
        <v>5.72</v>
      </c>
      <c r="F33" s="64">
        <v>2.77</v>
      </c>
      <c r="G33" s="64">
        <v>17.16</v>
      </c>
      <c r="H33" s="64">
        <v>10.07</v>
      </c>
      <c r="I33" s="64">
        <v>3.09</v>
      </c>
      <c r="J33" s="64">
        <v>0.02</v>
      </c>
      <c r="K33" s="64">
        <v>131.46</v>
      </c>
      <c r="L33" s="64">
        <v>23.72</v>
      </c>
      <c r="M33" s="64">
        <v>102.06</v>
      </c>
      <c r="N33" s="64">
        <v>35.4</v>
      </c>
      <c r="O33" s="64">
        <v>0</v>
      </c>
      <c r="P33" s="64">
        <v>0.37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4" t="s">
        <v>2672</v>
      </c>
      <c r="B34" s="64">
        <v>4.7300000000000004</v>
      </c>
      <c r="C34" s="64">
        <v>4.37</v>
      </c>
      <c r="D34" s="64">
        <v>6.07</v>
      </c>
      <c r="E34" s="64">
        <v>5.17</v>
      </c>
      <c r="F34" s="64">
        <v>3.88</v>
      </c>
      <c r="G34" s="64">
        <v>15.5</v>
      </c>
      <c r="H34" s="64">
        <v>9.8699999999999992</v>
      </c>
      <c r="I34" s="64">
        <v>3.07</v>
      </c>
      <c r="J34" s="64">
        <v>0.08</v>
      </c>
      <c r="K34" s="64">
        <v>1.01</v>
      </c>
      <c r="L34" s="64">
        <v>23.83</v>
      </c>
      <c r="M34" s="64">
        <v>102.07</v>
      </c>
      <c r="N34" s="64">
        <v>39.9</v>
      </c>
      <c r="O34" s="64">
        <v>0</v>
      </c>
      <c r="P34" s="64">
        <v>0.39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4" t="s">
        <v>2673</v>
      </c>
      <c r="B35" s="64">
        <v>4.7</v>
      </c>
      <c r="C35" s="64">
        <v>4.17</v>
      </c>
      <c r="D35" s="64">
        <v>5.94</v>
      </c>
      <c r="E35" s="64">
        <v>4.99</v>
      </c>
      <c r="F35" s="64">
        <v>4.33</v>
      </c>
      <c r="G35" s="64">
        <v>15.5</v>
      </c>
      <c r="H35" s="64">
        <v>9.8699999999999992</v>
      </c>
      <c r="I35" s="64">
        <v>3.42</v>
      </c>
      <c r="J35" s="64">
        <v>0.06</v>
      </c>
      <c r="K35" s="64">
        <v>268.10000000000002</v>
      </c>
      <c r="L35" s="64">
        <v>23.84</v>
      </c>
      <c r="M35" s="64">
        <v>102.06</v>
      </c>
      <c r="N35" s="64">
        <v>53.8</v>
      </c>
      <c r="O35" s="64">
        <v>0</v>
      </c>
      <c r="P35" s="64">
        <v>0.35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4" t="s">
        <v>2674</v>
      </c>
      <c r="B36" s="64">
        <v>4.58</v>
      </c>
      <c r="C36" s="64">
        <v>3.8</v>
      </c>
      <c r="D36" s="64">
        <v>5.65</v>
      </c>
      <c r="E36" s="64">
        <v>4.8099999999999996</v>
      </c>
      <c r="F36" s="64">
        <v>3.73</v>
      </c>
      <c r="G36" s="64">
        <v>15.5</v>
      </c>
      <c r="H36" s="64">
        <v>9.8699999999999992</v>
      </c>
      <c r="I36" s="64">
        <v>2.96</v>
      </c>
      <c r="J36" s="64">
        <v>0.4</v>
      </c>
      <c r="K36" s="64">
        <v>101.21</v>
      </c>
      <c r="L36" s="64">
        <v>23.92</v>
      </c>
      <c r="M36" s="64">
        <v>102.05</v>
      </c>
      <c r="N36" s="64">
        <v>80.3</v>
      </c>
      <c r="O36" s="64">
        <v>0</v>
      </c>
      <c r="P36" s="64">
        <v>0.34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4" t="s">
        <v>2675</v>
      </c>
      <c r="B37" s="64">
        <v>4.54</v>
      </c>
      <c r="C37" s="64">
        <v>3.9</v>
      </c>
      <c r="D37" s="64">
        <v>5.68</v>
      </c>
      <c r="E37" s="64">
        <v>5.01</v>
      </c>
      <c r="F37" s="64">
        <v>3.75</v>
      </c>
      <c r="G37" s="64">
        <v>14.2</v>
      </c>
      <c r="H37" s="64">
        <v>9.86</v>
      </c>
      <c r="I37" s="64">
        <v>2.15</v>
      </c>
      <c r="J37" s="64">
        <v>0.56000000000000005</v>
      </c>
      <c r="K37" s="64">
        <v>127.32</v>
      </c>
      <c r="L37" s="64">
        <v>23.96</v>
      </c>
      <c r="M37" s="64">
        <v>102.05</v>
      </c>
      <c r="N37" s="64">
        <v>71.5</v>
      </c>
      <c r="O37" s="64">
        <v>0</v>
      </c>
      <c r="P37" s="64">
        <v>0.36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4" t="s">
        <v>2676</v>
      </c>
      <c r="B38" s="64">
        <v>4.57</v>
      </c>
      <c r="C38" s="64">
        <v>3.83</v>
      </c>
      <c r="D38" s="64">
        <v>5.67</v>
      </c>
      <c r="E38" s="64">
        <v>5.08</v>
      </c>
      <c r="F38" s="64">
        <v>3.39</v>
      </c>
      <c r="G38" s="64">
        <v>10.85</v>
      </c>
      <c r="H38" s="64">
        <v>9.84</v>
      </c>
      <c r="I38" s="64">
        <v>2.12</v>
      </c>
      <c r="J38" s="64">
        <v>7.0000000000000007E-2</v>
      </c>
      <c r="K38" s="64">
        <v>75.98</v>
      </c>
      <c r="L38" s="64">
        <v>24.27</v>
      </c>
      <c r="M38" s="64">
        <v>102.04</v>
      </c>
      <c r="N38" s="64">
        <v>97.7</v>
      </c>
      <c r="O38" s="64">
        <v>0</v>
      </c>
      <c r="P38" s="64">
        <v>0.38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4" t="s">
        <v>2677</v>
      </c>
      <c r="B39" s="64">
        <v>4.53</v>
      </c>
      <c r="C39" s="64">
        <v>3.89</v>
      </c>
      <c r="D39" s="64">
        <v>5.67</v>
      </c>
      <c r="E39" s="64">
        <v>5</v>
      </c>
      <c r="F39" s="64">
        <v>3.46</v>
      </c>
      <c r="G39" s="64">
        <v>10.85</v>
      </c>
      <c r="H39" s="64">
        <v>9.84</v>
      </c>
      <c r="I39" s="64">
        <v>1.5</v>
      </c>
      <c r="J39" s="64">
        <v>0.01</v>
      </c>
      <c r="K39" s="64">
        <v>300.58999999999997</v>
      </c>
      <c r="L39" s="64">
        <v>24.72</v>
      </c>
      <c r="M39" s="64">
        <v>102</v>
      </c>
      <c r="N39" s="64">
        <v>130.5</v>
      </c>
      <c r="O39" s="64">
        <v>0</v>
      </c>
      <c r="P39" s="64">
        <v>0.39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4" t="s">
        <v>2678</v>
      </c>
      <c r="B40" s="64">
        <v>4.5</v>
      </c>
      <c r="C40" s="64">
        <v>3.92</v>
      </c>
      <c r="D40" s="64">
        <v>5.65</v>
      </c>
      <c r="E40" s="64">
        <v>4.0999999999999996</v>
      </c>
      <c r="F40" s="64">
        <v>3.22</v>
      </c>
      <c r="G40" s="64">
        <v>10.85</v>
      </c>
      <c r="H40" s="64">
        <v>9.84</v>
      </c>
      <c r="I40" s="64">
        <v>1.58</v>
      </c>
      <c r="J40" s="64">
        <v>0.23</v>
      </c>
      <c r="K40" s="64">
        <v>81.42</v>
      </c>
      <c r="L40" s="64">
        <v>24.88</v>
      </c>
      <c r="M40" s="64">
        <v>102</v>
      </c>
      <c r="N40" s="64">
        <v>154.69999999999999</v>
      </c>
      <c r="O40" s="64">
        <v>0</v>
      </c>
      <c r="P40" s="64">
        <v>0.39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4" t="s">
        <v>2679</v>
      </c>
      <c r="B41" s="64">
        <v>4.5</v>
      </c>
      <c r="C41" s="64">
        <v>3.85</v>
      </c>
      <c r="D41" s="64">
        <v>5.62</v>
      </c>
      <c r="E41" s="64">
        <v>3.85</v>
      </c>
      <c r="F41" s="64">
        <v>3.6</v>
      </c>
      <c r="G41" s="64">
        <v>11.38</v>
      </c>
      <c r="H41" s="64">
        <v>9.66</v>
      </c>
      <c r="I41" s="64">
        <v>2.3199999999999998</v>
      </c>
      <c r="J41" s="64">
        <v>0.17</v>
      </c>
      <c r="K41" s="64">
        <v>71.599999999999994</v>
      </c>
      <c r="L41" s="64">
        <v>25.33</v>
      </c>
      <c r="M41" s="64">
        <v>102</v>
      </c>
      <c r="N41" s="64">
        <v>178.4</v>
      </c>
      <c r="O41" s="64">
        <v>0</v>
      </c>
      <c r="P41" s="64">
        <v>0.37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4" t="s">
        <v>2680</v>
      </c>
      <c r="B42" s="64">
        <v>4.57</v>
      </c>
      <c r="C42" s="64">
        <v>4.0599999999999996</v>
      </c>
      <c r="D42" s="64">
        <v>5.79</v>
      </c>
      <c r="E42" s="64">
        <v>3.96</v>
      </c>
      <c r="F42" s="64">
        <v>3.74</v>
      </c>
      <c r="G42" s="64">
        <v>12.77</v>
      </c>
      <c r="H42" s="64">
        <v>9.36</v>
      </c>
      <c r="I42" s="64">
        <v>2.0099999999999998</v>
      </c>
      <c r="J42" s="64">
        <v>0.16</v>
      </c>
      <c r="K42" s="64">
        <v>62.43</v>
      </c>
      <c r="L42" s="64">
        <v>25.56</v>
      </c>
      <c r="M42" s="64">
        <v>101.98</v>
      </c>
      <c r="N42" s="64">
        <v>193.4</v>
      </c>
      <c r="O42" s="64">
        <v>0</v>
      </c>
      <c r="P42" s="64">
        <v>0.41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4" t="s">
        <v>2681</v>
      </c>
      <c r="B43" s="64">
        <v>4.5599999999999996</v>
      </c>
      <c r="C43" s="64">
        <v>4.49</v>
      </c>
      <c r="D43" s="64">
        <v>6</v>
      </c>
      <c r="E43" s="64">
        <v>4.21</v>
      </c>
      <c r="F43" s="64">
        <v>3.24</v>
      </c>
      <c r="G43" s="64">
        <v>12.77</v>
      </c>
      <c r="H43" s="64">
        <v>9.36</v>
      </c>
      <c r="I43" s="64">
        <v>2.23</v>
      </c>
      <c r="J43" s="64">
        <v>0.19</v>
      </c>
      <c r="K43" s="64">
        <v>69.010000000000005</v>
      </c>
      <c r="L43" s="64">
        <v>25.49</v>
      </c>
      <c r="M43" s="64">
        <v>101.98</v>
      </c>
      <c r="N43" s="64">
        <v>128.9</v>
      </c>
      <c r="O43" s="64">
        <v>0</v>
      </c>
      <c r="P43" s="64">
        <v>0.4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4" t="s">
        <v>2682</v>
      </c>
      <c r="B44" s="64">
        <v>4.3600000000000003</v>
      </c>
      <c r="C44" s="64">
        <v>4.25</v>
      </c>
      <c r="D44" s="64">
        <v>5.72</v>
      </c>
      <c r="E44" s="64">
        <v>4.12</v>
      </c>
      <c r="F44" s="64">
        <v>4.1399999999999997</v>
      </c>
      <c r="G44" s="64">
        <v>12.77</v>
      </c>
      <c r="H44" s="64">
        <v>9.36</v>
      </c>
      <c r="I44" s="64">
        <v>3.74</v>
      </c>
      <c r="J44" s="64">
        <v>0.7</v>
      </c>
      <c r="K44" s="64">
        <v>122.19</v>
      </c>
      <c r="L44" s="64">
        <v>25.3</v>
      </c>
      <c r="M44" s="64">
        <v>102</v>
      </c>
      <c r="N44" s="64">
        <v>159.19999999999999</v>
      </c>
      <c r="O44" s="64">
        <v>0</v>
      </c>
      <c r="P44" s="64">
        <v>0.4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4" t="s">
        <v>2683</v>
      </c>
      <c r="B45" s="64">
        <v>4.46</v>
      </c>
      <c r="C45" s="64">
        <v>4.57</v>
      </c>
      <c r="D45" s="64">
        <v>5.97</v>
      </c>
      <c r="E45" s="64">
        <v>4.38</v>
      </c>
      <c r="F45" s="64">
        <v>3.27</v>
      </c>
      <c r="G45" s="64">
        <v>13.68</v>
      </c>
      <c r="H45" s="64">
        <v>8.94</v>
      </c>
      <c r="I45" s="64">
        <v>4.04</v>
      </c>
      <c r="J45" s="64">
        <v>0.67</v>
      </c>
      <c r="K45" s="64">
        <v>128.15</v>
      </c>
      <c r="L45" s="64">
        <v>25.62</v>
      </c>
      <c r="M45" s="64">
        <v>101.97</v>
      </c>
      <c r="N45" s="64">
        <v>214.7</v>
      </c>
      <c r="O45" s="64">
        <v>0</v>
      </c>
      <c r="P45" s="64">
        <v>0.37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4" t="s">
        <v>2684</v>
      </c>
      <c r="B46" s="64">
        <v>4.5</v>
      </c>
      <c r="C46" s="64">
        <v>4.6500000000000004</v>
      </c>
      <c r="D46" s="64">
        <v>6.04</v>
      </c>
      <c r="E46" s="64">
        <v>4.3099999999999996</v>
      </c>
      <c r="F46" s="64">
        <v>3.6</v>
      </c>
      <c r="G46" s="64">
        <v>16.059999999999999</v>
      </c>
      <c r="H46" s="64">
        <v>7.32</v>
      </c>
      <c r="I46" s="64">
        <v>3.78</v>
      </c>
      <c r="J46" s="64">
        <v>0.11</v>
      </c>
      <c r="K46" s="64">
        <v>23.36</v>
      </c>
      <c r="L46" s="64">
        <v>26.13</v>
      </c>
      <c r="M46" s="64">
        <v>101.21</v>
      </c>
      <c r="N46" s="64">
        <v>260.39999999999998</v>
      </c>
      <c r="O46" s="64">
        <v>0</v>
      </c>
      <c r="P46" s="64">
        <v>0.39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2685</v>
      </c>
      <c r="B47" s="64">
        <v>4.33</v>
      </c>
      <c r="C47" s="64">
        <v>4.47</v>
      </c>
      <c r="D47" s="64">
        <v>5.8</v>
      </c>
      <c r="E47" s="64">
        <v>4.0599999999999996</v>
      </c>
      <c r="F47" s="64">
        <v>3.02</v>
      </c>
      <c r="G47" s="64">
        <v>16.059999999999999</v>
      </c>
      <c r="H47" s="64">
        <v>7.32</v>
      </c>
      <c r="I47" s="64">
        <v>3.76</v>
      </c>
      <c r="J47" s="64">
        <v>0.3</v>
      </c>
      <c r="K47" s="64">
        <v>333.15</v>
      </c>
      <c r="L47" s="64">
        <v>27.32</v>
      </c>
      <c r="M47" s="64">
        <v>96.4</v>
      </c>
      <c r="N47" s="64">
        <v>336.1</v>
      </c>
      <c r="O47" s="64">
        <v>0</v>
      </c>
      <c r="P47" s="64">
        <v>0.38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4" t="s">
        <v>2686</v>
      </c>
      <c r="B48" s="64">
        <v>4.55</v>
      </c>
      <c r="C48" s="64">
        <v>4.9400000000000004</v>
      </c>
      <c r="D48" s="64">
        <v>6.23</v>
      </c>
      <c r="E48" s="64">
        <v>4.2699999999999996</v>
      </c>
      <c r="F48" s="64">
        <v>3.7</v>
      </c>
      <c r="G48" s="64">
        <v>16.059999999999999</v>
      </c>
      <c r="H48" s="64">
        <v>7.32</v>
      </c>
      <c r="I48" s="64">
        <v>3.61</v>
      </c>
      <c r="J48" s="64">
        <v>0.35</v>
      </c>
      <c r="K48" s="64">
        <v>334.63</v>
      </c>
      <c r="L48" s="64">
        <v>28.49</v>
      </c>
      <c r="M48" s="64">
        <v>90.2</v>
      </c>
      <c r="N48" s="64">
        <v>421</v>
      </c>
      <c r="O48" s="64">
        <v>0</v>
      </c>
      <c r="P48" s="64">
        <v>0.41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4" t="s">
        <v>2687</v>
      </c>
      <c r="B49" s="64">
        <v>4.9000000000000004</v>
      </c>
      <c r="C49" s="64">
        <v>5.42</v>
      </c>
      <c r="D49" s="64">
        <v>6.76</v>
      </c>
      <c r="E49" s="64">
        <v>4.2</v>
      </c>
      <c r="F49" s="64">
        <v>3.09</v>
      </c>
      <c r="G49" s="64">
        <v>17.23</v>
      </c>
      <c r="H49" s="64">
        <v>8.0399999999999991</v>
      </c>
      <c r="I49" s="64">
        <v>3.94</v>
      </c>
      <c r="J49" s="64">
        <v>0.39</v>
      </c>
      <c r="K49" s="64">
        <v>347.29</v>
      </c>
      <c r="L49" s="64">
        <v>28.41</v>
      </c>
      <c r="M49" s="64">
        <v>89.08</v>
      </c>
      <c r="N49" s="64">
        <v>290.3</v>
      </c>
      <c r="O49" s="64">
        <v>0</v>
      </c>
      <c r="P49" s="64">
        <v>0.42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4" t="s">
        <v>2688</v>
      </c>
      <c r="B50" s="64">
        <v>5.29</v>
      </c>
      <c r="C50" s="64">
        <v>5.83</v>
      </c>
      <c r="D50" s="64">
        <v>7.29</v>
      </c>
      <c r="E50" s="64">
        <v>4.3600000000000003</v>
      </c>
      <c r="F50" s="64">
        <v>4.0199999999999996</v>
      </c>
      <c r="G50" s="64">
        <v>20.260000000000002</v>
      </c>
      <c r="H50" s="64">
        <v>9.3000000000000007</v>
      </c>
      <c r="I50" s="64">
        <v>4.07</v>
      </c>
      <c r="J50" s="64">
        <v>0.33</v>
      </c>
      <c r="K50" s="64">
        <v>348.16</v>
      </c>
      <c r="L50" s="64">
        <v>27.64</v>
      </c>
      <c r="M50" s="64">
        <v>93.51</v>
      </c>
      <c r="N50" s="64">
        <v>181.9</v>
      </c>
      <c r="O50" s="64">
        <v>0</v>
      </c>
      <c r="P50" s="64">
        <v>0.43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4" t="s">
        <v>2689</v>
      </c>
      <c r="B51" s="64">
        <v>5.44</v>
      </c>
      <c r="C51" s="64">
        <v>6.07</v>
      </c>
      <c r="D51" s="64">
        <v>7.54</v>
      </c>
      <c r="E51" s="64">
        <v>4.1100000000000003</v>
      </c>
      <c r="F51" s="64">
        <v>2.99</v>
      </c>
      <c r="G51" s="64">
        <v>20.260000000000002</v>
      </c>
      <c r="H51" s="64">
        <v>9.3000000000000007</v>
      </c>
      <c r="I51" s="64">
        <v>3.83</v>
      </c>
      <c r="J51" s="64">
        <v>0.32</v>
      </c>
      <c r="K51" s="64">
        <v>344.08</v>
      </c>
      <c r="L51" s="64">
        <v>27.45</v>
      </c>
      <c r="M51" s="64">
        <v>93.3</v>
      </c>
      <c r="N51" s="64">
        <v>197.7</v>
      </c>
      <c r="O51" s="64">
        <v>0</v>
      </c>
      <c r="P51" s="64">
        <v>0.43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4" t="s">
        <v>2690</v>
      </c>
      <c r="B52" s="64">
        <v>5.27</v>
      </c>
      <c r="C52" s="64">
        <v>5.73</v>
      </c>
      <c r="D52" s="64">
        <v>7.22</v>
      </c>
      <c r="E52" s="64">
        <v>4.2</v>
      </c>
      <c r="F52" s="64">
        <v>3.55</v>
      </c>
      <c r="G52" s="64">
        <v>20.260000000000002</v>
      </c>
      <c r="H52" s="64">
        <v>9.3000000000000007</v>
      </c>
      <c r="I52" s="64">
        <v>3.64</v>
      </c>
      <c r="J52" s="64">
        <v>0.31</v>
      </c>
      <c r="K52" s="64">
        <v>340.7</v>
      </c>
      <c r="L52" s="64">
        <v>28.19</v>
      </c>
      <c r="M52" s="64">
        <v>88.62</v>
      </c>
      <c r="N52" s="64">
        <v>443.8</v>
      </c>
      <c r="O52" s="64">
        <v>0</v>
      </c>
      <c r="P52" s="64">
        <v>0.44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4" t="s">
        <v>2691</v>
      </c>
      <c r="B53" s="64">
        <v>5.14</v>
      </c>
      <c r="C53" s="64">
        <v>5.83</v>
      </c>
      <c r="D53" s="64">
        <v>7.17</v>
      </c>
      <c r="E53" s="64">
        <v>4.3</v>
      </c>
      <c r="F53" s="64">
        <v>3.6</v>
      </c>
      <c r="G53" s="64">
        <v>19.690000000000001</v>
      </c>
      <c r="H53" s="64">
        <v>8.27</v>
      </c>
      <c r="I53" s="64">
        <v>2.88</v>
      </c>
      <c r="J53" s="64">
        <v>0.49</v>
      </c>
      <c r="K53" s="64">
        <v>339.78</v>
      </c>
      <c r="L53" s="64">
        <v>30.34</v>
      </c>
      <c r="M53" s="64">
        <v>81.06</v>
      </c>
      <c r="N53" s="64">
        <v>614.29999999999995</v>
      </c>
      <c r="O53" s="64">
        <v>0</v>
      </c>
      <c r="P53" s="64">
        <v>0.48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4" t="s">
        <v>2692</v>
      </c>
      <c r="B54" s="64">
        <v>5.39</v>
      </c>
      <c r="C54" s="64">
        <v>6.15</v>
      </c>
      <c r="D54" s="64">
        <v>7.54</v>
      </c>
      <c r="E54" s="64">
        <v>3.9</v>
      </c>
      <c r="F54" s="64">
        <v>3.48</v>
      </c>
      <c r="G54" s="64">
        <v>18.2</v>
      </c>
      <c r="H54" s="64">
        <v>6.54</v>
      </c>
      <c r="I54" s="64">
        <v>2.56</v>
      </c>
      <c r="J54" s="64">
        <v>0.51</v>
      </c>
      <c r="K54" s="64">
        <v>323.31</v>
      </c>
      <c r="L54" s="64">
        <v>30.47</v>
      </c>
      <c r="M54" s="64">
        <v>79.87</v>
      </c>
      <c r="N54" s="64">
        <v>481.7</v>
      </c>
      <c r="O54" s="64">
        <v>0</v>
      </c>
      <c r="P54" s="64">
        <v>0.5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4" t="s">
        <v>2693</v>
      </c>
      <c r="B55" s="64">
        <v>5.85</v>
      </c>
      <c r="C55" s="64">
        <v>6.43</v>
      </c>
      <c r="D55" s="64">
        <v>8.0500000000000007</v>
      </c>
      <c r="E55" s="64">
        <v>4.45</v>
      </c>
      <c r="F55" s="64">
        <v>3.79</v>
      </c>
      <c r="G55" s="64">
        <v>18.2</v>
      </c>
      <c r="H55" s="64">
        <v>6.54</v>
      </c>
      <c r="I55" s="64">
        <v>2.94</v>
      </c>
      <c r="J55" s="64">
        <v>1.21</v>
      </c>
      <c r="K55" s="64">
        <v>323.64</v>
      </c>
      <c r="L55" s="64">
        <v>30.63</v>
      </c>
      <c r="M55" s="64">
        <v>79.58</v>
      </c>
      <c r="N55" s="64">
        <v>305</v>
      </c>
      <c r="O55" s="64">
        <v>0</v>
      </c>
      <c r="P55" s="64">
        <v>0.52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4" t="s">
        <v>2694</v>
      </c>
      <c r="B56" s="64">
        <v>6.37</v>
      </c>
      <c r="C56" s="64">
        <v>6.92</v>
      </c>
      <c r="D56" s="64">
        <v>8.7200000000000006</v>
      </c>
      <c r="E56" s="64">
        <v>5.22</v>
      </c>
      <c r="F56" s="64">
        <v>3.61</v>
      </c>
      <c r="G56" s="64">
        <v>18.2</v>
      </c>
      <c r="H56" s="64">
        <v>6.54</v>
      </c>
      <c r="I56" s="64">
        <v>3.4</v>
      </c>
      <c r="J56" s="64">
        <v>0.72</v>
      </c>
      <c r="K56" s="64">
        <v>318.64</v>
      </c>
      <c r="L56" s="64">
        <v>31.28</v>
      </c>
      <c r="M56" s="64">
        <v>75.91</v>
      </c>
      <c r="N56" s="64">
        <v>460.8</v>
      </c>
      <c r="O56" s="64">
        <v>0</v>
      </c>
      <c r="P56" s="64">
        <v>0.52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4" t="s">
        <v>2695</v>
      </c>
      <c r="B57" s="64">
        <v>6.58</v>
      </c>
      <c r="C57" s="64">
        <v>7.32</v>
      </c>
      <c r="D57" s="64">
        <v>9.1</v>
      </c>
      <c r="E57" s="64">
        <v>3.95</v>
      </c>
      <c r="F57" s="64">
        <v>3.64</v>
      </c>
      <c r="G57" s="64">
        <v>19.62</v>
      </c>
      <c r="H57" s="64">
        <v>8.39</v>
      </c>
      <c r="I57" s="64">
        <v>3.73</v>
      </c>
      <c r="J57" s="64">
        <v>0.66</v>
      </c>
      <c r="K57" s="64">
        <v>324.42</v>
      </c>
      <c r="L57" s="64">
        <v>30.2</v>
      </c>
      <c r="M57" s="64">
        <v>79.91</v>
      </c>
      <c r="N57" s="64">
        <v>161.19999999999999</v>
      </c>
      <c r="O57" s="64">
        <v>0</v>
      </c>
      <c r="P57" s="64">
        <v>0.63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4" t="s">
        <v>2696</v>
      </c>
      <c r="B58" s="64">
        <v>6.92</v>
      </c>
      <c r="C58" s="64">
        <v>7.61</v>
      </c>
      <c r="D58" s="64">
        <v>9.52</v>
      </c>
      <c r="E58" s="64">
        <v>4.41</v>
      </c>
      <c r="F58" s="64">
        <v>3.7</v>
      </c>
      <c r="G58" s="64">
        <v>23.34</v>
      </c>
      <c r="H58" s="64">
        <v>11.65</v>
      </c>
      <c r="I58" s="64">
        <v>3.58</v>
      </c>
      <c r="J58" s="64">
        <v>0.53</v>
      </c>
      <c r="K58" s="64">
        <v>329.37</v>
      </c>
      <c r="L58" s="64">
        <v>28.71</v>
      </c>
      <c r="M58" s="64">
        <v>86.84</v>
      </c>
      <c r="N58" s="64">
        <v>76.2</v>
      </c>
      <c r="O58" s="64">
        <v>0</v>
      </c>
      <c r="P58" s="64">
        <v>0.57999999999999996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4" t="s">
        <v>2697</v>
      </c>
      <c r="B59" s="64">
        <v>7.1</v>
      </c>
      <c r="C59" s="64">
        <v>8.1</v>
      </c>
      <c r="D59" s="64">
        <v>9.92</v>
      </c>
      <c r="E59" s="64">
        <v>3.95</v>
      </c>
      <c r="F59" s="64">
        <v>4.3</v>
      </c>
      <c r="G59" s="64">
        <v>23.34</v>
      </c>
      <c r="H59" s="64">
        <v>11.65</v>
      </c>
      <c r="I59" s="64">
        <v>3.42</v>
      </c>
      <c r="J59" s="64">
        <v>0.26</v>
      </c>
      <c r="K59" s="64">
        <v>113.7</v>
      </c>
      <c r="L59" s="64">
        <v>26.15</v>
      </c>
      <c r="M59" s="64">
        <v>99.26</v>
      </c>
      <c r="N59" s="64">
        <v>60.6</v>
      </c>
      <c r="O59" s="64">
        <v>0.4</v>
      </c>
      <c r="P59" s="64">
        <v>0.54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4" t="s">
        <v>2698</v>
      </c>
      <c r="B60" s="64">
        <v>6.78</v>
      </c>
      <c r="C60" s="64">
        <v>7.8</v>
      </c>
      <c r="D60" s="64">
        <v>9.52</v>
      </c>
      <c r="E60" s="64">
        <v>4.53</v>
      </c>
      <c r="F60" s="64">
        <v>3.15</v>
      </c>
      <c r="G60" s="64">
        <v>23.34</v>
      </c>
      <c r="H60" s="64">
        <v>11.65</v>
      </c>
      <c r="I60" s="64">
        <v>3.46</v>
      </c>
      <c r="J60" s="64">
        <v>1.31</v>
      </c>
      <c r="K60" s="64">
        <v>140.5</v>
      </c>
      <c r="L60" s="64">
        <v>24.45</v>
      </c>
      <c r="M60" s="64">
        <v>102.05</v>
      </c>
      <c r="N60" s="64">
        <v>75.8</v>
      </c>
      <c r="O60" s="64">
        <v>0.2</v>
      </c>
      <c r="P60" s="64">
        <v>0.49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4" t="s">
        <v>2699</v>
      </c>
      <c r="B61" s="64">
        <v>6.7</v>
      </c>
      <c r="C61" s="64">
        <v>7.25</v>
      </c>
      <c r="D61" s="64">
        <v>9.16</v>
      </c>
      <c r="E61" s="64">
        <v>4.21</v>
      </c>
      <c r="F61" s="64">
        <v>3.82</v>
      </c>
      <c r="G61" s="64">
        <v>24.01</v>
      </c>
      <c r="H61" s="64">
        <v>11.1</v>
      </c>
      <c r="I61" s="64">
        <v>3.47</v>
      </c>
      <c r="J61" s="64">
        <v>1.1599999999999999</v>
      </c>
      <c r="K61" s="64">
        <v>143.38</v>
      </c>
      <c r="L61" s="64">
        <v>24.3</v>
      </c>
      <c r="M61" s="64">
        <v>102.04</v>
      </c>
      <c r="N61" s="64">
        <v>109.8</v>
      </c>
      <c r="O61" s="64">
        <v>0</v>
      </c>
      <c r="P61" s="64">
        <v>0.47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4" t="s">
        <v>2700</v>
      </c>
      <c r="B62" s="64">
        <v>6.53</v>
      </c>
      <c r="C62" s="64">
        <v>6.8</v>
      </c>
      <c r="D62" s="64">
        <v>8.7899999999999991</v>
      </c>
      <c r="E62" s="64">
        <v>4.1100000000000003</v>
      </c>
      <c r="F62" s="64">
        <v>3.5</v>
      </c>
      <c r="G62" s="64">
        <v>25.76</v>
      </c>
      <c r="H62" s="64">
        <v>9.01</v>
      </c>
      <c r="I62" s="64">
        <v>3.25</v>
      </c>
      <c r="J62" s="64">
        <v>0.82</v>
      </c>
      <c r="K62" s="64">
        <v>139.83000000000001</v>
      </c>
      <c r="L62" s="64">
        <v>24.5</v>
      </c>
      <c r="M62" s="64">
        <v>102.01</v>
      </c>
      <c r="N62" s="64">
        <v>120.5</v>
      </c>
      <c r="O62" s="64">
        <v>0</v>
      </c>
      <c r="P62" s="64">
        <v>0.48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4" t="s">
        <v>2701</v>
      </c>
      <c r="B63" s="64">
        <v>6.3</v>
      </c>
      <c r="C63" s="64">
        <v>6.49</v>
      </c>
      <c r="D63" s="64">
        <v>8.44</v>
      </c>
      <c r="E63" s="64">
        <v>4.18</v>
      </c>
      <c r="F63" s="64">
        <v>2.39</v>
      </c>
      <c r="G63" s="64">
        <v>25.76</v>
      </c>
      <c r="H63" s="64">
        <v>9.01</v>
      </c>
      <c r="I63" s="64">
        <v>2.9</v>
      </c>
      <c r="J63" s="64">
        <v>0.92</v>
      </c>
      <c r="K63" s="64">
        <v>123.31</v>
      </c>
      <c r="L63" s="64">
        <v>24.58</v>
      </c>
      <c r="M63" s="64">
        <v>102</v>
      </c>
      <c r="N63" s="64">
        <v>134</v>
      </c>
      <c r="O63" s="64">
        <v>0</v>
      </c>
      <c r="P63" s="64">
        <v>0.47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4" t="s">
        <v>2702</v>
      </c>
      <c r="B64" s="64">
        <v>5.97</v>
      </c>
      <c r="C64" s="64">
        <v>6.25</v>
      </c>
      <c r="D64" s="64">
        <v>8.06</v>
      </c>
      <c r="E64" s="64">
        <v>4.13</v>
      </c>
      <c r="F64" s="64">
        <v>3.73</v>
      </c>
      <c r="G64" s="64">
        <v>25.76</v>
      </c>
      <c r="H64" s="64">
        <v>9.01</v>
      </c>
      <c r="I64" s="64">
        <v>3.37</v>
      </c>
      <c r="J64" s="64">
        <v>0.95</v>
      </c>
      <c r="K64" s="64">
        <v>109.13</v>
      </c>
      <c r="L64" s="64">
        <v>24.95</v>
      </c>
      <c r="M64" s="64">
        <v>102</v>
      </c>
      <c r="N64" s="64">
        <v>134.1</v>
      </c>
      <c r="O64" s="64">
        <v>0</v>
      </c>
      <c r="P64" s="64">
        <v>0.47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4" t="s">
        <v>2703</v>
      </c>
      <c r="B65" s="64">
        <v>5.68</v>
      </c>
      <c r="C65" s="64">
        <v>6.1</v>
      </c>
      <c r="D65" s="64">
        <v>7.75</v>
      </c>
      <c r="E65" s="64">
        <v>4.4400000000000004</v>
      </c>
      <c r="F65" s="64">
        <v>3.07</v>
      </c>
      <c r="G65" s="64">
        <v>23.72</v>
      </c>
      <c r="H65" s="64">
        <v>8.1300000000000008</v>
      </c>
      <c r="I65" s="64">
        <v>3.92</v>
      </c>
      <c r="J65" s="64">
        <v>0.76</v>
      </c>
      <c r="K65" s="64">
        <v>137.82</v>
      </c>
      <c r="L65" s="64">
        <v>25.28</v>
      </c>
      <c r="M65" s="64">
        <v>101.98</v>
      </c>
      <c r="N65" s="64">
        <v>151.69999999999999</v>
      </c>
      <c r="O65" s="64">
        <v>0</v>
      </c>
      <c r="P65" s="64">
        <v>0.43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4" t="s">
        <v>2704</v>
      </c>
      <c r="B66" s="64">
        <v>5.55</v>
      </c>
      <c r="C66" s="64">
        <v>6.12</v>
      </c>
      <c r="D66" s="64">
        <v>7.65</v>
      </c>
      <c r="E66" s="64">
        <v>4.04</v>
      </c>
      <c r="F66" s="64">
        <v>3.73</v>
      </c>
      <c r="G66" s="64">
        <v>18.41</v>
      </c>
      <c r="H66" s="64">
        <v>6.59</v>
      </c>
      <c r="I66" s="64">
        <v>2.78</v>
      </c>
      <c r="J66" s="64">
        <v>0.84</v>
      </c>
      <c r="K66" s="64">
        <v>154.79</v>
      </c>
      <c r="L66" s="64">
        <v>25.43</v>
      </c>
      <c r="M66" s="64">
        <v>101.98</v>
      </c>
      <c r="N66" s="64">
        <v>116.9</v>
      </c>
      <c r="O66" s="64">
        <v>0</v>
      </c>
      <c r="P66" s="64">
        <v>0.46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4" t="s">
        <v>2705</v>
      </c>
      <c r="B67" s="64">
        <v>5.45</v>
      </c>
      <c r="C67" s="64">
        <v>6.21</v>
      </c>
      <c r="D67" s="64">
        <v>7.61</v>
      </c>
      <c r="E67" s="64">
        <v>3.93</v>
      </c>
      <c r="F67" s="64">
        <v>3.12</v>
      </c>
      <c r="G67" s="64">
        <v>18.41</v>
      </c>
      <c r="H67" s="64">
        <v>6.59</v>
      </c>
      <c r="I67" s="64">
        <v>3.13</v>
      </c>
      <c r="J67" s="64">
        <v>0.21</v>
      </c>
      <c r="K67" s="64">
        <v>94.82</v>
      </c>
      <c r="L67" s="64">
        <v>25.42</v>
      </c>
      <c r="M67" s="64">
        <v>101.99</v>
      </c>
      <c r="N67" s="64">
        <v>85.5</v>
      </c>
      <c r="O67" s="64">
        <v>0</v>
      </c>
      <c r="P67" s="64">
        <v>0.47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4" t="s">
        <v>2706</v>
      </c>
      <c r="B68" s="64">
        <v>5.51</v>
      </c>
      <c r="C68" s="64">
        <v>6</v>
      </c>
      <c r="D68" s="64">
        <v>7.55</v>
      </c>
      <c r="E68" s="64">
        <v>4.34</v>
      </c>
      <c r="F68" s="64">
        <v>2.97</v>
      </c>
      <c r="G68" s="64">
        <v>18.41</v>
      </c>
      <c r="H68" s="64">
        <v>6.59</v>
      </c>
      <c r="I68" s="64">
        <v>2.92</v>
      </c>
      <c r="J68" s="64">
        <v>0.53</v>
      </c>
      <c r="K68" s="64">
        <v>157.93</v>
      </c>
      <c r="L68" s="64">
        <v>25.42</v>
      </c>
      <c r="M68" s="64">
        <v>101.99</v>
      </c>
      <c r="N68" s="64">
        <v>73.599999999999994</v>
      </c>
      <c r="O68" s="64">
        <v>0</v>
      </c>
      <c r="P68" s="64">
        <v>0.43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4" t="s">
        <v>2707</v>
      </c>
      <c r="B69" s="64">
        <v>5.45</v>
      </c>
      <c r="C69" s="64">
        <v>5.75</v>
      </c>
      <c r="D69" s="64">
        <v>7.37</v>
      </c>
      <c r="E69" s="64">
        <v>3.81</v>
      </c>
      <c r="F69" s="64">
        <v>3.58</v>
      </c>
      <c r="G69" s="64">
        <v>17.04</v>
      </c>
      <c r="H69" s="64">
        <v>6.29</v>
      </c>
      <c r="I69" s="64">
        <v>2.52</v>
      </c>
      <c r="J69" s="64">
        <v>0.6</v>
      </c>
      <c r="K69" s="64">
        <v>158.97</v>
      </c>
      <c r="L69" s="64">
        <v>25.25</v>
      </c>
      <c r="M69" s="64">
        <v>102</v>
      </c>
      <c r="N69" s="64">
        <v>73.099999999999994</v>
      </c>
      <c r="O69" s="64">
        <v>0.2</v>
      </c>
      <c r="P69" s="64">
        <v>0.41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4" t="s">
        <v>2708</v>
      </c>
      <c r="B70" s="64">
        <v>5.51</v>
      </c>
      <c r="C70" s="64">
        <v>5.78</v>
      </c>
      <c r="D70" s="64">
        <v>7.44</v>
      </c>
      <c r="E70" s="64">
        <v>4.2300000000000004</v>
      </c>
      <c r="F70" s="64">
        <v>3.32</v>
      </c>
      <c r="G70" s="64">
        <v>13.46</v>
      </c>
      <c r="H70" s="64">
        <v>5.79</v>
      </c>
      <c r="I70" s="64">
        <v>1.94</v>
      </c>
      <c r="J70" s="64">
        <v>0.87</v>
      </c>
      <c r="K70" s="64">
        <v>165.71</v>
      </c>
      <c r="L70" s="64">
        <v>25.12</v>
      </c>
      <c r="M70" s="64">
        <v>102.01</v>
      </c>
      <c r="N70" s="64">
        <v>74.5</v>
      </c>
      <c r="O70" s="64">
        <v>0</v>
      </c>
      <c r="P70" s="64">
        <v>0.43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4" t="s">
        <v>2709</v>
      </c>
      <c r="B71" s="64">
        <v>5.55</v>
      </c>
      <c r="C71" s="64">
        <v>5.66</v>
      </c>
      <c r="D71" s="64">
        <v>7.4</v>
      </c>
      <c r="E71" s="64">
        <v>3.51</v>
      </c>
      <c r="F71" s="64">
        <v>3.31</v>
      </c>
      <c r="G71" s="64">
        <v>13.46</v>
      </c>
      <c r="H71" s="64">
        <v>5.79</v>
      </c>
      <c r="I71" s="64">
        <v>1.8</v>
      </c>
      <c r="J71" s="64">
        <v>0.89</v>
      </c>
      <c r="K71" s="64">
        <v>147.79</v>
      </c>
      <c r="L71" s="64">
        <v>25.03</v>
      </c>
      <c r="M71" s="64">
        <v>102.02</v>
      </c>
      <c r="N71" s="64">
        <v>55.5</v>
      </c>
      <c r="O71" s="64">
        <v>0</v>
      </c>
      <c r="P71" s="64">
        <v>0.42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4" t="s">
        <v>2710</v>
      </c>
      <c r="B72" s="64">
        <v>5.57</v>
      </c>
      <c r="C72" s="64">
        <v>5.58</v>
      </c>
      <c r="D72" s="64">
        <v>7.38</v>
      </c>
      <c r="E72" s="64">
        <v>3.59</v>
      </c>
      <c r="F72" s="64">
        <v>3.42</v>
      </c>
      <c r="G72" s="64">
        <v>13.46</v>
      </c>
      <c r="H72" s="64">
        <v>5.79</v>
      </c>
      <c r="I72" s="64">
        <v>2.2200000000000002</v>
      </c>
      <c r="J72" s="64">
        <v>1.43</v>
      </c>
      <c r="K72" s="64">
        <v>139.08000000000001</v>
      </c>
      <c r="L72" s="64">
        <v>24.84</v>
      </c>
      <c r="M72" s="64">
        <v>102.04</v>
      </c>
      <c r="N72" s="64">
        <v>41.4</v>
      </c>
      <c r="O72" s="64">
        <v>0.4</v>
      </c>
      <c r="P72" s="64">
        <v>0.43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4" t="s">
        <v>2711</v>
      </c>
      <c r="B73" s="64">
        <v>5.67</v>
      </c>
      <c r="C73" s="64">
        <v>5.42</v>
      </c>
      <c r="D73" s="64">
        <v>7.38</v>
      </c>
      <c r="E73" s="64">
        <v>4.16</v>
      </c>
      <c r="F73" s="64">
        <v>3.54</v>
      </c>
      <c r="G73" s="64">
        <v>13.82</v>
      </c>
      <c r="H73" s="64">
        <v>5.97</v>
      </c>
      <c r="I73" s="64">
        <v>2.73</v>
      </c>
      <c r="J73" s="64">
        <v>1.53</v>
      </c>
      <c r="K73" s="64">
        <v>148.34</v>
      </c>
      <c r="L73" s="64">
        <v>24.35</v>
      </c>
      <c r="M73" s="64">
        <v>102.05</v>
      </c>
      <c r="N73" s="64">
        <v>37.4</v>
      </c>
      <c r="O73" s="64">
        <v>0.6</v>
      </c>
      <c r="P73" s="64">
        <v>0.42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4" t="s">
        <v>2712</v>
      </c>
      <c r="B74" s="64">
        <v>5.82</v>
      </c>
      <c r="C74" s="64">
        <v>5.35</v>
      </c>
      <c r="D74" s="64">
        <v>7.46</v>
      </c>
      <c r="E74" s="64">
        <v>4.34</v>
      </c>
      <c r="F74" s="64">
        <v>3.37</v>
      </c>
      <c r="G74" s="64">
        <v>14.76</v>
      </c>
      <c r="H74" s="64">
        <v>6.28</v>
      </c>
      <c r="I74" s="64">
        <v>3.35</v>
      </c>
      <c r="J74" s="64">
        <v>1.56</v>
      </c>
      <c r="K74" s="64">
        <v>150.06</v>
      </c>
      <c r="L74" s="64">
        <v>23.97</v>
      </c>
      <c r="M74" s="64">
        <v>102.05</v>
      </c>
      <c r="N74" s="64">
        <v>35.200000000000003</v>
      </c>
      <c r="O74" s="64">
        <v>0.8</v>
      </c>
      <c r="P74" s="64">
        <v>0.43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4" t="s">
        <v>2713</v>
      </c>
      <c r="B75" s="64">
        <v>5.88</v>
      </c>
      <c r="C75" s="64">
        <v>5.37</v>
      </c>
      <c r="D75" s="64">
        <v>7.52</v>
      </c>
      <c r="E75" s="64">
        <v>4.71</v>
      </c>
      <c r="F75" s="64">
        <v>3.57</v>
      </c>
      <c r="G75" s="64">
        <v>14.76</v>
      </c>
      <c r="H75" s="64">
        <v>6.28</v>
      </c>
      <c r="I75" s="64">
        <v>4.34</v>
      </c>
      <c r="J75" s="64">
        <v>0.92</v>
      </c>
      <c r="K75" s="64">
        <v>129.68</v>
      </c>
      <c r="L75" s="64">
        <v>23.86</v>
      </c>
      <c r="M75" s="64">
        <v>102.07</v>
      </c>
      <c r="N75" s="64">
        <v>34.9</v>
      </c>
      <c r="O75" s="64">
        <v>0.2</v>
      </c>
      <c r="P75" s="64">
        <v>0.39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2714</v>
      </c>
      <c r="B76" s="64">
        <v>5.98</v>
      </c>
      <c r="C76" s="64">
        <v>5.81</v>
      </c>
      <c r="D76" s="64">
        <v>7.84</v>
      </c>
      <c r="E76" s="64">
        <v>4.95</v>
      </c>
      <c r="F76" s="64">
        <v>3.84</v>
      </c>
      <c r="G76" s="64">
        <v>14.76</v>
      </c>
      <c r="H76" s="64">
        <v>6.28</v>
      </c>
      <c r="I76" s="64">
        <v>4.16</v>
      </c>
      <c r="J76" s="64">
        <v>1.37</v>
      </c>
      <c r="K76" s="64">
        <v>144.61000000000001</v>
      </c>
      <c r="L76" s="64">
        <v>23.93</v>
      </c>
      <c r="M76" s="64">
        <v>102.08</v>
      </c>
      <c r="N76" s="64">
        <v>34.1</v>
      </c>
      <c r="O76" s="64">
        <v>0</v>
      </c>
      <c r="P76" s="64">
        <v>0.42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4" t="s">
        <v>2715</v>
      </c>
      <c r="B77" s="64">
        <v>5.87</v>
      </c>
      <c r="C77" s="64">
        <v>6</v>
      </c>
      <c r="D77" s="64">
        <v>7.84</v>
      </c>
      <c r="E77" s="64">
        <v>4.5599999999999996</v>
      </c>
      <c r="F77" s="64">
        <v>4</v>
      </c>
      <c r="G77" s="64">
        <v>13.64</v>
      </c>
      <c r="H77" s="64">
        <v>5.93</v>
      </c>
      <c r="I77" s="64">
        <v>4.68</v>
      </c>
      <c r="J77" s="64">
        <v>1.35</v>
      </c>
      <c r="K77" s="64">
        <v>142.03</v>
      </c>
      <c r="L77" s="64">
        <v>23.78</v>
      </c>
      <c r="M77" s="64">
        <v>102.08</v>
      </c>
      <c r="N77" s="64">
        <v>32.1</v>
      </c>
      <c r="O77" s="64">
        <v>0.2</v>
      </c>
      <c r="P77" s="64">
        <v>0.42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2716</v>
      </c>
      <c r="B78" s="64">
        <v>5.75</v>
      </c>
      <c r="C78" s="64">
        <v>6.12</v>
      </c>
      <c r="D78" s="64">
        <v>7.81</v>
      </c>
      <c r="E78" s="64">
        <v>4.51</v>
      </c>
      <c r="F78" s="64">
        <v>3.77</v>
      </c>
      <c r="G78" s="64">
        <v>10.74</v>
      </c>
      <c r="H78" s="64">
        <v>4.5599999999999996</v>
      </c>
      <c r="I78" s="64">
        <v>5.36</v>
      </c>
      <c r="J78" s="64">
        <v>1.42</v>
      </c>
      <c r="K78" s="64">
        <v>149.96</v>
      </c>
      <c r="L78" s="64">
        <v>23.58</v>
      </c>
      <c r="M78" s="64">
        <v>102.08</v>
      </c>
      <c r="N78" s="64">
        <v>30.5</v>
      </c>
      <c r="O78" s="64">
        <v>0.2</v>
      </c>
      <c r="P78" s="64">
        <v>0.42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2717</v>
      </c>
      <c r="B79" s="64">
        <v>5.64</v>
      </c>
      <c r="C79" s="64">
        <v>6.13</v>
      </c>
      <c r="D79" s="64">
        <v>7.72</v>
      </c>
      <c r="E79" s="64">
        <v>4.7699999999999996</v>
      </c>
      <c r="F79" s="64">
        <v>3.38</v>
      </c>
      <c r="G79" s="64">
        <v>10.74</v>
      </c>
      <c r="H79" s="64">
        <v>4.5599999999999996</v>
      </c>
      <c r="I79" s="64">
        <v>5.43</v>
      </c>
      <c r="J79" s="64">
        <v>1.1100000000000001</v>
      </c>
      <c r="K79" s="64">
        <v>149.57</v>
      </c>
      <c r="L79" s="64">
        <v>23.36</v>
      </c>
      <c r="M79" s="64">
        <v>102.08</v>
      </c>
      <c r="N79" s="64">
        <v>28.7</v>
      </c>
      <c r="O79" s="64">
        <v>0.4</v>
      </c>
      <c r="P79" s="64">
        <v>0.41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4" t="s">
        <v>2718</v>
      </c>
      <c r="B80" s="64">
        <v>5.41</v>
      </c>
      <c r="C80" s="64">
        <v>6.33</v>
      </c>
      <c r="D80" s="64">
        <v>7.65</v>
      </c>
      <c r="E80" s="64">
        <v>4.68</v>
      </c>
      <c r="F80" s="64">
        <v>3.39</v>
      </c>
      <c r="G80" s="64">
        <v>10.74</v>
      </c>
      <c r="H80" s="64">
        <v>4.5599999999999996</v>
      </c>
      <c r="I80" s="64">
        <v>5.42</v>
      </c>
      <c r="J80" s="64">
        <v>0.92</v>
      </c>
      <c r="K80" s="64">
        <v>152.25</v>
      </c>
      <c r="L80" s="64">
        <v>23.2</v>
      </c>
      <c r="M80" s="64">
        <v>102.06</v>
      </c>
      <c r="N80" s="64">
        <v>27</v>
      </c>
      <c r="O80" s="64">
        <v>0.2</v>
      </c>
      <c r="P80" s="64">
        <v>0.4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4" t="s">
        <v>2719</v>
      </c>
      <c r="B81" s="64">
        <v>5.07</v>
      </c>
      <c r="C81" s="64">
        <v>6.15</v>
      </c>
      <c r="D81" s="64">
        <v>7.28</v>
      </c>
      <c r="E81" s="64">
        <v>4.4800000000000004</v>
      </c>
      <c r="F81" s="64">
        <v>4.03</v>
      </c>
      <c r="G81" s="64">
        <v>9.86</v>
      </c>
      <c r="H81" s="64">
        <v>4.12</v>
      </c>
      <c r="I81" s="64">
        <v>5.35</v>
      </c>
      <c r="J81" s="64">
        <v>1.19</v>
      </c>
      <c r="K81" s="64">
        <v>153.24</v>
      </c>
      <c r="L81" s="64">
        <v>23.11</v>
      </c>
      <c r="M81" s="64">
        <v>102.05</v>
      </c>
      <c r="N81" s="64">
        <v>26.6</v>
      </c>
      <c r="O81" s="64">
        <v>0.2</v>
      </c>
      <c r="P81" s="64">
        <v>0.39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2720</v>
      </c>
      <c r="B82" s="64">
        <v>4.83</v>
      </c>
      <c r="C82" s="64">
        <v>6.32</v>
      </c>
      <c r="D82" s="64">
        <v>7.17</v>
      </c>
      <c r="E82" s="64">
        <v>4.49</v>
      </c>
      <c r="F82" s="64">
        <v>2.8</v>
      </c>
      <c r="G82" s="64">
        <v>7.58</v>
      </c>
      <c r="H82" s="64">
        <v>3.38</v>
      </c>
      <c r="I82" s="64">
        <v>4.68</v>
      </c>
      <c r="J82" s="64">
        <v>1.25</v>
      </c>
      <c r="K82" s="64">
        <v>150.34</v>
      </c>
      <c r="L82" s="64">
        <v>23</v>
      </c>
      <c r="M82" s="64">
        <v>102.05</v>
      </c>
      <c r="N82" s="64">
        <v>26.6</v>
      </c>
      <c r="O82" s="64">
        <v>0.2</v>
      </c>
      <c r="P82" s="64">
        <v>0.4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4" t="s">
        <v>2721</v>
      </c>
      <c r="B83" s="64">
        <v>4.47</v>
      </c>
      <c r="C83" s="64">
        <v>6.03</v>
      </c>
      <c r="D83" s="64">
        <v>6.73</v>
      </c>
      <c r="E83" s="64">
        <v>4.41</v>
      </c>
      <c r="F83" s="64">
        <v>3.93</v>
      </c>
      <c r="G83" s="64">
        <v>7.58</v>
      </c>
      <c r="H83" s="64">
        <v>3.38</v>
      </c>
      <c r="I83" s="64">
        <v>4.63</v>
      </c>
      <c r="J83" s="64">
        <v>1.1499999999999999</v>
      </c>
      <c r="K83" s="64">
        <v>156.61000000000001</v>
      </c>
      <c r="L83" s="64">
        <v>22.85</v>
      </c>
      <c r="M83" s="64">
        <v>102.05</v>
      </c>
      <c r="N83" s="64">
        <v>26.5</v>
      </c>
      <c r="O83" s="64">
        <v>0</v>
      </c>
      <c r="P83" s="64">
        <v>0.38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4" t="s">
        <v>2722</v>
      </c>
      <c r="B84" s="64">
        <v>4.29</v>
      </c>
      <c r="C84" s="64">
        <v>6.45</v>
      </c>
      <c r="D84" s="64">
        <v>6.81</v>
      </c>
      <c r="E84" s="64">
        <v>4.75</v>
      </c>
      <c r="F84" s="64">
        <v>2.89</v>
      </c>
      <c r="G84" s="64">
        <v>7.58</v>
      </c>
      <c r="H84" s="64">
        <v>3.38</v>
      </c>
      <c r="I84" s="64">
        <v>4.91</v>
      </c>
      <c r="J84" s="64">
        <v>0.9</v>
      </c>
      <c r="K84" s="64">
        <v>147.33000000000001</v>
      </c>
      <c r="L84" s="64">
        <v>22.79</v>
      </c>
      <c r="M84" s="64">
        <v>102.07</v>
      </c>
      <c r="N84" s="64">
        <v>26.2</v>
      </c>
      <c r="O84" s="64">
        <v>0</v>
      </c>
      <c r="P84" s="64">
        <v>0.39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4" t="s">
        <v>2723</v>
      </c>
      <c r="B85" s="64">
        <v>3.97</v>
      </c>
      <c r="C85" s="64">
        <v>5.98</v>
      </c>
      <c r="D85" s="64">
        <v>6.31</v>
      </c>
      <c r="E85" s="64">
        <v>4.45</v>
      </c>
      <c r="F85" s="64">
        <v>3.53</v>
      </c>
      <c r="G85" s="64">
        <v>7.01</v>
      </c>
      <c r="H85" s="64">
        <v>3.57</v>
      </c>
      <c r="I85" s="64">
        <v>4.6500000000000004</v>
      </c>
      <c r="J85" s="64">
        <v>1.48</v>
      </c>
      <c r="K85" s="64">
        <v>147.28</v>
      </c>
      <c r="L85" s="64">
        <v>22.79</v>
      </c>
      <c r="M85" s="64">
        <v>102.07</v>
      </c>
      <c r="N85" s="64">
        <v>26.5</v>
      </c>
      <c r="O85" s="64">
        <v>0.2</v>
      </c>
      <c r="P85" s="64">
        <v>0.35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4" t="s">
        <v>2724</v>
      </c>
      <c r="B86" s="64">
        <v>3.83</v>
      </c>
      <c r="C86" s="64">
        <v>5.64</v>
      </c>
      <c r="D86" s="64">
        <v>6.01</v>
      </c>
      <c r="E86" s="64">
        <v>4.1399999999999997</v>
      </c>
      <c r="F86" s="64">
        <v>3.26</v>
      </c>
      <c r="G86" s="64">
        <v>5.54</v>
      </c>
      <c r="H86" s="64">
        <v>3.9</v>
      </c>
      <c r="I86" s="64">
        <v>3.97</v>
      </c>
      <c r="J86" s="64">
        <v>1.1599999999999999</v>
      </c>
      <c r="K86" s="64">
        <v>168.29</v>
      </c>
      <c r="L86" s="64">
        <v>22.74</v>
      </c>
      <c r="M86" s="64">
        <v>102.06</v>
      </c>
      <c r="N86" s="64">
        <v>26.5</v>
      </c>
      <c r="O86" s="64">
        <v>0</v>
      </c>
      <c r="P86" s="64">
        <v>0.38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4" t="s">
        <v>2725</v>
      </c>
      <c r="B87" s="64">
        <v>3.76</v>
      </c>
      <c r="C87" s="64">
        <v>5.61</v>
      </c>
      <c r="D87" s="64">
        <v>5.95</v>
      </c>
      <c r="E87" s="64">
        <v>4.1900000000000004</v>
      </c>
      <c r="F87" s="64">
        <v>3.38</v>
      </c>
      <c r="G87" s="64">
        <v>5.54</v>
      </c>
      <c r="H87" s="64">
        <v>3.9</v>
      </c>
      <c r="I87" s="64">
        <v>3.8</v>
      </c>
      <c r="J87" s="64">
        <v>0.74</v>
      </c>
      <c r="K87" s="64">
        <v>175.18</v>
      </c>
      <c r="L87" s="64">
        <v>22.67</v>
      </c>
      <c r="M87" s="64">
        <v>102.09</v>
      </c>
      <c r="N87" s="64">
        <v>26.1</v>
      </c>
      <c r="O87" s="64">
        <v>0</v>
      </c>
      <c r="P87" s="64">
        <v>0.37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4" t="s">
        <v>2726</v>
      </c>
      <c r="B88" s="64">
        <v>3.7</v>
      </c>
      <c r="C88" s="64">
        <v>5.44</v>
      </c>
      <c r="D88" s="64">
        <v>5.81</v>
      </c>
      <c r="E88" s="64">
        <v>3.16</v>
      </c>
      <c r="F88" s="64">
        <v>3.38</v>
      </c>
      <c r="G88" s="64">
        <v>5.54</v>
      </c>
      <c r="H88" s="64">
        <v>3.9</v>
      </c>
      <c r="I88" s="64">
        <v>3.7</v>
      </c>
      <c r="J88" s="64">
        <v>0.73</v>
      </c>
      <c r="K88" s="64">
        <v>150.58000000000001</v>
      </c>
      <c r="L88" s="64">
        <v>22.69</v>
      </c>
      <c r="M88" s="64">
        <v>102.1</v>
      </c>
      <c r="N88" s="64">
        <v>26.1</v>
      </c>
      <c r="O88" s="64">
        <v>0</v>
      </c>
      <c r="P88" s="64">
        <v>0.36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4" t="s">
        <v>2727</v>
      </c>
      <c r="B89" s="64">
        <v>3.65</v>
      </c>
      <c r="C89" s="64">
        <v>5.29</v>
      </c>
      <c r="D89" s="64">
        <v>5.69</v>
      </c>
      <c r="E89" s="64">
        <v>4.3499999999999996</v>
      </c>
      <c r="F89" s="64">
        <v>3.29</v>
      </c>
      <c r="G89" s="64">
        <v>5.15</v>
      </c>
      <c r="H89" s="64">
        <v>3.67</v>
      </c>
      <c r="I89" s="64">
        <v>3.55</v>
      </c>
      <c r="J89" s="64">
        <v>0.53</v>
      </c>
      <c r="K89" s="64">
        <v>148.5</v>
      </c>
      <c r="L89" s="64">
        <v>22.78</v>
      </c>
      <c r="M89" s="64">
        <v>102.1</v>
      </c>
      <c r="N89" s="64">
        <v>26.1</v>
      </c>
      <c r="O89" s="64">
        <v>0</v>
      </c>
      <c r="P89" s="64">
        <v>0.36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4" t="s">
        <v>2728</v>
      </c>
      <c r="B90" s="64">
        <v>3.6</v>
      </c>
      <c r="C90" s="64">
        <v>5.17</v>
      </c>
      <c r="D90" s="64">
        <v>5.59</v>
      </c>
      <c r="E90" s="64">
        <v>4.2300000000000004</v>
      </c>
      <c r="F90" s="64">
        <v>3.49</v>
      </c>
      <c r="G90" s="64">
        <v>4.13</v>
      </c>
      <c r="H90" s="64">
        <v>3.27</v>
      </c>
      <c r="I90" s="64">
        <v>3.12</v>
      </c>
      <c r="J90" s="64">
        <v>0.33</v>
      </c>
      <c r="K90" s="64">
        <v>141.53</v>
      </c>
      <c r="L90" s="64">
        <v>22.86</v>
      </c>
      <c r="M90" s="64">
        <v>102.1</v>
      </c>
      <c r="N90" s="64">
        <v>26.2</v>
      </c>
      <c r="O90" s="64">
        <v>0</v>
      </c>
      <c r="P90" s="64">
        <v>0.37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4" t="s">
        <v>2729</v>
      </c>
      <c r="B91" s="64">
        <v>3.56</v>
      </c>
      <c r="C91" s="64">
        <v>5.0199999999999996</v>
      </c>
      <c r="D91" s="64">
        <v>5.48</v>
      </c>
      <c r="E91" s="64">
        <v>4.5</v>
      </c>
      <c r="F91" s="64">
        <v>3.71</v>
      </c>
      <c r="G91" s="64">
        <v>4.13</v>
      </c>
      <c r="H91" s="64">
        <v>3.27</v>
      </c>
      <c r="I91" s="64">
        <v>2.62</v>
      </c>
      <c r="J91" s="64">
        <v>0.48</v>
      </c>
      <c r="K91" s="64">
        <v>165.83</v>
      </c>
      <c r="L91" s="64">
        <v>22.89</v>
      </c>
      <c r="M91" s="64">
        <v>102.1</v>
      </c>
      <c r="N91" s="64">
        <v>26.2</v>
      </c>
      <c r="O91" s="64">
        <v>0</v>
      </c>
      <c r="P91" s="64">
        <v>0.35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4" t="s">
        <v>2730</v>
      </c>
      <c r="B92" s="64">
        <v>3.61</v>
      </c>
      <c r="C92" s="64">
        <v>5.22</v>
      </c>
      <c r="D92" s="64">
        <v>5.62</v>
      </c>
      <c r="E92" s="64">
        <v>4.43</v>
      </c>
      <c r="F92" s="64">
        <v>3.87</v>
      </c>
      <c r="G92" s="64">
        <v>4.13</v>
      </c>
      <c r="H92" s="64">
        <v>3.27</v>
      </c>
      <c r="I92" s="64">
        <v>2.46</v>
      </c>
      <c r="J92" s="64">
        <v>0.73</v>
      </c>
      <c r="K92" s="64">
        <v>167</v>
      </c>
      <c r="L92" s="64">
        <v>22.93</v>
      </c>
      <c r="M92" s="64">
        <v>102.1</v>
      </c>
      <c r="N92" s="64">
        <v>26.2</v>
      </c>
      <c r="O92" s="64">
        <v>0</v>
      </c>
      <c r="P92" s="64">
        <v>0.38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4" t="s">
        <v>2731</v>
      </c>
      <c r="B93" s="64">
        <v>3.8</v>
      </c>
      <c r="C93" s="64">
        <v>5.68</v>
      </c>
      <c r="D93" s="64">
        <v>6.01</v>
      </c>
      <c r="E93" s="64">
        <v>4.74</v>
      </c>
      <c r="F93" s="64">
        <v>3.35</v>
      </c>
      <c r="G93" s="64">
        <v>3.82</v>
      </c>
      <c r="H93" s="64">
        <v>3.31</v>
      </c>
      <c r="I93" s="64">
        <v>2.65</v>
      </c>
      <c r="J93" s="64">
        <v>0.81</v>
      </c>
      <c r="K93" s="64">
        <v>162.5</v>
      </c>
      <c r="L93" s="64">
        <v>23.01</v>
      </c>
      <c r="M93" s="64">
        <v>102.09</v>
      </c>
      <c r="N93" s="64">
        <v>26.3</v>
      </c>
      <c r="O93" s="64">
        <v>0</v>
      </c>
      <c r="P93" s="64">
        <v>0.38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4" t="s">
        <v>2732</v>
      </c>
      <c r="B94" s="64">
        <v>3.9</v>
      </c>
      <c r="C94" s="64">
        <v>5.75</v>
      </c>
      <c r="D94" s="64">
        <v>6.13</v>
      </c>
      <c r="E94" s="64">
        <v>4.41</v>
      </c>
      <c r="F94" s="64">
        <v>3.62</v>
      </c>
      <c r="G94" s="64">
        <v>3</v>
      </c>
      <c r="H94" s="64">
        <v>3.48</v>
      </c>
      <c r="I94" s="64">
        <v>3.74</v>
      </c>
      <c r="J94" s="64">
        <v>0.89</v>
      </c>
      <c r="K94" s="64">
        <v>154.31</v>
      </c>
      <c r="L94" s="64">
        <v>23.04</v>
      </c>
      <c r="M94" s="64">
        <v>102.08</v>
      </c>
      <c r="N94" s="64">
        <v>26.5</v>
      </c>
      <c r="O94" s="64">
        <v>0</v>
      </c>
      <c r="P94" s="64">
        <v>0.38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4" t="s">
        <v>2733</v>
      </c>
      <c r="B95" s="64">
        <v>3.88</v>
      </c>
      <c r="C95" s="64">
        <v>5.64</v>
      </c>
      <c r="D95" s="64">
        <v>6.06</v>
      </c>
      <c r="E95" s="64">
        <v>4.5999999999999996</v>
      </c>
      <c r="F95" s="64">
        <v>3.03</v>
      </c>
      <c r="G95" s="64">
        <v>3</v>
      </c>
      <c r="H95" s="64">
        <v>3.48</v>
      </c>
      <c r="I95" s="64">
        <v>4.17</v>
      </c>
      <c r="J95" s="64">
        <v>0.64</v>
      </c>
      <c r="K95" s="64">
        <v>157.09</v>
      </c>
      <c r="L95" s="64">
        <v>23.04</v>
      </c>
      <c r="M95" s="64">
        <v>102.08</v>
      </c>
      <c r="N95" s="64">
        <v>26.5</v>
      </c>
      <c r="O95" s="64">
        <v>0</v>
      </c>
      <c r="P95" s="64">
        <v>0.37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4" t="s">
        <v>2734</v>
      </c>
      <c r="B96" s="64">
        <v>4.04</v>
      </c>
      <c r="C96" s="64">
        <v>6</v>
      </c>
      <c r="D96" s="64">
        <v>6.38</v>
      </c>
      <c r="E96" s="64">
        <v>4.2699999999999996</v>
      </c>
      <c r="F96" s="64">
        <v>3.39</v>
      </c>
      <c r="G96" s="64">
        <v>3</v>
      </c>
      <c r="H96" s="64">
        <v>3.48</v>
      </c>
      <c r="I96" s="64">
        <v>3.69</v>
      </c>
      <c r="J96" s="64">
        <v>0.86</v>
      </c>
      <c r="K96" s="64">
        <v>145.96</v>
      </c>
      <c r="L96" s="64">
        <v>23.03</v>
      </c>
      <c r="M96" s="64">
        <v>102.1</v>
      </c>
      <c r="N96" s="64">
        <v>26.5</v>
      </c>
      <c r="O96" s="64">
        <v>0</v>
      </c>
      <c r="P96" s="64">
        <v>0.37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2735</v>
      </c>
      <c r="B97" s="64">
        <v>4.07</v>
      </c>
      <c r="C97" s="64">
        <v>5.74</v>
      </c>
      <c r="D97" s="64">
        <v>6.26</v>
      </c>
      <c r="E97" s="64">
        <v>4.5599999999999996</v>
      </c>
      <c r="F97" s="64">
        <v>4.12</v>
      </c>
      <c r="G97" s="64">
        <v>2.93</v>
      </c>
      <c r="H97" s="64">
        <v>3.18</v>
      </c>
      <c r="I97" s="64">
        <v>3.89</v>
      </c>
      <c r="J97" s="64">
        <v>0.62</v>
      </c>
      <c r="K97" s="64">
        <v>159.74</v>
      </c>
      <c r="L97" s="64">
        <v>23</v>
      </c>
      <c r="M97" s="64">
        <v>102.09</v>
      </c>
      <c r="N97" s="64">
        <v>26.4</v>
      </c>
      <c r="O97" s="64">
        <v>0</v>
      </c>
      <c r="P97" s="64">
        <v>0.37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4" t="s">
        <v>2736</v>
      </c>
      <c r="B98" s="64">
        <v>4.0199999999999996</v>
      </c>
      <c r="C98" s="64">
        <v>5.76</v>
      </c>
      <c r="D98" s="64">
        <v>6.23</v>
      </c>
      <c r="E98" s="64">
        <v>4.54</v>
      </c>
      <c r="F98" s="64">
        <v>2.37</v>
      </c>
      <c r="G98" s="64">
        <v>2.74</v>
      </c>
      <c r="H98" s="64">
        <v>2.68</v>
      </c>
      <c r="I98" s="64">
        <v>3.79</v>
      </c>
      <c r="J98" s="64">
        <v>0.9</v>
      </c>
      <c r="K98" s="64">
        <v>151.30000000000001</v>
      </c>
      <c r="L98" s="64">
        <v>22.97</v>
      </c>
      <c r="M98" s="64">
        <v>102.08</v>
      </c>
      <c r="N98" s="64">
        <v>26.6</v>
      </c>
      <c r="O98" s="64">
        <v>0</v>
      </c>
      <c r="P98" s="64">
        <v>0.34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4" t="s">
        <v>2737</v>
      </c>
      <c r="B99" s="64">
        <v>3.93</v>
      </c>
      <c r="C99" s="64">
        <v>5.73</v>
      </c>
      <c r="D99" s="64">
        <v>6.14</v>
      </c>
      <c r="E99" s="64">
        <v>4.3099999999999996</v>
      </c>
      <c r="F99" s="64">
        <v>3.45</v>
      </c>
      <c r="G99" s="64">
        <v>2.74</v>
      </c>
      <c r="H99" s="64">
        <v>2.68</v>
      </c>
      <c r="I99" s="64">
        <v>3.18</v>
      </c>
      <c r="J99" s="64">
        <v>0.75</v>
      </c>
      <c r="K99" s="64">
        <v>144.44</v>
      </c>
      <c r="L99" s="64">
        <v>22.96</v>
      </c>
      <c r="M99" s="64">
        <v>102.1</v>
      </c>
      <c r="N99" s="64">
        <v>26.5</v>
      </c>
      <c r="O99" s="64">
        <v>0</v>
      </c>
      <c r="P99" s="64">
        <v>0.36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2738</v>
      </c>
      <c r="B100" s="64">
        <v>3.79</v>
      </c>
      <c r="C100" s="64">
        <v>5.57</v>
      </c>
      <c r="D100" s="64">
        <v>5.95</v>
      </c>
      <c r="E100" s="64">
        <v>4.82</v>
      </c>
      <c r="F100" s="64">
        <v>3.27</v>
      </c>
      <c r="G100" s="64">
        <v>2.74</v>
      </c>
      <c r="H100" s="64">
        <v>2.68</v>
      </c>
      <c r="I100" s="64">
        <v>3.34</v>
      </c>
      <c r="J100" s="64">
        <v>0.62</v>
      </c>
      <c r="K100" s="64">
        <v>152.22999999999999</v>
      </c>
      <c r="L100" s="64">
        <v>22.91</v>
      </c>
      <c r="M100" s="64">
        <v>102.1</v>
      </c>
      <c r="N100" s="64">
        <v>26.5</v>
      </c>
      <c r="O100" s="64">
        <v>0</v>
      </c>
      <c r="P100" s="64">
        <v>0.34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2739</v>
      </c>
      <c r="B101" s="64">
        <v>3.69</v>
      </c>
      <c r="C101" s="64">
        <v>5.43</v>
      </c>
      <c r="D101" s="64">
        <v>5.79</v>
      </c>
      <c r="E101" s="64">
        <v>4.76</v>
      </c>
      <c r="F101" s="64">
        <v>3.16</v>
      </c>
      <c r="G101" s="64">
        <v>2.5499999999999998</v>
      </c>
      <c r="H101" s="64">
        <v>3.1</v>
      </c>
      <c r="I101" s="64">
        <v>3.03</v>
      </c>
      <c r="J101" s="64">
        <v>0.9</v>
      </c>
      <c r="K101" s="64">
        <v>149.16</v>
      </c>
      <c r="L101" s="64">
        <v>22.91</v>
      </c>
      <c r="M101" s="64">
        <v>102.1</v>
      </c>
      <c r="N101" s="64">
        <v>26.5</v>
      </c>
      <c r="O101" s="64">
        <v>0</v>
      </c>
      <c r="P101" s="64">
        <v>0.33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4" t="s">
        <v>2740</v>
      </c>
      <c r="B102" s="64">
        <v>3.41</v>
      </c>
      <c r="C102" s="64">
        <v>4.75</v>
      </c>
      <c r="D102" s="64">
        <v>5.22</v>
      </c>
      <c r="E102" s="64">
        <v>4.16</v>
      </c>
      <c r="F102" s="64">
        <v>3.85</v>
      </c>
      <c r="G102" s="64">
        <v>2.0699999999999998</v>
      </c>
      <c r="H102" s="64">
        <v>3.81</v>
      </c>
      <c r="I102" s="64">
        <v>3.28</v>
      </c>
      <c r="J102" s="64">
        <v>1.1599999999999999</v>
      </c>
      <c r="K102" s="64">
        <v>155.69</v>
      </c>
      <c r="L102" s="64">
        <v>22.93</v>
      </c>
      <c r="M102" s="64">
        <v>102.1</v>
      </c>
      <c r="N102" s="64">
        <v>26.7</v>
      </c>
      <c r="O102" s="64">
        <v>0</v>
      </c>
      <c r="P102" s="64">
        <v>0.32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4" t="s">
        <v>2741</v>
      </c>
      <c r="B103" s="64">
        <v>3.28</v>
      </c>
      <c r="C103" s="64">
        <v>4.5199999999999996</v>
      </c>
      <c r="D103" s="64">
        <v>5</v>
      </c>
      <c r="E103" s="64">
        <v>4.07</v>
      </c>
      <c r="F103" s="64">
        <v>3.4</v>
      </c>
      <c r="G103" s="64">
        <v>2.0699999999999998</v>
      </c>
      <c r="H103" s="64">
        <v>3.81</v>
      </c>
      <c r="I103" s="64">
        <v>2.4500000000000002</v>
      </c>
      <c r="J103" s="64">
        <v>1.02</v>
      </c>
      <c r="K103" s="64">
        <v>150.26</v>
      </c>
      <c r="L103" s="64">
        <v>22.92</v>
      </c>
      <c r="M103" s="64">
        <v>102.1</v>
      </c>
      <c r="N103" s="64">
        <v>26.5</v>
      </c>
      <c r="O103" s="64">
        <v>0</v>
      </c>
      <c r="P103" s="64">
        <v>0.32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4" t="s">
        <v>2742</v>
      </c>
      <c r="B104" s="64">
        <v>3.22</v>
      </c>
      <c r="C104" s="64">
        <v>4.4400000000000004</v>
      </c>
      <c r="D104" s="64">
        <v>4.9000000000000004</v>
      </c>
      <c r="E104" s="64">
        <v>3.13</v>
      </c>
      <c r="F104" s="64">
        <v>3.44</v>
      </c>
      <c r="G104" s="64">
        <v>2.0699999999999998</v>
      </c>
      <c r="H104" s="64">
        <v>3.81</v>
      </c>
      <c r="I104" s="64">
        <v>2.52</v>
      </c>
      <c r="J104" s="64">
        <v>0.89</v>
      </c>
      <c r="K104" s="64">
        <v>154.91</v>
      </c>
      <c r="L104" s="64">
        <v>22.95</v>
      </c>
      <c r="M104" s="64">
        <v>102.1</v>
      </c>
      <c r="N104" s="64">
        <v>26.7</v>
      </c>
      <c r="O104" s="64">
        <v>0</v>
      </c>
      <c r="P104" s="64">
        <v>0.31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3.22</v>
      </c>
      <c r="C106" s="67">
        <f>MIN(C9:C104)</f>
        <v>3.61</v>
      </c>
      <c r="D106" s="67">
        <f t="shared" ref="D106:Q106" si="0">MIN(D9:D104)</f>
        <v>4.9000000000000004</v>
      </c>
      <c r="E106" s="67">
        <f t="shared" si="0"/>
        <v>3.13</v>
      </c>
      <c r="F106" s="67">
        <f t="shared" si="0"/>
        <v>2.21</v>
      </c>
      <c r="G106" s="67">
        <f t="shared" si="0"/>
        <v>2.0699999999999998</v>
      </c>
      <c r="H106" s="67">
        <f t="shared" si="0"/>
        <v>2.68</v>
      </c>
      <c r="I106" s="67">
        <f t="shared" si="0"/>
        <v>0.7</v>
      </c>
      <c r="J106" s="67">
        <f t="shared" si="0"/>
        <v>0.01</v>
      </c>
      <c r="K106" s="67">
        <f t="shared" si="0"/>
        <v>1.01</v>
      </c>
      <c r="L106" s="67">
        <f t="shared" si="0"/>
        <v>22.67</v>
      </c>
      <c r="M106" s="67">
        <f t="shared" si="0"/>
        <v>75.91</v>
      </c>
      <c r="N106" s="67">
        <f t="shared" si="0"/>
        <v>26</v>
      </c>
      <c r="O106" s="67">
        <f t="shared" si="0"/>
        <v>0</v>
      </c>
      <c r="P106" s="67">
        <f t="shared" si="0"/>
        <v>0.28999999999999998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10.71</v>
      </c>
      <c r="C107" s="66">
        <f t="shared" ref="C107:Q107" si="1">MAX(C9:C104)</f>
        <v>8.1</v>
      </c>
      <c r="D107" s="66">
        <f t="shared" si="1"/>
        <v>11.99</v>
      </c>
      <c r="E107" s="66">
        <f t="shared" si="1"/>
        <v>5.72</v>
      </c>
      <c r="F107" s="66">
        <f t="shared" si="1"/>
        <v>6.15</v>
      </c>
      <c r="G107" s="66">
        <f t="shared" si="1"/>
        <v>40.76</v>
      </c>
      <c r="H107" s="66">
        <f t="shared" si="1"/>
        <v>19.329999999999998</v>
      </c>
      <c r="I107" s="66">
        <f t="shared" si="1"/>
        <v>5.96</v>
      </c>
      <c r="J107" s="66">
        <f t="shared" si="1"/>
        <v>2.08</v>
      </c>
      <c r="K107" s="66">
        <f t="shared" si="1"/>
        <v>348.16</v>
      </c>
      <c r="L107" s="66">
        <f t="shared" si="1"/>
        <v>31.28</v>
      </c>
      <c r="M107" s="66">
        <f t="shared" si="1"/>
        <v>102.1</v>
      </c>
      <c r="N107" s="66">
        <f t="shared" si="1"/>
        <v>614.29999999999995</v>
      </c>
      <c r="O107" s="66">
        <f t="shared" si="1"/>
        <v>0.8</v>
      </c>
      <c r="P107" s="66">
        <f t="shared" si="1"/>
        <v>0.73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5.2943750000000014</v>
      </c>
      <c r="C108" s="67">
        <f t="shared" ref="C108:Q108" si="2">AVERAGE(C9:C104)</f>
        <v>5.3801041666666682</v>
      </c>
      <c r="D108" s="67">
        <f t="shared" si="2"/>
        <v>7.0562499999999995</v>
      </c>
      <c r="E108" s="67">
        <f t="shared" si="2"/>
        <v>4.5794791666666681</v>
      </c>
      <c r="F108" s="67">
        <f t="shared" si="2"/>
        <v>3.4915624999999988</v>
      </c>
      <c r="G108" s="67">
        <f t="shared" si="2"/>
        <v>16.070312499999996</v>
      </c>
      <c r="H108" s="67">
        <f t="shared" si="2"/>
        <v>8.3992708333333237</v>
      </c>
      <c r="I108" s="67">
        <f t="shared" si="2"/>
        <v>3.2804166666666656</v>
      </c>
      <c r="J108" s="67">
        <f t="shared" si="2"/>
        <v>0.69270833333333315</v>
      </c>
      <c r="K108" s="67">
        <f t="shared" si="2"/>
        <v>162.38218750000001</v>
      </c>
      <c r="L108" s="67">
        <f t="shared" si="2"/>
        <v>24.61291666666666</v>
      </c>
      <c r="M108" s="67">
        <f t="shared" si="2"/>
        <v>100.02958333333338</v>
      </c>
      <c r="N108" s="67">
        <f t="shared" si="2"/>
        <v>89.617708333333383</v>
      </c>
      <c r="O108" s="67">
        <f t="shared" si="2"/>
        <v>5.4166666666666689E-2</v>
      </c>
      <c r="P108" s="67">
        <f t="shared" si="2"/>
        <v>0.41979166666666673</v>
      </c>
      <c r="Q108" s="67">
        <f t="shared" si="2"/>
        <v>9.6141666666666747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1.4813676557758875</v>
      </c>
      <c r="C109" s="67">
        <f t="shared" ref="C109:Q109" si="3">STDEV(C9:C104)</f>
        <v>1.0222302704758841</v>
      </c>
      <c r="D109" s="67">
        <f t="shared" si="3"/>
        <v>1.5052030812450141</v>
      </c>
      <c r="E109" s="67">
        <f t="shared" si="3"/>
        <v>0.5510131716673049</v>
      </c>
      <c r="F109" s="67">
        <f t="shared" si="3"/>
        <v>0.56229104305979494</v>
      </c>
      <c r="G109" s="67">
        <f t="shared" si="3"/>
        <v>9.300833630223984</v>
      </c>
      <c r="H109" s="67">
        <f t="shared" si="3"/>
        <v>4.4367342766574183</v>
      </c>
      <c r="I109" s="67">
        <f t="shared" si="3"/>
        <v>1.0730614507999958</v>
      </c>
      <c r="J109" s="67">
        <f t="shared" si="3"/>
        <v>0.43672821650051363</v>
      </c>
      <c r="K109" s="67">
        <f t="shared" si="3"/>
        <v>83.198511439152412</v>
      </c>
      <c r="L109" s="67">
        <f t="shared" si="3"/>
        <v>1.9713297231039211</v>
      </c>
      <c r="M109" s="67">
        <f t="shared" si="3"/>
        <v>5.7394411825298182</v>
      </c>
      <c r="N109" s="67">
        <f t="shared" si="3"/>
        <v>116.5781815776697</v>
      </c>
      <c r="O109" s="67">
        <f t="shared" si="3"/>
        <v>0.14357588616379599</v>
      </c>
      <c r="P109" s="67">
        <f t="shared" si="3"/>
        <v>8.7286330595185257E-2</v>
      </c>
      <c r="Q109" s="67">
        <f t="shared" si="3"/>
        <v>7.350856257559356E-3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2743</v>
      </c>
      <c r="B9" s="64">
        <v>3.17</v>
      </c>
      <c r="C9" s="64">
        <v>4.3600000000000003</v>
      </c>
      <c r="D9" s="64">
        <v>4.82</v>
      </c>
      <c r="E9" s="64">
        <v>3.82</v>
      </c>
      <c r="F9" s="64">
        <v>3.58</v>
      </c>
      <c r="G9" s="212" t="s">
        <v>42</v>
      </c>
      <c r="H9" s="64">
        <v>3.72</v>
      </c>
      <c r="I9" s="64">
        <v>3.07</v>
      </c>
      <c r="J9" s="64">
        <v>0.47</v>
      </c>
      <c r="K9" s="64">
        <v>150</v>
      </c>
      <c r="L9" s="64">
        <v>22.9</v>
      </c>
      <c r="M9" s="64">
        <v>102.1</v>
      </c>
      <c r="N9" s="64">
        <v>26.8</v>
      </c>
      <c r="O9" s="64">
        <v>0</v>
      </c>
      <c r="P9" s="64">
        <v>0.27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4" t="s">
        <v>2744</v>
      </c>
      <c r="B10" s="64">
        <v>3.14</v>
      </c>
      <c r="C10" s="64">
        <v>4.28</v>
      </c>
      <c r="D10" s="64">
        <v>4.75</v>
      </c>
      <c r="E10" s="64">
        <v>4.0199999999999996</v>
      </c>
      <c r="F10" s="64">
        <v>3.52</v>
      </c>
      <c r="G10" s="212" t="s">
        <v>42</v>
      </c>
      <c r="H10" s="64">
        <v>3.56</v>
      </c>
      <c r="I10" s="64">
        <v>2.37</v>
      </c>
      <c r="J10" s="64">
        <v>0.67</v>
      </c>
      <c r="K10" s="64">
        <v>152.6</v>
      </c>
      <c r="L10" s="64">
        <v>22.89</v>
      </c>
      <c r="M10" s="64">
        <v>102.1</v>
      </c>
      <c r="N10" s="64">
        <v>26.5</v>
      </c>
      <c r="O10" s="64">
        <v>0</v>
      </c>
      <c r="P10" s="64">
        <v>0.28000000000000003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4" t="s">
        <v>2745</v>
      </c>
      <c r="B11" s="64">
        <v>3.05</v>
      </c>
      <c r="C11" s="64">
        <v>4.18</v>
      </c>
      <c r="D11" s="64">
        <v>4.63</v>
      </c>
      <c r="E11" s="64">
        <v>3.99</v>
      </c>
      <c r="F11" s="64">
        <v>3.42</v>
      </c>
      <c r="G11" s="212" t="s">
        <v>42</v>
      </c>
      <c r="H11" s="64">
        <v>3.56</v>
      </c>
      <c r="I11" s="64">
        <v>1.55</v>
      </c>
      <c r="J11" s="64">
        <v>0.73</v>
      </c>
      <c r="K11" s="64">
        <v>148.12</v>
      </c>
      <c r="L11" s="64">
        <v>22.9</v>
      </c>
      <c r="M11" s="64">
        <v>102.1</v>
      </c>
      <c r="N11" s="64">
        <v>26.7</v>
      </c>
      <c r="O11" s="64">
        <v>0</v>
      </c>
      <c r="P11" s="64">
        <v>0.28000000000000003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4" t="s">
        <v>2746</v>
      </c>
      <c r="B12" s="64">
        <v>3</v>
      </c>
      <c r="C12" s="64">
        <v>4.0199999999999996</v>
      </c>
      <c r="D12" s="64">
        <v>4.51</v>
      </c>
      <c r="E12" s="64">
        <v>3.13</v>
      </c>
      <c r="F12" s="64">
        <v>3.52</v>
      </c>
      <c r="G12" s="212" t="s">
        <v>42</v>
      </c>
      <c r="H12" s="64">
        <v>3.56</v>
      </c>
      <c r="I12" s="64">
        <v>1.44</v>
      </c>
      <c r="J12" s="64">
        <v>0.77</v>
      </c>
      <c r="K12" s="64">
        <v>133.16</v>
      </c>
      <c r="L12" s="64">
        <v>22.94</v>
      </c>
      <c r="M12" s="64">
        <v>102.1</v>
      </c>
      <c r="N12" s="64">
        <v>26.5</v>
      </c>
      <c r="O12" s="64">
        <v>0</v>
      </c>
      <c r="P12" s="64">
        <v>0.28000000000000003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4" t="s">
        <v>2747</v>
      </c>
      <c r="B13" s="64">
        <v>2.95</v>
      </c>
      <c r="C13" s="64">
        <v>4.2300000000000004</v>
      </c>
      <c r="D13" s="64">
        <v>4.57</v>
      </c>
      <c r="E13" s="64">
        <v>3.59</v>
      </c>
      <c r="F13" s="64">
        <v>3.72</v>
      </c>
      <c r="G13" s="212" t="s">
        <v>42</v>
      </c>
      <c r="H13" s="64">
        <v>3.42</v>
      </c>
      <c r="I13" s="64">
        <v>1.56</v>
      </c>
      <c r="J13" s="64">
        <v>0.77</v>
      </c>
      <c r="K13" s="64">
        <v>146.19999999999999</v>
      </c>
      <c r="L13" s="64">
        <v>22.95</v>
      </c>
      <c r="M13" s="64">
        <v>102.1</v>
      </c>
      <c r="N13" s="64">
        <v>26.7</v>
      </c>
      <c r="O13" s="64">
        <v>0</v>
      </c>
      <c r="P13" s="64">
        <v>0.31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4" t="s">
        <v>2748</v>
      </c>
      <c r="B14" s="64">
        <v>2.78</v>
      </c>
      <c r="C14" s="64">
        <v>4.24</v>
      </c>
      <c r="D14" s="64">
        <v>4.45</v>
      </c>
      <c r="E14" s="64">
        <v>3.87</v>
      </c>
      <c r="F14" s="64">
        <v>3.71</v>
      </c>
      <c r="G14" s="212" t="s">
        <v>42</v>
      </c>
      <c r="H14" s="64">
        <v>2.91</v>
      </c>
      <c r="I14" s="64">
        <v>2.73</v>
      </c>
      <c r="J14" s="64">
        <v>0.61</v>
      </c>
      <c r="K14" s="64">
        <v>152.47</v>
      </c>
      <c r="L14" s="64">
        <v>22.96</v>
      </c>
      <c r="M14" s="64">
        <v>102.08</v>
      </c>
      <c r="N14" s="64">
        <v>26.6</v>
      </c>
      <c r="O14" s="64">
        <v>0</v>
      </c>
      <c r="P14" s="64">
        <v>0.31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4" t="s">
        <v>2749</v>
      </c>
      <c r="B15" s="64">
        <v>2.6</v>
      </c>
      <c r="C15" s="64">
        <v>4.17</v>
      </c>
      <c r="D15" s="64">
        <v>4.26</v>
      </c>
      <c r="E15" s="64">
        <v>3.79</v>
      </c>
      <c r="F15" s="64">
        <v>3.66</v>
      </c>
      <c r="G15" s="212" t="s">
        <v>42</v>
      </c>
      <c r="H15" s="64">
        <v>2.91</v>
      </c>
      <c r="I15" s="64">
        <v>3.9</v>
      </c>
      <c r="J15" s="64">
        <v>0.78</v>
      </c>
      <c r="K15" s="64">
        <v>156.88</v>
      </c>
      <c r="L15" s="64">
        <v>22.96</v>
      </c>
      <c r="M15" s="64">
        <v>102.1</v>
      </c>
      <c r="N15" s="64">
        <v>26.6</v>
      </c>
      <c r="O15" s="64">
        <v>0</v>
      </c>
      <c r="P15" s="64">
        <v>0.3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4" t="s">
        <v>2750</v>
      </c>
      <c r="B16" s="64">
        <v>2.44</v>
      </c>
      <c r="C16" s="64">
        <v>4</v>
      </c>
      <c r="D16" s="64">
        <v>4.04</v>
      </c>
      <c r="E16" s="64">
        <v>3.89</v>
      </c>
      <c r="F16" s="64">
        <v>3.73</v>
      </c>
      <c r="G16" s="212" t="s">
        <v>42</v>
      </c>
      <c r="H16" s="64">
        <v>2.91</v>
      </c>
      <c r="I16" s="64">
        <v>4.3</v>
      </c>
      <c r="J16" s="64">
        <v>0.9</v>
      </c>
      <c r="K16" s="64">
        <v>169.04</v>
      </c>
      <c r="L16" s="64">
        <v>22.93</v>
      </c>
      <c r="M16" s="64">
        <v>102.1</v>
      </c>
      <c r="N16" s="64">
        <v>26.6</v>
      </c>
      <c r="O16" s="64">
        <v>0</v>
      </c>
      <c r="P16" s="64">
        <v>0.3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14" t="s">
        <v>2751</v>
      </c>
      <c r="B17" s="64">
        <v>2.27</v>
      </c>
      <c r="C17" s="64">
        <v>4.04</v>
      </c>
      <c r="D17" s="64">
        <v>3.93</v>
      </c>
      <c r="E17" s="64">
        <v>3.76</v>
      </c>
      <c r="F17" s="64">
        <v>3.46</v>
      </c>
      <c r="G17" s="212" t="s">
        <v>42</v>
      </c>
      <c r="H17" s="64">
        <v>2.59</v>
      </c>
      <c r="I17" s="64">
        <v>3.96</v>
      </c>
      <c r="J17" s="64">
        <v>0.7</v>
      </c>
      <c r="K17" s="64">
        <v>158.26</v>
      </c>
      <c r="L17" s="64">
        <v>22.93</v>
      </c>
      <c r="M17" s="64">
        <v>102.09</v>
      </c>
      <c r="N17" s="64">
        <v>26.5</v>
      </c>
      <c r="O17" s="64">
        <v>0</v>
      </c>
      <c r="P17" s="64">
        <v>0.3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4" t="s">
        <v>2752</v>
      </c>
      <c r="B18" s="64">
        <v>2.2400000000000002</v>
      </c>
      <c r="C18" s="64">
        <v>4.24</v>
      </c>
      <c r="D18" s="64">
        <v>4.01</v>
      </c>
      <c r="E18" s="64">
        <v>3.91</v>
      </c>
      <c r="F18" s="64">
        <v>3.32</v>
      </c>
      <c r="G18" s="212" t="s">
        <v>42</v>
      </c>
      <c r="H18" s="64">
        <v>2.04</v>
      </c>
      <c r="I18" s="64">
        <v>3.65</v>
      </c>
      <c r="J18" s="64">
        <v>0.67</v>
      </c>
      <c r="K18" s="64">
        <v>154.97999999999999</v>
      </c>
      <c r="L18" s="64">
        <v>22.97</v>
      </c>
      <c r="M18" s="64">
        <v>102.1</v>
      </c>
      <c r="N18" s="64">
        <v>26.5</v>
      </c>
      <c r="O18" s="64">
        <v>0</v>
      </c>
      <c r="P18" s="64">
        <v>0.28999999999999998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4" t="s">
        <v>2753</v>
      </c>
      <c r="B19" s="64">
        <v>2.17</v>
      </c>
      <c r="C19" s="64">
        <v>4.12</v>
      </c>
      <c r="D19" s="64">
        <v>3.89</v>
      </c>
      <c r="E19" s="64">
        <v>3.87</v>
      </c>
      <c r="F19" s="64">
        <v>3.39</v>
      </c>
      <c r="G19" s="212" t="s">
        <v>42</v>
      </c>
      <c r="H19" s="64">
        <v>2.04</v>
      </c>
      <c r="I19" s="64">
        <v>3.88</v>
      </c>
      <c r="J19" s="64">
        <v>0.68</v>
      </c>
      <c r="K19" s="64">
        <v>156.24</v>
      </c>
      <c r="L19" s="64">
        <v>23.01</v>
      </c>
      <c r="M19" s="64">
        <v>102.1</v>
      </c>
      <c r="N19" s="64">
        <v>26.5</v>
      </c>
      <c r="O19" s="64">
        <v>0</v>
      </c>
      <c r="P19" s="64">
        <v>0.28999999999999998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4" t="s">
        <v>2754</v>
      </c>
      <c r="B20" s="64">
        <v>2.02</v>
      </c>
      <c r="C20" s="64">
        <v>3.86</v>
      </c>
      <c r="D20" s="64">
        <v>3.64</v>
      </c>
      <c r="E20" s="64">
        <v>3.48</v>
      </c>
      <c r="F20" s="64">
        <v>3.27</v>
      </c>
      <c r="G20" s="212" t="s">
        <v>42</v>
      </c>
      <c r="H20" s="64">
        <v>2.04</v>
      </c>
      <c r="I20" s="64">
        <v>3.87</v>
      </c>
      <c r="J20" s="64">
        <v>0.62</v>
      </c>
      <c r="K20" s="64">
        <v>149.63</v>
      </c>
      <c r="L20" s="64">
        <v>23.08</v>
      </c>
      <c r="M20" s="64">
        <v>102.1</v>
      </c>
      <c r="N20" s="64">
        <v>26.5</v>
      </c>
      <c r="O20" s="64">
        <v>0</v>
      </c>
      <c r="P20" s="64">
        <v>0.28000000000000003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4" t="s">
        <v>2755</v>
      </c>
      <c r="B21" s="64">
        <v>2.06</v>
      </c>
      <c r="C21" s="64">
        <v>4.2</v>
      </c>
      <c r="D21" s="64">
        <v>3.85</v>
      </c>
      <c r="E21" s="64">
        <v>3.82</v>
      </c>
      <c r="F21" s="64">
        <v>3.16</v>
      </c>
      <c r="G21" s="64">
        <v>2.88</v>
      </c>
      <c r="H21" s="64">
        <v>1.81</v>
      </c>
      <c r="I21" s="64">
        <v>3.48</v>
      </c>
      <c r="J21" s="64">
        <v>0.8</v>
      </c>
      <c r="K21" s="64">
        <v>160.52000000000001</v>
      </c>
      <c r="L21" s="64">
        <v>23.13</v>
      </c>
      <c r="M21" s="64">
        <v>102.09</v>
      </c>
      <c r="N21" s="64">
        <v>26.7</v>
      </c>
      <c r="O21" s="64">
        <v>0</v>
      </c>
      <c r="P21" s="64">
        <v>0.28000000000000003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4" t="s">
        <v>2756</v>
      </c>
      <c r="B22" s="64">
        <v>1.94</v>
      </c>
      <c r="C22" s="64">
        <v>3.85</v>
      </c>
      <c r="D22" s="64">
        <v>3.57</v>
      </c>
      <c r="E22" s="64">
        <v>3.32</v>
      </c>
      <c r="F22" s="64">
        <v>3.58</v>
      </c>
      <c r="G22" s="64">
        <v>6.58</v>
      </c>
      <c r="H22" s="64">
        <v>1.42</v>
      </c>
      <c r="I22" s="64">
        <v>3.64</v>
      </c>
      <c r="J22" s="64">
        <v>0.87</v>
      </c>
      <c r="K22" s="64">
        <v>156.82</v>
      </c>
      <c r="L22" s="64">
        <v>23.15</v>
      </c>
      <c r="M22" s="64">
        <v>102.1</v>
      </c>
      <c r="N22" s="64">
        <v>26.8</v>
      </c>
      <c r="O22" s="64">
        <v>0</v>
      </c>
      <c r="P22" s="64">
        <v>0.26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4" t="s">
        <v>2757</v>
      </c>
      <c r="B23" s="64">
        <v>1.89</v>
      </c>
      <c r="C23" s="64">
        <v>3.49</v>
      </c>
      <c r="D23" s="64">
        <v>3.35</v>
      </c>
      <c r="E23" s="64">
        <v>4.09</v>
      </c>
      <c r="F23" s="64">
        <v>3.47</v>
      </c>
      <c r="G23" s="64">
        <v>6.58</v>
      </c>
      <c r="H23" s="64">
        <v>1.42</v>
      </c>
      <c r="I23" s="64">
        <v>3.13</v>
      </c>
      <c r="J23" s="64">
        <v>0.96</v>
      </c>
      <c r="K23" s="64">
        <v>141.02000000000001</v>
      </c>
      <c r="L23" s="64">
        <v>23.21</v>
      </c>
      <c r="M23" s="64">
        <v>102.1</v>
      </c>
      <c r="N23" s="64">
        <v>26.8</v>
      </c>
      <c r="O23" s="64">
        <v>0</v>
      </c>
      <c r="P23" s="64">
        <v>0.25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4" t="s">
        <v>2758</v>
      </c>
      <c r="B24" s="64">
        <v>1.97</v>
      </c>
      <c r="C24" s="64">
        <v>3.51</v>
      </c>
      <c r="D24" s="64">
        <v>3.41</v>
      </c>
      <c r="E24" s="64">
        <v>3.66</v>
      </c>
      <c r="F24" s="64">
        <v>3.28</v>
      </c>
      <c r="G24" s="64">
        <v>6.58</v>
      </c>
      <c r="H24" s="64">
        <v>1.42</v>
      </c>
      <c r="I24" s="64">
        <v>2.33</v>
      </c>
      <c r="J24" s="64">
        <v>0.88</v>
      </c>
      <c r="K24" s="64">
        <v>154.22</v>
      </c>
      <c r="L24" s="64">
        <v>23.22</v>
      </c>
      <c r="M24" s="64">
        <v>102.1</v>
      </c>
      <c r="N24" s="64">
        <v>26.6</v>
      </c>
      <c r="O24" s="64">
        <v>0</v>
      </c>
      <c r="P24" s="64">
        <v>0.26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4" t="s">
        <v>2759</v>
      </c>
      <c r="B25" s="64">
        <v>2.0299999999999998</v>
      </c>
      <c r="C25" s="64">
        <v>3.46</v>
      </c>
      <c r="D25" s="64">
        <v>3.44</v>
      </c>
      <c r="E25" s="64">
        <v>3.01</v>
      </c>
      <c r="F25" s="64">
        <v>3.2</v>
      </c>
      <c r="G25" s="64">
        <v>6.18</v>
      </c>
      <c r="H25" s="64">
        <v>1.61</v>
      </c>
      <c r="I25" s="64">
        <v>2.29</v>
      </c>
      <c r="J25" s="64">
        <v>1.1100000000000001</v>
      </c>
      <c r="K25" s="64">
        <v>147.56</v>
      </c>
      <c r="L25" s="64">
        <v>23.23</v>
      </c>
      <c r="M25" s="64">
        <v>102.1</v>
      </c>
      <c r="N25" s="64">
        <v>26.5</v>
      </c>
      <c r="O25" s="64">
        <v>0</v>
      </c>
      <c r="P25" s="64">
        <v>0.26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2760</v>
      </c>
      <c r="B26" s="64">
        <v>2.11</v>
      </c>
      <c r="C26" s="64">
        <v>3.57</v>
      </c>
      <c r="D26" s="64">
        <v>3.56</v>
      </c>
      <c r="E26" s="64">
        <v>3.41</v>
      </c>
      <c r="F26" s="64">
        <v>3.26</v>
      </c>
      <c r="G26" s="64">
        <v>5.15</v>
      </c>
      <c r="H26" s="64">
        <v>1.93</v>
      </c>
      <c r="I26" s="64">
        <v>2.4700000000000002</v>
      </c>
      <c r="J26" s="64">
        <v>1.38</v>
      </c>
      <c r="K26" s="64">
        <v>148.75</v>
      </c>
      <c r="L26" s="64">
        <v>23.23</v>
      </c>
      <c r="M26" s="64">
        <v>102.1</v>
      </c>
      <c r="N26" s="64">
        <v>26.7</v>
      </c>
      <c r="O26" s="64">
        <v>0</v>
      </c>
      <c r="P26" s="64">
        <v>0.26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4" t="s">
        <v>2761</v>
      </c>
      <c r="B27" s="64">
        <v>2.19</v>
      </c>
      <c r="C27" s="64">
        <v>3.53</v>
      </c>
      <c r="D27" s="64">
        <v>3.6</v>
      </c>
      <c r="E27" s="64">
        <v>3.57</v>
      </c>
      <c r="F27" s="64">
        <v>3.19</v>
      </c>
      <c r="G27" s="64">
        <v>5.15</v>
      </c>
      <c r="H27" s="64">
        <v>1.93</v>
      </c>
      <c r="I27" s="64">
        <v>2.81</v>
      </c>
      <c r="J27" s="64">
        <v>1.33</v>
      </c>
      <c r="K27" s="64">
        <v>133.99</v>
      </c>
      <c r="L27" s="64">
        <v>23.26</v>
      </c>
      <c r="M27" s="64">
        <v>102.09</v>
      </c>
      <c r="N27" s="64">
        <v>26.6</v>
      </c>
      <c r="O27" s="64">
        <v>0</v>
      </c>
      <c r="P27" s="64">
        <v>0.26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2762</v>
      </c>
      <c r="B28" s="64">
        <v>2.2200000000000002</v>
      </c>
      <c r="C28" s="64">
        <v>3.46</v>
      </c>
      <c r="D28" s="64">
        <v>3.59</v>
      </c>
      <c r="E28" s="64">
        <v>3.28</v>
      </c>
      <c r="F28" s="64">
        <v>3.2</v>
      </c>
      <c r="G28" s="64">
        <v>5.15</v>
      </c>
      <c r="H28" s="64">
        <v>1.93</v>
      </c>
      <c r="I28" s="64">
        <v>3.31</v>
      </c>
      <c r="J28" s="64">
        <v>1.1499999999999999</v>
      </c>
      <c r="K28" s="64">
        <v>133.79</v>
      </c>
      <c r="L28" s="64">
        <v>23.21</v>
      </c>
      <c r="M28" s="64">
        <v>102.1</v>
      </c>
      <c r="N28" s="64">
        <v>26.5</v>
      </c>
      <c r="O28" s="64">
        <v>0.2</v>
      </c>
      <c r="P28" s="64">
        <v>0.25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2763</v>
      </c>
      <c r="B29" s="64">
        <v>2.23</v>
      </c>
      <c r="C29" s="64">
        <v>3.59</v>
      </c>
      <c r="D29" s="64">
        <v>3.66</v>
      </c>
      <c r="E29" s="64">
        <v>3.44</v>
      </c>
      <c r="F29" s="64">
        <v>3.9</v>
      </c>
      <c r="G29" s="64">
        <v>4.8600000000000003</v>
      </c>
      <c r="H29" s="64">
        <v>1.97</v>
      </c>
      <c r="I29" s="64">
        <v>3.07</v>
      </c>
      <c r="J29" s="64">
        <v>0.7</v>
      </c>
      <c r="K29" s="64">
        <v>139.26</v>
      </c>
      <c r="L29" s="64">
        <v>23.12</v>
      </c>
      <c r="M29" s="64">
        <v>102.1</v>
      </c>
      <c r="N29" s="64">
        <v>26.3</v>
      </c>
      <c r="O29" s="64">
        <v>0</v>
      </c>
      <c r="P29" s="64">
        <v>0.26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4" t="s">
        <v>2764</v>
      </c>
      <c r="B30" s="64">
        <v>2.46</v>
      </c>
      <c r="C30" s="64">
        <v>4.12</v>
      </c>
      <c r="D30" s="64">
        <v>4.12</v>
      </c>
      <c r="E30" s="64">
        <v>3.56</v>
      </c>
      <c r="F30" s="64">
        <v>4.13</v>
      </c>
      <c r="G30" s="64">
        <v>4.09</v>
      </c>
      <c r="H30" s="64">
        <v>2.13</v>
      </c>
      <c r="I30" s="64">
        <v>2.7</v>
      </c>
      <c r="J30" s="64">
        <v>0.7</v>
      </c>
      <c r="K30" s="64">
        <v>133.28</v>
      </c>
      <c r="L30" s="64">
        <v>23.04</v>
      </c>
      <c r="M30" s="64">
        <v>102.1</v>
      </c>
      <c r="N30" s="64">
        <v>26.4</v>
      </c>
      <c r="O30" s="64">
        <v>0</v>
      </c>
      <c r="P30" s="64">
        <v>0.27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4" t="s">
        <v>2765</v>
      </c>
      <c r="B31" s="64">
        <v>2.52</v>
      </c>
      <c r="C31" s="64">
        <v>4.3</v>
      </c>
      <c r="D31" s="64">
        <v>4.2699999999999996</v>
      </c>
      <c r="E31" s="64">
        <v>3.48</v>
      </c>
      <c r="F31" s="64">
        <v>3.51</v>
      </c>
      <c r="G31" s="64">
        <v>4.09</v>
      </c>
      <c r="H31" s="64">
        <v>2.13</v>
      </c>
      <c r="I31" s="64">
        <v>3.43</v>
      </c>
      <c r="J31" s="64">
        <v>1.2</v>
      </c>
      <c r="K31" s="64">
        <v>137.55000000000001</v>
      </c>
      <c r="L31" s="64">
        <v>23</v>
      </c>
      <c r="M31" s="64">
        <v>102.1</v>
      </c>
      <c r="N31" s="64">
        <v>26.6</v>
      </c>
      <c r="O31" s="64">
        <v>0</v>
      </c>
      <c r="P31" s="64">
        <v>0.27</v>
      </c>
      <c r="Q31" s="64">
        <v>9.59</v>
      </c>
      <c r="R31" s="198"/>
      <c r="S31" s="198"/>
      <c r="T31" s="198"/>
      <c r="U31" s="198"/>
    </row>
    <row r="32" spans="1:21" s="12" customFormat="1" x14ac:dyDescent="0.25">
      <c r="A32" s="214" t="s">
        <v>2766</v>
      </c>
      <c r="B32" s="64">
        <v>2.52</v>
      </c>
      <c r="C32" s="64">
        <v>4.4400000000000004</v>
      </c>
      <c r="D32" s="64">
        <v>4.34</v>
      </c>
      <c r="E32" s="64">
        <v>3.88</v>
      </c>
      <c r="F32" s="64">
        <v>3.31</v>
      </c>
      <c r="G32" s="64">
        <v>4.09</v>
      </c>
      <c r="H32" s="64">
        <v>2.13</v>
      </c>
      <c r="I32" s="64">
        <v>4.25</v>
      </c>
      <c r="J32" s="64">
        <v>1.1499999999999999</v>
      </c>
      <c r="K32" s="64">
        <v>139.85</v>
      </c>
      <c r="L32" s="64">
        <v>22.98</v>
      </c>
      <c r="M32" s="64">
        <v>102.1</v>
      </c>
      <c r="N32" s="64">
        <v>28.1</v>
      </c>
      <c r="O32" s="64">
        <v>0</v>
      </c>
      <c r="P32" s="64">
        <v>0.27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4" t="s">
        <v>2767</v>
      </c>
      <c r="B33" s="64">
        <v>2.5</v>
      </c>
      <c r="C33" s="64">
        <v>4.54</v>
      </c>
      <c r="D33" s="64">
        <v>4.38</v>
      </c>
      <c r="E33" s="64">
        <v>3.79</v>
      </c>
      <c r="F33" s="64">
        <v>4.18</v>
      </c>
      <c r="G33" s="64">
        <v>3.91</v>
      </c>
      <c r="H33" s="64">
        <v>2.02</v>
      </c>
      <c r="I33" s="64">
        <v>4.54</v>
      </c>
      <c r="J33" s="64">
        <v>1.25</v>
      </c>
      <c r="K33" s="64">
        <v>142.25</v>
      </c>
      <c r="L33" s="64">
        <v>22.99</v>
      </c>
      <c r="M33" s="64">
        <v>102.1</v>
      </c>
      <c r="N33" s="64">
        <v>33.799999999999997</v>
      </c>
      <c r="O33" s="64">
        <v>0</v>
      </c>
      <c r="P33" s="64">
        <v>0.27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4" t="s">
        <v>2768</v>
      </c>
      <c r="B34" s="64">
        <v>2.5499999999999998</v>
      </c>
      <c r="C34" s="64">
        <v>4.8499999999999996</v>
      </c>
      <c r="D34" s="64">
        <v>4.57</v>
      </c>
      <c r="E34" s="64">
        <v>3.53</v>
      </c>
      <c r="F34" s="64">
        <v>3.84</v>
      </c>
      <c r="G34" s="64">
        <v>3.44</v>
      </c>
      <c r="H34" s="64">
        <v>1.85</v>
      </c>
      <c r="I34" s="64">
        <v>4.55</v>
      </c>
      <c r="J34" s="64">
        <v>0.9</v>
      </c>
      <c r="K34" s="64">
        <v>146.37</v>
      </c>
      <c r="L34" s="64">
        <v>23.01</v>
      </c>
      <c r="M34" s="64">
        <v>102.1</v>
      </c>
      <c r="N34" s="64">
        <v>41.3</v>
      </c>
      <c r="O34" s="64">
        <v>0</v>
      </c>
      <c r="P34" s="64">
        <v>0.27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4" t="s">
        <v>2769</v>
      </c>
      <c r="B35" s="64">
        <v>2.72</v>
      </c>
      <c r="C35" s="64">
        <v>5.23</v>
      </c>
      <c r="D35" s="64">
        <v>4.91</v>
      </c>
      <c r="E35" s="64">
        <v>3.57</v>
      </c>
      <c r="F35" s="64">
        <v>2.74</v>
      </c>
      <c r="G35" s="64">
        <v>3.44</v>
      </c>
      <c r="H35" s="64">
        <v>1.85</v>
      </c>
      <c r="I35" s="64">
        <v>4.2300000000000004</v>
      </c>
      <c r="J35" s="64">
        <v>1.1100000000000001</v>
      </c>
      <c r="K35" s="64">
        <v>153.72</v>
      </c>
      <c r="L35" s="64">
        <v>23.17</v>
      </c>
      <c r="M35" s="64">
        <v>102.1</v>
      </c>
      <c r="N35" s="64">
        <v>59.6</v>
      </c>
      <c r="O35" s="64">
        <v>0</v>
      </c>
      <c r="P35" s="64">
        <v>0.27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4" t="s">
        <v>2770</v>
      </c>
      <c r="B36" s="64">
        <v>2.79</v>
      </c>
      <c r="C36" s="64">
        <v>5.14</v>
      </c>
      <c r="D36" s="64">
        <v>4.92</v>
      </c>
      <c r="E36" s="64">
        <v>3.89</v>
      </c>
      <c r="F36" s="64">
        <v>3.66</v>
      </c>
      <c r="G36" s="64">
        <v>3.44</v>
      </c>
      <c r="H36" s="64">
        <v>1.85</v>
      </c>
      <c r="I36" s="64">
        <v>4.1900000000000004</v>
      </c>
      <c r="J36" s="64">
        <v>1.02</v>
      </c>
      <c r="K36" s="64">
        <v>146.18</v>
      </c>
      <c r="L36" s="64">
        <v>23.39</v>
      </c>
      <c r="M36" s="64">
        <v>102.09</v>
      </c>
      <c r="N36" s="64">
        <v>90.4</v>
      </c>
      <c r="O36" s="64">
        <v>0</v>
      </c>
      <c r="P36" s="64">
        <v>0.27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4" t="s">
        <v>2771</v>
      </c>
      <c r="B37" s="64">
        <v>2.99</v>
      </c>
      <c r="C37" s="64">
        <v>5.3</v>
      </c>
      <c r="D37" s="64">
        <v>5.17</v>
      </c>
      <c r="E37" s="64">
        <v>3.51</v>
      </c>
      <c r="F37" s="64">
        <v>2.84</v>
      </c>
      <c r="G37" s="64">
        <v>3.99</v>
      </c>
      <c r="H37" s="64">
        <v>1.99</v>
      </c>
      <c r="I37" s="64">
        <v>4.33</v>
      </c>
      <c r="J37" s="64">
        <v>1.18</v>
      </c>
      <c r="K37" s="64">
        <v>144.07</v>
      </c>
      <c r="L37" s="64">
        <v>23.97</v>
      </c>
      <c r="M37" s="64">
        <v>102.06</v>
      </c>
      <c r="N37" s="64">
        <v>167.4</v>
      </c>
      <c r="O37" s="64">
        <v>0</v>
      </c>
      <c r="P37" s="64">
        <v>0.27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14" t="s">
        <v>2772</v>
      </c>
      <c r="B38" s="64">
        <v>3.32</v>
      </c>
      <c r="C38" s="64">
        <v>5.42</v>
      </c>
      <c r="D38" s="64">
        <v>5.49</v>
      </c>
      <c r="E38" s="64">
        <v>3.43</v>
      </c>
      <c r="F38" s="64">
        <v>3.92</v>
      </c>
      <c r="G38" s="64">
        <v>5.44</v>
      </c>
      <c r="H38" s="64">
        <v>2.23</v>
      </c>
      <c r="I38" s="64">
        <v>4.1100000000000003</v>
      </c>
      <c r="J38" s="64">
        <v>1.37</v>
      </c>
      <c r="K38" s="64">
        <v>142.68</v>
      </c>
      <c r="L38" s="64">
        <v>24.35</v>
      </c>
      <c r="M38" s="64">
        <v>102.04</v>
      </c>
      <c r="N38" s="64">
        <v>186.2</v>
      </c>
      <c r="O38" s="64">
        <v>0</v>
      </c>
      <c r="P38" s="64">
        <v>0.28999999999999998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4" t="s">
        <v>2773</v>
      </c>
      <c r="B39" s="64">
        <v>3.42</v>
      </c>
      <c r="C39" s="64">
        <v>5.24</v>
      </c>
      <c r="D39" s="64">
        <v>5.48</v>
      </c>
      <c r="E39" s="64">
        <v>3.58</v>
      </c>
      <c r="F39" s="64">
        <v>3.08</v>
      </c>
      <c r="G39" s="64">
        <v>5.44</v>
      </c>
      <c r="H39" s="64">
        <v>2.23</v>
      </c>
      <c r="I39" s="64">
        <v>4.0999999999999996</v>
      </c>
      <c r="J39" s="64">
        <v>1.23</v>
      </c>
      <c r="K39" s="64">
        <v>132.12</v>
      </c>
      <c r="L39" s="64">
        <v>25.19</v>
      </c>
      <c r="M39" s="64">
        <v>102.02</v>
      </c>
      <c r="N39" s="64">
        <v>197.1</v>
      </c>
      <c r="O39" s="64">
        <v>0</v>
      </c>
      <c r="P39" s="64">
        <v>0.28000000000000003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4" t="s">
        <v>2774</v>
      </c>
      <c r="B40" s="64">
        <v>3.42</v>
      </c>
      <c r="C40" s="64">
        <v>4.9000000000000004</v>
      </c>
      <c r="D40" s="64">
        <v>5.31</v>
      </c>
      <c r="E40" s="64">
        <v>4.5599999999999996</v>
      </c>
      <c r="F40" s="64">
        <v>3.53</v>
      </c>
      <c r="G40" s="64">
        <v>5.44</v>
      </c>
      <c r="H40" s="64">
        <v>2.23</v>
      </c>
      <c r="I40" s="64">
        <v>3.69</v>
      </c>
      <c r="J40" s="64">
        <v>1.35</v>
      </c>
      <c r="K40" s="64">
        <v>134.44</v>
      </c>
      <c r="L40" s="64">
        <v>25.17</v>
      </c>
      <c r="M40" s="64">
        <v>102.03</v>
      </c>
      <c r="N40" s="64">
        <v>239</v>
      </c>
      <c r="O40" s="64">
        <v>0</v>
      </c>
      <c r="P40" s="64">
        <v>0.28999999999999998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4" t="s">
        <v>2775</v>
      </c>
      <c r="B41" s="64">
        <v>3.55</v>
      </c>
      <c r="C41" s="64">
        <v>4.9400000000000004</v>
      </c>
      <c r="D41" s="64">
        <v>5.43</v>
      </c>
      <c r="E41" s="64">
        <v>4.3600000000000003</v>
      </c>
      <c r="F41" s="64">
        <v>3.66</v>
      </c>
      <c r="G41" s="64">
        <v>5.39</v>
      </c>
      <c r="H41" s="64">
        <v>2.42</v>
      </c>
      <c r="I41" s="64">
        <v>2.95</v>
      </c>
      <c r="J41" s="64">
        <v>1.06</v>
      </c>
      <c r="K41" s="64">
        <v>145.12</v>
      </c>
      <c r="L41" s="64">
        <v>25.92</v>
      </c>
      <c r="M41" s="64">
        <v>101.17</v>
      </c>
      <c r="N41" s="64">
        <v>376.7</v>
      </c>
      <c r="O41" s="64">
        <v>0</v>
      </c>
      <c r="P41" s="64">
        <v>0.28999999999999998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4" t="s">
        <v>2776</v>
      </c>
      <c r="B42" s="64">
        <v>3.66</v>
      </c>
      <c r="C42" s="64">
        <v>4.95</v>
      </c>
      <c r="D42" s="64">
        <v>5.52</v>
      </c>
      <c r="E42" s="64">
        <v>4.6500000000000004</v>
      </c>
      <c r="F42" s="64">
        <v>3.64</v>
      </c>
      <c r="G42" s="64">
        <v>5.26</v>
      </c>
      <c r="H42" s="64">
        <v>2.73</v>
      </c>
      <c r="I42" s="64">
        <v>2.75</v>
      </c>
      <c r="J42" s="64">
        <v>0.81</v>
      </c>
      <c r="K42" s="64">
        <v>137.63</v>
      </c>
      <c r="L42" s="64">
        <v>26.91</v>
      </c>
      <c r="M42" s="64">
        <v>98</v>
      </c>
      <c r="N42" s="64">
        <v>332.3</v>
      </c>
      <c r="O42" s="64">
        <v>0</v>
      </c>
      <c r="P42" s="64">
        <v>0.28000000000000003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4" t="s">
        <v>2777</v>
      </c>
      <c r="B43" s="64">
        <v>3.73</v>
      </c>
      <c r="C43" s="64">
        <v>4.82</v>
      </c>
      <c r="D43" s="64">
        <v>5.51</v>
      </c>
      <c r="E43" s="64">
        <v>4.4400000000000004</v>
      </c>
      <c r="F43" s="64">
        <v>3.84</v>
      </c>
      <c r="G43" s="64">
        <v>5.26</v>
      </c>
      <c r="H43" s="64">
        <v>2.73</v>
      </c>
      <c r="I43" s="64">
        <v>2.98</v>
      </c>
      <c r="J43" s="64">
        <v>1.63</v>
      </c>
      <c r="K43" s="64">
        <v>140.71</v>
      </c>
      <c r="L43" s="64">
        <v>26.47</v>
      </c>
      <c r="M43" s="64">
        <v>99.53</v>
      </c>
      <c r="N43" s="64">
        <v>274.3</v>
      </c>
      <c r="O43" s="64">
        <v>0</v>
      </c>
      <c r="P43" s="64">
        <v>0.28000000000000003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4" t="s">
        <v>2778</v>
      </c>
      <c r="B44" s="64">
        <v>3.68</v>
      </c>
      <c r="C44" s="64">
        <v>4.82</v>
      </c>
      <c r="D44" s="64">
        <v>5.47</v>
      </c>
      <c r="E44" s="64">
        <v>4.6100000000000003</v>
      </c>
      <c r="F44" s="64">
        <v>3.77</v>
      </c>
      <c r="G44" s="64">
        <v>5.26</v>
      </c>
      <c r="H44" s="64">
        <v>2.73</v>
      </c>
      <c r="I44" s="64">
        <v>3.33</v>
      </c>
      <c r="J44" s="64">
        <v>0.56999999999999995</v>
      </c>
      <c r="K44" s="64">
        <v>119.44</v>
      </c>
      <c r="L44" s="64">
        <v>26.6</v>
      </c>
      <c r="M44" s="64">
        <v>98.64</v>
      </c>
      <c r="N44" s="64">
        <v>249</v>
      </c>
      <c r="O44" s="64">
        <v>0</v>
      </c>
      <c r="P44" s="64">
        <v>0.28000000000000003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4" t="s">
        <v>2779</v>
      </c>
      <c r="B45" s="64">
        <v>3.63</v>
      </c>
      <c r="C45" s="64">
        <v>4.75</v>
      </c>
      <c r="D45" s="64">
        <v>5.39</v>
      </c>
      <c r="E45" s="64">
        <v>4.29</v>
      </c>
      <c r="F45" s="64">
        <v>3.8</v>
      </c>
      <c r="G45" s="64">
        <v>6.23</v>
      </c>
      <c r="H45" s="64">
        <v>2.84</v>
      </c>
      <c r="I45" s="64">
        <v>3.27</v>
      </c>
      <c r="J45" s="64">
        <v>0.21</v>
      </c>
      <c r="K45" s="64">
        <v>107.91</v>
      </c>
      <c r="L45" s="64">
        <v>26.52</v>
      </c>
      <c r="M45" s="64">
        <v>98.31</v>
      </c>
      <c r="N45" s="64">
        <v>189.5</v>
      </c>
      <c r="O45" s="64">
        <v>0</v>
      </c>
      <c r="P45" s="64">
        <v>0.27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4" t="s">
        <v>2780</v>
      </c>
      <c r="B46" s="64">
        <v>3.6</v>
      </c>
      <c r="C46" s="64">
        <v>4.9000000000000004</v>
      </c>
      <c r="D46" s="64">
        <v>5.45</v>
      </c>
      <c r="E46" s="64">
        <v>4.46</v>
      </c>
      <c r="F46" s="64">
        <v>3.7</v>
      </c>
      <c r="G46" s="64">
        <v>8.74</v>
      </c>
      <c r="H46" s="64">
        <v>3.27</v>
      </c>
      <c r="I46" s="64">
        <v>2.64</v>
      </c>
      <c r="J46" s="64">
        <v>0.05</v>
      </c>
      <c r="K46" s="64">
        <v>133.82</v>
      </c>
      <c r="L46" s="64">
        <v>26.89</v>
      </c>
      <c r="M46" s="64">
        <v>97.27</v>
      </c>
      <c r="N46" s="64">
        <v>257.89999999999998</v>
      </c>
      <c r="O46" s="64">
        <v>0</v>
      </c>
      <c r="P46" s="64">
        <v>0.28000000000000003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2781</v>
      </c>
      <c r="B47" s="64">
        <v>3.62</v>
      </c>
      <c r="C47" s="64">
        <v>5.0199999999999996</v>
      </c>
      <c r="D47" s="64">
        <v>5.53</v>
      </c>
      <c r="E47" s="64">
        <v>4.6100000000000003</v>
      </c>
      <c r="F47" s="64">
        <v>3.49</v>
      </c>
      <c r="G47" s="64">
        <v>8.74</v>
      </c>
      <c r="H47" s="64">
        <v>3.27</v>
      </c>
      <c r="I47" s="64">
        <v>2.56</v>
      </c>
      <c r="J47" s="64">
        <v>0.15</v>
      </c>
      <c r="K47" s="64">
        <v>60</v>
      </c>
      <c r="L47" s="64">
        <v>26.71</v>
      </c>
      <c r="M47" s="64">
        <v>98.39</v>
      </c>
      <c r="N47" s="64">
        <v>184.3</v>
      </c>
      <c r="O47" s="64">
        <v>0</v>
      </c>
      <c r="P47" s="64">
        <v>0.28000000000000003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4" t="s">
        <v>2782</v>
      </c>
      <c r="B48" s="64">
        <v>3.53</v>
      </c>
      <c r="C48" s="64">
        <v>5.17</v>
      </c>
      <c r="D48" s="64">
        <v>5.53</v>
      </c>
      <c r="E48" s="64">
        <v>4.63</v>
      </c>
      <c r="F48" s="64">
        <v>4.04</v>
      </c>
      <c r="G48" s="64">
        <v>8.74</v>
      </c>
      <c r="H48" s="64">
        <v>3.27</v>
      </c>
      <c r="I48" s="64">
        <v>3.46</v>
      </c>
      <c r="J48" s="64">
        <v>0.3</v>
      </c>
      <c r="K48" s="64">
        <v>86.65</v>
      </c>
      <c r="L48" s="64">
        <v>26.73</v>
      </c>
      <c r="M48" s="64">
        <v>97.76</v>
      </c>
      <c r="N48" s="64">
        <v>194.3</v>
      </c>
      <c r="O48" s="64">
        <v>0</v>
      </c>
      <c r="P48" s="64">
        <v>0.28999999999999998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4" t="s">
        <v>2783</v>
      </c>
      <c r="B49" s="64">
        <v>3.37</v>
      </c>
      <c r="C49" s="64">
        <v>5.15</v>
      </c>
      <c r="D49" s="64">
        <v>5.39</v>
      </c>
      <c r="E49" s="64">
        <v>4.7300000000000004</v>
      </c>
      <c r="F49" s="64">
        <v>3.95</v>
      </c>
      <c r="G49" s="64">
        <v>10.01</v>
      </c>
      <c r="H49" s="64">
        <v>3.03</v>
      </c>
      <c r="I49" s="64">
        <v>4.05</v>
      </c>
      <c r="J49" s="64">
        <v>0.28999999999999998</v>
      </c>
      <c r="K49" s="64">
        <v>97.51</v>
      </c>
      <c r="L49" s="64">
        <v>27.98</v>
      </c>
      <c r="M49" s="64">
        <v>93.39</v>
      </c>
      <c r="N49" s="64">
        <v>644.6</v>
      </c>
      <c r="O49" s="64">
        <v>0</v>
      </c>
      <c r="P49" s="64">
        <v>0.31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4" t="s">
        <v>2784</v>
      </c>
      <c r="B50" s="64">
        <v>3.26</v>
      </c>
      <c r="C50" s="64">
        <v>5.19</v>
      </c>
      <c r="D50" s="64">
        <v>5.32</v>
      </c>
      <c r="E50" s="64">
        <v>4.6500000000000004</v>
      </c>
      <c r="F50" s="64">
        <v>3.74</v>
      </c>
      <c r="G50" s="64">
        <v>13.3</v>
      </c>
      <c r="H50" s="64">
        <v>2.62</v>
      </c>
      <c r="I50" s="64">
        <v>3.45</v>
      </c>
      <c r="J50" s="64">
        <v>0.23</v>
      </c>
      <c r="K50" s="64">
        <v>1.86</v>
      </c>
      <c r="L50" s="64">
        <v>28.94</v>
      </c>
      <c r="M50" s="64">
        <v>87.02</v>
      </c>
      <c r="N50" s="64">
        <v>308.7</v>
      </c>
      <c r="O50" s="64">
        <v>0</v>
      </c>
      <c r="P50" s="64">
        <v>0.3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4" t="s">
        <v>2785</v>
      </c>
      <c r="B51" s="64">
        <v>3.23</v>
      </c>
      <c r="C51" s="64">
        <v>5.52</v>
      </c>
      <c r="D51" s="64">
        <v>5.48</v>
      </c>
      <c r="E51" s="64">
        <v>4.6100000000000003</v>
      </c>
      <c r="F51" s="64">
        <v>3.25</v>
      </c>
      <c r="G51" s="64">
        <v>13.3</v>
      </c>
      <c r="H51" s="64">
        <v>2.62</v>
      </c>
      <c r="I51" s="64">
        <v>3.27</v>
      </c>
      <c r="J51" s="64">
        <v>0.52</v>
      </c>
      <c r="K51" s="64">
        <v>122.71</v>
      </c>
      <c r="L51" s="64">
        <v>27.51</v>
      </c>
      <c r="M51" s="64">
        <v>93.92</v>
      </c>
      <c r="N51" s="64">
        <v>260.7</v>
      </c>
      <c r="O51" s="64">
        <v>0</v>
      </c>
      <c r="P51" s="64">
        <v>0.28999999999999998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4" t="s">
        <v>2786</v>
      </c>
      <c r="B52" s="64">
        <v>3.02</v>
      </c>
      <c r="C52" s="64">
        <v>5.33</v>
      </c>
      <c r="D52" s="64">
        <v>5.21</v>
      </c>
      <c r="E52" s="64">
        <v>4.2699999999999996</v>
      </c>
      <c r="F52" s="64">
        <v>4.1100000000000003</v>
      </c>
      <c r="G52" s="211" t="s">
        <v>40</v>
      </c>
      <c r="H52" s="211" t="s">
        <v>40</v>
      </c>
      <c r="I52" s="64">
        <v>3.57</v>
      </c>
      <c r="J52" s="64">
        <v>0.27</v>
      </c>
      <c r="K52" s="64">
        <v>125.04</v>
      </c>
      <c r="L52" s="64">
        <v>28.67</v>
      </c>
      <c r="M52" s="64">
        <v>89.28</v>
      </c>
      <c r="N52" s="64">
        <v>727.2</v>
      </c>
      <c r="O52" s="64">
        <v>0</v>
      </c>
      <c r="P52" s="64">
        <v>0.28999999999999998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4" t="s">
        <v>2787</v>
      </c>
      <c r="B53" s="64">
        <v>3.01</v>
      </c>
      <c r="C53" s="64">
        <v>5.65</v>
      </c>
      <c r="D53" s="64">
        <v>5.36</v>
      </c>
      <c r="E53" s="64">
        <v>5.19</v>
      </c>
      <c r="F53" s="64">
        <v>5.15</v>
      </c>
      <c r="G53" s="211" t="s">
        <v>40</v>
      </c>
      <c r="H53" s="211" t="s">
        <v>40</v>
      </c>
      <c r="I53" s="64">
        <v>3.55</v>
      </c>
      <c r="J53" s="64">
        <v>0.19</v>
      </c>
      <c r="K53" s="64">
        <v>58.06</v>
      </c>
      <c r="L53" s="64">
        <v>29.61</v>
      </c>
      <c r="M53" s="64">
        <v>81.67</v>
      </c>
      <c r="N53" s="64">
        <v>963.9</v>
      </c>
      <c r="O53" s="64">
        <v>0</v>
      </c>
      <c r="P53" s="64">
        <v>0.28000000000000003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4" t="s">
        <v>2788</v>
      </c>
      <c r="B54" s="64">
        <v>42.99</v>
      </c>
      <c r="C54" s="64">
        <v>-0.53</v>
      </c>
      <c r="D54" s="64">
        <v>42.46</v>
      </c>
      <c r="E54" s="64">
        <v>5.82</v>
      </c>
      <c r="F54" s="64">
        <v>12.34</v>
      </c>
      <c r="G54" s="211" t="s">
        <v>40</v>
      </c>
      <c r="H54" s="211" t="s">
        <v>40</v>
      </c>
      <c r="I54" s="64">
        <v>3.45</v>
      </c>
      <c r="J54" s="64">
        <v>0.48</v>
      </c>
      <c r="K54" s="64">
        <v>118.31</v>
      </c>
      <c r="L54" s="64">
        <v>30.37</v>
      </c>
      <c r="M54" s="64">
        <v>79.489999999999995</v>
      </c>
      <c r="N54" s="64">
        <v>977</v>
      </c>
      <c r="O54" s="64">
        <v>0</v>
      </c>
      <c r="P54" s="64">
        <v>0.27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4" t="s">
        <v>2789</v>
      </c>
      <c r="B55" s="211" t="s">
        <v>40</v>
      </c>
      <c r="C55" s="211" t="s">
        <v>40</v>
      </c>
      <c r="D55" s="211" t="s">
        <v>40</v>
      </c>
      <c r="E55" s="64">
        <v>6.08</v>
      </c>
      <c r="F55" s="64">
        <v>8.51</v>
      </c>
      <c r="G55" s="64">
        <v>9.8800000000000008</v>
      </c>
      <c r="H55" s="64">
        <v>3.37</v>
      </c>
      <c r="I55" s="64">
        <v>3.05</v>
      </c>
      <c r="J55" s="64">
        <v>0.12</v>
      </c>
      <c r="K55" s="64">
        <v>71.97</v>
      </c>
      <c r="L55" s="64">
        <v>30.03</v>
      </c>
      <c r="M55" s="64">
        <v>78.819999999999993</v>
      </c>
      <c r="N55" s="64">
        <v>582.5</v>
      </c>
      <c r="O55" s="64">
        <v>0</v>
      </c>
      <c r="P55" s="64">
        <v>0.28000000000000003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4" t="s">
        <v>2790</v>
      </c>
      <c r="B56" s="211" t="s">
        <v>40</v>
      </c>
      <c r="C56" s="211" t="s">
        <v>40</v>
      </c>
      <c r="D56" s="211" t="s">
        <v>40</v>
      </c>
      <c r="E56" s="64">
        <v>3.26</v>
      </c>
      <c r="F56" s="64">
        <v>7.03</v>
      </c>
      <c r="G56" s="64">
        <v>9.8800000000000008</v>
      </c>
      <c r="H56" s="64">
        <v>3.37</v>
      </c>
      <c r="I56" s="64">
        <v>2.38</v>
      </c>
      <c r="J56" s="64">
        <v>0.57999999999999996</v>
      </c>
      <c r="K56" s="64">
        <v>129.12</v>
      </c>
      <c r="L56" s="64">
        <v>30.35</v>
      </c>
      <c r="M56" s="64">
        <v>78.930000000000007</v>
      </c>
      <c r="N56" s="64">
        <v>517.6</v>
      </c>
      <c r="O56" s="64">
        <v>0</v>
      </c>
      <c r="P56" s="64">
        <v>0.28000000000000003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4" t="s">
        <v>2791</v>
      </c>
      <c r="B57" s="211" t="s">
        <v>40</v>
      </c>
      <c r="C57" s="211" t="s">
        <v>40</v>
      </c>
      <c r="D57" s="211" t="s">
        <v>40</v>
      </c>
      <c r="E57" s="64">
        <v>5.2</v>
      </c>
      <c r="F57" s="64">
        <v>8.75</v>
      </c>
      <c r="G57" s="64">
        <v>9.81</v>
      </c>
      <c r="H57" s="64">
        <v>4.1399999999999997</v>
      </c>
      <c r="I57" s="64">
        <v>2.2000000000000002</v>
      </c>
      <c r="J57" s="64">
        <v>1.4</v>
      </c>
      <c r="K57" s="64">
        <v>131.66</v>
      </c>
      <c r="L57" s="64">
        <v>30.06</v>
      </c>
      <c r="M57" s="64">
        <v>78.44</v>
      </c>
      <c r="N57" s="64">
        <v>530</v>
      </c>
      <c r="O57" s="64">
        <v>0</v>
      </c>
      <c r="P57" s="64">
        <v>0.27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4" t="s">
        <v>2792</v>
      </c>
      <c r="B58" s="211" t="s">
        <v>40</v>
      </c>
      <c r="C58" s="211" t="s">
        <v>40</v>
      </c>
      <c r="D58" s="211" t="s">
        <v>40</v>
      </c>
      <c r="E58" s="64">
        <v>5.38</v>
      </c>
      <c r="F58" s="64">
        <v>7.55</v>
      </c>
      <c r="G58" s="64">
        <v>9.64</v>
      </c>
      <c r="H58" s="64">
        <v>5.44</v>
      </c>
      <c r="I58" s="64">
        <v>2.46</v>
      </c>
      <c r="J58" s="64">
        <v>0.53</v>
      </c>
      <c r="K58" s="64">
        <v>128.52000000000001</v>
      </c>
      <c r="L58" s="64">
        <v>29.69</v>
      </c>
      <c r="M58" s="64">
        <v>80.89</v>
      </c>
      <c r="N58" s="64">
        <v>344.1</v>
      </c>
      <c r="O58" s="64">
        <v>0</v>
      </c>
      <c r="P58" s="64">
        <v>0.26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4" t="s">
        <v>2793</v>
      </c>
      <c r="B59" s="211" t="s">
        <v>40</v>
      </c>
      <c r="C59" s="211" t="s">
        <v>40</v>
      </c>
      <c r="D59" s="211" t="s">
        <v>40</v>
      </c>
      <c r="E59" s="64">
        <v>4.92</v>
      </c>
      <c r="F59" s="64">
        <v>10.06</v>
      </c>
      <c r="G59" s="64">
        <v>9.64</v>
      </c>
      <c r="H59" s="64">
        <v>5.44</v>
      </c>
      <c r="I59" s="64">
        <v>3.23</v>
      </c>
      <c r="J59" s="64">
        <v>0.16</v>
      </c>
      <c r="K59" s="64">
        <v>111.59</v>
      </c>
      <c r="L59" s="64">
        <v>30.12</v>
      </c>
      <c r="M59" s="64">
        <v>78.66</v>
      </c>
      <c r="N59" s="64">
        <v>346.8</v>
      </c>
      <c r="O59" s="64">
        <v>0</v>
      </c>
      <c r="P59" s="64">
        <v>0.25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4" t="s">
        <v>2794</v>
      </c>
      <c r="B60" s="64">
        <v>0.28000000000000003</v>
      </c>
      <c r="C60" s="64">
        <v>7.99</v>
      </c>
      <c r="D60" s="64">
        <v>4.4000000000000004</v>
      </c>
      <c r="E60" s="211" t="s">
        <v>40</v>
      </c>
      <c r="F60" s="64">
        <v>10.31</v>
      </c>
      <c r="G60" s="64">
        <v>9.64</v>
      </c>
      <c r="H60" s="64">
        <v>5.44</v>
      </c>
      <c r="I60" s="64">
        <v>4.1399999999999997</v>
      </c>
      <c r="J60" s="64">
        <v>0.46</v>
      </c>
      <c r="K60" s="64">
        <v>132.94</v>
      </c>
      <c r="L60" s="64">
        <v>30.04</v>
      </c>
      <c r="M60" s="64">
        <v>78.88</v>
      </c>
      <c r="N60" s="64">
        <v>482.7</v>
      </c>
      <c r="O60" s="64">
        <v>0</v>
      </c>
      <c r="P60" s="64">
        <v>0.24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4" t="s">
        <v>2795</v>
      </c>
      <c r="B61" s="64">
        <v>1.39</v>
      </c>
      <c r="C61" s="64">
        <v>9.06</v>
      </c>
      <c r="D61" s="64">
        <v>5.85</v>
      </c>
      <c r="E61" s="211" t="s">
        <v>40</v>
      </c>
      <c r="F61" s="64">
        <v>8.4600000000000009</v>
      </c>
      <c r="G61" s="64">
        <v>11.96</v>
      </c>
      <c r="H61" s="64">
        <v>5.48</v>
      </c>
      <c r="I61" s="64">
        <v>3.76</v>
      </c>
      <c r="J61" s="64">
        <v>0.46</v>
      </c>
      <c r="K61" s="64">
        <v>134.13</v>
      </c>
      <c r="L61" s="64">
        <v>30.11</v>
      </c>
      <c r="M61" s="64">
        <v>77.81</v>
      </c>
      <c r="N61" s="64">
        <v>433.8</v>
      </c>
      <c r="O61" s="64">
        <v>0</v>
      </c>
      <c r="P61" s="64">
        <v>0.24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4" t="s">
        <v>2796</v>
      </c>
      <c r="B62" s="64">
        <v>1.81</v>
      </c>
      <c r="C62" s="64">
        <v>9.31</v>
      </c>
      <c r="D62" s="64">
        <v>6.32</v>
      </c>
      <c r="E62" s="211" t="s">
        <v>40</v>
      </c>
      <c r="F62" s="64">
        <v>6.92</v>
      </c>
      <c r="G62" s="64">
        <v>18</v>
      </c>
      <c r="H62" s="64">
        <v>5.68</v>
      </c>
      <c r="I62" s="64">
        <v>3.09</v>
      </c>
      <c r="J62" s="64">
        <v>0.55000000000000004</v>
      </c>
      <c r="K62" s="64">
        <v>109.33</v>
      </c>
      <c r="L62" s="64">
        <v>29.79</v>
      </c>
      <c r="M62" s="64">
        <v>79.22</v>
      </c>
      <c r="N62" s="64">
        <v>399.7</v>
      </c>
      <c r="O62" s="64">
        <v>0</v>
      </c>
      <c r="P62" s="64">
        <v>0.25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4" t="s">
        <v>2797</v>
      </c>
      <c r="B63" s="64">
        <v>2.0299999999999998</v>
      </c>
      <c r="C63" s="64">
        <v>10.029999999999999</v>
      </c>
      <c r="D63" s="64">
        <v>6.86</v>
      </c>
      <c r="E63" s="211" t="s">
        <v>40</v>
      </c>
      <c r="F63" s="64">
        <v>5.82</v>
      </c>
      <c r="G63" s="64">
        <v>18</v>
      </c>
      <c r="H63" s="64">
        <v>5.68</v>
      </c>
      <c r="I63" s="64">
        <v>2.73</v>
      </c>
      <c r="J63" s="64">
        <v>0.21</v>
      </c>
      <c r="K63" s="64">
        <v>108.83</v>
      </c>
      <c r="L63" s="64">
        <v>30.18</v>
      </c>
      <c r="M63" s="64">
        <v>78.680000000000007</v>
      </c>
      <c r="N63" s="64">
        <v>352.5</v>
      </c>
      <c r="O63" s="64">
        <v>0</v>
      </c>
      <c r="P63" s="64">
        <v>0.26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4" t="s">
        <v>2798</v>
      </c>
      <c r="B64" s="64">
        <v>2.31</v>
      </c>
      <c r="C64" s="64">
        <v>9.91</v>
      </c>
      <c r="D64" s="64">
        <v>7.03</v>
      </c>
      <c r="E64" s="211" t="s">
        <v>40</v>
      </c>
      <c r="F64" s="64">
        <v>5.83</v>
      </c>
      <c r="G64" s="64">
        <v>18</v>
      </c>
      <c r="H64" s="64">
        <v>5.68</v>
      </c>
      <c r="I64" s="64">
        <v>2.77</v>
      </c>
      <c r="J64" s="64">
        <v>0.2</v>
      </c>
      <c r="K64" s="64">
        <v>107.74</v>
      </c>
      <c r="L64" s="64">
        <v>29.97</v>
      </c>
      <c r="M64" s="64">
        <v>78.5</v>
      </c>
      <c r="N64" s="64">
        <v>255.2</v>
      </c>
      <c r="O64" s="64">
        <v>0</v>
      </c>
      <c r="P64" s="64">
        <v>0.27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4" t="s">
        <v>2799</v>
      </c>
      <c r="B65" s="64">
        <v>1.86</v>
      </c>
      <c r="C65" s="64">
        <v>9.4600000000000009</v>
      </c>
      <c r="D65" s="64">
        <v>6.43</v>
      </c>
      <c r="E65" s="64">
        <v>4.3600000000000003</v>
      </c>
      <c r="F65" s="64">
        <v>5.85</v>
      </c>
      <c r="G65" s="64">
        <v>17.39</v>
      </c>
      <c r="H65" s="64">
        <v>5.04</v>
      </c>
      <c r="I65" s="64">
        <v>2.63</v>
      </c>
      <c r="J65" s="64">
        <v>0.17</v>
      </c>
      <c r="K65" s="64">
        <v>96</v>
      </c>
      <c r="L65" s="64">
        <v>29.17</v>
      </c>
      <c r="M65" s="64">
        <v>81.41</v>
      </c>
      <c r="N65" s="64">
        <v>181.8</v>
      </c>
      <c r="O65" s="64">
        <v>0</v>
      </c>
      <c r="P65" s="64">
        <v>0.28000000000000003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4" t="s">
        <v>2800</v>
      </c>
      <c r="B66" s="64">
        <v>1.89</v>
      </c>
      <c r="C66" s="64">
        <v>8.65</v>
      </c>
      <c r="D66" s="64">
        <v>6.03</v>
      </c>
      <c r="E66" s="64">
        <v>4.6100000000000003</v>
      </c>
      <c r="F66" s="64">
        <v>5.41</v>
      </c>
      <c r="G66" s="64">
        <v>15.79</v>
      </c>
      <c r="H66" s="64">
        <v>3.97</v>
      </c>
      <c r="I66" s="64">
        <v>2.2000000000000002</v>
      </c>
      <c r="J66" s="64">
        <v>0.95</v>
      </c>
      <c r="K66" s="64">
        <v>124.68</v>
      </c>
      <c r="L66" s="64">
        <v>28.9</v>
      </c>
      <c r="M66" s="64">
        <v>83.92</v>
      </c>
      <c r="N66" s="64">
        <v>155.1</v>
      </c>
      <c r="O66" s="64">
        <v>0</v>
      </c>
      <c r="P66" s="64">
        <v>0.26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4" t="s">
        <v>2801</v>
      </c>
      <c r="B67" s="64">
        <v>2.61</v>
      </c>
      <c r="C67" s="64">
        <v>8.26</v>
      </c>
      <c r="D67" s="64">
        <v>6.41</v>
      </c>
      <c r="E67" s="64">
        <v>4.5999999999999996</v>
      </c>
      <c r="F67" s="64">
        <v>3.92</v>
      </c>
      <c r="G67" s="64">
        <v>15.79</v>
      </c>
      <c r="H67" s="64">
        <v>3.97</v>
      </c>
      <c r="I67" s="64">
        <v>1.69</v>
      </c>
      <c r="J67" s="64">
        <v>1.67</v>
      </c>
      <c r="K67" s="64">
        <v>142.47</v>
      </c>
      <c r="L67" s="64">
        <v>27.09</v>
      </c>
      <c r="M67" s="64">
        <v>98.13</v>
      </c>
      <c r="N67" s="64">
        <v>154.9</v>
      </c>
      <c r="O67" s="64">
        <v>0.8</v>
      </c>
      <c r="P67" s="64">
        <v>0.27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2802</v>
      </c>
      <c r="B68" s="64">
        <v>3.1</v>
      </c>
      <c r="C68" s="64">
        <v>7.73</v>
      </c>
      <c r="D68" s="64">
        <v>6.53</v>
      </c>
      <c r="E68" s="64">
        <v>4.62</v>
      </c>
      <c r="F68" s="64">
        <v>2.71</v>
      </c>
      <c r="G68" s="64">
        <v>15.79</v>
      </c>
      <c r="H68" s="64">
        <v>3.97</v>
      </c>
      <c r="I68" s="64">
        <v>2.2599999999999998</v>
      </c>
      <c r="J68" s="64">
        <v>1.1499999999999999</v>
      </c>
      <c r="K68" s="64">
        <v>138.09</v>
      </c>
      <c r="L68" s="64">
        <v>26.99</v>
      </c>
      <c r="M68" s="64">
        <v>99.84</v>
      </c>
      <c r="N68" s="64">
        <v>186.2</v>
      </c>
      <c r="O68" s="64">
        <v>0</v>
      </c>
      <c r="P68" s="64">
        <v>0.28000000000000003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4" t="s">
        <v>2803</v>
      </c>
      <c r="B69" s="64">
        <v>3.51</v>
      </c>
      <c r="C69" s="64">
        <v>8.15</v>
      </c>
      <c r="D69" s="64">
        <v>7.08</v>
      </c>
      <c r="E69" s="64">
        <v>4.4400000000000004</v>
      </c>
      <c r="F69" s="64">
        <v>5.26</v>
      </c>
      <c r="G69" s="64">
        <v>15.57</v>
      </c>
      <c r="H69" s="64">
        <v>3.89</v>
      </c>
      <c r="I69" s="64">
        <v>2.66</v>
      </c>
      <c r="J69" s="64">
        <v>0.63</v>
      </c>
      <c r="K69" s="64">
        <v>138.43</v>
      </c>
      <c r="L69" s="64">
        <v>27.49</v>
      </c>
      <c r="M69" s="64">
        <v>99.13</v>
      </c>
      <c r="N69" s="64">
        <v>191.1</v>
      </c>
      <c r="O69" s="64">
        <v>0</v>
      </c>
      <c r="P69" s="64">
        <v>0.28999999999999998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4" t="s">
        <v>2804</v>
      </c>
      <c r="B70" s="64">
        <v>3.79</v>
      </c>
      <c r="C70" s="64">
        <v>9.0500000000000007</v>
      </c>
      <c r="D70" s="64">
        <v>7.77</v>
      </c>
      <c r="E70" s="64">
        <v>4.6500000000000004</v>
      </c>
      <c r="F70" s="64">
        <v>4.8099999999999996</v>
      </c>
      <c r="G70" s="64">
        <v>15.02</v>
      </c>
      <c r="H70" s="64">
        <v>3.74</v>
      </c>
      <c r="I70" s="64">
        <v>1.65</v>
      </c>
      <c r="J70" s="64">
        <v>0.33</v>
      </c>
      <c r="K70" s="64">
        <v>98.89</v>
      </c>
      <c r="L70" s="64">
        <v>27.99</v>
      </c>
      <c r="M70" s="64">
        <v>94.73</v>
      </c>
      <c r="N70" s="64">
        <v>194.3</v>
      </c>
      <c r="O70" s="64">
        <v>0</v>
      </c>
      <c r="P70" s="64">
        <v>0.28000000000000003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4" t="s">
        <v>2805</v>
      </c>
      <c r="B71" s="64">
        <v>3.31</v>
      </c>
      <c r="C71" s="64">
        <v>9.51</v>
      </c>
      <c r="D71" s="64">
        <v>7.62</v>
      </c>
      <c r="E71" s="64">
        <v>4.71</v>
      </c>
      <c r="F71" s="64">
        <v>4.5999999999999996</v>
      </c>
      <c r="G71" s="64">
        <v>15.02</v>
      </c>
      <c r="H71" s="64">
        <v>3.74</v>
      </c>
      <c r="I71" s="64">
        <v>1.77</v>
      </c>
      <c r="J71" s="64">
        <v>0.12</v>
      </c>
      <c r="K71" s="64">
        <v>125.43</v>
      </c>
      <c r="L71" s="64">
        <v>28.24</v>
      </c>
      <c r="M71" s="64">
        <v>92.42</v>
      </c>
      <c r="N71" s="64">
        <v>155.19999999999999</v>
      </c>
      <c r="O71" s="64">
        <v>0</v>
      </c>
      <c r="P71" s="64">
        <v>0.28000000000000003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2806</v>
      </c>
      <c r="B72" s="64">
        <v>2.9</v>
      </c>
      <c r="C72" s="64">
        <v>10.54</v>
      </c>
      <c r="D72" s="64">
        <v>7.83</v>
      </c>
      <c r="E72" s="64">
        <v>4.04</v>
      </c>
      <c r="F72" s="64">
        <v>5.56</v>
      </c>
      <c r="G72" s="64">
        <v>15.02</v>
      </c>
      <c r="H72" s="64">
        <v>3.74</v>
      </c>
      <c r="I72" s="64">
        <v>1.75</v>
      </c>
      <c r="J72" s="64">
        <v>0.12</v>
      </c>
      <c r="K72" s="64">
        <v>21.29</v>
      </c>
      <c r="L72" s="64">
        <v>28.15</v>
      </c>
      <c r="M72" s="64">
        <v>89.48</v>
      </c>
      <c r="N72" s="64">
        <v>125.2</v>
      </c>
      <c r="O72" s="64">
        <v>0</v>
      </c>
      <c r="P72" s="64">
        <v>0.32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4" t="s">
        <v>2807</v>
      </c>
      <c r="B73" s="64">
        <v>2.85</v>
      </c>
      <c r="C73" s="64">
        <v>11.37</v>
      </c>
      <c r="D73" s="64">
        <v>8.23</v>
      </c>
      <c r="E73" s="64">
        <v>3.56</v>
      </c>
      <c r="F73" s="64">
        <v>5.52</v>
      </c>
      <c r="G73" s="64">
        <v>14.66</v>
      </c>
      <c r="H73" s="64">
        <v>3.67</v>
      </c>
      <c r="I73" s="64">
        <v>1.4</v>
      </c>
      <c r="J73" s="64">
        <v>0.2</v>
      </c>
      <c r="K73" s="64">
        <v>35.61</v>
      </c>
      <c r="L73" s="64">
        <v>28.04</v>
      </c>
      <c r="M73" s="64">
        <v>91.08</v>
      </c>
      <c r="N73" s="64">
        <v>96.3</v>
      </c>
      <c r="O73" s="64">
        <v>0</v>
      </c>
      <c r="P73" s="64">
        <v>0.32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4" t="s">
        <v>2808</v>
      </c>
      <c r="B74" s="64">
        <v>2.92</v>
      </c>
      <c r="C74" s="64">
        <v>11.85</v>
      </c>
      <c r="D74" s="64">
        <v>8.5299999999999994</v>
      </c>
      <c r="E74" s="64">
        <v>4.1900000000000004</v>
      </c>
      <c r="F74" s="64">
        <v>5.14</v>
      </c>
      <c r="G74" s="64">
        <v>13.72</v>
      </c>
      <c r="H74" s="64">
        <v>3.56</v>
      </c>
      <c r="I74" s="64">
        <v>0.97</v>
      </c>
      <c r="J74" s="64">
        <v>0.1</v>
      </c>
      <c r="K74" s="64">
        <v>139.75</v>
      </c>
      <c r="L74" s="64">
        <v>27.74</v>
      </c>
      <c r="M74" s="64">
        <v>91.19</v>
      </c>
      <c r="N74" s="64">
        <v>74.099999999999994</v>
      </c>
      <c r="O74" s="64">
        <v>0</v>
      </c>
      <c r="P74" s="64">
        <v>0.3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2809</v>
      </c>
      <c r="B75" s="64">
        <v>2.93</v>
      </c>
      <c r="C75" s="64">
        <v>11.05</v>
      </c>
      <c r="D75" s="64">
        <v>8.1199999999999992</v>
      </c>
      <c r="E75" s="64">
        <v>3.78</v>
      </c>
      <c r="F75" s="64">
        <v>4.8</v>
      </c>
      <c r="G75" s="64">
        <v>13.72</v>
      </c>
      <c r="H75" s="64">
        <v>3.56</v>
      </c>
      <c r="I75" s="64">
        <v>0.64</v>
      </c>
      <c r="J75" s="64">
        <v>0.06</v>
      </c>
      <c r="K75" s="64">
        <v>87.68</v>
      </c>
      <c r="L75" s="64">
        <v>27.54</v>
      </c>
      <c r="M75" s="64">
        <v>93.4</v>
      </c>
      <c r="N75" s="64">
        <v>60.9</v>
      </c>
      <c r="O75" s="64">
        <v>0</v>
      </c>
      <c r="P75" s="64">
        <v>0.31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2810</v>
      </c>
      <c r="B76" s="64">
        <v>3.22</v>
      </c>
      <c r="C76" s="64">
        <v>10.42</v>
      </c>
      <c r="D76" s="64">
        <v>8.0299999999999994</v>
      </c>
      <c r="E76" s="64">
        <v>3.37</v>
      </c>
      <c r="F76" s="64">
        <v>5.28</v>
      </c>
      <c r="G76" s="64">
        <v>13.72</v>
      </c>
      <c r="H76" s="64">
        <v>3.56</v>
      </c>
      <c r="I76" s="64">
        <v>0.69</v>
      </c>
      <c r="J76" s="64">
        <v>0.44</v>
      </c>
      <c r="K76" s="64">
        <v>134.86000000000001</v>
      </c>
      <c r="L76" s="64">
        <v>27.33</v>
      </c>
      <c r="M76" s="64">
        <v>92.45</v>
      </c>
      <c r="N76" s="64">
        <v>54.6</v>
      </c>
      <c r="O76" s="64">
        <v>0</v>
      </c>
      <c r="P76" s="64">
        <v>0.31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4" t="s">
        <v>2811</v>
      </c>
      <c r="B77" s="64">
        <v>3.57</v>
      </c>
      <c r="C77" s="64">
        <v>14.16</v>
      </c>
      <c r="D77" s="64">
        <v>10.27</v>
      </c>
      <c r="E77" s="64">
        <v>3.94</v>
      </c>
      <c r="F77" s="64">
        <v>6.26</v>
      </c>
      <c r="G77" s="64">
        <v>14.78</v>
      </c>
      <c r="H77" s="64">
        <v>3.84</v>
      </c>
      <c r="I77" s="64">
        <v>0.68</v>
      </c>
      <c r="J77" s="64">
        <v>0.18</v>
      </c>
      <c r="K77" s="64">
        <v>128.16999999999999</v>
      </c>
      <c r="L77" s="64">
        <v>27.18</v>
      </c>
      <c r="M77" s="64">
        <v>92.37</v>
      </c>
      <c r="N77" s="64">
        <v>50.9</v>
      </c>
      <c r="O77" s="64">
        <v>0</v>
      </c>
      <c r="P77" s="64">
        <v>0.34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4" t="s">
        <v>2812</v>
      </c>
      <c r="B78" s="64">
        <v>4.6500000000000004</v>
      </c>
      <c r="C78" s="64">
        <v>18.59</v>
      </c>
      <c r="D78" s="64">
        <v>13.44</v>
      </c>
      <c r="E78" s="64">
        <v>3.99</v>
      </c>
      <c r="F78" s="64">
        <v>4.6100000000000003</v>
      </c>
      <c r="G78" s="64">
        <v>17.54</v>
      </c>
      <c r="H78" s="64">
        <v>4.92</v>
      </c>
      <c r="I78" s="64">
        <v>0.65</v>
      </c>
      <c r="J78" s="64">
        <v>0.15</v>
      </c>
      <c r="K78" s="64">
        <v>84.52</v>
      </c>
      <c r="L78" s="64">
        <v>27.04</v>
      </c>
      <c r="M78" s="64">
        <v>93.14</v>
      </c>
      <c r="N78" s="64">
        <v>44.4</v>
      </c>
      <c r="O78" s="64">
        <v>0</v>
      </c>
      <c r="P78" s="64">
        <v>0.36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2813</v>
      </c>
      <c r="B79" s="64">
        <v>5.04</v>
      </c>
      <c r="C79" s="64">
        <v>17.93</v>
      </c>
      <c r="D79" s="64">
        <v>13.41</v>
      </c>
      <c r="E79" s="64">
        <v>4.07</v>
      </c>
      <c r="F79" s="64">
        <v>4.4400000000000004</v>
      </c>
      <c r="G79" s="64">
        <v>17.54</v>
      </c>
      <c r="H79" s="64">
        <v>4.92</v>
      </c>
      <c r="I79" s="64">
        <v>0.74</v>
      </c>
      <c r="J79" s="64">
        <v>0.23</v>
      </c>
      <c r="K79" s="64">
        <v>128.16</v>
      </c>
      <c r="L79" s="64">
        <v>26.82</v>
      </c>
      <c r="M79" s="64">
        <v>95.6</v>
      </c>
      <c r="N79" s="64">
        <v>35.700000000000003</v>
      </c>
      <c r="O79" s="64">
        <v>0</v>
      </c>
      <c r="P79" s="64">
        <v>0.37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4" t="s">
        <v>2814</v>
      </c>
      <c r="B80" s="64">
        <v>5.34</v>
      </c>
      <c r="C80" s="64">
        <v>15.77</v>
      </c>
      <c r="D80" s="64">
        <v>12.52</v>
      </c>
      <c r="E80" s="64">
        <v>3.65</v>
      </c>
      <c r="F80" s="64">
        <v>5.21</v>
      </c>
      <c r="G80" s="64">
        <v>17.54</v>
      </c>
      <c r="H80" s="64">
        <v>4.92</v>
      </c>
      <c r="I80" s="64">
        <v>0.79</v>
      </c>
      <c r="J80" s="64">
        <v>0.53</v>
      </c>
      <c r="K80" s="64">
        <v>101.27</v>
      </c>
      <c r="L80" s="64">
        <v>26.56</v>
      </c>
      <c r="M80" s="64">
        <v>99.05</v>
      </c>
      <c r="N80" s="64">
        <v>28.1</v>
      </c>
      <c r="O80" s="64">
        <v>0</v>
      </c>
      <c r="P80" s="64">
        <v>0.36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4" t="s">
        <v>2815</v>
      </c>
      <c r="B81" s="64">
        <v>5.7</v>
      </c>
      <c r="C81" s="64">
        <v>13.43</v>
      </c>
      <c r="D81" s="64">
        <v>11.59</v>
      </c>
      <c r="E81" s="64">
        <v>3.76</v>
      </c>
      <c r="F81" s="64">
        <v>2.59</v>
      </c>
      <c r="G81" s="64">
        <v>22.01</v>
      </c>
      <c r="H81" s="64">
        <v>5.62</v>
      </c>
      <c r="I81" s="64">
        <v>0.94</v>
      </c>
      <c r="J81" s="64">
        <v>1.08</v>
      </c>
      <c r="K81" s="64">
        <v>124.96</v>
      </c>
      <c r="L81" s="64">
        <v>26.53</v>
      </c>
      <c r="M81" s="64">
        <v>96.57</v>
      </c>
      <c r="N81" s="64">
        <v>26.2</v>
      </c>
      <c r="O81" s="64">
        <v>0</v>
      </c>
      <c r="P81" s="64">
        <v>0.37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2816</v>
      </c>
      <c r="B82" s="64">
        <v>5.74</v>
      </c>
      <c r="C82" s="64">
        <v>11.18</v>
      </c>
      <c r="D82" s="64">
        <v>10.45</v>
      </c>
      <c r="E82" s="64">
        <v>3.81</v>
      </c>
      <c r="F82" s="64">
        <v>4.03</v>
      </c>
      <c r="G82" s="64">
        <v>33.619999999999997</v>
      </c>
      <c r="H82" s="64">
        <v>6.79</v>
      </c>
      <c r="I82" s="64">
        <v>1.51</v>
      </c>
      <c r="J82" s="64">
        <v>1.1399999999999999</v>
      </c>
      <c r="K82" s="64">
        <v>141.63</v>
      </c>
      <c r="L82" s="64">
        <v>26.58</v>
      </c>
      <c r="M82" s="64">
        <v>94.21</v>
      </c>
      <c r="N82" s="64">
        <v>26.1</v>
      </c>
      <c r="O82" s="64">
        <v>0</v>
      </c>
      <c r="P82" s="64">
        <v>0.34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4" t="s">
        <v>2817</v>
      </c>
      <c r="B83" s="64">
        <v>5.75</v>
      </c>
      <c r="C83" s="64">
        <v>9.82</v>
      </c>
      <c r="D83" s="64">
        <v>9.74</v>
      </c>
      <c r="E83" s="64">
        <v>3.76</v>
      </c>
      <c r="F83" s="64">
        <v>2.63</v>
      </c>
      <c r="G83" s="64">
        <v>33.619999999999997</v>
      </c>
      <c r="H83" s="64">
        <v>6.79</v>
      </c>
      <c r="I83" s="64">
        <v>2.14</v>
      </c>
      <c r="J83" s="64">
        <v>0.81</v>
      </c>
      <c r="K83" s="64">
        <v>125.76</v>
      </c>
      <c r="L83" s="64">
        <v>26.49</v>
      </c>
      <c r="M83" s="64">
        <v>95.07</v>
      </c>
      <c r="N83" s="64">
        <v>26.3</v>
      </c>
      <c r="O83" s="64">
        <v>0</v>
      </c>
      <c r="P83" s="64">
        <v>0.37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4" t="s">
        <v>2818</v>
      </c>
      <c r="B84" s="64">
        <v>5.94</v>
      </c>
      <c r="C84" s="64">
        <v>8.6199999999999992</v>
      </c>
      <c r="D84" s="64">
        <v>9.27</v>
      </c>
      <c r="E84" s="64">
        <v>3.08</v>
      </c>
      <c r="F84" s="64">
        <v>3.28</v>
      </c>
      <c r="G84" s="64">
        <v>33.619999999999997</v>
      </c>
      <c r="H84" s="64">
        <v>6.79</v>
      </c>
      <c r="I84" s="64">
        <v>2.33</v>
      </c>
      <c r="J84" s="64">
        <v>0.11</v>
      </c>
      <c r="K84" s="64">
        <v>3.84</v>
      </c>
      <c r="L84" s="64">
        <v>26.31</v>
      </c>
      <c r="M84" s="64">
        <v>97.24</v>
      </c>
      <c r="N84" s="64">
        <v>26.5</v>
      </c>
      <c r="O84" s="64">
        <v>0</v>
      </c>
      <c r="P84" s="64">
        <v>0.57999999999999996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4" t="s">
        <v>2819</v>
      </c>
      <c r="B85" s="64">
        <v>6.36</v>
      </c>
      <c r="C85" s="64">
        <v>8.26</v>
      </c>
      <c r="D85" s="64">
        <v>9.41</v>
      </c>
      <c r="E85" s="64">
        <v>3.55</v>
      </c>
      <c r="F85" s="64">
        <v>5.91</v>
      </c>
      <c r="G85" s="64">
        <v>32.78</v>
      </c>
      <c r="H85" s="64">
        <v>8.3699999999999992</v>
      </c>
      <c r="I85" s="64">
        <v>1.9</v>
      </c>
      <c r="J85" s="64">
        <v>0.19</v>
      </c>
      <c r="K85" s="64">
        <v>181.84</v>
      </c>
      <c r="L85" s="64">
        <v>26.17</v>
      </c>
      <c r="M85" s="64">
        <v>98.71</v>
      </c>
      <c r="N85" s="64">
        <v>26.5</v>
      </c>
      <c r="O85" s="64">
        <v>0</v>
      </c>
      <c r="P85" s="64">
        <v>0.42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4" t="s">
        <v>2820</v>
      </c>
      <c r="B86" s="64">
        <v>6.97</v>
      </c>
      <c r="C86" s="64">
        <v>8.6199999999999992</v>
      </c>
      <c r="D86" s="64">
        <v>10.09</v>
      </c>
      <c r="E86" s="64">
        <v>3.26</v>
      </c>
      <c r="F86" s="64">
        <v>2.77</v>
      </c>
      <c r="G86" s="64">
        <v>30.61</v>
      </c>
      <c r="H86" s="64">
        <v>11.03</v>
      </c>
      <c r="I86" s="64">
        <v>1.68</v>
      </c>
      <c r="J86" s="64">
        <v>0.41</v>
      </c>
      <c r="K86" s="64">
        <v>146.82</v>
      </c>
      <c r="L86" s="64">
        <v>26.13</v>
      </c>
      <c r="M86" s="64">
        <v>98.89</v>
      </c>
      <c r="N86" s="64">
        <v>26.2</v>
      </c>
      <c r="O86" s="64">
        <v>0</v>
      </c>
      <c r="P86" s="64">
        <v>0.44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4" t="s">
        <v>2821</v>
      </c>
      <c r="B87" s="64">
        <v>7.42</v>
      </c>
      <c r="C87" s="64">
        <v>8.1199999999999992</v>
      </c>
      <c r="D87" s="64">
        <v>10.19</v>
      </c>
      <c r="E87" s="64">
        <v>3.82</v>
      </c>
      <c r="F87" s="64">
        <v>4.01</v>
      </c>
      <c r="G87" s="64">
        <v>30.61</v>
      </c>
      <c r="H87" s="64">
        <v>11.03</v>
      </c>
      <c r="I87" s="64">
        <v>1.92</v>
      </c>
      <c r="J87" s="64">
        <v>0.5</v>
      </c>
      <c r="K87" s="64">
        <v>152.59</v>
      </c>
      <c r="L87" s="64">
        <v>26.1</v>
      </c>
      <c r="M87" s="64">
        <v>100.13</v>
      </c>
      <c r="N87" s="64">
        <v>26.2</v>
      </c>
      <c r="O87" s="64">
        <v>0</v>
      </c>
      <c r="P87" s="64">
        <v>0.4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4" t="s">
        <v>2822</v>
      </c>
      <c r="B88" s="64">
        <v>7.63</v>
      </c>
      <c r="C88" s="64">
        <v>8.1</v>
      </c>
      <c r="D88" s="64">
        <v>10.35</v>
      </c>
      <c r="E88" s="64">
        <v>5.69</v>
      </c>
      <c r="F88" s="64">
        <v>2.58</v>
      </c>
      <c r="G88" s="64">
        <v>30.61</v>
      </c>
      <c r="H88" s="64">
        <v>11.03</v>
      </c>
      <c r="I88" s="64">
        <v>2.04</v>
      </c>
      <c r="J88" s="64">
        <v>0.53</v>
      </c>
      <c r="K88" s="64">
        <v>168.88</v>
      </c>
      <c r="L88" s="64">
        <v>26.09</v>
      </c>
      <c r="M88" s="64">
        <v>100.58</v>
      </c>
      <c r="N88" s="64">
        <v>26.2</v>
      </c>
      <c r="O88" s="64">
        <v>0</v>
      </c>
      <c r="P88" s="64">
        <v>0.5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4" t="s">
        <v>2823</v>
      </c>
      <c r="B89" s="64">
        <v>7.66</v>
      </c>
      <c r="C89" s="64">
        <v>7.58</v>
      </c>
      <c r="D89" s="64">
        <v>10.11</v>
      </c>
      <c r="E89" s="64">
        <v>4.88</v>
      </c>
      <c r="F89" s="64">
        <v>3.22</v>
      </c>
      <c r="G89" s="64">
        <v>29.62</v>
      </c>
      <c r="H89" s="64">
        <v>10.27</v>
      </c>
      <c r="I89" s="64">
        <v>2.36</v>
      </c>
      <c r="J89" s="64">
        <v>0.55000000000000004</v>
      </c>
      <c r="K89" s="64">
        <v>169.06</v>
      </c>
      <c r="L89" s="64">
        <v>26.05</v>
      </c>
      <c r="M89" s="64">
        <v>101.97</v>
      </c>
      <c r="N89" s="64">
        <v>26.2</v>
      </c>
      <c r="O89" s="64">
        <v>0</v>
      </c>
      <c r="P89" s="64">
        <v>0.49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4" t="s">
        <v>2824</v>
      </c>
      <c r="B90" s="64">
        <v>7.97</v>
      </c>
      <c r="C90" s="64">
        <v>7.12</v>
      </c>
      <c r="D90" s="64">
        <v>10.11</v>
      </c>
      <c r="E90" s="64">
        <v>4.49</v>
      </c>
      <c r="F90" s="64">
        <v>3.81</v>
      </c>
      <c r="G90" s="64">
        <v>27.05</v>
      </c>
      <c r="H90" s="64">
        <v>8.99</v>
      </c>
      <c r="I90" s="64">
        <v>2.25</v>
      </c>
      <c r="J90" s="64">
        <v>0.65</v>
      </c>
      <c r="K90" s="64">
        <v>154.71</v>
      </c>
      <c r="L90" s="64">
        <v>25.87</v>
      </c>
      <c r="M90" s="64">
        <v>102.05</v>
      </c>
      <c r="N90" s="64">
        <v>26.4</v>
      </c>
      <c r="O90" s="64">
        <v>0.2</v>
      </c>
      <c r="P90" s="64">
        <v>0.44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4" t="s">
        <v>2825</v>
      </c>
      <c r="B91" s="64">
        <v>8.4</v>
      </c>
      <c r="C91" s="64">
        <v>6.88</v>
      </c>
      <c r="D91" s="64">
        <v>10.33</v>
      </c>
      <c r="E91" s="64">
        <v>4.2699999999999996</v>
      </c>
      <c r="F91" s="64">
        <v>3.65</v>
      </c>
      <c r="G91" s="64">
        <v>27.05</v>
      </c>
      <c r="H91" s="64">
        <v>8.99</v>
      </c>
      <c r="I91" s="64">
        <v>1.96</v>
      </c>
      <c r="J91" s="64">
        <v>0.62</v>
      </c>
      <c r="K91" s="64">
        <v>146.81</v>
      </c>
      <c r="L91" s="64">
        <v>25.75</v>
      </c>
      <c r="M91" s="64">
        <v>102.05</v>
      </c>
      <c r="N91" s="64">
        <v>26.2</v>
      </c>
      <c r="O91" s="64">
        <v>0</v>
      </c>
      <c r="P91" s="64">
        <v>0.43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4" t="s">
        <v>2826</v>
      </c>
      <c r="B92" s="64">
        <v>8.83</v>
      </c>
      <c r="C92" s="64">
        <v>6.64</v>
      </c>
      <c r="D92" s="64">
        <v>10.55</v>
      </c>
      <c r="E92" s="64">
        <v>4.6100000000000003</v>
      </c>
      <c r="F92" s="64">
        <v>3.5</v>
      </c>
      <c r="G92" s="64">
        <v>27.05</v>
      </c>
      <c r="H92" s="64">
        <v>8.99</v>
      </c>
      <c r="I92" s="64">
        <v>1.67</v>
      </c>
      <c r="J92" s="64">
        <v>0.95</v>
      </c>
      <c r="K92" s="64">
        <v>148.01</v>
      </c>
      <c r="L92" s="64">
        <v>25.65</v>
      </c>
      <c r="M92" s="64">
        <v>102.05</v>
      </c>
      <c r="N92" s="64">
        <v>26.1</v>
      </c>
      <c r="O92" s="64">
        <v>0</v>
      </c>
      <c r="P92" s="64">
        <v>0.43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4" t="s">
        <v>2827</v>
      </c>
      <c r="B93" s="64">
        <v>9.48</v>
      </c>
      <c r="C93" s="64">
        <v>6.56</v>
      </c>
      <c r="D93" s="64">
        <v>11.03</v>
      </c>
      <c r="E93" s="64">
        <v>4.74</v>
      </c>
      <c r="F93" s="64">
        <v>3.55</v>
      </c>
      <c r="G93" s="64">
        <v>27.22</v>
      </c>
      <c r="H93" s="64">
        <v>8.83</v>
      </c>
      <c r="I93" s="64">
        <v>1.56</v>
      </c>
      <c r="J93" s="64">
        <v>0.78</v>
      </c>
      <c r="K93" s="64">
        <v>144.59</v>
      </c>
      <c r="L93" s="64">
        <v>25.62</v>
      </c>
      <c r="M93" s="64">
        <v>102.05</v>
      </c>
      <c r="N93" s="64">
        <v>26.1</v>
      </c>
      <c r="O93" s="64">
        <v>0</v>
      </c>
      <c r="P93" s="64">
        <v>0.42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4" t="s">
        <v>2828</v>
      </c>
      <c r="B94" s="64">
        <v>10.07</v>
      </c>
      <c r="C94" s="64">
        <v>6.32</v>
      </c>
      <c r="D94" s="64">
        <v>11.38</v>
      </c>
      <c r="E94" s="64">
        <v>4.8099999999999996</v>
      </c>
      <c r="F94" s="64">
        <v>3.7</v>
      </c>
      <c r="G94" s="64">
        <v>27.66</v>
      </c>
      <c r="H94" s="64">
        <v>8.17</v>
      </c>
      <c r="I94" s="64">
        <v>1.65</v>
      </c>
      <c r="J94" s="64">
        <v>0.26</v>
      </c>
      <c r="K94" s="64">
        <v>157.53</v>
      </c>
      <c r="L94" s="64">
        <v>25.56</v>
      </c>
      <c r="M94" s="64">
        <v>102.05</v>
      </c>
      <c r="N94" s="64">
        <v>26.2</v>
      </c>
      <c r="O94" s="64">
        <v>0</v>
      </c>
      <c r="P94" s="64">
        <v>0.42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2829</v>
      </c>
      <c r="B95" s="64">
        <v>10.49</v>
      </c>
      <c r="C95" s="64">
        <v>6.14</v>
      </c>
      <c r="D95" s="64">
        <v>11.62</v>
      </c>
      <c r="E95" s="64">
        <v>5</v>
      </c>
      <c r="F95" s="64">
        <v>3.67</v>
      </c>
      <c r="G95" s="64">
        <v>27.66</v>
      </c>
      <c r="H95" s="64">
        <v>8.17</v>
      </c>
      <c r="I95" s="64">
        <v>1.55</v>
      </c>
      <c r="J95" s="64">
        <v>0.33</v>
      </c>
      <c r="K95" s="64">
        <v>140.02000000000001</v>
      </c>
      <c r="L95" s="64">
        <v>25.5</v>
      </c>
      <c r="M95" s="64">
        <v>102.07</v>
      </c>
      <c r="N95" s="64">
        <v>26.2</v>
      </c>
      <c r="O95" s="64">
        <v>0</v>
      </c>
      <c r="P95" s="64">
        <v>0.49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4" t="s">
        <v>2830</v>
      </c>
      <c r="B96" s="64">
        <v>10.99</v>
      </c>
      <c r="C96" s="64">
        <v>6.27</v>
      </c>
      <c r="D96" s="64">
        <v>12.09</v>
      </c>
      <c r="E96" s="64">
        <v>5.22</v>
      </c>
      <c r="F96" s="64">
        <v>3.99</v>
      </c>
      <c r="G96" s="64">
        <v>27.66</v>
      </c>
      <c r="H96" s="64">
        <v>8.17</v>
      </c>
      <c r="I96" s="64">
        <v>1.44</v>
      </c>
      <c r="J96" s="64">
        <v>0.59</v>
      </c>
      <c r="K96" s="64">
        <v>154.36000000000001</v>
      </c>
      <c r="L96" s="64">
        <v>25.44</v>
      </c>
      <c r="M96" s="64">
        <v>102.07</v>
      </c>
      <c r="N96" s="64">
        <v>26.2</v>
      </c>
      <c r="O96" s="64">
        <v>0</v>
      </c>
      <c r="P96" s="64">
        <v>0.43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2831</v>
      </c>
      <c r="B97" s="64">
        <v>11.78</v>
      </c>
      <c r="C97" s="64">
        <v>6.9</v>
      </c>
      <c r="D97" s="64">
        <v>13.05</v>
      </c>
      <c r="E97" s="64">
        <v>5.28</v>
      </c>
      <c r="F97" s="64">
        <v>3.69</v>
      </c>
      <c r="G97" s="64">
        <v>27.93</v>
      </c>
      <c r="H97" s="64">
        <v>7.33</v>
      </c>
      <c r="I97" s="64">
        <v>1.44</v>
      </c>
      <c r="J97" s="64">
        <v>0.74</v>
      </c>
      <c r="K97" s="64">
        <v>152.19999999999999</v>
      </c>
      <c r="L97" s="64">
        <v>25.44</v>
      </c>
      <c r="M97" s="64">
        <v>102.05</v>
      </c>
      <c r="N97" s="64">
        <v>26.1</v>
      </c>
      <c r="O97" s="64">
        <v>0</v>
      </c>
      <c r="P97" s="64">
        <v>0.43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4" t="s">
        <v>2832</v>
      </c>
      <c r="B98" s="64">
        <v>12.39</v>
      </c>
      <c r="C98" s="64">
        <v>6.68</v>
      </c>
      <c r="D98" s="64">
        <v>13.42</v>
      </c>
      <c r="E98" s="64">
        <v>5.38</v>
      </c>
      <c r="F98" s="64">
        <v>3.94</v>
      </c>
      <c r="G98" s="64">
        <v>28.65</v>
      </c>
      <c r="H98" s="64">
        <v>5.91</v>
      </c>
      <c r="I98" s="64">
        <v>2.8</v>
      </c>
      <c r="J98" s="64">
        <v>0.47</v>
      </c>
      <c r="K98" s="64">
        <v>140.6</v>
      </c>
      <c r="L98" s="64">
        <v>25.4</v>
      </c>
      <c r="M98" s="64">
        <v>101.52</v>
      </c>
      <c r="N98" s="64">
        <v>26.1</v>
      </c>
      <c r="O98" s="64">
        <v>0</v>
      </c>
      <c r="P98" s="64">
        <v>0.42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4" t="s">
        <v>2833</v>
      </c>
      <c r="B99" s="64">
        <v>12.84</v>
      </c>
      <c r="C99" s="64">
        <v>6.63</v>
      </c>
      <c r="D99" s="64">
        <v>13.76</v>
      </c>
      <c r="E99" s="64">
        <v>5.07</v>
      </c>
      <c r="F99" s="64">
        <v>2.66</v>
      </c>
      <c r="G99" s="64">
        <v>28.65</v>
      </c>
      <c r="H99" s="64">
        <v>5.91</v>
      </c>
      <c r="I99" s="64">
        <v>3.06</v>
      </c>
      <c r="J99" s="64">
        <v>0.7</v>
      </c>
      <c r="K99" s="64">
        <v>157.19</v>
      </c>
      <c r="L99" s="64">
        <v>25.23</v>
      </c>
      <c r="M99" s="64">
        <v>102.05</v>
      </c>
      <c r="N99" s="64">
        <v>26.2</v>
      </c>
      <c r="O99" s="64">
        <v>0</v>
      </c>
      <c r="P99" s="64">
        <v>0.41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2834</v>
      </c>
      <c r="B100" s="64">
        <v>13.12</v>
      </c>
      <c r="C100" s="64">
        <v>6.43</v>
      </c>
      <c r="D100" s="64">
        <v>13.88</v>
      </c>
      <c r="E100" s="64">
        <v>5.35</v>
      </c>
      <c r="F100" s="64">
        <v>3.78</v>
      </c>
      <c r="G100" s="64">
        <v>28.65</v>
      </c>
      <c r="H100" s="64">
        <v>5.91</v>
      </c>
      <c r="I100" s="64">
        <v>2.76</v>
      </c>
      <c r="J100" s="64">
        <v>0.67</v>
      </c>
      <c r="K100" s="64">
        <v>129.61000000000001</v>
      </c>
      <c r="L100" s="64">
        <v>25.18</v>
      </c>
      <c r="M100" s="64">
        <v>101.48</v>
      </c>
      <c r="N100" s="64">
        <v>26.3</v>
      </c>
      <c r="O100" s="64">
        <v>0</v>
      </c>
      <c r="P100" s="64">
        <v>0.41</v>
      </c>
      <c r="Q100" s="64">
        <v>9.6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2835</v>
      </c>
      <c r="B101" s="64">
        <v>13.11</v>
      </c>
      <c r="C101" s="64">
        <v>6.17</v>
      </c>
      <c r="D101" s="64">
        <v>13.73</v>
      </c>
      <c r="E101" s="64">
        <v>5.14</v>
      </c>
      <c r="F101" s="64">
        <v>2.93</v>
      </c>
      <c r="G101" s="64">
        <v>27.04</v>
      </c>
      <c r="H101" s="64">
        <v>6.82</v>
      </c>
      <c r="I101" s="64">
        <v>3.31</v>
      </c>
      <c r="J101" s="64">
        <v>0.61</v>
      </c>
      <c r="K101" s="64">
        <v>123.87</v>
      </c>
      <c r="L101" s="64">
        <v>25.16</v>
      </c>
      <c r="M101" s="64">
        <v>101.49</v>
      </c>
      <c r="N101" s="64">
        <v>26.1</v>
      </c>
      <c r="O101" s="64">
        <v>0</v>
      </c>
      <c r="P101" s="64">
        <v>0.4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4" t="s">
        <v>2836</v>
      </c>
      <c r="B102" s="64">
        <v>12.95</v>
      </c>
      <c r="C102" s="64">
        <v>6.15</v>
      </c>
      <c r="D102" s="64">
        <v>13.59</v>
      </c>
      <c r="E102" s="64">
        <v>5.25</v>
      </c>
      <c r="F102" s="64">
        <v>3.02</v>
      </c>
      <c r="G102" s="64">
        <v>22.86</v>
      </c>
      <c r="H102" s="64">
        <v>8.35</v>
      </c>
      <c r="I102" s="64">
        <v>2.37</v>
      </c>
      <c r="J102" s="64">
        <v>1.1399999999999999</v>
      </c>
      <c r="K102" s="64">
        <v>139.97999999999999</v>
      </c>
      <c r="L102" s="64">
        <v>25.09</v>
      </c>
      <c r="M102" s="64">
        <v>101.48</v>
      </c>
      <c r="N102" s="64">
        <v>26.1</v>
      </c>
      <c r="O102" s="64">
        <v>0</v>
      </c>
      <c r="P102" s="64">
        <v>0.4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4" t="s">
        <v>2837</v>
      </c>
      <c r="B103" s="64">
        <v>12.73</v>
      </c>
      <c r="C103" s="64">
        <v>5.77</v>
      </c>
      <c r="D103" s="64">
        <v>13.22</v>
      </c>
      <c r="E103" s="64">
        <v>4.95</v>
      </c>
      <c r="F103" s="64">
        <v>4.13</v>
      </c>
      <c r="G103" s="64">
        <v>22.86</v>
      </c>
      <c r="H103" s="64">
        <v>8.35</v>
      </c>
      <c r="I103" s="64">
        <v>2.7</v>
      </c>
      <c r="J103" s="64">
        <v>0.93</v>
      </c>
      <c r="K103" s="64">
        <v>143.6</v>
      </c>
      <c r="L103" s="64">
        <v>24.94</v>
      </c>
      <c r="M103" s="64">
        <v>102.05</v>
      </c>
      <c r="N103" s="64">
        <v>26.1</v>
      </c>
      <c r="O103" s="64">
        <v>0</v>
      </c>
      <c r="P103" s="64">
        <v>0.39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4" t="s">
        <v>2838</v>
      </c>
      <c r="B104" s="64">
        <v>12.46</v>
      </c>
      <c r="C104" s="64">
        <v>5.75</v>
      </c>
      <c r="D104" s="64">
        <v>13</v>
      </c>
      <c r="E104" s="64">
        <v>5.1100000000000003</v>
      </c>
      <c r="F104" s="64">
        <v>2.2999999999999998</v>
      </c>
      <c r="G104" s="64">
        <v>22.86</v>
      </c>
      <c r="H104" s="64">
        <v>8.35</v>
      </c>
      <c r="I104" s="64">
        <v>3.45</v>
      </c>
      <c r="J104" s="64">
        <v>0.19</v>
      </c>
      <c r="K104" s="64">
        <v>85.35</v>
      </c>
      <c r="L104" s="64">
        <v>24.86</v>
      </c>
      <c r="M104" s="64">
        <v>101.5</v>
      </c>
      <c r="N104" s="64">
        <v>26.1</v>
      </c>
      <c r="O104" s="64">
        <v>0</v>
      </c>
      <c r="P104" s="64">
        <v>0.35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0.28000000000000003</v>
      </c>
      <c r="C106" s="67">
        <f>MIN(C9:C104)</f>
        <v>-0.53</v>
      </c>
      <c r="D106" s="67">
        <f t="shared" ref="D106:Q106" si="0">MIN(D9:D104)</f>
        <v>3.35</v>
      </c>
      <c r="E106" s="67">
        <f t="shared" si="0"/>
        <v>3.01</v>
      </c>
      <c r="F106" s="67">
        <f t="shared" si="0"/>
        <v>2.2999999999999998</v>
      </c>
      <c r="G106" s="67">
        <f t="shared" si="0"/>
        <v>2.88</v>
      </c>
      <c r="H106" s="67">
        <f t="shared" si="0"/>
        <v>1.42</v>
      </c>
      <c r="I106" s="67">
        <f t="shared" si="0"/>
        <v>0.64</v>
      </c>
      <c r="J106" s="67">
        <f t="shared" si="0"/>
        <v>0.05</v>
      </c>
      <c r="K106" s="67">
        <f t="shared" si="0"/>
        <v>1.86</v>
      </c>
      <c r="L106" s="67">
        <f t="shared" si="0"/>
        <v>22.89</v>
      </c>
      <c r="M106" s="67">
        <f t="shared" si="0"/>
        <v>77.81</v>
      </c>
      <c r="N106" s="67">
        <f t="shared" si="0"/>
        <v>26.1</v>
      </c>
      <c r="O106" s="67">
        <f t="shared" si="0"/>
        <v>0</v>
      </c>
      <c r="P106" s="67">
        <f t="shared" si="0"/>
        <v>0.24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42.99</v>
      </c>
      <c r="C107" s="66">
        <f t="shared" ref="C107:Q107" si="1">MAX(C9:C104)</f>
        <v>18.59</v>
      </c>
      <c r="D107" s="66">
        <f t="shared" si="1"/>
        <v>42.46</v>
      </c>
      <c r="E107" s="66">
        <f t="shared" si="1"/>
        <v>6.08</v>
      </c>
      <c r="F107" s="66">
        <f t="shared" si="1"/>
        <v>12.34</v>
      </c>
      <c r="G107" s="66">
        <f t="shared" si="1"/>
        <v>33.619999999999997</v>
      </c>
      <c r="H107" s="66">
        <f t="shared" si="1"/>
        <v>11.03</v>
      </c>
      <c r="I107" s="66">
        <f t="shared" si="1"/>
        <v>4.55</v>
      </c>
      <c r="J107" s="66">
        <f t="shared" si="1"/>
        <v>1.67</v>
      </c>
      <c r="K107" s="66">
        <f t="shared" si="1"/>
        <v>181.84</v>
      </c>
      <c r="L107" s="66">
        <f t="shared" si="1"/>
        <v>30.37</v>
      </c>
      <c r="M107" s="66">
        <f t="shared" si="1"/>
        <v>102.1</v>
      </c>
      <c r="N107" s="66">
        <f t="shared" si="1"/>
        <v>977</v>
      </c>
      <c r="O107" s="66">
        <f t="shared" si="1"/>
        <v>0.8</v>
      </c>
      <c r="P107" s="66">
        <f t="shared" si="1"/>
        <v>0.57999999999999996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5.029120879120879</v>
      </c>
      <c r="C108" s="67">
        <f t="shared" ref="C108:Q108" si="2">AVERAGE(C9:C104)</f>
        <v>6.7086813186813163</v>
      </c>
      <c r="D108" s="67">
        <f t="shared" si="2"/>
        <v>7.6286813186813163</v>
      </c>
      <c r="E108" s="67">
        <f t="shared" si="2"/>
        <v>4.2254945054945052</v>
      </c>
      <c r="F108" s="67">
        <f t="shared" si="2"/>
        <v>4.3304166666666655</v>
      </c>
      <c r="G108" s="67">
        <f t="shared" si="2"/>
        <v>15.273580246913578</v>
      </c>
      <c r="H108" s="67">
        <f t="shared" si="2"/>
        <v>4.4576344086021518</v>
      </c>
      <c r="I108" s="67">
        <f t="shared" si="2"/>
        <v>2.6664583333333329</v>
      </c>
      <c r="J108" s="67">
        <f t="shared" si="2"/>
        <v>0.6606249999999998</v>
      </c>
      <c r="K108" s="67">
        <f t="shared" si="2"/>
        <v>128.91385416666671</v>
      </c>
      <c r="L108" s="67">
        <f t="shared" si="2"/>
        <v>25.937708333333333</v>
      </c>
      <c r="M108" s="67">
        <f t="shared" si="2"/>
        <v>96.544583333333307</v>
      </c>
      <c r="N108" s="67">
        <f t="shared" si="2"/>
        <v>148.51458333333343</v>
      </c>
      <c r="O108" s="67">
        <f t="shared" si="2"/>
        <v>1.2499999999999999E-2</v>
      </c>
      <c r="P108" s="67">
        <f t="shared" si="2"/>
        <v>0.31822916666666656</v>
      </c>
      <c r="Q108" s="67">
        <f t="shared" si="2"/>
        <v>9.6113541666666773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5.2074812952886758</v>
      </c>
      <c r="C109" s="67">
        <f t="shared" ref="C109:Q109" si="3">STDEV(C9:C104)</f>
        <v>3.2488761163725606</v>
      </c>
      <c r="D109" s="67">
        <f t="shared" si="3"/>
        <v>4.9321945101752336</v>
      </c>
      <c r="E109" s="67">
        <f t="shared" si="3"/>
        <v>0.69570789485923967</v>
      </c>
      <c r="F109" s="67">
        <f t="shared" si="3"/>
        <v>1.7628176707620355</v>
      </c>
      <c r="G109" s="67">
        <f t="shared" si="3"/>
        <v>9.6243071580038926</v>
      </c>
      <c r="H109" s="67">
        <f t="shared" si="3"/>
        <v>2.5423351974502642</v>
      </c>
      <c r="I109" s="67">
        <f t="shared" si="3"/>
        <v>1.0219310710782277</v>
      </c>
      <c r="J109" s="67">
        <f t="shared" si="3"/>
        <v>0.39713397580267862</v>
      </c>
      <c r="K109" s="67">
        <f t="shared" si="3"/>
        <v>33.165957923585147</v>
      </c>
      <c r="L109" s="67">
        <f t="shared" si="3"/>
        <v>2.3614966169634513</v>
      </c>
      <c r="M109" s="67">
        <f t="shared" si="3"/>
        <v>7.9006924302362895</v>
      </c>
      <c r="N109" s="67">
        <f t="shared" si="3"/>
        <v>199.98064010465285</v>
      </c>
      <c r="O109" s="67">
        <f t="shared" si="3"/>
        <v>8.6145531698277586E-2</v>
      </c>
      <c r="P109" s="67">
        <f t="shared" si="3"/>
        <v>7.0082579736024289E-2</v>
      </c>
      <c r="Q109" s="67">
        <f t="shared" si="3"/>
        <v>7.1993847202990657E-3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COUNT(B9:B104)+5</f>
        <v>96</v>
      </c>
      <c r="C110" s="66">
        <f t="shared" ref="C110:E110" si="4">COUNT(C9:C104)+5</f>
        <v>96</v>
      </c>
      <c r="D110" s="66">
        <f t="shared" si="4"/>
        <v>96</v>
      </c>
      <c r="E110" s="66">
        <f t="shared" si="4"/>
        <v>96</v>
      </c>
      <c r="F110" s="66">
        <f t="shared" ref="F110:Q110" si="5">COUNT(F9:F104)</f>
        <v>96</v>
      </c>
      <c r="G110" s="66">
        <f>COUNT(G9:G104)+15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2839</v>
      </c>
      <c r="B9" s="64">
        <v>12.15</v>
      </c>
      <c r="C9" s="64">
        <v>5.25</v>
      </c>
      <c r="D9" s="64">
        <v>12.49</v>
      </c>
      <c r="E9" s="64">
        <v>5</v>
      </c>
      <c r="F9" s="64">
        <v>3.3</v>
      </c>
      <c r="G9" s="64">
        <v>22.51</v>
      </c>
      <c r="H9" s="64">
        <v>7.47</v>
      </c>
      <c r="I9" s="64">
        <v>2.99</v>
      </c>
      <c r="J9" s="64">
        <v>0.68</v>
      </c>
      <c r="K9" s="64">
        <v>130.15</v>
      </c>
      <c r="L9" s="64">
        <v>24.81</v>
      </c>
      <c r="M9" s="64">
        <v>101.51</v>
      </c>
      <c r="N9" s="64">
        <v>26.3</v>
      </c>
      <c r="O9" s="64">
        <v>0</v>
      </c>
      <c r="P9" s="64">
        <v>0.35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2840</v>
      </c>
      <c r="B10" s="64">
        <v>11.82</v>
      </c>
      <c r="C10" s="64">
        <v>4.92</v>
      </c>
      <c r="D10" s="64">
        <v>12.05</v>
      </c>
      <c r="E10" s="64">
        <v>4.8099999999999996</v>
      </c>
      <c r="F10" s="64">
        <v>3.21</v>
      </c>
      <c r="G10" s="64">
        <v>21.6</v>
      </c>
      <c r="H10" s="64">
        <v>5.98</v>
      </c>
      <c r="I10" s="64">
        <v>2.69</v>
      </c>
      <c r="J10" s="64">
        <v>1.34</v>
      </c>
      <c r="K10" s="64">
        <v>140.72</v>
      </c>
      <c r="L10" s="64">
        <v>24.67</v>
      </c>
      <c r="M10" s="64">
        <v>101.47</v>
      </c>
      <c r="N10" s="64">
        <v>26.1</v>
      </c>
      <c r="O10" s="64">
        <v>0</v>
      </c>
      <c r="P10" s="64">
        <v>0.35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4" t="s">
        <v>2841</v>
      </c>
      <c r="B11" s="64">
        <v>11.47</v>
      </c>
      <c r="C11" s="64">
        <v>4.76</v>
      </c>
      <c r="D11" s="64">
        <v>11.68</v>
      </c>
      <c r="E11" s="64">
        <v>5.0599999999999996</v>
      </c>
      <c r="F11" s="64">
        <v>3.62</v>
      </c>
      <c r="G11" s="64">
        <v>21.6</v>
      </c>
      <c r="H11" s="64">
        <v>5.98</v>
      </c>
      <c r="I11" s="64">
        <v>2.2400000000000002</v>
      </c>
      <c r="J11" s="64">
        <v>1.3</v>
      </c>
      <c r="K11" s="64">
        <v>133.22999999999999</v>
      </c>
      <c r="L11" s="64">
        <v>24.57</v>
      </c>
      <c r="M11" s="64">
        <v>102.06</v>
      </c>
      <c r="N11" s="64">
        <v>26.3</v>
      </c>
      <c r="O11" s="64">
        <v>0</v>
      </c>
      <c r="P11" s="64">
        <v>0.33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4" t="s">
        <v>2842</v>
      </c>
      <c r="B12" s="64">
        <v>11.14</v>
      </c>
      <c r="C12" s="64">
        <v>4.5999999999999996</v>
      </c>
      <c r="D12" s="64">
        <v>11.34</v>
      </c>
      <c r="E12" s="64">
        <v>4.9800000000000004</v>
      </c>
      <c r="F12" s="64">
        <v>3.66</v>
      </c>
      <c r="G12" s="64">
        <v>21.6</v>
      </c>
      <c r="H12" s="64">
        <v>5.98</v>
      </c>
      <c r="I12" s="64">
        <v>2.6</v>
      </c>
      <c r="J12" s="64">
        <v>0.85</v>
      </c>
      <c r="K12" s="64">
        <v>130.38</v>
      </c>
      <c r="L12" s="64">
        <v>24.45</v>
      </c>
      <c r="M12" s="64">
        <v>101.52</v>
      </c>
      <c r="N12" s="64">
        <v>26.2</v>
      </c>
      <c r="O12" s="64">
        <v>0</v>
      </c>
      <c r="P12" s="64">
        <v>0.31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4" t="s">
        <v>2843</v>
      </c>
      <c r="B13" s="64">
        <v>10.8</v>
      </c>
      <c r="C13" s="64">
        <v>4.51</v>
      </c>
      <c r="D13" s="64">
        <v>11.02</v>
      </c>
      <c r="E13" s="64">
        <v>5.29</v>
      </c>
      <c r="F13" s="64">
        <v>4.63</v>
      </c>
      <c r="G13" s="64">
        <v>20.010000000000002</v>
      </c>
      <c r="H13" s="64">
        <v>5.78</v>
      </c>
      <c r="I13" s="64">
        <v>2.74</v>
      </c>
      <c r="J13" s="64">
        <v>0.95</v>
      </c>
      <c r="K13" s="64">
        <v>122.4</v>
      </c>
      <c r="L13" s="64">
        <v>24.37</v>
      </c>
      <c r="M13" s="64">
        <v>101.5</v>
      </c>
      <c r="N13" s="64">
        <v>26.2</v>
      </c>
      <c r="O13" s="64">
        <v>0</v>
      </c>
      <c r="P13" s="64">
        <v>0.31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4" t="s">
        <v>2844</v>
      </c>
      <c r="B14" s="64">
        <v>10.51</v>
      </c>
      <c r="C14" s="64">
        <v>4.46</v>
      </c>
      <c r="D14" s="64">
        <v>10.76</v>
      </c>
      <c r="E14" s="64">
        <v>5.23</v>
      </c>
      <c r="F14" s="64">
        <v>3.6</v>
      </c>
      <c r="G14" s="64">
        <v>15.89</v>
      </c>
      <c r="H14" s="64">
        <v>5.04</v>
      </c>
      <c r="I14" s="64">
        <v>2.15</v>
      </c>
      <c r="J14" s="64">
        <v>1.35</v>
      </c>
      <c r="K14" s="64">
        <v>133.77000000000001</v>
      </c>
      <c r="L14" s="64">
        <v>24.24</v>
      </c>
      <c r="M14" s="64">
        <v>101.49</v>
      </c>
      <c r="N14" s="64">
        <v>26.1</v>
      </c>
      <c r="O14" s="64">
        <v>0</v>
      </c>
      <c r="P14" s="64">
        <v>0.34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4" t="s">
        <v>2845</v>
      </c>
      <c r="B15" s="64">
        <v>10.130000000000001</v>
      </c>
      <c r="C15" s="64">
        <v>4.43</v>
      </c>
      <c r="D15" s="64">
        <v>10.44</v>
      </c>
      <c r="E15" s="64">
        <v>5.08</v>
      </c>
      <c r="F15" s="64">
        <v>3.67</v>
      </c>
      <c r="G15" s="64">
        <v>15.89</v>
      </c>
      <c r="H15" s="64">
        <v>5.04</v>
      </c>
      <c r="I15" s="64">
        <v>2.23</v>
      </c>
      <c r="J15" s="64">
        <v>0.43</v>
      </c>
      <c r="K15" s="64">
        <v>128.13999999999999</v>
      </c>
      <c r="L15" s="64">
        <v>24.07</v>
      </c>
      <c r="M15" s="64">
        <v>102.06</v>
      </c>
      <c r="N15" s="64">
        <v>26.2</v>
      </c>
      <c r="O15" s="64">
        <v>0</v>
      </c>
      <c r="P15" s="64">
        <v>0.3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4" t="s">
        <v>2846</v>
      </c>
      <c r="B16" s="64">
        <v>9.76</v>
      </c>
      <c r="C16" s="64">
        <v>4.3099999999999996</v>
      </c>
      <c r="D16" s="64">
        <v>10.08</v>
      </c>
      <c r="E16" s="64">
        <v>5.0999999999999996</v>
      </c>
      <c r="F16" s="64">
        <v>3.82</v>
      </c>
      <c r="G16" s="64">
        <v>15.89</v>
      </c>
      <c r="H16" s="64">
        <v>5.04</v>
      </c>
      <c r="I16" s="64">
        <v>2.3199999999999998</v>
      </c>
      <c r="J16" s="64">
        <v>0.8</v>
      </c>
      <c r="K16" s="64">
        <v>120.16</v>
      </c>
      <c r="L16" s="64">
        <v>23.9</v>
      </c>
      <c r="M16" s="64">
        <v>101.52</v>
      </c>
      <c r="N16" s="64">
        <v>26.1</v>
      </c>
      <c r="O16" s="64">
        <v>0</v>
      </c>
      <c r="P16" s="64">
        <v>0.31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4" t="s">
        <v>2847</v>
      </c>
      <c r="B17" s="64">
        <v>9.4499999999999993</v>
      </c>
      <c r="C17" s="64">
        <v>4.68</v>
      </c>
      <c r="D17" s="64">
        <v>10.02</v>
      </c>
      <c r="E17" s="64">
        <v>5.28</v>
      </c>
      <c r="F17" s="64">
        <v>4.0999999999999996</v>
      </c>
      <c r="G17" s="64">
        <v>14.94</v>
      </c>
      <c r="H17" s="64">
        <v>4.55</v>
      </c>
      <c r="I17" s="64">
        <v>1.86</v>
      </c>
      <c r="J17" s="64">
        <v>1.21</v>
      </c>
      <c r="K17" s="64">
        <v>135.19999999999999</v>
      </c>
      <c r="L17" s="64">
        <v>23.88</v>
      </c>
      <c r="M17" s="64">
        <v>101.51</v>
      </c>
      <c r="N17" s="64">
        <v>26.1</v>
      </c>
      <c r="O17" s="64">
        <v>0</v>
      </c>
      <c r="P17" s="64">
        <v>0.37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4" t="s">
        <v>2848</v>
      </c>
      <c r="B18" s="64">
        <v>9.06</v>
      </c>
      <c r="C18" s="64">
        <v>5.09</v>
      </c>
      <c r="D18" s="64">
        <v>9.93</v>
      </c>
      <c r="E18" s="64">
        <v>5.09</v>
      </c>
      <c r="F18" s="64">
        <v>3.37</v>
      </c>
      <c r="G18" s="64">
        <v>12.47</v>
      </c>
      <c r="H18" s="64">
        <v>3.67</v>
      </c>
      <c r="I18" s="64">
        <v>2.7</v>
      </c>
      <c r="J18" s="64">
        <v>0.54</v>
      </c>
      <c r="K18" s="64">
        <v>127.04</v>
      </c>
      <c r="L18" s="64">
        <v>23.77</v>
      </c>
      <c r="M18" s="64">
        <v>101.51</v>
      </c>
      <c r="N18" s="64">
        <v>26.1</v>
      </c>
      <c r="O18" s="64">
        <v>0</v>
      </c>
      <c r="P18" s="64">
        <v>0.35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4" t="s">
        <v>2849</v>
      </c>
      <c r="B19" s="64">
        <v>8.58</v>
      </c>
      <c r="C19" s="64">
        <v>4.8600000000000003</v>
      </c>
      <c r="D19" s="64">
        <v>9.42</v>
      </c>
      <c r="E19" s="64">
        <v>5.2</v>
      </c>
      <c r="F19" s="64">
        <v>3.94</v>
      </c>
      <c r="G19" s="64">
        <v>12.47</v>
      </c>
      <c r="H19" s="64">
        <v>3.67</v>
      </c>
      <c r="I19" s="64">
        <v>4.25</v>
      </c>
      <c r="J19" s="64">
        <v>0.42</v>
      </c>
      <c r="K19" s="64">
        <v>128.9</v>
      </c>
      <c r="L19" s="64">
        <v>23.61</v>
      </c>
      <c r="M19" s="64">
        <v>102.08</v>
      </c>
      <c r="N19" s="64">
        <v>26.1</v>
      </c>
      <c r="O19" s="64">
        <v>0</v>
      </c>
      <c r="P19" s="64">
        <v>0.35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4" t="s">
        <v>2850</v>
      </c>
      <c r="B20" s="64">
        <v>8.23</v>
      </c>
      <c r="C20" s="64">
        <v>4.6500000000000004</v>
      </c>
      <c r="D20" s="64">
        <v>9.0299999999999994</v>
      </c>
      <c r="E20" s="64">
        <v>4.8499999999999996</v>
      </c>
      <c r="F20" s="64">
        <v>3.57</v>
      </c>
      <c r="G20" s="64">
        <v>12.47</v>
      </c>
      <c r="H20" s="64">
        <v>3.67</v>
      </c>
      <c r="I20" s="64">
        <v>4.29</v>
      </c>
      <c r="J20" s="64">
        <v>0.91</v>
      </c>
      <c r="K20" s="64">
        <v>133.97999999999999</v>
      </c>
      <c r="L20" s="64">
        <v>23.64</v>
      </c>
      <c r="M20" s="64">
        <v>102.01</v>
      </c>
      <c r="N20" s="64">
        <v>26.1</v>
      </c>
      <c r="O20" s="64">
        <v>0</v>
      </c>
      <c r="P20" s="64">
        <v>0.35</v>
      </c>
      <c r="Q20" s="64">
        <v>9.6</v>
      </c>
      <c r="R20" s="198"/>
      <c r="S20" s="198"/>
      <c r="T20" s="198"/>
      <c r="U20" s="198"/>
    </row>
    <row r="21" spans="1:21" s="12" customFormat="1" x14ac:dyDescent="0.25">
      <c r="A21" s="214" t="s">
        <v>2851</v>
      </c>
      <c r="B21" s="64">
        <v>7.86</v>
      </c>
      <c r="C21" s="64">
        <v>4.59</v>
      </c>
      <c r="D21" s="64">
        <v>8.6999999999999993</v>
      </c>
      <c r="E21" s="64">
        <v>5.0999999999999996</v>
      </c>
      <c r="F21" s="64">
        <v>2.87</v>
      </c>
      <c r="G21" s="64">
        <v>12.77</v>
      </c>
      <c r="H21" s="64">
        <v>3.28</v>
      </c>
      <c r="I21" s="64">
        <v>3.43</v>
      </c>
      <c r="J21" s="64">
        <v>1.24</v>
      </c>
      <c r="K21" s="64">
        <v>140.88</v>
      </c>
      <c r="L21" s="64">
        <v>23.56</v>
      </c>
      <c r="M21" s="64">
        <v>102.1</v>
      </c>
      <c r="N21" s="64">
        <v>26.1</v>
      </c>
      <c r="O21" s="64">
        <v>0</v>
      </c>
      <c r="P21" s="64">
        <v>0.34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4" t="s">
        <v>2852</v>
      </c>
      <c r="B22" s="64">
        <v>7.55</v>
      </c>
      <c r="C22" s="64">
        <v>4.7</v>
      </c>
      <c r="D22" s="64">
        <v>8.51</v>
      </c>
      <c r="E22" s="64">
        <v>5.1100000000000003</v>
      </c>
      <c r="F22" s="64">
        <v>3.11</v>
      </c>
      <c r="G22" s="64">
        <v>13.57</v>
      </c>
      <c r="H22" s="64">
        <v>2.63</v>
      </c>
      <c r="I22" s="64">
        <v>3.73</v>
      </c>
      <c r="J22" s="64">
        <v>1.17</v>
      </c>
      <c r="K22" s="64">
        <v>130.47</v>
      </c>
      <c r="L22" s="64">
        <v>23.51</v>
      </c>
      <c r="M22" s="64">
        <v>102.09</v>
      </c>
      <c r="N22" s="64">
        <v>26.1</v>
      </c>
      <c r="O22" s="64">
        <v>0</v>
      </c>
      <c r="P22" s="64">
        <v>0.34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4" t="s">
        <v>2853</v>
      </c>
      <c r="B23" s="64">
        <v>7.27</v>
      </c>
      <c r="C23" s="64">
        <v>4.54</v>
      </c>
      <c r="D23" s="64">
        <v>8.1999999999999993</v>
      </c>
      <c r="E23" s="64">
        <v>5.57</v>
      </c>
      <c r="F23" s="64">
        <v>3.69</v>
      </c>
      <c r="G23" s="64">
        <v>13.57</v>
      </c>
      <c r="H23" s="64">
        <v>2.63</v>
      </c>
      <c r="I23" s="64">
        <v>4.43</v>
      </c>
      <c r="J23" s="64">
        <v>1.1399999999999999</v>
      </c>
      <c r="K23" s="64">
        <v>140.16</v>
      </c>
      <c r="L23" s="64">
        <v>23.44</v>
      </c>
      <c r="M23" s="64">
        <v>102.08</v>
      </c>
      <c r="N23" s="64">
        <v>26.1</v>
      </c>
      <c r="O23" s="64">
        <v>0</v>
      </c>
      <c r="P23" s="64">
        <v>0.34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4" t="s">
        <v>2854</v>
      </c>
      <c r="B24" s="64">
        <v>6.91</v>
      </c>
      <c r="C24" s="64">
        <v>4.42</v>
      </c>
      <c r="D24" s="64">
        <v>7.85</v>
      </c>
      <c r="E24" s="64">
        <v>3.92</v>
      </c>
      <c r="F24" s="64">
        <v>3.11</v>
      </c>
      <c r="G24" s="64">
        <v>13.57</v>
      </c>
      <c r="H24" s="64">
        <v>2.63</v>
      </c>
      <c r="I24" s="64">
        <v>4.4400000000000004</v>
      </c>
      <c r="J24" s="64">
        <v>1.28</v>
      </c>
      <c r="K24" s="64">
        <v>136.63999999999999</v>
      </c>
      <c r="L24" s="64">
        <v>23.34</v>
      </c>
      <c r="M24" s="64">
        <v>102.08</v>
      </c>
      <c r="N24" s="64">
        <v>26.1</v>
      </c>
      <c r="O24" s="64">
        <v>0</v>
      </c>
      <c r="P24" s="64">
        <v>0.32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4" t="s">
        <v>2855</v>
      </c>
      <c r="B25" s="64">
        <v>6.68</v>
      </c>
      <c r="C25" s="64">
        <v>4.66</v>
      </c>
      <c r="D25" s="64">
        <v>7.79</v>
      </c>
      <c r="E25" s="64">
        <v>4.67</v>
      </c>
      <c r="F25" s="64">
        <v>3.03</v>
      </c>
      <c r="G25" s="64">
        <v>13.38</v>
      </c>
      <c r="H25" s="64">
        <v>3.1</v>
      </c>
      <c r="I25" s="64">
        <v>4.3499999999999996</v>
      </c>
      <c r="J25" s="64">
        <v>0.82</v>
      </c>
      <c r="K25" s="64">
        <v>129.09</v>
      </c>
      <c r="L25" s="64">
        <v>23.25</v>
      </c>
      <c r="M25" s="64">
        <v>102.07</v>
      </c>
      <c r="N25" s="64">
        <v>26.1</v>
      </c>
      <c r="O25" s="64">
        <v>0</v>
      </c>
      <c r="P25" s="64">
        <v>0.31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4" t="s">
        <v>2856</v>
      </c>
      <c r="B26" s="64">
        <v>6.39</v>
      </c>
      <c r="C26" s="64">
        <v>4.42</v>
      </c>
      <c r="D26" s="64">
        <v>7.43</v>
      </c>
      <c r="E26" s="64">
        <v>4.62</v>
      </c>
      <c r="F26" s="64">
        <v>3.18</v>
      </c>
      <c r="G26" s="64">
        <v>12.88</v>
      </c>
      <c r="H26" s="64">
        <v>3.89</v>
      </c>
      <c r="I26" s="64">
        <v>4.3899999999999997</v>
      </c>
      <c r="J26" s="64">
        <v>0.86</v>
      </c>
      <c r="K26" s="64">
        <v>127.68</v>
      </c>
      <c r="L26" s="64">
        <v>23.15</v>
      </c>
      <c r="M26" s="64">
        <v>102.08</v>
      </c>
      <c r="N26" s="64">
        <v>26.1</v>
      </c>
      <c r="O26" s="64">
        <v>0</v>
      </c>
      <c r="P26" s="64">
        <v>0.28999999999999998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2857</v>
      </c>
      <c r="B27" s="64">
        <v>6.18</v>
      </c>
      <c r="C27" s="64">
        <v>3.96</v>
      </c>
      <c r="D27" s="64">
        <v>7.02</v>
      </c>
      <c r="E27" s="64">
        <v>4.13</v>
      </c>
      <c r="F27" s="64">
        <v>3.57</v>
      </c>
      <c r="G27" s="64">
        <v>12.88</v>
      </c>
      <c r="H27" s="64">
        <v>3.89</v>
      </c>
      <c r="I27" s="64">
        <v>3.49</v>
      </c>
      <c r="J27" s="64">
        <v>1.02</v>
      </c>
      <c r="K27" s="64">
        <v>130.94</v>
      </c>
      <c r="L27" s="64">
        <v>23.1</v>
      </c>
      <c r="M27" s="64">
        <v>102.08</v>
      </c>
      <c r="N27" s="64">
        <v>26.1</v>
      </c>
      <c r="O27" s="64">
        <v>0</v>
      </c>
      <c r="P27" s="64">
        <v>0.28999999999999998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4" t="s">
        <v>2858</v>
      </c>
      <c r="B28" s="64">
        <v>6.11</v>
      </c>
      <c r="C28" s="64">
        <v>3.94</v>
      </c>
      <c r="D28" s="64">
        <v>6.96</v>
      </c>
      <c r="E28" s="64">
        <v>4</v>
      </c>
      <c r="F28" s="64">
        <v>3.42</v>
      </c>
      <c r="G28" s="64">
        <v>12.88</v>
      </c>
      <c r="H28" s="64">
        <v>3.89</v>
      </c>
      <c r="I28" s="64">
        <v>2.5299999999999998</v>
      </c>
      <c r="J28" s="64">
        <v>1.01</v>
      </c>
      <c r="K28" s="64">
        <v>131.28</v>
      </c>
      <c r="L28" s="64">
        <v>23.06</v>
      </c>
      <c r="M28" s="64">
        <v>102.08</v>
      </c>
      <c r="N28" s="64">
        <v>26.1</v>
      </c>
      <c r="O28" s="64">
        <v>0</v>
      </c>
      <c r="P28" s="64">
        <v>0.28999999999999998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4" t="s">
        <v>2859</v>
      </c>
      <c r="B29" s="64">
        <v>6.08</v>
      </c>
      <c r="C29" s="64">
        <v>4.08</v>
      </c>
      <c r="D29" s="64">
        <v>7.01</v>
      </c>
      <c r="E29" s="64">
        <v>4.25</v>
      </c>
      <c r="F29" s="64">
        <v>3.81</v>
      </c>
      <c r="G29" s="64">
        <v>12.22</v>
      </c>
      <c r="H29" s="64">
        <v>4.0199999999999996</v>
      </c>
      <c r="I29" s="64">
        <v>2.79</v>
      </c>
      <c r="J29" s="64">
        <v>1.32</v>
      </c>
      <c r="K29" s="64">
        <v>134.97999999999999</v>
      </c>
      <c r="L29" s="64">
        <v>23.01</v>
      </c>
      <c r="M29" s="64">
        <v>102.08</v>
      </c>
      <c r="N29" s="64">
        <v>26.1</v>
      </c>
      <c r="O29" s="64">
        <v>0</v>
      </c>
      <c r="P29" s="64">
        <v>0.28999999999999998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4" t="s">
        <v>2860</v>
      </c>
      <c r="B30" s="64">
        <v>6.13</v>
      </c>
      <c r="C30" s="64">
        <v>4.09</v>
      </c>
      <c r="D30" s="64">
        <v>7.05</v>
      </c>
      <c r="E30" s="64">
        <v>4.3899999999999997</v>
      </c>
      <c r="F30" s="64">
        <v>3.41</v>
      </c>
      <c r="G30" s="64">
        <v>10.52</v>
      </c>
      <c r="H30" s="64">
        <v>4.58</v>
      </c>
      <c r="I30" s="64">
        <v>2.78</v>
      </c>
      <c r="J30" s="64">
        <v>1.46</v>
      </c>
      <c r="K30" s="64">
        <v>135.56</v>
      </c>
      <c r="L30" s="64">
        <v>22.94</v>
      </c>
      <c r="M30" s="64">
        <v>102.08</v>
      </c>
      <c r="N30" s="64">
        <v>26.1</v>
      </c>
      <c r="O30" s="64">
        <v>0</v>
      </c>
      <c r="P30" s="64">
        <v>0.3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4" t="s">
        <v>2861</v>
      </c>
      <c r="B31" s="64">
        <v>6.11</v>
      </c>
      <c r="C31" s="64">
        <v>4.2</v>
      </c>
      <c r="D31" s="64">
        <v>7.09</v>
      </c>
      <c r="E31" s="64">
        <v>4.22</v>
      </c>
      <c r="F31" s="64">
        <v>3.34</v>
      </c>
      <c r="G31" s="64">
        <v>10.52</v>
      </c>
      <c r="H31" s="64">
        <v>4.58</v>
      </c>
      <c r="I31" s="64">
        <v>3.07</v>
      </c>
      <c r="J31" s="64">
        <v>1.22</v>
      </c>
      <c r="K31" s="64">
        <v>137</v>
      </c>
      <c r="L31" s="64">
        <v>22.91</v>
      </c>
      <c r="M31" s="64">
        <v>102.08</v>
      </c>
      <c r="N31" s="64">
        <v>26.2</v>
      </c>
      <c r="O31" s="64">
        <v>0</v>
      </c>
      <c r="P31" s="64">
        <v>0.28000000000000003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4" t="s">
        <v>2862</v>
      </c>
      <c r="B32" s="64">
        <v>6.06</v>
      </c>
      <c r="C32" s="64">
        <v>4.1399999999999997</v>
      </c>
      <c r="D32" s="64">
        <v>7.02</v>
      </c>
      <c r="E32" s="64">
        <v>4.54</v>
      </c>
      <c r="F32" s="64">
        <v>3.67</v>
      </c>
      <c r="G32" s="64">
        <v>10.52</v>
      </c>
      <c r="H32" s="64">
        <v>4.58</v>
      </c>
      <c r="I32" s="64">
        <v>3.86</v>
      </c>
      <c r="J32" s="64">
        <v>0.71</v>
      </c>
      <c r="K32" s="64">
        <v>141.58000000000001</v>
      </c>
      <c r="L32" s="64">
        <v>22.85</v>
      </c>
      <c r="M32" s="64">
        <v>102.08</v>
      </c>
      <c r="N32" s="64">
        <v>28.7</v>
      </c>
      <c r="O32" s="64">
        <v>0</v>
      </c>
      <c r="P32" s="64">
        <v>0.28000000000000003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4" t="s">
        <v>2863</v>
      </c>
      <c r="B33" s="64">
        <v>6.01</v>
      </c>
      <c r="C33" s="64">
        <v>4.24</v>
      </c>
      <c r="D33" s="64">
        <v>7.03</v>
      </c>
      <c r="E33" s="64">
        <v>4.51</v>
      </c>
      <c r="F33" s="64">
        <v>3.64</v>
      </c>
      <c r="G33" s="64">
        <v>9.7100000000000009</v>
      </c>
      <c r="H33" s="64">
        <v>4.1500000000000004</v>
      </c>
      <c r="I33" s="64">
        <v>3.26</v>
      </c>
      <c r="J33" s="64">
        <v>1.58</v>
      </c>
      <c r="K33" s="64">
        <v>142.41</v>
      </c>
      <c r="L33" s="64">
        <v>22.88</v>
      </c>
      <c r="M33" s="64">
        <v>102.08</v>
      </c>
      <c r="N33" s="64">
        <v>37.799999999999997</v>
      </c>
      <c r="O33" s="64">
        <v>0</v>
      </c>
      <c r="P33" s="64">
        <v>0.28999999999999998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4" t="s">
        <v>2864</v>
      </c>
      <c r="B34" s="64">
        <v>6.13</v>
      </c>
      <c r="C34" s="64">
        <v>4.7</v>
      </c>
      <c r="D34" s="64">
        <v>7.37</v>
      </c>
      <c r="E34" s="64">
        <v>4.5</v>
      </c>
      <c r="F34" s="64">
        <v>3.96</v>
      </c>
      <c r="G34" s="64">
        <v>7.59</v>
      </c>
      <c r="H34" s="64">
        <v>3.42</v>
      </c>
      <c r="I34" s="64">
        <v>3.06</v>
      </c>
      <c r="J34" s="64">
        <v>1.31</v>
      </c>
      <c r="K34" s="64">
        <v>135.47999999999999</v>
      </c>
      <c r="L34" s="64">
        <v>22.99</v>
      </c>
      <c r="M34" s="64">
        <v>102.08</v>
      </c>
      <c r="N34" s="64">
        <v>52.4</v>
      </c>
      <c r="O34" s="64">
        <v>0</v>
      </c>
      <c r="P34" s="64">
        <v>0.3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4" t="s">
        <v>2865</v>
      </c>
      <c r="B35" s="64">
        <v>6.18</v>
      </c>
      <c r="C35" s="64">
        <v>4.92</v>
      </c>
      <c r="D35" s="64">
        <v>7.52</v>
      </c>
      <c r="E35" s="64">
        <v>4.9000000000000004</v>
      </c>
      <c r="F35" s="64">
        <v>3.8</v>
      </c>
      <c r="G35" s="64">
        <v>7.59</v>
      </c>
      <c r="H35" s="64">
        <v>3.42</v>
      </c>
      <c r="I35" s="64">
        <v>4.1100000000000003</v>
      </c>
      <c r="J35" s="64">
        <v>1.41</v>
      </c>
      <c r="K35" s="64">
        <v>139.62</v>
      </c>
      <c r="L35" s="64">
        <v>23.19</v>
      </c>
      <c r="M35" s="64">
        <v>102.08</v>
      </c>
      <c r="N35" s="64">
        <v>70.599999999999994</v>
      </c>
      <c r="O35" s="64">
        <v>0</v>
      </c>
      <c r="P35" s="64">
        <v>0.28999999999999998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4" t="s">
        <v>2866</v>
      </c>
      <c r="B36" s="64">
        <v>6.2</v>
      </c>
      <c r="C36" s="64">
        <v>5.0199999999999996</v>
      </c>
      <c r="D36" s="64">
        <v>7.6</v>
      </c>
      <c r="E36" s="64">
        <v>5.01</v>
      </c>
      <c r="F36" s="64">
        <v>3.32</v>
      </c>
      <c r="G36" s="64">
        <v>7.59</v>
      </c>
      <c r="H36" s="64">
        <v>3.42</v>
      </c>
      <c r="I36" s="64">
        <v>4.67</v>
      </c>
      <c r="J36" s="64">
        <v>1.57</v>
      </c>
      <c r="K36" s="64">
        <v>138.28</v>
      </c>
      <c r="L36" s="64">
        <v>23.45</v>
      </c>
      <c r="M36" s="64">
        <v>102.07</v>
      </c>
      <c r="N36" s="64">
        <v>93</v>
      </c>
      <c r="O36" s="64">
        <v>0</v>
      </c>
      <c r="P36" s="64">
        <v>0.3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4" t="s">
        <v>2867</v>
      </c>
      <c r="B37" s="64">
        <v>6.31</v>
      </c>
      <c r="C37" s="64">
        <v>5.17</v>
      </c>
      <c r="D37" s="64">
        <v>7.76</v>
      </c>
      <c r="E37" s="64">
        <v>4.49</v>
      </c>
      <c r="F37" s="64">
        <v>3.1</v>
      </c>
      <c r="G37" s="64">
        <v>8.67</v>
      </c>
      <c r="H37" s="64">
        <v>3.85</v>
      </c>
      <c r="I37" s="64">
        <v>4.63</v>
      </c>
      <c r="J37" s="64">
        <v>1.43</v>
      </c>
      <c r="K37" s="64">
        <v>136.32</v>
      </c>
      <c r="L37" s="64">
        <v>23.88</v>
      </c>
      <c r="M37" s="64">
        <v>102.04</v>
      </c>
      <c r="N37" s="64">
        <v>139.5</v>
      </c>
      <c r="O37" s="64">
        <v>0</v>
      </c>
      <c r="P37" s="64">
        <v>0.3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4" t="s">
        <v>2868</v>
      </c>
      <c r="B38" s="64">
        <v>6.46</v>
      </c>
      <c r="C38" s="64">
        <v>5.24</v>
      </c>
      <c r="D38" s="64">
        <v>7.92</v>
      </c>
      <c r="E38" s="64">
        <v>4.8099999999999996</v>
      </c>
      <c r="F38" s="64">
        <v>3.18</v>
      </c>
      <c r="G38" s="64">
        <v>11.46</v>
      </c>
      <c r="H38" s="64">
        <v>4.5599999999999996</v>
      </c>
      <c r="I38" s="64">
        <v>4.41</v>
      </c>
      <c r="J38" s="64">
        <v>1.29</v>
      </c>
      <c r="K38" s="64">
        <v>133.25</v>
      </c>
      <c r="L38" s="64">
        <v>24.6</v>
      </c>
      <c r="M38" s="64">
        <v>101.47</v>
      </c>
      <c r="N38" s="64">
        <v>227.5</v>
      </c>
      <c r="O38" s="64">
        <v>0</v>
      </c>
      <c r="P38" s="64">
        <v>0.3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4" t="s">
        <v>2869</v>
      </c>
      <c r="B39" s="64">
        <v>6.41</v>
      </c>
      <c r="C39" s="64">
        <v>5.26</v>
      </c>
      <c r="D39" s="64">
        <v>7.89</v>
      </c>
      <c r="E39" s="64">
        <v>4.74</v>
      </c>
      <c r="F39" s="64">
        <v>3.7</v>
      </c>
      <c r="G39" s="64">
        <v>11.46</v>
      </c>
      <c r="H39" s="64">
        <v>4.5599999999999996</v>
      </c>
      <c r="I39" s="64">
        <v>4.32</v>
      </c>
      <c r="J39" s="64">
        <v>2.13</v>
      </c>
      <c r="K39" s="64">
        <v>136.59</v>
      </c>
      <c r="L39" s="64">
        <v>25.32</v>
      </c>
      <c r="M39" s="64">
        <v>98.94</v>
      </c>
      <c r="N39" s="64">
        <v>316.7</v>
      </c>
      <c r="O39" s="64">
        <v>0</v>
      </c>
      <c r="P39" s="64">
        <v>0.3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4" t="s">
        <v>2870</v>
      </c>
      <c r="B40" s="64">
        <v>6.34</v>
      </c>
      <c r="C40" s="64">
        <v>5.32</v>
      </c>
      <c r="D40" s="64">
        <v>7.86</v>
      </c>
      <c r="E40" s="64">
        <v>3.83</v>
      </c>
      <c r="F40" s="64">
        <v>3.59</v>
      </c>
      <c r="G40" s="64">
        <v>11.46</v>
      </c>
      <c r="H40" s="64">
        <v>4.5599999999999996</v>
      </c>
      <c r="I40" s="64">
        <v>4.26</v>
      </c>
      <c r="J40" s="64">
        <v>1.48</v>
      </c>
      <c r="K40" s="64">
        <v>133.38</v>
      </c>
      <c r="L40" s="64">
        <v>25.92</v>
      </c>
      <c r="M40" s="64">
        <v>96.94</v>
      </c>
      <c r="N40" s="64">
        <v>355.3</v>
      </c>
      <c r="O40" s="64">
        <v>0</v>
      </c>
      <c r="P40" s="64">
        <v>0.3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4" t="s">
        <v>2871</v>
      </c>
      <c r="B41" s="64">
        <v>6.22</v>
      </c>
      <c r="C41" s="64">
        <v>5.4</v>
      </c>
      <c r="D41" s="64">
        <v>7.81</v>
      </c>
      <c r="E41" s="64">
        <v>4.82</v>
      </c>
      <c r="F41" s="64">
        <v>2.98</v>
      </c>
      <c r="G41" s="64">
        <v>12.81</v>
      </c>
      <c r="H41" s="64">
        <v>5.0999999999999996</v>
      </c>
      <c r="I41" s="64">
        <v>4.41</v>
      </c>
      <c r="J41" s="64">
        <v>0.52</v>
      </c>
      <c r="K41" s="64">
        <v>113.14</v>
      </c>
      <c r="L41" s="64">
        <v>26.93</v>
      </c>
      <c r="M41" s="64">
        <v>91.55</v>
      </c>
      <c r="N41" s="64">
        <v>360.2</v>
      </c>
      <c r="O41" s="64">
        <v>0</v>
      </c>
      <c r="P41" s="64">
        <v>0.3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4" t="s">
        <v>2872</v>
      </c>
      <c r="B42" s="64">
        <v>6.03</v>
      </c>
      <c r="C42" s="64">
        <v>5.38</v>
      </c>
      <c r="D42" s="64">
        <v>7.65</v>
      </c>
      <c r="E42" s="64">
        <v>5.0599999999999996</v>
      </c>
      <c r="F42" s="64">
        <v>3.91</v>
      </c>
      <c r="G42" s="64">
        <v>16.309999999999999</v>
      </c>
      <c r="H42" s="64">
        <v>6.05</v>
      </c>
      <c r="I42" s="64">
        <v>4.55</v>
      </c>
      <c r="J42" s="64">
        <v>0.63</v>
      </c>
      <c r="K42" s="64">
        <v>126.5</v>
      </c>
      <c r="L42" s="64">
        <v>27.16</v>
      </c>
      <c r="M42" s="64">
        <v>89.87</v>
      </c>
      <c r="N42" s="64">
        <v>438.3</v>
      </c>
      <c r="O42" s="64">
        <v>0</v>
      </c>
      <c r="P42" s="64">
        <v>0.3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4" t="s">
        <v>2873</v>
      </c>
      <c r="B43" s="64">
        <v>5.7</v>
      </c>
      <c r="C43" s="64">
        <v>5.18</v>
      </c>
      <c r="D43" s="64">
        <v>7.28</v>
      </c>
      <c r="E43" s="64">
        <v>4.91</v>
      </c>
      <c r="F43" s="64">
        <v>3.36</v>
      </c>
      <c r="G43" s="64">
        <v>16.309999999999999</v>
      </c>
      <c r="H43" s="64">
        <v>6.05</v>
      </c>
      <c r="I43" s="64">
        <v>4.1900000000000004</v>
      </c>
      <c r="J43" s="64">
        <v>0.22</v>
      </c>
      <c r="K43" s="64">
        <v>32.79</v>
      </c>
      <c r="L43" s="64">
        <v>28.05</v>
      </c>
      <c r="M43" s="64">
        <v>86.64</v>
      </c>
      <c r="N43" s="64">
        <v>452.4</v>
      </c>
      <c r="O43" s="64">
        <v>0</v>
      </c>
      <c r="P43" s="64">
        <v>0.28999999999999998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4" t="s">
        <v>2874</v>
      </c>
      <c r="B44" s="64">
        <v>5.27</v>
      </c>
      <c r="C44" s="64">
        <v>4.93</v>
      </c>
      <c r="D44" s="64">
        <v>6.8</v>
      </c>
      <c r="E44" s="64">
        <v>4.59</v>
      </c>
      <c r="F44" s="64">
        <v>4.2300000000000004</v>
      </c>
      <c r="G44" s="64">
        <v>16.309999999999999</v>
      </c>
      <c r="H44" s="64">
        <v>6.05</v>
      </c>
      <c r="I44" s="64">
        <v>3.52</v>
      </c>
      <c r="J44" s="64">
        <v>0.22</v>
      </c>
      <c r="K44" s="64">
        <v>57.77</v>
      </c>
      <c r="L44" s="64">
        <v>28.88</v>
      </c>
      <c r="M44" s="64">
        <v>83.64</v>
      </c>
      <c r="N44" s="64">
        <v>603.5</v>
      </c>
      <c r="O44" s="64">
        <v>0</v>
      </c>
      <c r="P44" s="64">
        <v>0.28999999999999998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4" t="s">
        <v>2875</v>
      </c>
      <c r="B45" s="64">
        <v>5.13</v>
      </c>
      <c r="C45" s="64">
        <v>5.0199999999999996</v>
      </c>
      <c r="D45" s="64">
        <v>6.74</v>
      </c>
      <c r="E45" s="64">
        <v>4.82</v>
      </c>
      <c r="F45" s="64">
        <v>3.89</v>
      </c>
      <c r="G45" s="64">
        <v>15.72</v>
      </c>
      <c r="H45" s="64">
        <v>5.72</v>
      </c>
      <c r="I45" s="64">
        <v>3</v>
      </c>
      <c r="J45" s="64">
        <v>0.3</v>
      </c>
      <c r="K45" s="64">
        <v>87.19</v>
      </c>
      <c r="L45" s="64">
        <v>29.51</v>
      </c>
      <c r="M45" s="64">
        <v>80.03</v>
      </c>
      <c r="N45" s="64">
        <v>558</v>
      </c>
      <c r="O45" s="64">
        <v>0</v>
      </c>
      <c r="P45" s="64">
        <v>0.28999999999999998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4" t="s">
        <v>2876</v>
      </c>
      <c r="B46" s="64">
        <v>4.9800000000000004</v>
      </c>
      <c r="C46" s="64">
        <v>5.24</v>
      </c>
      <c r="D46" s="64">
        <v>6.73</v>
      </c>
      <c r="E46" s="64">
        <v>4.43</v>
      </c>
      <c r="F46" s="64">
        <v>3.8</v>
      </c>
      <c r="G46" s="64">
        <v>14.19</v>
      </c>
      <c r="H46" s="64">
        <v>4.32</v>
      </c>
      <c r="I46" s="64">
        <v>2.71</v>
      </c>
      <c r="J46" s="64">
        <v>0.25</v>
      </c>
      <c r="K46" s="64">
        <v>46.31</v>
      </c>
      <c r="L46" s="64">
        <v>30.02</v>
      </c>
      <c r="M46" s="64">
        <v>79.180000000000007</v>
      </c>
      <c r="N46" s="64">
        <v>672.6</v>
      </c>
      <c r="O46" s="64">
        <v>0</v>
      </c>
      <c r="P46" s="64">
        <v>0.31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4" t="s">
        <v>2877</v>
      </c>
      <c r="B47" s="64">
        <v>4.88</v>
      </c>
      <c r="C47" s="64">
        <v>5.4</v>
      </c>
      <c r="D47" s="64">
        <v>6.73</v>
      </c>
      <c r="E47" s="64">
        <v>4.5199999999999996</v>
      </c>
      <c r="F47" s="64">
        <v>4.0599999999999996</v>
      </c>
      <c r="G47" s="64">
        <v>14.19</v>
      </c>
      <c r="H47" s="64">
        <v>4.32</v>
      </c>
      <c r="I47" s="64">
        <v>2.59</v>
      </c>
      <c r="J47" s="64">
        <v>0.35</v>
      </c>
      <c r="K47" s="64">
        <v>94.46</v>
      </c>
      <c r="L47" s="64">
        <v>29.96</v>
      </c>
      <c r="M47" s="64">
        <v>79.36</v>
      </c>
      <c r="N47" s="64">
        <v>608.5</v>
      </c>
      <c r="O47" s="64">
        <v>0</v>
      </c>
      <c r="P47" s="64">
        <v>0.31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4" t="s">
        <v>2878</v>
      </c>
      <c r="B48" s="64">
        <v>4.71</v>
      </c>
      <c r="C48" s="64">
        <v>5.44</v>
      </c>
      <c r="D48" s="64">
        <v>6.62</v>
      </c>
      <c r="E48" s="64">
        <v>4.72</v>
      </c>
      <c r="F48" s="64">
        <v>4</v>
      </c>
      <c r="G48" s="64">
        <v>14.19</v>
      </c>
      <c r="H48" s="64">
        <v>4.32</v>
      </c>
      <c r="I48" s="64">
        <v>2.69</v>
      </c>
      <c r="J48" s="64">
        <v>0.65</v>
      </c>
      <c r="K48" s="64">
        <v>119.67</v>
      </c>
      <c r="L48" s="64">
        <v>29.37</v>
      </c>
      <c r="M48" s="64">
        <v>81.61</v>
      </c>
      <c r="N48" s="64">
        <v>685.9</v>
      </c>
      <c r="O48" s="64">
        <v>0</v>
      </c>
      <c r="P48" s="64">
        <v>0.3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4" t="s">
        <v>2879</v>
      </c>
      <c r="B49" s="64">
        <v>4.49</v>
      </c>
      <c r="C49" s="64">
        <v>5.48</v>
      </c>
      <c r="D49" s="64">
        <v>6.46</v>
      </c>
      <c r="E49" s="64">
        <v>4.59</v>
      </c>
      <c r="F49" s="64">
        <v>3.99</v>
      </c>
      <c r="G49" s="64">
        <v>15.31</v>
      </c>
      <c r="H49" s="64">
        <v>3.91</v>
      </c>
      <c r="I49" s="64">
        <v>2.8</v>
      </c>
      <c r="J49" s="64">
        <v>1.08</v>
      </c>
      <c r="K49" s="64">
        <v>123.77</v>
      </c>
      <c r="L49" s="64">
        <v>28.91</v>
      </c>
      <c r="M49" s="64">
        <v>83.53</v>
      </c>
      <c r="N49" s="64">
        <v>701.3</v>
      </c>
      <c r="O49" s="64">
        <v>0</v>
      </c>
      <c r="P49" s="64">
        <v>0.3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4" t="s">
        <v>2880</v>
      </c>
      <c r="B50" s="64">
        <v>4.33</v>
      </c>
      <c r="C50" s="64">
        <v>5.4</v>
      </c>
      <c r="D50" s="64">
        <v>6.3</v>
      </c>
      <c r="E50" s="64">
        <v>4.8499999999999996</v>
      </c>
      <c r="F50" s="64">
        <v>3.97</v>
      </c>
      <c r="G50" s="64">
        <v>18.21</v>
      </c>
      <c r="H50" s="64">
        <v>3.24</v>
      </c>
      <c r="I50" s="64">
        <v>3.04</v>
      </c>
      <c r="J50" s="64">
        <v>0.44</v>
      </c>
      <c r="K50" s="64">
        <v>56.97</v>
      </c>
      <c r="L50" s="64">
        <v>29.58</v>
      </c>
      <c r="M50" s="64">
        <v>79.64</v>
      </c>
      <c r="N50" s="64">
        <v>828.2</v>
      </c>
      <c r="O50" s="64">
        <v>0</v>
      </c>
      <c r="P50" s="64">
        <v>0.3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4" t="s">
        <v>2881</v>
      </c>
      <c r="B51" s="64">
        <v>4.0599999999999996</v>
      </c>
      <c r="C51" s="64">
        <v>5.49</v>
      </c>
      <c r="D51" s="64">
        <v>6.12</v>
      </c>
      <c r="E51" s="64">
        <v>4.8</v>
      </c>
      <c r="F51" s="64">
        <v>3.75</v>
      </c>
      <c r="G51" s="64">
        <v>18.21</v>
      </c>
      <c r="H51" s="64">
        <v>3.24</v>
      </c>
      <c r="I51" s="64">
        <v>3.26</v>
      </c>
      <c r="J51" s="64">
        <v>0.1</v>
      </c>
      <c r="K51" s="64">
        <v>56.15</v>
      </c>
      <c r="L51" s="64">
        <v>29.51</v>
      </c>
      <c r="M51" s="64">
        <v>80.16</v>
      </c>
      <c r="N51" s="64">
        <v>488.5</v>
      </c>
      <c r="O51" s="64">
        <v>0</v>
      </c>
      <c r="P51" s="64">
        <v>0.28999999999999998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4" t="s">
        <v>2882</v>
      </c>
      <c r="B52" s="64">
        <v>3.7</v>
      </c>
      <c r="C52" s="64">
        <v>5.5</v>
      </c>
      <c r="D52" s="64">
        <v>5.84</v>
      </c>
      <c r="E52" s="64">
        <v>4.68</v>
      </c>
      <c r="F52" s="64">
        <v>4.1500000000000004</v>
      </c>
      <c r="G52" s="64">
        <v>18.21</v>
      </c>
      <c r="H52" s="64">
        <v>3.24</v>
      </c>
      <c r="I52" s="64">
        <v>3.8</v>
      </c>
      <c r="J52" s="64">
        <v>0.17</v>
      </c>
      <c r="K52" s="64">
        <v>41.38</v>
      </c>
      <c r="L52" s="64">
        <v>29.26</v>
      </c>
      <c r="M52" s="64">
        <v>81.34</v>
      </c>
      <c r="N52" s="64">
        <v>796.9</v>
      </c>
      <c r="O52" s="64">
        <v>0</v>
      </c>
      <c r="P52" s="64">
        <v>0.3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4" t="s">
        <v>2883</v>
      </c>
      <c r="B53" s="64">
        <v>3.41</v>
      </c>
      <c r="C53" s="64">
        <v>5.43</v>
      </c>
      <c r="D53" s="64">
        <v>5.57</v>
      </c>
      <c r="E53" s="64">
        <v>4.5199999999999996</v>
      </c>
      <c r="F53" s="64">
        <v>4.25</v>
      </c>
      <c r="G53" s="64">
        <v>17.739999999999998</v>
      </c>
      <c r="H53" s="64">
        <v>3.77</v>
      </c>
      <c r="I53" s="64">
        <v>3.98</v>
      </c>
      <c r="J53" s="64">
        <v>0.11</v>
      </c>
      <c r="K53" s="64">
        <v>143.77000000000001</v>
      </c>
      <c r="L53" s="64">
        <v>30.15</v>
      </c>
      <c r="M53" s="64">
        <v>76.72</v>
      </c>
      <c r="N53" s="64">
        <v>928.1</v>
      </c>
      <c r="O53" s="64">
        <v>0</v>
      </c>
      <c r="P53" s="64">
        <v>0.31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4" t="s">
        <v>2884</v>
      </c>
      <c r="B54" s="64">
        <v>3.11</v>
      </c>
      <c r="C54" s="64">
        <v>5.58</v>
      </c>
      <c r="D54" s="64">
        <v>5.4</v>
      </c>
      <c r="E54" s="64">
        <v>4.67</v>
      </c>
      <c r="F54" s="64">
        <v>3.71</v>
      </c>
      <c r="G54" s="64">
        <v>16.53</v>
      </c>
      <c r="H54" s="64">
        <v>4.66</v>
      </c>
      <c r="I54" s="64">
        <v>3.67</v>
      </c>
      <c r="J54" s="64">
        <v>0.28999999999999998</v>
      </c>
      <c r="K54" s="64">
        <v>11.54</v>
      </c>
      <c r="L54" s="64">
        <v>30.58</v>
      </c>
      <c r="M54" s="64">
        <v>74.400000000000006</v>
      </c>
      <c r="N54" s="64">
        <v>808.5</v>
      </c>
      <c r="O54" s="64">
        <v>0</v>
      </c>
      <c r="P54" s="64">
        <v>0.3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4" t="s">
        <v>2885</v>
      </c>
      <c r="B55" s="64">
        <v>2.85</v>
      </c>
      <c r="C55" s="64">
        <v>5.93</v>
      </c>
      <c r="D55" s="64">
        <v>5.38</v>
      </c>
      <c r="E55" s="64">
        <v>4.8600000000000003</v>
      </c>
      <c r="F55" s="64">
        <v>3.84</v>
      </c>
      <c r="G55" s="64">
        <v>16.53</v>
      </c>
      <c r="H55" s="64">
        <v>4.66</v>
      </c>
      <c r="I55" s="64">
        <v>3.52</v>
      </c>
      <c r="J55" s="64">
        <v>0.16</v>
      </c>
      <c r="K55" s="64">
        <v>38.11</v>
      </c>
      <c r="L55" s="64">
        <v>30.79</v>
      </c>
      <c r="M55" s="64">
        <v>73.61</v>
      </c>
      <c r="N55" s="64">
        <v>837.8</v>
      </c>
      <c r="O55" s="64">
        <v>0</v>
      </c>
      <c r="P55" s="64">
        <v>0.31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4" t="s">
        <v>2886</v>
      </c>
      <c r="B56" s="64">
        <v>2.54</v>
      </c>
      <c r="C56" s="64">
        <v>5.67</v>
      </c>
      <c r="D56" s="64">
        <v>5</v>
      </c>
      <c r="E56" s="64">
        <v>3.95</v>
      </c>
      <c r="F56" s="64">
        <v>4.13</v>
      </c>
      <c r="G56" s="64">
        <v>16.53</v>
      </c>
      <c r="H56" s="64">
        <v>4.66</v>
      </c>
      <c r="I56" s="64">
        <v>3.45</v>
      </c>
      <c r="J56" s="64">
        <v>0.21</v>
      </c>
      <c r="K56" s="64">
        <v>74.78</v>
      </c>
      <c r="L56" s="64">
        <v>30.87</v>
      </c>
      <c r="M56" s="64">
        <v>73.45</v>
      </c>
      <c r="N56" s="64">
        <v>451.6</v>
      </c>
      <c r="O56" s="64">
        <v>0</v>
      </c>
      <c r="P56" s="64">
        <v>0.3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4" t="s">
        <v>2887</v>
      </c>
      <c r="B57" s="64">
        <v>2.4500000000000002</v>
      </c>
      <c r="C57" s="64">
        <v>5.8</v>
      </c>
      <c r="D57" s="64">
        <v>5</v>
      </c>
      <c r="E57" s="64">
        <v>4.8099999999999996</v>
      </c>
      <c r="F57" s="64">
        <v>3.74</v>
      </c>
      <c r="G57" s="64">
        <v>17.57</v>
      </c>
      <c r="H57" s="64">
        <v>4.1399999999999997</v>
      </c>
      <c r="I57" s="64">
        <v>3.14</v>
      </c>
      <c r="J57" s="64">
        <v>0.23</v>
      </c>
      <c r="K57" s="64">
        <v>98.76</v>
      </c>
      <c r="L57" s="64">
        <v>30.54</v>
      </c>
      <c r="M57" s="64">
        <v>73.48</v>
      </c>
      <c r="N57" s="64">
        <v>382.9</v>
      </c>
      <c r="O57" s="64">
        <v>0</v>
      </c>
      <c r="P57" s="64">
        <v>0.31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4" t="s">
        <v>2888</v>
      </c>
      <c r="B58" s="64">
        <v>2.2599999999999998</v>
      </c>
      <c r="C58" s="64">
        <v>5.65</v>
      </c>
      <c r="D58" s="64">
        <v>4.76</v>
      </c>
      <c r="E58" s="64">
        <v>4.54</v>
      </c>
      <c r="F58" s="64">
        <v>4.87</v>
      </c>
      <c r="G58" s="64">
        <v>20.28</v>
      </c>
      <c r="H58" s="64">
        <v>3.26</v>
      </c>
      <c r="I58" s="64">
        <v>3.04</v>
      </c>
      <c r="J58" s="64">
        <v>0.44</v>
      </c>
      <c r="K58" s="64">
        <v>5.55</v>
      </c>
      <c r="L58" s="64">
        <v>30.78</v>
      </c>
      <c r="M58" s="64">
        <v>71.569999999999993</v>
      </c>
      <c r="N58" s="64">
        <v>343.5</v>
      </c>
      <c r="O58" s="64">
        <v>0</v>
      </c>
      <c r="P58" s="64">
        <v>0.3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4" t="s">
        <v>2889</v>
      </c>
      <c r="B59" s="64">
        <v>2.37</v>
      </c>
      <c r="C59" s="64">
        <v>6.08</v>
      </c>
      <c r="D59" s="64">
        <v>5.08</v>
      </c>
      <c r="E59" s="64">
        <v>4.71</v>
      </c>
      <c r="F59" s="64">
        <v>3.67</v>
      </c>
      <c r="G59" s="64">
        <v>20.28</v>
      </c>
      <c r="H59" s="64">
        <v>3.26</v>
      </c>
      <c r="I59" s="64">
        <v>2.95</v>
      </c>
      <c r="J59" s="64">
        <v>0.27</v>
      </c>
      <c r="K59" s="64">
        <v>43.18</v>
      </c>
      <c r="L59" s="64">
        <v>31.44</v>
      </c>
      <c r="M59" s="64">
        <v>69.81</v>
      </c>
      <c r="N59" s="64">
        <v>358.6</v>
      </c>
      <c r="O59" s="64">
        <v>0</v>
      </c>
      <c r="P59" s="64">
        <v>0.32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4" t="s">
        <v>2890</v>
      </c>
      <c r="B60" s="64">
        <v>2.2200000000000002</v>
      </c>
      <c r="C60" s="64">
        <v>5.66</v>
      </c>
      <c r="D60" s="64">
        <v>4.7300000000000004</v>
      </c>
      <c r="E60" s="64">
        <v>4.99</v>
      </c>
      <c r="F60" s="64">
        <v>4.13</v>
      </c>
      <c r="G60" s="64">
        <v>20.28</v>
      </c>
      <c r="H60" s="64">
        <v>3.26</v>
      </c>
      <c r="I60" s="64">
        <v>2.86</v>
      </c>
      <c r="J60" s="64">
        <v>0.16</v>
      </c>
      <c r="K60" s="64">
        <v>15.34</v>
      </c>
      <c r="L60" s="64">
        <v>30.64</v>
      </c>
      <c r="M60" s="64">
        <v>71.290000000000006</v>
      </c>
      <c r="N60" s="64">
        <v>445.7</v>
      </c>
      <c r="O60" s="64">
        <v>0</v>
      </c>
      <c r="P60" s="64">
        <v>0.3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4" t="s">
        <v>2891</v>
      </c>
      <c r="B61" s="64">
        <v>2.11</v>
      </c>
      <c r="C61" s="64">
        <v>5.6</v>
      </c>
      <c r="D61" s="64">
        <v>4.62</v>
      </c>
      <c r="E61" s="64">
        <v>4.67</v>
      </c>
      <c r="F61" s="64">
        <v>4.2</v>
      </c>
      <c r="G61" s="64">
        <v>20.74</v>
      </c>
      <c r="H61" s="64">
        <v>3.06</v>
      </c>
      <c r="I61" s="64">
        <v>2.4300000000000002</v>
      </c>
      <c r="J61" s="64">
        <v>0.28999999999999998</v>
      </c>
      <c r="K61" s="64">
        <v>30.39</v>
      </c>
      <c r="L61" s="64">
        <v>30.73</v>
      </c>
      <c r="M61" s="64">
        <v>71.53</v>
      </c>
      <c r="N61" s="64">
        <v>366</v>
      </c>
      <c r="O61" s="64">
        <v>0</v>
      </c>
      <c r="P61" s="64">
        <v>0.31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4" t="s">
        <v>2892</v>
      </c>
      <c r="B62" s="64">
        <v>2.39</v>
      </c>
      <c r="C62" s="64">
        <v>7.72</v>
      </c>
      <c r="D62" s="64">
        <v>5.95</v>
      </c>
      <c r="E62" s="64">
        <v>4.17</v>
      </c>
      <c r="F62" s="64">
        <v>7.69</v>
      </c>
      <c r="G62" s="64">
        <v>21.92</v>
      </c>
      <c r="H62" s="64">
        <v>2.2799999999999998</v>
      </c>
      <c r="I62" s="64">
        <v>2.11</v>
      </c>
      <c r="J62" s="64">
        <v>0.17</v>
      </c>
      <c r="K62" s="64">
        <v>82.75</v>
      </c>
      <c r="L62" s="64">
        <v>30.18</v>
      </c>
      <c r="M62" s="64">
        <v>74.37</v>
      </c>
      <c r="N62" s="64">
        <v>320</v>
      </c>
      <c r="O62" s="64">
        <v>0</v>
      </c>
      <c r="P62" s="64">
        <v>0.3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4" t="s">
        <v>2893</v>
      </c>
      <c r="B63" s="64">
        <v>1.86</v>
      </c>
      <c r="C63" s="64">
        <v>11.99</v>
      </c>
      <c r="D63" s="64">
        <v>7.76</v>
      </c>
      <c r="E63" s="64">
        <v>4.96</v>
      </c>
      <c r="F63" s="64">
        <v>8.01</v>
      </c>
      <c r="G63" s="64">
        <v>21.92</v>
      </c>
      <c r="H63" s="64">
        <v>2.2799999999999998</v>
      </c>
      <c r="I63" s="64">
        <v>0</v>
      </c>
      <c r="J63" s="64">
        <v>0.14000000000000001</v>
      </c>
      <c r="K63" s="64">
        <v>329.91</v>
      </c>
      <c r="L63" s="64">
        <v>30.47</v>
      </c>
      <c r="M63" s="64">
        <v>72.37</v>
      </c>
      <c r="N63" s="64">
        <v>254.9</v>
      </c>
      <c r="O63" s="64">
        <v>0</v>
      </c>
      <c r="P63" s="64">
        <v>0.28999999999999998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4" t="s">
        <v>2894</v>
      </c>
      <c r="B64" s="64">
        <v>1.65</v>
      </c>
      <c r="C64" s="64">
        <v>13.84</v>
      </c>
      <c r="D64" s="64">
        <v>8.5500000000000007</v>
      </c>
      <c r="E64" s="64">
        <v>6.24</v>
      </c>
      <c r="F64" s="64">
        <v>18.2</v>
      </c>
      <c r="G64" s="64">
        <v>21.92</v>
      </c>
      <c r="H64" s="64">
        <v>2.2799999999999998</v>
      </c>
      <c r="I64" s="64">
        <v>0</v>
      </c>
      <c r="J64" s="64">
        <v>0.11</v>
      </c>
      <c r="K64" s="64">
        <v>350</v>
      </c>
      <c r="L64" s="64">
        <v>30.83</v>
      </c>
      <c r="M64" s="64">
        <v>70.19</v>
      </c>
      <c r="N64" s="64">
        <v>260.5</v>
      </c>
      <c r="O64" s="64">
        <v>0</v>
      </c>
      <c r="P64" s="64">
        <v>0.32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4" t="s">
        <v>2895</v>
      </c>
      <c r="B65" s="64">
        <v>1.23</v>
      </c>
      <c r="C65" s="64">
        <v>13.79</v>
      </c>
      <c r="D65" s="64">
        <v>8.19</v>
      </c>
      <c r="E65" s="64">
        <v>5.83</v>
      </c>
      <c r="F65" s="64">
        <v>11.86</v>
      </c>
      <c r="G65" s="64">
        <v>21.32</v>
      </c>
      <c r="H65" s="64">
        <v>2.21</v>
      </c>
      <c r="I65" s="64">
        <v>0</v>
      </c>
      <c r="J65" s="64">
        <v>0.09</v>
      </c>
      <c r="K65" s="64">
        <v>15.71</v>
      </c>
      <c r="L65" s="64">
        <v>30.9</v>
      </c>
      <c r="M65" s="64">
        <v>70.69</v>
      </c>
      <c r="N65" s="64">
        <v>264.39999999999998</v>
      </c>
      <c r="O65" s="64">
        <v>0</v>
      </c>
      <c r="P65" s="64">
        <v>0.31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4" t="s">
        <v>2896</v>
      </c>
      <c r="B66" s="64">
        <v>0.7</v>
      </c>
      <c r="C66" s="64">
        <v>11.87</v>
      </c>
      <c r="D66" s="64">
        <v>6.76</v>
      </c>
      <c r="E66" s="64">
        <v>5.58</v>
      </c>
      <c r="F66" s="64">
        <v>9.17</v>
      </c>
      <c r="G66" s="64">
        <v>19.77</v>
      </c>
      <c r="H66" s="64">
        <v>2.09</v>
      </c>
      <c r="I66" s="64">
        <v>0.42</v>
      </c>
      <c r="J66" s="64">
        <v>0.4</v>
      </c>
      <c r="K66" s="64">
        <v>352.48</v>
      </c>
      <c r="L66" s="64">
        <v>30.47</v>
      </c>
      <c r="M66" s="64">
        <v>69.52</v>
      </c>
      <c r="N66" s="64">
        <v>152.6</v>
      </c>
      <c r="O66" s="64">
        <v>0</v>
      </c>
      <c r="P66" s="64">
        <v>0.28999999999999998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4" t="s">
        <v>2897</v>
      </c>
      <c r="B67" s="64">
        <v>0.76</v>
      </c>
      <c r="C67" s="64">
        <v>10.28</v>
      </c>
      <c r="D67" s="64">
        <v>5.98</v>
      </c>
      <c r="E67" s="64">
        <v>5.0199999999999996</v>
      </c>
      <c r="F67" s="64">
        <v>6.2</v>
      </c>
      <c r="G67" s="64">
        <v>19.77</v>
      </c>
      <c r="H67" s="64">
        <v>2.09</v>
      </c>
      <c r="I67" s="64">
        <v>0.64</v>
      </c>
      <c r="J67" s="64">
        <v>0.46</v>
      </c>
      <c r="K67" s="64">
        <v>1.92</v>
      </c>
      <c r="L67" s="64">
        <v>30.52</v>
      </c>
      <c r="M67" s="64">
        <v>69.7</v>
      </c>
      <c r="N67" s="64">
        <v>168.4</v>
      </c>
      <c r="O67" s="64">
        <v>0</v>
      </c>
      <c r="P67" s="64">
        <v>0.31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2898</v>
      </c>
      <c r="B68" s="64">
        <v>1.29</v>
      </c>
      <c r="C68" s="64">
        <v>8.9499999999999993</v>
      </c>
      <c r="D68" s="64">
        <v>5.71</v>
      </c>
      <c r="E68" s="64">
        <v>5.01</v>
      </c>
      <c r="F68" s="64">
        <v>4.82</v>
      </c>
      <c r="G68" s="64">
        <v>19.77</v>
      </c>
      <c r="H68" s="64">
        <v>2.09</v>
      </c>
      <c r="I68" s="64">
        <v>0.76</v>
      </c>
      <c r="J68" s="64">
        <v>0.2</v>
      </c>
      <c r="K68" s="64">
        <v>26.8</v>
      </c>
      <c r="L68" s="64">
        <v>30.5</v>
      </c>
      <c r="M68" s="64">
        <v>69.47</v>
      </c>
      <c r="N68" s="64">
        <v>139.1</v>
      </c>
      <c r="O68" s="64">
        <v>0</v>
      </c>
      <c r="P68" s="64">
        <v>0.3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4" t="s">
        <v>2899</v>
      </c>
      <c r="B69" s="64">
        <v>1.46</v>
      </c>
      <c r="C69" s="64">
        <v>7.88</v>
      </c>
      <c r="D69" s="64">
        <v>5.29</v>
      </c>
      <c r="E69" s="64">
        <v>4.83</v>
      </c>
      <c r="F69" s="64">
        <v>4.74</v>
      </c>
      <c r="G69" s="64">
        <v>19.96</v>
      </c>
      <c r="H69" s="64">
        <v>2.09</v>
      </c>
      <c r="I69" s="64">
        <v>1.07</v>
      </c>
      <c r="J69" s="64">
        <v>0.18</v>
      </c>
      <c r="K69" s="64">
        <v>70.33</v>
      </c>
      <c r="L69" s="64">
        <v>30.05</v>
      </c>
      <c r="M69" s="64">
        <v>71.95</v>
      </c>
      <c r="N69" s="64">
        <v>125.7</v>
      </c>
      <c r="O69" s="64">
        <v>0</v>
      </c>
      <c r="P69" s="64">
        <v>0.3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4" t="s">
        <v>2900</v>
      </c>
      <c r="B70" s="64">
        <v>1.7</v>
      </c>
      <c r="C70" s="64">
        <v>7.47</v>
      </c>
      <c r="D70" s="64">
        <v>5.27</v>
      </c>
      <c r="E70" s="64">
        <v>4.6100000000000003</v>
      </c>
      <c r="F70" s="64">
        <v>4.8099999999999996</v>
      </c>
      <c r="G70" s="64">
        <v>20.46</v>
      </c>
      <c r="H70" s="64">
        <v>2.0699999999999998</v>
      </c>
      <c r="I70" s="64">
        <v>0.92</v>
      </c>
      <c r="J70" s="64">
        <v>0.1</v>
      </c>
      <c r="K70" s="64">
        <v>18.97</v>
      </c>
      <c r="L70" s="64">
        <v>29.84</v>
      </c>
      <c r="M70" s="64">
        <v>72.03</v>
      </c>
      <c r="N70" s="64">
        <v>112.7</v>
      </c>
      <c r="O70" s="64">
        <v>0</v>
      </c>
      <c r="P70" s="64">
        <v>0.31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4" t="s">
        <v>2901</v>
      </c>
      <c r="B71" s="64">
        <v>1.73</v>
      </c>
      <c r="C71" s="64">
        <v>6.73</v>
      </c>
      <c r="D71" s="64">
        <v>4.9000000000000004</v>
      </c>
      <c r="E71" s="64">
        <v>4.62</v>
      </c>
      <c r="F71" s="64">
        <v>4.03</v>
      </c>
      <c r="G71" s="64">
        <v>20.46</v>
      </c>
      <c r="H71" s="64">
        <v>2.0699999999999998</v>
      </c>
      <c r="I71" s="64">
        <v>0.96</v>
      </c>
      <c r="J71" s="64">
        <v>0.16</v>
      </c>
      <c r="K71" s="64">
        <v>53.75</v>
      </c>
      <c r="L71" s="64">
        <v>29.74</v>
      </c>
      <c r="M71" s="64">
        <v>71.040000000000006</v>
      </c>
      <c r="N71" s="64">
        <v>104.8</v>
      </c>
      <c r="O71" s="64">
        <v>0</v>
      </c>
      <c r="P71" s="64">
        <v>0.32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4" t="s">
        <v>2902</v>
      </c>
      <c r="B72" s="64">
        <v>1.66</v>
      </c>
      <c r="C72" s="64">
        <v>5.99</v>
      </c>
      <c r="D72" s="64">
        <v>4.46</v>
      </c>
      <c r="E72" s="64">
        <v>4.28</v>
      </c>
      <c r="F72" s="64">
        <v>4.21</v>
      </c>
      <c r="G72" s="64">
        <v>20.46</v>
      </c>
      <c r="H72" s="64">
        <v>2.0699999999999998</v>
      </c>
      <c r="I72" s="64">
        <v>1.5</v>
      </c>
      <c r="J72" s="64">
        <v>0.25</v>
      </c>
      <c r="K72" s="64">
        <v>351.89</v>
      </c>
      <c r="L72" s="64">
        <v>29.86</v>
      </c>
      <c r="M72" s="64">
        <v>72</v>
      </c>
      <c r="N72" s="64">
        <v>115.5</v>
      </c>
      <c r="O72" s="64">
        <v>0</v>
      </c>
      <c r="P72" s="64">
        <v>0.31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4" t="s">
        <v>2903</v>
      </c>
      <c r="B73" s="64">
        <v>1.86</v>
      </c>
      <c r="C73" s="64">
        <v>6.42</v>
      </c>
      <c r="D73" s="64">
        <v>4.8499999999999996</v>
      </c>
      <c r="E73" s="64">
        <v>4.0599999999999996</v>
      </c>
      <c r="F73" s="64">
        <v>4.92</v>
      </c>
      <c r="G73" s="64">
        <v>20.7</v>
      </c>
      <c r="H73" s="64">
        <v>3.37</v>
      </c>
      <c r="I73" s="64">
        <v>1.46</v>
      </c>
      <c r="J73" s="64">
        <v>0.33</v>
      </c>
      <c r="K73" s="64">
        <v>108.47</v>
      </c>
      <c r="L73" s="64">
        <v>29.66</v>
      </c>
      <c r="M73" s="64">
        <v>72.66</v>
      </c>
      <c r="N73" s="64">
        <v>100.9</v>
      </c>
      <c r="O73" s="64">
        <v>0</v>
      </c>
      <c r="P73" s="64">
        <v>0.31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4" t="s">
        <v>2904</v>
      </c>
      <c r="B74" s="64">
        <v>2.0699999999999998</v>
      </c>
      <c r="C74" s="64">
        <v>6.45</v>
      </c>
      <c r="D74" s="64">
        <v>5.03</v>
      </c>
      <c r="E74" s="64">
        <v>4.34</v>
      </c>
      <c r="F74" s="64">
        <v>3.86</v>
      </c>
      <c r="G74" s="64">
        <v>21.31</v>
      </c>
      <c r="H74" s="64">
        <v>5.54</v>
      </c>
      <c r="I74" s="64">
        <v>1.6</v>
      </c>
      <c r="J74" s="64">
        <v>0.67</v>
      </c>
      <c r="K74" s="64">
        <v>124.73</v>
      </c>
      <c r="L74" s="64">
        <v>29.1</v>
      </c>
      <c r="M74" s="64">
        <v>75.64</v>
      </c>
      <c r="N74" s="64">
        <v>77.900000000000006</v>
      </c>
      <c r="O74" s="64">
        <v>0</v>
      </c>
      <c r="P74" s="64">
        <v>0.3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2905</v>
      </c>
      <c r="B75" s="64">
        <v>2.11</v>
      </c>
      <c r="C75" s="64">
        <v>5.79</v>
      </c>
      <c r="D75" s="64">
        <v>4.72</v>
      </c>
      <c r="E75" s="64">
        <v>4.18</v>
      </c>
      <c r="F75" s="64">
        <v>3.97</v>
      </c>
      <c r="G75" s="64">
        <v>21.31</v>
      </c>
      <c r="H75" s="64">
        <v>5.54</v>
      </c>
      <c r="I75" s="64">
        <v>1.73</v>
      </c>
      <c r="J75" s="64">
        <v>0.24</v>
      </c>
      <c r="K75" s="64">
        <v>113.6</v>
      </c>
      <c r="L75" s="64">
        <v>28.92</v>
      </c>
      <c r="M75" s="64">
        <v>77.16</v>
      </c>
      <c r="N75" s="64">
        <v>67</v>
      </c>
      <c r="O75" s="64">
        <v>0</v>
      </c>
      <c r="P75" s="64">
        <v>0.28999999999999998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2906</v>
      </c>
      <c r="B76" s="64">
        <v>2.16</v>
      </c>
      <c r="C76" s="64">
        <v>5.58</v>
      </c>
      <c r="D76" s="64">
        <v>4.6500000000000004</v>
      </c>
      <c r="E76" s="64">
        <v>3.89</v>
      </c>
      <c r="F76" s="64">
        <v>5.16</v>
      </c>
      <c r="G76" s="64">
        <v>21.31</v>
      </c>
      <c r="H76" s="64">
        <v>5.54</v>
      </c>
      <c r="I76" s="64">
        <v>1.23</v>
      </c>
      <c r="J76" s="64">
        <v>0.28000000000000003</v>
      </c>
      <c r="K76" s="64">
        <v>116.14</v>
      </c>
      <c r="L76" s="64">
        <v>28.71</v>
      </c>
      <c r="M76" s="64">
        <v>79.34</v>
      </c>
      <c r="N76" s="64">
        <v>60.1</v>
      </c>
      <c r="O76" s="64">
        <v>0</v>
      </c>
      <c r="P76" s="64">
        <v>0.28999999999999998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4" t="s">
        <v>2907</v>
      </c>
      <c r="B77" s="64">
        <v>2.2599999999999998</v>
      </c>
      <c r="C77" s="64">
        <v>5.64</v>
      </c>
      <c r="D77" s="64">
        <v>4.76</v>
      </c>
      <c r="E77" s="64">
        <v>4.09</v>
      </c>
      <c r="F77" s="64">
        <v>5.25</v>
      </c>
      <c r="G77" s="64">
        <v>20.87</v>
      </c>
      <c r="H77" s="64">
        <v>5.78</v>
      </c>
      <c r="I77" s="64">
        <v>0.97</v>
      </c>
      <c r="J77" s="64">
        <v>0.16</v>
      </c>
      <c r="K77" s="64">
        <v>8.31</v>
      </c>
      <c r="L77" s="64">
        <v>28.6</v>
      </c>
      <c r="M77" s="64">
        <v>79.84</v>
      </c>
      <c r="N77" s="64">
        <v>53</v>
      </c>
      <c r="O77" s="64">
        <v>0</v>
      </c>
      <c r="P77" s="64">
        <v>0.43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4" t="s">
        <v>2908</v>
      </c>
      <c r="B78" s="64">
        <v>2.75</v>
      </c>
      <c r="C78" s="64">
        <v>5.9</v>
      </c>
      <c r="D78" s="64">
        <v>5.29</v>
      </c>
      <c r="E78" s="64">
        <v>4.1100000000000003</v>
      </c>
      <c r="F78" s="64">
        <v>4.6100000000000003</v>
      </c>
      <c r="G78" s="64">
        <v>19.7</v>
      </c>
      <c r="H78" s="64">
        <v>6.68</v>
      </c>
      <c r="I78" s="64">
        <v>0.76</v>
      </c>
      <c r="J78" s="64">
        <v>0.14000000000000001</v>
      </c>
      <c r="K78" s="64">
        <v>324.66000000000003</v>
      </c>
      <c r="L78" s="64">
        <v>28.59</v>
      </c>
      <c r="M78" s="64">
        <v>79.92</v>
      </c>
      <c r="N78" s="64">
        <v>45.8</v>
      </c>
      <c r="O78" s="64">
        <v>0</v>
      </c>
      <c r="P78" s="64">
        <v>0.56999999999999995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4" t="s">
        <v>2909</v>
      </c>
      <c r="B79" s="64">
        <v>3.34</v>
      </c>
      <c r="C79" s="64">
        <v>6.02</v>
      </c>
      <c r="D79" s="64">
        <v>5.82</v>
      </c>
      <c r="E79" s="64">
        <v>4.33</v>
      </c>
      <c r="F79" s="64">
        <v>4.5599999999999996</v>
      </c>
      <c r="G79" s="64">
        <v>19.7</v>
      </c>
      <c r="H79" s="64">
        <v>6.68</v>
      </c>
      <c r="I79" s="64">
        <v>0.82</v>
      </c>
      <c r="J79" s="64">
        <v>0.18</v>
      </c>
      <c r="K79" s="64">
        <v>15.71</v>
      </c>
      <c r="L79" s="64">
        <v>28.1</v>
      </c>
      <c r="M79" s="64">
        <v>84.02</v>
      </c>
      <c r="N79" s="64">
        <v>39.200000000000003</v>
      </c>
      <c r="O79" s="64">
        <v>0</v>
      </c>
      <c r="P79" s="64">
        <v>0.4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4" t="s">
        <v>2910</v>
      </c>
      <c r="B80" s="64">
        <v>3.5</v>
      </c>
      <c r="C80" s="64">
        <v>5.96</v>
      </c>
      <c r="D80" s="64">
        <v>5.91</v>
      </c>
      <c r="E80" s="64">
        <v>4.2300000000000004</v>
      </c>
      <c r="F80" s="64">
        <v>4.66</v>
      </c>
      <c r="G80" s="64">
        <v>19.7</v>
      </c>
      <c r="H80" s="64">
        <v>6.68</v>
      </c>
      <c r="I80" s="64">
        <v>1.44</v>
      </c>
      <c r="J80" s="64">
        <v>0.37</v>
      </c>
      <c r="K80" s="64">
        <v>31.69</v>
      </c>
      <c r="L80" s="64">
        <v>27.52</v>
      </c>
      <c r="M80" s="64">
        <v>87.89</v>
      </c>
      <c r="N80" s="64">
        <v>28.9</v>
      </c>
      <c r="O80" s="64">
        <v>0</v>
      </c>
      <c r="P80" s="64">
        <v>0.35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4" t="s">
        <v>2911</v>
      </c>
      <c r="B81" s="64">
        <v>3.56</v>
      </c>
      <c r="C81" s="64">
        <v>5.9</v>
      </c>
      <c r="D81" s="64">
        <v>5.94</v>
      </c>
      <c r="E81" s="64">
        <v>4.55</v>
      </c>
      <c r="F81" s="64">
        <v>4.54</v>
      </c>
      <c r="G81" s="64">
        <v>21.07</v>
      </c>
      <c r="H81" s="64">
        <v>5.98</v>
      </c>
      <c r="I81" s="64">
        <v>1.04</v>
      </c>
      <c r="J81" s="64">
        <v>0.26</v>
      </c>
      <c r="K81" s="64">
        <v>114.95</v>
      </c>
      <c r="L81" s="64">
        <v>27.45</v>
      </c>
      <c r="M81" s="64">
        <v>86.07</v>
      </c>
      <c r="N81" s="64">
        <v>26.4</v>
      </c>
      <c r="O81" s="64">
        <v>0</v>
      </c>
      <c r="P81" s="64">
        <v>0.42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2912</v>
      </c>
      <c r="B82" s="64">
        <v>3.74</v>
      </c>
      <c r="C82" s="64">
        <v>6.16</v>
      </c>
      <c r="D82" s="64">
        <v>6.22</v>
      </c>
      <c r="E82" s="64">
        <v>4.25</v>
      </c>
      <c r="F82" s="64">
        <v>4.5</v>
      </c>
      <c r="G82" s="64">
        <v>24.64</v>
      </c>
      <c r="H82" s="64">
        <v>4.8099999999999996</v>
      </c>
      <c r="I82" s="64">
        <v>0.76</v>
      </c>
      <c r="J82" s="64">
        <v>0.24</v>
      </c>
      <c r="K82" s="64">
        <v>133.88999999999999</v>
      </c>
      <c r="L82" s="64">
        <v>27.42</v>
      </c>
      <c r="M82" s="64">
        <v>87.46</v>
      </c>
      <c r="N82" s="64">
        <v>26.1</v>
      </c>
      <c r="O82" s="64">
        <v>0</v>
      </c>
      <c r="P82" s="64">
        <v>0.42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4" t="s">
        <v>2913</v>
      </c>
      <c r="B83" s="64">
        <v>3.94</v>
      </c>
      <c r="C83" s="64">
        <v>6.31</v>
      </c>
      <c r="D83" s="64">
        <v>6.45</v>
      </c>
      <c r="E83" s="64">
        <v>4.6399999999999997</v>
      </c>
      <c r="F83" s="64">
        <v>4.59</v>
      </c>
      <c r="G83" s="64">
        <v>24.64</v>
      </c>
      <c r="H83" s="64">
        <v>4.8099999999999996</v>
      </c>
      <c r="I83" s="64">
        <v>0.85</v>
      </c>
      <c r="J83" s="64">
        <v>0.35</v>
      </c>
      <c r="K83" s="64">
        <v>134.18</v>
      </c>
      <c r="L83" s="64">
        <v>27.3</v>
      </c>
      <c r="M83" s="64">
        <v>89.09</v>
      </c>
      <c r="N83" s="64">
        <v>26.1</v>
      </c>
      <c r="O83" s="64">
        <v>0</v>
      </c>
      <c r="P83" s="64">
        <v>0.43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4" t="s">
        <v>2914</v>
      </c>
      <c r="B84" s="64">
        <v>4.21</v>
      </c>
      <c r="C84" s="64">
        <v>7.03</v>
      </c>
      <c r="D84" s="64">
        <v>7.04</v>
      </c>
      <c r="E84" s="64">
        <v>4.6500000000000004</v>
      </c>
      <c r="F84" s="64">
        <v>4.75</v>
      </c>
      <c r="G84" s="64">
        <v>24.64</v>
      </c>
      <c r="H84" s="64">
        <v>4.8099999999999996</v>
      </c>
      <c r="I84" s="64">
        <v>1.03</v>
      </c>
      <c r="J84" s="64">
        <v>0.4</v>
      </c>
      <c r="K84" s="64">
        <v>187.07</v>
      </c>
      <c r="L84" s="64">
        <v>27.07</v>
      </c>
      <c r="M84" s="64">
        <v>90.55</v>
      </c>
      <c r="N84" s="64">
        <v>26.2</v>
      </c>
      <c r="O84" s="64">
        <v>0</v>
      </c>
      <c r="P84" s="64">
        <v>0.43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4" t="s">
        <v>2915</v>
      </c>
      <c r="B85" s="64">
        <v>4.3</v>
      </c>
      <c r="C85" s="64">
        <v>7.14</v>
      </c>
      <c r="D85" s="64">
        <v>7.18</v>
      </c>
      <c r="E85" s="64">
        <v>5.03</v>
      </c>
      <c r="F85" s="64">
        <v>4.07</v>
      </c>
      <c r="G85" s="64">
        <v>25.25</v>
      </c>
      <c r="H85" s="64">
        <v>4.5</v>
      </c>
      <c r="I85" s="64">
        <v>1.34</v>
      </c>
      <c r="J85" s="64">
        <v>0.16</v>
      </c>
      <c r="K85" s="64">
        <v>286.04000000000002</v>
      </c>
      <c r="L85" s="64">
        <v>26.88</v>
      </c>
      <c r="M85" s="64">
        <v>92.37</v>
      </c>
      <c r="N85" s="64">
        <v>26.1</v>
      </c>
      <c r="O85" s="64">
        <v>0</v>
      </c>
      <c r="P85" s="64">
        <v>0.38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4" t="s">
        <v>2916</v>
      </c>
      <c r="B86" s="64">
        <v>4.46</v>
      </c>
      <c r="C86" s="64">
        <v>6.87</v>
      </c>
      <c r="D86" s="64">
        <v>7.17</v>
      </c>
      <c r="E86" s="64">
        <v>4.75</v>
      </c>
      <c r="F86" s="64">
        <v>4.2699999999999996</v>
      </c>
      <c r="G86" s="64">
        <v>26.84</v>
      </c>
      <c r="H86" s="64">
        <v>3.98</v>
      </c>
      <c r="I86" s="64">
        <v>1.61</v>
      </c>
      <c r="J86" s="64">
        <v>0.18</v>
      </c>
      <c r="K86" s="64">
        <v>334.8</v>
      </c>
      <c r="L86" s="64">
        <v>26.91</v>
      </c>
      <c r="M86" s="64">
        <v>92</v>
      </c>
      <c r="N86" s="64">
        <v>26.1</v>
      </c>
      <c r="O86" s="64">
        <v>0</v>
      </c>
      <c r="P86" s="64">
        <v>0.38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4" t="s">
        <v>2917</v>
      </c>
      <c r="B87" s="64">
        <v>4.7699999999999996</v>
      </c>
      <c r="C87" s="64">
        <v>7.23</v>
      </c>
      <c r="D87" s="64">
        <v>7.6</v>
      </c>
      <c r="E87" s="64">
        <v>4.51</v>
      </c>
      <c r="F87" s="64">
        <v>3.32</v>
      </c>
      <c r="G87" s="64">
        <v>26.84</v>
      </c>
      <c r="H87" s="64">
        <v>3.98</v>
      </c>
      <c r="I87" s="64">
        <v>1.24</v>
      </c>
      <c r="J87" s="64">
        <v>0.19</v>
      </c>
      <c r="K87" s="64">
        <v>133.9</v>
      </c>
      <c r="L87" s="64">
        <v>26.78</v>
      </c>
      <c r="M87" s="64">
        <v>93.46</v>
      </c>
      <c r="N87" s="64">
        <v>26.1</v>
      </c>
      <c r="O87" s="64">
        <v>0</v>
      </c>
      <c r="P87" s="64">
        <v>0.39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4" t="s">
        <v>2918</v>
      </c>
      <c r="B88" s="64">
        <v>5.03</v>
      </c>
      <c r="C88" s="64">
        <v>6.91</v>
      </c>
      <c r="D88" s="64">
        <v>7.65</v>
      </c>
      <c r="E88" s="64">
        <v>3.83</v>
      </c>
      <c r="F88" s="64">
        <v>3.42</v>
      </c>
      <c r="G88" s="64">
        <v>26.84</v>
      </c>
      <c r="H88" s="64">
        <v>3.98</v>
      </c>
      <c r="I88" s="64">
        <v>1.67</v>
      </c>
      <c r="J88" s="64">
        <v>0.17</v>
      </c>
      <c r="K88" s="64">
        <v>128.56</v>
      </c>
      <c r="L88" s="64">
        <v>26.68</v>
      </c>
      <c r="M88" s="64">
        <v>94.75</v>
      </c>
      <c r="N88" s="64">
        <v>26</v>
      </c>
      <c r="O88" s="64">
        <v>0</v>
      </c>
      <c r="P88" s="64">
        <v>0.43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4" t="s">
        <v>2919</v>
      </c>
      <c r="B89" s="64">
        <v>5.41</v>
      </c>
      <c r="C89" s="64">
        <v>6.86</v>
      </c>
      <c r="D89" s="64">
        <v>7.92</v>
      </c>
      <c r="E89" s="64">
        <v>3.89</v>
      </c>
      <c r="F89" s="64">
        <v>4.32</v>
      </c>
      <c r="G89" s="64">
        <v>26.56</v>
      </c>
      <c r="H89" s="64">
        <v>5.43</v>
      </c>
      <c r="I89" s="64">
        <v>2.0099999999999998</v>
      </c>
      <c r="J89" s="64">
        <v>0.42</v>
      </c>
      <c r="K89" s="64">
        <v>124.94</v>
      </c>
      <c r="L89" s="64">
        <v>26.69</v>
      </c>
      <c r="M89" s="64">
        <v>94.96</v>
      </c>
      <c r="N89" s="64">
        <v>25.8</v>
      </c>
      <c r="O89" s="64">
        <v>0</v>
      </c>
      <c r="P89" s="64">
        <v>0.46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4" t="s">
        <v>2920</v>
      </c>
      <c r="B90" s="64">
        <v>6.09</v>
      </c>
      <c r="C90" s="64">
        <v>7.39</v>
      </c>
      <c r="D90" s="64">
        <v>8.75</v>
      </c>
      <c r="E90" s="64">
        <v>3.9</v>
      </c>
      <c r="F90" s="64">
        <v>3.8</v>
      </c>
      <c r="G90" s="64">
        <v>25.84</v>
      </c>
      <c r="H90" s="64">
        <v>7.86</v>
      </c>
      <c r="I90" s="64">
        <v>1.3</v>
      </c>
      <c r="J90" s="64">
        <v>0.37</v>
      </c>
      <c r="K90" s="64">
        <v>112.18</v>
      </c>
      <c r="L90" s="64">
        <v>26.55</v>
      </c>
      <c r="M90" s="64">
        <v>96.05</v>
      </c>
      <c r="N90" s="64">
        <v>26.1</v>
      </c>
      <c r="O90" s="64">
        <v>0</v>
      </c>
      <c r="P90" s="64">
        <v>0.46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4" t="s">
        <v>2921</v>
      </c>
      <c r="B91" s="64">
        <v>6.94</v>
      </c>
      <c r="C91" s="64">
        <v>7.33</v>
      </c>
      <c r="D91" s="64">
        <v>9.39</v>
      </c>
      <c r="E91" s="64">
        <v>4.07</v>
      </c>
      <c r="F91" s="64">
        <v>2.9</v>
      </c>
      <c r="G91" s="64">
        <v>25.84</v>
      </c>
      <c r="H91" s="64">
        <v>7.86</v>
      </c>
      <c r="I91" s="64">
        <v>1.82</v>
      </c>
      <c r="J91" s="64">
        <v>0.66</v>
      </c>
      <c r="K91" s="64">
        <v>128.43</v>
      </c>
      <c r="L91" s="64">
        <v>26.62</v>
      </c>
      <c r="M91" s="64">
        <v>96.23</v>
      </c>
      <c r="N91" s="64">
        <v>25.8</v>
      </c>
      <c r="O91" s="64">
        <v>0</v>
      </c>
      <c r="P91" s="64">
        <v>0.44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4" t="s">
        <v>2922</v>
      </c>
      <c r="B92" s="64">
        <v>7.59</v>
      </c>
      <c r="C92" s="64">
        <v>7.01</v>
      </c>
      <c r="D92" s="64">
        <v>9.75</v>
      </c>
      <c r="E92" s="64">
        <v>3.88</v>
      </c>
      <c r="F92" s="64">
        <v>4.3099999999999996</v>
      </c>
      <c r="G92" s="64">
        <v>25.84</v>
      </c>
      <c r="H92" s="64">
        <v>7.86</v>
      </c>
      <c r="I92" s="64">
        <v>2.37</v>
      </c>
      <c r="J92" s="64">
        <v>0.74</v>
      </c>
      <c r="K92" s="64">
        <v>133.72</v>
      </c>
      <c r="L92" s="64">
        <v>26.57</v>
      </c>
      <c r="M92" s="64">
        <v>95.74</v>
      </c>
      <c r="N92" s="64">
        <v>26</v>
      </c>
      <c r="O92" s="64">
        <v>0</v>
      </c>
      <c r="P92" s="64">
        <v>0.42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4" t="s">
        <v>2923</v>
      </c>
      <c r="B93" s="64">
        <v>8.14</v>
      </c>
      <c r="C93" s="64">
        <v>6.96</v>
      </c>
      <c r="D93" s="64">
        <v>10.16</v>
      </c>
      <c r="E93" s="64">
        <v>3.96</v>
      </c>
      <c r="F93" s="64">
        <v>3.92</v>
      </c>
      <c r="G93" s="64">
        <v>25.03</v>
      </c>
      <c r="H93" s="64">
        <v>7.96</v>
      </c>
      <c r="I93" s="64">
        <v>1.54</v>
      </c>
      <c r="J93" s="64">
        <v>0.33</v>
      </c>
      <c r="K93" s="64">
        <v>136.93</v>
      </c>
      <c r="L93" s="64">
        <v>26.46</v>
      </c>
      <c r="M93" s="64">
        <v>96.65</v>
      </c>
      <c r="N93" s="64">
        <v>26.1</v>
      </c>
      <c r="O93" s="64">
        <v>0</v>
      </c>
      <c r="P93" s="64">
        <v>0.44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4" t="s">
        <v>2924</v>
      </c>
      <c r="B94" s="64">
        <v>8.7100000000000009</v>
      </c>
      <c r="C94" s="64">
        <v>6.65</v>
      </c>
      <c r="D94" s="64">
        <v>10.46</v>
      </c>
      <c r="E94" s="64">
        <v>3.96</v>
      </c>
      <c r="F94" s="64">
        <v>3.93</v>
      </c>
      <c r="G94" s="64">
        <v>22.92</v>
      </c>
      <c r="H94" s="64">
        <v>8.34</v>
      </c>
      <c r="I94" s="64">
        <v>1.52</v>
      </c>
      <c r="J94" s="64">
        <v>0.09</v>
      </c>
      <c r="K94" s="64">
        <v>56.38</v>
      </c>
      <c r="L94" s="64">
        <v>26.28</v>
      </c>
      <c r="M94" s="64">
        <v>97.9</v>
      </c>
      <c r="N94" s="64">
        <v>26.2</v>
      </c>
      <c r="O94" s="64">
        <v>0</v>
      </c>
      <c r="P94" s="64">
        <v>0.45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2925</v>
      </c>
      <c r="B95" s="64">
        <v>8.8699999999999992</v>
      </c>
      <c r="C95" s="64">
        <v>6.35</v>
      </c>
      <c r="D95" s="64">
        <v>10.43</v>
      </c>
      <c r="E95" s="64">
        <v>4.3</v>
      </c>
      <c r="F95" s="64">
        <v>4.55</v>
      </c>
      <c r="G95" s="64">
        <v>22.92</v>
      </c>
      <c r="H95" s="64">
        <v>8.34</v>
      </c>
      <c r="I95" s="64">
        <v>1.33</v>
      </c>
      <c r="J95" s="64">
        <v>0.09</v>
      </c>
      <c r="K95" s="64">
        <v>155.30000000000001</v>
      </c>
      <c r="L95" s="64">
        <v>26.14</v>
      </c>
      <c r="M95" s="64">
        <v>99.48</v>
      </c>
      <c r="N95" s="64">
        <v>26.1</v>
      </c>
      <c r="O95" s="64">
        <v>0</v>
      </c>
      <c r="P95" s="64">
        <v>0.54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4" t="s">
        <v>2926</v>
      </c>
      <c r="B96" s="64">
        <v>8.9600000000000009</v>
      </c>
      <c r="C96" s="64">
        <v>6.25</v>
      </c>
      <c r="D96" s="64">
        <v>10.45</v>
      </c>
      <c r="E96" s="64">
        <v>3.88</v>
      </c>
      <c r="F96" s="64">
        <v>4.16</v>
      </c>
      <c r="G96" s="64">
        <v>22.92</v>
      </c>
      <c r="H96" s="64">
        <v>8.34</v>
      </c>
      <c r="I96" s="64">
        <v>1.36</v>
      </c>
      <c r="J96" s="64">
        <v>0.23</v>
      </c>
      <c r="K96" s="64">
        <v>24.74</v>
      </c>
      <c r="L96" s="64">
        <v>25.89</v>
      </c>
      <c r="M96" s="64">
        <v>100.89</v>
      </c>
      <c r="N96" s="64">
        <v>26.1</v>
      </c>
      <c r="O96" s="64">
        <v>0</v>
      </c>
      <c r="P96" s="64">
        <v>0.47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2927</v>
      </c>
      <c r="B97" s="64">
        <v>9.07</v>
      </c>
      <c r="C97" s="64">
        <v>6.12</v>
      </c>
      <c r="D97" s="64">
        <v>10.47</v>
      </c>
      <c r="E97" s="64">
        <v>4.01</v>
      </c>
      <c r="F97" s="64">
        <v>3.91</v>
      </c>
      <c r="G97" s="64">
        <v>23.79</v>
      </c>
      <c r="H97" s="64">
        <v>8.0500000000000007</v>
      </c>
      <c r="I97" s="64">
        <v>1.29</v>
      </c>
      <c r="J97" s="64">
        <v>0.1</v>
      </c>
      <c r="K97" s="64">
        <v>9.1</v>
      </c>
      <c r="L97" s="64">
        <v>25.88</v>
      </c>
      <c r="M97" s="64">
        <v>100.29</v>
      </c>
      <c r="N97" s="64">
        <v>26.1</v>
      </c>
      <c r="O97" s="64">
        <v>0</v>
      </c>
      <c r="P97" s="64">
        <v>0.43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4" t="s">
        <v>2928</v>
      </c>
      <c r="B98" s="64">
        <v>9.0399999999999991</v>
      </c>
      <c r="C98" s="64">
        <v>6.11</v>
      </c>
      <c r="D98" s="64">
        <v>10.44</v>
      </c>
      <c r="E98" s="64">
        <v>4.04</v>
      </c>
      <c r="F98" s="64">
        <v>4.22</v>
      </c>
      <c r="G98" s="64">
        <v>26.05</v>
      </c>
      <c r="H98" s="64">
        <v>7.56</v>
      </c>
      <c r="I98" s="64">
        <v>1.22</v>
      </c>
      <c r="J98" s="64">
        <v>0.01</v>
      </c>
      <c r="K98" s="64">
        <v>9.94</v>
      </c>
      <c r="L98" s="64">
        <v>25.82</v>
      </c>
      <c r="M98" s="64">
        <v>100.4</v>
      </c>
      <c r="N98" s="64">
        <v>26.1</v>
      </c>
      <c r="O98" s="64">
        <v>0</v>
      </c>
      <c r="P98" s="64">
        <v>0.41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4" t="s">
        <v>2929</v>
      </c>
      <c r="B99" s="64">
        <v>9</v>
      </c>
      <c r="C99" s="64">
        <v>6.01</v>
      </c>
      <c r="D99" s="64">
        <v>10.35</v>
      </c>
      <c r="E99" s="64">
        <v>4.12</v>
      </c>
      <c r="F99" s="64">
        <v>4.1100000000000003</v>
      </c>
      <c r="G99" s="64">
        <v>26.05</v>
      </c>
      <c r="H99" s="64">
        <v>7.56</v>
      </c>
      <c r="I99" s="64">
        <v>1.1000000000000001</v>
      </c>
      <c r="J99" s="64">
        <v>0.18</v>
      </c>
      <c r="K99" s="64">
        <v>158.19</v>
      </c>
      <c r="L99" s="64">
        <v>25.64</v>
      </c>
      <c r="M99" s="64">
        <v>101.33</v>
      </c>
      <c r="N99" s="64">
        <v>26.1</v>
      </c>
      <c r="O99" s="64">
        <v>0</v>
      </c>
      <c r="P99" s="64">
        <v>0.38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4" t="s">
        <v>2930</v>
      </c>
      <c r="B100" s="64">
        <v>8.9</v>
      </c>
      <c r="C100" s="64">
        <v>6.07</v>
      </c>
      <c r="D100" s="64">
        <v>10.31</v>
      </c>
      <c r="E100" s="64">
        <v>3.88</v>
      </c>
      <c r="F100" s="64">
        <v>4.1900000000000004</v>
      </c>
      <c r="G100" s="64">
        <v>26.05</v>
      </c>
      <c r="H100" s="64">
        <v>7.56</v>
      </c>
      <c r="I100" s="64">
        <v>0.99</v>
      </c>
      <c r="J100" s="64">
        <v>0.59</v>
      </c>
      <c r="K100" s="64">
        <v>146.88</v>
      </c>
      <c r="L100" s="64">
        <v>25.66</v>
      </c>
      <c r="M100" s="64">
        <v>100.83</v>
      </c>
      <c r="N100" s="64">
        <v>25.8</v>
      </c>
      <c r="O100" s="64">
        <v>0</v>
      </c>
      <c r="P100" s="64">
        <v>0.38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2931</v>
      </c>
      <c r="B101" s="64">
        <v>8.83</v>
      </c>
      <c r="C101" s="64">
        <v>6.6</v>
      </c>
      <c r="D101" s="64">
        <v>10.53</v>
      </c>
      <c r="E101" s="64">
        <v>4.62</v>
      </c>
      <c r="F101" s="64">
        <v>4.3</v>
      </c>
      <c r="G101" s="64">
        <v>26.61</v>
      </c>
      <c r="H101" s="64">
        <v>7.44</v>
      </c>
      <c r="I101" s="64">
        <v>1.1200000000000001</v>
      </c>
      <c r="J101" s="64">
        <v>0.22</v>
      </c>
      <c r="K101" s="64">
        <v>98.34</v>
      </c>
      <c r="L101" s="64">
        <v>25.62</v>
      </c>
      <c r="M101" s="64">
        <v>101.13</v>
      </c>
      <c r="N101" s="64">
        <v>26.1</v>
      </c>
      <c r="O101" s="64">
        <v>0</v>
      </c>
      <c r="P101" s="64">
        <v>0.4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4" t="s">
        <v>2932</v>
      </c>
      <c r="B102" s="64">
        <v>8.6300000000000008</v>
      </c>
      <c r="C102" s="64">
        <v>6.25</v>
      </c>
      <c r="D102" s="64">
        <v>10.18</v>
      </c>
      <c r="E102" s="64">
        <v>4.67</v>
      </c>
      <c r="F102" s="64">
        <v>3.11</v>
      </c>
      <c r="G102" s="64">
        <v>28.06</v>
      </c>
      <c r="H102" s="64">
        <v>7.24</v>
      </c>
      <c r="I102" s="64">
        <v>1.98</v>
      </c>
      <c r="J102" s="64">
        <v>0.24</v>
      </c>
      <c r="K102" s="64">
        <v>91.1</v>
      </c>
      <c r="L102" s="64">
        <v>25.44</v>
      </c>
      <c r="M102" s="64">
        <v>101.88</v>
      </c>
      <c r="N102" s="64">
        <v>26.1</v>
      </c>
      <c r="O102" s="64">
        <v>0</v>
      </c>
      <c r="P102" s="64">
        <v>0.36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4" t="s">
        <v>2933</v>
      </c>
      <c r="B103" s="64">
        <v>8.41</v>
      </c>
      <c r="C103" s="64">
        <v>5.92</v>
      </c>
      <c r="D103" s="64">
        <v>9.83</v>
      </c>
      <c r="E103" s="64">
        <v>4.0199999999999996</v>
      </c>
      <c r="F103" s="64">
        <v>4.46</v>
      </c>
      <c r="G103" s="64">
        <v>28.06</v>
      </c>
      <c r="H103" s="64">
        <v>7.24</v>
      </c>
      <c r="I103" s="64">
        <v>2.94</v>
      </c>
      <c r="J103" s="64">
        <v>0.23</v>
      </c>
      <c r="K103" s="64">
        <v>5.4</v>
      </c>
      <c r="L103" s="64">
        <v>25.18</v>
      </c>
      <c r="M103" s="64">
        <v>102.02</v>
      </c>
      <c r="N103" s="64">
        <v>26.2</v>
      </c>
      <c r="O103" s="64">
        <v>0</v>
      </c>
      <c r="P103" s="64">
        <v>0.37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4" t="s">
        <v>2934</v>
      </c>
      <c r="B104" s="64">
        <v>8.27</v>
      </c>
      <c r="C104" s="64">
        <v>6.12</v>
      </c>
      <c r="D104" s="64">
        <v>9.84</v>
      </c>
      <c r="E104" s="64">
        <v>4.62</v>
      </c>
      <c r="F104" s="64">
        <v>3.1</v>
      </c>
      <c r="G104" s="64">
        <v>28.06</v>
      </c>
      <c r="H104" s="64">
        <v>7.24</v>
      </c>
      <c r="I104" s="64">
        <v>1.05</v>
      </c>
      <c r="J104" s="64">
        <v>0.31</v>
      </c>
      <c r="K104" s="64">
        <v>64.61</v>
      </c>
      <c r="L104" s="64">
        <v>25.06</v>
      </c>
      <c r="M104" s="64">
        <v>102.05</v>
      </c>
      <c r="N104" s="64">
        <v>26.1</v>
      </c>
      <c r="O104" s="64">
        <v>0</v>
      </c>
      <c r="P104" s="64">
        <v>0.36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0.7</v>
      </c>
      <c r="C106" s="67">
        <f>MIN(C9:C104)</f>
        <v>3.94</v>
      </c>
      <c r="D106" s="67">
        <f t="shared" ref="D106:Q106" si="0">MIN(D9:D104)</f>
        <v>4.46</v>
      </c>
      <c r="E106" s="67">
        <f t="shared" si="0"/>
        <v>3.83</v>
      </c>
      <c r="F106" s="67">
        <f t="shared" si="0"/>
        <v>2.87</v>
      </c>
      <c r="G106" s="67">
        <f t="shared" si="0"/>
        <v>7.59</v>
      </c>
      <c r="H106" s="67">
        <f t="shared" si="0"/>
        <v>2.0699999999999998</v>
      </c>
      <c r="I106" s="67">
        <f t="shared" si="0"/>
        <v>0</v>
      </c>
      <c r="J106" s="67">
        <f t="shared" si="0"/>
        <v>0.01</v>
      </c>
      <c r="K106" s="67">
        <f t="shared" si="0"/>
        <v>1.92</v>
      </c>
      <c r="L106" s="67">
        <f t="shared" si="0"/>
        <v>22.85</v>
      </c>
      <c r="M106" s="67">
        <f t="shared" si="0"/>
        <v>69.47</v>
      </c>
      <c r="N106" s="67">
        <f t="shared" si="0"/>
        <v>25.8</v>
      </c>
      <c r="O106" s="67">
        <f t="shared" si="0"/>
        <v>0</v>
      </c>
      <c r="P106" s="67">
        <f t="shared" si="0"/>
        <v>0.28000000000000003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12.15</v>
      </c>
      <c r="C107" s="66">
        <f t="shared" ref="C107:Q107" si="1">MAX(C9:C104)</f>
        <v>13.84</v>
      </c>
      <c r="D107" s="66">
        <f t="shared" si="1"/>
        <v>12.49</v>
      </c>
      <c r="E107" s="66">
        <f t="shared" si="1"/>
        <v>6.24</v>
      </c>
      <c r="F107" s="66">
        <f t="shared" si="1"/>
        <v>18.2</v>
      </c>
      <c r="G107" s="66">
        <f t="shared" si="1"/>
        <v>28.06</v>
      </c>
      <c r="H107" s="66">
        <f t="shared" si="1"/>
        <v>8.34</v>
      </c>
      <c r="I107" s="66">
        <f t="shared" si="1"/>
        <v>4.67</v>
      </c>
      <c r="J107" s="66">
        <f t="shared" si="1"/>
        <v>2.13</v>
      </c>
      <c r="K107" s="66">
        <f t="shared" si="1"/>
        <v>352.48</v>
      </c>
      <c r="L107" s="66">
        <f t="shared" si="1"/>
        <v>31.44</v>
      </c>
      <c r="M107" s="66">
        <f t="shared" si="1"/>
        <v>102.1</v>
      </c>
      <c r="N107" s="66">
        <f t="shared" si="1"/>
        <v>928.1</v>
      </c>
      <c r="O107" s="66">
        <f t="shared" si="1"/>
        <v>0</v>
      </c>
      <c r="P107" s="66">
        <f t="shared" si="1"/>
        <v>0.56999999999999995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5.589999999999999</v>
      </c>
      <c r="C108" s="67">
        <f t="shared" ref="C108:Q108" si="2">AVERAGE(C9:C104)</f>
        <v>5.9917708333333346</v>
      </c>
      <c r="D108" s="67">
        <f t="shared" si="2"/>
        <v>7.612708333333333</v>
      </c>
      <c r="E108" s="67">
        <f t="shared" si="2"/>
        <v>4.5958333333333306</v>
      </c>
      <c r="F108" s="67">
        <f t="shared" si="2"/>
        <v>4.3031250000000023</v>
      </c>
      <c r="G108" s="67">
        <f t="shared" si="2"/>
        <v>18.669687499999991</v>
      </c>
      <c r="H108" s="67">
        <f t="shared" si="2"/>
        <v>4.7495833333333346</v>
      </c>
      <c r="I108" s="67">
        <f t="shared" si="2"/>
        <v>2.4118749999999993</v>
      </c>
      <c r="J108" s="67">
        <f t="shared" si="2"/>
        <v>0.56989583333333316</v>
      </c>
      <c r="K108" s="67">
        <f t="shared" si="2"/>
        <v>115.63093750000003</v>
      </c>
      <c r="L108" s="67">
        <f t="shared" si="2"/>
        <v>26.859791666666666</v>
      </c>
      <c r="M108" s="67">
        <f t="shared" si="2"/>
        <v>89.986562499999948</v>
      </c>
      <c r="N108" s="67">
        <f t="shared" si="2"/>
        <v>178.71770833333312</v>
      </c>
      <c r="O108" s="67">
        <f t="shared" si="2"/>
        <v>0</v>
      </c>
      <c r="P108" s="67">
        <f t="shared" si="2"/>
        <v>0.34125</v>
      </c>
      <c r="Q108" s="67">
        <f t="shared" si="2"/>
        <v>9.6131250000000072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2.9049261246155096</v>
      </c>
      <c r="C109" s="67">
        <f t="shared" ref="C109:Q109" si="3">STDEV(C9:C104)</f>
        <v>1.819534350374556</v>
      </c>
      <c r="D109" s="67">
        <f t="shared" si="3"/>
        <v>2.0414187425553232</v>
      </c>
      <c r="E109" s="67">
        <f t="shared" si="3"/>
        <v>0.47810958150809357</v>
      </c>
      <c r="F109" s="67">
        <f t="shared" si="3"/>
        <v>1.8993091888201936</v>
      </c>
      <c r="G109" s="67">
        <f t="shared" si="3"/>
        <v>5.4410263066573323</v>
      </c>
      <c r="H109" s="67">
        <f t="shared" si="3"/>
        <v>1.7845228857665465</v>
      </c>
      <c r="I109" s="67">
        <f t="shared" si="3"/>
        <v>1.2768038323547557</v>
      </c>
      <c r="J109" s="67">
        <f t="shared" si="3"/>
        <v>0.47806957166387098</v>
      </c>
      <c r="K109" s="67">
        <f t="shared" si="3"/>
        <v>77.150365556020688</v>
      </c>
      <c r="L109" s="67">
        <f t="shared" si="3"/>
        <v>2.7189130874657743</v>
      </c>
      <c r="M109" s="67">
        <f t="shared" si="3"/>
        <v>12.266348732084513</v>
      </c>
      <c r="N109" s="67">
        <f t="shared" si="3"/>
        <v>239.21133136106937</v>
      </c>
      <c r="O109" s="67">
        <f t="shared" si="3"/>
        <v>0</v>
      </c>
      <c r="P109" s="67">
        <f t="shared" si="3"/>
        <v>6.0441359140383635E-2</v>
      </c>
      <c r="Q109" s="67">
        <f t="shared" si="3"/>
        <v>7.5828754440516021E-3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COUNT(J9:J104)+2</f>
        <v>98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H123" sqref="H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2935</v>
      </c>
      <c r="B9" s="64">
        <v>8.07</v>
      </c>
      <c r="C9" s="64">
        <v>5.53</v>
      </c>
      <c r="D9" s="64">
        <v>9.36</v>
      </c>
      <c r="E9" s="64">
        <v>4.96</v>
      </c>
      <c r="F9" s="64">
        <v>3.69</v>
      </c>
      <c r="G9" s="64">
        <v>27.06</v>
      </c>
      <c r="H9" s="64">
        <v>7.45</v>
      </c>
      <c r="I9" s="64">
        <v>1.99</v>
      </c>
      <c r="J9" s="64">
        <v>0.24</v>
      </c>
      <c r="K9" s="64">
        <v>309.26</v>
      </c>
      <c r="L9" s="64">
        <v>24.92</v>
      </c>
      <c r="M9" s="64">
        <v>102.03</v>
      </c>
      <c r="N9" s="64">
        <v>26.1</v>
      </c>
      <c r="O9" s="64">
        <v>0</v>
      </c>
      <c r="P9" s="64">
        <v>0.3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2936</v>
      </c>
      <c r="B10" s="64">
        <v>7.89</v>
      </c>
      <c r="C10" s="64">
        <v>5.59</v>
      </c>
      <c r="D10" s="64">
        <v>9.25</v>
      </c>
      <c r="E10" s="64">
        <v>4.41</v>
      </c>
      <c r="F10" s="64">
        <v>4.2300000000000004</v>
      </c>
      <c r="G10" s="64">
        <v>24.46</v>
      </c>
      <c r="H10" s="64">
        <v>7.81</v>
      </c>
      <c r="I10" s="64">
        <v>1.91</v>
      </c>
      <c r="J10" s="64">
        <v>0.09</v>
      </c>
      <c r="K10" s="64">
        <v>340.27</v>
      </c>
      <c r="L10" s="64">
        <v>24.89</v>
      </c>
      <c r="M10" s="64">
        <v>101.82</v>
      </c>
      <c r="N10" s="64">
        <v>26</v>
      </c>
      <c r="O10" s="64">
        <v>0</v>
      </c>
      <c r="P10" s="64">
        <v>0.35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4" t="s">
        <v>2937</v>
      </c>
      <c r="B11" s="64">
        <v>7.71</v>
      </c>
      <c r="C11" s="64">
        <v>5.67</v>
      </c>
      <c r="D11" s="64">
        <v>9.14</v>
      </c>
      <c r="E11" s="64">
        <v>4.3600000000000003</v>
      </c>
      <c r="F11" s="64">
        <v>2.85</v>
      </c>
      <c r="G11" s="64">
        <v>24.46</v>
      </c>
      <c r="H11" s="64">
        <v>7.81</v>
      </c>
      <c r="I11" s="64">
        <v>1.1599999999999999</v>
      </c>
      <c r="J11" s="64">
        <v>0.26</v>
      </c>
      <c r="K11" s="64">
        <v>105.69</v>
      </c>
      <c r="L11" s="64">
        <v>24.95</v>
      </c>
      <c r="M11" s="64">
        <v>102.01</v>
      </c>
      <c r="N11" s="64">
        <v>26</v>
      </c>
      <c r="O11" s="64">
        <v>0</v>
      </c>
      <c r="P11" s="64">
        <v>0.28999999999999998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4" t="s">
        <v>2938</v>
      </c>
      <c r="B12" s="64">
        <v>7.52</v>
      </c>
      <c r="C12" s="64">
        <v>5.43</v>
      </c>
      <c r="D12" s="64">
        <v>8.8699999999999992</v>
      </c>
      <c r="E12" s="64">
        <v>4.4000000000000004</v>
      </c>
      <c r="F12" s="64">
        <v>4.42</v>
      </c>
      <c r="G12" s="64">
        <v>24.46</v>
      </c>
      <c r="H12" s="64">
        <v>7.81</v>
      </c>
      <c r="I12" s="64">
        <v>2.37</v>
      </c>
      <c r="J12" s="64">
        <v>0.17</v>
      </c>
      <c r="K12" s="64">
        <v>232.28</v>
      </c>
      <c r="L12" s="64">
        <v>24.82</v>
      </c>
      <c r="M12" s="64">
        <v>102.04</v>
      </c>
      <c r="N12" s="64">
        <v>26.1</v>
      </c>
      <c r="O12" s="64">
        <v>0</v>
      </c>
      <c r="P12" s="64">
        <v>0.37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4" t="s">
        <v>2939</v>
      </c>
      <c r="B13" s="64">
        <v>7.49</v>
      </c>
      <c r="C13" s="64">
        <v>5.79</v>
      </c>
      <c r="D13" s="64">
        <v>9.0299999999999994</v>
      </c>
      <c r="E13" s="64">
        <v>4.5999999999999996</v>
      </c>
      <c r="F13" s="64">
        <v>2.72</v>
      </c>
      <c r="G13" s="64">
        <v>23.26</v>
      </c>
      <c r="H13" s="64">
        <v>8.11</v>
      </c>
      <c r="I13" s="64">
        <v>1.08</v>
      </c>
      <c r="J13" s="64">
        <v>0.7</v>
      </c>
      <c r="K13" s="64">
        <v>129.49</v>
      </c>
      <c r="L13" s="64">
        <v>24.6</v>
      </c>
      <c r="M13" s="64">
        <v>102.05</v>
      </c>
      <c r="N13" s="64">
        <v>26</v>
      </c>
      <c r="O13" s="64">
        <v>0</v>
      </c>
      <c r="P13" s="64">
        <v>0.28999999999999998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4" t="s">
        <v>2940</v>
      </c>
      <c r="B14" s="64">
        <v>7.34</v>
      </c>
      <c r="C14" s="64">
        <v>5.26</v>
      </c>
      <c r="D14" s="64">
        <v>8.6300000000000008</v>
      </c>
      <c r="E14" s="64">
        <v>4.62</v>
      </c>
      <c r="F14" s="64">
        <v>3.69</v>
      </c>
      <c r="G14" s="64">
        <v>20.149999999999999</v>
      </c>
      <c r="H14" s="64">
        <v>9.35</v>
      </c>
      <c r="I14" s="64">
        <v>2.5299999999999998</v>
      </c>
      <c r="J14" s="64">
        <v>0.22</v>
      </c>
      <c r="K14" s="64">
        <v>320.47000000000003</v>
      </c>
      <c r="L14" s="64">
        <v>24.51</v>
      </c>
      <c r="M14" s="64">
        <v>102.05</v>
      </c>
      <c r="N14" s="64">
        <v>26.1</v>
      </c>
      <c r="O14" s="64">
        <v>0</v>
      </c>
      <c r="P14" s="64">
        <v>0.28999999999999998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4" t="s">
        <v>2941</v>
      </c>
      <c r="B15" s="64">
        <v>7.21</v>
      </c>
      <c r="C15" s="64">
        <v>4.96</v>
      </c>
      <c r="D15" s="64">
        <v>8.3699999999999992</v>
      </c>
      <c r="E15" s="64">
        <v>4.46</v>
      </c>
      <c r="F15" s="64">
        <v>4.3099999999999996</v>
      </c>
      <c r="G15" s="64">
        <v>20.149999999999999</v>
      </c>
      <c r="H15" s="64">
        <v>9.35</v>
      </c>
      <c r="I15" s="64">
        <v>1.58</v>
      </c>
      <c r="J15" s="64">
        <v>0.13</v>
      </c>
      <c r="K15" s="64">
        <v>119.93</v>
      </c>
      <c r="L15" s="64">
        <v>24.4</v>
      </c>
      <c r="M15" s="64">
        <v>102.07</v>
      </c>
      <c r="N15" s="64">
        <v>26.1</v>
      </c>
      <c r="O15" s="64">
        <v>0</v>
      </c>
      <c r="P15" s="64">
        <v>0.28999999999999998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4" t="s">
        <v>2942</v>
      </c>
      <c r="B16" s="64">
        <v>7.1</v>
      </c>
      <c r="C16" s="64">
        <v>4.84</v>
      </c>
      <c r="D16" s="64">
        <v>8.23</v>
      </c>
      <c r="E16" s="64">
        <v>4.0999999999999996</v>
      </c>
      <c r="F16" s="64">
        <v>4.46</v>
      </c>
      <c r="G16" s="64">
        <v>20.149999999999999</v>
      </c>
      <c r="H16" s="64">
        <v>9.35</v>
      </c>
      <c r="I16" s="64">
        <v>0.64</v>
      </c>
      <c r="J16" s="64">
        <v>0.28000000000000003</v>
      </c>
      <c r="K16" s="64">
        <v>341.7</v>
      </c>
      <c r="L16" s="64">
        <v>24.36</v>
      </c>
      <c r="M16" s="64">
        <v>102.08</v>
      </c>
      <c r="N16" s="64">
        <v>26.1</v>
      </c>
      <c r="O16" s="64">
        <v>0</v>
      </c>
      <c r="P16" s="64">
        <v>0.27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4" t="s">
        <v>2943</v>
      </c>
      <c r="B17" s="64">
        <v>6.99</v>
      </c>
      <c r="C17" s="64">
        <v>4.67</v>
      </c>
      <c r="D17" s="64">
        <v>8.0399999999999991</v>
      </c>
      <c r="E17" s="64">
        <v>4.1500000000000004</v>
      </c>
      <c r="F17" s="64">
        <v>4.34</v>
      </c>
      <c r="G17" s="64">
        <v>20.02</v>
      </c>
      <c r="H17" s="64">
        <v>8.48</v>
      </c>
      <c r="I17" s="64">
        <v>0.66</v>
      </c>
      <c r="J17" s="64">
        <v>0.37</v>
      </c>
      <c r="K17" s="64">
        <v>266.06</v>
      </c>
      <c r="L17" s="64">
        <v>24.2</v>
      </c>
      <c r="M17" s="64">
        <v>102.08</v>
      </c>
      <c r="N17" s="64">
        <v>26.1</v>
      </c>
      <c r="O17" s="64">
        <v>0</v>
      </c>
      <c r="P17" s="64">
        <v>0.26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4" t="s">
        <v>2944</v>
      </c>
      <c r="B18" s="64">
        <v>6.86</v>
      </c>
      <c r="C18" s="64">
        <v>4.5199999999999996</v>
      </c>
      <c r="D18" s="64">
        <v>7.86</v>
      </c>
      <c r="E18" s="64">
        <v>3.99</v>
      </c>
      <c r="F18" s="64">
        <v>3.93</v>
      </c>
      <c r="G18" s="64">
        <v>19.68</v>
      </c>
      <c r="H18" s="64">
        <v>6.95</v>
      </c>
      <c r="I18" s="64">
        <v>0.55000000000000004</v>
      </c>
      <c r="J18" s="64">
        <v>0.06</v>
      </c>
      <c r="K18" s="64">
        <v>86.64</v>
      </c>
      <c r="L18" s="64">
        <v>24.08</v>
      </c>
      <c r="M18" s="64">
        <v>102.08</v>
      </c>
      <c r="N18" s="64">
        <v>26.1</v>
      </c>
      <c r="O18" s="64">
        <v>0</v>
      </c>
      <c r="P18" s="64">
        <v>0.26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4" t="s">
        <v>2945</v>
      </c>
      <c r="B19" s="64">
        <v>6.67</v>
      </c>
      <c r="C19" s="64">
        <v>4.4800000000000004</v>
      </c>
      <c r="D19" s="64">
        <v>7.69</v>
      </c>
      <c r="E19" s="64">
        <v>4.49</v>
      </c>
      <c r="F19" s="64">
        <v>3.82</v>
      </c>
      <c r="G19" s="64">
        <v>19.68</v>
      </c>
      <c r="H19" s="64">
        <v>6.95</v>
      </c>
      <c r="I19" s="64">
        <v>0.53</v>
      </c>
      <c r="J19" s="64">
        <v>0.23</v>
      </c>
      <c r="K19" s="64">
        <v>135.85</v>
      </c>
      <c r="L19" s="64">
        <v>24.06</v>
      </c>
      <c r="M19" s="64">
        <v>102.08</v>
      </c>
      <c r="N19" s="64">
        <v>26</v>
      </c>
      <c r="O19" s="64">
        <v>0</v>
      </c>
      <c r="P19" s="64">
        <v>0.26</v>
      </c>
      <c r="Q19" s="64">
        <v>9.6</v>
      </c>
      <c r="R19" s="198"/>
      <c r="S19" s="198"/>
      <c r="T19" s="198"/>
      <c r="U19" s="198"/>
    </row>
    <row r="20" spans="1:21" s="12" customFormat="1" x14ac:dyDescent="0.25">
      <c r="A20" s="214" t="s">
        <v>2946</v>
      </c>
      <c r="B20" s="64">
        <v>6.48</v>
      </c>
      <c r="C20" s="64">
        <v>4.41</v>
      </c>
      <c r="D20" s="64">
        <v>7.5</v>
      </c>
      <c r="E20" s="64">
        <v>4.32</v>
      </c>
      <c r="F20" s="64">
        <v>4.2300000000000004</v>
      </c>
      <c r="G20" s="64">
        <v>19.68</v>
      </c>
      <c r="H20" s="64">
        <v>6.95</v>
      </c>
      <c r="I20" s="64">
        <v>0.5</v>
      </c>
      <c r="J20" s="64">
        <v>0.28999999999999998</v>
      </c>
      <c r="K20" s="64">
        <v>96.28</v>
      </c>
      <c r="L20" s="64">
        <v>24.04</v>
      </c>
      <c r="M20" s="64">
        <v>102.08</v>
      </c>
      <c r="N20" s="64">
        <v>26</v>
      </c>
      <c r="O20" s="64">
        <v>0</v>
      </c>
      <c r="P20" s="64">
        <v>0.26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4" t="s">
        <v>2947</v>
      </c>
      <c r="B21" s="64">
        <v>6.32</v>
      </c>
      <c r="C21" s="64">
        <v>4.57</v>
      </c>
      <c r="D21" s="64">
        <v>7.46</v>
      </c>
      <c r="E21" s="64">
        <v>4.28</v>
      </c>
      <c r="F21" s="64">
        <v>4.0599999999999996</v>
      </c>
      <c r="G21" s="64">
        <v>19.22</v>
      </c>
      <c r="H21" s="64">
        <v>7.02</v>
      </c>
      <c r="I21" s="64">
        <v>0.52</v>
      </c>
      <c r="J21" s="64">
        <v>0.27</v>
      </c>
      <c r="K21" s="64">
        <v>107.12</v>
      </c>
      <c r="L21" s="64">
        <v>24.03</v>
      </c>
      <c r="M21" s="64">
        <v>102.08</v>
      </c>
      <c r="N21" s="64">
        <v>26.1</v>
      </c>
      <c r="O21" s="64">
        <v>0</v>
      </c>
      <c r="P21" s="64">
        <v>0.3</v>
      </c>
      <c r="Q21" s="64">
        <v>9.59</v>
      </c>
      <c r="R21" s="198"/>
      <c r="S21" s="198"/>
      <c r="T21" s="198"/>
      <c r="U21" s="198"/>
    </row>
    <row r="22" spans="1:21" s="12" customFormat="1" x14ac:dyDescent="0.25">
      <c r="A22" s="214" t="s">
        <v>2948</v>
      </c>
      <c r="B22" s="64">
        <v>6.22</v>
      </c>
      <c r="C22" s="64">
        <v>4.95</v>
      </c>
      <c r="D22" s="64">
        <v>7.57</v>
      </c>
      <c r="E22" s="64">
        <v>4.33</v>
      </c>
      <c r="F22" s="64">
        <v>3.85</v>
      </c>
      <c r="G22" s="64">
        <v>18.04</v>
      </c>
      <c r="H22" s="64">
        <v>7.12</v>
      </c>
      <c r="I22" s="64">
        <v>1</v>
      </c>
      <c r="J22" s="64">
        <v>0.26</v>
      </c>
      <c r="K22" s="64">
        <v>25.76</v>
      </c>
      <c r="L22" s="64">
        <v>23.92</v>
      </c>
      <c r="M22" s="64">
        <v>102.08</v>
      </c>
      <c r="N22" s="64">
        <v>26.1</v>
      </c>
      <c r="O22" s="64">
        <v>0</v>
      </c>
      <c r="P22" s="64">
        <v>0.31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14" t="s">
        <v>2949</v>
      </c>
      <c r="B23" s="64">
        <v>5.91</v>
      </c>
      <c r="C23" s="64">
        <v>4.54</v>
      </c>
      <c r="D23" s="64">
        <v>7.11</v>
      </c>
      <c r="E23" s="64">
        <v>4.57</v>
      </c>
      <c r="F23" s="64">
        <v>3.77</v>
      </c>
      <c r="G23" s="64">
        <v>18.04</v>
      </c>
      <c r="H23" s="64">
        <v>7.12</v>
      </c>
      <c r="I23" s="64">
        <v>2.6</v>
      </c>
      <c r="J23" s="64">
        <v>0.23</v>
      </c>
      <c r="K23" s="64">
        <v>29.92</v>
      </c>
      <c r="L23" s="64">
        <v>23.9</v>
      </c>
      <c r="M23" s="64">
        <v>102.08</v>
      </c>
      <c r="N23" s="64">
        <v>26.1</v>
      </c>
      <c r="O23" s="64">
        <v>0</v>
      </c>
      <c r="P23" s="64">
        <v>0.27</v>
      </c>
      <c r="Q23" s="64">
        <v>9.6</v>
      </c>
      <c r="R23" s="198"/>
      <c r="S23" s="198"/>
      <c r="T23" s="198"/>
      <c r="U23" s="198"/>
    </row>
    <row r="24" spans="1:21" s="12" customFormat="1" x14ac:dyDescent="0.25">
      <c r="A24" s="214" t="s">
        <v>2950</v>
      </c>
      <c r="B24" s="64">
        <v>5.84</v>
      </c>
      <c r="C24" s="64">
        <v>4.74</v>
      </c>
      <c r="D24" s="64">
        <v>7.16</v>
      </c>
      <c r="E24" s="64">
        <v>4.6500000000000004</v>
      </c>
      <c r="F24" s="64">
        <v>3.85</v>
      </c>
      <c r="G24" s="64">
        <v>18.04</v>
      </c>
      <c r="H24" s="64">
        <v>7.12</v>
      </c>
      <c r="I24" s="64">
        <v>2.77</v>
      </c>
      <c r="J24" s="64">
        <v>0.1</v>
      </c>
      <c r="K24" s="64">
        <v>8.2100000000000009</v>
      </c>
      <c r="L24" s="64">
        <v>23.81</v>
      </c>
      <c r="M24" s="64">
        <v>102.08</v>
      </c>
      <c r="N24" s="64">
        <v>26.1</v>
      </c>
      <c r="O24" s="64">
        <v>0</v>
      </c>
      <c r="P24" s="64">
        <v>0.3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14" t="s">
        <v>2951</v>
      </c>
      <c r="B25" s="64">
        <v>5.76</v>
      </c>
      <c r="C25" s="64">
        <v>4.43</v>
      </c>
      <c r="D25" s="64">
        <v>6.93</v>
      </c>
      <c r="E25" s="64">
        <v>4.42</v>
      </c>
      <c r="F25" s="64">
        <v>3.2</v>
      </c>
      <c r="G25" s="64">
        <v>16.73</v>
      </c>
      <c r="H25" s="64">
        <v>6.74</v>
      </c>
      <c r="I25" s="64">
        <v>1.45</v>
      </c>
      <c r="J25" s="64">
        <v>0.31</v>
      </c>
      <c r="K25" s="64">
        <v>109.74</v>
      </c>
      <c r="L25" s="64">
        <v>23.75</v>
      </c>
      <c r="M25" s="64">
        <v>102.08</v>
      </c>
      <c r="N25" s="64">
        <v>25.9</v>
      </c>
      <c r="O25" s="64">
        <v>0</v>
      </c>
      <c r="P25" s="64">
        <v>0.26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4" t="s">
        <v>2952</v>
      </c>
      <c r="B26" s="64">
        <v>5.81</v>
      </c>
      <c r="C26" s="64">
        <v>4.57</v>
      </c>
      <c r="D26" s="64">
        <v>7.05</v>
      </c>
      <c r="E26" s="64">
        <v>4.62</v>
      </c>
      <c r="F26" s="64">
        <v>4.13</v>
      </c>
      <c r="G26" s="64">
        <v>13.33</v>
      </c>
      <c r="H26" s="64">
        <v>6.09</v>
      </c>
      <c r="I26" s="64">
        <v>2.52</v>
      </c>
      <c r="J26" s="64">
        <v>0.28000000000000003</v>
      </c>
      <c r="K26" s="64">
        <v>80.19</v>
      </c>
      <c r="L26" s="64">
        <v>23.8</v>
      </c>
      <c r="M26" s="64">
        <v>102.08</v>
      </c>
      <c r="N26" s="64">
        <v>25.9</v>
      </c>
      <c r="O26" s="64">
        <v>0</v>
      </c>
      <c r="P26" s="64">
        <v>0.31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4" t="s">
        <v>2953</v>
      </c>
      <c r="B27" s="64">
        <v>5.89</v>
      </c>
      <c r="C27" s="64">
        <v>4.59</v>
      </c>
      <c r="D27" s="64">
        <v>7.12</v>
      </c>
      <c r="E27" s="64">
        <v>4.8099999999999996</v>
      </c>
      <c r="F27" s="64">
        <v>2.44</v>
      </c>
      <c r="G27" s="64">
        <v>13.33</v>
      </c>
      <c r="H27" s="64">
        <v>6.09</v>
      </c>
      <c r="I27" s="64">
        <v>1.24</v>
      </c>
      <c r="J27" s="64">
        <v>0.49</v>
      </c>
      <c r="K27" s="64">
        <v>12.16</v>
      </c>
      <c r="L27" s="64">
        <v>23.73</v>
      </c>
      <c r="M27" s="64">
        <v>102.08</v>
      </c>
      <c r="N27" s="64">
        <v>26.1</v>
      </c>
      <c r="O27" s="64">
        <v>0</v>
      </c>
      <c r="P27" s="64">
        <v>0.26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4" t="s">
        <v>2954</v>
      </c>
      <c r="B28" s="64">
        <v>5.97</v>
      </c>
      <c r="C28" s="64">
        <v>4.46</v>
      </c>
      <c r="D28" s="64">
        <v>7.11</v>
      </c>
      <c r="E28" s="64">
        <v>4.7</v>
      </c>
      <c r="F28" s="64">
        <v>4.32</v>
      </c>
      <c r="G28" s="64">
        <v>13.33</v>
      </c>
      <c r="H28" s="64">
        <v>6.09</v>
      </c>
      <c r="I28" s="64">
        <v>2.85</v>
      </c>
      <c r="J28" s="64">
        <v>0.11</v>
      </c>
      <c r="K28" s="64">
        <v>282.3</v>
      </c>
      <c r="L28" s="64">
        <v>23.65</v>
      </c>
      <c r="M28" s="64">
        <v>102.08</v>
      </c>
      <c r="N28" s="64">
        <v>26.1</v>
      </c>
      <c r="O28" s="64">
        <v>0</v>
      </c>
      <c r="P28" s="64">
        <v>0.3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4" t="s">
        <v>2955</v>
      </c>
      <c r="B29" s="64">
        <v>6.19</v>
      </c>
      <c r="C29" s="64">
        <v>4.7</v>
      </c>
      <c r="D29" s="64">
        <v>7.42</v>
      </c>
      <c r="E29" s="64">
        <v>4.84</v>
      </c>
      <c r="F29" s="64">
        <v>2.6</v>
      </c>
      <c r="G29" s="64">
        <v>13.58</v>
      </c>
      <c r="H29" s="64">
        <v>6.31</v>
      </c>
      <c r="I29" s="64">
        <v>1.22</v>
      </c>
      <c r="J29" s="64">
        <v>1.01</v>
      </c>
      <c r="K29" s="64">
        <v>130.24</v>
      </c>
      <c r="L29" s="64">
        <v>23.66</v>
      </c>
      <c r="M29" s="64">
        <v>102.08</v>
      </c>
      <c r="N29" s="64">
        <v>25.7</v>
      </c>
      <c r="O29" s="64">
        <v>0</v>
      </c>
      <c r="P29" s="64">
        <v>0.28999999999999998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4" t="s">
        <v>2956</v>
      </c>
      <c r="B30" s="64">
        <v>6.23</v>
      </c>
      <c r="C30" s="64">
        <v>4.22</v>
      </c>
      <c r="D30" s="64">
        <v>7.2</v>
      </c>
      <c r="E30" s="64">
        <v>5.04</v>
      </c>
      <c r="F30" s="64">
        <v>3.33</v>
      </c>
      <c r="G30" s="64">
        <v>14.22</v>
      </c>
      <c r="H30" s="64">
        <v>7.12</v>
      </c>
      <c r="I30" s="64">
        <v>2.57</v>
      </c>
      <c r="J30" s="64">
        <v>0.93</v>
      </c>
      <c r="K30" s="64">
        <v>136.43</v>
      </c>
      <c r="L30" s="64">
        <v>23.69</v>
      </c>
      <c r="M30" s="64">
        <v>102.08</v>
      </c>
      <c r="N30" s="64">
        <v>25.8</v>
      </c>
      <c r="O30" s="64">
        <v>0</v>
      </c>
      <c r="P30" s="64">
        <v>0.28000000000000003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4" t="s">
        <v>2957</v>
      </c>
      <c r="B31" s="64">
        <v>6.28</v>
      </c>
      <c r="C31" s="64">
        <v>4.2</v>
      </c>
      <c r="D31" s="64">
        <v>7.23</v>
      </c>
      <c r="E31" s="64">
        <v>4.6900000000000004</v>
      </c>
      <c r="F31" s="64">
        <v>3.46</v>
      </c>
      <c r="G31" s="64">
        <v>14.22</v>
      </c>
      <c r="H31" s="64">
        <v>7.12</v>
      </c>
      <c r="I31" s="64">
        <v>2.0299999999999998</v>
      </c>
      <c r="J31" s="64">
        <v>1.1200000000000001</v>
      </c>
      <c r="K31" s="64">
        <v>137.02000000000001</v>
      </c>
      <c r="L31" s="64">
        <v>23.73</v>
      </c>
      <c r="M31" s="64">
        <v>102.08</v>
      </c>
      <c r="N31" s="64">
        <v>26.3</v>
      </c>
      <c r="O31" s="64">
        <v>0</v>
      </c>
      <c r="P31" s="64">
        <v>0.28000000000000003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4" t="s">
        <v>2958</v>
      </c>
      <c r="B32" s="64">
        <v>6.54</v>
      </c>
      <c r="C32" s="64">
        <v>4.2300000000000004</v>
      </c>
      <c r="D32" s="64">
        <v>7.45</v>
      </c>
      <c r="E32" s="64">
        <v>4.6500000000000004</v>
      </c>
      <c r="F32" s="64">
        <v>3.45</v>
      </c>
      <c r="G32" s="64">
        <v>14.22</v>
      </c>
      <c r="H32" s="64">
        <v>7.12</v>
      </c>
      <c r="I32" s="64">
        <v>1.61</v>
      </c>
      <c r="J32" s="64">
        <v>1.04</v>
      </c>
      <c r="K32" s="64">
        <v>132.19</v>
      </c>
      <c r="L32" s="64">
        <v>23.73</v>
      </c>
      <c r="M32" s="64">
        <v>102.08</v>
      </c>
      <c r="N32" s="64">
        <v>28.9</v>
      </c>
      <c r="O32" s="64">
        <v>0</v>
      </c>
      <c r="P32" s="64">
        <v>0.28000000000000003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4" t="s">
        <v>2959</v>
      </c>
      <c r="B33" s="64">
        <v>6.72</v>
      </c>
      <c r="C33" s="64">
        <v>4.28</v>
      </c>
      <c r="D33" s="64">
        <v>7.63</v>
      </c>
      <c r="E33" s="64">
        <v>4.5999999999999996</v>
      </c>
      <c r="F33" s="64">
        <v>3.69</v>
      </c>
      <c r="G33" s="64">
        <v>14.53</v>
      </c>
      <c r="H33" s="64">
        <v>7.66</v>
      </c>
      <c r="I33" s="64">
        <v>1.64</v>
      </c>
      <c r="J33" s="64">
        <v>0.91</v>
      </c>
      <c r="K33" s="64">
        <v>127.37</v>
      </c>
      <c r="L33" s="64">
        <v>23.81</v>
      </c>
      <c r="M33" s="64">
        <v>102.08</v>
      </c>
      <c r="N33" s="64">
        <v>38.799999999999997</v>
      </c>
      <c r="O33" s="64">
        <v>0</v>
      </c>
      <c r="P33" s="64">
        <v>0.28999999999999998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4" t="s">
        <v>2960</v>
      </c>
      <c r="B34" s="64">
        <v>6.85</v>
      </c>
      <c r="C34" s="64">
        <v>4.41</v>
      </c>
      <c r="D34" s="64">
        <v>7.8</v>
      </c>
      <c r="E34" s="64">
        <v>4.41</v>
      </c>
      <c r="F34" s="64">
        <v>3.6</v>
      </c>
      <c r="G34" s="64">
        <v>15.35</v>
      </c>
      <c r="H34" s="64">
        <v>8.56</v>
      </c>
      <c r="I34" s="64">
        <v>1.19</v>
      </c>
      <c r="J34" s="64">
        <v>0.95</v>
      </c>
      <c r="K34" s="64">
        <v>143.32</v>
      </c>
      <c r="L34" s="64">
        <v>23.98</v>
      </c>
      <c r="M34" s="64">
        <v>102.08</v>
      </c>
      <c r="N34" s="64">
        <v>62.1</v>
      </c>
      <c r="O34" s="64">
        <v>0</v>
      </c>
      <c r="P34" s="64">
        <v>0.28999999999999998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4" t="s">
        <v>2961</v>
      </c>
      <c r="B35" s="64">
        <v>7.07</v>
      </c>
      <c r="C35" s="64">
        <v>4.42</v>
      </c>
      <c r="D35" s="64">
        <v>7.98</v>
      </c>
      <c r="E35" s="64">
        <v>4.53</v>
      </c>
      <c r="F35" s="64">
        <v>4.04</v>
      </c>
      <c r="G35" s="64">
        <v>15.35</v>
      </c>
      <c r="H35" s="64">
        <v>8.56</v>
      </c>
      <c r="I35" s="64">
        <v>1.87</v>
      </c>
      <c r="J35" s="64">
        <v>0.44</v>
      </c>
      <c r="K35" s="64">
        <v>102.4</v>
      </c>
      <c r="L35" s="64">
        <v>24.64</v>
      </c>
      <c r="M35" s="64">
        <v>102.06</v>
      </c>
      <c r="N35" s="64">
        <v>97.3</v>
      </c>
      <c r="O35" s="64">
        <v>0</v>
      </c>
      <c r="P35" s="64">
        <v>0.34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4" t="s">
        <v>2962</v>
      </c>
      <c r="B36" s="64">
        <v>7.53</v>
      </c>
      <c r="C36" s="64">
        <v>4.3899999999999997</v>
      </c>
      <c r="D36" s="64">
        <v>8.33</v>
      </c>
      <c r="E36" s="64">
        <v>4.8099999999999996</v>
      </c>
      <c r="F36" s="64">
        <v>3.69</v>
      </c>
      <c r="G36" s="64">
        <v>15.35</v>
      </c>
      <c r="H36" s="64">
        <v>8.56</v>
      </c>
      <c r="I36" s="64">
        <v>1.51</v>
      </c>
      <c r="J36" s="64">
        <v>0.26</v>
      </c>
      <c r="K36" s="64">
        <v>71.39</v>
      </c>
      <c r="L36" s="64">
        <v>25.83</v>
      </c>
      <c r="M36" s="64">
        <v>100.62</v>
      </c>
      <c r="N36" s="64">
        <v>141.19999999999999</v>
      </c>
      <c r="O36" s="64">
        <v>0</v>
      </c>
      <c r="P36" s="64">
        <v>0.4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4" t="s">
        <v>2963</v>
      </c>
      <c r="B37" s="64">
        <v>8</v>
      </c>
      <c r="C37" s="64">
        <v>4.32</v>
      </c>
      <c r="D37" s="64">
        <v>8.67</v>
      </c>
      <c r="E37" s="64">
        <v>4.75</v>
      </c>
      <c r="F37" s="64">
        <v>4.03</v>
      </c>
      <c r="G37" s="64">
        <v>17.02</v>
      </c>
      <c r="H37" s="64">
        <v>8.83</v>
      </c>
      <c r="I37" s="64">
        <v>1.89</v>
      </c>
      <c r="J37" s="64">
        <v>0.67</v>
      </c>
      <c r="K37" s="64">
        <v>122.28</v>
      </c>
      <c r="L37" s="64">
        <v>26.19</v>
      </c>
      <c r="M37" s="64">
        <v>100.08</v>
      </c>
      <c r="N37" s="64">
        <v>193.6</v>
      </c>
      <c r="O37" s="64">
        <v>0</v>
      </c>
      <c r="P37" s="64">
        <v>0.3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4" t="s">
        <v>2964</v>
      </c>
      <c r="B38" s="64">
        <v>8.26</v>
      </c>
      <c r="C38" s="64">
        <v>4.7</v>
      </c>
      <c r="D38" s="64">
        <v>9.08</v>
      </c>
      <c r="E38" s="64">
        <v>5.1100000000000003</v>
      </c>
      <c r="F38" s="64">
        <v>4.4800000000000004</v>
      </c>
      <c r="G38" s="64">
        <v>21.36</v>
      </c>
      <c r="H38" s="64">
        <v>9.27</v>
      </c>
      <c r="I38" s="64">
        <v>1.99</v>
      </c>
      <c r="J38" s="64">
        <v>0.84</v>
      </c>
      <c r="K38" s="64">
        <v>126.2</v>
      </c>
      <c r="L38" s="64">
        <v>26.78</v>
      </c>
      <c r="M38" s="64">
        <v>95.95</v>
      </c>
      <c r="N38" s="64">
        <v>257.3</v>
      </c>
      <c r="O38" s="64">
        <v>0</v>
      </c>
      <c r="P38" s="64">
        <v>0.31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4" t="s">
        <v>2965</v>
      </c>
      <c r="B39" s="64">
        <v>8.31</v>
      </c>
      <c r="C39" s="64">
        <v>5.0599999999999996</v>
      </c>
      <c r="D39" s="64">
        <v>9.31</v>
      </c>
      <c r="E39" s="64">
        <v>5.16</v>
      </c>
      <c r="F39" s="64">
        <v>2.8</v>
      </c>
      <c r="G39" s="64">
        <v>21.36</v>
      </c>
      <c r="H39" s="64">
        <v>9.27</v>
      </c>
      <c r="I39" s="64">
        <v>2.19</v>
      </c>
      <c r="J39" s="64">
        <v>0.64</v>
      </c>
      <c r="K39" s="64">
        <v>125.1</v>
      </c>
      <c r="L39" s="64">
        <v>26.78</v>
      </c>
      <c r="M39" s="64">
        <v>95.86</v>
      </c>
      <c r="N39" s="64">
        <v>200.4</v>
      </c>
      <c r="O39" s="64">
        <v>0</v>
      </c>
      <c r="P39" s="64">
        <v>0.31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4" t="s">
        <v>2966</v>
      </c>
      <c r="B40" s="64">
        <v>8.06</v>
      </c>
      <c r="C40" s="64">
        <v>4.54</v>
      </c>
      <c r="D40" s="64">
        <v>8.84</v>
      </c>
      <c r="E40" s="64">
        <v>5.21</v>
      </c>
      <c r="F40" s="64">
        <v>3.86</v>
      </c>
      <c r="G40" s="64">
        <v>21.36</v>
      </c>
      <c r="H40" s="64">
        <v>9.27</v>
      </c>
      <c r="I40" s="64">
        <v>3.79</v>
      </c>
      <c r="J40" s="64">
        <v>0.42</v>
      </c>
      <c r="K40" s="64">
        <v>119.22</v>
      </c>
      <c r="L40" s="64">
        <v>26.92</v>
      </c>
      <c r="M40" s="64">
        <v>94.39</v>
      </c>
      <c r="N40" s="64">
        <v>277.3</v>
      </c>
      <c r="O40" s="64">
        <v>0</v>
      </c>
      <c r="P40" s="64">
        <v>0.31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4" t="s">
        <v>2967</v>
      </c>
      <c r="B41" s="64">
        <v>7.87</v>
      </c>
      <c r="C41" s="64">
        <v>4.96</v>
      </c>
      <c r="D41" s="64">
        <v>8.9</v>
      </c>
      <c r="E41" s="64">
        <v>4.37</v>
      </c>
      <c r="F41" s="64">
        <v>3.62</v>
      </c>
      <c r="G41" s="64">
        <v>20.65</v>
      </c>
      <c r="H41" s="64">
        <v>8.74</v>
      </c>
      <c r="I41" s="64">
        <v>3.36</v>
      </c>
      <c r="J41" s="64">
        <v>1.34</v>
      </c>
      <c r="K41" s="64">
        <v>130.63</v>
      </c>
      <c r="L41" s="64">
        <v>27.99</v>
      </c>
      <c r="M41" s="64">
        <v>90.07</v>
      </c>
      <c r="N41" s="64">
        <v>435.6</v>
      </c>
      <c r="O41" s="64">
        <v>0</v>
      </c>
      <c r="P41" s="64">
        <v>0.32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4" t="s">
        <v>2968</v>
      </c>
      <c r="B42" s="64">
        <v>7.76</v>
      </c>
      <c r="C42" s="64">
        <v>4.96</v>
      </c>
      <c r="D42" s="64">
        <v>8.82</v>
      </c>
      <c r="E42" s="64">
        <v>4.38</v>
      </c>
      <c r="F42" s="64">
        <v>2.83</v>
      </c>
      <c r="G42" s="64">
        <v>18.79</v>
      </c>
      <c r="H42" s="64">
        <v>7.84</v>
      </c>
      <c r="I42" s="64">
        <v>3.18</v>
      </c>
      <c r="J42" s="64">
        <v>1.3</v>
      </c>
      <c r="K42" s="64">
        <v>128.19</v>
      </c>
      <c r="L42" s="64">
        <v>28.05</v>
      </c>
      <c r="M42" s="64">
        <v>89.34</v>
      </c>
      <c r="N42" s="64">
        <v>489.1</v>
      </c>
      <c r="O42" s="64">
        <v>0</v>
      </c>
      <c r="P42" s="64">
        <v>0.3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4" t="s">
        <v>2969</v>
      </c>
      <c r="B43" s="64">
        <v>7.49</v>
      </c>
      <c r="C43" s="64">
        <v>5.19</v>
      </c>
      <c r="D43" s="64">
        <v>8.7200000000000006</v>
      </c>
      <c r="E43" s="64">
        <v>4.4800000000000004</v>
      </c>
      <c r="F43" s="64">
        <v>4.34</v>
      </c>
      <c r="G43" s="64">
        <v>18.79</v>
      </c>
      <c r="H43" s="64">
        <v>7.84</v>
      </c>
      <c r="I43" s="64">
        <v>3.53</v>
      </c>
      <c r="J43" s="64">
        <v>0.26</v>
      </c>
      <c r="K43" s="64">
        <v>77.22</v>
      </c>
      <c r="L43" s="64">
        <v>29.38</v>
      </c>
      <c r="M43" s="64">
        <v>85.44</v>
      </c>
      <c r="N43" s="64">
        <v>534.20000000000005</v>
      </c>
      <c r="O43" s="64">
        <v>0</v>
      </c>
      <c r="P43" s="64">
        <v>0.31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4" t="s">
        <v>2970</v>
      </c>
      <c r="B44" s="64">
        <v>7.18</v>
      </c>
      <c r="C44" s="64">
        <v>5.48</v>
      </c>
      <c r="D44" s="64">
        <v>8.6199999999999992</v>
      </c>
      <c r="E44" s="64">
        <v>4.28</v>
      </c>
      <c r="F44" s="64">
        <v>3.03</v>
      </c>
      <c r="G44" s="64">
        <v>18.79</v>
      </c>
      <c r="H44" s="64">
        <v>7.84</v>
      </c>
      <c r="I44" s="64">
        <v>3.53</v>
      </c>
      <c r="J44" s="64">
        <v>0.38</v>
      </c>
      <c r="K44" s="64">
        <v>124.26</v>
      </c>
      <c r="L44" s="64">
        <v>29.76</v>
      </c>
      <c r="M44" s="64">
        <v>83.85</v>
      </c>
      <c r="N44" s="64">
        <v>619.5</v>
      </c>
      <c r="O44" s="64">
        <v>0</v>
      </c>
      <c r="P44" s="64">
        <v>0.3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4" t="s">
        <v>2971</v>
      </c>
      <c r="B45" s="64">
        <v>6.58</v>
      </c>
      <c r="C45" s="64">
        <v>5.41</v>
      </c>
      <c r="D45" s="64">
        <v>8.1</v>
      </c>
      <c r="E45" s="64">
        <v>4.9000000000000004</v>
      </c>
      <c r="F45" s="64">
        <v>4.3600000000000003</v>
      </c>
      <c r="G45" s="64">
        <v>19.37</v>
      </c>
      <c r="H45" s="64">
        <v>8.07</v>
      </c>
      <c r="I45" s="64">
        <v>3.64</v>
      </c>
      <c r="J45" s="64">
        <v>0.18</v>
      </c>
      <c r="K45" s="64">
        <v>9.69</v>
      </c>
      <c r="L45" s="64">
        <v>30.34</v>
      </c>
      <c r="M45" s="64">
        <v>80.53</v>
      </c>
      <c r="N45" s="64">
        <v>640.79999999999995</v>
      </c>
      <c r="O45" s="64">
        <v>0</v>
      </c>
      <c r="P45" s="64">
        <v>0.3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4" t="s">
        <v>2972</v>
      </c>
      <c r="B46" s="64">
        <v>6.06</v>
      </c>
      <c r="C46" s="64">
        <v>5.93</v>
      </c>
      <c r="D46" s="64">
        <v>7.96</v>
      </c>
      <c r="E46" s="64">
        <v>4.51</v>
      </c>
      <c r="F46" s="64">
        <v>4.1399999999999997</v>
      </c>
      <c r="G46" s="64">
        <v>20.88</v>
      </c>
      <c r="H46" s="64">
        <v>8.93</v>
      </c>
      <c r="I46" s="64">
        <v>3.28</v>
      </c>
      <c r="J46" s="64">
        <v>0.37</v>
      </c>
      <c r="K46" s="64">
        <v>15.32</v>
      </c>
      <c r="L46" s="64">
        <v>30.65</v>
      </c>
      <c r="M46" s="64">
        <v>80.989999999999995</v>
      </c>
      <c r="N46" s="64">
        <v>679.8</v>
      </c>
      <c r="O46" s="64">
        <v>0</v>
      </c>
      <c r="P46" s="64">
        <v>0.31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2973</v>
      </c>
      <c r="B47" s="64">
        <v>5.56</v>
      </c>
      <c r="C47" s="64">
        <v>6.04</v>
      </c>
      <c r="D47" s="64">
        <v>7.61</v>
      </c>
      <c r="E47" s="64">
        <v>4.67</v>
      </c>
      <c r="F47" s="64">
        <v>3.1</v>
      </c>
      <c r="G47" s="64">
        <v>20.88</v>
      </c>
      <c r="H47" s="64">
        <v>8.93</v>
      </c>
      <c r="I47" s="64">
        <v>3.37</v>
      </c>
      <c r="J47" s="64">
        <v>0.25</v>
      </c>
      <c r="K47" s="64">
        <v>98.58</v>
      </c>
      <c r="L47" s="64">
        <v>31.01</v>
      </c>
      <c r="M47" s="64">
        <v>77.680000000000007</v>
      </c>
      <c r="N47" s="64">
        <v>754.6</v>
      </c>
      <c r="O47" s="64">
        <v>0</v>
      </c>
      <c r="P47" s="64">
        <v>0.3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4" t="s">
        <v>2974</v>
      </c>
      <c r="B48" s="64">
        <v>4.9800000000000004</v>
      </c>
      <c r="C48" s="64">
        <v>5.66</v>
      </c>
      <c r="D48" s="64">
        <v>6.95</v>
      </c>
      <c r="E48" s="64">
        <v>4.5199999999999996</v>
      </c>
      <c r="F48" s="64">
        <v>4.2300000000000004</v>
      </c>
      <c r="G48" s="64">
        <v>20.88</v>
      </c>
      <c r="H48" s="64">
        <v>8.93</v>
      </c>
      <c r="I48" s="64">
        <v>3.46</v>
      </c>
      <c r="J48" s="64">
        <v>0.4</v>
      </c>
      <c r="K48" s="64">
        <v>9.65</v>
      </c>
      <c r="L48" s="64">
        <v>31.58</v>
      </c>
      <c r="M48" s="64">
        <v>74.27</v>
      </c>
      <c r="N48" s="64">
        <v>722.2</v>
      </c>
      <c r="O48" s="64">
        <v>0</v>
      </c>
      <c r="P48" s="64">
        <v>0.31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4" t="s">
        <v>2975</v>
      </c>
      <c r="B49" s="64">
        <v>4.59</v>
      </c>
      <c r="C49" s="64">
        <v>5.67</v>
      </c>
      <c r="D49" s="64">
        <v>6.64</v>
      </c>
      <c r="E49" s="64">
        <v>4.17</v>
      </c>
      <c r="F49" s="64">
        <v>4.1100000000000003</v>
      </c>
      <c r="G49" s="64">
        <v>20.89</v>
      </c>
      <c r="H49" s="64">
        <v>8.74</v>
      </c>
      <c r="I49" s="64">
        <v>3</v>
      </c>
      <c r="J49" s="64">
        <v>0.3</v>
      </c>
      <c r="K49" s="64">
        <v>112.62</v>
      </c>
      <c r="L49" s="64">
        <v>31.25</v>
      </c>
      <c r="M49" s="64">
        <v>75.069999999999993</v>
      </c>
      <c r="N49" s="64">
        <v>735.2</v>
      </c>
      <c r="O49" s="64">
        <v>0</v>
      </c>
      <c r="P49" s="64">
        <v>0.28999999999999998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4" t="s">
        <v>2976</v>
      </c>
      <c r="B50" s="64">
        <v>4.2300000000000004</v>
      </c>
      <c r="C50" s="64">
        <v>5.85</v>
      </c>
      <c r="D50" s="64">
        <v>6.45</v>
      </c>
      <c r="E50" s="64">
        <v>4.38</v>
      </c>
      <c r="F50" s="64">
        <v>4.42</v>
      </c>
      <c r="G50" s="64">
        <v>20.93</v>
      </c>
      <c r="H50" s="64">
        <v>8.42</v>
      </c>
      <c r="I50" s="64">
        <v>2.7</v>
      </c>
      <c r="J50" s="64">
        <v>0.37</v>
      </c>
      <c r="K50" s="64">
        <v>42.17</v>
      </c>
      <c r="L50" s="64">
        <v>31.74</v>
      </c>
      <c r="M50" s="64">
        <v>73.38</v>
      </c>
      <c r="N50" s="64">
        <v>803.8</v>
      </c>
      <c r="O50" s="64">
        <v>0</v>
      </c>
      <c r="P50" s="64">
        <v>0.3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4" t="s">
        <v>2977</v>
      </c>
      <c r="B51" s="64">
        <v>3.95</v>
      </c>
      <c r="C51" s="64">
        <v>6.11</v>
      </c>
      <c r="D51" s="64">
        <v>6.37</v>
      </c>
      <c r="E51" s="64">
        <v>4.3600000000000003</v>
      </c>
      <c r="F51" s="64">
        <v>4.45</v>
      </c>
      <c r="G51" s="64">
        <v>20.93</v>
      </c>
      <c r="H51" s="64">
        <v>8.42</v>
      </c>
      <c r="I51" s="64">
        <v>2.91</v>
      </c>
      <c r="J51" s="64">
        <v>0.28999999999999998</v>
      </c>
      <c r="K51" s="64">
        <v>348.77</v>
      </c>
      <c r="L51" s="64">
        <v>32.700000000000003</v>
      </c>
      <c r="M51" s="64">
        <v>69.27</v>
      </c>
      <c r="N51" s="64">
        <v>900.1</v>
      </c>
      <c r="O51" s="64">
        <v>0</v>
      </c>
      <c r="P51" s="64">
        <v>0.31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4" t="s">
        <v>2978</v>
      </c>
      <c r="B52" s="64">
        <v>3.69</v>
      </c>
      <c r="C52" s="64">
        <v>6.37</v>
      </c>
      <c r="D52" s="64">
        <v>6.29</v>
      </c>
      <c r="E52" s="64">
        <v>4.7699999999999996</v>
      </c>
      <c r="F52" s="64">
        <v>4.51</v>
      </c>
      <c r="G52" s="64">
        <v>20.93</v>
      </c>
      <c r="H52" s="64">
        <v>8.42</v>
      </c>
      <c r="I52" s="64">
        <v>2.85</v>
      </c>
      <c r="J52" s="64">
        <v>0.19</v>
      </c>
      <c r="K52" s="64">
        <v>3.65</v>
      </c>
      <c r="L52" s="64">
        <v>33.049999999999997</v>
      </c>
      <c r="M52" s="64">
        <v>67.62</v>
      </c>
      <c r="N52" s="64">
        <v>803.7</v>
      </c>
      <c r="O52" s="64">
        <v>0</v>
      </c>
      <c r="P52" s="64">
        <v>0.31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4" t="s">
        <v>2979</v>
      </c>
      <c r="B53" s="64">
        <v>3.4</v>
      </c>
      <c r="C53" s="64">
        <v>6.58</v>
      </c>
      <c r="D53" s="64">
        <v>6.17</v>
      </c>
      <c r="E53" s="64">
        <v>4.3899999999999997</v>
      </c>
      <c r="F53" s="64">
        <v>4.49</v>
      </c>
      <c r="G53" s="64">
        <v>23.07</v>
      </c>
      <c r="H53" s="64">
        <v>8.61</v>
      </c>
      <c r="I53" s="64">
        <v>2.88</v>
      </c>
      <c r="J53" s="64">
        <v>0.09</v>
      </c>
      <c r="K53" s="64">
        <v>333.85</v>
      </c>
      <c r="L53" s="64">
        <v>31.61</v>
      </c>
      <c r="M53" s="64">
        <v>72.239999999999995</v>
      </c>
      <c r="N53" s="64">
        <v>694.6</v>
      </c>
      <c r="O53" s="64">
        <v>0</v>
      </c>
      <c r="P53" s="64">
        <v>0.3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4" t="s">
        <v>2980</v>
      </c>
      <c r="B54" s="64">
        <v>3.08</v>
      </c>
      <c r="C54" s="64">
        <v>6.51</v>
      </c>
      <c r="D54" s="64">
        <v>5.87</v>
      </c>
      <c r="E54" s="64">
        <v>4.49</v>
      </c>
      <c r="F54" s="64">
        <v>4.3600000000000003</v>
      </c>
      <c r="G54" s="64">
        <v>28.66</v>
      </c>
      <c r="H54" s="64">
        <v>8.93</v>
      </c>
      <c r="I54" s="64">
        <v>2.9</v>
      </c>
      <c r="J54" s="64">
        <v>0.32</v>
      </c>
      <c r="K54" s="64">
        <v>35.869999999999997</v>
      </c>
      <c r="L54" s="64">
        <v>31.53</v>
      </c>
      <c r="M54" s="64">
        <v>72.510000000000005</v>
      </c>
      <c r="N54" s="64">
        <v>857.1</v>
      </c>
      <c r="O54" s="64">
        <v>0</v>
      </c>
      <c r="P54" s="64">
        <v>0.3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4" t="s">
        <v>2981</v>
      </c>
      <c r="B55" s="64">
        <v>2.79</v>
      </c>
      <c r="C55" s="64">
        <v>6.82</v>
      </c>
      <c r="D55" s="64">
        <v>5.8</v>
      </c>
      <c r="E55" s="64">
        <v>4.92</v>
      </c>
      <c r="F55" s="64">
        <v>4.49</v>
      </c>
      <c r="G55" s="64">
        <v>28.66</v>
      </c>
      <c r="H55" s="64">
        <v>8.93</v>
      </c>
      <c r="I55" s="64">
        <v>2.61</v>
      </c>
      <c r="J55" s="64">
        <v>0.27</v>
      </c>
      <c r="K55" s="64">
        <v>22.09</v>
      </c>
      <c r="L55" s="64">
        <v>32.26</v>
      </c>
      <c r="M55" s="64">
        <v>70.099999999999994</v>
      </c>
      <c r="N55" s="64">
        <v>930.1</v>
      </c>
      <c r="O55" s="64">
        <v>0</v>
      </c>
      <c r="P55" s="64">
        <v>0.31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4" t="s">
        <v>2982</v>
      </c>
      <c r="B56" s="64">
        <v>2.2599999999999998</v>
      </c>
      <c r="C56" s="64">
        <v>6.4</v>
      </c>
      <c r="D56" s="64">
        <v>5.16</v>
      </c>
      <c r="E56" s="64">
        <v>5.0999999999999996</v>
      </c>
      <c r="F56" s="64">
        <v>4.34</v>
      </c>
      <c r="G56" s="64">
        <v>28.66</v>
      </c>
      <c r="H56" s="64">
        <v>8.93</v>
      </c>
      <c r="I56" s="64">
        <v>2.89</v>
      </c>
      <c r="J56" s="64">
        <v>0.22</v>
      </c>
      <c r="K56" s="64">
        <v>35.020000000000003</v>
      </c>
      <c r="L56" s="64">
        <v>32.42</v>
      </c>
      <c r="M56" s="64">
        <v>69.319999999999993</v>
      </c>
      <c r="N56" s="64">
        <v>421.1</v>
      </c>
      <c r="O56" s="64">
        <v>0</v>
      </c>
      <c r="P56" s="64">
        <v>0.31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4" t="s">
        <v>2983</v>
      </c>
      <c r="B57" s="64">
        <v>1.82</v>
      </c>
      <c r="C57" s="64">
        <v>6.06</v>
      </c>
      <c r="D57" s="64">
        <v>4.63</v>
      </c>
      <c r="E57" s="64">
        <v>5.78</v>
      </c>
      <c r="F57" s="64">
        <v>4.88</v>
      </c>
      <c r="G57" s="64">
        <v>28.74</v>
      </c>
      <c r="H57" s="64">
        <v>9.57</v>
      </c>
      <c r="I57" s="64">
        <v>3.01</v>
      </c>
      <c r="J57" s="64">
        <v>0.18</v>
      </c>
      <c r="K57" s="64">
        <v>108.92</v>
      </c>
      <c r="L57" s="64">
        <v>32.229999999999997</v>
      </c>
      <c r="M57" s="64">
        <v>69.45</v>
      </c>
      <c r="N57" s="64">
        <v>382.7</v>
      </c>
      <c r="O57" s="64">
        <v>0</v>
      </c>
      <c r="P57" s="64">
        <v>0.3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4" t="s">
        <v>2984</v>
      </c>
      <c r="B58" s="64">
        <v>1.73</v>
      </c>
      <c r="C58" s="64">
        <v>6.3</v>
      </c>
      <c r="D58" s="64">
        <v>4.68</v>
      </c>
      <c r="E58" s="64">
        <v>5.54</v>
      </c>
      <c r="F58" s="64">
        <v>4.45</v>
      </c>
      <c r="G58" s="64">
        <v>28.97</v>
      </c>
      <c r="H58" s="64">
        <v>10.66</v>
      </c>
      <c r="I58" s="64">
        <v>2.76</v>
      </c>
      <c r="J58" s="64">
        <v>0.22</v>
      </c>
      <c r="K58" s="64">
        <v>78.3</v>
      </c>
      <c r="L58" s="64">
        <v>31.83</v>
      </c>
      <c r="M58" s="64">
        <v>71.39</v>
      </c>
      <c r="N58" s="64">
        <v>296.60000000000002</v>
      </c>
      <c r="O58" s="64">
        <v>0</v>
      </c>
      <c r="P58" s="64">
        <v>0.31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4" t="s">
        <v>2985</v>
      </c>
      <c r="B59" s="64">
        <v>1.53</v>
      </c>
      <c r="C59" s="64">
        <v>5.81</v>
      </c>
      <c r="D59" s="64">
        <v>4.26</v>
      </c>
      <c r="E59" s="64">
        <v>5.45</v>
      </c>
      <c r="F59" s="64">
        <v>3.61</v>
      </c>
      <c r="G59" s="64">
        <v>28.97</v>
      </c>
      <c r="H59" s="64">
        <v>10.66</v>
      </c>
      <c r="I59" s="64">
        <v>2.64</v>
      </c>
      <c r="J59" s="64">
        <v>0.17</v>
      </c>
      <c r="K59" s="64">
        <v>85.02</v>
      </c>
      <c r="L59" s="64">
        <v>31.46</v>
      </c>
      <c r="M59" s="64">
        <v>72.44</v>
      </c>
      <c r="N59" s="64">
        <v>264.39999999999998</v>
      </c>
      <c r="O59" s="64">
        <v>0</v>
      </c>
      <c r="P59" s="64">
        <v>0.28999999999999998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4" t="s">
        <v>2986</v>
      </c>
      <c r="B60" s="64">
        <v>1.37</v>
      </c>
      <c r="C60" s="64">
        <v>5.17</v>
      </c>
      <c r="D60" s="64">
        <v>3.8</v>
      </c>
      <c r="E60" s="64">
        <v>5.47</v>
      </c>
      <c r="F60" s="64">
        <v>4.28</v>
      </c>
      <c r="G60" s="64">
        <v>28.97</v>
      </c>
      <c r="H60" s="64">
        <v>10.66</v>
      </c>
      <c r="I60" s="64">
        <v>2.65</v>
      </c>
      <c r="J60" s="64">
        <v>0.27</v>
      </c>
      <c r="K60" s="64">
        <v>350.82</v>
      </c>
      <c r="L60" s="64">
        <v>31.28</v>
      </c>
      <c r="M60" s="64">
        <v>72.97</v>
      </c>
      <c r="N60" s="64">
        <v>442.5</v>
      </c>
      <c r="O60" s="64">
        <v>0</v>
      </c>
      <c r="P60" s="64">
        <v>0.3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4" t="s">
        <v>2987</v>
      </c>
      <c r="B61" s="64">
        <v>1.37</v>
      </c>
      <c r="C61" s="64">
        <v>5.4</v>
      </c>
      <c r="D61" s="64">
        <v>3.92</v>
      </c>
      <c r="E61" s="64">
        <v>5.16</v>
      </c>
      <c r="F61" s="64">
        <v>6.14</v>
      </c>
      <c r="G61" s="64">
        <v>28.43</v>
      </c>
      <c r="H61" s="64">
        <v>10.039999999999999</v>
      </c>
      <c r="I61" s="64">
        <v>2.4</v>
      </c>
      <c r="J61" s="64">
        <v>0.37</v>
      </c>
      <c r="K61" s="64">
        <v>343.9</v>
      </c>
      <c r="L61" s="64">
        <v>31.85</v>
      </c>
      <c r="M61" s="64">
        <v>69.47</v>
      </c>
      <c r="N61" s="64">
        <v>484.9</v>
      </c>
      <c r="O61" s="64">
        <v>0</v>
      </c>
      <c r="P61" s="64">
        <v>0.33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4" t="s">
        <v>2988</v>
      </c>
      <c r="B62" s="64">
        <v>1.56</v>
      </c>
      <c r="C62" s="64">
        <v>6.05</v>
      </c>
      <c r="D62" s="64">
        <v>4.42</v>
      </c>
      <c r="E62" s="64">
        <v>5.61</v>
      </c>
      <c r="F62" s="64">
        <v>4.6500000000000004</v>
      </c>
      <c r="G62" s="64">
        <v>27.01</v>
      </c>
      <c r="H62" s="64">
        <v>7.46</v>
      </c>
      <c r="I62" s="64">
        <v>2.33</v>
      </c>
      <c r="J62" s="64">
        <v>0.11</v>
      </c>
      <c r="K62" s="64">
        <v>52.68</v>
      </c>
      <c r="L62" s="64">
        <v>31.85</v>
      </c>
      <c r="M62" s="64">
        <v>67.430000000000007</v>
      </c>
      <c r="N62" s="64">
        <v>258.60000000000002</v>
      </c>
      <c r="O62" s="64">
        <v>0</v>
      </c>
      <c r="P62" s="64">
        <v>0.33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14" t="s">
        <v>2989</v>
      </c>
      <c r="B63" s="64">
        <v>1.5</v>
      </c>
      <c r="C63" s="64">
        <v>5.99</v>
      </c>
      <c r="D63" s="64">
        <v>4.33</v>
      </c>
      <c r="E63" s="64">
        <v>5.51</v>
      </c>
      <c r="F63" s="64">
        <v>3.38</v>
      </c>
      <c r="G63" s="64">
        <v>27.01</v>
      </c>
      <c r="H63" s="64">
        <v>7.46</v>
      </c>
      <c r="I63" s="64">
        <v>2.1800000000000002</v>
      </c>
      <c r="J63" s="64">
        <v>0.35</v>
      </c>
      <c r="K63" s="64">
        <v>350.47</v>
      </c>
      <c r="L63" s="64">
        <v>30.9</v>
      </c>
      <c r="M63" s="64">
        <v>71.459999999999994</v>
      </c>
      <c r="N63" s="64">
        <v>197.5</v>
      </c>
      <c r="O63" s="64">
        <v>0</v>
      </c>
      <c r="P63" s="64">
        <v>0.33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4" t="s">
        <v>2990</v>
      </c>
      <c r="B64" s="64">
        <v>1.55</v>
      </c>
      <c r="C64" s="64">
        <v>5.71</v>
      </c>
      <c r="D64" s="64">
        <v>4.22</v>
      </c>
      <c r="E64" s="64">
        <v>5.73</v>
      </c>
      <c r="F64" s="64">
        <v>4.8600000000000003</v>
      </c>
      <c r="G64" s="64">
        <v>27.01</v>
      </c>
      <c r="H64" s="64">
        <v>7.46</v>
      </c>
      <c r="I64" s="64">
        <v>2.23</v>
      </c>
      <c r="J64" s="64">
        <v>0.32</v>
      </c>
      <c r="K64" s="64">
        <v>354.59</v>
      </c>
      <c r="L64" s="64">
        <v>32.020000000000003</v>
      </c>
      <c r="M64" s="64">
        <v>67.459999999999994</v>
      </c>
      <c r="N64" s="64">
        <v>203.7</v>
      </c>
      <c r="O64" s="64">
        <v>0</v>
      </c>
      <c r="P64" s="64">
        <v>0.34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4" t="s">
        <v>2991</v>
      </c>
      <c r="B65" s="64">
        <v>1.74</v>
      </c>
      <c r="C65" s="64">
        <v>5.92</v>
      </c>
      <c r="D65" s="64">
        <v>4.4800000000000004</v>
      </c>
      <c r="E65" s="64">
        <v>5.27</v>
      </c>
      <c r="F65" s="64">
        <v>4.82</v>
      </c>
      <c r="G65" s="64">
        <v>26.2</v>
      </c>
      <c r="H65" s="64">
        <v>6.63</v>
      </c>
      <c r="I65" s="64">
        <v>2.0099999999999998</v>
      </c>
      <c r="J65" s="64">
        <v>0.68</v>
      </c>
      <c r="K65" s="64">
        <v>334.09</v>
      </c>
      <c r="L65" s="64">
        <v>32.26</v>
      </c>
      <c r="M65" s="64">
        <v>65.400000000000006</v>
      </c>
      <c r="N65" s="64">
        <v>185.2</v>
      </c>
      <c r="O65" s="64">
        <v>0</v>
      </c>
      <c r="P65" s="64">
        <v>0.35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4" t="s">
        <v>2992</v>
      </c>
      <c r="B66" s="64">
        <v>1.94</v>
      </c>
      <c r="C66" s="64">
        <v>6.15</v>
      </c>
      <c r="D66" s="64">
        <v>4.7699999999999996</v>
      </c>
      <c r="E66" s="64">
        <v>5.26</v>
      </c>
      <c r="F66" s="64">
        <v>4.78</v>
      </c>
      <c r="G66" s="64">
        <v>24.1</v>
      </c>
      <c r="H66" s="64">
        <v>5.22</v>
      </c>
      <c r="I66" s="64">
        <v>1.65</v>
      </c>
      <c r="J66" s="64">
        <v>0.81</v>
      </c>
      <c r="K66" s="64">
        <v>334.69</v>
      </c>
      <c r="L66" s="64">
        <v>32.159999999999997</v>
      </c>
      <c r="M66" s="64">
        <v>67.17</v>
      </c>
      <c r="N66" s="64">
        <v>171.6</v>
      </c>
      <c r="O66" s="64">
        <v>0</v>
      </c>
      <c r="P66" s="64">
        <v>0.35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4" t="s">
        <v>2993</v>
      </c>
      <c r="B67" s="64">
        <v>2.2200000000000002</v>
      </c>
      <c r="C67" s="64">
        <v>6.32</v>
      </c>
      <c r="D67" s="64">
        <v>5.08</v>
      </c>
      <c r="E67" s="64">
        <v>5.82</v>
      </c>
      <c r="F67" s="64">
        <v>5.0199999999999996</v>
      </c>
      <c r="G67" s="64">
        <v>24.1</v>
      </c>
      <c r="H67" s="64">
        <v>5.22</v>
      </c>
      <c r="I67" s="64">
        <v>1.75</v>
      </c>
      <c r="J67" s="64">
        <v>0.62</v>
      </c>
      <c r="K67" s="64">
        <v>334.24</v>
      </c>
      <c r="L67" s="64">
        <v>32.11</v>
      </c>
      <c r="M67" s="64">
        <v>66.31</v>
      </c>
      <c r="N67" s="64">
        <v>165.7</v>
      </c>
      <c r="O67" s="64">
        <v>0</v>
      </c>
      <c r="P67" s="64">
        <v>0.36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2994</v>
      </c>
      <c r="B68" s="64">
        <v>2.36</v>
      </c>
      <c r="C68" s="64">
        <v>6.48</v>
      </c>
      <c r="D68" s="64">
        <v>5.27</v>
      </c>
      <c r="E68" s="64">
        <v>5.34</v>
      </c>
      <c r="F68" s="64">
        <v>4.92</v>
      </c>
      <c r="G68" s="64">
        <v>24.1</v>
      </c>
      <c r="H68" s="64">
        <v>5.22</v>
      </c>
      <c r="I68" s="64">
        <v>1.71</v>
      </c>
      <c r="J68" s="64">
        <v>0.38</v>
      </c>
      <c r="K68" s="64">
        <v>356.66</v>
      </c>
      <c r="L68" s="64">
        <v>31.74</v>
      </c>
      <c r="M68" s="64">
        <v>67.31</v>
      </c>
      <c r="N68" s="64">
        <v>118.8</v>
      </c>
      <c r="O68" s="64">
        <v>0</v>
      </c>
      <c r="P68" s="64">
        <v>0.35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4" t="s">
        <v>2995</v>
      </c>
      <c r="B69" s="64">
        <v>2.38</v>
      </c>
      <c r="C69" s="64">
        <v>6.51</v>
      </c>
      <c r="D69" s="64">
        <v>5.31</v>
      </c>
      <c r="E69" s="64">
        <v>5.37</v>
      </c>
      <c r="F69" s="64">
        <v>4.6900000000000004</v>
      </c>
      <c r="G69" s="64">
        <v>24.86</v>
      </c>
      <c r="H69" s="64">
        <v>6.05</v>
      </c>
      <c r="I69" s="64">
        <v>1.41</v>
      </c>
      <c r="J69" s="64">
        <v>0.36</v>
      </c>
      <c r="K69" s="64">
        <v>337.02</v>
      </c>
      <c r="L69" s="64">
        <v>31.47</v>
      </c>
      <c r="M69" s="64">
        <v>67.17</v>
      </c>
      <c r="N69" s="64">
        <v>118.8</v>
      </c>
      <c r="O69" s="64">
        <v>0</v>
      </c>
      <c r="P69" s="64">
        <v>0.33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4" t="s">
        <v>2996</v>
      </c>
      <c r="B70" s="64">
        <v>2.2999999999999998</v>
      </c>
      <c r="C70" s="64">
        <v>6.38</v>
      </c>
      <c r="D70" s="64">
        <v>5.18</v>
      </c>
      <c r="E70" s="64">
        <v>5.84</v>
      </c>
      <c r="F70" s="64">
        <v>5.61</v>
      </c>
      <c r="G70" s="64">
        <v>26.82</v>
      </c>
      <c r="H70" s="64">
        <v>7.51</v>
      </c>
      <c r="I70" s="64">
        <v>1.26</v>
      </c>
      <c r="J70" s="64">
        <v>0.25</v>
      </c>
      <c r="K70" s="64">
        <v>354.6</v>
      </c>
      <c r="L70" s="64">
        <v>31.07</v>
      </c>
      <c r="M70" s="64">
        <v>70.319999999999993</v>
      </c>
      <c r="N70" s="64">
        <v>103</v>
      </c>
      <c r="O70" s="64">
        <v>0</v>
      </c>
      <c r="P70" s="64">
        <v>0.33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4" t="s">
        <v>2997</v>
      </c>
      <c r="B71" s="64">
        <v>2.25</v>
      </c>
      <c r="C71" s="64">
        <v>6.36</v>
      </c>
      <c r="D71" s="64">
        <v>5.13</v>
      </c>
      <c r="E71" s="64">
        <v>5.52</v>
      </c>
      <c r="F71" s="64">
        <v>4.6500000000000004</v>
      </c>
      <c r="G71" s="64">
        <v>26.82</v>
      </c>
      <c r="H71" s="64">
        <v>7.51</v>
      </c>
      <c r="I71" s="64">
        <v>1.1000000000000001</v>
      </c>
      <c r="J71" s="64">
        <v>0.19</v>
      </c>
      <c r="K71" s="64">
        <v>7.43</v>
      </c>
      <c r="L71" s="64">
        <v>30.69</v>
      </c>
      <c r="M71" s="64">
        <v>72.180000000000007</v>
      </c>
      <c r="N71" s="64">
        <v>95.1</v>
      </c>
      <c r="O71" s="64">
        <v>0</v>
      </c>
      <c r="P71" s="64">
        <v>0.33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2998</v>
      </c>
      <c r="B72" s="64">
        <v>2.2999999999999998</v>
      </c>
      <c r="C72" s="64">
        <v>6.67</v>
      </c>
      <c r="D72" s="64">
        <v>5.33</v>
      </c>
      <c r="E72" s="64">
        <v>5.54</v>
      </c>
      <c r="F72" s="64">
        <v>4.2699999999999996</v>
      </c>
      <c r="G72" s="64">
        <v>26.82</v>
      </c>
      <c r="H72" s="64">
        <v>7.51</v>
      </c>
      <c r="I72" s="64">
        <v>1.02</v>
      </c>
      <c r="J72" s="64">
        <v>0.27</v>
      </c>
      <c r="K72" s="64">
        <v>66.02</v>
      </c>
      <c r="L72" s="64">
        <v>30.68</v>
      </c>
      <c r="M72" s="64">
        <v>72.5</v>
      </c>
      <c r="N72" s="64">
        <v>87.4</v>
      </c>
      <c r="O72" s="64">
        <v>0</v>
      </c>
      <c r="P72" s="64">
        <v>0.34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4" t="s">
        <v>2999</v>
      </c>
      <c r="B73" s="64">
        <v>2.12</v>
      </c>
      <c r="C73" s="64">
        <v>6.16</v>
      </c>
      <c r="D73" s="64">
        <v>4.92</v>
      </c>
      <c r="E73" s="64">
        <v>4.4800000000000004</v>
      </c>
      <c r="F73" s="64">
        <v>4.0599999999999996</v>
      </c>
      <c r="G73" s="64">
        <v>25.41</v>
      </c>
      <c r="H73" s="64">
        <v>7.45</v>
      </c>
      <c r="I73" s="64">
        <v>1.27</v>
      </c>
      <c r="J73" s="64">
        <v>0.31</v>
      </c>
      <c r="K73" s="64">
        <v>348.15</v>
      </c>
      <c r="L73" s="64">
        <v>30.74</v>
      </c>
      <c r="M73" s="64">
        <v>70.930000000000007</v>
      </c>
      <c r="N73" s="64">
        <v>83</v>
      </c>
      <c r="O73" s="64">
        <v>0</v>
      </c>
      <c r="P73" s="64">
        <v>0.37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4" t="s">
        <v>3000</v>
      </c>
      <c r="B74" s="64">
        <v>1.95</v>
      </c>
      <c r="C74" s="64">
        <v>5.88</v>
      </c>
      <c r="D74" s="64">
        <v>4.6399999999999997</v>
      </c>
      <c r="E74" s="64">
        <v>4.8899999999999997</v>
      </c>
      <c r="F74" s="64">
        <v>4.83</v>
      </c>
      <c r="G74" s="64">
        <v>21.76</v>
      </c>
      <c r="H74" s="64">
        <v>7.36</v>
      </c>
      <c r="I74" s="64">
        <v>1.51</v>
      </c>
      <c r="J74" s="64">
        <v>0.31</v>
      </c>
      <c r="K74" s="64">
        <v>11.71</v>
      </c>
      <c r="L74" s="64">
        <v>30.46</v>
      </c>
      <c r="M74" s="64">
        <v>73.42</v>
      </c>
      <c r="N74" s="64">
        <v>79.400000000000006</v>
      </c>
      <c r="O74" s="64">
        <v>0</v>
      </c>
      <c r="P74" s="64">
        <v>0.34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4" t="s">
        <v>3001</v>
      </c>
      <c r="B75" s="64">
        <v>1.87</v>
      </c>
      <c r="C75" s="64">
        <v>6.45</v>
      </c>
      <c r="D75" s="64">
        <v>4.87</v>
      </c>
      <c r="E75" s="64">
        <v>4.8899999999999997</v>
      </c>
      <c r="F75" s="64">
        <v>4.58</v>
      </c>
      <c r="G75" s="64">
        <v>21.76</v>
      </c>
      <c r="H75" s="64">
        <v>7.36</v>
      </c>
      <c r="I75" s="64">
        <v>1.38</v>
      </c>
      <c r="J75" s="64">
        <v>0.08</v>
      </c>
      <c r="K75" s="64">
        <v>5.19</v>
      </c>
      <c r="L75" s="64">
        <v>30.11</v>
      </c>
      <c r="M75" s="64">
        <v>74.680000000000007</v>
      </c>
      <c r="N75" s="64">
        <v>73.3</v>
      </c>
      <c r="O75" s="64">
        <v>0</v>
      </c>
      <c r="P75" s="64">
        <v>0.34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3002</v>
      </c>
      <c r="B76" s="64">
        <v>1.61</v>
      </c>
      <c r="C76" s="64">
        <v>5.96</v>
      </c>
      <c r="D76" s="64">
        <v>4.4000000000000004</v>
      </c>
      <c r="E76" s="64">
        <v>4.53</v>
      </c>
      <c r="F76" s="64">
        <v>4.1399999999999997</v>
      </c>
      <c r="G76" s="64">
        <v>21.76</v>
      </c>
      <c r="H76" s="64">
        <v>7.36</v>
      </c>
      <c r="I76" s="64">
        <v>1.46</v>
      </c>
      <c r="J76" s="64">
        <v>0.16</v>
      </c>
      <c r="K76" s="64">
        <v>74.989999999999995</v>
      </c>
      <c r="L76" s="64">
        <v>29.82</v>
      </c>
      <c r="M76" s="64">
        <v>75.38</v>
      </c>
      <c r="N76" s="64">
        <v>67.3</v>
      </c>
      <c r="O76" s="64">
        <v>0</v>
      </c>
      <c r="P76" s="64">
        <v>0.31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4" t="s">
        <v>3003</v>
      </c>
      <c r="B77" s="64">
        <v>1.33</v>
      </c>
      <c r="C77" s="64">
        <v>5.62</v>
      </c>
      <c r="D77" s="64">
        <v>4</v>
      </c>
      <c r="E77" s="64">
        <v>4.71</v>
      </c>
      <c r="F77" s="64">
        <v>4.93</v>
      </c>
      <c r="G77" s="64">
        <v>22.4</v>
      </c>
      <c r="H77" s="64">
        <v>7.19</v>
      </c>
      <c r="I77" s="64">
        <v>1.27</v>
      </c>
      <c r="J77" s="64">
        <v>0.21</v>
      </c>
      <c r="K77" s="64">
        <v>15.46</v>
      </c>
      <c r="L77" s="64">
        <v>29.58</v>
      </c>
      <c r="M77" s="64">
        <v>76.510000000000005</v>
      </c>
      <c r="N77" s="64">
        <v>59.6</v>
      </c>
      <c r="O77" s="64">
        <v>0</v>
      </c>
      <c r="P77" s="64">
        <v>0.32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4" t="s">
        <v>3004</v>
      </c>
      <c r="B78" s="64">
        <v>1.38</v>
      </c>
      <c r="C78" s="64">
        <v>5.96</v>
      </c>
      <c r="D78" s="64">
        <v>4.22</v>
      </c>
      <c r="E78" s="64">
        <v>4.63</v>
      </c>
      <c r="F78" s="64">
        <v>4.6500000000000004</v>
      </c>
      <c r="G78" s="64">
        <v>24.06</v>
      </c>
      <c r="H78" s="64">
        <v>6.55</v>
      </c>
      <c r="I78" s="64">
        <v>0.76</v>
      </c>
      <c r="J78" s="64">
        <v>0.26</v>
      </c>
      <c r="K78" s="64">
        <v>20.13</v>
      </c>
      <c r="L78" s="64">
        <v>29.39</v>
      </c>
      <c r="M78" s="64">
        <v>77.52</v>
      </c>
      <c r="N78" s="64">
        <v>50.5</v>
      </c>
      <c r="O78" s="64">
        <v>0</v>
      </c>
      <c r="P78" s="64">
        <v>0.34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4" t="s">
        <v>3005</v>
      </c>
      <c r="B79" s="64">
        <v>1.34</v>
      </c>
      <c r="C79" s="64">
        <v>5.99</v>
      </c>
      <c r="D79" s="64">
        <v>4.2</v>
      </c>
      <c r="E79" s="64">
        <v>4.71</v>
      </c>
      <c r="F79" s="64">
        <v>3.94</v>
      </c>
      <c r="G79" s="64">
        <v>24.06</v>
      </c>
      <c r="H79" s="64">
        <v>6.55</v>
      </c>
      <c r="I79" s="64">
        <v>1.07</v>
      </c>
      <c r="J79" s="64">
        <v>0.36</v>
      </c>
      <c r="K79" s="64">
        <v>355.7</v>
      </c>
      <c r="L79" s="64">
        <v>28.79</v>
      </c>
      <c r="M79" s="64">
        <v>85.18</v>
      </c>
      <c r="N79" s="64">
        <v>40.1</v>
      </c>
      <c r="O79" s="64">
        <v>0</v>
      </c>
      <c r="P79" s="64">
        <v>0.39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4" t="s">
        <v>3006</v>
      </c>
      <c r="B80" s="64">
        <v>1.27</v>
      </c>
      <c r="C80" s="64">
        <v>5.76</v>
      </c>
      <c r="D80" s="64">
        <v>4.03</v>
      </c>
      <c r="E80" s="64">
        <v>4.9400000000000004</v>
      </c>
      <c r="F80" s="64">
        <v>5.55</v>
      </c>
      <c r="G80" s="64">
        <v>24.06</v>
      </c>
      <c r="H80" s="64">
        <v>6.55</v>
      </c>
      <c r="I80" s="64">
        <v>1.28</v>
      </c>
      <c r="J80" s="64">
        <v>0.41</v>
      </c>
      <c r="K80" s="64">
        <v>358.22</v>
      </c>
      <c r="L80" s="64">
        <v>28.16</v>
      </c>
      <c r="M80" s="64">
        <v>87.98</v>
      </c>
      <c r="N80" s="64">
        <v>30.6</v>
      </c>
      <c r="O80" s="64">
        <v>0</v>
      </c>
      <c r="P80" s="64">
        <v>0.52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4" t="s">
        <v>3007</v>
      </c>
      <c r="B81" s="64">
        <v>1.35</v>
      </c>
      <c r="C81" s="64">
        <v>5.94</v>
      </c>
      <c r="D81" s="64">
        <v>4.1900000000000004</v>
      </c>
      <c r="E81" s="64">
        <v>4.71</v>
      </c>
      <c r="F81" s="64">
        <v>7.05</v>
      </c>
      <c r="G81" s="64">
        <v>25.28</v>
      </c>
      <c r="H81" s="64">
        <v>10.38</v>
      </c>
      <c r="I81" s="64">
        <v>1.02</v>
      </c>
      <c r="J81" s="64">
        <v>0.32</v>
      </c>
      <c r="K81" s="64">
        <v>328.71</v>
      </c>
      <c r="L81" s="64">
        <v>27.82</v>
      </c>
      <c r="M81" s="64">
        <v>89.64</v>
      </c>
      <c r="N81" s="64">
        <v>27.1</v>
      </c>
      <c r="O81" s="64">
        <v>0</v>
      </c>
      <c r="P81" s="64">
        <v>0.47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3008</v>
      </c>
      <c r="B82" s="64">
        <v>1.5</v>
      </c>
      <c r="C82" s="64">
        <v>6.04</v>
      </c>
      <c r="D82" s="64">
        <v>4.3600000000000003</v>
      </c>
      <c r="E82" s="64">
        <v>4.96</v>
      </c>
      <c r="F82" s="64">
        <v>6.7</v>
      </c>
      <c r="G82" s="64">
        <v>28.45</v>
      </c>
      <c r="H82" s="64">
        <v>16.8</v>
      </c>
      <c r="I82" s="64">
        <v>1.06</v>
      </c>
      <c r="J82" s="64">
        <v>0.23</v>
      </c>
      <c r="K82" s="64">
        <v>347.89</v>
      </c>
      <c r="L82" s="64">
        <v>27.57</v>
      </c>
      <c r="M82" s="64">
        <v>91.42</v>
      </c>
      <c r="N82" s="64">
        <v>26.5</v>
      </c>
      <c r="O82" s="64">
        <v>0</v>
      </c>
      <c r="P82" s="64">
        <v>0.43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4" t="s">
        <v>3009</v>
      </c>
      <c r="B83" s="64">
        <v>1.61</v>
      </c>
      <c r="C83" s="64">
        <v>6.38</v>
      </c>
      <c r="D83" s="64">
        <v>4.62</v>
      </c>
      <c r="E83" s="64">
        <v>4.55</v>
      </c>
      <c r="F83" s="64">
        <v>5.97</v>
      </c>
      <c r="G83" s="64">
        <v>28.45</v>
      </c>
      <c r="H83" s="64">
        <v>16.8</v>
      </c>
      <c r="I83" s="64">
        <v>1</v>
      </c>
      <c r="J83" s="64">
        <v>0.05</v>
      </c>
      <c r="K83" s="64">
        <v>146.4</v>
      </c>
      <c r="L83" s="64">
        <v>27.76</v>
      </c>
      <c r="M83" s="64">
        <v>88.78</v>
      </c>
      <c r="N83" s="64">
        <v>26.1</v>
      </c>
      <c r="O83" s="64">
        <v>0</v>
      </c>
      <c r="P83" s="64">
        <v>0.57999999999999996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4" t="s">
        <v>3010</v>
      </c>
      <c r="B84" s="64">
        <v>1.82</v>
      </c>
      <c r="C84" s="64">
        <v>6.81</v>
      </c>
      <c r="D84" s="64">
        <v>5.0199999999999996</v>
      </c>
      <c r="E84" s="64">
        <v>4.6500000000000004</v>
      </c>
      <c r="F84" s="64">
        <v>6.31</v>
      </c>
      <c r="G84" s="64">
        <v>28.45</v>
      </c>
      <c r="H84" s="64">
        <v>16.8</v>
      </c>
      <c r="I84" s="64">
        <v>1.02</v>
      </c>
      <c r="J84" s="64">
        <v>0.11</v>
      </c>
      <c r="K84" s="64">
        <v>250.51</v>
      </c>
      <c r="L84" s="64">
        <v>27.9</v>
      </c>
      <c r="M84" s="64">
        <v>88.45</v>
      </c>
      <c r="N84" s="64">
        <v>26.1</v>
      </c>
      <c r="O84" s="64">
        <v>0</v>
      </c>
      <c r="P84" s="64">
        <v>0.62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4" t="s">
        <v>3011</v>
      </c>
      <c r="B85" s="64">
        <v>2.02</v>
      </c>
      <c r="C85" s="64">
        <v>7.04</v>
      </c>
      <c r="D85" s="64">
        <v>5.3</v>
      </c>
      <c r="E85" s="64">
        <v>4.87</v>
      </c>
      <c r="F85" s="64">
        <v>7.99</v>
      </c>
      <c r="G85" s="64">
        <v>28.47</v>
      </c>
      <c r="H85" s="64">
        <v>16.96</v>
      </c>
      <c r="I85" s="64">
        <v>1.4</v>
      </c>
      <c r="J85" s="64">
        <v>0.43</v>
      </c>
      <c r="K85" s="64">
        <v>108.4</v>
      </c>
      <c r="L85" s="64">
        <v>27.91</v>
      </c>
      <c r="M85" s="64">
        <v>89.7</v>
      </c>
      <c r="N85" s="64">
        <v>26.1</v>
      </c>
      <c r="O85" s="64">
        <v>0</v>
      </c>
      <c r="P85" s="64">
        <v>0.51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4" t="s">
        <v>3012</v>
      </c>
      <c r="B86" s="64">
        <v>2.0699999999999998</v>
      </c>
      <c r="C86" s="64">
        <v>7</v>
      </c>
      <c r="D86" s="64">
        <v>5.32</v>
      </c>
      <c r="E86" s="64">
        <v>4.91</v>
      </c>
      <c r="F86" s="64">
        <v>5.87</v>
      </c>
      <c r="G86" s="64">
        <v>28.52</v>
      </c>
      <c r="H86" s="64">
        <v>17.21</v>
      </c>
      <c r="I86" s="64">
        <v>1.63</v>
      </c>
      <c r="J86" s="64">
        <v>0.43</v>
      </c>
      <c r="K86" s="64">
        <v>133.69999999999999</v>
      </c>
      <c r="L86" s="64">
        <v>27.82</v>
      </c>
      <c r="M86" s="64">
        <v>90.73</v>
      </c>
      <c r="N86" s="64">
        <v>26.1</v>
      </c>
      <c r="O86" s="64">
        <v>0</v>
      </c>
      <c r="P86" s="64">
        <v>0.47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4" t="s">
        <v>3013</v>
      </c>
      <c r="B87" s="64">
        <v>2.0499999999999998</v>
      </c>
      <c r="C87" s="64">
        <v>6.79</v>
      </c>
      <c r="D87" s="64">
        <v>5.2</v>
      </c>
      <c r="E87" s="64">
        <v>5.17</v>
      </c>
      <c r="F87" s="64">
        <v>5.68</v>
      </c>
      <c r="G87" s="64">
        <v>28.52</v>
      </c>
      <c r="H87" s="64">
        <v>17.21</v>
      </c>
      <c r="I87" s="64">
        <v>1.5</v>
      </c>
      <c r="J87" s="64">
        <v>0.22</v>
      </c>
      <c r="K87" s="64">
        <v>169.57</v>
      </c>
      <c r="L87" s="64">
        <v>27.65</v>
      </c>
      <c r="M87" s="64">
        <v>91.99</v>
      </c>
      <c r="N87" s="64">
        <v>26.1</v>
      </c>
      <c r="O87" s="64">
        <v>0</v>
      </c>
      <c r="P87" s="64">
        <v>0.51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4" t="s">
        <v>3014</v>
      </c>
      <c r="B88" s="64">
        <v>2.16</v>
      </c>
      <c r="C88" s="64">
        <v>7.08</v>
      </c>
      <c r="D88" s="64">
        <v>5.43</v>
      </c>
      <c r="E88" s="64">
        <v>4.0199999999999996</v>
      </c>
      <c r="F88" s="64">
        <v>5.2</v>
      </c>
      <c r="G88" s="64">
        <v>28.52</v>
      </c>
      <c r="H88" s="64">
        <v>17.21</v>
      </c>
      <c r="I88" s="64">
        <v>1.39</v>
      </c>
      <c r="J88" s="64">
        <v>0.17</v>
      </c>
      <c r="K88" s="64">
        <v>338.37</v>
      </c>
      <c r="L88" s="64">
        <v>27.58</v>
      </c>
      <c r="M88" s="64">
        <v>92.26</v>
      </c>
      <c r="N88" s="64">
        <v>26.3</v>
      </c>
      <c r="O88" s="64">
        <v>0</v>
      </c>
      <c r="P88" s="64">
        <v>0.61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4" t="s">
        <v>3015</v>
      </c>
      <c r="B89" s="64">
        <v>2.2599999999999998</v>
      </c>
      <c r="C89" s="64">
        <v>7.13</v>
      </c>
      <c r="D89" s="64">
        <v>5.54</v>
      </c>
      <c r="E89" s="64">
        <v>4.58</v>
      </c>
      <c r="F89" s="64">
        <v>3.47</v>
      </c>
      <c r="G89" s="64">
        <v>30.29</v>
      </c>
      <c r="H89" s="64">
        <v>16.73</v>
      </c>
      <c r="I89" s="64">
        <v>1.59</v>
      </c>
      <c r="J89" s="64">
        <v>0.33</v>
      </c>
      <c r="K89" s="64">
        <v>107.98</v>
      </c>
      <c r="L89" s="64">
        <v>27.52</v>
      </c>
      <c r="M89" s="64">
        <v>93.06</v>
      </c>
      <c r="N89" s="64">
        <v>26.1</v>
      </c>
      <c r="O89" s="64">
        <v>0</v>
      </c>
      <c r="P89" s="64">
        <v>0.86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4" t="s">
        <v>3016</v>
      </c>
      <c r="B90" s="64">
        <v>2.87</v>
      </c>
      <c r="C90" s="64">
        <v>7.03</v>
      </c>
      <c r="D90" s="64">
        <v>5.97</v>
      </c>
      <c r="E90" s="64">
        <v>4.43</v>
      </c>
      <c r="F90" s="64">
        <v>4.09</v>
      </c>
      <c r="G90" s="64">
        <v>34.9</v>
      </c>
      <c r="H90" s="64">
        <v>15.91</v>
      </c>
      <c r="I90" s="64">
        <v>1.94</v>
      </c>
      <c r="J90" s="64">
        <v>0.11</v>
      </c>
      <c r="K90" s="64">
        <v>36.89</v>
      </c>
      <c r="L90" s="64">
        <v>27.31</v>
      </c>
      <c r="M90" s="64">
        <v>94.29</v>
      </c>
      <c r="N90" s="64">
        <v>26.1</v>
      </c>
      <c r="O90" s="64">
        <v>0</v>
      </c>
      <c r="P90" s="64">
        <v>0.94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4" t="s">
        <v>3017</v>
      </c>
      <c r="B91" s="64">
        <v>5.98</v>
      </c>
      <c r="C91" s="64">
        <v>8.1199999999999992</v>
      </c>
      <c r="D91" s="64">
        <v>9.0399999999999991</v>
      </c>
      <c r="E91" s="64">
        <v>4.24</v>
      </c>
      <c r="F91" s="64">
        <v>4.6500000000000004</v>
      </c>
      <c r="G91" s="64">
        <v>34.9</v>
      </c>
      <c r="H91" s="64">
        <v>15.91</v>
      </c>
      <c r="I91" s="64">
        <v>2.38</v>
      </c>
      <c r="J91" s="64">
        <v>0.2</v>
      </c>
      <c r="K91" s="64">
        <v>264.8</v>
      </c>
      <c r="L91" s="64">
        <v>27.3</v>
      </c>
      <c r="M91" s="64">
        <v>93.81</v>
      </c>
      <c r="N91" s="64">
        <v>26.1</v>
      </c>
      <c r="O91" s="64">
        <v>0</v>
      </c>
      <c r="P91" s="64">
        <v>0.96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4" t="s">
        <v>3018</v>
      </c>
      <c r="B92" s="64">
        <v>7.58</v>
      </c>
      <c r="C92" s="64">
        <v>8.3800000000000008</v>
      </c>
      <c r="D92" s="64">
        <v>10.46</v>
      </c>
      <c r="E92" s="64">
        <v>4.42</v>
      </c>
      <c r="F92" s="64">
        <v>2.76</v>
      </c>
      <c r="G92" s="64">
        <v>34.9</v>
      </c>
      <c r="H92" s="64">
        <v>15.91</v>
      </c>
      <c r="I92" s="64">
        <v>2.77</v>
      </c>
      <c r="J92" s="64">
        <v>0.45</v>
      </c>
      <c r="K92" s="64">
        <v>224.66</v>
      </c>
      <c r="L92" s="64">
        <v>27.36</v>
      </c>
      <c r="M92" s="64">
        <v>92.68</v>
      </c>
      <c r="N92" s="64">
        <v>26.1</v>
      </c>
      <c r="O92" s="64">
        <v>0</v>
      </c>
      <c r="P92" s="64">
        <v>0.65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4" t="s">
        <v>3019</v>
      </c>
      <c r="B93" s="64">
        <v>7.65</v>
      </c>
      <c r="C93" s="64">
        <v>7.94</v>
      </c>
      <c r="D93" s="64">
        <v>10.29</v>
      </c>
      <c r="E93" s="64">
        <v>4.67</v>
      </c>
      <c r="F93" s="64">
        <v>4.16</v>
      </c>
      <c r="G93" s="64">
        <v>34.31</v>
      </c>
      <c r="H93" s="64">
        <v>16.190000000000001</v>
      </c>
      <c r="I93" s="64">
        <v>2.71</v>
      </c>
      <c r="J93" s="64">
        <v>0.39</v>
      </c>
      <c r="K93" s="64">
        <v>277.10000000000002</v>
      </c>
      <c r="L93" s="64">
        <v>27.17</v>
      </c>
      <c r="M93" s="64">
        <v>93.43</v>
      </c>
      <c r="N93" s="64">
        <v>26.1</v>
      </c>
      <c r="O93" s="64">
        <v>0</v>
      </c>
      <c r="P93" s="64">
        <v>0.63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4" t="s">
        <v>3020</v>
      </c>
      <c r="B94" s="64">
        <v>7.6</v>
      </c>
      <c r="C94" s="64">
        <v>7.97</v>
      </c>
      <c r="D94" s="64">
        <v>10.26</v>
      </c>
      <c r="E94" s="64">
        <v>4.12</v>
      </c>
      <c r="F94" s="64">
        <v>4.41</v>
      </c>
      <c r="G94" s="64">
        <v>32.76</v>
      </c>
      <c r="H94" s="64">
        <v>17.260000000000002</v>
      </c>
      <c r="I94" s="64">
        <v>1.63</v>
      </c>
      <c r="J94" s="64">
        <v>0.23</v>
      </c>
      <c r="K94" s="64">
        <v>184.96</v>
      </c>
      <c r="L94" s="64">
        <v>27.06</v>
      </c>
      <c r="M94" s="64">
        <v>94.44</v>
      </c>
      <c r="N94" s="64">
        <v>26.1</v>
      </c>
      <c r="O94" s="64">
        <v>0</v>
      </c>
      <c r="P94" s="64">
        <v>0.55000000000000004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4" t="s">
        <v>3021</v>
      </c>
      <c r="B95" s="64">
        <v>7.43</v>
      </c>
      <c r="C95" s="64">
        <v>7.73</v>
      </c>
      <c r="D95" s="64">
        <v>10</v>
      </c>
      <c r="E95" s="64">
        <v>4.1399999999999997</v>
      </c>
      <c r="F95" s="64">
        <v>3.24</v>
      </c>
      <c r="G95" s="64">
        <v>32.76</v>
      </c>
      <c r="H95" s="64">
        <v>17.260000000000002</v>
      </c>
      <c r="I95" s="64">
        <v>1.37</v>
      </c>
      <c r="J95" s="64">
        <v>0.44</v>
      </c>
      <c r="K95" s="64">
        <v>133.16</v>
      </c>
      <c r="L95" s="64">
        <v>27.04</v>
      </c>
      <c r="M95" s="64">
        <v>95.9</v>
      </c>
      <c r="N95" s="64">
        <v>26.1</v>
      </c>
      <c r="O95" s="64">
        <v>0</v>
      </c>
      <c r="P95" s="64">
        <v>0.54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4" t="s">
        <v>3022</v>
      </c>
      <c r="B96" s="64">
        <v>7.46</v>
      </c>
      <c r="C96" s="64">
        <v>7.38</v>
      </c>
      <c r="D96" s="64">
        <v>9.84</v>
      </c>
      <c r="E96" s="64">
        <v>4.2</v>
      </c>
      <c r="F96" s="64">
        <v>4.3899999999999997</v>
      </c>
      <c r="G96" s="64">
        <v>32.76</v>
      </c>
      <c r="H96" s="64">
        <v>17.260000000000002</v>
      </c>
      <c r="I96" s="64">
        <v>1.33</v>
      </c>
      <c r="J96" s="64">
        <v>0.39</v>
      </c>
      <c r="K96" s="64">
        <v>157.16</v>
      </c>
      <c r="L96" s="64">
        <v>26.89</v>
      </c>
      <c r="M96" s="64">
        <v>97.74</v>
      </c>
      <c r="N96" s="64">
        <v>26.1</v>
      </c>
      <c r="O96" s="64">
        <v>0</v>
      </c>
      <c r="P96" s="64">
        <v>0.53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3023</v>
      </c>
      <c r="B97" s="64">
        <v>7.4</v>
      </c>
      <c r="C97" s="64">
        <v>7.2</v>
      </c>
      <c r="D97" s="64">
        <v>9.6999999999999993</v>
      </c>
      <c r="E97" s="64">
        <v>3.89</v>
      </c>
      <c r="F97" s="64">
        <v>4.7699999999999996</v>
      </c>
      <c r="G97" s="64">
        <v>32.21</v>
      </c>
      <c r="H97" s="64">
        <v>16.79</v>
      </c>
      <c r="I97" s="64">
        <v>1.37</v>
      </c>
      <c r="J97" s="64">
        <v>0.28000000000000003</v>
      </c>
      <c r="K97" s="64">
        <v>143.66999999999999</v>
      </c>
      <c r="L97" s="64">
        <v>26.8</v>
      </c>
      <c r="M97" s="64">
        <v>98.07</v>
      </c>
      <c r="N97" s="64">
        <v>26.1</v>
      </c>
      <c r="O97" s="64">
        <v>0</v>
      </c>
      <c r="P97" s="64">
        <v>0.5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14" t="s">
        <v>3024</v>
      </c>
      <c r="B98" s="64">
        <v>7.25</v>
      </c>
      <c r="C98" s="64">
        <v>6.91</v>
      </c>
      <c r="D98" s="64">
        <v>9.43</v>
      </c>
      <c r="E98" s="64">
        <v>4.05</v>
      </c>
      <c r="F98" s="64">
        <v>4.5599999999999996</v>
      </c>
      <c r="G98" s="64">
        <v>30.81</v>
      </c>
      <c r="H98" s="64">
        <v>16.02</v>
      </c>
      <c r="I98" s="64">
        <v>1.38</v>
      </c>
      <c r="J98" s="64">
        <v>0.23</v>
      </c>
      <c r="K98" s="64">
        <v>106.73</v>
      </c>
      <c r="L98" s="64">
        <v>26.62</v>
      </c>
      <c r="M98" s="64">
        <v>100.52</v>
      </c>
      <c r="N98" s="64">
        <v>26.1</v>
      </c>
      <c r="O98" s="64">
        <v>0</v>
      </c>
      <c r="P98" s="64">
        <v>0.5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4" t="s">
        <v>3025</v>
      </c>
      <c r="B99" s="64">
        <v>7.13</v>
      </c>
      <c r="C99" s="64">
        <v>6.73</v>
      </c>
      <c r="D99" s="64">
        <v>9.24</v>
      </c>
      <c r="E99" s="64">
        <v>3.68</v>
      </c>
      <c r="F99" s="64">
        <v>4.66</v>
      </c>
      <c r="G99" s="64">
        <v>30.81</v>
      </c>
      <c r="H99" s="64">
        <v>16.02</v>
      </c>
      <c r="I99" s="64">
        <v>1.28</v>
      </c>
      <c r="J99" s="64">
        <v>0.36</v>
      </c>
      <c r="K99" s="64">
        <v>159.62</v>
      </c>
      <c r="L99" s="64">
        <v>26.38</v>
      </c>
      <c r="M99" s="64">
        <v>101.98</v>
      </c>
      <c r="N99" s="64">
        <v>26.2</v>
      </c>
      <c r="O99" s="64">
        <v>0</v>
      </c>
      <c r="P99" s="64">
        <v>0.44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3026</v>
      </c>
      <c r="B100" s="64">
        <v>6.97</v>
      </c>
      <c r="C100" s="64">
        <v>6.56</v>
      </c>
      <c r="D100" s="64">
        <v>9.01</v>
      </c>
      <c r="E100" s="64">
        <v>4.1100000000000003</v>
      </c>
      <c r="F100" s="64">
        <v>4.57</v>
      </c>
      <c r="G100" s="64">
        <v>30.81</v>
      </c>
      <c r="H100" s="64">
        <v>16.02</v>
      </c>
      <c r="I100" s="64">
        <v>1.25</v>
      </c>
      <c r="J100" s="64">
        <v>0.36</v>
      </c>
      <c r="K100" s="64">
        <v>123.49</v>
      </c>
      <c r="L100" s="64">
        <v>26.21</v>
      </c>
      <c r="M100" s="64">
        <v>102.1</v>
      </c>
      <c r="N100" s="64">
        <v>26</v>
      </c>
      <c r="O100" s="64">
        <v>0</v>
      </c>
      <c r="P100" s="64">
        <v>0.42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3027</v>
      </c>
      <c r="B101" s="64">
        <v>7.18</v>
      </c>
      <c r="C101" s="64">
        <v>6.66</v>
      </c>
      <c r="D101" s="64">
        <v>9.24</v>
      </c>
      <c r="E101" s="64">
        <v>4.1399999999999997</v>
      </c>
      <c r="F101" s="64">
        <v>3.96</v>
      </c>
      <c r="G101" s="64">
        <v>30.44</v>
      </c>
      <c r="H101" s="64">
        <v>15.65</v>
      </c>
      <c r="I101" s="64">
        <v>0.97</v>
      </c>
      <c r="J101" s="64">
        <v>0.34</v>
      </c>
      <c r="K101" s="64">
        <v>96.77</v>
      </c>
      <c r="L101" s="64">
        <v>26.14</v>
      </c>
      <c r="M101" s="64">
        <v>102.1</v>
      </c>
      <c r="N101" s="64">
        <v>26.1</v>
      </c>
      <c r="O101" s="64">
        <v>0</v>
      </c>
      <c r="P101" s="64">
        <v>0.41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4" t="s">
        <v>3028</v>
      </c>
      <c r="B102" s="64">
        <v>7.84</v>
      </c>
      <c r="C102" s="64">
        <v>6.88</v>
      </c>
      <c r="D102" s="64">
        <v>9.8800000000000008</v>
      </c>
      <c r="E102" s="64">
        <v>4.03</v>
      </c>
      <c r="F102" s="64">
        <v>3.71</v>
      </c>
      <c r="G102" s="64">
        <v>29.47</v>
      </c>
      <c r="H102" s="64">
        <v>15.04</v>
      </c>
      <c r="I102" s="64">
        <v>0.88</v>
      </c>
      <c r="J102" s="64">
        <v>0.57999999999999996</v>
      </c>
      <c r="K102" s="64">
        <v>125.54</v>
      </c>
      <c r="L102" s="64">
        <v>26.03</v>
      </c>
      <c r="M102" s="64">
        <v>102.1</v>
      </c>
      <c r="N102" s="64">
        <v>26</v>
      </c>
      <c r="O102" s="64">
        <v>0</v>
      </c>
      <c r="P102" s="64">
        <v>0.41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4" t="s">
        <v>3029</v>
      </c>
      <c r="B103" s="64">
        <v>8.8800000000000008</v>
      </c>
      <c r="C103" s="64">
        <v>7.09</v>
      </c>
      <c r="D103" s="64">
        <v>10.83</v>
      </c>
      <c r="E103" s="64">
        <v>4.1900000000000004</v>
      </c>
      <c r="F103" s="64">
        <v>3.51</v>
      </c>
      <c r="G103" s="64">
        <v>29.47</v>
      </c>
      <c r="H103" s="64">
        <v>15.04</v>
      </c>
      <c r="I103" s="64">
        <v>0.85</v>
      </c>
      <c r="J103" s="64">
        <v>0.11</v>
      </c>
      <c r="K103" s="64">
        <v>179.93</v>
      </c>
      <c r="L103" s="64">
        <v>25.89</v>
      </c>
      <c r="M103" s="64">
        <v>102.12</v>
      </c>
      <c r="N103" s="64">
        <v>26.1</v>
      </c>
      <c r="O103" s="64">
        <v>0</v>
      </c>
      <c r="P103" s="64">
        <v>0.47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4" t="s">
        <v>3030</v>
      </c>
      <c r="B104" s="64">
        <v>9.6300000000000008</v>
      </c>
      <c r="C104" s="64">
        <v>7.09</v>
      </c>
      <c r="D104" s="64">
        <v>11.43</v>
      </c>
      <c r="E104" s="64">
        <v>4.84</v>
      </c>
      <c r="F104" s="64">
        <v>4.16</v>
      </c>
      <c r="G104" s="64">
        <v>29.47</v>
      </c>
      <c r="H104" s="64">
        <v>15.04</v>
      </c>
      <c r="I104" s="64">
        <v>0.92</v>
      </c>
      <c r="J104" s="64">
        <v>0.08</v>
      </c>
      <c r="K104" s="64">
        <v>26.73</v>
      </c>
      <c r="L104" s="64">
        <v>25.92</v>
      </c>
      <c r="M104" s="64">
        <v>102.1</v>
      </c>
      <c r="N104" s="64">
        <v>26.1</v>
      </c>
      <c r="O104" s="64">
        <v>0</v>
      </c>
      <c r="P104" s="64">
        <v>0.48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1.27</v>
      </c>
      <c r="C106" s="67">
        <f>MIN(C9:C104)</f>
        <v>4.2</v>
      </c>
      <c r="D106" s="67">
        <f t="shared" ref="D106:Q106" si="0">MIN(D9:D104)</f>
        <v>3.8</v>
      </c>
      <c r="E106" s="67">
        <f t="shared" si="0"/>
        <v>3.68</v>
      </c>
      <c r="F106" s="67">
        <f t="shared" si="0"/>
        <v>2.44</v>
      </c>
      <c r="G106" s="67">
        <f t="shared" si="0"/>
        <v>13.33</v>
      </c>
      <c r="H106" s="67">
        <f t="shared" si="0"/>
        <v>5.22</v>
      </c>
      <c r="I106" s="67">
        <f t="shared" si="0"/>
        <v>0.5</v>
      </c>
      <c r="J106" s="67">
        <f t="shared" si="0"/>
        <v>0.05</v>
      </c>
      <c r="K106" s="67">
        <f t="shared" si="0"/>
        <v>3.65</v>
      </c>
      <c r="L106" s="67">
        <f t="shared" si="0"/>
        <v>23.65</v>
      </c>
      <c r="M106" s="67">
        <f t="shared" si="0"/>
        <v>65.400000000000006</v>
      </c>
      <c r="N106" s="67">
        <f t="shared" si="0"/>
        <v>25.7</v>
      </c>
      <c r="O106" s="67">
        <f t="shared" si="0"/>
        <v>0</v>
      </c>
      <c r="P106" s="67">
        <f t="shared" si="0"/>
        <v>0.26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9.6300000000000008</v>
      </c>
      <c r="C107" s="66">
        <f t="shared" ref="C107:Q107" si="1">MAX(C9:C104)</f>
        <v>8.3800000000000008</v>
      </c>
      <c r="D107" s="66">
        <f t="shared" si="1"/>
        <v>11.43</v>
      </c>
      <c r="E107" s="66">
        <f t="shared" si="1"/>
        <v>5.84</v>
      </c>
      <c r="F107" s="66">
        <f t="shared" si="1"/>
        <v>7.99</v>
      </c>
      <c r="G107" s="66">
        <f t="shared" si="1"/>
        <v>34.9</v>
      </c>
      <c r="H107" s="66">
        <f t="shared" si="1"/>
        <v>17.260000000000002</v>
      </c>
      <c r="I107" s="66">
        <f t="shared" si="1"/>
        <v>3.79</v>
      </c>
      <c r="J107" s="66">
        <f t="shared" si="1"/>
        <v>1.34</v>
      </c>
      <c r="K107" s="66">
        <f t="shared" si="1"/>
        <v>358.22</v>
      </c>
      <c r="L107" s="66">
        <f t="shared" si="1"/>
        <v>33.049999999999997</v>
      </c>
      <c r="M107" s="66">
        <f t="shared" si="1"/>
        <v>102.12</v>
      </c>
      <c r="N107" s="66">
        <f t="shared" si="1"/>
        <v>930.1</v>
      </c>
      <c r="O107" s="66">
        <f t="shared" si="1"/>
        <v>0</v>
      </c>
      <c r="P107" s="66">
        <f t="shared" si="1"/>
        <v>0.96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4.9066666666666663</v>
      </c>
      <c r="C108" s="67">
        <f t="shared" ref="C108:Q108" si="2">AVERAGE(C9:C104)</f>
        <v>5.8369791666666657</v>
      </c>
      <c r="D108" s="67">
        <f t="shared" si="2"/>
        <v>6.9847916666666663</v>
      </c>
      <c r="E108" s="67">
        <f t="shared" si="2"/>
        <v>4.7009374999999975</v>
      </c>
      <c r="F108" s="67">
        <f t="shared" si="2"/>
        <v>4.2884374999999997</v>
      </c>
      <c r="G108" s="67">
        <f t="shared" si="2"/>
        <v>23.884166666666658</v>
      </c>
      <c r="H108" s="67">
        <f t="shared" si="2"/>
        <v>9.9224999999999994</v>
      </c>
      <c r="I108" s="67">
        <f t="shared" si="2"/>
        <v>1.8832291666666672</v>
      </c>
      <c r="J108" s="67">
        <f t="shared" si="2"/>
        <v>0.36812499999999987</v>
      </c>
      <c r="K108" s="67">
        <f t="shared" si="2"/>
        <v>159.9145833333333</v>
      </c>
      <c r="L108" s="67">
        <f t="shared" si="2"/>
        <v>27.831041666666675</v>
      </c>
      <c r="M108" s="67">
        <f t="shared" si="2"/>
        <v>88.496562500000039</v>
      </c>
      <c r="N108" s="67">
        <f t="shared" si="2"/>
        <v>183.39062499999974</v>
      </c>
      <c r="O108" s="67">
        <f t="shared" si="2"/>
        <v>0</v>
      </c>
      <c r="P108" s="67">
        <f t="shared" si="2"/>
        <v>0.37552083333333325</v>
      </c>
      <c r="Q108" s="67">
        <f t="shared" si="2"/>
        <v>9.6089583333333444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2.5867214228243141</v>
      </c>
      <c r="C109" s="67">
        <f t="shared" ref="C109:Q109" si="3">STDEV(C9:C104)</f>
        <v>1.0254766489082814</v>
      </c>
      <c r="D109" s="67">
        <f t="shared" si="3"/>
        <v>2.0093874317505747</v>
      </c>
      <c r="E109" s="67">
        <f t="shared" si="3"/>
        <v>0.47673026274935537</v>
      </c>
      <c r="F109" s="67">
        <f t="shared" si="3"/>
        <v>0.93299780348926087</v>
      </c>
      <c r="G109" s="67">
        <f t="shared" si="3"/>
        <v>5.6948380443062145</v>
      </c>
      <c r="H109" s="67">
        <f t="shared" si="3"/>
        <v>3.8315490889524928</v>
      </c>
      <c r="I109" s="67">
        <f t="shared" si="3"/>
        <v>0.8526052888111646</v>
      </c>
      <c r="J109" s="67">
        <f t="shared" si="3"/>
        <v>0.26845096582547751</v>
      </c>
      <c r="K109" s="67">
        <f t="shared" si="3"/>
        <v>117.02348516355404</v>
      </c>
      <c r="L109" s="67">
        <f t="shared" si="3"/>
        <v>3.011400960618444</v>
      </c>
      <c r="M109" s="67">
        <f t="shared" si="3"/>
        <v>13.415520377777854</v>
      </c>
      <c r="N109" s="67">
        <f t="shared" si="3"/>
        <v>253.08375400796351</v>
      </c>
      <c r="O109" s="67">
        <f t="shared" si="3"/>
        <v>0</v>
      </c>
      <c r="P109" s="67">
        <f t="shared" si="3"/>
        <v>0.13671229715348399</v>
      </c>
      <c r="Q109" s="67">
        <f t="shared" si="3"/>
        <v>8.0104098937985348E-3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3031</v>
      </c>
      <c r="B9" s="64">
        <v>9.6199999999999992</v>
      </c>
      <c r="C9" s="64">
        <v>7.17</v>
      </c>
      <c r="D9" s="64">
        <v>11.46</v>
      </c>
      <c r="E9" s="64">
        <v>4.88</v>
      </c>
      <c r="F9" s="64">
        <v>4.51</v>
      </c>
      <c r="G9" s="64">
        <v>29.94</v>
      </c>
      <c r="H9" s="64">
        <v>14.15</v>
      </c>
      <c r="I9" s="64">
        <v>1.04</v>
      </c>
      <c r="J9" s="64">
        <v>0.31</v>
      </c>
      <c r="K9" s="64">
        <v>58.68</v>
      </c>
      <c r="L9" s="64">
        <v>25.9</v>
      </c>
      <c r="M9" s="64">
        <v>102.1</v>
      </c>
      <c r="N9" s="64">
        <v>26.1</v>
      </c>
      <c r="O9" s="64">
        <v>0</v>
      </c>
      <c r="P9" s="64">
        <v>0.44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4" t="s">
        <v>3032</v>
      </c>
      <c r="B10" s="64">
        <v>9.17</v>
      </c>
      <c r="C10" s="64">
        <v>6.42</v>
      </c>
      <c r="D10" s="64">
        <v>10.71</v>
      </c>
      <c r="E10" s="64">
        <v>5.05</v>
      </c>
      <c r="F10" s="64">
        <v>2.81</v>
      </c>
      <c r="G10" s="64">
        <v>31.17</v>
      </c>
      <c r="H10" s="64">
        <v>12.6</v>
      </c>
      <c r="I10" s="64">
        <v>1.71</v>
      </c>
      <c r="J10" s="64">
        <v>0.49</v>
      </c>
      <c r="K10" s="64">
        <v>132.08000000000001</v>
      </c>
      <c r="L10" s="64">
        <v>25.76</v>
      </c>
      <c r="M10" s="64">
        <v>102.11</v>
      </c>
      <c r="N10" s="64">
        <v>26.1</v>
      </c>
      <c r="O10" s="64">
        <v>0</v>
      </c>
      <c r="P10" s="64">
        <v>0.39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4" t="s">
        <v>3033</v>
      </c>
      <c r="B11" s="64">
        <v>8.61</v>
      </c>
      <c r="C11" s="64">
        <v>5.84</v>
      </c>
      <c r="D11" s="64">
        <v>9.9600000000000009</v>
      </c>
      <c r="E11" s="64">
        <v>4.45</v>
      </c>
      <c r="F11" s="64">
        <v>4.38</v>
      </c>
      <c r="G11" s="64">
        <v>31.17</v>
      </c>
      <c r="H11" s="64">
        <v>12.6</v>
      </c>
      <c r="I11" s="64">
        <v>1.73</v>
      </c>
      <c r="J11" s="64">
        <v>0.4</v>
      </c>
      <c r="K11" s="64">
        <v>126.56</v>
      </c>
      <c r="L11" s="64">
        <v>25.65</v>
      </c>
      <c r="M11" s="64">
        <v>102.12</v>
      </c>
      <c r="N11" s="64">
        <v>26</v>
      </c>
      <c r="O11" s="64">
        <v>0</v>
      </c>
      <c r="P11" s="64">
        <v>0.44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4" t="s">
        <v>3034</v>
      </c>
      <c r="B12" s="64">
        <v>8.3699999999999992</v>
      </c>
      <c r="C12" s="64">
        <v>6.18</v>
      </c>
      <c r="D12" s="64">
        <v>9.94</v>
      </c>
      <c r="E12" s="64">
        <v>4.41</v>
      </c>
      <c r="F12" s="64">
        <v>3.27</v>
      </c>
      <c r="G12" s="64">
        <v>31.17</v>
      </c>
      <c r="H12" s="64">
        <v>12.6</v>
      </c>
      <c r="I12" s="64">
        <v>1.1399999999999999</v>
      </c>
      <c r="J12" s="64">
        <v>0.13</v>
      </c>
      <c r="K12" s="64">
        <v>259.17</v>
      </c>
      <c r="L12" s="64">
        <v>25.42</v>
      </c>
      <c r="M12" s="64">
        <v>102.14</v>
      </c>
      <c r="N12" s="64">
        <v>26.1</v>
      </c>
      <c r="O12" s="64">
        <v>0</v>
      </c>
      <c r="P12" s="64">
        <v>0.41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4" t="s">
        <v>3035</v>
      </c>
      <c r="B13" s="64">
        <v>8.11</v>
      </c>
      <c r="C13" s="64">
        <v>5.63</v>
      </c>
      <c r="D13" s="64">
        <v>9.4499999999999993</v>
      </c>
      <c r="E13" s="64">
        <v>4.41</v>
      </c>
      <c r="F13" s="64">
        <v>5.0999999999999996</v>
      </c>
      <c r="G13" s="64">
        <v>30.02</v>
      </c>
      <c r="H13" s="64">
        <v>13</v>
      </c>
      <c r="I13" s="64">
        <v>2.16</v>
      </c>
      <c r="J13" s="64">
        <v>0.13</v>
      </c>
      <c r="K13" s="64">
        <v>105.65</v>
      </c>
      <c r="L13" s="64">
        <v>25.35</v>
      </c>
      <c r="M13" s="64">
        <v>102.13</v>
      </c>
      <c r="N13" s="64">
        <v>26.1</v>
      </c>
      <c r="O13" s="64">
        <v>0</v>
      </c>
      <c r="P13" s="64">
        <v>0.36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4" t="s">
        <v>3036</v>
      </c>
      <c r="B14" s="64">
        <v>7.85</v>
      </c>
      <c r="C14" s="64">
        <v>5.69</v>
      </c>
      <c r="D14" s="64">
        <v>9.27</v>
      </c>
      <c r="E14" s="64">
        <v>4.22</v>
      </c>
      <c r="F14" s="64">
        <v>4.01</v>
      </c>
      <c r="G14" s="64">
        <v>27.04</v>
      </c>
      <c r="H14" s="64">
        <v>14.65</v>
      </c>
      <c r="I14" s="64">
        <v>2.2000000000000002</v>
      </c>
      <c r="J14" s="64">
        <v>0.1</v>
      </c>
      <c r="K14" s="64">
        <v>169.7</v>
      </c>
      <c r="L14" s="64">
        <v>25.35</v>
      </c>
      <c r="M14" s="64">
        <v>102.12</v>
      </c>
      <c r="N14" s="64">
        <v>26.1</v>
      </c>
      <c r="O14" s="64">
        <v>0</v>
      </c>
      <c r="P14" s="64">
        <v>0.41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4" t="s">
        <v>3037</v>
      </c>
      <c r="B15" s="64">
        <v>7.56</v>
      </c>
      <c r="C15" s="64">
        <v>5.51</v>
      </c>
      <c r="D15" s="64">
        <v>8.94</v>
      </c>
      <c r="E15" s="64">
        <v>4.37</v>
      </c>
      <c r="F15" s="64">
        <v>2.83</v>
      </c>
      <c r="G15" s="64">
        <v>27.04</v>
      </c>
      <c r="H15" s="64">
        <v>14.65</v>
      </c>
      <c r="I15" s="64">
        <v>1.21</v>
      </c>
      <c r="J15" s="64">
        <v>0.16</v>
      </c>
      <c r="K15" s="64">
        <v>136.13999999999999</v>
      </c>
      <c r="L15" s="64">
        <v>25.36</v>
      </c>
      <c r="M15" s="64">
        <v>102.13</v>
      </c>
      <c r="N15" s="64">
        <v>26</v>
      </c>
      <c r="O15" s="64">
        <v>0</v>
      </c>
      <c r="P15" s="64">
        <v>0.36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4" t="s">
        <v>3038</v>
      </c>
      <c r="B16" s="64">
        <v>7.23</v>
      </c>
      <c r="C16" s="64">
        <v>5.0999999999999996</v>
      </c>
      <c r="D16" s="64">
        <v>8.4700000000000006</v>
      </c>
      <c r="E16" s="64">
        <v>4.1900000000000004</v>
      </c>
      <c r="F16" s="64">
        <v>4.3499999999999996</v>
      </c>
      <c r="G16" s="64">
        <v>27.04</v>
      </c>
      <c r="H16" s="64">
        <v>14.65</v>
      </c>
      <c r="I16" s="64">
        <v>2.1</v>
      </c>
      <c r="J16" s="64">
        <v>0.12</v>
      </c>
      <c r="K16" s="64">
        <v>23.02</v>
      </c>
      <c r="L16" s="64">
        <v>25.34</v>
      </c>
      <c r="M16" s="64">
        <v>102.13</v>
      </c>
      <c r="N16" s="64">
        <v>26.1</v>
      </c>
      <c r="O16" s="64">
        <v>0</v>
      </c>
      <c r="P16" s="64">
        <v>0.42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4" t="s">
        <v>3039</v>
      </c>
      <c r="B17" s="64">
        <v>6.95</v>
      </c>
      <c r="C17" s="64">
        <v>5.32</v>
      </c>
      <c r="D17" s="64">
        <v>8.36</v>
      </c>
      <c r="E17" s="64">
        <v>4.0199999999999996</v>
      </c>
      <c r="F17" s="64">
        <v>2.73</v>
      </c>
      <c r="G17" s="64">
        <v>26.49</v>
      </c>
      <c r="H17" s="64">
        <v>14.61</v>
      </c>
      <c r="I17" s="64">
        <v>1.05</v>
      </c>
      <c r="J17" s="64">
        <v>0.08</v>
      </c>
      <c r="K17" s="64">
        <v>118.25</v>
      </c>
      <c r="L17" s="64">
        <v>25.25</v>
      </c>
      <c r="M17" s="64">
        <v>102.14</v>
      </c>
      <c r="N17" s="64">
        <v>26</v>
      </c>
      <c r="O17" s="64">
        <v>0</v>
      </c>
      <c r="P17" s="64">
        <v>0.37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4" t="s">
        <v>3040</v>
      </c>
      <c r="B18" s="64">
        <v>6.68</v>
      </c>
      <c r="C18" s="64">
        <v>4.7699999999999996</v>
      </c>
      <c r="D18" s="64">
        <v>7.85</v>
      </c>
      <c r="E18" s="64">
        <v>4.0999999999999996</v>
      </c>
      <c r="F18" s="64">
        <v>3.52</v>
      </c>
      <c r="G18" s="64">
        <v>25.08</v>
      </c>
      <c r="H18" s="64">
        <v>14.53</v>
      </c>
      <c r="I18" s="64">
        <v>2.2400000000000002</v>
      </c>
      <c r="J18" s="64">
        <v>0.15</v>
      </c>
      <c r="K18" s="64">
        <v>245.16</v>
      </c>
      <c r="L18" s="64">
        <v>25.19</v>
      </c>
      <c r="M18" s="64">
        <v>102.14</v>
      </c>
      <c r="N18" s="64">
        <v>26</v>
      </c>
      <c r="O18" s="64">
        <v>0</v>
      </c>
      <c r="P18" s="64">
        <v>0.35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4" t="s">
        <v>3041</v>
      </c>
      <c r="B19" s="64">
        <v>6.57</v>
      </c>
      <c r="C19" s="64">
        <v>4.5999999999999996</v>
      </c>
      <c r="D19" s="64">
        <v>7.67</v>
      </c>
      <c r="E19" s="64">
        <v>3.94</v>
      </c>
      <c r="F19" s="64">
        <v>4.13</v>
      </c>
      <c r="G19" s="64">
        <v>25.08</v>
      </c>
      <c r="H19" s="64">
        <v>14.53</v>
      </c>
      <c r="I19" s="64">
        <v>1.64</v>
      </c>
      <c r="J19" s="64">
        <v>0.56999999999999995</v>
      </c>
      <c r="K19" s="64">
        <v>119.49</v>
      </c>
      <c r="L19" s="64">
        <v>25.01</v>
      </c>
      <c r="M19" s="64">
        <v>102.16</v>
      </c>
      <c r="N19" s="64">
        <v>26.1</v>
      </c>
      <c r="O19" s="64">
        <v>0</v>
      </c>
      <c r="P19" s="64">
        <v>0.34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4" t="s">
        <v>3042</v>
      </c>
      <c r="B20" s="64">
        <v>6.64</v>
      </c>
      <c r="C20" s="64">
        <v>4.9000000000000004</v>
      </c>
      <c r="D20" s="64">
        <v>7.88</v>
      </c>
      <c r="E20" s="64">
        <v>4.38</v>
      </c>
      <c r="F20" s="64">
        <v>4.18</v>
      </c>
      <c r="G20" s="64">
        <v>25.08</v>
      </c>
      <c r="H20" s="64">
        <v>14.53</v>
      </c>
      <c r="I20" s="64">
        <v>0.86</v>
      </c>
      <c r="J20" s="64">
        <v>0.34</v>
      </c>
      <c r="K20" s="64">
        <v>121.67</v>
      </c>
      <c r="L20" s="64">
        <v>24.82</v>
      </c>
      <c r="M20" s="64">
        <v>102.18</v>
      </c>
      <c r="N20" s="64">
        <v>26.1</v>
      </c>
      <c r="O20" s="64">
        <v>0</v>
      </c>
      <c r="P20" s="64">
        <v>0.34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4" t="s">
        <v>3043</v>
      </c>
      <c r="B21" s="64">
        <v>6.68</v>
      </c>
      <c r="C21" s="64">
        <v>5.03</v>
      </c>
      <c r="D21" s="64">
        <v>7.98</v>
      </c>
      <c r="E21" s="64">
        <v>4.3099999999999996</v>
      </c>
      <c r="F21" s="64">
        <v>3.97</v>
      </c>
      <c r="G21" s="64">
        <v>23.57</v>
      </c>
      <c r="H21" s="64">
        <v>14.53</v>
      </c>
      <c r="I21" s="64">
        <v>0.68</v>
      </c>
      <c r="J21" s="64">
        <v>0.13</v>
      </c>
      <c r="K21" s="64">
        <v>148.19999999999999</v>
      </c>
      <c r="L21" s="64">
        <v>24.7</v>
      </c>
      <c r="M21" s="64">
        <v>102.18</v>
      </c>
      <c r="N21" s="64">
        <v>26.1</v>
      </c>
      <c r="O21" s="64">
        <v>0</v>
      </c>
      <c r="P21" s="64">
        <v>0.33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4" t="s">
        <v>3044</v>
      </c>
      <c r="B22" s="64">
        <v>6.68</v>
      </c>
      <c r="C22" s="64">
        <v>4.84</v>
      </c>
      <c r="D22" s="64">
        <v>7.88</v>
      </c>
      <c r="E22" s="64">
        <v>4.3</v>
      </c>
      <c r="F22" s="64">
        <v>4.05</v>
      </c>
      <c r="G22" s="64">
        <v>19.63</v>
      </c>
      <c r="H22" s="64">
        <v>14.51</v>
      </c>
      <c r="I22" s="64">
        <v>0.72</v>
      </c>
      <c r="J22" s="64">
        <v>0.14000000000000001</v>
      </c>
      <c r="K22" s="64">
        <v>104.48</v>
      </c>
      <c r="L22" s="64">
        <v>24.55</v>
      </c>
      <c r="M22" s="64">
        <v>102.18</v>
      </c>
      <c r="N22" s="64">
        <v>26.1</v>
      </c>
      <c r="O22" s="64">
        <v>0</v>
      </c>
      <c r="P22" s="64">
        <v>0.33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4" t="s">
        <v>3045</v>
      </c>
      <c r="B23" s="64">
        <v>6.57</v>
      </c>
      <c r="C23" s="64">
        <v>4.7</v>
      </c>
      <c r="D23" s="64">
        <v>7.72</v>
      </c>
      <c r="E23" s="64">
        <v>4.7</v>
      </c>
      <c r="F23" s="64">
        <v>4.16</v>
      </c>
      <c r="G23" s="64">
        <v>19.63</v>
      </c>
      <c r="H23" s="64">
        <v>14.51</v>
      </c>
      <c r="I23" s="64">
        <v>0.69</v>
      </c>
      <c r="J23" s="64">
        <v>0.35</v>
      </c>
      <c r="K23" s="64">
        <v>247.56</v>
      </c>
      <c r="L23" s="64">
        <v>24.63</v>
      </c>
      <c r="M23" s="64">
        <v>102.18</v>
      </c>
      <c r="N23" s="64">
        <v>26</v>
      </c>
      <c r="O23" s="64">
        <v>0</v>
      </c>
      <c r="P23" s="64">
        <v>0.33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4" t="s">
        <v>3046</v>
      </c>
      <c r="B24" s="64">
        <v>6.46</v>
      </c>
      <c r="C24" s="64">
        <v>4.55</v>
      </c>
      <c r="D24" s="64">
        <v>7.56</v>
      </c>
      <c r="E24" s="64">
        <v>4.21</v>
      </c>
      <c r="F24" s="64">
        <v>4.28</v>
      </c>
      <c r="G24" s="64">
        <v>19.63</v>
      </c>
      <c r="H24" s="64">
        <v>14.51</v>
      </c>
      <c r="I24" s="64">
        <v>0.64</v>
      </c>
      <c r="J24" s="64">
        <v>0.12</v>
      </c>
      <c r="K24" s="64">
        <v>151.9</v>
      </c>
      <c r="L24" s="64">
        <v>24.58</v>
      </c>
      <c r="M24" s="64">
        <v>102.18</v>
      </c>
      <c r="N24" s="64">
        <v>26</v>
      </c>
      <c r="O24" s="64">
        <v>0</v>
      </c>
      <c r="P24" s="64">
        <v>0.32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4" t="s">
        <v>3047</v>
      </c>
      <c r="B25" s="64">
        <v>6.36</v>
      </c>
      <c r="C25" s="64">
        <v>4.5999999999999996</v>
      </c>
      <c r="D25" s="64">
        <v>7.5</v>
      </c>
      <c r="E25" s="64">
        <v>4.66</v>
      </c>
      <c r="F25" s="64">
        <v>4.72</v>
      </c>
      <c r="G25" s="64">
        <v>19.579999999999998</v>
      </c>
      <c r="H25" s="64">
        <v>13.33</v>
      </c>
      <c r="I25" s="64">
        <v>0.71</v>
      </c>
      <c r="J25" s="64">
        <v>0.4</v>
      </c>
      <c r="K25" s="64">
        <v>110.96</v>
      </c>
      <c r="L25" s="64">
        <v>24.53</v>
      </c>
      <c r="M25" s="64">
        <v>102.18</v>
      </c>
      <c r="N25" s="64">
        <v>26</v>
      </c>
      <c r="O25" s="64">
        <v>0</v>
      </c>
      <c r="P25" s="64">
        <v>0.35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4" t="s">
        <v>3048</v>
      </c>
      <c r="B26" s="64">
        <v>6.26</v>
      </c>
      <c r="C26" s="64">
        <v>5.14</v>
      </c>
      <c r="D26" s="64">
        <v>7.71</v>
      </c>
      <c r="E26" s="64">
        <v>4.82</v>
      </c>
      <c r="F26" s="64">
        <v>3.98</v>
      </c>
      <c r="G26" s="64">
        <v>19.45</v>
      </c>
      <c r="H26" s="64">
        <v>11.36</v>
      </c>
      <c r="I26" s="64">
        <v>0.79</v>
      </c>
      <c r="J26" s="64">
        <v>0.06</v>
      </c>
      <c r="K26" s="64">
        <v>119.84</v>
      </c>
      <c r="L26" s="64">
        <v>24.43</v>
      </c>
      <c r="M26" s="64">
        <v>102.18</v>
      </c>
      <c r="N26" s="64">
        <v>26.1</v>
      </c>
      <c r="O26" s="64">
        <v>0</v>
      </c>
      <c r="P26" s="64">
        <v>0.38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4" t="s">
        <v>3049</v>
      </c>
      <c r="B27" s="64">
        <v>6</v>
      </c>
      <c r="C27" s="64">
        <v>4.6900000000000004</v>
      </c>
      <c r="D27" s="64">
        <v>7.26</v>
      </c>
      <c r="E27" s="64">
        <v>5.31</v>
      </c>
      <c r="F27" s="64">
        <v>3.03</v>
      </c>
      <c r="G27" s="64">
        <v>19.45</v>
      </c>
      <c r="H27" s="64">
        <v>11.36</v>
      </c>
      <c r="I27" s="64">
        <v>1.74</v>
      </c>
      <c r="J27" s="64">
        <v>0.7</v>
      </c>
      <c r="K27" s="64">
        <v>126.4</v>
      </c>
      <c r="L27" s="64">
        <v>24.44</v>
      </c>
      <c r="M27" s="64">
        <v>102.18</v>
      </c>
      <c r="N27" s="64">
        <v>25.7</v>
      </c>
      <c r="O27" s="64">
        <v>0</v>
      </c>
      <c r="P27" s="64">
        <v>0.33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3050</v>
      </c>
      <c r="B28" s="64">
        <v>5.84</v>
      </c>
      <c r="C28" s="64">
        <v>4.42</v>
      </c>
      <c r="D28" s="64">
        <v>6.99</v>
      </c>
      <c r="E28" s="64">
        <v>4.6900000000000004</v>
      </c>
      <c r="F28" s="64">
        <v>4.3499999999999996</v>
      </c>
      <c r="G28" s="64">
        <v>19.45</v>
      </c>
      <c r="H28" s="64">
        <v>11.36</v>
      </c>
      <c r="I28" s="64">
        <v>2.64</v>
      </c>
      <c r="J28" s="64">
        <v>0.23</v>
      </c>
      <c r="K28" s="64">
        <v>163.18</v>
      </c>
      <c r="L28" s="64">
        <v>24.45</v>
      </c>
      <c r="M28" s="64">
        <v>102.18</v>
      </c>
      <c r="N28" s="64">
        <v>26</v>
      </c>
      <c r="O28" s="64">
        <v>0</v>
      </c>
      <c r="P28" s="64">
        <v>0.38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3051</v>
      </c>
      <c r="B29" s="64">
        <v>6.01</v>
      </c>
      <c r="C29" s="64">
        <v>4.55</v>
      </c>
      <c r="D29" s="64">
        <v>7.2</v>
      </c>
      <c r="E29" s="64">
        <v>4.59</v>
      </c>
      <c r="F29" s="64">
        <v>2.31</v>
      </c>
      <c r="G29" s="64">
        <v>19.440000000000001</v>
      </c>
      <c r="H29" s="64">
        <v>11.96</v>
      </c>
      <c r="I29" s="64">
        <v>1.17</v>
      </c>
      <c r="J29" s="64">
        <v>0.27</v>
      </c>
      <c r="K29" s="64">
        <v>59.84</v>
      </c>
      <c r="L29" s="64">
        <v>24.37</v>
      </c>
      <c r="M29" s="64">
        <v>102.18</v>
      </c>
      <c r="N29" s="64">
        <v>26</v>
      </c>
      <c r="O29" s="64">
        <v>0</v>
      </c>
      <c r="P29" s="64">
        <v>0.35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4" t="s">
        <v>3052</v>
      </c>
      <c r="B30" s="64">
        <v>6.49</v>
      </c>
      <c r="C30" s="64">
        <v>4.5199999999999996</v>
      </c>
      <c r="D30" s="64">
        <v>7.56</v>
      </c>
      <c r="E30" s="64">
        <v>4.63</v>
      </c>
      <c r="F30" s="64">
        <v>4.16</v>
      </c>
      <c r="G30" s="64">
        <v>19.39</v>
      </c>
      <c r="H30" s="64">
        <v>14.51</v>
      </c>
      <c r="I30" s="64">
        <v>2.5299999999999998</v>
      </c>
      <c r="J30" s="64">
        <v>0.14000000000000001</v>
      </c>
      <c r="K30" s="64">
        <v>306.10000000000002</v>
      </c>
      <c r="L30" s="64">
        <v>24.35</v>
      </c>
      <c r="M30" s="64">
        <v>102.18</v>
      </c>
      <c r="N30" s="64">
        <v>26.1</v>
      </c>
      <c r="O30" s="64">
        <v>0</v>
      </c>
      <c r="P30" s="64">
        <v>0.38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4" t="s">
        <v>3053</v>
      </c>
      <c r="B31" s="64">
        <v>6.76</v>
      </c>
      <c r="C31" s="64">
        <v>4.58</v>
      </c>
      <c r="D31" s="64">
        <v>7.81</v>
      </c>
      <c r="E31" s="64">
        <v>5.07</v>
      </c>
      <c r="F31" s="64">
        <v>2.33</v>
      </c>
      <c r="G31" s="64">
        <v>19.39</v>
      </c>
      <c r="H31" s="64">
        <v>14.51</v>
      </c>
      <c r="I31" s="64">
        <v>1.54</v>
      </c>
      <c r="J31" s="64">
        <v>0.13</v>
      </c>
      <c r="K31" s="64">
        <v>359.14</v>
      </c>
      <c r="L31" s="64">
        <v>24.28</v>
      </c>
      <c r="M31" s="64">
        <v>102.18</v>
      </c>
      <c r="N31" s="64">
        <v>26.2</v>
      </c>
      <c r="O31" s="64">
        <v>0</v>
      </c>
      <c r="P31" s="64">
        <v>0.34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4" t="s">
        <v>3054</v>
      </c>
      <c r="B32" s="64">
        <v>6.8</v>
      </c>
      <c r="C32" s="64">
        <v>4.21</v>
      </c>
      <c r="D32" s="64">
        <v>7.66</v>
      </c>
      <c r="E32" s="64">
        <v>4.8899999999999997</v>
      </c>
      <c r="F32" s="64">
        <v>3.86</v>
      </c>
      <c r="G32" s="64">
        <v>19.39</v>
      </c>
      <c r="H32" s="64">
        <v>14.51</v>
      </c>
      <c r="I32" s="64">
        <v>2.61</v>
      </c>
      <c r="J32" s="64">
        <v>0.04</v>
      </c>
      <c r="K32" s="64">
        <v>195.68</v>
      </c>
      <c r="L32" s="64">
        <v>24.22</v>
      </c>
      <c r="M32" s="64">
        <v>102.18</v>
      </c>
      <c r="N32" s="64">
        <v>28.9</v>
      </c>
      <c r="O32" s="64">
        <v>0</v>
      </c>
      <c r="P32" s="64">
        <v>0.36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4" t="s">
        <v>3055</v>
      </c>
      <c r="B33" s="64">
        <v>6.89</v>
      </c>
      <c r="C33" s="64">
        <v>4.6100000000000003</v>
      </c>
      <c r="D33" s="64">
        <v>7.94</v>
      </c>
      <c r="E33" s="64">
        <v>4.7699999999999996</v>
      </c>
      <c r="F33" s="64">
        <v>3.47</v>
      </c>
      <c r="G33" s="64">
        <v>17.96</v>
      </c>
      <c r="H33" s="64">
        <v>13.55</v>
      </c>
      <c r="I33" s="64">
        <v>1.63</v>
      </c>
      <c r="J33" s="64">
        <v>0.22</v>
      </c>
      <c r="K33" s="64">
        <v>66.150000000000006</v>
      </c>
      <c r="L33" s="64">
        <v>24.29</v>
      </c>
      <c r="M33" s="64">
        <v>102.18</v>
      </c>
      <c r="N33" s="64">
        <v>37.5</v>
      </c>
      <c r="O33" s="64">
        <v>0</v>
      </c>
      <c r="P33" s="64">
        <v>0.38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4" t="s">
        <v>3056</v>
      </c>
      <c r="B34" s="64">
        <v>6.96</v>
      </c>
      <c r="C34" s="64">
        <v>4.41</v>
      </c>
      <c r="D34" s="64">
        <v>7.88</v>
      </c>
      <c r="E34" s="64">
        <v>4.82</v>
      </c>
      <c r="F34" s="64">
        <v>2.96</v>
      </c>
      <c r="G34" s="64">
        <v>14.24</v>
      </c>
      <c r="H34" s="64">
        <v>11.87</v>
      </c>
      <c r="I34" s="64">
        <v>2.33</v>
      </c>
      <c r="J34" s="64">
        <v>0.22</v>
      </c>
      <c r="K34" s="64">
        <v>85.07</v>
      </c>
      <c r="L34" s="64">
        <v>24.47</v>
      </c>
      <c r="M34" s="64">
        <v>102.18</v>
      </c>
      <c r="N34" s="64">
        <v>59.7</v>
      </c>
      <c r="O34" s="64">
        <v>0</v>
      </c>
      <c r="P34" s="64">
        <v>0.36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4" t="s">
        <v>3057</v>
      </c>
      <c r="B35" s="64">
        <v>7.15</v>
      </c>
      <c r="C35" s="64">
        <v>3.99</v>
      </c>
      <c r="D35" s="64">
        <v>7.82</v>
      </c>
      <c r="E35" s="64">
        <v>4.54</v>
      </c>
      <c r="F35" s="64">
        <v>4</v>
      </c>
      <c r="G35" s="64">
        <v>14.24</v>
      </c>
      <c r="H35" s="64">
        <v>11.87</v>
      </c>
      <c r="I35" s="64">
        <v>2.57</v>
      </c>
      <c r="J35" s="64">
        <v>0.3</v>
      </c>
      <c r="K35" s="64">
        <v>87.92</v>
      </c>
      <c r="L35" s="64">
        <v>25.36</v>
      </c>
      <c r="M35" s="64">
        <v>102.16</v>
      </c>
      <c r="N35" s="64">
        <v>111.5</v>
      </c>
      <c r="O35" s="64">
        <v>0</v>
      </c>
      <c r="P35" s="64">
        <v>0.4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4" t="s">
        <v>3058</v>
      </c>
      <c r="B36" s="64">
        <v>7.51</v>
      </c>
      <c r="C36" s="64">
        <v>3.9</v>
      </c>
      <c r="D36" s="64">
        <v>8.06</v>
      </c>
      <c r="E36" s="64">
        <v>4.74</v>
      </c>
      <c r="F36" s="64">
        <v>4.09</v>
      </c>
      <c r="G36" s="64">
        <v>14.24</v>
      </c>
      <c r="H36" s="64">
        <v>11.87</v>
      </c>
      <c r="I36" s="64">
        <v>1.03</v>
      </c>
      <c r="J36" s="64">
        <v>0.41</v>
      </c>
      <c r="K36" s="64">
        <v>122.65</v>
      </c>
      <c r="L36" s="64">
        <v>26.89</v>
      </c>
      <c r="M36" s="64">
        <v>100.99</v>
      </c>
      <c r="N36" s="64">
        <v>164.7</v>
      </c>
      <c r="O36" s="64">
        <v>0</v>
      </c>
      <c r="P36" s="64">
        <v>0.39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4" t="s">
        <v>3059</v>
      </c>
      <c r="B37" s="64">
        <v>7.75</v>
      </c>
      <c r="C37" s="64">
        <v>3.87</v>
      </c>
      <c r="D37" s="64">
        <v>8.24</v>
      </c>
      <c r="E37" s="64">
        <v>4.9000000000000004</v>
      </c>
      <c r="F37" s="64">
        <v>7.02</v>
      </c>
      <c r="G37" s="64">
        <v>13.77</v>
      </c>
      <c r="H37" s="64">
        <v>10.58</v>
      </c>
      <c r="I37" s="64">
        <v>1.1299999999999999</v>
      </c>
      <c r="J37" s="64">
        <v>0.4</v>
      </c>
      <c r="K37" s="64">
        <v>116.91</v>
      </c>
      <c r="L37" s="64">
        <v>27.55</v>
      </c>
      <c r="M37" s="64">
        <v>98.99</v>
      </c>
      <c r="N37" s="64">
        <v>221.8</v>
      </c>
      <c r="O37" s="64">
        <v>0</v>
      </c>
      <c r="P37" s="64">
        <v>0.35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4" t="s">
        <v>3060</v>
      </c>
      <c r="B38" s="64">
        <v>7.92</v>
      </c>
      <c r="C38" s="64">
        <v>3.99</v>
      </c>
      <c r="D38" s="64">
        <v>8.43</v>
      </c>
      <c r="E38" s="64">
        <v>4.97</v>
      </c>
      <c r="F38" s="64">
        <v>4.13</v>
      </c>
      <c r="G38" s="64">
        <v>12.55</v>
      </c>
      <c r="H38" s="64">
        <v>8.32</v>
      </c>
      <c r="I38" s="64">
        <v>1.32</v>
      </c>
      <c r="J38" s="64">
        <v>0.21</v>
      </c>
      <c r="K38" s="64">
        <v>53.68</v>
      </c>
      <c r="L38" s="64">
        <v>29.12</v>
      </c>
      <c r="M38" s="64">
        <v>90.37</v>
      </c>
      <c r="N38" s="64">
        <v>278.2</v>
      </c>
      <c r="O38" s="64">
        <v>0</v>
      </c>
      <c r="P38" s="64">
        <v>0.41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4" t="s">
        <v>3061</v>
      </c>
      <c r="B39" s="64">
        <v>7.96</v>
      </c>
      <c r="C39" s="64">
        <v>4.0199999999999996</v>
      </c>
      <c r="D39" s="64">
        <v>8.48</v>
      </c>
      <c r="E39" s="64">
        <v>4.83</v>
      </c>
      <c r="F39" s="64">
        <v>3.91</v>
      </c>
      <c r="G39" s="64">
        <v>12.55</v>
      </c>
      <c r="H39" s="64">
        <v>8.32</v>
      </c>
      <c r="I39" s="64">
        <v>1.64</v>
      </c>
      <c r="J39" s="64">
        <v>0.38</v>
      </c>
      <c r="K39" s="64">
        <v>9.66</v>
      </c>
      <c r="L39" s="64">
        <v>30.06</v>
      </c>
      <c r="M39" s="64">
        <v>84.77</v>
      </c>
      <c r="N39" s="64">
        <v>338</v>
      </c>
      <c r="O39" s="64">
        <v>0</v>
      </c>
      <c r="P39" s="64">
        <v>0.35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4" t="s">
        <v>3062</v>
      </c>
      <c r="B40" s="64">
        <v>7.93</v>
      </c>
      <c r="C40" s="64">
        <v>4.2300000000000004</v>
      </c>
      <c r="D40" s="64">
        <v>8.57</v>
      </c>
      <c r="E40" s="64">
        <v>4.7</v>
      </c>
      <c r="F40" s="64">
        <v>3.72</v>
      </c>
      <c r="G40" s="64">
        <v>12.55</v>
      </c>
      <c r="H40" s="64">
        <v>8.32</v>
      </c>
      <c r="I40" s="64">
        <v>2.11</v>
      </c>
      <c r="J40" s="64">
        <v>0.51</v>
      </c>
      <c r="K40" s="64">
        <v>1.23</v>
      </c>
      <c r="L40" s="64">
        <v>31.01</v>
      </c>
      <c r="M40" s="64">
        <v>80.27</v>
      </c>
      <c r="N40" s="64">
        <v>397.2</v>
      </c>
      <c r="O40" s="64">
        <v>0</v>
      </c>
      <c r="P40" s="64">
        <v>0.38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4" t="s">
        <v>3063</v>
      </c>
      <c r="B41" s="64">
        <v>8.11</v>
      </c>
      <c r="C41" s="64">
        <v>4.7300000000000004</v>
      </c>
      <c r="D41" s="64">
        <v>8.98</v>
      </c>
      <c r="E41" s="64">
        <v>5</v>
      </c>
      <c r="F41" s="64">
        <v>3.89</v>
      </c>
      <c r="G41" s="64">
        <v>14.25</v>
      </c>
      <c r="H41" s="64">
        <v>7.42</v>
      </c>
      <c r="I41" s="64">
        <v>2.5</v>
      </c>
      <c r="J41" s="64">
        <v>0.22</v>
      </c>
      <c r="K41" s="64">
        <v>348.16</v>
      </c>
      <c r="L41" s="64">
        <v>31.87</v>
      </c>
      <c r="M41" s="64">
        <v>75.540000000000006</v>
      </c>
      <c r="N41" s="64">
        <v>459</v>
      </c>
      <c r="O41" s="64">
        <v>0</v>
      </c>
      <c r="P41" s="64">
        <v>0.39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4" t="s">
        <v>3064</v>
      </c>
      <c r="B42" s="64">
        <v>8.06</v>
      </c>
      <c r="C42" s="64">
        <v>5.22</v>
      </c>
      <c r="D42" s="64">
        <v>9.19</v>
      </c>
      <c r="E42" s="64">
        <v>5.4</v>
      </c>
      <c r="F42" s="64">
        <v>4.87</v>
      </c>
      <c r="G42" s="64">
        <v>18.68</v>
      </c>
      <c r="H42" s="64">
        <v>5.83</v>
      </c>
      <c r="I42" s="64">
        <v>2.4700000000000002</v>
      </c>
      <c r="J42" s="64">
        <v>0.54</v>
      </c>
      <c r="K42" s="64">
        <v>356.27</v>
      </c>
      <c r="L42" s="64">
        <v>31.62</v>
      </c>
      <c r="M42" s="64">
        <v>76.16</v>
      </c>
      <c r="N42" s="64">
        <v>510.2</v>
      </c>
      <c r="O42" s="64">
        <v>0</v>
      </c>
      <c r="P42" s="64">
        <v>0.36</v>
      </c>
      <c r="Q42" s="64">
        <v>9.6</v>
      </c>
      <c r="R42" s="198"/>
      <c r="S42" s="198"/>
      <c r="T42" s="198"/>
      <c r="U42" s="198"/>
    </row>
    <row r="43" spans="1:21" s="12" customFormat="1" x14ac:dyDescent="0.25">
      <c r="A43" s="214" t="s">
        <v>3065</v>
      </c>
      <c r="B43" s="64">
        <v>7.63</v>
      </c>
      <c r="C43" s="64">
        <v>5.89</v>
      </c>
      <c r="D43" s="64">
        <v>9.1999999999999993</v>
      </c>
      <c r="E43" s="64">
        <v>5.7</v>
      </c>
      <c r="F43" s="64">
        <v>2.74</v>
      </c>
      <c r="G43" s="64">
        <v>18.68</v>
      </c>
      <c r="H43" s="64">
        <v>5.83</v>
      </c>
      <c r="I43" s="64">
        <v>2.5499999999999998</v>
      </c>
      <c r="J43" s="64">
        <v>0.53</v>
      </c>
      <c r="K43" s="64">
        <v>339.34</v>
      </c>
      <c r="L43" s="64">
        <v>33.31</v>
      </c>
      <c r="M43" s="64">
        <v>68.28</v>
      </c>
      <c r="N43" s="64">
        <v>560</v>
      </c>
      <c r="O43" s="64">
        <v>0</v>
      </c>
      <c r="P43" s="64">
        <v>0.36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4" t="s">
        <v>3066</v>
      </c>
      <c r="B44" s="64">
        <v>6.82</v>
      </c>
      <c r="C44" s="64">
        <v>6.12</v>
      </c>
      <c r="D44" s="64">
        <v>8.66</v>
      </c>
      <c r="E44" s="64">
        <v>5.52</v>
      </c>
      <c r="F44" s="64">
        <v>3.3</v>
      </c>
      <c r="G44" s="64">
        <v>18.68</v>
      </c>
      <c r="H44" s="64">
        <v>5.83</v>
      </c>
      <c r="I44" s="64">
        <v>3.53</v>
      </c>
      <c r="J44" s="64">
        <v>0.37</v>
      </c>
      <c r="K44" s="64">
        <v>352.72</v>
      </c>
      <c r="L44" s="64">
        <v>32.68</v>
      </c>
      <c r="M44" s="64">
        <v>70.680000000000007</v>
      </c>
      <c r="N44" s="64">
        <v>612.1</v>
      </c>
      <c r="O44" s="64">
        <v>0</v>
      </c>
      <c r="P44" s="64">
        <v>0.36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4" t="s">
        <v>3067</v>
      </c>
      <c r="B45" s="64">
        <v>5.91</v>
      </c>
      <c r="C45" s="64">
        <v>6.6</v>
      </c>
      <c r="D45" s="64">
        <v>8.19</v>
      </c>
      <c r="E45" s="64">
        <v>5.14</v>
      </c>
      <c r="F45" s="64">
        <v>5.09</v>
      </c>
      <c r="G45" s="64">
        <v>20.85</v>
      </c>
      <c r="H45" s="64">
        <v>7.94</v>
      </c>
      <c r="I45" s="64">
        <v>3.2</v>
      </c>
      <c r="J45" s="64">
        <v>0.5</v>
      </c>
      <c r="K45" s="64">
        <v>342.91</v>
      </c>
      <c r="L45" s="64">
        <v>32.799999999999997</v>
      </c>
      <c r="M45" s="64">
        <v>70.03</v>
      </c>
      <c r="N45" s="64">
        <v>655.1</v>
      </c>
      <c r="O45" s="64">
        <v>0</v>
      </c>
      <c r="P45" s="64">
        <v>0.37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4" t="s">
        <v>3068</v>
      </c>
      <c r="B46" s="64">
        <v>5.39</v>
      </c>
      <c r="C46" s="64">
        <v>7.23</v>
      </c>
      <c r="D46" s="64">
        <v>8.1</v>
      </c>
      <c r="E46" s="64">
        <v>5.5</v>
      </c>
      <c r="F46" s="64">
        <v>3.04</v>
      </c>
      <c r="G46" s="64">
        <v>26.5</v>
      </c>
      <c r="H46" s="64">
        <v>16</v>
      </c>
      <c r="I46" s="64">
        <v>2.75</v>
      </c>
      <c r="J46" s="64">
        <v>0.53</v>
      </c>
      <c r="K46" s="64">
        <v>342.96</v>
      </c>
      <c r="L46" s="64">
        <v>33.869999999999997</v>
      </c>
      <c r="M46" s="64">
        <v>65.8</v>
      </c>
      <c r="N46" s="64">
        <v>666.5</v>
      </c>
      <c r="O46" s="64">
        <v>0</v>
      </c>
      <c r="P46" s="64">
        <v>0.38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4" t="s">
        <v>3069</v>
      </c>
      <c r="B47" s="64">
        <v>4.84</v>
      </c>
      <c r="C47" s="64">
        <v>7.51</v>
      </c>
      <c r="D47" s="64">
        <v>7.81</v>
      </c>
      <c r="E47" s="64">
        <v>5.55</v>
      </c>
      <c r="F47" s="64">
        <v>3.17</v>
      </c>
      <c r="G47" s="64">
        <v>26.5</v>
      </c>
      <c r="H47" s="64">
        <v>16</v>
      </c>
      <c r="I47" s="64">
        <v>2.79</v>
      </c>
      <c r="J47" s="64">
        <v>0.42</v>
      </c>
      <c r="K47" s="64">
        <v>9.25</v>
      </c>
      <c r="L47" s="64">
        <v>33.81</v>
      </c>
      <c r="M47" s="64">
        <v>66.02</v>
      </c>
      <c r="N47" s="64">
        <v>753.4</v>
      </c>
      <c r="O47" s="64">
        <v>0</v>
      </c>
      <c r="P47" s="64">
        <v>0.4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4" t="s">
        <v>3070</v>
      </c>
      <c r="B48" s="64">
        <v>4.26</v>
      </c>
      <c r="C48" s="64">
        <v>8.2100000000000009</v>
      </c>
      <c r="D48" s="64">
        <v>7.7</v>
      </c>
      <c r="E48" s="64">
        <v>5.03</v>
      </c>
      <c r="F48" s="64">
        <v>4.76</v>
      </c>
      <c r="G48" s="64">
        <v>26.5</v>
      </c>
      <c r="H48" s="64">
        <v>16</v>
      </c>
      <c r="I48" s="64">
        <v>2.71</v>
      </c>
      <c r="J48" s="64">
        <v>0.52</v>
      </c>
      <c r="K48" s="64">
        <v>346.06</v>
      </c>
      <c r="L48" s="64">
        <v>32.36</v>
      </c>
      <c r="M48" s="64">
        <v>71.209999999999994</v>
      </c>
      <c r="N48" s="64">
        <v>718.4</v>
      </c>
      <c r="O48" s="64">
        <v>0</v>
      </c>
      <c r="P48" s="64">
        <v>0.41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4" t="s">
        <v>3071</v>
      </c>
      <c r="B49" s="64">
        <v>3.81</v>
      </c>
      <c r="C49" s="64">
        <v>9.0500000000000007</v>
      </c>
      <c r="D49" s="64">
        <v>7.79</v>
      </c>
      <c r="E49" s="64">
        <v>5.35</v>
      </c>
      <c r="F49" s="64">
        <v>4.49</v>
      </c>
      <c r="G49" s="64">
        <v>29.91</v>
      </c>
      <c r="H49" s="64">
        <v>14.2</v>
      </c>
      <c r="I49" s="64">
        <v>2.65</v>
      </c>
      <c r="J49" s="64">
        <v>0.37</v>
      </c>
      <c r="K49" s="64">
        <v>6.85</v>
      </c>
      <c r="L49" s="64">
        <v>32.799999999999997</v>
      </c>
      <c r="M49" s="64">
        <v>69.38</v>
      </c>
      <c r="N49" s="64">
        <v>732.9</v>
      </c>
      <c r="O49" s="64">
        <v>0</v>
      </c>
      <c r="P49" s="64">
        <v>0.44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4" t="s">
        <v>3072</v>
      </c>
      <c r="B50" s="64">
        <v>3.54</v>
      </c>
      <c r="C50" s="64">
        <v>9.1199999999999992</v>
      </c>
      <c r="D50" s="64">
        <v>7.6</v>
      </c>
      <c r="E50" s="64">
        <v>5.45</v>
      </c>
      <c r="F50" s="64">
        <v>3.16</v>
      </c>
      <c r="G50" s="64">
        <v>38.78</v>
      </c>
      <c r="H50" s="64">
        <v>11.17</v>
      </c>
      <c r="I50" s="64">
        <v>2.62</v>
      </c>
      <c r="J50" s="64">
        <v>0.45</v>
      </c>
      <c r="K50" s="64">
        <v>356.75</v>
      </c>
      <c r="L50" s="64">
        <v>33.31</v>
      </c>
      <c r="M50" s="64">
        <v>67.66</v>
      </c>
      <c r="N50" s="64">
        <v>796</v>
      </c>
      <c r="O50" s="64">
        <v>0</v>
      </c>
      <c r="P50" s="64">
        <v>0.45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4" t="s">
        <v>3073</v>
      </c>
      <c r="B51" s="64">
        <v>2.96</v>
      </c>
      <c r="C51" s="64">
        <v>9.07</v>
      </c>
      <c r="D51" s="64">
        <v>7.11</v>
      </c>
      <c r="E51" s="64">
        <v>5.98</v>
      </c>
      <c r="F51" s="64">
        <v>4.5999999999999996</v>
      </c>
      <c r="G51" s="64">
        <v>38.78</v>
      </c>
      <c r="H51" s="64">
        <v>11.17</v>
      </c>
      <c r="I51" s="64">
        <v>2.64</v>
      </c>
      <c r="J51" s="64">
        <v>0.43</v>
      </c>
      <c r="K51" s="64">
        <v>357.19</v>
      </c>
      <c r="L51" s="64">
        <v>33.119999999999997</v>
      </c>
      <c r="M51" s="64">
        <v>69.150000000000006</v>
      </c>
      <c r="N51" s="64">
        <v>801.6</v>
      </c>
      <c r="O51" s="64">
        <v>0</v>
      </c>
      <c r="P51" s="64">
        <v>0.45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4" t="s">
        <v>3074</v>
      </c>
      <c r="B52" s="64">
        <v>2.44</v>
      </c>
      <c r="C52" s="64">
        <v>8.93</v>
      </c>
      <c r="D52" s="64">
        <v>6.63</v>
      </c>
      <c r="E52" s="64">
        <v>5.43</v>
      </c>
      <c r="F52" s="64">
        <v>4.51</v>
      </c>
      <c r="G52" s="64">
        <v>38.78</v>
      </c>
      <c r="H52" s="64">
        <v>11.17</v>
      </c>
      <c r="I52" s="64">
        <v>2.63</v>
      </c>
      <c r="J52" s="64">
        <v>0.44</v>
      </c>
      <c r="K52" s="64">
        <v>358.95</v>
      </c>
      <c r="L52" s="64">
        <v>33.21</v>
      </c>
      <c r="M52" s="64">
        <v>67.209999999999994</v>
      </c>
      <c r="N52" s="64">
        <v>909.4</v>
      </c>
      <c r="O52" s="64">
        <v>0</v>
      </c>
      <c r="P52" s="64">
        <v>0.44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4" t="s">
        <v>3075</v>
      </c>
      <c r="B53" s="64">
        <v>2.1</v>
      </c>
      <c r="C53" s="64">
        <v>8.9700000000000006</v>
      </c>
      <c r="D53" s="64">
        <v>6.37</v>
      </c>
      <c r="E53" s="64">
        <v>5.57</v>
      </c>
      <c r="F53" s="64">
        <v>4.7699999999999996</v>
      </c>
      <c r="G53" s="64">
        <v>38.549999999999997</v>
      </c>
      <c r="H53" s="64">
        <v>9.8800000000000008</v>
      </c>
      <c r="I53" s="64">
        <v>2.4700000000000002</v>
      </c>
      <c r="J53" s="64">
        <v>0.57999999999999996</v>
      </c>
      <c r="K53" s="64">
        <v>354.14</v>
      </c>
      <c r="L53" s="64">
        <v>33.17</v>
      </c>
      <c r="M53" s="64">
        <v>66.81</v>
      </c>
      <c r="N53" s="64">
        <v>803.4</v>
      </c>
      <c r="O53" s="64">
        <v>0</v>
      </c>
      <c r="P53" s="64">
        <v>0.44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4" t="s">
        <v>3076</v>
      </c>
      <c r="B54" s="64">
        <v>1.89</v>
      </c>
      <c r="C54" s="64">
        <v>9.06</v>
      </c>
      <c r="D54" s="64">
        <v>6.25</v>
      </c>
      <c r="E54" s="64">
        <v>5.69</v>
      </c>
      <c r="F54" s="64">
        <v>4.99</v>
      </c>
      <c r="G54" s="64">
        <v>37.950000000000003</v>
      </c>
      <c r="H54" s="64">
        <v>7.71</v>
      </c>
      <c r="I54" s="64">
        <v>2.35</v>
      </c>
      <c r="J54" s="64">
        <v>0.55000000000000004</v>
      </c>
      <c r="K54" s="64">
        <v>351.53</v>
      </c>
      <c r="L54" s="64">
        <v>33.590000000000003</v>
      </c>
      <c r="M54" s="64">
        <v>64.61</v>
      </c>
      <c r="N54" s="64">
        <v>819.2</v>
      </c>
      <c r="O54" s="64">
        <v>0</v>
      </c>
      <c r="P54" s="64">
        <v>0.46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4" t="s">
        <v>3077</v>
      </c>
      <c r="B55" s="64">
        <v>1.81</v>
      </c>
      <c r="C55" s="64">
        <v>9.16</v>
      </c>
      <c r="D55" s="64">
        <v>6.24</v>
      </c>
      <c r="E55" s="64">
        <v>5.41</v>
      </c>
      <c r="F55" s="64">
        <v>4.7300000000000004</v>
      </c>
      <c r="G55" s="64">
        <v>37.950000000000003</v>
      </c>
      <c r="H55" s="64">
        <v>7.71</v>
      </c>
      <c r="I55" s="64">
        <v>2.2400000000000002</v>
      </c>
      <c r="J55" s="64">
        <v>0.71</v>
      </c>
      <c r="K55" s="64">
        <v>341.42</v>
      </c>
      <c r="L55" s="64">
        <v>33.97</v>
      </c>
      <c r="M55" s="64">
        <v>63.26</v>
      </c>
      <c r="N55" s="64">
        <v>751.1</v>
      </c>
      <c r="O55" s="64">
        <v>0</v>
      </c>
      <c r="P55" s="64">
        <v>0.45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4" t="s">
        <v>3078</v>
      </c>
      <c r="B56" s="64">
        <v>1.79</v>
      </c>
      <c r="C56" s="64">
        <v>9.09</v>
      </c>
      <c r="D56" s="64">
        <v>6.18</v>
      </c>
      <c r="E56" s="64">
        <v>5.95</v>
      </c>
      <c r="F56" s="64">
        <v>5.08</v>
      </c>
      <c r="G56" s="64">
        <v>37.950000000000003</v>
      </c>
      <c r="H56" s="64">
        <v>7.71</v>
      </c>
      <c r="I56" s="64">
        <v>2.2599999999999998</v>
      </c>
      <c r="J56" s="64">
        <v>0.56999999999999995</v>
      </c>
      <c r="K56" s="64">
        <v>342.22</v>
      </c>
      <c r="L56" s="64">
        <v>33.64</v>
      </c>
      <c r="M56" s="64">
        <v>64.55</v>
      </c>
      <c r="N56" s="64">
        <v>472.4</v>
      </c>
      <c r="O56" s="64">
        <v>0</v>
      </c>
      <c r="P56" s="64">
        <v>0.45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4" t="s">
        <v>3079</v>
      </c>
      <c r="B57" s="64">
        <v>1.78</v>
      </c>
      <c r="C57" s="64">
        <v>9.06</v>
      </c>
      <c r="D57" s="64">
        <v>6.16</v>
      </c>
      <c r="E57" s="64">
        <v>5.86</v>
      </c>
      <c r="F57" s="64">
        <v>5.18</v>
      </c>
      <c r="G57" s="64">
        <v>37.47</v>
      </c>
      <c r="H57" s="64">
        <v>14.27</v>
      </c>
      <c r="I57" s="64">
        <v>2.2000000000000002</v>
      </c>
      <c r="J57" s="64">
        <v>0.5</v>
      </c>
      <c r="K57" s="64">
        <v>350.1</v>
      </c>
      <c r="L57" s="64">
        <v>32.82</v>
      </c>
      <c r="M57" s="64">
        <v>68.069999999999993</v>
      </c>
      <c r="N57" s="64">
        <v>435.9</v>
      </c>
      <c r="O57" s="64">
        <v>0</v>
      </c>
      <c r="P57" s="64">
        <v>0.46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4" t="s">
        <v>3080</v>
      </c>
      <c r="B58" s="64">
        <v>1.83</v>
      </c>
      <c r="C58" s="64">
        <v>9.19</v>
      </c>
      <c r="D58" s="64">
        <v>6.27</v>
      </c>
      <c r="E58" s="64">
        <v>5.44</v>
      </c>
      <c r="F58" s="64">
        <v>5.49</v>
      </c>
      <c r="G58" s="64">
        <v>36.24</v>
      </c>
      <c r="H58" s="64">
        <v>25.76</v>
      </c>
      <c r="I58" s="64">
        <v>2.15</v>
      </c>
      <c r="J58" s="64">
        <v>0.4</v>
      </c>
      <c r="K58" s="64">
        <v>1.29</v>
      </c>
      <c r="L58" s="64">
        <v>32.19</v>
      </c>
      <c r="M58" s="64">
        <v>70.55</v>
      </c>
      <c r="N58" s="64">
        <v>285.10000000000002</v>
      </c>
      <c r="O58" s="64">
        <v>0</v>
      </c>
      <c r="P58" s="64">
        <v>0.46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4" t="s">
        <v>3081</v>
      </c>
      <c r="B59" s="64">
        <v>1.87</v>
      </c>
      <c r="C59" s="64">
        <v>9.36</v>
      </c>
      <c r="D59" s="64">
        <v>6.39</v>
      </c>
      <c r="E59" s="64">
        <v>5.98</v>
      </c>
      <c r="F59" s="64">
        <v>5.44</v>
      </c>
      <c r="G59" s="64">
        <v>36.24</v>
      </c>
      <c r="H59" s="64">
        <v>25.76</v>
      </c>
      <c r="I59" s="64">
        <v>2.21</v>
      </c>
      <c r="J59" s="64">
        <v>0.44</v>
      </c>
      <c r="K59" s="64">
        <v>337.7</v>
      </c>
      <c r="L59" s="64">
        <v>32.78</v>
      </c>
      <c r="M59" s="64">
        <v>68.290000000000006</v>
      </c>
      <c r="N59" s="64">
        <v>397.5</v>
      </c>
      <c r="O59" s="64">
        <v>0</v>
      </c>
      <c r="P59" s="64">
        <v>0.47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4" t="s">
        <v>3082</v>
      </c>
      <c r="B60" s="64">
        <v>1.69</v>
      </c>
      <c r="C60" s="64">
        <v>8.81</v>
      </c>
      <c r="D60" s="64">
        <v>5.96</v>
      </c>
      <c r="E60" s="64">
        <v>6.32</v>
      </c>
      <c r="F60" s="64">
        <v>4.3600000000000003</v>
      </c>
      <c r="G60" s="64">
        <v>36.24</v>
      </c>
      <c r="H60" s="64">
        <v>25.76</v>
      </c>
      <c r="I60" s="64">
        <v>2.2200000000000002</v>
      </c>
      <c r="J60" s="64">
        <v>0.6</v>
      </c>
      <c r="K60" s="64">
        <v>336.28</v>
      </c>
      <c r="L60" s="64">
        <v>33.44</v>
      </c>
      <c r="M60" s="64">
        <v>65.55</v>
      </c>
      <c r="N60" s="64">
        <v>391.8</v>
      </c>
      <c r="O60" s="64">
        <v>0</v>
      </c>
      <c r="P60" s="64">
        <v>0.47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4" t="s">
        <v>3083</v>
      </c>
      <c r="B61" s="64">
        <v>1.55</v>
      </c>
      <c r="C61" s="64">
        <v>8.5500000000000007</v>
      </c>
      <c r="D61" s="64">
        <v>5.71</v>
      </c>
      <c r="E61" s="64">
        <v>5.97</v>
      </c>
      <c r="F61" s="64">
        <v>4.7</v>
      </c>
      <c r="G61" s="64">
        <v>38.58</v>
      </c>
      <c r="H61" s="64">
        <v>25.69</v>
      </c>
      <c r="I61" s="210" t="s">
        <v>36</v>
      </c>
      <c r="J61" s="64">
        <v>0.27</v>
      </c>
      <c r="K61" s="64">
        <v>320.97000000000003</v>
      </c>
      <c r="L61" s="64">
        <v>33.47</v>
      </c>
      <c r="M61" s="64">
        <v>64.88</v>
      </c>
      <c r="N61" s="64">
        <v>537.20000000000005</v>
      </c>
      <c r="O61" s="64">
        <v>0</v>
      </c>
      <c r="P61" s="64">
        <v>0.45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4" t="s">
        <v>3084</v>
      </c>
      <c r="B62" s="64">
        <v>1.41</v>
      </c>
      <c r="C62" s="64">
        <v>8.65</v>
      </c>
      <c r="D62" s="64">
        <v>5.65</v>
      </c>
      <c r="E62" s="64">
        <v>5.98</v>
      </c>
      <c r="F62" s="64">
        <v>5.53</v>
      </c>
      <c r="G62" s="64">
        <v>44.67</v>
      </c>
      <c r="H62" s="64">
        <v>25.4</v>
      </c>
      <c r="I62" s="210" t="s">
        <v>36</v>
      </c>
      <c r="J62" s="64">
        <v>0.24</v>
      </c>
      <c r="K62" s="64">
        <v>339.78</v>
      </c>
      <c r="L62" s="64">
        <v>32.78</v>
      </c>
      <c r="M62" s="64">
        <v>64.84</v>
      </c>
      <c r="N62" s="64">
        <v>352.5</v>
      </c>
      <c r="O62" s="64">
        <v>0</v>
      </c>
      <c r="P62" s="64">
        <v>0.45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4" t="s">
        <v>3085</v>
      </c>
      <c r="B63" s="64">
        <v>1.39</v>
      </c>
      <c r="C63" s="64">
        <v>8.7200000000000006</v>
      </c>
      <c r="D63" s="64">
        <v>5.67</v>
      </c>
      <c r="E63" s="64">
        <v>5.83</v>
      </c>
      <c r="F63" s="64">
        <v>4.18</v>
      </c>
      <c r="G63" s="64">
        <v>44.67</v>
      </c>
      <c r="H63" s="64">
        <v>25.4</v>
      </c>
      <c r="I63" s="210" t="s">
        <v>36</v>
      </c>
      <c r="J63" s="64">
        <v>0.59</v>
      </c>
      <c r="K63" s="64">
        <v>337.26</v>
      </c>
      <c r="L63" s="64">
        <v>32.909999999999997</v>
      </c>
      <c r="M63" s="64">
        <v>66.150000000000006</v>
      </c>
      <c r="N63" s="64">
        <v>275.5</v>
      </c>
      <c r="O63" s="64">
        <v>0</v>
      </c>
      <c r="P63" s="64">
        <v>0.46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4" t="s">
        <v>3086</v>
      </c>
      <c r="B64" s="64">
        <v>1.3</v>
      </c>
      <c r="C64" s="64">
        <v>8.39</v>
      </c>
      <c r="D64" s="64">
        <v>5.42</v>
      </c>
      <c r="E64" s="64">
        <v>5.95</v>
      </c>
      <c r="F64" s="64">
        <v>4.16</v>
      </c>
      <c r="G64" s="64">
        <v>44.67</v>
      </c>
      <c r="H64" s="64">
        <v>25.4</v>
      </c>
      <c r="I64" s="210" t="s">
        <v>36</v>
      </c>
      <c r="J64" s="64">
        <v>0.49</v>
      </c>
      <c r="K64" s="64">
        <v>341.78</v>
      </c>
      <c r="L64" s="64">
        <v>33.04</v>
      </c>
      <c r="M64" s="64">
        <v>65.209999999999994</v>
      </c>
      <c r="N64" s="64">
        <v>250.6</v>
      </c>
      <c r="O64" s="64">
        <v>0</v>
      </c>
      <c r="P64" s="64">
        <v>0.45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4" t="s">
        <v>3087</v>
      </c>
      <c r="B65" s="64">
        <v>1.1399999999999999</v>
      </c>
      <c r="C65" s="64">
        <v>8.07</v>
      </c>
      <c r="D65" s="64">
        <v>5.14</v>
      </c>
      <c r="E65" s="64">
        <v>5.85</v>
      </c>
      <c r="F65" s="64">
        <v>4.9000000000000004</v>
      </c>
      <c r="G65" s="64">
        <v>43.3</v>
      </c>
      <c r="H65" s="64">
        <v>24.73</v>
      </c>
      <c r="I65" s="210" t="s">
        <v>36</v>
      </c>
      <c r="J65" s="64">
        <v>0.42</v>
      </c>
      <c r="K65" s="64">
        <v>343.92</v>
      </c>
      <c r="L65" s="64">
        <v>32.32</v>
      </c>
      <c r="M65" s="64">
        <v>67.2</v>
      </c>
      <c r="N65" s="64">
        <v>225.9</v>
      </c>
      <c r="O65" s="64">
        <v>0</v>
      </c>
      <c r="P65" s="64">
        <v>0.43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4" t="s">
        <v>3088</v>
      </c>
      <c r="B66" s="64">
        <v>1.21</v>
      </c>
      <c r="C66" s="64">
        <v>8.1300000000000008</v>
      </c>
      <c r="D66" s="64">
        <v>5.22</v>
      </c>
      <c r="E66" s="64">
        <v>5.92</v>
      </c>
      <c r="F66" s="64">
        <v>5.76</v>
      </c>
      <c r="G66" s="64">
        <v>39.729999999999997</v>
      </c>
      <c r="H66" s="64">
        <v>23.57</v>
      </c>
      <c r="I66" s="210" t="s">
        <v>36</v>
      </c>
      <c r="J66" s="64">
        <v>0.55000000000000004</v>
      </c>
      <c r="K66" s="64">
        <v>346.44</v>
      </c>
      <c r="L66" s="64">
        <v>32.35</v>
      </c>
      <c r="M66" s="64">
        <v>68.59</v>
      </c>
      <c r="N66" s="64">
        <v>203.9</v>
      </c>
      <c r="O66" s="64">
        <v>0</v>
      </c>
      <c r="P66" s="64">
        <v>0.44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4" t="s">
        <v>3089</v>
      </c>
      <c r="B67" s="64">
        <v>1.43</v>
      </c>
      <c r="C67" s="64">
        <v>8.06</v>
      </c>
      <c r="D67" s="64">
        <v>5.36</v>
      </c>
      <c r="E67" s="64">
        <v>5.84</v>
      </c>
      <c r="F67" s="64">
        <v>3.01</v>
      </c>
      <c r="G67" s="64">
        <v>39.729999999999997</v>
      </c>
      <c r="H67" s="64">
        <v>23.57</v>
      </c>
      <c r="I67" s="210" t="s">
        <v>36</v>
      </c>
      <c r="J67" s="64">
        <v>0.42</v>
      </c>
      <c r="K67" s="64">
        <v>353.48</v>
      </c>
      <c r="L67" s="64">
        <v>31.98</v>
      </c>
      <c r="M67" s="64">
        <v>69.599999999999994</v>
      </c>
      <c r="N67" s="64">
        <v>206.9</v>
      </c>
      <c r="O67" s="64">
        <v>0</v>
      </c>
      <c r="P67" s="64">
        <v>0.44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3090</v>
      </c>
      <c r="B68" s="64">
        <v>1.47</v>
      </c>
      <c r="C68" s="64">
        <v>7.57</v>
      </c>
      <c r="D68" s="64">
        <v>5.13</v>
      </c>
      <c r="E68" s="64">
        <v>5.76</v>
      </c>
      <c r="F68" s="64">
        <v>4.12</v>
      </c>
      <c r="G68" s="64">
        <v>39.729999999999997</v>
      </c>
      <c r="H68" s="64">
        <v>23.57</v>
      </c>
      <c r="I68" s="210" t="s">
        <v>36</v>
      </c>
      <c r="J68" s="64">
        <v>1.03</v>
      </c>
      <c r="K68" s="64">
        <v>324.95999999999998</v>
      </c>
      <c r="L68" s="64">
        <v>32.04</v>
      </c>
      <c r="M68" s="64">
        <v>69.64</v>
      </c>
      <c r="N68" s="64">
        <v>131.5</v>
      </c>
      <c r="O68" s="64">
        <v>0</v>
      </c>
      <c r="P68" s="64">
        <v>0.49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4" t="s">
        <v>3091</v>
      </c>
      <c r="B69" s="64">
        <v>1.72</v>
      </c>
      <c r="C69" s="64">
        <v>7.92</v>
      </c>
      <c r="D69" s="64">
        <v>5.52</v>
      </c>
      <c r="E69" s="64">
        <v>5.89</v>
      </c>
      <c r="F69" s="64">
        <v>5.07</v>
      </c>
      <c r="G69" s="64">
        <v>39.9</v>
      </c>
      <c r="H69" s="64">
        <v>22.07</v>
      </c>
      <c r="I69" s="210" t="s">
        <v>36</v>
      </c>
      <c r="J69" s="64">
        <v>2.63</v>
      </c>
      <c r="K69" s="64">
        <v>337.05</v>
      </c>
      <c r="L69" s="64">
        <v>30.02</v>
      </c>
      <c r="M69" s="64">
        <v>78.13</v>
      </c>
      <c r="N69" s="64">
        <v>96.5</v>
      </c>
      <c r="O69" s="64">
        <v>0</v>
      </c>
      <c r="P69" s="64">
        <v>0.44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4" t="s">
        <v>3092</v>
      </c>
      <c r="B70" s="64">
        <v>1.91</v>
      </c>
      <c r="C70" s="64">
        <v>8.8000000000000007</v>
      </c>
      <c r="D70" s="64">
        <v>6.13</v>
      </c>
      <c r="E70" s="64">
        <v>5.44</v>
      </c>
      <c r="F70" s="64">
        <v>5.15</v>
      </c>
      <c r="G70" s="64">
        <v>40.35</v>
      </c>
      <c r="H70" s="64">
        <v>19.54</v>
      </c>
      <c r="I70" s="210" t="s">
        <v>36</v>
      </c>
      <c r="J70" s="64">
        <v>1.34</v>
      </c>
      <c r="K70" s="64">
        <v>338.35</v>
      </c>
      <c r="L70" s="64">
        <v>29.68</v>
      </c>
      <c r="M70" s="64">
        <v>80.89</v>
      </c>
      <c r="N70" s="64">
        <v>122.7</v>
      </c>
      <c r="O70" s="64">
        <v>0</v>
      </c>
      <c r="P70" s="64">
        <v>0.47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4" t="s">
        <v>3093</v>
      </c>
      <c r="B71" s="64">
        <v>2.2599999999999998</v>
      </c>
      <c r="C71" s="64">
        <v>9.14</v>
      </c>
      <c r="D71" s="64">
        <v>6.59</v>
      </c>
      <c r="E71" s="64">
        <v>5.83</v>
      </c>
      <c r="F71" s="64">
        <v>5.07</v>
      </c>
      <c r="G71" s="64">
        <v>40.35</v>
      </c>
      <c r="H71" s="64">
        <v>19.54</v>
      </c>
      <c r="I71" s="210" t="s">
        <v>36</v>
      </c>
      <c r="J71" s="64">
        <v>0.62</v>
      </c>
      <c r="K71" s="64">
        <v>303.44</v>
      </c>
      <c r="L71" s="64">
        <v>30.58</v>
      </c>
      <c r="M71" s="64">
        <v>79.62</v>
      </c>
      <c r="N71" s="64">
        <v>235.5</v>
      </c>
      <c r="O71" s="64">
        <v>0</v>
      </c>
      <c r="P71" s="64">
        <v>0.6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4" t="s">
        <v>3094</v>
      </c>
      <c r="B72" s="64">
        <v>2.65</v>
      </c>
      <c r="C72" s="64">
        <v>9.23</v>
      </c>
      <c r="D72" s="64">
        <v>6.95</v>
      </c>
      <c r="E72" s="64">
        <v>5.42</v>
      </c>
      <c r="F72" s="64">
        <v>4.6900000000000004</v>
      </c>
      <c r="G72" s="64">
        <v>40.35</v>
      </c>
      <c r="H72" s="64">
        <v>19.54</v>
      </c>
      <c r="I72" s="210" t="s">
        <v>36</v>
      </c>
      <c r="J72" s="64">
        <v>0.6</v>
      </c>
      <c r="K72" s="64">
        <v>333.7</v>
      </c>
      <c r="L72" s="64">
        <v>31.28</v>
      </c>
      <c r="M72" s="64">
        <v>71.36</v>
      </c>
      <c r="N72" s="64">
        <v>178.9</v>
      </c>
      <c r="O72" s="64">
        <v>0</v>
      </c>
      <c r="P72" s="64">
        <v>0.47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4" t="s">
        <v>3095</v>
      </c>
      <c r="B73" s="64">
        <v>2.76</v>
      </c>
      <c r="C73" s="64">
        <v>9.3000000000000007</v>
      </c>
      <c r="D73" s="64">
        <v>7.07</v>
      </c>
      <c r="E73" s="64">
        <v>6.25</v>
      </c>
      <c r="F73" s="64">
        <v>4.58</v>
      </c>
      <c r="G73" s="64">
        <v>40.090000000000003</v>
      </c>
      <c r="H73" s="64">
        <v>20.399999999999999</v>
      </c>
      <c r="I73" s="210" t="s">
        <v>36</v>
      </c>
      <c r="J73" s="64">
        <v>1.18</v>
      </c>
      <c r="K73" s="64">
        <v>322.83999999999997</v>
      </c>
      <c r="L73" s="64">
        <v>31.83</v>
      </c>
      <c r="M73" s="64">
        <v>65.13</v>
      </c>
      <c r="N73" s="64">
        <v>161.80000000000001</v>
      </c>
      <c r="O73" s="64">
        <v>0</v>
      </c>
      <c r="P73" s="64">
        <v>0.49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4" t="s">
        <v>3096</v>
      </c>
      <c r="B74" s="64">
        <v>2.85</v>
      </c>
      <c r="C74" s="64">
        <v>9.58</v>
      </c>
      <c r="D74" s="64">
        <v>7.29</v>
      </c>
      <c r="E74" s="64">
        <v>6.2</v>
      </c>
      <c r="F74" s="64">
        <v>4.8600000000000003</v>
      </c>
      <c r="G74" s="64">
        <v>39.4</v>
      </c>
      <c r="H74" s="64">
        <v>21.84</v>
      </c>
      <c r="I74" s="210" t="s">
        <v>36</v>
      </c>
      <c r="J74" s="64">
        <v>1.1200000000000001</v>
      </c>
      <c r="K74" s="64">
        <v>323.32</v>
      </c>
      <c r="L74" s="64">
        <v>31.63</v>
      </c>
      <c r="M74" s="64">
        <v>68.05</v>
      </c>
      <c r="N74" s="64">
        <v>91.4</v>
      </c>
      <c r="O74" s="64">
        <v>0</v>
      </c>
      <c r="P74" s="64">
        <v>0.49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3097</v>
      </c>
      <c r="B75" s="64">
        <v>2.94</v>
      </c>
      <c r="C75" s="64">
        <v>9.73</v>
      </c>
      <c r="D75" s="64">
        <v>7.44</v>
      </c>
      <c r="E75" s="64">
        <v>6.45</v>
      </c>
      <c r="F75" s="64">
        <v>5.69</v>
      </c>
      <c r="G75" s="64">
        <v>39.4</v>
      </c>
      <c r="H75" s="64">
        <v>21.84</v>
      </c>
      <c r="I75" s="210" t="s">
        <v>36</v>
      </c>
      <c r="J75" s="64">
        <v>0.51</v>
      </c>
      <c r="K75" s="64">
        <v>349.81</v>
      </c>
      <c r="L75" s="64">
        <v>30.29</v>
      </c>
      <c r="M75" s="64">
        <v>71</v>
      </c>
      <c r="N75" s="64">
        <v>80.099999999999994</v>
      </c>
      <c r="O75" s="64">
        <v>0</v>
      </c>
      <c r="P75" s="64">
        <v>0.47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3098</v>
      </c>
      <c r="B76" s="64">
        <v>2.63</v>
      </c>
      <c r="C76" s="64">
        <v>10.130000000000001</v>
      </c>
      <c r="D76" s="64">
        <v>7.41</v>
      </c>
      <c r="E76" s="64">
        <v>6.44</v>
      </c>
      <c r="F76" s="64">
        <v>4.4800000000000004</v>
      </c>
      <c r="G76" s="64">
        <v>39.4</v>
      </c>
      <c r="H76" s="64">
        <v>21.84</v>
      </c>
      <c r="I76" s="210" t="s">
        <v>36</v>
      </c>
      <c r="J76" s="64">
        <v>0.36</v>
      </c>
      <c r="K76" s="64">
        <v>112.88</v>
      </c>
      <c r="L76" s="64">
        <v>27.91</v>
      </c>
      <c r="M76" s="64">
        <v>72.95</v>
      </c>
      <c r="N76" s="64">
        <v>108.3</v>
      </c>
      <c r="O76" s="64">
        <v>0</v>
      </c>
      <c r="P76" s="64">
        <v>0.42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4" t="s">
        <v>3099</v>
      </c>
      <c r="B77" s="64">
        <v>2.1800000000000002</v>
      </c>
      <c r="C77" s="64">
        <v>9.6199999999999992</v>
      </c>
      <c r="D77" s="64">
        <v>6.78</v>
      </c>
      <c r="E77" s="64">
        <v>6.3</v>
      </c>
      <c r="F77" s="64">
        <v>4.08</v>
      </c>
      <c r="G77" s="64">
        <v>40.32</v>
      </c>
      <c r="H77" s="64">
        <v>21.52</v>
      </c>
      <c r="I77" s="210" t="s">
        <v>36</v>
      </c>
      <c r="J77" s="64">
        <v>0.04</v>
      </c>
      <c r="K77" s="64">
        <v>242.25</v>
      </c>
      <c r="L77" s="64">
        <v>27.55</v>
      </c>
      <c r="M77" s="64">
        <v>87.23</v>
      </c>
      <c r="N77" s="64">
        <v>97.1</v>
      </c>
      <c r="O77" s="64">
        <v>0</v>
      </c>
      <c r="P77" s="64">
        <v>0.4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4" t="s">
        <v>3100</v>
      </c>
      <c r="B78" s="64">
        <v>2.44</v>
      </c>
      <c r="C78" s="64">
        <v>9.59</v>
      </c>
      <c r="D78" s="64">
        <v>6.96</v>
      </c>
      <c r="E78" s="64">
        <v>6.26</v>
      </c>
      <c r="F78" s="64">
        <v>5.09</v>
      </c>
      <c r="G78" s="64">
        <v>42.73</v>
      </c>
      <c r="H78" s="64">
        <v>20.18</v>
      </c>
      <c r="I78" s="210" t="s">
        <v>36</v>
      </c>
      <c r="J78" s="64">
        <v>0.37</v>
      </c>
      <c r="K78" s="64">
        <v>9.33</v>
      </c>
      <c r="L78" s="64">
        <v>28.01</v>
      </c>
      <c r="M78" s="64">
        <v>94.87</v>
      </c>
      <c r="N78" s="64">
        <v>62.6</v>
      </c>
      <c r="O78" s="64">
        <v>0</v>
      </c>
      <c r="P78" s="64">
        <v>0.59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4" t="s">
        <v>3101</v>
      </c>
      <c r="B79" s="64">
        <v>3.45</v>
      </c>
      <c r="C79" s="64">
        <v>10.17</v>
      </c>
      <c r="D79" s="64">
        <v>8.08</v>
      </c>
      <c r="E79" s="64">
        <v>6.37</v>
      </c>
      <c r="F79" s="64">
        <v>3.3</v>
      </c>
      <c r="G79" s="64">
        <v>42.73</v>
      </c>
      <c r="H79" s="64">
        <v>20.18</v>
      </c>
      <c r="I79" s="210" t="s">
        <v>36</v>
      </c>
      <c r="J79" s="64">
        <v>0.24</v>
      </c>
      <c r="K79" s="64">
        <v>47.08</v>
      </c>
      <c r="L79" s="64">
        <v>27.88</v>
      </c>
      <c r="M79" s="64">
        <v>95.23</v>
      </c>
      <c r="N79" s="64">
        <v>37.6</v>
      </c>
      <c r="O79" s="64">
        <v>0</v>
      </c>
      <c r="P79" s="64">
        <v>0.53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4" t="s">
        <v>3102</v>
      </c>
      <c r="B80" s="64">
        <v>3.76</v>
      </c>
      <c r="C80" s="64">
        <v>10.16</v>
      </c>
      <c r="D80" s="64">
        <v>8.32</v>
      </c>
      <c r="E80" s="64">
        <v>6.29</v>
      </c>
      <c r="F80" s="64">
        <v>3.74</v>
      </c>
      <c r="G80" s="64">
        <v>42.73</v>
      </c>
      <c r="H80" s="64">
        <v>20.18</v>
      </c>
      <c r="I80" s="210" t="s">
        <v>36</v>
      </c>
      <c r="J80" s="64">
        <v>0.28000000000000003</v>
      </c>
      <c r="K80" s="64">
        <v>200.77</v>
      </c>
      <c r="L80" s="64">
        <v>27.96</v>
      </c>
      <c r="M80" s="64">
        <v>93.52</v>
      </c>
      <c r="N80" s="64">
        <v>27.9</v>
      </c>
      <c r="O80" s="64">
        <v>0</v>
      </c>
      <c r="P80" s="64">
        <v>0.59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4" t="s">
        <v>3103</v>
      </c>
      <c r="B81" s="64">
        <v>3.65</v>
      </c>
      <c r="C81" s="64">
        <v>10.32</v>
      </c>
      <c r="D81" s="64">
        <v>8.32</v>
      </c>
      <c r="E81" s="64">
        <v>6.34</v>
      </c>
      <c r="F81" s="64">
        <v>4.7699999999999996</v>
      </c>
      <c r="G81" s="64">
        <v>42.72</v>
      </c>
      <c r="H81" s="64">
        <v>18.98</v>
      </c>
      <c r="I81" s="210" t="s">
        <v>36</v>
      </c>
      <c r="J81" s="64">
        <v>0.4</v>
      </c>
      <c r="K81" s="64">
        <v>164.4</v>
      </c>
      <c r="L81" s="64">
        <v>27.94</v>
      </c>
      <c r="M81" s="64">
        <v>93.09</v>
      </c>
      <c r="N81" s="64">
        <v>26.4</v>
      </c>
      <c r="O81" s="64">
        <v>0</v>
      </c>
      <c r="P81" s="64">
        <v>0.66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3104</v>
      </c>
      <c r="B82" s="64">
        <v>3.74</v>
      </c>
      <c r="C82" s="64">
        <v>10.66</v>
      </c>
      <c r="D82" s="64">
        <v>8.57</v>
      </c>
      <c r="E82" s="64">
        <v>6.27</v>
      </c>
      <c r="F82" s="64">
        <v>4.74</v>
      </c>
      <c r="G82" s="64">
        <v>42.69</v>
      </c>
      <c r="H82" s="64">
        <v>16.95</v>
      </c>
      <c r="I82" s="210" t="s">
        <v>36</v>
      </c>
      <c r="J82" s="64">
        <v>0.35</v>
      </c>
      <c r="K82" s="64">
        <v>131.66</v>
      </c>
      <c r="L82" s="64">
        <v>27.8</v>
      </c>
      <c r="M82" s="64">
        <v>94.18</v>
      </c>
      <c r="N82" s="64">
        <v>26.1</v>
      </c>
      <c r="O82" s="64">
        <v>0</v>
      </c>
      <c r="P82" s="64">
        <v>0.52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4" t="s">
        <v>3105</v>
      </c>
      <c r="B83" s="64">
        <v>3.71</v>
      </c>
      <c r="C83" s="64">
        <v>10.36</v>
      </c>
      <c r="D83" s="64">
        <v>8.39</v>
      </c>
      <c r="E83" s="64">
        <v>6.31</v>
      </c>
      <c r="F83" s="64">
        <v>3.22</v>
      </c>
      <c r="G83" s="64">
        <v>42.69</v>
      </c>
      <c r="H83" s="64">
        <v>16.95</v>
      </c>
      <c r="I83" s="210" t="s">
        <v>36</v>
      </c>
      <c r="J83" s="64">
        <v>0.21</v>
      </c>
      <c r="K83" s="64">
        <v>168.55</v>
      </c>
      <c r="L83" s="64">
        <v>27.71</v>
      </c>
      <c r="M83" s="64">
        <v>94.01</v>
      </c>
      <c r="N83" s="64">
        <v>26.1</v>
      </c>
      <c r="O83" s="64">
        <v>0</v>
      </c>
      <c r="P83" s="64">
        <v>0.54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4" t="s">
        <v>3106</v>
      </c>
      <c r="B84" s="64">
        <v>3.53</v>
      </c>
      <c r="C84" s="64">
        <v>9.66</v>
      </c>
      <c r="D84" s="64">
        <v>7.88</v>
      </c>
      <c r="E84" s="64">
        <v>6.27</v>
      </c>
      <c r="F84" s="64">
        <v>4.96</v>
      </c>
      <c r="G84" s="64">
        <v>42.69</v>
      </c>
      <c r="H84" s="64">
        <v>16.95</v>
      </c>
      <c r="I84" s="210" t="s">
        <v>36</v>
      </c>
      <c r="J84" s="64">
        <v>0.27</v>
      </c>
      <c r="K84" s="64">
        <v>65.67</v>
      </c>
      <c r="L84" s="64">
        <v>27.58</v>
      </c>
      <c r="M84" s="64">
        <v>93.66</v>
      </c>
      <c r="N84" s="64">
        <v>26.1</v>
      </c>
      <c r="O84" s="64">
        <v>0</v>
      </c>
      <c r="P84" s="64">
        <v>0.51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4" t="s">
        <v>3107</v>
      </c>
      <c r="B85" s="64">
        <v>3.4</v>
      </c>
      <c r="C85" s="64">
        <v>9.1199999999999992</v>
      </c>
      <c r="D85" s="64">
        <v>7.49</v>
      </c>
      <c r="E85" s="64">
        <v>6.14</v>
      </c>
      <c r="F85" s="64">
        <v>10.69</v>
      </c>
      <c r="G85" s="64">
        <v>43.71</v>
      </c>
      <c r="H85" s="64">
        <v>16.97</v>
      </c>
      <c r="I85" s="210" t="s">
        <v>36</v>
      </c>
      <c r="J85" s="64">
        <v>0.19</v>
      </c>
      <c r="K85" s="64">
        <v>218.26</v>
      </c>
      <c r="L85" s="64">
        <v>27.48</v>
      </c>
      <c r="M85" s="64">
        <v>94.66</v>
      </c>
      <c r="N85" s="64">
        <v>26.1</v>
      </c>
      <c r="O85" s="64">
        <v>0</v>
      </c>
      <c r="P85" s="64">
        <v>0.54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4" t="s">
        <v>3108</v>
      </c>
      <c r="B86" s="64">
        <v>3.53</v>
      </c>
      <c r="C86" s="64">
        <v>8.7899999999999991</v>
      </c>
      <c r="D86" s="64">
        <v>7.42</v>
      </c>
      <c r="E86" s="64">
        <v>6.15</v>
      </c>
      <c r="F86" s="64">
        <v>5.14</v>
      </c>
      <c r="G86" s="64">
        <v>46.36</v>
      </c>
      <c r="H86" s="64">
        <v>17</v>
      </c>
      <c r="I86" s="210" t="s">
        <v>36</v>
      </c>
      <c r="J86" s="64">
        <v>0.23</v>
      </c>
      <c r="K86" s="64">
        <v>205.96</v>
      </c>
      <c r="L86" s="64">
        <v>27.33</v>
      </c>
      <c r="M86" s="64">
        <v>96</v>
      </c>
      <c r="N86" s="64">
        <v>26.1</v>
      </c>
      <c r="O86" s="64">
        <v>0</v>
      </c>
      <c r="P86" s="64">
        <v>0.54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4" t="s">
        <v>3109</v>
      </c>
      <c r="B87" s="64">
        <v>3.6</v>
      </c>
      <c r="C87" s="64">
        <v>8.61</v>
      </c>
      <c r="D87" s="64">
        <v>7.39</v>
      </c>
      <c r="E87" s="64">
        <v>6.15</v>
      </c>
      <c r="F87" s="64">
        <v>4.45</v>
      </c>
      <c r="G87" s="64">
        <v>46.36</v>
      </c>
      <c r="H87" s="64">
        <v>17</v>
      </c>
      <c r="I87" s="210" t="s">
        <v>36</v>
      </c>
      <c r="J87" s="64">
        <v>0.22</v>
      </c>
      <c r="K87" s="64">
        <v>70.94</v>
      </c>
      <c r="L87" s="64">
        <v>27.31</v>
      </c>
      <c r="M87" s="64">
        <v>96.46</v>
      </c>
      <c r="N87" s="64">
        <v>26.1</v>
      </c>
      <c r="O87" s="64">
        <v>0</v>
      </c>
      <c r="P87" s="64">
        <v>0.71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4" t="s">
        <v>3110</v>
      </c>
      <c r="B88" s="64">
        <v>3.89</v>
      </c>
      <c r="C88" s="64">
        <v>8.39</v>
      </c>
      <c r="D88" s="64">
        <v>7.5</v>
      </c>
      <c r="E88" s="64">
        <v>3.97</v>
      </c>
      <c r="F88" s="64">
        <v>4.49</v>
      </c>
      <c r="G88" s="64">
        <v>46.36</v>
      </c>
      <c r="H88" s="64">
        <v>17</v>
      </c>
      <c r="I88" s="210" t="s">
        <v>36</v>
      </c>
      <c r="J88" s="64">
        <v>0.13</v>
      </c>
      <c r="K88" s="64">
        <v>191.11</v>
      </c>
      <c r="L88" s="64">
        <v>27.31</v>
      </c>
      <c r="M88" s="64">
        <v>96.85</v>
      </c>
      <c r="N88" s="64">
        <v>26.1</v>
      </c>
      <c r="O88" s="64">
        <v>0</v>
      </c>
      <c r="P88" s="64">
        <v>0.67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4" t="s">
        <v>3111</v>
      </c>
      <c r="B89" s="64">
        <v>4.1500000000000004</v>
      </c>
      <c r="C89" s="64">
        <v>8.09</v>
      </c>
      <c r="D89" s="64">
        <v>7.56</v>
      </c>
      <c r="E89" s="64">
        <v>5.14</v>
      </c>
      <c r="F89" s="64">
        <v>4.51</v>
      </c>
      <c r="G89" s="64">
        <v>43.97</v>
      </c>
      <c r="H89" s="64">
        <v>17.850000000000001</v>
      </c>
      <c r="I89" s="210" t="s">
        <v>36</v>
      </c>
      <c r="J89" s="64">
        <v>0.35</v>
      </c>
      <c r="K89" s="64">
        <v>149.91999999999999</v>
      </c>
      <c r="L89" s="64">
        <v>27.14</v>
      </c>
      <c r="M89" s="64">
        <v>98.63</v>
      </c>
      <c r="N89" s="64">
        <v>26.1</v>
      </c>
      <c r="O89" s="64">
        <v>0</v>
      </c>
      <c r="P89" s="64">
        <v>0.56999999999999995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4" t="s">
        <v>3112</v>
      </c>
      <c r="B90" s="64">
        <v>4.2699999999999996</v>
      </c>
      <c r="C90" s="64">
        <v>7.69</v>
      </c>
      <c r="D90" s="64">
        <v>7.44</v>
      </c>
      <c r="E90" s="64">
        <v>5.32</v>
      </c>
      <c r="F90" s="64">
        <v>3.96</v>
      </c>
      <c r="G90" s="64">
        <v>37.76</v>
      </c>
      <c r="H90" s="64">
        <v>19.260000000000002</v>
      </c>
      <c r="I90" s="210" t="s">
        <v>36</v>
      </c>
      <c r="J90" s="64">
        <v>0.28999999999999998</v>
      </c>
      <c r="K90" s="64">
        <v>106.89</v>
      </c>
      <c r="L90" s="64">
        <v>26.99</v>
      </c>
      <c r="M90" s="64">
        <v>100.4</v>
      </c>
      <c r="N90" s="64">
        <v>26.1</v>
      </c>
      <c r="O90" s="64">
        <v>0</v>
      </c>
      <c r="P90" s="64">
        <v>0.54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4" t="s">
        <v>3113</v>
      </c>
      <c r="B91" s="64">
        <v>4.2300000000000004</v>
      </c>
      <c r="C91" s="64">
        <v>7.3</v>
      </c>
      <c r="D91" s="64">
        <v>7.21</v>
      </c>
      <c r="E91" s="64">
        <v>4.68</v>
      </c>
      <c r="F91" s="64">
        <v>4.05</v>
      </c>
      <c r="G91" s="64">
        <v>37.76</v>
      </c>
      <c r="H91" s="64">
        <v>19.260000000000002</v>
      </c>
      <c r="I91" s="210" t="s">
        <v>36</v>
      </c>
      <c r="J91" s="64">
        <v>0.2</v>
      </c>
      <c r="K91" s="64">
        <v>304.91000000000003</v>
      </c>
      <c r="L91" s="64">
        <v>26.91</v>
      </c>
      <c r="M91" s="64">
        <v>100.48</v>
      </c>
      <c r="N91" s="64">
        <v>26.1</v>
      </c>
      <c r="O91" s="64">
        <v>0</v>
      </c>
      <c r="P91" s="64">
        <v>0.69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4" t="s">
        <v>3114</v>
      </c>
      <c r="B92" s="64">
        <v>4.5</v>
      </c>
      <c r="C92" s="64">
        <v>7.31</v>
      </c>
      <c r="D92" s="64">
        <v>7.42</v>
      </c>
      <c r="E92" s="64">
        <v>4.8899999999999997</v>
      </c>
      <c r="F92" s="64">
        <v>4.8499999999999996</v>
      </c>
      <c r="G92" s="64">
        <v>37.76</v>
      </c>
      <c r="H92" s="64">
        <v>19.260000000000002</v>
      </c>
      <c r="I92" s="210" t="s">
        <v>36</v>
      </c>
      <c r="J92" s="64">
        <v>0.14000000000000001</v>
      </c>
      <c r="K92" s="64">
        <v>46.89</v>
      </c>
      <c r="L92" s="64">
        <v>26.86</v>
      </c>
      <c r="M92" s="64">
        <v>99.64</v>
      </c>
      <c r="N92" s="64">
        <v>26.1</v>
      </c>
      <c r="O92" s="64">
        <v>0</v>
      </c>
      <c r="P92" s="64">
        <v>0.66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4" t="s">
        <v>3115</v>
      </c>
      <c r="B93" s="64">
        <v>4.78</v>
      </c>
      <c r="C93" s="64">
        <v>7.49</v>
      </c>
      <c r="D93" s="64">
        <v>7.75</v>
      </c>
      <c r="E93" s="64">
        <v>5.29</v>
      </c>
      <c r="F93" s="64">
        <v>3.41</v>
      </c>
      <c r="G93" s="64">
        <v>38.869999999999997</v>
      </c>
      <c r="H93" s="64">
        <v>18.73</v>
      </c>
      <c r="I93" s="210" t="s">
        <v>36</v>
      </c>
      <c r="J93" s="64">
        <v>0.21</v>
      </c>
      <c r="K93" s="64">
        <v>99.05</v>
      </c>
      <c r="L93" s="64">
        <v>26.73</v>
      </c>
      <c r="M93" s="64">
        <v>99.51</v>
      </c>
      <c r="N93" s="64">
        <v>26.1</v>
      </c>
      <c r="O93" s="64">
        <v>0</v>
      </c>
      <c r="P93" s="64">
        <v>0.57999999999999996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4" t="s">
        <v>3116</v>
      </c>
      <c r="B94" s="64">
        <v>4.5599999999999996</v>
      </c>
      <c r="C94" s="64">
        <v>6.79</v>
      </c>
      <c r="D94" s="64">
        <v>7.2</v>
      </c>
      <c r="E94" s="64">
        <v>5.18</v>
      </c>
      <c r="F94" s="64">
        <v>2.93</v>
      </c>
      <c r="G94" s="64">
        <v>41.73</v>
      </c>
      <c r="H94" s="64">
        <v>16.71</v>
      </c>
      <c r="I94" s="210" t="s">
        <v>36</v>
      </c>
      <c r="J94" s="64">
        <v>0.31</v>
      </c>
      <c r="K94" s="64">
        <v>107.37</v>
      </c>
      <c r="L94" s="64">
        <v>26.48</v>
      </c>
      <c r="M94" s="64">
        <v>101.83</v>
      </c>
      <c r="N94" s="64">
        <v>26.1</v>
      </c>
      <c r="O94" s="64">
        <v>0</v>
      </c>
      <c r="P94" s="64">
        <v>0.51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3117</v>
      </c>
      <c r="B95" s="64">
        <v>4.49</v>
      </c>
      <c r="C95" s="64">
        <v>6.41</v>
      </c>
      <c r="D95" s="64">
        <v>6.95</v>
      </c>
      <c r="E95" s="64">
        <v>4.75</v>
      </c>
      <c r="F95" s="64">
        <v>4.63</v>
      </c>
      <c r="G95" s="64">
        <v>41.73</v>
      </c>
      <c r="H95" s="64">
        <v>16.71</v>
      </c>
      <c r="I95" s="210" t="s">
        <v>36</v>
      </c>
      <c r="J95" s="64">
        <v>0.18</v>
      </c>
      <c r="K95" s="64">
        <v>133</v>
      </c>
      <c r="L95" s="64">
        <v>26.25</v>
      </c>
      <c r="M95" s="64">
        <v>102.11</v>
      </c>
      <c r="N95" s="64">
        <v>26.1</v>
      </c>
      <c r="O95" s="64">
        <v>0</v>
      </c>
      <c r="P95" s="64">
        <v>0.55000000000000004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4" t="s">
        <v>3118</v>
      </c>
      <c r="B96" s="64">
        <v>4.58</v>
      </c>
      <c r="C96" s="64">
        <v>6.3</v>
      </c>
      <c r="D96" s="64">
        <v>6.96</v>
      </c>
      <c r="E96" s="64">
        <v>5.03</v>
      </c>
      <c r="F96" s="64">
        <v>2.84</v>
      </c>
      <c r="G96" s="64">
        <v>41.73</v>
      </c>
      <c r="H96" s="64">
        <v>16.71</v>
      </c>
      <c r="I96" s="210" t="s">
        <v>36</v>
      </c>
      <c r="J96" s="64">
        <v>0.42</v>
      </c>
      <c r="K96" s="64">
        <v>78.069999999999993</v>
      </c>
      <c r="L96" s="64">
        <v>26.05</v>
      </c>
      <c r="M96" s="64">
        <v>102.11</v>
      </c>
      <c r="N96" s="64">
        <v>26.1</v>
      </c>
      <c r="O96" s="64">
        <v>0</v>
      </c>
      <c r="P96" s="64">
        <v>0.49</v>
      </c>
      <c r="Q96" s="64">
        <v>9.61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3119</v>
      </c>
      <c r="B97" s="64">
        <v>4.67</v>
      </c>
      <c r="C97" s="64">
        <v>5.9</v>
      </c>
      <c r="D97" s="64">
        <v>6.82</v>
      </c>
      <c r="E97" s="64">
        <v>4.92</v>
      </c>
      <c r="F97" s="64">
        <v>3.63</v>
      </c>
      <c r="G97" s="64">
        <v>41.18</v>
      </c>
      <c r="H97" s="64">
        <v>15.3</v>
      </c>
      <c r="I97" s="210" t="s">
        <v>36</v>
      </c>
      <c r="J97" s="64">
        <v>0.15</v>
      </c>
      <c r="K97" s="64">
        <v>32.619999999999997</v>
      </c>
      <c r="L97" s="64">
        <v>26.01</v>
      </c>
      <c r="M97" s="64">
        <v>101.77</v>
      </c>
      <c r="N97" s="64">
        <v>26.1</v>
      </c>
      <c r="O97" s="64">
        <v>0</v>
      </c>
      <c r="P97" s="64">
        <v>0.55000000000000004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14" t="s">
        <v>3120</v>
      </c>
      <c r="B98" s="64">
        <v>4.66</v>
      </c>
      <c r="C98" s="64">
        <v>5.76</v>
      </c>
      <c r="D98" s="64">
        <v>6.75</v>
      </c>
      <c r="E98" s="64">
        <v>4.93</v>
      </c>
      <c r="F98" s="64">
        <v>3.37</v>
      </c>
      <c r="G98" s="64">
        <v>39.74</v>
      </c>
      <c r="H98" s="64">
        <v>12.85</v>
      </c>
      <c r="I98" s="210" t="s">
        <v>36</v>
      </c>
      <c r="J98" s="64">
        <v>0.24</v>
      </c>
      <c r="K98" s="64">
        <v>359.11</v>
      </c>
      <c r="L98" s="64">
        <v>25.99</v>
      </c>
      <c r="M98" s="64">
        <v>101.4</v>
      </c>
      <c r="N98" s="64">
        <v>26.1</v>
      </c>
      <c r="O98" s="64">
        <v>0</v>
      </c>
      <c r="P98" s="64">
        <v>0.54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4" t="s">
        <v>3121</v>
      </c>
      <c r="B99" s="64">
        <v>4.75</v>
      </c>
      <c r="C99" s="64">
        <v>5.56</v>
      </c>
      <c r="D99" s="64">
        <v>6.71</v>
      </c>
      <c r="E99" s="64">
        <v>5.09</v>
      </c>
      <c r="F99" s="64">
        <v>3.46</v>
      </c>
      <c r="G99" s="64">
        <v>39.74</v>
      </c>
      <c r="H99" s="64">
        <v>12.85</v>
      </c>
      <c r="I99" s="210" t="s">
        <v>36</v>
      </c>
      <c r="J99" s="64">
        <v>0.27</v>
      </c>
      <c r="K99" s="64">
        <v>342.08</v>
      </c>
      <c r="L99" s="64">
        <v>25.87</v>
      </c>
      <c r="M99" s="64">
        <v>101.87</v>
      </c>
      <c r="N99" s="64">
        <v>26.1</v>
      </c>
      <c r="O99" s="64">
        <v>0</v>
      </c>
      <c r="P99" s="64">
        <v>0.52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3122</v>
      </c>
      <c r="B100" s="64">
        <v>4.8600000000000003</v>
      </c>
      <c r="C100" s="64">
        <v>5.57</v>
      </c>
      <c r="D100" s="64">
        <v>6.8</v>
      </c>
      <c r="E100" s="64">
        <v>4.6900000000000004</v>
      </c>
      <c r="F100" s="64">
        <v>3.54</v>
      </c>
      <c r="G100" s="64">
        <v>39.74</v>
      </c>
      <c r="H100" s="64">
        <v>12.85</v>
      </c>
      <c r="I100" s="210" t="s">
        <v>36</v>
      </c>
      <c r="J100" s="64">
        <v>0.06</v>
      </c>
      <c r="K100" s="64">
        <v>348.93</v>
      </c>
      <c r="L100" s="64">
        <v>25.74</v>
      </c>
      <c r="M100" s="64">
        <v>102.04</v>
      </c>
      <c r="N100" s="64">
        <v>26.1</v>
      </c>
      <c r="O100" s="64">
        <v>0</v>
      </c>
      <c r="P100" s="64">
        <v>0.49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3123</v>
      </c>
      <c r="B101" s="64">
        <v>4.9000000000000004</v>
      </c>
      <c r="C101" s="64">
        <v>5.5</v>
      </c>
      <c r="D101" s="64">
        <v>6.8</v>
      </c>
      <c r="E101" s="64">
        <v>4.4000000000000004</v>
      </c>
      <c r="F101" s="64">
        <v>4</v>
      </c>
      <c r="G101" s="64">
        <v>36.659999999999997</v>
      </c>
      <c r="H101" s="64">
        <v>12.2</v>
      </c>
      <c r="I101" s="210" t="s">
        <v>36</v>
      </c>
      <c r="J101" s="64">
        <v>0.12</v>
      </c>
      <c r="K101" s="64">
        <v>41.25</v>
      </c>
      <c r="L101" s="64">
        <v>25.61</v>
      </c>
      <c r="M101" s="64">
        <v>102.12</v>
      </c>
      <c r="N101" s="64">
        <v>26.1</v>
      </c>
      <c r="O101" s="64">
        <v>0</v>
      </c>
      <c r="P101" s="64">
        <v>0.41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4" t="s">
        <v>3124</v>
      </c>
      <c r="B102" s="64">
        <v>5.0199999999999996</v>
      </c>
      <c r="C102" s="64">
        <v>5.37</v>
      </c>
      <c r="D102" s="64">
        <v>6.83</v>
      </c>
      <c r="E102" s="64">
        <v>4.3600000000000003</v>
      </c>
      <c r="F102" s="64">
        <v>3.82</v>
      </c>
      <c r="G102" s="64">
        <v>28.65</v>
      </c>
      <c r="H102" s="64">
        <v>11.12</v>
      </c>
      <c r="I102" s="210" t="s">
        <v>36</v>
      </c>
      <c r="J102" s="64">
        <v>0.04</v>
      </c>
      <c r="K102" s="64">
        <v>49.41</v>
      </c>
      <c r="L102" s="64">
        <v>25.47</v>
      </c>
      <c r="M102" s="64">
        <v>102.12</v>
      </c>
      <c r="N102" s="64">
        <v>26.1</v>
      </c>
      <c r="O102" s="64">
        <v>0</v>
      </c>
      <c r="P102" s="64">
        <v>0.39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4" t="s">
        <v>3125</v>
      </c>
      <c r="B103" s="64">
        <v>5.17</v>
      </c>
      <c r="C103" s="64">
        <v>5.25</v>
      </c>
      <c r="D103" s="64">
        <v>6.89</v>
      </c>
      <c r="E103" s="64">
        <v>4.4400000000000004</v>
      </c>
      <c r="F103" s="64">
        <v>3.49</v>
      </c>
      <c r="G103" s="64">
        <v>28.65</v>
      </c>
      <c r="H103" s="64">
        <v>11.12</v>
      </c>
      <c r="I103" s="210" t="s">
        <v>36</v>
      </c>
      <c r="J103" s="64">
        <v>0.09</v>
      </c>
      <c r="K103" s="64">
        <v>322.98</v>
      </c>
      <c r="L103" s="64">
        <v>25.52</v>
      </c>
      <c r="M103" s="64">
        <v>101.91</v>
      </c>
      <c r="N103" s="64">
        <v>26</v>
      </c>
      <c r="O103" s="64">
        <v>0</v>
      </c>
      <c r="P103" s="64">
        <v>0.41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4" t="s">
        <v>3126</v>
      </c>
      <c r="B104" s="64">
        <v>5.27</v>
      </c>
      <c r="C104" s="64">
        <v>5.37</v>
      </c>
      <c r="D104" s="64">
        <v>7.03</v>
      </c>
      <c r="E104" s="64">
        <v>5.05</v>
      </c>
      <c r="F104" s="64">
        <v>3.61</v>
      </c>
      <c r="G104" s="64">
        <v>28.65</v>
      </c>
      <c r="H104" s="64">
        <v>11.12</v>
      </c>
      <c r="I104" s="210" t="s">
        <v>36</v>
      </c>
      <c r="J104" s="64">
        <v>0.13</v>
      </c>
      <c r="K104" s="64">
        <v>60.71</v>
      </c>
      <c r="L104" s="64">
        <v>25.46</v>
      </c>
      <c r="M104" s="64">
        <v>101.9</v>
      </c>
      <c r="N104" s="64">
        <v>26.1</v>
      </c>
      <c r="O104" s="64">
        <v>0</v>
      </c>
      <c r="P104" s="64">
        <v>0.39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1.1399999999999999</v>
      </c>
      <c r="C106" s="67">
        <f>MIN(C9:C104)</f>
        <v>3.87</v>
      </c>
      <c r="D106" s="67">
        <f t="shared" ref="D106:Q106" si="0">MIN(D9:D104)</f>
        <v>5.13</v>
      </c>
      <c r="E106" s="67">
        <f t="shared" si="0"/>
        <v>3.94</v>
      </c>
      <c r="F106" s="67">
        <f t="shared" si="0"/>
        <v>2.31</v>
      </c>
      <c r="G106" s="67">
        <f t="shared" si="0"/>
        <v>12.55</v>
      </c>
      <c r="H106" s="67">
        <f t="shared" si="0"/>
        <v>5.83</v>
      </c>
      <c r="I106" s="67">
        <f t="shared" si="0"/>
        <v>0.64</v>
      </c>
      <c r="J106" s="67">
        <f t="shared" si="0"/>
        <v>0.04</v>
      </c>
      <c r="K106" s="67">
        <f t="shared" si="0"/>
        <v>1.23</v>
      </c>
      <c r="L106" s="67">
        <f t="shared" si="0"/>
        <v>24.22</v>
      </c>
      <c r="M106" s="67">
        <f t="shared" si="0"/>
        <v>63.26</v>
      </c>
      <c r="N106" s="67">
        <f t="shared" si="0"/>
        <v>25.7</v>
      </c>
      <c r="O106" s="67">
        <f t="shared" si="0"/>
        <v>0</v>
      </c>
      <c r="P106" s="67">
        <f t="shared" si="0"/>
        <v>0.32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9.6199999999999992</v>
      </c>
      <c r="C107" s="66">
        <f t="shared" ref="C107:Q107" si="1">MAX(C9:C104)</f>
        <v>10.66</v>
      </c>
      <c r="D107" s="66">
        <f t="shared" si="1"/>
        <v>11.46</v>
      </c>
      <c r="E107" s="66">
        <f t="shared" si="1"/>
        <v>6.45</v>
      </c>
      <c r="F107" s="66">
        <f t="shared" si="1"/>
        <v>10.69</v>
      </c>
      <c r="G107" s="66">
        <f t="shared" si="1"/>
        <v>46.36</v>
      </c>
      <c r="H107" s="66">
        <f t="shared" si="1"/>
        <v>25.76</v>
      </c>
      <c r="I107" s="66">
        <f t="shared" si="1"/>
        <v>3.53</v>
      </c>
      <c r="J107" s="66">
        <f t="shared" si="1"/>
        <v>2.63</v>
      </c>
      <c r="K107" s="66">
        <f t="shared" si="1"/>
        <v>359.14</v>
      </c>
      <c r="L107" s="66">
        <f t="shared" si="1"/>
        <v>33.97</v>
      </c>
      <c r="M107" s="66">
        <f t="shared" si="1"/>
        <v>102.18</v>
      </c>
      <c r="N107" s="66">
        <f t="shared" si="1"/>
        <v>909.4</v>
      </c>
      <c r="O107" s="66">
        <f t="shared" si="1"/>
        <v>0</v>
      </c>
      <c r="P107" s="66">
        <f t="shared" si="1"/>
        <v>0.71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4.7419791666666651</v>
      </c>
      <c r="C108" s="67">
        <f t="shared" ref="C108:Q108" si="2">AVERAGE(C9:C104)</f>
        <v>7.0149999999999979</v>
      </c>
      <c r="D108" s="67">
        <f t="shared" si="2"/>
        <v>7.4678125000000035</v>
      </c>
      <c r="E108" s="67">
        <f t="shared" si="2"/>
        <v>5.2514583333333311</v>
      </c>
      <c r="F108" s="67">
        <f t="shared" si="2"/>
        <v>4.2364583333333332</v>
      </c>
      <c r="G108" s="67">
        <f t="shared" si="2"/>
        <v>32.110729166666665</v>
      </c>
      <c r="H108" s="67">
        <f t="shared" si="2"/>
        <v>15.558124999999997</v>
      </c>
      <c r="I108" s="67">
        <f t="shared" si="2"/>
        <v>1.9315384615384619</v>
      </c>
      <c r="J108" s="67">
        <f t="shared" si="2"/>
        <v>0.38031250000000022</v>
      </c>
      <c r="K108" s="67">
        <f t="shared" si="2"/>
        <v>204.30583333333331</v>
      </c>
      <c r="L108" s="67">
        <f t="shared" si="2"/>
        <v>28.459270833333321</v>
      </c>
      <c r="M108" s="67">
        <f t="shared" si="2"/>
        <v>88.076250000000002</v>
      </c>
      <c r="N108" s="67">
        <f t="shared" si="2"/>
        <v>196.65208333333305</v>
      </c>
      <c r="O108" s="67">
        <f t="shared" si="2"/>
        <v>0</v>
      </c>
      <c r="P108" s="67">
        <f t="shared" si="2"/>
        <v>0.44635416666666644</v>
      </c>
      <c r="Q108" s="67">
        <f t="shared" si="2"/>
        <v>9.6114583333333439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2.2826308089762835</v>
      </c>
      <c r="C109" s="67">
        <f t="shared" ref="C109:Q109" si="3">STDEV(C9:C104)</f>
        <v>2.0336878609534681</v>
      </c>
      <c r="D109" s="67">
        <f t="shared" si="3"/>
        <v>1.1699430513580629</v>
      </c>
      <c r="E109" s="67">
        <f t="shared" si="3"/>
        <v>0.70147810734743987</v>
      </c>
      <c r="F109" s="67">
        <f t="shared" si="3"/>
        <v>1.0716312986987995</v>
      </c>
      <c r="G109" s="67">
        <f t="shared" si="3"/>
        <v>10.234856257936141</v>
      </c>
      <c r="H109" s="67">
        <f t="shared" si="3"/>
        <v>5.1562855485218089</v>
      </c>
      <c r="I109" s="67">
        <f t="shared" si="3"/>
        <v>0.74259054934862967</v>
      </c>
      <c r="J109" s="67">
        <f t="shared" si="3"/>
        <v>0.33360693267124353</v>
      </c>
      <c r="K109" s="67">
        <f t="shared" si="3"/>
        <v>124.75258295958341</v>
      </c>
      <c r="L109" s="67">
        <f t="shared" si="3"/>
        <v>3.3472783114492626</v>
      </c>
      <c r="M109" s="67">
        <f t="shared" si="3"/>
        <v>15.380131150628261</v>
      </c>
      <c r="N109" s="67">
        <f t="shared" si="3"/>
        <v>253.21176657583763</v>
      </c>
      <c r="O109" s="67">
        <f t="shared" si="3"/>
        <v>0</v>
      </c>
      <c r="P109" s="67">
        <f t="shared" si="3"/>
        <v>8.8592738108799043E-2</v>
      </c>
      <c r="Q109" s="67">
        <f t="shared" si="3"/>
        <v>7.5364610802440973E-3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COUNT(I9:I104)+44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B1" sqref="B1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01/09/2024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01/09/2024 00:15</v>
      </c>
      <c r="B9" s="61">
        <f>'01'!B108</f>
        <v>8.2618750000000087</v>
      </c>
      <c r="C9" s="61">
        <f>'01'!C108</f>
        <v>3.4281249999999996</v>
      </c>
      <c r="D9" s="61">
        <f>'01'!D108</f>
        <v>12.190312500000006</v>
      </c>
      <c r="E9" s="61">
        <f>'01'!E108</f>
        <v>4.1104166666666666</v>
      </c>
      <c r="F9" s="61">
        <f>'01'!F108</f>
        <v>3.5992708333333332</v>
      </c>
      <c r="G9" s="99">
        <f>'01'!$G$108</f>
        <v>28.748333333333331</v>
      </c>
      <c r="H9" s="61">
        <f>'01'!H108</f>
        <v>7.8293749999999962</v>
      </c>
      <c r="I9" s="61">
        <f>'01'!I108</f>
        <v>5.5375000000000005</v>
      </c>
      <c r="J9" s="61">
        <f>'01'!J108</f>
        <v>0.87781250000000022</v>
      </c>
      <c r="K9" s="61">
        <f>'01'!K108</f>
        <v>138.97218749999999</v>
      </c>
      <c r="L9" s="61">
        <f>'01'!L108</f>
        <v>28.473125</v>
      </c>
      <c r="M9" s="61">
        <f>'01'!M108</f>
        <v>92.818854166666711</v>
      </c>
      <c r="N9" s="61">
        <f>'01'!N108</f>
        <v>170.32083333333335</v>
      </c>
      <c r="O9" s="61">
        <f>'01'!O108</f>
        <v>6.2500000000000012E-3</v>
      </c>
      <c r="P9" s="202">
        <f>'01'!P108</f>
        <v>0.37947916666666659</v>
      </c>
      <c r="Q9" s="61">
        <f>'01'!Q108</f>
        <v>9.6685416666666679</v>
      </c>
      <c r="R9" s="118"/>
      <c r="S9" s="118"/>
      <c r="T9" s="118"/>
      <c r="U9" s="118"/>
    </row>
    <row r="10" spans="1:21" x14ac:dyDescent="0.25">
      <c r="A10" s="94" t="str">
        <f>'02'!$B$2</f>
        <v>02/09/2024 00:15</v>
      </c>
      <c r="B10" s="61">
        <f>'02'!B108</f>
        <v>8.3051041666666769</v>
      </c>
      <c r="C10" s="61">
        <f>'02'!C108</f>
        <v>3.6178125000000012</v>
      </c>
      <c r="D10" s="61">
        <f>'02'!D108</f>
        <v>12.324583333333338</v>
      </c>
      <c r="E10" s="61">
        <f>'02'!E108</f>
        <v>4.1230208333333334</v>
      </c>
      <c r="F10" s="61">
        <f>'02'!F108</f>
        <v>3.7725000000000013</v>
      </c>
      <c r="G10" s="61">
        <f>'02'!G108</f>
        <v>15.067812500000002</v>
      </c>
      <c r="H10" s="61">
        <f>'02'!H108</f>
        <v>3.0666666666666651</v>
      </c>
      <c r="I10" s="61">
        <f>'02'!I108</f>
        <v>5.9931250000000018</v>
      </c>
      <c r="J10" s="61">
        <f>'02'!J108</f>
        <v>1.4613541666666663</v>
      </c>
      <c r="K10" s="61">
        <f>'02'!K108</f>
        <v>113.39812499999995</v>
      </c>
      <c r="L10" s="61">
        <f>'02'!L108</f>
        <v>28.429479166666678</v>
      </c>
      <c r="M10" s="61">
        <f>'02'!M108</f>
        <v>91.671250000000001</v>
      </c>
      <c r="N10" s="61">
        <f>'02'!N108</f>
        <v>172.02499999999995</v>
      </c>
      <c r="O10" s="61">
        <f>'02'!O108</f>
        <v>0</v>
      </c>
      <c r="P10" s="202">
        <f>'02'!P108</f>
        <v>0.29145833333333343</v>
      </c>
      <c r="Q10" s="61">
        <f>'02'!Q108</f>
        <v>9.5916666666666739</v>
      </c>
      <c r="R10" s="118"/>
      <c r="S10" s="118"/>
      <c r="T10" s="118"/>
      <c r="U10" s="118"/>
    </row>
    <row r="11" spans="1:21" x14ac:dyDescent="0.25">
      <c r="A11" s="94" t="str">
        <f>'03'!$B$2</f>
        <v>03/09/2024 00:15</v>
      </c>
      <c r="B11" s="61">
        <f>'03'!B108</f>
        <v>7.9797916666666771</v>
      </c>
      <c r="C11" s="61">
        <f>'03'!C108</f>
        <v>2.9850000000000012</v>
      </c>
      <c r="D11" s="61">
        <f>'03'!D108</f>
        <v>11.732812500000009</v>
      </c>
      <c r="E11" s="61">
        <f>'03'!E108</f>
        <v>4.6079166666666653</v>
      </c>
      <c r="F11" s="61">
        <f>'03'!F108</f>
        <v>3.5973958333333336</v>
      </c>
      <c r="G11" s="61">
        <f>'03'!G108</f>
        <v>15.910416666666668</v>
      </c>
      <c r="H11" s="61">
        <f>'03'!H108</f>
        <v>4.083333333333333</v>
      </c>
      <c r="I11" s="61">
        <f>'03'!I108</f>
        <v>5.749270833333334</v>
      </c>
      <c r="J11" s="61">
        <f>'03'!J108</f>
        <v>0.73395833333333294</v>
      </c>
      <c r="K11" s="61">
        <f>'03'!K108</f>
        <v>120.19875000000003</v>
      </c>
      <c r="L11" s="61">
        <f>'03'!L108</f>
        <v>28.852187499999999</v>
      </c>
      <c r="M11" s="61">
        <f>'03'!M108</f>
        <v>87.150520833333317</v>
      </c>
      <c r="N11" s="61">
        <f>'03'!N108</f>
        <v>148.1458333333334</v>
      </c>
      <c r="O11" s="61">
        <f>'03'!O108</f>
        <v>0</v>
      </c>
      <c r="P11" s="202">
        <f>'03'!P108</f>
        <v>0.31447916666666648</v>
      </c>
      <c r="Q11" s="61">
        <f>'03'!Q108</f>
        <v>9.4871874999999992</v>
      </c>
      <c r="R11" s="118"/>
      <c r="S11" s="118"/>
      <c r="T11" s="118"/>
      <c r="U11" s="118"/>
    </row>
    <row r="12" spans="1:21" x14ac:dyDescent="0.25">
      <c r="A12" s="94" t="str">
        <f>'04'!$B$2</f>
        <v>04/09/2024 00:15</v>
      </c>
      <c r="B12" s="61">
        <f>'04'!B108</f>
        <v>8.0509374999999981</v>
      </c>
      <c r="C12" s="61">
        <f>'04'!C108</f>
        <v>3.1084374999999995</v>
      </c>
      <c r="D12" s="61">
        <f>'04'!D108</f>
        <v>11.854583333333338</v>
      </c>
      <c r="E12" s="61">
        <f>'04'!E108</f>
        <v>4.5050537634408609</v>
      </c>
      <c r="F12" s="61">
        <f>'04'!F108</f>
        <v>5.3313541666666664</v>
      </c>
      <c r="G12" s="61">
        <f>'04'!G108</f>
        <v>40.58000000000002</v>
      </c>
      <c r="H12" s="61">
        <f>'04'!H108</f>
        <v>18.041290322580657</v>
      </c>
      <c r="I12" s="61">
        <f>'04'!I108</f>
        <v>4.4587499999999993</v>
      </c>
      <c r="J12" s="61">
        <f>'04'!J108</f>
        <v>0.34062499999999996</v>
      </c>
      <c r="K12" s="61">
        <f>'04'!K108</f>
        <v>227.72197916666661</v>
      </c>
      <c r="L12" s="61">
        <f>'04'!L108</f>
        <v>28.661145833333347</v>
      </c>
      <c r="M12" s="61">
        <f>'04'!M108</f>
        <v>93.572187499999998</v>
      </c>
      <c r="N12" s="61">
        <f>'04'!N108</f>
        <v>155.19479166666667</v>
      </c>
      <c r="O12" s="61">
        <f>'04'!O108</f>
        <v>0.35208333333333336</v>
      </c>
      <c r="P12" s="202">
        <f>'04'!P108</f>
        <v>0.57812499999999978</v>
      </c>
      <c r="Q12" s="61">
        <f>'04'!Q108</f>
        <v>9.8648958333333336</v>
      </c>
      <c r="R12" s="118"/>
      <c r="S12" s="118"/>
      <c r="T12" s="118"/>
      <c r="U12" s="118"/>
    </row>
    <row r="13" spans="1:21" x14ac:dyDescent="0.25">
      <c r="A13" s="94" t="str">
        <f>'05'!$B$2</f>
        <v>05/09/2024 00:15</v>
      </c>
      <c r="B13" s="61">
        <f>'05'!B108</f>
        <v>7.9645833333333371</v>
      </c>
      <c r="C13" s="61">
        <f>'05'!C108</f>
        <v>2.9999999999999996</v>
      </c>
      <c r="D13" s="61">
        <f>'05'!D108</f>
        <v>11.72854166666667</v>
      </c>
      <c r="E13" s="61">
        <f>'05'!E108</f>
        <v>3.9928124999999999</v>
      </c>
      <c r="F13" s="61">
        <f>'05'!F108</f>
        <v>5.2510416666666684</v>
      </c>
      <c r="G13" s="61">
        <f>'05'!G108</f>
        <v>29.294583333333325</v>
      </c>
      <c r="H13" s="61">
        <f>'05'!H108</f>
        <v>19.422291666666666</v>
      </c>
      <c r="I13" s="61">
        <f>'05'!I108</f>
        <v>3.8641666666666663</v>
      </c>
      <c r="J13" s="61">
        <f>'05'!J108</f>
        <v>0.33520833333333339</v>
      </c>
      <c r="K13" s="61">
        <f>'05'!K108</f>
        <v>204.27520833333344</v>
      </c>
      <c r="L13" s="61">
        <f>'05'!L108</f>
        <v>27.730104166666667</v>
      </c>
      <c r="M13" s="61">
        <f>'05'!M108</f>
        <v>97.214999999999961</v>
      </c>
      <c r="N13" s="61">
        <f>'05'!N108</f>
        <v>136.10000000000002</v>
      </c>
      <c r="O13" s="61">
        <f>'05'!O108</f>
        <v>0.53124999999999989</v>
      </c>
      <c r="P13" s="202">
        <f>'05'!P108</f>
        <v>0.45208333333333339</v>
      </c>
      <c r="Q13" s="61">
        <f>'05'!Q108</f>
        <v>9.668645833333338</v>
      </c>
      <c r="R13" s="118"/>
      <c r="S13" s="118"/>
      <c r="T13" s="118"/>
      <c r="U13" s="118"/>
    </row>
    <row r="14" spans="1:21" x14ac:dyDescent="0.25">
      <c r="A14" s="94" t="str">
        <f>'06'!$B$2</f>
        <v>06/09/2024 00:15</v>
      </c>
      <c r="B14" s="61">
        <f>'06'!B108</f>
        <v>7.967187500000005</v>
      </c>
      <c r="C14" s="61">
        <f>'06'!C108</f>
        <v>3.0246874999999993</v>
      </c>
      <c r="D14" s="61">
        <f>'06'!D108</f>
        <v>11.744062500000004</v>
      </c>
      <c r="E14" s="61">
        <f>'06'!E108</f>
        <v>4.0787499999999985</v>
      </c>
      <c r="F14" s="61">
        <f>'06'!F108</f>
        <v>4.3359375</v>
      </c>
      <c r="G14" s="61">
        <f>'06'!G108</f>
        <v>46.632604166666646</v>
      </c>
      <c r="H14" s="61">
        <f>'06'!H108</f>
        <v>23.680833333333343</v>
      </c>
      <c r="I14" s="61">
        <f>'06'!I108</f>
        <v>4.5159374999999997</v>
      </c>
      <c r="J14" s="61">
        <f>'06'!J108</f>
        <v>0.26020833333333332</v>
      </c>
      <c r="K14" s="61">
        <f>'06'!K108</f>
        <v>219.28812500000006</v>
      </c>
      <c r="L14" s="61">
        <f>'06'!L108</f>
        <v>28.446666666666683</v>
      </c>
      <c r="M14" s="61">
        <f>'06'!M108</f>
        <v>93.451250000000016</v>
      </c>
      <c r="N14" s="61">
        <f>'06'!N108</f>
        <v>182.42083333333332</v>
      </c>
      <c r="O14" s="61">
        <f>'06'!O108</f>
        <v>0</v>
      </c>
      <c r="P14" s="202">
        <f>'06'!P108</f>
        <v>0.59906250000000005</v>
      </c>
      <c r="Q14" s="61">
        <f>'06'!Q108</f>
        <v>9.7631250000000023</v>
      </c>
      <c r="R14" s="118"/>
      <c r="S14" s="118"/>
      <c r="T14" s="118"/>
      <c r="U14" s="118"/>
    </row>
    <row r="15" spans="1:21" x14ac:dyDescent="0.25">
      <c r="A15" s="94" t="str">
        <f>'07'!$B$2</f>
        <v>07/09/2024 00:15</v>
      </c>
      <c r="B15" s="61">
        <f>'07'!B108</f>
        <v>7.9704166666666696</v>
      </c>
      <c r="C15" s="61">
        <f>'07'!C108</f>
        <v>2.9836458333333322</v>
      </c>
      <c r="D15" s="61">
        <f>'07'!D108</f>
        <v>11.724062500000002</v>
      </c>
      <c r="E15" s="61">
        <f>'07'!E108</f>
        <v>4.6355208333333335</v>
      </c>
      <c r="F15" s="61">
        <f>'07'!F108</f>
        <v>3.7255208333333338</v>
      </c>
      <c r="G15" s="100">
        <f>'07'!$G$108</f>
        <v>41.78197916666668</v>
      </c>
      <c r="H15" s="61">
        <f>'07'!H108</f>
        <v>22.190104166666668</v>
      </c>
      <c r="I15" s="61">
        <f>'07'!I108</f>
        <v>4.8359375</v>
      </c>
      <c r="J15" s="61">
        <f>'07'!J108</f>
        <v>0.1628125</v>
      </c>
      <c r="K15" s="61">
        <f>'07'!K108</f>
        <v>240.5169791666666</v>
      </c>
      <c r="L15" s="61">
        <f>'07'!L108</f>
        <v>28.805937499999999</v>
      </c>
      <c r="M15" s="61">
        <f>'07'!M108</f>
        <v>93.874687500000036</v>
      </c>
      <c r="N15" s="61">
        <f>'07'!N108</f>
        <v>178.92291666666668</v>
      </c>
      <c r="O15" s="61">
        <f>'07'!O108</f>
        <v>2.5000000000000005E-2</v>
      </c>
      <c r="P15" s="202">
        <f>'07'!P108</f>
        <v>0.63406249999999997</v>
      </c>
      <c r="Q15" s="61">
        <f>'07'!Q108</f>
        <v>9.7347916666666698</v>
      </c>
      <c r="R15" s="118"/>
      <c r="S15" s="118"/>
      <c r="T15" s="118"/>
      <c r="U15" s="118"/>
    </row>
    <row r="16" spans="1:21" x14ac:dyDescent="0.25">
      <c r="A16" s="94" t="str">
        <f>'08'!$B$2</f>
        <v>08/09/2024 00:15</v>
      </c>
      <c r="B16" s="61">
        <f>'08'!B108</f>
        <v>8.0133333333333354</v>
      </c>
      <c r="C16" s="61">
        <f>'08'!C108</f>
        <v>3.0554166666666664</v>
      </c>
      <c r="D16" s="61">
        <f>'08'!D108</f>
        <v>11.796562499999999</v>
      </c>
      <c r="E16" s="61">
        <f>'08'!E108</f>
        <v>4.1460416666666671</v>
      </c>
      <c r="F16" s="61">
        <f>'08'!F108</f>
        <v>3.5274999999999994</v>
      </c>
      <c r="G16" s="100">
        <f>'08'!$G$108</f>
        <v>63.413541666666646</v>
      </c>
      <c r="H16" s="61">
        <f>'08'!H108</f>
        <v>31.752187500000002</v>
      </c>
      <c r="I16" s="61">
        <f>'08'!I108</f>
        <v>6.1856250000000008</v>
      </c>
      <c r="J16" s="61">
        <f>'08'!J108</f>
        <v>0.51229166666666703</v>
      </c>
      <c r="K16" s="61">
        <f>'08'!K108</f>
        <v>304.5194791666666</v>
      </c>
      <c r="L16" s="61">
        <f>'08'!L108</f>
        <v>28.995937500000007</v>
      </c>
      <c r="M16" s="61">
        <f>'08'!M108</f>
        <v>92.778437499999896</v>
      </c>
      <c r="N16" s="61">
        <f>'08'!N108</f>
        <v>180.5677083333334</v>
      </c>
      <c r="O16" s="61">
        <f>'08'!O108</f>
        <v>0.25833333333333325</v>
      </c>
      <c r="P16" s="202">
        <f>'08'!P108</f>
        <v>0.96072916666666686</v>
      </c>
      <c r="Q16" s="61">
        <f>'08'!Q108</f>
        <v>10.03802083333334</v>
      </c>
      <c r="R16" s="118"/>
      <c r="S16" s="118"/>
      <c r="T16" s="118"/>
      <c r="U16" s="118"/>
    </row>
    <row r="17" spans="1:21" x14ac:dyDescent="0.25">
      <c r="A17" s="94" t="str">
        <f>'09'!$B$2</f>
        <v>09/09/2024 00:15</v>
      </c>
      <c r="B17" s="61">
        <f>'09'!B108</f>
        <v>7.9664583333333381</v>
      </c>
      <c r="C17" s="61">
        <f>'09'!C108</f>
        <v>3.0113541666666674</v>
      </c>
      <c r="D17" s="61">
        <f>'09'!D108</f>
        <v>11.735937500000006</v>
      </c>
      <c r="E17" s="61">
        <f>'09'!E108</f>
        <v>4.4348958333333339</v>
      </c>
      <c r="F17" s="61">
        <f>'09'!F108</f>
        <v>4.7543750000000031</v>
      </c>
      <c r="G17" s="100">
        <f>'09'!$G$108</f>
        <v>47.22291666666667</v>
      </c>
      <c r="H17" s="61">
        <f>'09'!H108</f>
        <v>26.300657894736858</v>
      </c>
      <c r="I17" s="61">
        <f>'09'!I108</f>
        <v>3.2093750000000001</v>
      </c>
      <c r="J17" s="61">
        <f>'09'!J108</f>
        <v>0.7917708333333332</v>
      </c>
      <c r="K17" s="61">
        <f>'09'!K108</f>
        <v>292.87395833333329</v>
      </c>
      <c r="L17" s="61">
        <f>'09'!L108</f>
        <v>28.505312500000013</v>
      </c>
      <c r="M17" s="61">
        <f>'09'!M108</f>
        <v>94.878541666666607</v>
      </c>
      <c r="N17" s="61">
        <f>'09'!N108</f>
        <v>164.1541666666667</v>
      </c>
      <c r="O17" s="61">
        <f>'09'!O108</f>
        <v>0.33333333333333331</v>
      </c>
      <c r="P17" s="202">
        <f>'09'!P108</f>
        <v>0.60624999999999996</v>
      </c>
      <c r="Q17" s="61">
        <f>'09'!Q108</f>
        <v>9.8231249999999992</v>
      </c>
      <c r="R17" s="118"/>
      <c r="S17" s="118"/>
      <c r="T17" s="118"/>
      <c r="U17" s="118"/>
    </row>
    <row r="18" spans="1:21" x14ac:dyDescent="0.25">
      <c r="A18" s="94" t="str">
        <f>'10'!$B$2</f>
        <v>10/09/2024 00:15</v>
      </c>
      <c r="B18" s="61">
        <f>'10'!B108</f>
        <v>7.951249999999999</v>
      </c>
      <c r="C18" s="61">
        <f>'10'!C108</f>
        <v>2.9598958333333325</v>
      </c>
      <c r="D18" s="61">
        <f>'10'!D108</f>
        <v>11.696562500000011</v>
      </c>
      <c r="E18" s="61">
        <f>'10'!E108</f>
        <v>4.1463541666666677</v>
      </c>
      <c r="F18" s="61">
        <f>'10'!F108</f>
        <v>3.8564583333333342</v>
      </c>
      <c r="G18" s="101">
        <f>'10'!$G$108</f>
        <v>8.0287500000000005</v>
      </c>
      <c r="H18" s="61">
        <f>'10'!H108</f>
        <v>3.0460416666666679</v>
      </c>
      <c r="I18" s="61">
        <f>'10'!I108</f>
        <v>1.9706250000000001</v>
      </c>
      <c r="J18" s="61">
        <f>'10'!J108</f>
        <v>0.23177083333333329</v>
      </c>
      <c r="K18" s="61">
        <f>'10'!K108</f>
        <v>265.29833333333335</v>
      </c>
      <c r="L18" s="61">
        <f>'10'!L108</f>
        <v>25.824999999999999</v>
      </c>
      <c r="M18" s="61">
        <f>'10'!M108</f>
        <v>101.7355208333333</v>
      </c>
      <c r="N18" s="61">
        <f>'10'!N108</f>
        <v>79.492708333333354</v>
      </c>
      <c r="O18" s="61">
        <f>'10'!O108</f>
        <v>0.61666666666666681</v>
      </c>
      <c r="P18" s="202">
        <f>'10'!P108</f>
        <v>0.42437500000000011</v>
      </c>
      <c r="Q18" s="61">
        <f>'10'!Q108</f>
        <v>9.6234375000000014</v>
      </c>
      <c r="R18" s="118"/>
      <c r="S18" s="118"/>
      <c r="T18" s="118"/>
      <c r="U18" s="118"/>
    </row>
    <row r="19" spans="1:21" x14ac:dyDescent="0.25">
      <c r="A19" s="94" t="str">
        <f>'11'!$B$2</f>
        <v>11/09/2024 00:15</v>
      </c>
      <c r="B19" s="61">
        <f>'11'!B108</f>
        <v>7.9468750000000092</v>
      </c>
      <c r="C19" s="61">
        <f>'11'!C108</f>
        <v>2.9349999999999992</v>
      </c>
      <c r="D19" s="61">
        <f>'11'!D108</f>
        <v>11.679687500000005</v>
      </c>
      <c r="E19" s="61">
        <f>'11'!E108</f>
        <v>3.9186458333333323</v>
      </c>
      <c r="F19" s="61">
        <f>'11'!F108</f>
        <v>4.2343750000000009</v>
      </c>
      <c r="G19" s="99">
        <f>'11'!$G$108</f>
        <v>19.999895833333344</v>
      </c>
      <c r="H19" s="61">
        <f>'11'!H108</f>
        <v>8.5119791666666682</v>
      </c>
      <c r="I19" s="61">
        <f>'11'!I108</f>
        <v>1.566979166666667</v>
      </c>
      <c r="J19" s="61">
        <f>'11'!J108</f>
        <v>0.13187500000000005</v>
      </c>
      <c r="K19" s="61">
        <f>'11'!K108</f>
        <v>248.87760416666666</v>
      </c>
      <c r="L19" s="61">
        <f>'11'!L108</f>
        <v>27.296458333333337</v>
      </c>
      <c r="M19" s="61">
        <f>'11'!M108</f>
        <v>98.513125000000002</v>
      </c>
      <c r="N19" s="61">
        <f>'11'!N108</f>
        <v>136.19479166666662</v>
      </c>
      <c r="O19" s="61">
        <f>'11'!O108</f>
        <v>0</v>
      </c>
      <c r="P19" s="202">
        <f>'11'!P108</f>
        <v>0.30833333333333324</v>
      </c>
      <c r="Q19" s="61">
        <f>'11'!Q108</f>
        <v>9.4559375000000028</v>
      </c>
      <c r="R19" s="118"/>
      <c r="S19" s="118"/>
      <c r="T19" s="118"/>
      <c r="U19" s="118"/>
    </row>
    <row r="20" spans="1:21" x14ac:dyDescent="0.25">
      <c r="A20" s="94" t="str">
        <f>'12'!$B$2</f>
        <v>12/09/2024 00:15</v>
      </c>
      <c r="B20" s="61">
        <f>'12'!B108</f>
        <v>5.8468749999999998</v>
      </c>
      <c r="C20" s="61">
        <f>'12'!C108</f>
        <v>2.8139583333333333</v>
      </c>
      <c r="D20" s="61">
        <f>'12'!D108</f>
        <v>9.0082291666666716</v>
      </c>
      <c r="E20" s="61">
        <f>'12'!E108</f>
        <v>4.4190425531914892</v>
      </c>
      <c r="F20" s="61">
        <f>'12'!F108</f>
        <v>4.223749999999999</v>
      </c>
      <c r="G20" s="101">
        <f>'12'!$G$108</f>
        <v>28.954000000000001</v>
      </c>
      <c r="H20" s="61">
        <f>'12'!H108</f>
        <v>8.0502777777777741</v>
      </c>
      <c r="I20" s="61">
        <f>'12'!I108</f>
        <v>2.5427083333333327</v>
      </c>
      <c r="J20" s="61">
        <f>'12'!J108</f>
        <v>0.19218750000000004</v>
      </c>
      <c r="K20" s="61">
        <f>'12'!K108</f>
        <v>226.72770833333331</v>
      </c>
      <c r="L20" s="61">
        <f>'12'!L108</f>
        <v>27.56968749999999</v>
      </c>
      <c r="M20" s="61">
        <f>'12'!M108</f>
        <v>89.585416666666632</v>
      </c>
      <c r="N20" s="61">
        <f>'12'!N108</f>
        <v>233.36249999999995</v>
      </c>
      <c r="O20" s="61">
        <f>'12'!O108</f>
        <v>0</v>
      </c>
      <c r="P20" s="202">
        <f>'12'!P108</f>
        <v>0.40625</v>
      </c>
      <c r="Q20" s="61">
        <f>'12'!Q108</f>
        <v>9.2080208333333307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13/09/2024 00:15</v>
      </c>
      <c r="B21" s="91">
        <f>'13'!B108</f>
        <v>4.2748958333333338</v>
      </c>
      <c r="C21" s="91">
        <f>'13'!C108</f>
        <v>3.1693750000000001</v>
      </c>
      <c r="D21" s="91">
        <f>'13'!D108</f>
        <v>7.2746874999999953</v>
      </c>
      <c r="E21" s="91">
        <f>'13'!E108</f>
        <v>4.1626041666666671</v>
      </c>
      <c r="F21" s="91">
        <f>'13'!F108</f>
        <v>3.6113541666666666</v>
      </c>
      <c r="G21" s="100">
        <f>'13'!$G$108</f>
        <v>31.536979166666679</v>
      </c>
      <c r="H21" s="91">
        <f>'13'!H108</f>
        <v>9.6857291666666594</v>
      </c>
      <c r="I21" s="91">
        <f>'13'!I108</f>
        <v>2.1982291666666662</v>
      </c>
      <c r="J21" s="91">
        <f>'13'!J108</f>
        <v>0.26583333333333342</v>
      </c>
      <c r="K21" s="91">
        <f>'13'!K108</f>
        <v>304.19312499999995</v>
      </c>
      <c r="L21" s="91">
        <f>'13'!L108</f>
        <v>26.588437500000001</v>
      </c>
      <c r="M21" s="91">
        <f>'13'!M108</f>
        <v>91.870208333333338</v>
      </c>
      <c r="N21" s="91">
        <f>'13'!N108</f>
        <v>167.04583333333323</v>
      </c>
      <c r="O21" s="91">
        <f>'13'!O108</f>
        <v>0</v>
      </c>
      <c r="P21" s="203">
        <f>'13'!P108</f>
        <v>0.47093750000000006</v>
      </c>
      <c r="Q21" s="91">
        <f>'13'!Q108</f>
        <v>9.6443750000000037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14/09/2024 00:15</v>
      </c>
      <c r="B22" s="90">
        <f>'14'!B108</f>
        <v>4.2616666666666658</v>
      </c>
      <c r="C22" s="90">
        <f>'14'!C108</f>
        <v>3.1798958333333331</v>
      </c>
      <c r="D22" s="90">
        <f>'14'!D108</f>
        <v>7.2684375000000001</v>
      </c>
      <c r="E22" s="90">
        <f>'14'!E108</f>
        <v>4.4226041666666651</v>
      </c>
      <c r="F22" s="90">
        <f>'14'!F108</f>
        <v>3.8458333333333337</v>
      </c>
      <c r="G22" s="100">
        <f>'14'!$G$108</f>
        <v>55.616451612903212</v>
      </c>
      <c r="H22" s="100">
        <f>'14'!$G$108</f>
        <v>55.616451612903212</v>
      </c>
      <c r="I22" s="90">
        <f>'14'!I108</f>
        <v>2.1594791666666664</v>
      </c>
      <c r="J22" s="90">
        <f>'14'!J108</f>
        <v>0.49239583333333337</v>
      </c>
      <c r="K22" s="90">
        <f>'14'!K108</f>
        <v>317.12510416666663</v>
      </c>
      <c r="L22" s="90">
        <f>'14'!L108</f>
        <v>26.024791666666662</v>
      </c>
      <c r="M22" s="90">
        <f>'14'!M108</f>
        <v>90.981145833333358</v>
      </c>
      <c r="N22" s="90">
        <f>'14'!N108</f>
        <v>134.06666666666663</v>
      </c>
      <c r="O22" s="90">
        <f>'14'!O108</f>
        <v>0</v>
      </c>
      <c r="P22" s="204">
        <f>'14'!P108</f>
        <v>0.46239583333333312</v>
      </c>
      <c r="Q22" s="90">
        <f>'14'!Q108</f>
        <v>10.394895833333335</v>
      </c>
      <c r="R22" s="206"/>
      <c r="S22" s="206"/>
      <c r="T22" s="206"/>
      <c r="U22" s="206"/>
    </row>
    <row r="23" spans="1:21" x14ac:dyDescent="0.25">
      <c r="A23" s="94" t="str">
        <f>'15'!$B$2</f>
        <v>15/09/2024 00:15</v>
      </c>
      <c r="B23" s="61">
        <f>'15'!B108</f>
        <v>4.2545833333333345</v>
      </c>
      <c r="C23" s="61">
        <f>'15'!C108</f>
        <v>3.1585416666666659</v>
      </c>
      <c r="D23" s="61">
        <f>'15'!D108</f>
        <v>7.2529166666666685</v>
      </c>
      <c r="E23" s="61">
        <f>'15'!E108</f>
        <v>4.0521875000000005</v>
      </c>
      <c r="F23" s="61">
        <f>'15'!F108</f>
        <v>3.8459375000000002</v>
      </c>
      <c r="G23" s="100">
        <f>'15'!$G$108</f>
        <v>44.552708333333307</v>
      </c>
      <c r="H23" s="61">
        <f>'15'!H108</f>
        <v>17.193026315789474</v>
      </c>
      <c r="I23" s="61">
        <f>'15'!I108</f>
        <v>1.8884374999999991</v>
      </c>
      <c r="J23" s="61">
        <f>'15'!J108</f>
        <v>0.93343750000000003</v>
      </c>
      <c r="K23" s="61">
        <f>'15'!K108</f>
        <v>331.26812499999988</v>
      </c>
      <c r="L23" s="61">
        <f>'15'!L108</f>
        <v>27.199166666666667</v>
      </c>
      <c r="M23" s="61">
        <f>'15'!M108</f>
        <v>81.887083333333337</v>
      </c>
      <c r="N23" s="61">
        <f>'15'!N108</f>
        <v>198.86770833333321</v>
      </c>
      <c r="O23" s="61">
        <f>'15'!O108</f>
        <v>0</v>
      </c>
      <c r="P23" s="202">
        <f>'15'!P108</f>
        <v>0.40510416666666682</v>
      </c>
      <c r="Q23" s="61">
        <f>'15'!Q108</f>
        <v>9.6169791666666633</v>
      </c>
      <c r="R23" s="118"/>
      <c r="S23" s="118"/>
      <c r="T23" s="118"/>
      <c r="U23" s="118"/>
    </row>
    <row r="24" spans="1:21" x14ac:dyDescent="0.25">
      <c r="A24" s="94" t="str">
        <f>'16'!$B$2</f>
        <v>16/09/2024 00:15</v>
      </c>
      <c r="B24" s="61">
        <f>'16'!B108</f>
        <v>4.2492708333333322</v>
      </c>
      <c r="C24" s="61">
        <f>'16'!C108</f>
        <v>3.1602083333333333</v>
      </c>
      <c r="D24" s="61">
        <f>'16'!D108</f>
        <v>7.2482291666666709</v>
      </c>
      <c r="E24" s="61">
        <f>'16'!E108</f>
        <v>4.3566666666666656</v>
      </c>
      <c r="F24" s="61">
        <f>'16'!F108</f>
        <v>3.9007291666666664</v>
      </c>
      <c r="G24" s="100">
        <f>'16'!$G$108</f>
        <v>34.780625000000001</v>
      </c>
      <c r="H24" s="61">
        <f>'16'!H108</f>
        <v>17.730568181818175</v>
      </c>
      <c r="I24" s="61">
        <f>'16'!I108</f>
        <v>1.1744791666666667</v>
      </c>
      <c r="J24" s="61">
        <f>'16'!J108</f>
        <v>1.1481250000000001</v>
      </c>
      <c r="K24" s="61">
        <f>'16'!K108</f>
        <v>326.47854166666667</v>
      </c>
      <c r="L24" s="61">
        <f>'16'!L108</f>
        <v>25.27770833333334</v>
      </c>
      <c r="M24" s="61">
        <f>'16'!M108</f>
        <v>90.696250000000006</v>
      </c>
      <c r="N24" s="61">
        <f>'16'!N108</f>
        <v>90.069791666666731</v>
      </c>
      <c r="O24" s="61">
        <f>'16'!O108</f>
        <v>0</v>
      </c>
      <c r="P24" s="202">
        <f>'16'!P108</f>
        <v>0.36958333333333343</v>
      </c>
      <c r="Q24" s="61">
        <f>'16'!Q108</f>
        <v>9.5539583333333287</v>
      </c>
      <c r="R24" s="118"/>
      <c r="S24" s="118"/>
      <c r="T24" s="118"/>
      <c r="U24" s="118"/>
    </row>
    <row r="25" spans="1:21" x14ac:dyDescent="0.25">
      <c r="A25" s="94" t="str">
        <f>'17'!$B$2</f>
        <v>17/09/2024 00:15</v>
      </c>
      <c r="B25" s="61">
        <f>'17'!B108</f>
        <v>4.2431249999999983</v>
      </c>
      <c r="C25" s="61">
        <f>'17'!C108</f>
        <v>3.142604166666668</v>
      </c>
      <c r="D25" s="61">
        <f>'17'!D108</f>
        <v>7.2353124999999947</v>
      </c>
      <c r="E25" s="61">
        <f>'17'!E108</f>
        <v>3.5459375000000004</v>
      </c>
      <c r="F25" s="61">
        <f>'17'!F108</f>
        <v>4.4116666666666662</v>
      </c>
      <c r="G25" s="101">
        <f>'17'!$G$108</f>
        <v>26.107395833333314</v>
      </c>
      <c r="H25" s="61">
        <f>'17'!H108</f>
        <v>12.00205882352941</v>
      </c>
      <c r="I25" s="61">
        <f>'17'!I108</f>
        <v>1.5231250000000005</v>
      </c>
      <c r="J25" s="61">
        <f>'17'!J108</f>
        <v>0.53531249999999997</v>
      </c>
      <c r="K25" s="61">
        <f>'17'!K108</f>
        <v>252.48166666666671</v>
      </c>
      <c r="L25" s="61">
        <f>'17'!L108</f>
        <v>24.718333333333337</v>
      </c>
      <c r="M25" s="61">
        <f>'17'!M108</f>
        <v>94.858333333333334</v>
      </c>
      <c r="N25" s="61">
        <f>'17'!N108</f>
        <v>119.72395833333333</v>
      </c>
      <c r="O25" s="61">
        <f>'17'!O108</f>
        <v>1.2499999999999999E-2</v>
      </c>
      <c r="P25" s="202">
        <f>'17'!P108</f>
        <v>0.37833333333333341</v>
      </c>
      <c r="Q25" s="61">
        <f>'17'!Q108</f>
        <v>9.5264583333333288</v>
      </c>
      <c r="R25" s="118"/>
      <c r="S25" s="118"/>
      <c r="T25" s="118"/>
      <c r="U25" s="118"/>
    </row>
    <row r="26" spans="1:21" x14ac:dyDescent="0.25">
      <c r="A26" s="94" t="str">
        <f>'18'!$B$2</f>
        <v>18/09/2024 00:15</v>
      </c>
      <c r="B26" s="61">
        <f>'18'!B108</f>
        <v>4.2506250000000003</v>
      </c>
      <c r="C26" s="61">
        <f>'18'!C108</f>
        <v>3.1579166666666656</v>
      </c>
      <c r="D26" s="61">
        <f>'18'!D108</f>
        <v>7.2488541666666677</v>
      </c>
      <c r="E26" s="61">
        <f>'18'!E108</f>
        <v>4.2432291666666675</v>
      </c>
      <c r="F26" s="61">
        <f>'18'!F108</f>
        <v>3.7885416666666671</v>
      </c>
      <c r="G26" s="99">
        <f>'18'!$G$108</f>
        <v>39.47739583333334</v>
      </c>
      <c r="H26" s="61">
        <f>'18'!H108</f>
        <v>15.39673913043479</v>
      </c>
      <c r="I26" s="61">
        <f>'18'!I108</f>
        <v>2.6055208333333333</v>
      </c>
      <c r="J26" s="61">
        <f>'18'!J108</f>
        <v>0.31031249999999994</v>
      </c>
      <c r="K26" s="61">
        <f>'18'!K108</f>
        <v>167.0658333333333</v>
      </c>
      <c r="L26" s="61">
        <f>'18'!L108</f>
        <v>25.787291666666658</v>
      </c>
      <c r="M26" s="61">
        <f>'18'!M108</f>
        <v>88.378125000000026</v>
      </c>
      <c r="N26" s="61">
        <f>'18'!N108</f>
        <v>197.38124999999991</v>
      </c>
      <c r="O26" s="61">
        <f>'18'!O108</f>
        <v>0</v>
      </c>
      <c r="P26" s="202">
        <f>'18'!P108</f>
        <v>0.45458333333333334</v>
      </c>
      <c r="Q26" s="61">
        <f>'18'!Q108</f>
        <v>9.6166666666666689</v>
      </c>
      <c r="R26" s="118"/>
      <c r="S26" s="118"/>
      <c r="T26" s="118"/>
      <c r="U26" s="118"/>
    </row>
    <row r="27" spans="1:21" x14ac:dyDescent="0.25">
      <c r="A27" s="94" t="str">
        <f>'19'!$B$2</f>
        <v>19/09/2024 00:15</v>
      </c>
      <c r="B27" s="61">
        <f>'19'!B108</f>
        <v>4.2657291666666657</v>
      </c>
      <c r="C27" s="61">
        <f>'19'!C108</f>
        <v>3.1947916666666671</v>
      </c>
      <c r="D27" s="61">
        <f>'19'!D108</f>
        <v>7.2804166666666612</v>
      </c>
      <c r="E27" s="61">
        <f>'19'!E108</f>
        <v>6.6718749999999956</v>
      </c>
      <c r="F27" s="61">
        <f>'19'!F108</f>
        <v>4.9455208333333331</v>
      </c>
      <c r="G27" s="61">
        <f>'19'!G108</f>
        <v>60.352808988764032</v>
      </c>
      <c r="H27" s="61">
        <f>'19'!H108</f>
        <v>12.301348314606749</v>
      </c>
      <c r="I27" s="61">
        <f>'19'!I108</f>
        <v>2.8855208333333331</v>
      </c>
      <c r="J27" s="61">
        <f>'19'!J108</f>
        <v>0.43697916666666664</v>
      </c>
      <c r="K27" s="61">
        <f>'19'!K108</f>
        <v>205.26354166666667</v>
      </c>
      <c r="L27" s="61">
        <f>'19'!L108</f>
        <v>26.974583333333332</v>
      </c>
      <c r="M27" s="61">
        <f>'19'!M108</f>
        <v>85.163124999999994</v>
      </c>
      <c r="N27" s="61">
        <f>'19'!N108</f>
        <v>162.45312500000003</v>
      </c>
      <c r="O27" s="61">
        <f>'19'!O108</f>
        <v>0</v>
      </c>
      <c r="P27" s="202">
        <f>'19'!P108</f>
        <v>0.61312499999999981</v>
      </c>
      <c r="Q27" s="61">
        <f>'19'!Q108</f>
        <v>9.7881249999999991</v>
      </c>
      <c r="R27" s="118"/>
      <c r="S27" s="118"/>
      <c r="T27" s="118"/>
      <c r="U27" s="118"/>
    </row>
    <row r="28" spans="1:21" x14ac:dyDescent="0.25">
      <c r="A28" s="94" t="str">
        <f>'20'!$B$2</f>
        <v>20/09/2024 00:15</v>
      </c>
      <c r="B28" s="61">
        <f>'20'!B108</f>
        <v>4.2778125000000014</v>
      </c>
      <c r="C28" s="61">
        <f>'20'!C108</f>
        <v>3.2168750000000004</v>
      </c>
      <c r="D28" s="61">
        <f>'20'!D108</f>
        <v>7.3009375000000034</v>
      </c>
      <c r="E28" s="61">
        <f>'20'!E108</f>
        <v>4.1884375000000018</v>
      </c>
      <c r="F28" s="61">
        <f>'20'!F108</f>
        <v>3.8774999999999991</v>
      </c>
      <c r="G28" s="61">
        <f>'20'!G108</f>
        <v>73.561666666666653</v>
      </c>
      <c r="H28" s="61">
        <f>'20'!H108</f>
        <v>19.88499999999998</v>
      </c>
      <c r="I28" s="61">
        <f>'20'!I108</f>
        <v>2.9180208333333328</v>
      </c>
      <c r="J28" s="61">
        <f>'20'!J108</f>
        <v>0.5296875000000002</v>
      </c>
      <c r="K28" s="61">
        <f>'20'!K108</f>
        <v>244.15531250000004</v>
      </c>
      <c r="L28" s="61">
        <f>'20'!L108</f>
        <v>28.031458333333315</v>
      </c>
      <c r="M28" s="61">
        <f>'20'!M108</f>
        <v>85.168958333333322</v>
      </c>
      <c r="N28" s="61">
        <f>'20'!N108</f>
        <v>132.37916666666669</v>
      </c>
      <c r="O28" s="61">
        <f>'20'!O108</f>
        <v>0</v>
      </c>
      <c r="P28" s="202">
        <f>'20'!P108</f>
        <v>0.67572916666666683</v>
      </c>
      <c r="Q28" s="61">
        <f>'20'!Q108</f>
        <v>9.8643750000000026</v>
      </c>
      <c r="R28" s="118"/>
      <c r="S28" s="118"/>
      <c r="T28" s="118"/>
      <c r="U28" s="118"/>
    </row>
    <row r="29" spans="1:21" x14ac:dyDescent="0.25">
      <c r="A29" s="94" t="str">
        <f>'21'!$B$2</f>
        <v>21/09/2024 00:15</v>
      </c>
      <c r="B29" s="61">
        <f>'21'!B108</f>
        <v>4.2802083333333352</v>
      </c>
      <c r="C29" s="61">
        <f>'21'!C108</f>
        <v>3.2164583333333336</v>
      </c>
      <c r="D29" s="61">
        <f>'21'!D108</f>
        <v>7.3026041666666686</v>
      </c>
      <c r="E29" s="61">
        <f>'21'!E108</f>
        <v>4.0514583333333372</v>
      </c>
      <c r="F29" s="61">
        <f>'21'!F108</f>
        <v>4.3553125000000001</v>
      </c>
      <c r="G29" s="61">
        <f>'21'!G108</f>
        <v>100.48812500000001</v>
      </c>
      <c r="H29" s="61">
        <f>'21'!H108</f>
        <v>23.568522727272729</v>
      </c>
      <c r="I29" s="61">
        <f>'21'!I108</f>
        <v>3.3586458333333336</v>
      </c>
      <c r="J29" s="61">
        <f>'21'!J108</f>
        <v>0.62770833333333298</v>
      </c>
      <c r="K29" s="61">
        <f>'21'!K108</f>
        <v>249.35562499999992</v>
      </c>
      <c r="L29" s="61">
        <f>'21'!L108</f>
        <v>29.076354166666658</v>
      </c>
      <c r="M29" s="61">
        <f>'21'!M108</f>
        <v>84.730000000000018</v>
      </c>
      <c r="N29" s="61">
        <f>'21'!N108</f>
        <v>164.13125000000002</v>
      </c>
      <c r="O29" s="61">
        <f>'21'!O108</f>
        <v>0</v>
      </c>
      <c r="P29" s="202">
        <f>'21'!P108</f>
        <v>0.62927083333333333</v>
      </c>
      <c r="Q29" s="61">
        <f>'21'!Q108</f>
        <v>9.9178124999999984</v>
      </c>
      <c r="R29" s="118"/>
      <c r="S29" s="118"/>
      <c r="T29" s="118"/>
      <c r="U29" s="118"/>
    </row>
    <row r="30" spans="1:21" x14ac:dyDescent="0.25">
      <c r="A30" s="94" t="str">
        <f>'22'!$B$2</f>
        <v>22/09/2024 00:15</v>
      </c>
      <c r="B30" s="61">
        <f>'22'!B108</f>
        <v>4.2543749999999996</v>
      </c>
      <c r="C30" s="61">
        <f>'22'!C108</f>
        <v>3.1749999999999989</v>
      </c>
      <c r="D30" s="61">
        <f>'22'!D108</f>
        <v>7.2600000000000042</v>
      </c>
      <c r="E30" s="61">
        <f>'22'!E108</f>
        <v>4.1273958333333347</v>
      </c>
      <c r="F30" s="61">
        <f>'22'!F108</f>
        <v>3.9515625000000014</v>
      </c>
      <c r="G30" s="61">
        <f>'22'!G108</f>
        <v>49.643854166666642</v>
      </c>
      <c r="H30" s="61">
        <f>'22'!H108</f>
        <v>16.219673913043465</v>
      </c>
      <c r="I30" s="61">
        <f>'22'!I108</f>
        <v>4.2935416666666679</v>
      </c>
      <c r="J30" s="61">
        <f>'22'!J108</f>
        <v>0.8710416666666666</v>
      </c>
      <c r="K30" s="61">
        <f>'22'!K108</f>
        <v>253.48635416666662</v>
      </c>
      <c r="L30" s="61">
        <f>'22'!L108</f>
        <v>27.341666666666658</v>
      </c>
      <c r="M30" s="61">
        <f>'22'!M108</f>
        <v>87.512812500000038</v>
      </c>
      <c r="N30" s="61">
        <f>'22'!N108</f>
        <v>183.79895833333319</v>
      </c>
      <c r="O30" s="61">
        <f>'22'!O108</f>
        <v>1.0416666666666666E-2</v>
      </c>
      <c r="P30" s="202">
        <f>'22'!P108</f>
        <v>0.48854166666666671</v>
      </c>
      <c r="Q30" s="61">
        <f>'22'!Q108</f>
        <v>9.7009374999999967</v>
      </c>
      <c r="R30" s="118"/>
      <c r="S30" s="118"/>
      <c r="T30" s="118"/>
      <c r="U30" s="118"/>
    </row>
    <row r="31" spans="1:21" x14ac:dyDescent="0.25">
      <c r="A31" s="94" t="str">
        <f>'23'!$B$2</f>
        <v>23/09/2024 00:15</v>
      </c>
      <c r="B31" s="61">
        <f>'23'!B108</f>
        <v>4.2480208333333342</v>
      </c>
      <c r="C31" s="61">
        <f>'23'!C108</f>
        <v>3.1823958333333313</v>
      </c>
      <c r="D31" s="61">
        <f>'23'!D108</f>
        <v>7.2595833333333362</v>
      </c>
      <c r="E31" s="61">
        <f>'23'!E108</f>
        <v>4.4067708333333346</v>
      </c>
      <c r="F31" s="61">
        <f>'23'!F108</f>
        <v>5.4755208333333343</v>
      </c>
      <c r="G31" s="61">
        <f>'23'!G108</f>
        <v>50.294086021505372</v>
      </c>
      <c r="H31" s="61">
        <f>'23'!H108</f>
        <v>26.087399999999981</v>
      </c>
      <c r="I31" s="61">
        <f>'23'!I108</f>
        <v>2.8848958333333319</v>
      </c>
      <c r="J31" s="61">
        <f>'23'!J108</f>
        <v>0.66281250000000014</v>
      </c>
      <c r="K31" s="61">
        <f>'23'!K108</f>
        <v>206.50104166666668</v>
      </c>
      <c r="L31" s="61">
        <f>'23'!L108</f>
        <v>27.473958333333339</v>
      </c>
      <c r="M31" s="61">
        <f>'23'!M108</f>
        <v>88.460312499999986</v>
      </c>
      <c r="N31" s="61">
        <f>'23'!N108</f>
        <v>190.13854166666673</v>
      </c>
      <c r="O31" s="61">
        <f>'23'!O108</f>
        <v>8.3333333333333332E-3</v>
      </c>
      <c r="P31" s="202">
        <f>'23'!P108</f>
        <v>0.54604166666666665</v>
      </c>
      <c r="Q31" s="61">
        <f>'23'!Q108</f>
        <v>9.6983333333333359</v>
      </c>
      <c r="R31" s="118"/>
      <c r="S31" s="207"/>
      <c r="T31" s="118"/>
      <c r="U31" s="118"/>
    </row>
    <row r="32" spans="1:21" x14ac:dyDescent="0.25">
      <c r="A32" s="94" t="str">
        <f>'24'!$B$2</f>
        <v>24/09/2024 00:15</v>
      </c>
      <c r="B32" s="61">
        <f>'24'!B108</f>
        <v>4.2394791666666674</v>
      </c>
      <c r="C32" s="61">
        <f>'24'!C108</f>
        <v>3.1580208333333348</v>
      </c>
      <c r="D32" s="61">
        <f>'24'!D108</f>
        <v>7.2394791666666656</v>
      </c>
      <c r="E32" s="61">
        <f>'24'!E108</f>
        <v>4.6452083333333345</v>
      </c>
      <c r="F32" s="61">
        <f>'24'!F108</f>
        <v>4.0819791666666676</v>
      </c>
      <c r="G32" s="61">
        <f>'24'!G108</f>
        <v>30.911562499999999</v>
      </c>
      <c r="H32" s="61">
        <f>'24'!H108</f>
        <v>14.483229166666669</v>
      </c>
      <c r="I32" s="61">
        <f>'24'!I108</f>
        <v>4.0254166666666675</v>
      </c>
      <c r="J32" s="61">
        <f>'24'!J108</f>
        <v>0.72458333333333336</v>
      </c>
      <c r="K32" s="61">
        <f>'24'!K108</f>
        <v>193.70218750000001</v>
      </c>
      <c r="L32" s="61">
        <f>'24'!L108</f>
        <v>25.322187500000009</v>
      </c>
      <c r="M32" s="61">
        <f>'24'!M108</f>
        <v>94.505312500000073</v>
      </c>
      <c r="N32" s="61">
        <f>'24'!N108</f>
        <v>133.90520833333338</v>
      </c>
      <c r="O32" s="61">
        <f>'24'!O108</f>
        <v>8.1250000000000017E-2</v>
      </c>
      <c r="P32" s="202">
        <f>'24'!P108</f>
        <v>0.51854166666666657</v>
      </c>
      <c r="Q32" s="61">
        <f>'24'!Q108</f>
        <v>9.6969791666666705</v>
      </c>
      <c r="R32" s="118"/>
      <c r="S32" s="118"/>
      <c r="T32" s="118"/>
      <c r="U32" s="118"/>
    </row>
    <row r="33" spans="1:21" x14ac:dyDescent="0.25">
      <c r="A33" s="94" t="str">
        <f>'25'!$B$2</f>
        <v>25/09/2024 00:15</v>
      </c>
      <c r="B33" s="61">
        <f>'25'!B108</f>
        <v>6.5534042553191512</v>
      </c>
      <c r="C33" s="61">
        <f>'25'!C108</f>
        <v>9.1607446808510655</v>
      </c>
      <c r="D33" s="61">
        <f>'25'!D108</f>
        <v>11.202127659574463</v>
      </c>
      <c r="E33" s="61">
        <f>'25'!E108</f>
        <v>4.3530208333333329</v>
      </c>
      <c r="F33" s="61">
        <f>'25'!F108</f>
        <v>3.8705208333333334</v>
      </c>
      <c r="G33" s="61">
        <f>'25'!G108</f>
        <v>31.81375000000001</v>
      </c>
      <c r="H33" s="61">
        <f>'25'!H108</f>
        <v>13.881770833333329</v>
      </c>
      <c r="I33" s="61">
        <f>'25'!I108</f>
        <v>3.5258333333333347</v>
      </c>
      <c r="J33" s="61">
        <f>'25'!J108</f>
        <v>0.50583333333333347</v>
      </c>
      <c r="K33" s="61">
        <f>'25'!K108</f>
        <v>173.31531250000003</v>
      </c>
      <c r="L33" s="61">
        <f>'25'!L108</f>
        <v>25.457604166666659</v>
      </c>
      <c r="M33" s="61">
        <f>'25'!M108</f>
        <v>99.812604166666702</v>
      </c>
      <c r="N33" s="61">
        <f>'25'!N108</f>
        <v>91.228125000000077</v>
      </c>
      <c r="O33" s="61">
        <f>'25'!O108</f>
        <v>0</v>
      </c>
      <c r="P33" s="202">
        <f>'25'!P108</f>
        <v>0.59583333333333355</v>
      </c>
      <c r="Q33" s="61">
        <f>'25'!Q108</f>
        <v>9.557191011235961</v>
      </c>
      <c r="R33" s="118"/>
      <c r="S33" s="207"/>
      <c r="T33" s="118"/>
      <c r="U33" s="118"/>
    </row>
    <row r="34" spans="1:21" x14ac:dyDescent="0.25">
      <c r="A34" s="94" t="str">
        <f>'26'!$B$2</f>
        <v>26/09/2024 00:15</v>
      </c>
      <c r="B34" s="61">
        <f>'26'!B108</f>
        <v>5.2943750000000014</v>
      </c>
      <c r="C34" s="61">
        <f>'26'!C108</f>
        <v>5.3801041666666682</v>
      </c>
      <c r="D34" s="61">
        <f>'26'!D108</f>
        <v>7.0562499999999995</v>
      </c>
      <c r="E34" s="61">
        <f>'26'!E108</f>
        <v>4.5794791666666681</v>
      </c>
      <c r="F34" s="61">
        <f>'26'!F108</f>
        <v>3.4915624999999988</v>
      </c>
      <c r="G34" s="61">
        <f>'26'!G108</f>
        <v>16.070312499999996</v>
      </c>
      <c r="H34" s="61">
        <f>'26'!H108</f>
        <v>8.3992708333333237</v>
      </c>
      <c r="I34" s="61">
        <f>'26'!I108</f>
        <v>3.2804166666666656</v>
      </c>
      <c r="J34" s="61">
        <f>'26'!J108</f>
        <v>0.69270833333333315</v>
      </c>
      <c r="K34" s="61">
        <f>'26'!K108</f>
        <v>162.38218750000001</v>
      </c>
      <c r="L34" s="61">
        <f>'26'!L108</f>
        <v>24.61291666666666</v>
      </c>
      <c r="M34" s="61">
        <f>'26'!M108</f>
        <v>100.02958333333338</v>
      </c>
      <c r="N34" s="61">
        <f>'26'!N108</f>
        <v>89.617708333333383</v>
      </c>
      <c r="O34" s="61">
        <f>'26'!O108</f>
        <v>5.4166666666666689E-2</v>
      </c>
      <c r="P34" s="202">
        <f>'26'!P108</f>
        <v>0.41979166666666673</v>
      </c>
      <c r="Q34" s="61">
        <f>'26'!Q108</f>
        <v>9.6141666666666747</v>
      </c>
      <c r="R34" s="118"/>
      <c r="S34" s="118"/>
      <c r="T34" s="118"/>
      <c r="U34" s="118"/>
    </row>
    <row r="35" spans="1:21" x14ac:dyDescent="0.25">
      <c r="A35" s="94" t="str">
        <f>'27'!$B$2</f>
        <v>27/09/2024 00:15</v>
      </c>
      <c r="B35" s="61">
        <f>'27'!B108</f>
        <v>5.029120879120879</v>
      </c>
      <c r="C35" s="61">
        <f>'27'!C108</f>
        <v>6.7086813186813163</v>
      </c>
      <c r="D35" s="61">
        <f>'27'!D108</f>
        <v>7.6286813186813163</v>
      </c>
      <c r="E35" s="61">
        <f>'27'!E108</f>
        <v>4.2254945054945052</v>
      </c>
      <c r="F35" s="61">
        <f>'27'!F108</f>
        <v>4.3304166666666655</v>
      </c>
      <c r="G35" s="61">
        <f>'27'!G108</f>
        <v>15.273580246913578</v>
      </c>
      <c r="H35" s="61">
        <f>'27'!H108</f>
        <v>4.4576344086021518</v>
      </c>
      <c r="I35" s="61">
        <f>'27'!I108</f>
        <v>2.6664583333333329</v>
      </c>
      <c r="J35" s="61">
        <f>'27'!J108</f>
        <v>0.6606249999999998</v>
      </c>
      <c r="K35" s="61">
        <f>'27'!K108</f>
        <v>128.91385416666671</v>
      </c>
      <c r="L35" s="61">
        <f>'27'!L108</f>
        <v>25.937708333333333</v>
      </c>
      <c r="M35" s="61">
        <f>'27'!M108</f>
        <v>96.544583333333307</v>
      </c>
      <c r="N35" s="61">
        <f>'27'!N108</f>
        <v>148.51458333333343</v>
      </c>
      <c r="O35" s="61">
        <f>'27'!O108</f>
        <v>1.2499999999999999E-2</v>
      </c>
      <c r="P35" s="202">
        <f>'27'!P108</f>
        <v>0.31822916666666656</v>
      </c>
      <c r="Q35" s="61">
        <f>'27'!Q108</f>
        <v>9.6113541666666773</v>
      </c>
      <c r="R35" s="118"/>
      <c r="S35" s="118"/>
      <c r="T35" s="118"/>
      <c r="U35" s="118"/>
    </row>
    <row r="36" spans="1:21" x14ac:dyDescent="0.25">
      <c r="A36" s="94" t="str">
        <f>'28'!$B$2</f>
        <v>28/09/2024 00:15</v>
      </c>
      <c r="B36" s="61">
        <f>'28'!B108</f>
        <v>5.589999999999999</v>
      </c>
      <c r="C36" s="61">
        <f>'28'!C108</f>
        <v>5.9917708333333346</v>
      </c>
      <c r="D36" s="61">
        <f>'28'!D108</f>
        <v>7.612708333333333</v>
      </c>
      <c r="E36" s="61">
        <f>'28'!E108</f>
        <v>4.5958333333333306</v>
      </c>
      <c r="F36" s="61">
        <f>'28'!F108</f>
        <v>4.3031250000000023</v>
      </c>
      <c r="G36" s="61">
        <f>'28'!G108</f>
        <v>18.669687499999991</v>
      </c>
      <c r="H36" s="61">
        <f>'28'!H108</f>
        <v>4.7495833333333346</v>
      </c>
      <c r="I36" s="61">
        <f>'28'!I108</f>
        <v>2.4118749999999993</v>
      </c>
      <c r="J36" s="61">
        <f>'28'!J108</f>
        <v>0.56989583333333316</v>
      </c>
      <c r="K36" s="61">
        <f>'28'!K108</f>
        <v>115.63093750000003</v>
      </c>
      <c r="L36" s="61">
        <f>'28'!L108</f>
        <v>26.859791666666666</v>
      </c>
      <c r="M36" s="61">
        <f>'28'!M108</f>
        <v>89.986562499999948</v>
      </c>
      <c r="N36" s="61">
        <f>'28'!N108</f>
        <v>178.71770833333312</v>
      </c>
      <c r="O36" s="61">
        <f>'28'!O108</f>
        <v>0</v>
      </c>
      <c r="P36" s="202">
        <f>'28'!P108</f>
        <v>0.34125</v>
      </c>
      <c r="Q36" s="61">
        <f>'28'!Q108</f>
        <v>9.6131250000000072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29/09/2024 00:15</v>
      </c>
      <c r="B37" s="61">
        <f>'29'!B108</f>
        <v>4.9066666666666663</v>
      </c>
      <c r="C37" s="61">
        <f>'29'!C108</f>
        <v>5.8369791666666657</v>
      </c>
      <c r="D37" s="61">
        <f>'29'!D108</f>
        <v>6.9847916666666663</v>
      </c>
      <c r="E37" s="61">
        <f>'29'!E108</f>
        <v>4.7009374999999975</v>
      </c>
      <c r="F37" s="61">
        <f>'29'!F108</f>
        <v>4.2884374999999997</v>
      </c>
      <c r="G37" s="61">
        <f>'29'!G108</f>
        <v>23.884166666666658</v>
      </c>
      <c r="H37" s="61">
        <f>'29'!H108</f>
        <v>9.9224999999999994</v>
      </c>
      <c r="I37" s="61">
        <f>'29'!I108</f>
        <v>1.8832291666666672</v>
      </c>
      <c r="J37" s="61">
        <f>'29'!J108</f>
        <v>0.36812499999999987</v>
      </c>
      <c r="K37" s="61">
        <f>'29'!K108</f>
        <v>159.9145833333333</v>
      </c>
      <c r="L37" s="61">
        <f>'29'!L108</f>
        <v>27.831041666666675</v>
      </c>
      <c r="M37" s="61">
        <f>'29'!M108</f>
        <v>88.496562500000039</v>
      </c>
      <c r="N37" s="61">
        <f>'29'!N108</f>
        <v>183.39062499999974</v>
      </c>
      <c r="O37" s="61">
        <f>'29'!O108</f>
        <v>0</v>
      </c>
      <c r="P37" s="202">
        <f>'29'!P108</f>
        <v>0.37552083333333325</v>
      </c>
      <c r="Q37" s="61">
        <f>'29'!Q108</f>
        <v>9.6089583333333444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30/09/2024 00:15</v>
      </c>
      <c r="B38" s="61">
        <f>'30'!B108</f>
        <v>4.7419791666666651</v>
      </c>
      <c r="C38" s="61">
        <f>'30'!C108</f>
        <v>7.0149999999999979</v>
      </c>
      <c r="D38" s="61">
        <f>'30'!D108</f>
        <v>7.4678125000000035</v>
      </c>
      <c r="E38" s="61">
        <f>'30'!E108</f>
        <v>5.2514583333333311</v>
      </c>
      <c r="F38" s="61">
        <f>'30'!F108</f>
        <v>4.2364583333333332</v>
      </c>
      <c r="G38" s="61">
        <f>'30'!G108</f>
        <v>32.110729166666665</v>
      </c>
      <c r="H38" s="61">
        <f>'30'!H108</f>
        <v>15.558124999999997</v>
      </c>
      <c r="I38" s="61">
        <f>'30'!I108</f>
        <v>1.9315384615384619</v>
      </c>
      <c r="J38" s="61">
        <f>'30'!J108</f>
        <v>0.38031250000000022</v>
      </c>
      <c r="K38" s="61">
        <f>'30'!K108</f>
        <v>204.30583333333331</v>
      </c>
      <c r="L38" s="61">
        <f>'30'!L108</f>
        <v>28.459270833333321</v>
      </c>
      <c r="M38" s="61">
        <f>'30'!M108</f>
        <v>88.076250000000002</v>
      </c>
      <c r="N38" s="61">
        <f>'30'!N108</f>
        <v>196.65208333333305</v>
      </c>
      <c r="O38" s="61">
        <f>'30'!O108</f>
        <v>0</v>
      </c>
      <c r="P38" s="202">
        <f>'30'!P108</f>
        <v>0.44635416666666644</v>
      </c>
      <c r="Q38" s="61">
        <f>'30'!Q108</f>
        <v>9.6114583333333439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4.2394791666666674</v>
      </c>
      <c r="C40" s="16">
        <f t="shared" si="0"/>
        <v>2.8139583333333333</v>
      </c>
      <c r="D40" s="16">
        <f t="shared" si="0"/>
        <v>6.9847916666666663</v>
      </c>
      <c r="E40" s="16">
        <f t="shared" si="0"/>
        <v>3.5459375000000004</v>
      </c>
      <c r="F40" s="16">
        <f t="shared" si="0"/>
        <v>3.4915624999999988</v>
      </c>
      <c r="G40" s="16">
        <f t="shared" si="0"/>
        <v>8.0287500000000005</v>
      </c>
      <c r="H40" s="16">
        <f t="shared" si="0"/>
        <v>3.0460416666666679</v>
      </c>
      <c r="I40" s="16">
        <f t="shared" si="0"/>
        <v>1.1744791666666667</v>
      </c>
      <c r="J40" s="16">
        <f t="shared" si="0"/>
        <v>0.13187500000000005</v>
      </c>
      <c r="K40" s="16">
        <f t="shared" si="0"/>
        <v>113.39812499999995</v>
      </c>
      <c r="L40" s="16">
        <f t="shared" si="0"/>
        <v>24.61291666666666</v>
      </c>
      <c r="M40" s="16">
        <f t="shared" si="0"/>
        <v>81.887083333333337</v>
      </c>
      <c r="N40" s="16">
        <f t="shared" si="0"/>
        <v>79.492708333333354</v>
      </c>
      <c r="O40" s="16">
        <f t="shared" si="0"/>
        <v>0</v>
      </c>
      <c r="P40" s="16">
        <f t="shared" si="0"/>
        <v>0.29145833333333343</v>
      </c>
      <c r="Q40" s="16">
        <f t="shared" si="0"/>
        <v>9.2080208333333307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8.3051041666666769</v>
      </c>
      <c r="C41" s="16">
        <f t="shared" si="1"/>
        <v>9.1607446808510655</v>
      </c>
      <c r="D41" s="16">
        <f t="shared" si="1"/>
        <v>12.324583333333338</v>
      </c>
      <c r="E41" s="16">
        <f t="shared" si="1"/>
        <v>6.6718749999999956</v>
      </c>
      <c r="F41" s="16">
        <f t="shared" si="1"/>
        <v>5.4755208333333343</v>
      </c>
      <c r="G41" s="16">
        <f t="shared" si="1"/>
        <v>100.48812500000001</v>
      </c>
      <c r="H41" s="16">
        <f t="shared" si="1"/>
        <v>55.616451612903212</v>
      </c>
      <c r="I41" s="16">
        <f t="shared" si="1"/>
        <v>6.1856250000000008</v>
      </c>
      <c r="J41" s="16">
        <f t="shared" si="1"/>
        <v>1.4613541666666663</v>
      </c>
      <c r="K41" s="16">
        <f t="shared" si="1"/>
        <v>331.26812499999988</v>
      </c>
      <c r="L41" s="16">
        <f t="shared" si="1"/>
        <v>29.076354166666658</v>
      </c>
      <c r="M41" s="16">
        <f t="shared" si="1"/>
        <v>101.7355208333333</v>
      </c>
      <c r="N41" s="16">
        <f t="shared" si="1"/>
        <v>233.36249999999995</v>
      </c>
      <c r="O41" s="16">
        <f t="shared" si="1"/>
        <v>0.61666666666666681</v>
      </c>
      <c r="P41" s="16">
        <f t="shared" si="1"/>
        <v>0.96072916666666686</v>
      </c>
      <c r="Q41" s="16">
        <f t="shared" si="1"/>
        <v>10.394895833333335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5.9146675044813355</v>
      </c>
      <c r="C42" s="16">
        <f t="shared" si="2"/>
        <v>3.8376232277621907</v>
      </c>
      <c r="D42" s="16">
        <f t="shared" si="2"/>
        <v>9.1446589103863047</v>
      </c>
      <c r="E42" s="16">
        <f t="shared" si="2"/>
        <v>4.3899689996264506</v>
      </c>
      <c r="F42" s="16">
        <f t="shared" si="2"/>
        <v>4.1607152777777783</v>
      </c>
      <c r="G42" s="16">
        <f t="shared" si="2"/>
        <v>37.359357284558428</v>
      </c>
      <c r="H42" s="16">
        <f t="shared" si="2"/>
        <v>15.770455675214293</v>
      </c>
      <c r="I42" s="16">
        <f t="shared" si="2"/>
        <v>3.2681554487179487</v>
      </c>
      <c r="J42" s="16">
        <f t="shared" si="2"/>
        <v>0.55825347222222221</v>
      </c>
      <c r="K42" s="16">
        <f t="shared" si="2"/>
        <v>219.94025347222217</v>
      </c>
      <c r="L42" s="16">
        <f t="shared" si="2"/>
        <v>27.218843750000008</v>
      </c>
      <c r="M42" s="16">
        <f t="shared" si="2"/>
        <v>91.813420138888887</v>
      </c>
      <c r="N42" s="16">
        <f t="shared" si="2"/>
        <v>156.63281250000003</v>
      </c>
      <c r="O42" s="16">
        <f t="shared" si="2"/>
        <v>7.6736111111111102E-2</v>
      </c>
      <c r="P42" s="16">
        <f t="shared" si="2"/>
        <v>0.48212847222222222</v>
      </c>
      <c r="Q42" s="16">
        <f t="shared" si="2"/>
        <v>9.685451505930093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1.7279358923868311</v>
      </c>
      <c r="C43" s="16">
        <f t="shared" si="3"/>
        <v>1.5585613152793247</v>
      </c>
      <c r="D43" s="16">
        <f t="shared" si="3"/>
        <v>2.2234852684776114</v>
      </c>
      <c r="E43" s="16">
        <f t="shared" si="3"/>
        <v>0.53217308932953489</v>
      </c>
      <c r="F43" s="16">
        <f t="shared" si="3"/>
        <v>0.53507358714871289</v>
      </c>
      <c r="G43" s="16">
        <f t="shared" si="3"/>
        <v>19.906435134641168</v>
      </c>
      <c r="H43" s="16">
        <f t="shared" si="3"/>
        <v>10.680957933496311</v>
      </c>
      <c r="I43" s="16">
        <f t="shared" si="3"/>
        <v>1.4044073504579224</v>
      </c>
      <c r="J43" s="16">
        <f t="shared" si="3"/>
        <v>0.30323133859210888</v>
      </c>
      <c r="K43" s="16">
        <f t="shared" si="3"/>
        <v>64.408007861995301</v>
      </c>
      <c r="L43" s="16">
        <f t="shared" si="3"/>
        <v>1.3680777683942036</v>
      </c>
      <c r="M43" s="16">
        <f t="shared" si="3"/>
        <v>4.9125636996533117</v>
      </c>
      <c r="N43" s="16">
        <f t="shared" si="3"/>
        <v>36.914308406380272</v>
      </c>
      <c r="O43" s="16">
        <f t="shared" si="3"/>
        <v>0.16591973732896545</v>
      </c>
      <c r="P43" s="16">
        <f t="shared" si="3"/>
        <v>0.14314157766799859</v>
      </c>
      <c r="Q43" s="16">
        <f t="shared" si="3"/>
        <v>0.20466250163269148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133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H70" sqref="H7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2" t="s">
        <v>226</v>
      </c>
      <c r="E1" s="222"/>
      <c r="F1" s="222"/>
      <c r="G1" s="222"/>
      <c r="H1" s="222"/>
      <c r="I1" s="222"/>
      <c r="J1" s="223"/>
    </row>
    <row r="2" spans="2:24" ht="22.5" customHeight="1" thickBot="1" x14ac:dyDescent="0.3">
      <c r="B2" s="54"/>
      <c r="C2" s="111" t="s">
        <v>0</v>
      </c>
      <c r="D2" s="112" t="s">
        <v>224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1" t="s">
        <v>1</v>
      </c>
      <c r="H5" s="221"/>
      <c r="I5" s="40"/>
      <c r="J5" s="40"/>
      <c r="K5" s="40"/>
      <c r="L5" s="40"/>
      <c r="M5" s="41"/>
      <c r="O5" s="68"/>
      <c r="P5" s="69"/>
      <c r="Q5" s="69"/>
      <c r="R5" s="69"/>
      <c r="S5" s="208" t="s">
        <v>221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45539.510416666664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199.14</v>
      </c>
      <c r="I8" s="60">
        <v>0</v>
      </c>
      <c r="J8" s="61">
        <f>F8/H8</f>
        <v>1.0043185698503565</v>
      </c>
      <c r="K8" s="61">
        <f>(H8-F8)*100/F8</f>
        <v>-0.43000000000000682</v>
      </c>
      <c r="L8" s="60" t="s">
        <v>67</v>
      </c>
      <c r="M8" s="78" t="s">
        <v>216</v>
      </c>
      <c r="O8" s="63">
        <v>45539.467361111114</v>
      </c>
      <c r="P8" s="64" t="s">
        <v>70</v>
      </c>
      <c r="Q8" s="64">
        <v>5094.75</v>
      </c>
      <c r="R8" s="64">
        <v>3919.01</v>
      </c>
      <c r="S8" s="77" t="s">
        <v>1493</v>
      </c>
      <c r="T8" s="77">
        <v>826.69</v>
      </c>
      <c r="U8" s="86">
        <v>0.93489999999999995</v>
      </c>
      <c r="V8" s="86">
        <v>0.95</v>
      </c>
      <c r="W8" s="60" t="s">
        <v>67</v>
      </c>
      <c r="X8" s="78" t="s">
        <v>216</v>
      </c>
    </row>
    <row r="9" spans="2:24" ht="15.75" x14ac:dyDescent="0.25">
      <c r="B9" s="63">
        <v>45547.53125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201.4</v>
      </c>
      <c r="I9" s="60">
        <v>0</v>
      </c>
      <c r="J9" s="61">
        <f t="shared" ref="J9:J14" si="0">F9/H9</f>
        <v>0.99304865938430975</v>
      </c>
      <c r="K9" s="61">
        <f t="shared" ref="K9:K14" si="1">(H9-F9)*100/F9</f>
        <v>0.70000000000000284</v>
      </c>
      <c r="L9" s="60" t="s">
        <v>67</v>
      </c>
      <c r="M9" s="62" t="s">
        <v>216</v>
      </c>
      <c r="O9" s="63">
        <v>45547.480555555558</v>
      </c>
      <c r="P9" s="64" t="s">
        <v>70</v>
      </c>
      <c r="Q9" s="64">
        <v>4512.42</v>
      </c>
      <c r="R9" s="64">
        <v>3425.91</v>
      </c>
      <c r="S9" s="77" t="s">
        <v>1493</v>
      </c>
      <c r="T9" s="77">
        <v>830.52</v>
      </c>
      <c r="U9" s="86">
        <v>0.88670000000000004</v>
      </c>
      <c r="V9" s="86">
        <v>0.89139999999999997</v>
      </c>
      <c r="W9" s="60" t="s">
        <v>67</v>
      </c>
      <c r="X9" s="62" t="s">
        <v>216</v>
      </c>
    </row>
    <row r="10" spans="2:24" ht="15.75" x14ac:dyDescent="0.25">
      <c r="B10" s="63">
        <v>45562.53125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198.26</v>
      </c>
      <c r="I10" s="60">
        <v>0</v>
      </c>
      <c r="J10" s="61">
        <f t="shared" si="0"/>
        <v>1.0087763542822556</v>
      </c>
      <c r="K10" s="61">
        <f t="shared" si="1"/>
        <v>-0.87000000000000455</v>
      </c>
      <c r="L10" s="60" t="s">
        <v>67</v>
      </c>
      <c r="M10" s="62" t="s">
        <v>216</v>
      </c>
      <c r="O10" s="63">
        <v>45562.474305555559</v>
      </c>
      <c r="P10" s="64" t="s">
        <v>70</v>
      </c>
      <c r="Q10" s="64">
        <v>4941.24</v>
      </c>
      <c r="R10" s="64">
        <v>3632.51</v>
      </c>
      <c r="S10" s="77" t="s">
        <v>1493</v>
      </c>
      <c r="T10" s="77">
        <v>831.24</v>
      </c>
      <c r="U10" s="86">
        <v>0.90910000000000002</v>
      </c>
      <c r="V10" s="86">
        <v>0.89980000000000004</v>
      </c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1493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1493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9" t="s">
        <v>25</v>
      </c>
      <c r="D21" s="219"/>
      <c r="E21" s="219"/>
      <c r="F21" s="219"/>
      <c r="G21" s="219"/>
      <c r="H21" s="219"/>
      <c r="I21" s="45">
        <f>COUNT(B8:B20)</f>
        <v>3</v>
      </c>
      <c r="J21" s="46"/>
      <c r="K21" s="46"/>
      <c r="L21" s="47"/>
      <c r="M21" s="48"/>
      <c r="O21" s="80"/>
      <c r="P21" s="218" t="s">
        <v>84</v>
      </c>
      <c r="Q21" s="218"/>
      <c r="R21" s="218"/>
      <c r="S21" s="218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0" t="s">
        <v>2</v>
      </c>
      <c r="H24" s="220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45562.583333333336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202.16</v>
      </c>
      <c r="I27" s="60">
        <v>0</v>
      </c>
      <c r="J27" s="61">
        <f>F27/H27</f>
        <v>0.98931539374752675</v>
      </c>
      <c r="K27" s="61">
        <f>(H27-F27)*100/F27</f>
        <v>1.0799999999999983</v>
      </c>
      <c r="L27" s="60" t="s">
        <v>67</v>
      </c>
      <c r="M27" s="78" t="s">
        <v>216</v>
      </c>
      <c r="O27" s="63">
        <v>45539.53125</v>
      </c>
      <c r="P27" s="64" t="s">
        <v>71</v>
      </c>
      <c r="Q27" s="64">
        <v>4951.96</v>
      </c>
      <c r="R27" s="64">
        <v>3900.55</v>
      </c>
      <c r="S27" s="77" t="s">
        <v>1494</v>
      </c>
      <c r="T27" s="77">
        <v>800.88</v>
      </c>
      <c r="U27" s="86">
        <v>0.99790000000000001</v>
      </c>
      <c r="V27" s="86">
        <v>1.0043</v>
      </c>
      <c r="W27" s="60" t="s">
        <v>67</v>
      </c>
      <c r="X27" s="78" t="s">
        <v>216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222</v>
      </c>
      <c r="O28" s="63">
        <v>45547.724305555559</v>
      </c>
      <c r="P28" s="64" t="s">
        <v>71</v>
      </c>
      <c r="Q28" s="64">
        <v>4926.4399999999996</v>
      </c>
      <c r="R28" s="64">
        <v>3736.5</v>
      </c>
      <c r="S28" s="77" t="s">
        <v>1494</v>
      </c>
      <c r="T28" s="77">
        <v>845.45</v>
      </c>
      <c r="U28" s="86">
        <v>0.90249999999999997</v>
      </c>
      <c r="V28" s="86">
        <v>0.9042</v>
      </c>
      <c r="W28" s="60" t="s">
        <v>67</v>
      </c>
      <c r="X28" s="62" t="s">
        <v>216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223</v>
      </c>
      <c r="O29" s="63">
        <v>45562.474305555559</v>
      </c>
      <c r="P29" s="64" t="s">
        <v>71</v>
      </c>
      <c r="Q29" s="64">
        <v>4851.21</v>
      </c>
      <c r="R29" s="64">
        <v>3528.46</v>
      </c>
      <c r="S29" s="77" t="s">
        <v>1494</v>
      </c>
      <c r="T29" s="77">
        <v>841.61</v>
      </c>
      <c r="U29" s="86">
        <v>0.92810000000000004</v>
      </c>
      <c r="V29" s="86">
        <v>0.91890000000000005</v>
      </c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223</v>
      </c>
      <c r="O30" s="63"/>
      <c r="P30" s="64" t="s">
        <v>71</v>
      </c>
      <c r="Q30" s="64"/>
      <c r="R30" s="64"/>
      <c r="S30" s="77" t="s">
        <v>1494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8" t="s">
        <v>85</v>
      </c>
      <c r="Q40" s="218"/>
      <c r="R40" s="218"/>
      <c r="S40" s="218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9" t="s">
        <v>26</v>
      </c>
      <c r="E41" s="219"/>
      <c r="F41" s="219"/>
      <c r="G41" s="219"/>
      <c r="H41" s="219"/>
      <c r="I41" s="219"/>
      <c r="J41" s="52">
        <f>COUNT(B27:B39)</f>
        <v>1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0" t="s">
        <v>23</v>
      </c>
      <c r="H44" s="220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222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9" t="s">
        <v>27</v>
      </c>
      <c r="E61" s="219"/>
      <c r="F61" s="219"/>
      <c r="G61" s="219"/>
      <c r="H61" s="219"/>
      <c r="I61" s="219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0" t="s">
        <v>3</v>
      </c>
      <c r="H64" s="220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45539.55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222</v>
      </c>
    </row>
    <row r="68" spans="2:13" ht="15.75" x14ac:dyDescent="0.25">
      <c r="B68" s="63">
        <v>45547.561805555553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4.99</v>
      </c>
      <c r="I68" s="60">
        <v>0</v>
      </c>
      <c r="J68" s="61">
        <f t="shared" ref="J68:J73" si="4">F68/H68</f>
        <v>1.002004008016032</v>
      </c>
      <c r="K68" s="61">
        <f t="shared" ref="K68:K73" si="5">(H68-F68)*100/F68</f>
        <v>-0.19999999999999574</v>
      </c>
      <c r="L68" s="60" t="s">
        <v>67</v>
      </c>
      <c r="M68" s="62" t="s">
        <v>223</v>
      </c>
    </row>
    <row r="69" spans="2:13" ht="15.75" x14ac:dyDescent="0.25">
      <c r="B69" s="63">
        <v>45562.595833333333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5.62</v>
      </c>
      <c r="I69" s="60">
        <v>0</v>
      </c>
      <c r="J69" s="61">
        <f t="shared" si="4"/>
        <v>0.88967971530249113</v>
      </c>
      <c r="K69" s="61">
        <f t="shared" si="5"/>
        <v>12.400000000000002</v>
      </c>
      <c r="L69" s="60" t="s">
        <v>67</v>
      </c>
      <c r="M69" s="62" t="s">
        <v>223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223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9" t="s">
        <v>28</v>
      </c>
      <c r="E81" s="219"/>
      <c r="F81" s="219"/>
      <c r="G81" s="219"/>
      <c r="H81" s="219"/>
      <c r="I81" s="219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0" t="s">
        <v>24</v>
      </c>
      <c r="H84" s="220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9" t="s">
        <v>29</v>
      </c>
      <c r="E101" s="219"/>
      <c r="F101" s="219"/>
      <c r="G101" s="219"/>
      <c r="H101" s="219"/>
      <c r="I101" s="219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1" t="s">
        <v>4</v>
      </c>
      <c r="H104" s="221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222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223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223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223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9" t="s">
        <v>69</v>
      </c>
      <c r="D119" s="219"/>
      <c r="E119" s="219"/>
      <c r="F119" s="219"/>
      <c r="G119" s="219"/>
      <c r="H119" s="219"/>
      <c r="I119" s="52">
        <f>COUNT(B107:B118)</f>
        <v>0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4" t="s">
        <v>227</v>
      </c>
      <c r="C2" s="224"/>
      <c r="D2" s="225">
        <v>45017</v>
      </c>
      <c r="E2" s="225"/>
    </row>
    <row r="3" spans="1:5" x14ac:dyDescent="0.25">
      <c r="B3" s="224" t="s">
        <v>21</v>
      </c>
      <c r="C3" s="224"/>
      <c r="D3" s="225"/>
      <c r="E3" s="225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6" t="s">
        <v>22</v>
      </c>
      <c r="C44" s="226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2" t="s">
        <v>220</v>
      </c>
      <c r="C2" s="242"/>
      <c r="D2" s="242"/>
      <c r="E2" s="242"/>
      <c r="F2" s="243">
        <v>44713</v>
      </c>
      <c r="G2" s="244"/>
      <c r="H2" s="244"/>
    </row>
    <row r="3" spans="2:24" s="12" customFormat="1" ht="15" customHeight="1" x14ac:dyDescent="0.25">
      <c r="B3" s="242"/>
      <c r="C3" s="242"/>
      <c r="D3" s="242"/>
      <c r="E3" s="242"/>
      <c r="F3" s="244"/>
      <c r="G3" s="244"/>
      <c r="H3" s="244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5" t="s">
        <v>4</v>
      </c>
      <c r="C12" s="247" t="s">
        <v>134</v>
      </c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127"/>
      <c r="U12" s="125"/>
    </row>
    <row r="13" spans="2:24" ht="15" customHeight="1" x14ac:dyDescent="0.25">
      <c r="B13" s="246"/>
      <c r="C13" s="128" t="s">
        <v>78</v>
      </c>
      <c r="D13" s="129" t="s">
        <v>83</v>
      </c>
      <c r="E13" s="129" t="s">
        <v>135</v>
      </c>
      <c r="F13" s="129" t="s">
        <v>217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46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6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46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46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6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7" t="s">
        <v>2</v>
      </c>
      <c r="C25" s="240" t="s">
        <v>134</v>
      </c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29"/>
      <c r="S25" s="188"/>
      <c r="T25" s="189"/>
    </row>
    <row r="26" spans="2:28" ht="15" customHeight="1" x14ac:dyDescent="0.3">
      <c r="B26" s="237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37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7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9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1" t="s">
        <v>3</v>
      </c>
      <c r="C36" s="233" t="s">
        <v>134</v>
      </c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4"/>
    </row>
    <row r="37" spans="2:25" ht="15.75" customHeight="1" x14ac:dyDescent="0.25">
      <c r="B37" s="232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2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2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2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5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6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36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6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36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7" t="s">
        <v>185</v>
      </c>
      <c r="C61" s="240" t="s">
        <v>134</v>
      </c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29"/>
      <c r="S61" s="166"/>
      <c r="T61" s="167"/>
    </row>
    <row r="62" spans="2:20" ht="15.75" x14ac:dyDescent="0.3">
      <c r="B62" s="237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38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38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9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7" t="s">
        <v>202</v>
      </c>
      <c r="C69" s="240" t="s">
        <v>134</v>
      </c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29"/>
      <c r="S69" s="166"/>
      <c r="T69" s="167"/>
    </row>
    <row r="70" spans="2:20" ht="15.75" x14ac:dyDescent="0.3">
      <c r="B70" s="237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37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38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9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27" t="s">
        <v>24</v>
      </c>
      <c r="C77" s="229" t="s">
        <v>134</v>
      </c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177"/>
      <c r="S77" s="177"/>
      <c r="T77" s="178"/>
    </row>
    <row r="78" spans="2:20" x14ac:dyDescent="0.25">
      <c r="B78" s="228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28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8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28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28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28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2024-11-18T11:51:54Z</dcterms:modified>
</cp:coreProperties>
</file>