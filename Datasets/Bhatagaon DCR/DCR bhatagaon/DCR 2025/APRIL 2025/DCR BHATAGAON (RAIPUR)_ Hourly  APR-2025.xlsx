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MONTHLY 30" sheetId="39" r:id="rId31"/>
  </sheets>
  <calcPr calcId="144525"/>
</workbook>
</file>

<file path=xl/calcChain.xml><?xml version="1.0" encoding="utf-8"?>
<calcChain xmlns="http://schemas.openxmlformats.org/spreadsheetml/2006/main">
  <c r="Q44" i="39" l="1"/>
  <c r="N17" i="39"/>
  <c r="O17" i="39"/>
  <c r="P17" i="39"/>
  <c r="N15" i="39"/>
  <c r="O15" i="39"/>
  <c r="P15" i="39"/>
  <c r="H38" i="19"/>
  <c r="G38" i="19"/>
  <c r="C38" i="19"/>
  <c r="D38" i="19"/>
  <c r="E38" i="19"/>
  <c r="B38" i="19"/>
  <c r="H38" i="16"/>
  <c r="Q38" i="12"/>
  <c r="Q38" i="11"/>
  <c r="P38" i="11"/>
  <c r="Q38" i="10"/>
  <c r="H38" i="9"/>
  <c r="H38" i="8"/>
  <c r="G38" i="3"/>
  <c r="H38" i="3"/>
  <c r="B2" i="20" l="1"/>
  <c r="N38" i="39"/>
  <c r="L38" i="39"/>
  <c r="D38" i="39"/>
  <c r="C38" i="39"/>
  <c r="O37" i="39"/>
  <c r="J37" i="39"/>
  <c r="H37" i="39"/>
  <c r="F37" i="39"/>
  <c r="D37" i="39"/>
  <c r="B37" i="39"/>
  <c r="E36" i="39"/>
  <c r="F35" i="39"/>
  <c r="G34" i="39"/>
  <c r="H33" i="39"/>
  <c r="I32" i="39"/>
  <c r="J31" i="39"/>
  <c r="K30" i="39"/>
  <c r="L29" i="39"/>
  <c r="M28" i="39"/>
  <c r="N27" i="39"/>
  <c r="O26" i="39"/>
  <c r="Q25" i="39"/>
  <c r="P25" i="39"/>
  <c r="A25" i="39"/>
  <c r="A23" i="39"/>
  <c r="E21" i="39"/>
  <c r="D21" i="39"/>
  <c r="F20" i="39"/>
  <c r="E20" i="39"/>
  <c r="G19" i="39"/>
  <c r="F19" i="39"/>
  <c r="H18" i="39"/>
  <c r="G18" i="39"/>
  <c r="I17" i="39"/>
  <c r="H17" i="39"/>
  <c r="K16" i="39"/>
  <c r="J16" i="39"/>
  <c r="I16" i="39"/>
  <c r="K15" i="39"/>
  <c r="J15" i="39"/>
  <c r="L14" i="39"/>
  <c r="K14" i="39"/>
  <c r="F14" i="39"/>
  <c r="D14" i="39"/>
  <c r="N12" i="39"/>
  <c r="M12" i="39"/>
  <c r="O11" i="39"/>
  <c r="N11" i="39"/>
  <c r="O10" i="39"/>
  <c r="J9" i="39"/>
  <c r="I9" i="39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L40" i="41" s="1"/>
  <c r="K38" i="41"/>
  <c r="K40" i="41" s="1"/>
  <c r="J38" i="41"/>
  <c r="J39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Q38" i="39" s="1"/>
  <c r="P36" i="41"/>
  <c r="P38" i="39" s="1"/>
  <c r="O36" i="41"/>
  <c r="O38" i="39" s="1"/>
  <c r="N36" i="41"/>
  <c r="M36" i="41"/>
  <c r="M38" i="39" s="1"/>
  <c r="L36" i="41"/>
  <c r="K36" i="41"/>
  <c r="K38" i="39" s="1"/>
  <c r="J36" i="41"/>
  <c r="J38" i="39" s="1"/>
  <c r="I36" i="41"/>
  <c r="I38" i="39" s="1"/>
  <c r="H36" i="41"/>
  <c r="H38" i="39" s="1"/>
  <c r="G36" i="41"/>
  <c r="G38" i="39" s="1"/>
  <c r="F36" i="41"/>
  <c r="F38" i="39" s="1"/>
  <c r="E36" i="41"/>
  <c r="E38" i="39" s="1"/>
  <c r="D36" i="41"/>
  <c r="C36" i="41"/>
  <c r="B36" i="41"/>
  <c r="B38" i="39" s="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A38" i="39" s="1"/>
  <c r="Q38" i="40"/>
  <c r="Q40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7" i="39" s="1"/>
  <c r="P36" i="40"/>
  <c r="P37" i="39" s="1"/>
  <c r="O36" i="40"/>
  <c r="N36" i="40"/>
  <c r="N37" i="39" s="1"/>
  <c r="M36" i="40"/>
  <c r="M37" i="39" s="1"/>
  <c r="L36" i="40"/>
  <c r="L37" i="39" s="1"/>
  <c r="K36" i="40"/>
  <c r="K37" i="39" s="1"/>
  <c r="J36" i="40"/>
  <c r="I36" i="40"/>
  <c r="I37" i="39" s="1"/>
  <c r="H36" i="40"/>
  <c r="G36" i="40"/>
  <c r="G37" i="39" s="1"/>
  <c r="F36" i="40"/>
  <c r="E36" i="40"/>
  <c r="E37" i="39" s="1"/>
  <c r="D36" i="40"/>
  <c r="C36" i="40"/>
  <c r="C37" i="39" s="1"/>
  <c r="B36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7" i="39" s="1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40" i="33" s="1"/>
  <c r="H38" i="33"/>
  <c r="H40" i="33" s="1"/>
  <c r="G38" i="33"/>
  <c r="G40" i="33" s="1"/>
  <c r="F38" i="33"/>
  <c r="F39" i="33" s="1"/>
  <c r="E38" i="33"/>
  <c r="E40" i="33" s="1"/>
  <c r="D38" i="33"/>
  <c r="D40" i="33" s="1"/>
  <c r="C38" i="33"/>
  <c r="C40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Q38" i="32"/>
  <c r="Q40" i="32" s="1"/>
  <c r="P38" i="32"/>
  <c r="P40" i="32" s="1"/>
  <c r="O38" i="32"/>
  <c r="O40" i="32" s="1"/>
  <c r="N38" i="32"/>
  <c r="N40" i="32" s="1"/>
  <c r="M38" i="32"/>
  <c r="M40" i="32" s="1"/>
  <c r="L38" i="32"/>
  <c r="L40" i="32" s="1"/>
  <c r="K38" i="32"/>
  <c r="K40" i="32" s="1"/>
  <c r="J38" i="32"/>
  <c r="J40" i="32" s="1"/>
  <c r="I38" i="32"/>
  <c r="I40" i="32" s="1"/>
  <c r="H38" i="32"/>
  <c r="H40" i="32" s="1"/>
  <c r="G38" i="32"/>
  <c r="G39" i="32" s="1"/>
  <c r="F38" i="32"/>
  <c r="F40" i="32" s="1"/>
  <c r="E38" i="32"/>
  <c r="E40" i="32" s="1"/>
  <c r="D38" i="32"/>
  <c r="D40" i="32" s="1"/>
  <c r="C38" i="32"/>
  <c r="C40" i="32" s="1"/>
  <c r="B38" i="32"/>
  <c r="B40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I40" i="31"/>
  <c r="I39" i="31"/>
  <c r="Q38" i="31"/>
  <c r="Q40" i="31" s="1"/>
  <c r="P38" i="31"/>
  <c r="P40" i="31" s="1"/>
  <c r="O38" i="31"/>
  <c r="O40" i="31" s="1"/>
  <c r="N38" i="31"/>
  <c r="N40" i="31" s="1"/>
  <c r="M38" i="31"/>
  <c r="M40" i="31" s="1"/>
  <c r="L38" i="31"/>
  <c r="L40" i="31" s="1"/>
  <c r="K38" i="31"/>
  <c r="K40" i="31" s="1"/>
  <c r="J38" i="31"/>
  <c r="J40" i="31" s="1"/>
  <c r="I38" i="3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J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40" i="30" s="1"/>
  <c r="G38" i="30"/>
  <c r="G40" i="30" s="1"/>
  <c r="F38" i="30"/>
  <c r="F40" i="30" s="1"/>
  <c r="E38" i="30"/>
  <c r="E40" i="30" s="1"/>
  <c r="D38" i="30"/>
  <c r="D40" i="30" s="1"/>
  <c r="C38" i="30"/>
  <c r="C40" i="30" s="1"/>
  <c r="B38" i="30"/>
  <c r="B40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J39" i="29"/>
  <c r="Q38" i="29"/>
  <c r="Q40" i="29" s="1"/>
  <c r="P38" i="29"/>
  <c r="P40" i="29" s="1"/>
  <c r="O38" i="29"/>
  <c r="O40" i="29" s="1"/>
  <c r="N38" i="29"/>
  <c r="N40" i="29" s="1"/>
  <c r="M38" i="29"/>
  <c r="M40" i="29" s="1"/>
  <c r="L38" i="29"/>
  <c r="L40" i="29" s="1"/>
  <c r="K38" i="29"/>
  <c r="K39" i="29" s="1"/>
  <c r="J38" i="29"/>
  <c r="J40" i="29" s="1"/>
  <c r="I38" i="29"/>
  <c r="I40" i="29" s="1"/>
  <c r="H38" i="29"/>
  <c r="H40" i="29" s="1"/>
  <c r="G38" i="29"/>
  <c r="G40" i="29" s="1"/>
  <c r="F38" i="29"/>
  <c r="F40" i="29" s="1"/>
  <c r="E38" i="29"/>
  <c r="E40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39" i="28" s="1"/>
  <c r="K38" i="28"/>
  <c r="K39" i="28" s="1"/>
  <c r="J38" i="28"/>
  <c r="J40" i="28" s="1"/>
  <c r="I38" i="28"/>
  <c r="I40" i="28" s="1"/>
  <c r="H38" i="28"/>
  <c r="H40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L39" i="27"/>
  <c r="Q38" i="27"/>
  <c r="Q40" i="27" s="1"/>
  <c r="P38" i="27"/>
  <c r="P40" i="27" s="1"/>
  <c r="O38" i="27"/>
  <c r="O40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Q38" i="26"/>
  <c r="Q40" i="26" s="1"/>
  <c r="P38" i="26"/>
  <c r="P40" i="26" s="1"/>
  <c r="O38" i="26"/>
  <c r="O40" i="26" s="1"/>
  <c r="N38" i="26"/>
  <c r="N40" i="26" s="1"/>
  <c r="M38" i="26"/>
  <c r="M40" i="26" s="1"/>
  <c r="L38" i="26"/>
  <c r="L40" i="26" s="1"/>
  <c r="K38" i="26"/>
  <c r="K40" i="26" s="1"/>
  <c r="J38" i="26"/>
  <c r="J40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40" i="26" s="1"/>
  <c r="B38" i="26"/>
  <c r="B40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Q38" i="25"/>
  <c r="Q40" i="25" s="1"/>
  <c r="P38" i="25"/>
  <c r="P40" i="25" s="1"/>
  <c r="O38" i="25"/>
  <c r="O40" i="25" s="1"/>
  <c r="N38" i="25"/>
  <c r="N39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40" i="25" s="1"/>
  <c r="B38" i="25"/>
  <c r="B40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Q38" i="24"/>
  <c r="Q40" i="24" s="1"/>
  <c r="P38" i="24"/>
  <c r="P40" i="24" s="1"/>
  <c r="O38" i="24"/>
  <c r="O40" i="24" s="1"/>
  <c r="N38" i="24"/>
  <c r="N40" i="24" s="1"/>
  <c r="M38" i="24"/>
  <c r="M40" i="24" s="1"/>
  <c r="L38" i="24"/>
  <c r="L40" i="24" s="1"/>
  <c r="K38" i="24"/>
  <c r="K40" i="24" s="1"/>
  <c r="J38" i="24"/>
  <c r="J40" i="24" s="1"/>
  <c r="I38" i="24"/>
  <c r="I40" i="24" s="1"/>
  <c r="H38" i="24"/>
  <c r="H40" i="24" s="1"/>
  <c r="G38" i="24"/>
  <c r="G40" i="24" s="1"/>
  <c r="F38" i="24"/>
  <c r="F40" i="24" s="1"/>
  <c r="E38" i="24"/>
  <c r="E40" i="24" s="1"/>
  <c r="D38" i="24"/>
  <c r="D40" i="24" s="1"/>
  <c r="C38" i="24"/>
  <c r="C40" i="24" s="1"/>
  <c r="B38" i="24"/>
  <c r="B40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Q38" i="23"/>
  <c r="Q39" i="23" s="1"/>
  <c r="P38" i="23"/>
  <c r="P40" i="23" s="1"/>
  <c r="O38" i="23"/>
  <c r="O40" i="23" s="1"/>
  <c r="N38" i="23"/>
  <c r="N40" i="23" s="1"/>
  <c r="M38" i="23"/>
  <c r="M40" i="23" s="1"/>
  <c r="L38" i="23"/>
  <c r="L40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40" i="23" s="1"/>
  <c r="C38" i="23"/>
  <c r="C40" i="23" s="1"/>
  <c r="B38" i="23"/>
  <c r="B40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Q38" i="22"/>
  <c r="Q40" i="22" s="1"/>
  <c r="P38" i="22"/>
  <c r="P39" i="22" s="1"/>
  <c r="O38" i="22"/>
  <c r="O39" i="22" s="1"/>
  <c r="N38" i="22"/>
  <c r="N40" i="22" s="1"/>
  <c r="M38" i="22"/>
  <c r="M40" i="22" s="1"/>
  <c r="L38" i="22"/>
  <c r="L40" i="22" s="1"/>
  <c r="K38" i="22"/>
  <c r="K40" i="22" s="1"/>
  <c r="J38" i="22"/>
  <c r="J40" i="22" s="1"/>
  <c r="I38" i="22"/>
  <c r="I40" i="22" s="1"/>
  <c r="H38" i="22"/>
  <c r="H40" i="22" s="1"/>
  <c r="G38" i="22"/>
  <c r="G40" i="22" s="1"/>
  <c r="F38" i="22"/>
  <c r="F40" i="22" s="1"/>
  <c r="E38" i="22"/>
  <c r="E40" i="22" s="1"/>
  <c r="D38" i="22"/>
  <c r="D40" i="22" s="1"/>
  <c r="C38" i="22"/>
  <c r="C40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P36" i="22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Q38" i="21"/>
  <c r="Q39" i="21" s="1"/>
  <c r="P38" i="21"/>
  <c r="P40" i="21" s="1"/>
  <c r="O38" i="21"/>
  <c r="O40" i="21" s="1"/>
  <c r="N38" i="21"/>
  <c r="N40" i="21" s="1"/>
  <c r="M38" i="21"/>
  <c r="M40" i="21" s="1"/>
  <c r="L38" i="21"/>
  <c r="L40" i="21" s="1"/>
  <c r="K38" i="21"/>
  <c r="K40" i="21" s="1"/>
  <c r="J38" i="21"/>
  <c r="J40" i="21" s="1"/>
  <c r="I38" i="21"/>
  <c r="I40" i="21" s="1"/>
  <c r="H38" i="21"/>
  <c r="H40" i="21" s="1"/>
  <c r="G38" i="21"/>
  <c r="G40" i="21" s="1"/>
  <c r="F38" i="21"/>
  <c r="F40" i="21" s="1"/>
  <c r="E38" i="21"/>
  <c r="E40" i="21" s="1"/>
  <c r="D38" i="21"/>
  <c r="D40" i="21" s="1"/>
  <c r="C38" i="21"/>
  <c r="C40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B39" i="20"/>
  <c r="Q38" i="20"/>
  <c r="Q40" i="20" s="1"/>
  <c r="P38" i="20"/>
  <c r="P40" i="20" s="1"/>
  <c r="O38" i="20"/>
  <c r="O40" i="20" s="1"/>
  <c r="N38" i="20"/>
  <c r="N40" i="20" s="1"/>
  <c r="M38" i="20"/>
  <c r="M40" i="20" s="1"/>
  <c r="L38" i="20"/>
  <c r="L40" i="20" s="1"/>
  <c r="K38" i="20"/>
  <c r="K40" i="20" s="1"/>
  <c r="J38" i="20"/>
  <c r="J40" i="20" s="1"/>
  <c r="I38" i="20"/>
  <c r="I40" i="20" s="1"/>
  <c r="H38" i="20"/>
  <c r="H40" i="20" s="1"/>
  <c r="G38" i="20"/>
  <c r="G40" i="20" s="1"/>
  <c r="F38" i="20"/>
  <c r="F40" i="20" s="1"/>
  <c r="E38" i="20"/>
  <c r="E40" i="20" s="1"/>
  <c r="D38" i="20"/>
  <c r="D40" i="20" s="1"/>
  <c r="C38" i="20"/>
  <c r="C40" i="20" s="1"/>
  <c r="B38" i="20"/>
  <c r="B40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Q38" i="19"/>
  <c r="Q40" i="19" s="1"/>
  <c r="P38" i="19"/>
  <c r="P40" i="19" s="1"/>
  <c r="O38" i="19"/>
  <c r="O40" i="19" s="1"/>
  <c r="N38" i="19"/>
  <c r="N40" i="19" s="1"/>
  <c r="M38" i="19"/>
  <c r="M40" i="19" s="1"/>
  <c r="L38" i="19"/>
  <c r="L40" i="19" s="1"/>
  <c r="K38" i="19"/>
  <c r="K40" i="19" s="1"/>
  <c r="J38" i="19"/>
  <c r="J40" i="19" s="1"/>
  <c r="I38" i="19"/>
  <c r="I40" i="19" s="1"/>
  <c r="H40" i="19"/>
  <c r="G40" i="19"/>
  <c r="F38" i="19"/>
  <c r="F40" i="19" s="1"/>
  <c r="E40" i="19"/>
  <c r="D39" i="19"/>
  <c r="C39" i="19"/>
  <c r="B40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Q38" i="18"/>
  <c r="Q40" i="18" s="1"/>
  <c r="P38" i="18"/>
  <c r="P40" i="18" s="1"/>
  <c r="O38" i="18"/>
  <c r="O40" i="18" s="1"/>
  <c r="N38" i="18"/>
  <c r="N40" i="18" s="1"/>
  <c r="M38" i="18"/>
  <c r="M40" i="18" s="1"/>
  <c r="L38" i="18"/>
  <c r="L40" i="18" s="1"/>
  <c r="K38" i="18"/>
  <c r="K40" i="18" s="1"/>
  <c r="J38" i="18"/>
  <c r="J40" i="18" s="1"/>
  <c r="I38" i="18"/>
  <c r="I40" i="18" s="1"/>
  <c r="H38" i="18"/>
  <c r="H40" i="18" s="1"/>
  <c r="G38" i="18"/>
  <c r="G40" i="18" s="1"/>
  <c r="F38" i="18"/>
  <c r="F40" i="18" s="1"/>
  <c r="E38" i="18"/>
  <c r="E40" i="18" s="1"/>
  <c r="D38" i="18"/>
  <c r="D39" i="18" s="1"/>
  <c r="C38" i="18"/>
  <c r="C40" i="18" s="1"/>
  <c r="B38" i="18"/>
  <c r="B40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P36" i="18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F21" i="39" s="1"/>
  <c r="E36" i="18"/>
  <c r="D36" i="18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Q38" i="17"/>
  <c r="Q40" i="17" s="1"/>
  <c r="P38" i="17"/>
  <c r="P40" i="17" s="1"/>
  <c r="O38" i="17"/>
  <c r="O40" i="17" s="1"/>
  <c r="N38" i="17"/>
  <c r="N40" i="17" s="1"/>
  <c r="M38" i="17"/>
  <c r="M40" i="17" s="1"/>
  <c r="L38" i="17"/>
  <c r="L40" i="17" s="1"/>
  <c r="K38" i="17"/>
  <c r="K40" i="17" s="1"/>
  <c r="J38" i="17"/>
  <c r="J40" i="17" s="1"/>
  <c r="I38" i="17"/>
  <c r="I40" i="17" s="1"/>
  <c r="H38" i="17"/>
  <c r="H40" i="17" s="1"/>
  <c r="G38" i="17"/>
  <c r="G40" i="17" s="1"/>
  <c r="F38" i="17"/>
  <c r="F40" i="17" s="1"/>
  <c r="E38" i="17"/>
  <c r="E40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E36" i="17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Q38" i="16"/>
  <c r="Q40" i="16" s="1"/>
  <c r="P38" i="16"/>
  <c r="P40" i="16" s="1"/>
  <c r="O38" i="16"/>
  <c r="O40" i="16" s="1"/>
  <c r="N38" i="16"/>
  <c r="N40" i="16" s="1"/>
  <c r="M38" i="16"/>
  <c r="M40" i="16" s="1"/>
  <c r="L38" i="16"/>
  <c r="L40" i="16" s="1"/>
  <c r="K38" i="16"/>
  <c r="K40" i="16" s="1"/>
  <c r="J38" i="16"/>
  <c r="J40" i="16" s="1"/>
  <c r="I38" i="16"/>
  <c r="I40" i="16" s="1"/>
  <c r="H40" i="16"/>
  <c r="G38" i="16"/>
  <c r="G40" i="16" s="1"/>
  <c r="F38" i="16"/>
  <c r="F40" i="16" s="1"/>
  <c r="E38" i="16"/>
  <c r="E40" i="16" s="1"/>
  <c r="D38" i="16"/>
  <c r="D40" i="16" s="1"/>
  <c r="C38" i="16"/>
  <c r="C39" i="16" s="1"/>
  <c r="B38" i="16"/>
  <c r="B40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D39" i="15"/>
  <c r="Q38" i="15"/>
  <c r="Q40" i="15" s="1"/>
  <c r="P38" i="15"/>
  <c r="P40" i="15" s="1"/>
  <c r="O38" i="15"/>
  <c r="O40" i="15" s="1"/>
  <c r="N38" i="15"/>
  <c r="N40" i="15" s="1"/>
  <c r="M38" i="15"/>
  <c r="M40" i="15" s="1"/>
  <c r="L38" i="15"/>
  <c r="L40" i="15" s="1"/>
  <c r="K38" i="15"/>
  <c r="K40" i="15" s="1"/>
  <c r="J38" i="15"/>
  <c r="J40" i="15" s="1"/>
  <c r="I38" i="15"/>
  <c r="I40" i="15" s="1"/>
  <c r="H38" i="15"/>
  <c r="H40" i="15" s="1"/>
  <c r="G38" i="15"/>
  <c r="G40" i="15" s="1"/>
  <c r="F38" i="15"/>
  <c r="F40" i="15" s="1"/>
  <c r="E38" i="15"/>
  <c r="E40" i="15" s="1"/>
  <c r="D38" i="15"/>
  <c r="D40" i="15" s="1"/>
  <c r="C38" i="15"/>
  <c r="C40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G36" i="15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P39" i="14"/>
  <c r="Q38" i="14"/>
  <c r="Q40" i="14" s="1"/>
  <c r="P38" i="14"/>
  <c r="P40" i="14" s="1"/>
  <c r="O38" i="14"/>
  <c r="O40" i="14" s="1"/>
  <c r="N38" i="14"/>
  <c r="N40" i="14" s="1"/>
  <c r="M38" i="14"/>
  <c r="M40" i="14" s="1"/>
  <c r="L38" i="14"/>
  <c r="L40" i="14" s="1"/>
  <c r="K38" i="14"/>
  <c r="K40" i="14" s="1"/>
  <c r="J38" i="14"/>
  <c r="J40" i="14" s="1"/>
  <c r="I38" i="14"/>
  <c r="I40" i="14" s="1"/>
  <c r="H38" i="14"/>
  <c r="H40" i="14" s="1"/>
  <c r="G38" i="14"/>
  <c r="G40" i="14" s="1"/>
  <c r="F38" i="14"/>
  <c r="F40" i="14" s="1"/>
  <c r="E38" i="14"/>
  <c r="E40" i="14" s="1"/>
  <c r="D38" i="14"/>
  <c r="D40" i="14" s="1"/>
  <c r="C38" i="14"/>
  <c r="C40" i="14" s="1"/>
  <c r="B38" i="14"/>
  <c r="B40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P36" i="14"/>
  <c r="O36" i="14"/>
  <c r="N36" i="14"/>
  <c r="M36" i="14"/>
  <c r="M17" i="39" s="1"/>
  <c r="L36" i="14"/>
  <c r="L17" i="39" s="1"/>
  <c r="K36" i="14"/>
  <c r="K17" i="39" s="1"/>
  <c r="J36" i="14"/>
  <c r="J17" i="39" s="1"/>
  <c r="I36" i="14"/>
  <c r="H36" i="14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40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J36" i="13"/>
  <c r="I36" i="13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40" i="12"/>
  <c r="P38" i="12"/>
  <c r="P40" i="12" s="1"/>
  <c r="O38" i="12"/>
  <c r="O40" i="12" s="1"/>
  <c r="N38" i="12"/>
  <c r="N40" i="12" s="1"/>
  <c r="M38" i="12"/>
  <c r="M39" i="12" s="1"/>
  <c r="L38" i="12"/>
  <c r="L39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40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P36" i="12"/>
  <c r="O36" i="12"/>
  <c r="N36" i="12"/>
  <c r="M36" i="12"/>
  <c r="M15" i="39" s="1"/>
  <c r="L36" i="12"/>
  <c r="L15" i="39" s="1"/>
  <c r="K36" i="12"/>
  <c r="J36" i="12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40" i="11"/>
  <c r="P40" i="1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39" i="11" s="1"/>
  <c r="I38" i="11"/>
  <c r="I40" i="11" s="1"/>
  <c r="H38" i="11"/>
  <c r="H40" i="11" s="1"/>
  <c r="G38" i="11"/>
  <c r="G40" i="11" s="1"/>
  <c r="F38" i="11"/>
  <c r="F40" i="11" s="1"/>
  <c r="E38" i="11"/>
  <c r="E39" i="11" s="1"/>
  <c r="D38" i="11"/>
  <c r="D40" i="11" s="1"/>
  <c r="C38" i="11"/>
  <c r="C40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P36" i="11"/>
  <c r="P14" i="39" s="1"/>
  <c r="O36" i="11"/>
  <c r="O14" i="39" s="1"/>
  <c r="N36" i="11"/>
  <c r="N14" i="39" s="1"/>
  <c r="M36" i="11"/>
  <c r="M14" i="39" s="1"/>
  <c r="L36" i="11"/>
  <c r="K36" i="11"/>
  <c r="J36" i="11"/>
  <c r="J14" i="39" s="1"/>
  <c r="I36" i="11"/>
  <c r="I14" i="39" s="1"/>
  <c r="H36" i="11"/>
  <c r="H14" i="39" s="1"/>
  <c r="G36" i="11"/>
  <c r="G14" i="39" s="1"/>
  <c r="F36" i="11"/>
  <c r="E36" i="11"/>
  <c r="E14" i="39" s="1"/>
  <c r="D36" i="1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40" i="10"/>
  <c r="P38" i="10"/>
  <c r="P40" i="10" s="1"/>
  <c r="O38" i="10"/>
  <c r="O40" i="10" s="1"/>
  <c r="N38" i="10"/>
  <c r="N40" i="10" s="1"/>
  <c r="M38" i="10"/>
  <c r="M39" i="10" s="1"/>
  <c r="L38" i="10"/>
  <c r="L39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40" i="9"/>
  <c r="G38" i="9"/>
  <c r="G40" i="9" s="1"/>
  <c r="F38" i="9"/>
  <c r="F40" i="9" s="1"/>
  <c r="E38" i="9"/>
  <c r="E40" i="9" s="1"/>
  <c r="D38" i="9"/>
  <c r="D40" i="9" s="1"/>
  <c r="C38" i="9"/>
  <c r="C40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M36" i="9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C36" i="9"/>
  <c r="B36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M40" i="8"/>
  <c r="M39" i="8"/>
  <c r="Q38" i="8"/>
  <c r="Q40" i="8" s="1"/>
  <c r="P38" i="8"/>
  <c r="P40" i="8" s="1"/>
  <c r="O38" i="8"/>
  <c r="O40" i="8" s="1"/>
  <c r="N38" i="8"/>
  <c r="N40" i="8" s="1"/>
  <c r="M38" i="8"/>
  <c r="L38" i="8"/>
  <c r="L40" i="8" s="1"/>
  <c r="K38" i="8"/>
  <c r="K40" i="8" s="1"/>
  <c r="J38" i="8"/>
  <c r="J40" i="8" s="1"/>
  <c r="I38" i="8"/>
  <c r="I40" i="8" s="1"/>
  <c r="H40" i="8"/>
  <c r="G38" i="8"/>
  <c r="G40" i="8" s="1"/>
  <c r="F38" i="8"/>
  <c r="F40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N36" i="8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C36" i="8"/>
  <c r="B36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M40" i="3"/>
  <c r="Q38" i="3"/>
  <c r="Q40" i="3" s="1"/>
  <c r="P38" i="3"/>
  <c r="P40" i="3" s="1"/>
  <c r="O38" i="3"/>
  <c r="O40" i="3" s="1"/>
  <c r="N38" i="3"/>
  <c r="N40" i="3" s="1"/>
  <c r="M38" i="3"/>
  <c r="M39" i="3" s="1"/>
  <c r="L38" i="3"/>
  <c r="L40" i="3" s="1"/>
  <c r="K38" i="3"/>
  <c r="K40" i="3" s="1"/>
  <c r="J38" i="3"/>
  <c r="J40" i="3" s="1"/>
  <c r="I38" i="3"/>
  <c r="I40" i="3" s="1"/>
  <c r="H40" i="3"/>
  <c r="G40" i="3"/>
  <c r="F38" i="3"/>
  <c r="F40" i="3" s="1"/>
  <c r="E38" i="3"/>
  <c r="E40" i="3" s="1"/>
  <c r="D38" i="3"/>
  <c r="D40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C36" i="3"/>
  <c r="B36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40" i="2" s="1"/>
  <c r="P38" i="2"/>
  <c r="P40" i="2" s="1"/>
  <c r="O38" i="2"/>
  <c r="O40" i="2" s="1"/>
  <c r="N38" i="2"/>
  <c r="N40" i="2" s="1"/>
  <c r="M38" i="2"/>
  <c r="M40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I36" i="2"/>
  <c r="H36" i="2"/>
  <c r="H9" i="39" s="1"/>
  <c r="G36" i="2"/>
  <c r="G9" i="39" s="1"/>
  <c r="F36" i="2"/>
  <c r="F9" i="39" s="1"/>
  <c r="E36" i="2"/>
  <c r="E9" i="39" s="1"/>
  <c r="D36" i="2"/>
  <c r="C36" i="2"/>
  <c r="B36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K39" i="41" l="1"/>
  <c r="L39" i="41"/>
  <c r="M39" i="41"/>
  <c r="N39" i="41"/>
  <c r="I39" i="41"/>
  <c r="J40" i="41"/>
  <c r="O39" i="41"/>
  <c r="P39" i="41"/>
  <c r="Q39" i="41"/>
  <c r="B39" i="41"/>
  <c r="C39" i="41"/>
  <c r="D39" i="41"/>
  <c r="E39" i="41"/>
  <c r="F39" i="41"/>
  <c r="G39" i="41"/>
  <c r="H39" i="41"/>
  <c r="E39" i="40"/>
  <c r="F39" i="40"/>
  <c r="G39" i="40"/>
  <c r="H39" i="40"/>
  <c r="I39" i="40"/>
  <c r="J39" i="40"/>
  <c r="K39" i="40"/>
  <c r="L39" i="40"/>
  <c r="M39" i="40"/>
  <c r="N39" i="40"/>
  <c r="O39" i="40"/>
  <c r="P39" i="40"/>
  <c r="Q39" i="40"/>
  <c r="B39" i="40"/>
  <c r="C39" i="40"/>
  <c r="D39" i="40"/>
  <c r="H39" i="33"/>
  <c r="I39" i="33"/>
  <c r="J39" i="33"/>
  <c r="K39" i="33"/>
  <c r="L39" i="33"/>
  <c r="M39" i="33"/>
  <c r="F40" i="33"/>
  <c r="N39" i="33"/>
  <c r="O39" i="33"/>
  <c r="P39" i="33"/>
  <c r="Q39" i="33"/>
  <c r="G39" i="33"/>
  <c r="B39" i="33"/>
  <c r="C39" i="33"/>
  <c r="D39" i="33"/>
  <c r="E39" i="33"/>
  <c r="I39" i="32"/>
  <c r="J39" i="32"/>
  <c r="K39" i="32"/>
  <c r="L39" i="32"/>
  <c r="G40" i="32"/>
  <c r="M39" i="32"/>
  <c r="N39" i="32"/>
  <c r="H39" i="32"/>
  <c r="O39" i="32"/>
  <c r="P39" i="32"/>
  <c r="Q39" i="32"/>
  <c r="B39" i="32"/>
  <c r="C39" i="32"/>
  <c r="D39" i="32"/>
  <c r="E39" i="32"/>
  <c r="F39" i="32"/>
  <c r="H39" i="31"/>
  <c r="J39" i="31"/>
  <c r="K39" i="31"/>
  <c r="L39" i="31"/>
  <c r="M39" i="31"/>
  <c r="N39" i="31"/>
  <c r="O39" i="31"/>
  <c r="P39" i="31"/>
  <c r="Q39" i="31"/>
  <c r="B39" i="31"/>
  <c r="C39" i="31"/>
  <c r="D39" i="31"/>
  <c r="E39" i="31"/>
  <c r="F39" i="31"/>
  <c r="G39" i="31"/>
  <c r="I39" i="30"/>
  <c r="K39" i="30"/>
  <c r="L39" i="30"/>
  <c r="M39" i="30"/>
  <c r="N39" i="30"/>
  <c r="O39" i="30"/>
  <c r="P39" i="30"/>
  <c r="Q39" i="30"/>
  <c r="B39" i="30"/>
  <c r="C39" i="30"/>
  <c r="D39" i="30"/>
  <c r="E39" i="30"/>
  <c r="F39" i="30"/>
  <c r="G39" i="30"/>
  <c r="H39" i="30"/>
  <c r="L39" i="29"/>
  <c r="M39" i="29"/>
  <c r="N39" i="29"/>
  <c r="K40" i="29"/>
  <c r="O39" i="29"/>
  <c r="P39" i="29"/>
  <c r="Q39" i="29"/>
  <c r="B39" i="29"/>
  <c r="C39" i="29"/>
  <c r="D39" i="29"/>
  <c r="E39" i="29"/>
  <c r="F39" i="29"/>
  <c r="G39" i="29"/>
  <c r="H39" i="29"/>
  <c r="I39" i="29"/>
  <c r="K40" i="28"/>
  <c r="M39" i="28"/>
  <c r="N39" i="28"/>
  <c r="O39" i="28"/>
  <c r="P39" i="28"/>
  <c r="Q39" i="28"/>
  <c r="B39" i="28"/>
  <c r="C39" i="28"/>
  <c r="D39" i="28"/>
  <c r="L40" i="28"/>
  <c r="E39" i="28"/>
  <c r="F39" i="28"/>
  <c r="G39" i="28"/>
  <c r="H39" i="28"/>
  <c r="I39" i="28"/>
  <c r="J39" i="28"/>
  <c r="N39" i="27"/>
  <c r="O39" i="27"/>
  <c r="P39" i="27"/>
  <c r="Q39" i="27"/>
  <c r="B39" i="27"/>
  <c r="C39" i="27"/>
  <c r="D39" i="27"/>
  <c r="E39" i="27"/>
  <c r="F39" i="27"/>
  <c r="M39" i="27"/>
  <c r="G39" i="27"/>
  <c r="H39" i="27"/>
  <c r="I39" i="27"/>
  <c r="J39" i="27"/>
  <c r="K39" i="27"/>
  <c r="N39" i="26"/>
  <c r="O39" i="26"/>
  <c r="P39" i="26"/>
  <c r="Q39" i="26"/>
  <c r="B39" i="26"/>
  <c r="C39" i="26"/>
  <c r="D39" i="26"/>
  <c r="M39" i="26"/>
  <c r="E39" i="26"/>
  <c r="F39" i="26"/>
  <c r="G39" i="26"/>
  <c r="H39" i="26"/>
  <c r="I39" i="26"/>
  <c r="J39" i="26"/>
  <c r="K39" i="26"/>
  <c r="L39" i="26"/>
  <c r="P39" i="25"/>
  <c r="Q39" i="25"/>
  <c r="B39" i="25"/>
  <c r="C39" i="25"/>
  <c r="O39" i="25"/>
  <c r="D39" i="25"/>
  <c r="E39" i="25"/>
  <c r="N40" i="25"/>
  <c r="F39" i="25"/>
  <c r="G39" i="25"/>
  <c r="H39" i="25"/>
  <c r="I39" i="25"/>
  <c r="J39" i="25"/>
  <c r="K39" i="25"/>
  <c r="L39" i="25"/>
  <c r="M39" i="25"/>
  <c r="Q39" i="24"/>
  <c r="B39" i="24"/>
  <c r="C39" i="24"/>
  <c r="O39" i="24"/>
  <c r="D39" i="24"/>
  <c r="P39" i="24"/>
  <c r="E39" i="24"/>
  <c r="F39" i="24"/>
  <c r="G39" i="24"/>
  <c r="H39" i="24"/>
  <c r="I39" i="24"/>
  <c r="J39" i="24"/>
  <c r="K39" i="24"/>
  <c r="L39" i="24"/>
  <c r="M39" i="24"/>
  <c r="N39" i="24"/>
  <c r="B39" i="23"/>
  <c r="P39" i="23"/>
  <c r="C39" i="23"/>
  <c r="D39" i="23"/>
  <c r="E39" i="23"/>
  <c r="F39" i="23"/>
  <c r="G39" i="23"/>
  <c r="H39" i="23"/>
  <c r="I39" i="23"/>
  <c r="Q40" i="23"/>
  <c r="J39" i="23"/>
  <c r="K39" i="23"/>
  <c r="L39" i="23"/>
  <c r="M39" i="23"/>
  <c r="N39" i="23"/>
  <c r="O39" i="23"/>
  <c r="Q39" i="22"/>
  <c r="B39" i="22"/>
  <c r="C39" i="22"/>
  <c r="D39" i="22"/>
  <c r="O40" i="22"/>
  <c r="P40" i="22"/>
  <c r="E39" i="22"/>
  <c r="F39" i="22"/>
  <c r="G39" i="22"/>
  <c r="H39" i="22"/>
  <c r="I39" i="22"/>
  <c r="J39" i="22"/>
  <c r="K39" i="22"/>
  <c r="L39" i="22"/>
  <c r="M39" i="22"/>
  <c r="N39" i="22"/>
  <c r="C39" i="21"/>
  <c r="D39" i="21"/>
  <c r="E39" i="21"/>
  <c r="F39" i="21"/>
  <c r="G39" i="21"/>
  <c r="H39" i="21"/>
  <c r="B40" i="21"/>
  <c r="I39" i="21"/>
  <c r="J39" i="21"/>
  <c r="Q40" i="21"/>
  <c r="K39" i="21"/>
  <c r="L39" i="21"/>
  <c r="M39" i="21"/>
  <c r="N39" i="21"/>
  <c r="O39" i="21"/>
  <c r="P39" i="21"/>
  <c r="D39" i="20"/>
  <c r="C39" i="20"/>
  <c r="E39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E39" i="19"/>
  <c r="D40" i="19"/>
  <c r="F39" i="19"/>
  <c r="G39" i="19"/>
  <c r="H39" i="19"/>
  <c r="C40" i="19"/>
  <c r="I39" i="19"/>
  <c r="J39" i="19"/>
  <c r="K39" i="19"/>
  <c r="L39" i="19"/>
  <c r="M39" i="19"/>
  <c r="N39" i="19"/>
  <c r="O39" i="19"/>
  <c r="P39" i="19"/>
  <c r="Q39" i="19"/>
  <c r="B39" i="19"/>
  <c r="E39" i="18"/>
  <c r="F39" i="18"/>
  <c r="G39" i="18"/>
  <c r="H39" i="18"/>
  <c r="I39" i="18"/>
  <c r="J39" i="18"/>
  <c r="K39" i="18"/>
  <c r="L39" i="18"/>
  <c r="D40" i="18"/>
  <c r="M39" i="18"/>
  <c r="N39" i="18"/>
  <c r="O39" i="18"/>
  <c r="C39" i="18"/>
  <c r="P39" i="18"/>
  <c r="Q39" i="18"/>
  <c r="B39" i="18"/>
  <c r="E39" i="17"/>
  <c r="F39" i="17"/>
  <c r="G39" i="17"/>
  <c r="D39" i="17"/>
  <c r="H39" i="17"/>
  <c r="I39" i="17"/>
  <c r="J39" i="17"/>
  <c r="C40" i="17"/>
  <c r="K39" i="17"/>
  <c r="L39" i="17"/>
  <c r="M39" i="17"/>
  <c r="N39" i="17"/>
  <c r="O39" i="17"/>
  <c r="P39" i="17"/>
  <c r="Q39" i="17"/>
  <c r="B39" i="17"/>
  <c r="E39" i="16"/>
  <c r="F39" i="16"/>
  <c r="G39" i="16"/>
  <c r="C40" i="16"/>
  <c r="H39" i="16"/>
  <c r="I39" i="16"/>
  <c r="D39" i="16"/>
  <c r="J39" i="16"/>
  <c r="K39" i="16"/>
  <c r="L39" i="16"/>
  <c r="M39" i="16"/>
  <c r="N39" i="16"/>
  <c r="O39" i="16"/>
  <c r="P39" i="16"/>
  <c r="Q39" i="16"/>
  <c r="B39" i="16"/>
  <c r="E39" i="15"/>
  <c r="F39" i="15"/>
  <c r="G39" i="15"/>
  <c r="H39" i="15"/>
  <c r="I39" i="15"/>
  <c r="J39" i="15"/>
  <c r="K39" i="15"/>
  <c r="C39" i="15"/>
  <c r="L39" i="15"/>
  <c r="M39" i="15"/>
  <c r="N39" i="15"/>
  <c r="O39" i="15"/>
  <c r="P39" i="15"/>
  <c r="Q39" i="15"/>
  <c r="B39" i="15"/>
  <c r="B39" i="14"/>
  <c r="C39" i="14"/>
  <c r="D39" i="14"/>
  <c r="E39" i="14"/>
  <c r="F39" i="14"/>
  <c r="G39" i="14"/>
  <c r="H39" i="14"/>
  <c r="I39" i="14"/>
  <c r="Q39" i="14"/>
  <c r="J39" i="14"/>
  <c r="K39" i="14"/>
  <c r="L39" i="14"/>
  <c r="M39" i="14"/>
  <c r="N39" i="14"/>
  <c r="O39" i="14"/>
  <c r="P39" i="13"/>
  <c r="B39" i="13"/>
  <c r="C39" i="13"/>
  <c r="Q40" i="13"/>
  <c r="D39" i="13"/>
  <c r="E39" i="13"/>
  <c r="O39" i="13"/>
  <c r="F39" i="13"/>
  <c r="G39" i="13"/>
  <c r="H39" i="13"/>
  <c r="I39" i="13"/>
  <c r="J39" i="13"/>
  <c r="K39" i="13"/>
  <c r="L39" i="13"/>
  <c r="M39" i="13"/>
  <c r="N39" i="13"/>
  <c r="M40" i="12"/>
  <c r="N39" i="12"/>
  <c r="O39" i="12"/>
  <c r="P39" i="12"/>
  <c r="L40" i="12"/>
  <c r="Q39" i="12"/>
  <c r="B39" i="12"/>
  <c r="C39" i="12"/>
  <c r="D39" i="12"/>
  <c r="E39" i="12"/>
  <c r="F39" i="12"/>
  <c r="G39" i="12"/>
  <c r="H39" i="12"/>
  <c r="I39" i="12"/>
  <c r="J39" i="12"/>
  <c r="K39" i="12"/>
  <c r="J40" i="11"/>
  <c r="L39" i="11"/>
  <c r="M39" i="11"/>
  <c r="N39" i="11"/>
  <c r="O39" i="11"/>
  <c r="P39" i="11"/>
  <c r="K39" i="11"/>
  <c r="Q39" i="11"/>
  <c r="B39" i="11"/>
  <c r="C39" i="11"/>
  <c r="D39" i="11"/>
  <c r="E40" i="11"/>
  <c r="F39" i="11"/>
  <c r="G39" i="11"/>
  <c r="H39" i="11"/>
  <c r="I39" i="11"/>
  <c r="L40" i="10"/>
  <c r="N39" i="10"/>
  <c r="O39" i="10"/>
  <c r="P39" i="10"/>
  <c r="Q39" i="10"/>
  <c r="B39" i="10"/>
  <c r="C39" i="10"/>
  <c r="M40" i="10"/>
  <c r="D39" i="10"/>
  <c r="E39" i="10"/>
  <c r="F39" i="10"/>
  <c r="G39" i="10"/>
  <c r="H39" i="10"/>
  <c r="I39" i="10"/>
  <c r="J39" i="10"/>
  <c r="K39" i="10"/>
  <c r="N39" i="9"/>
  <c r="O39" i="9"/>
  <c r="P39" i="9"/>
  <c r="Q39" i="9"/>
  <c r="L39" i="9"/>
  <c r="M39" i="9"/>
  <c r="B39" i="9"/>
  <c r="C39" i="9"/>
  <c r="D39" i="9"/>
  <c r="E39" i="9"/>
  <c r="F39" i="9"/>
  <c r="G39" i="9"/>
  <c r="H39" i="9"/>
  <c r="I39" i="9"/>
  <c r="J39" i="9"/>
  <c r="K39" i="9"/>
  <c r="N39" i="8"/>
  <c r="O39" i="8"/>
  <c r="L39" i="8"/>
  <c r="P39" i="8"/>
  <c r="Q39" i="8"/>
  <c r="K39" i="8"/>
  <c r="B39" i="8"/>
  <c r="D39" i="8"/>
  <c r="E39" i="8"/>
  <c r="F39" i="8"/>
  <c r="C40" i="8"/>
  <c r="G39" i="8"/>
  <c r="H39" i="8"/>
  <c r="I39" i="8"/>
  <c r="J39" i="8"/>
  <c r="N39" i="3"/>
  <c r="J44" i="39"/>
  <c r="J45" i="39" s="1"/>
  <c r="O39" i="3"/>
  <c r="P39" i="3"/>
  <c r="Q39" i="3"/>
  <c r="B39" i="3"/>
  <c r="C39" i="3"/>
  <c r="I44" i="39"/>
  <c r="I46" i="39" s="1"/>
  <c r="D39" i="3"/>
  <c r="E39" i="3"/>
  <c r="F39" i="3"/>
  <c r="G39" i="3"/>
  <c r="H39" i="3"/>
  <c r="I39" i="3"/>
  <c r="J39" i="3"/>
  <c r="K39" i="3"/>
  <c r="L39" i="3"/>
  <c r="N44" i="39"/>
  <c r="N43" i="39"/>
  <c r="N42" i="39"/>
  <c r="N41" i="39"/>
  <c r="N40" i="39"/>
  <c r="Q43" i="39"/>
  <c r="Q42" i="39"/>
  <c r="Q41" i="39"/>
  <c r="Q40" i="39"/>
  <c r="C44" i="39"/>
  <c r="C43" i="39"/>
  <c r="C42" i="39"/>
  <c r="C41" i="39"/>
  <c r="C40" i="39"/>
  <c r="P44" i="39"/>
  <c r="P43" i="39"/>
  <c r="P42" i="39"/>
  <c r="P41" i="39"/>
  <c r="P40" i="39"/>
  <c r="O44" i="39"/>
  <c r="O43" i="39"/>
  <c r="O42" i="39"/>
  <c r="O41" i="39"/>
  <c r="O40" i="39"/>
  <c r="F44" i="39"/>
  <c r="F43" i="39"/>
  <c r="F42" i="39"/>
  <c r="F41" i="39"/>
  <c r="F40" i="39"/>
  <c r="B44" i="39"/>
  <c r="B43" i="39"/>
  <c r="B42" i="39"/>
  <c r="B41" i="39"/>
  <c r="B40" i="39"/>
  <c r="G44" i="39"/>
  <c r="G43" i="39"/>
  <c r="G42" i="39"/>
  <c r="G41" i="39"/>
  <c r="G40" i="39"/>
  <c r="E44" i="39"/>
  <c r="E43" i="39"/>
  <c r="E42" i="39"/>
  <c r="E41" i="39"/>
  <c r="E40" i="39"/>
  <c r="H44" i="39"/>
  <c r="H43" i="39"/>
  <c r="H42" i="39"/>
  <c r="H41" i="39"/>
  <c r="H40" i="39"/>
  <c r="K44" i="39"/>
  <c r="K43" i="39"/>
  <c r="K42" i="39"/>
  <c r="K41" i="39"/>
  <c r="K40" i="39"/>
  <c r="L44" i="39"/>
  <c r="L43" i="39"/>
  <c r="L42" i="39"/>
  <c r="L41" i="39"/>
  <c r="L40" i="39"/>
  <c r="D44" i="39"/>
  <c r="D43" i="39"/>
  <c r="D42" i="39"/>
  <c r="D41" i="39"/>
  <c r="D40" i="39"/>
  <c r="M41" i="39"/>
  <c r="M44" i="39"/>
  <c r="M43" i="39"/>
  <c r="M40" i="39"/>
  <c r="M42" i="39"/>
  <c r="N39" i="2"/>
  <c r="O39" i="2"/>
  <c r="P39" i="2"/>
  <c r="H40" i="2"/>
  <c r="Q39" i="2"/>
  <c r="B39" i="2"/>
  <c r="C39" i="2"/>
  <c r="D39" i="2"/>
  <c r="I40" i="39"/>
  <c r="I41" i="39"/>
  <c r="I42" i="39"/>
  <c r="I43" i="39"/>
  <c r="E39" i="2"/>
  <c r="J40" i="39"/>
  <c r="J41" i="39"/>
  <c r="J42" i="39"/>
  <c r="J43" i="39"/>
  <c r="F39" i="2"/>
  <c r="G39" i="2"/>
  <c r="I39" i="2"/>
  <c r="J39" i="2"/>
  <c r="K39" i="2"/>
  <c r="L39" i="2"/>
  <c r="M39" i="2"/>
  <c r="I45" i="39" l="1"/>
  <c r="J46" i="39"/>
  <c r="L46" i="39"/>
  <c r="L45" i="39"/>
  <c r="C46" i="39"/>
  <c r="C45" i="39"/>
  <c r="E46" i="39"/>
  <c r="E45" i="39"/>
  <c r="K46" i="39"/>
  <c r="K45" i="39"/>
  <c r="O46" i="39"/>
  <c r="O45" i="39"/>
  <c r="Q46" i="39"/>
  <c r="Q45" i="39"/>
  <c r="F46" i="39"/>
  <c r="F45" i="39"/>
  <c r="G46" i="39"/>
  <c r="G45" i="39"/>
  <c r="M46" i="39"/>
  <c r="M45" i="39"/>
  <c r="H46" i="39"/>
  <c r="H45" i="39"/>
  <c r="P46" i="39"/>
  <c r="P45" i="39"/>
  <c r="D46" i="39"/>
  <c r="D45" i="39"/>
  <c r="B46" i="39"/>
  <c r="B45" i="39"/>
  <c r="N46" i="39"/>
  <c r="N45" i="39"/>
</calcChain>
</file>

<file path=xl/sharedStrings.xml><?xml version="1.0" encoding="utf-8"?>
<sst xmlns="http://schemas.openxmlformats.org/spreadsheetml/2006/main" count="3420" uniqueCount="780">
  <si>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</si>
  <si>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</si>
  <si>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</si>
  <si>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</si>
  <si>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</si>
  <si>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</si>
  <si>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</si>
  <si>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</si>
  <si>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</si>
  <si>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</si>
  <si>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</si>
  <si>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</si>
  <si>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</si>
  <si>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</si>
  <si>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</si>
  <si>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</si>
  <si>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</si>
  <si>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</si>
  <si>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</si>
  <si>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</si>
  <si>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</si>
  <si>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</si>
  <si>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</si>
  <si>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</si>
  <si>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</si>
  <si>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</si>
  <si>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</si>
  <si>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</si>
  <si>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</si>
  <si>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</si>
  <si>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</si>
  <si>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</si>
  <si>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</si>
  <si>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</si>
  <si>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</si>
  <si>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</si>
  <si>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</si>
  <si>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</si>
  <si>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</si>
  <si>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</si>
  <si>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RAHUL</t>
  </si>
  <si>
    <t>RK</t>
  </si>
  <si>
    <t>ppb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</si>
  <si>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</si>
  <si>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</si>
  <si>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</si>
  <si>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</si>
  <si>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</si>
  <si>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</si>
  <si>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</si>
  <si>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</si>
  <si>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</si>
  <si>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</si>
  <si>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</si>
  <si>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</si>
  <si>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</si>
  <si>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</si>
  <si>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</si>
  <si>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</si>
  <si>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RAIPUR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</si>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</sst>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465926084170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2" fontId="12" fillId="0" borderId="1" xfId="0" applyNumberFormat="1" applyFont="1" applyFill="1" applyBorder="1" applyAlignment="1">
      <alignment horizontal="center"/>
    </xf>
    <xf numFmtId="0" fontId="12" fillId="0" borderId="0" xfId="0" applyFont="1" applyFill="1"/>
    <xf numFmtId="2" fontId="12" fillId="0" borderId="0" xfId="0" applyNumberFormat="1" applyFont="1" applyFill="1"/>
    <xf numFmtId="14" fontId="4" fillId="0" borderId="1" xfId="0" applyNumberFormat="1" applyFont="1" applyFill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4" fillId="9" borderId="0" xfId="0" applyFont="1" applyFill="1" applyAlignment="1"/>
    <xf numFmtId="0" fontId="13" fillId="0" borderId="0" xfId="0" applyFont="1" applyFill="1" applyAlignment="1">
      <alignment vertical="center"/>
    </xf>
    <xf numFmtId="0" fontId="6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/>
    <xf numFmtId="0" fontId="14" fillId="9" borderId="0" xfId="0" applyFont="1" applyFill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/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33" activePane="bottomRight" state="frozen"/>
      <selection activeCell="U32" sqref="A9:U32"/>
      <selection pane="topRight" activeCell="U32" sqref="A9:U32"/>
      <selection pane="bottomLeft" activeCell="U32" sqref="A9:U32"/>
      <selection pane="bottomRight" activeCell="H14" sqref="H14:H15"/>
    </sheetView>
  </sheetViews>
  <sheetFormatPr defaultColWidth="8.85546875" defaultRowHeight="15" x14ac:dyDescent="0.25"/>
  <cols>
    <col min="1" max="1" width="18.28515625" style="26" customWidth="1"/>
    <col min="2" max="2" width="14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60</v>
      </c>
      <c r="B9" s="53" t="s">
        <v>15</v>
      </c>
      <c r="C9" s="53" t="s">
        <v>15</v>
      </c>
      <c r="D9" s="53" t="s">
        <v>15</v>
      </c>
      <c r="E9" s="52">
        <v>21.42</v>
      </c>
      <c r="F9" s="52">
        <v>18.07</v>
      </c>
      <c r="G9" s="52">
        <v>114.18</v>
      </c>
      <c r="H9" s="52">
        <v>36.82</v>
      </c>
      <c r="I9" s="52">
        <v>4.01</v>
      </c>
      <c r="J9" s="52">
        <v>0.6</v>
      </c>
      <c r="K9" s="52">
        <v>280.77999999999997</v>
      </c>
      <c r="L9" s="52">
        <v>23.82</v>
      </c>
      <c r="M9" s="52">
        <v>23.55</v>
      </c>
      <c r="N9" s="52">
        <v>55.1</v>
      </c>
      <c r="O9" s="52">
        <v>0</v>
      </c>
      <c r="P9" s="52">
        <v>1.51</v>
      </c>
      <c r="Q9" s="52">
        <v>9.99</v>
      </c>
      <c r="R9" s="43"/>
      <c r="S9" s="43"/>
      <c r="T9" s="43"/>
      <c r="U9" s="43"/>
    </row>
    <row r="10" spans="1:21" s="11" customFormat="1" x14ac:dyDescent="0.25">
      <c r="A10" s="51" t="s">
        <v>61</v>
      </c>
      <c r="B10" s="53" t="s">
        <v>15</v>
      </c>
      <c r="C10" s="53" t="s">
        <v>15</v>
      </c>
      <c r="D10" s="53" t="s">
        <v>15</v>
      </c>
      <c r="E10" s="52">
        <v>31.52</v>
      </c>
      <c r="F10" s="52">
        <v>21.55</v>
      </c>
      <c r="G10" s="52">
        <v>114.02</v>
      </c>
      <c r="H10" s="52">
        <v>38.18</v>
      </c>
      <c r="I10" s="52">
        <v>4.2300000000000004</v>
      </c>
      <c r="J10" s="52">
        <v>0.6</v>
      </c>
      <c r="K10" s="52">
        <v>322.41000000000003</v>
      </c>
      <c r="L10" s="52">
        <v>23.44</v>
      </c>
      <c r="M10" s="52">
        <v>30.16</v>
      </c>
      <c r="N10" s="52">
        <v>55.2</v>
      </c>
      <c r="O10" s="52">
        <v>0</v>
      </c>
      <c r="P10" s="52">
        <v>1.23</v>
      </c>
      <c r="Q10" s="52">
        <v>9.92</v>
      </c>
      <c r="R10" s="43"/>
      <c r="S10" s="43"/>
      <c r="T10" s="43"/>
      <c r="U10" s="43"/>
    </row>
    <row r="11" spans="1:21" s="11" customFormat="1" x14ac:dyDescent="0.25">
      <c r="A11" s="51" t="s">
        <v>62</v>
      </c>
      <c r="B11" s="53" t="s">
        <v>15</v>
      </c>
      <c r="C11" s="53" t="s">
        <v>15</v>
      </c>
      <c r="D11" s="53" t="s">
        <v>15</v>
      </c>
      <c r="E11" s="52">
        <v>21.81</v>
      </c>
      <c r="F11" s="52">
        <v>16.75</v>
      </c>
      <c r="G11" s="52">
        <v>100.95</v>
      </c>
      <c r="H11" s="52">
        <v>22.85</v>
      </c>
      <c r="I11" s="52">
        <v>3.95</v>
      </c>
      <c r="J11" s="52">
        <v>0.65</v>
      </c>
      <c r="K11" s="52">
        <v>338.33</v>
      </c>
      <c r="L11" s="52">
        <v>21.5</v>
      </c>
      <c r="M11" s="52">
        <v>35.49</v>
      </c>
      <c r="N11" s="52">
        <v>54.8</v>
      </c>
      <c r="O11" s="52">
        <v>0</v>
      </c>
      <c r="P11" s="52">
        <v>0.77</v>
      </c>
      <c r="Q11" s="52">
        <v>9.9499999999999993</v>
      </c>
      <c r="R11" s="43"/>
      <c r="S11" s="43"/>
      <c r="T11" s="43"/>
      <c r="U11" s="43"/>
    </row>
    <row r="12" spans="1:21" s="11" customFormat="1" x14ac:dyDescent="0.25">
      <c r="A12" s="51" t="s">
        <v>63</v>
      </c>
      <c r="B12" s="53" t="s">
        <v>15</v>
      </c>
      <c r="C12" s="53" t="s">
        <v>15</v>
      </c>
      <c r="D12" s="53" t="s">
        <v>15</v>
      </c>
      <c r="E12" s="52">
        <v>14.42</v>
      </c>
      <c r="F12" s="52">
        <v>12.91</v>
      </c>
      <c r="G12" s="52">
        <v>95.41</v>
      </c>
      <c r="H12" s="52">
        <v>42.26</v>
      </c>
      <c r="I12" s="52">
        <v>4.16</v>
      </c>
      <c r="J12" s="52">
        <v>1.24</v>
      </c>
      <c r="K12" s="52">
        <v>297.54000000000002</v>
      </c>
      <c r="L12" s="52">
        <v>20.39</v>
      </c>
      <c r="M12" s="52">
        <v>43.5</v>
      </c>
      <c r="N12" s="52">
        <v>54.8</v>
      </c>
      <c r="O12" s="52">
        <v>0</v>
      </c>
      <c r="P12" s="52">
        <v>1.18</v>
      </c>
      <c r="Q12" s="52">
        <v>9.94</v>
      </c>
      <c r="R12" s="43"/>
      <c r="S12" s="43"/>
      <c r="T12" s="43"/>
      <c r="U12" s="43"/>
    </row>
    <row r="13" spans="1:21" s="11" customFormat="1" x14ac:dyDescent="0.25">
      <c r="A13" s="51" t="s">
        <v>64</v>
      </c>
      <c r="B13" s="53" t="s">
        <v>15</v>
      </c>
      <c r="C13" s="53" t="s">
        <v>15</v>
      </c>
      <c r="D13" s="53" t="s">
        <v>15</v>
      </c>
      <c r="E13" s="52">
        <v>5.68</v>
      </c>
      <c r="F13" s="52">
        <v>8.82</v>
      </c>
      <c r="G13" s="52">
        <v>97.42</v>
      </c>
      <c r="H13" s="52">
        <v>27.8</v>
      </c>
      <c r="I13" s="52">
        <v>4.12</v>
      </c>
      <c r="J13" s="52">
        <v>0.73</v>
      </c>
      <c r="K13" s="52">
        <v>329.6</v>
      </c>
      <c r="L13" s="52">
        <v>20.239999999999998</v>
      </c>
      <c r="M13" s="52">
        <v>45.43</v>
      </c>
      <c r="N13" s="52">
        <v>55</v>
      </c>
      <c r="O13" s="52">
        <v>0</v>
      </c>
      <c r="P13" s="52">
        <v>1.1599999999999999</v>
      </c>
      <c r="Q13" s="52">
        <v>9.94</v>
      </c>
      <c r="R13" s="43"/>
      <c r="S13" s="43"/>
      <c r="T13" s="43"/>
      <c r="U13" s="43"/>
    </row>
    <row r="14" spans="1:21" s="11" customFormat="1" x14ac:dyDescent="0.25">
      <c r="A14" s="51" t="s">
        <v>65</v>
      </c>
      <c r="B14" s="53" t="s">
        <v>15</v>
      </c>
      <c r="C14" s="53" t="s">
        <v>15</v>
      </c>
      <c r="D14" s="53" t="s">
        <v>15</v>
      </c>
      <c r="E14" s="52">
        <v>4.82</v>
      </c>
      <c r="F14" s="52">
        <v>6.58</v>
      </c>
      <c r="G14" s="52">
        <v>103</v>
      </c>
      <c r="H14" s="52">
        <v>37.590000000000003</v>
      </c>
      <c r="I14" s="52">
        <v>4.05</v>
      </c>
      <c r="J14" s="52">
        <v>0.61</v>
      </c>
      <c r="K14" s="52">
        <v>347.01</v>
      </c>
      <c r="L14" s="52">
        <v>18.89</v>
      </c>
      <c r="M14" s="52">
        <v>47.21</v>
      </c>
      <c r="N14" s="52">
        <v>57.3</v>
      </c>
      <c r="O14" s="52">
        <v>0</v>
      </c>
      <c r="P14" s="52">
        <v>1.1100000000000001</v>
      </c>
      <c r="Q14" s="52">
        <v>9.94</v>
      </c>
      <c r="R14" s="43"/>
      <c r="S14" s="43"/>
      <c r="T14" s="43"/>
      <c r="U14" s="43"/>
    </row>
    <row r="15" spans="1:21" s="11" customFormat="1" x14ac:dyDescent="0.25">
      <c r="A15" s="51" t="s">
        <v>66</v>
      </c>
      <c r="B15" s="53" t="s">
        <v>15</v>
      </c>
      <c r="C15" s="53" t="s">
        <v>15</v>
      </c>
      <c r="D15" s="53" t="s">
        <v>15</v>
      </c>
      <c r="E15" s="52">
        <v>20</v>
      </c>
      <c r="F15" s="52">
        <v>11.19</v>
      </c>
      <c r="G15" s="52">
        <v>122.08</v>
      </c>
      <c r="H15" s="52">
        <v>37.590000000000003</v>
      </c>
      <c r="I15" s="52">
        <v>4.05</v>
      </c>
      <c r="J15" s="52">
        <v>0.65</v>
      </c>
      <c r="K15" s="52">
        <v>339.84</v>
      </c>
      <c r="L15" s="52">
        <v>20.79</v>
      </c>
      <c r="M15" s="52">
        <v>45.36</v>
      </c>
      <c r="N15" s="52">
        <v>129.80000000000001</v>
      </c>
      <c r="O15" s="52">
        <v>0</v>
      </c>
      <c r="P15" s="52">
        <v>1.25</v>
      </c>
      <c r="Q15" s="52">
        <v>9.92</v>
      </c>
      <c r="R15" s="43"/>
      <c r="S15" s="43"/>
      <c r="T15" s="43"/>
      <c r="U15" s="43"/>
    </row>
    <row r="16" spans="1:21" s="11" customFormat="1" x14ac:dyDescent="0.25">
      <c r="A16" s="51" t="s">
        <v>67</v>
      </c>
      <c r="B16" s="53" t="s">
        <v>15</v>
      </c>
      <c r="C16" s="53" t="s">
        <v>15</v>
      </c>
      <c r="D16" s="53" t="s">
        <v>15</v>
      </c>
      <c r="E16" s="52">
        <v>24.45</v>
      </c>
      <c r="F16" s="52">
        <v>10.93</v>
      </c>
      <c r="G16" s="52">
        <v>129.19999999999999</v>
      </c>
      <c r="H16" s="52">
        <v>39.69</v>
      </c>
      <c r="I16" s="52">
        <v>4.1399999999999997</v>
      </c>
      <c r="J16" s="52">
        <v>1.24</v>
      </c>
      <c r="K16" s="52">
        <v>346.19</v>
      </c>
      <c r="L16" s="52">
        <v>25.83</v>
      </c>
      <c r="M16" s="52">
        <v>35.04</v>
      </c>
      <c r="N16" s="52">
        <v>259.5</v>
      </c>
      <c r="O16" s="52">
        <v>0</v>
      </c>
      <c r="P16" s="52">
        <v>1.44</v>
      </c>
      <c r="Q16" s="52">
        <v>9.93</v>
      </c>
      <c r="R16" s="43"/>
      <c r="S16" s="43"/>
      <c r="T16" s="43"/>
      <c r="U16" s="43"/>
    </row>
    <row r="17" spans="1:21" s="11" customFormat="1" x14ac:dyDescent="0.25">
      <c r="A17" s="51" t="s">
        <v>68</v>
      </c>
      <c r="B17" s="53" t="s">
        <v>15</v>
      </c>
      <c r="C17" s="53" t="s">
        <v>15</v>
      </c>
      <c r="D17" s="53" t="s">
        <v>15</v>
      </c>
      <c r="E17" s="52">
        <v>17.809999999999999</v>
      </c>
      <c r="F17" s="52">
        <v>8.06</v>
      </c>
      <c r="G17" s="52">
        <v>142.88</v>
      </c>
      <c r="H17" s="52">
        <v>52.08</v>
      </c>
      <c r="I17" s="52">
        <v>4.1100000000000003</v>
      </c>
      <c r="J17" s="52">
        <v>1.18</v>
      </c>
      <c r="K17" s="52">
        <v>317.48</v>
      </c>
      <c r="L17" s="52">
        <v>30.43</v>
      </c>
      <c r="M17" s="52">
        <v>25.5</v>
      </c>
      <c r="N17" s="52">
        <v>401.7</v>
      </c>
      <c r="O17" s="52">
        <v>0</v>
      </c>
      <c r="P17" s="52">
        <v>1.36</v>
      </c>
      <c r="Q17" s="52">
        <v>9.91</v>
      </c>
      <c r="R17" s="43"/>
      <c r="S17" s="43"/>
      <c r="T17" s="43"/>
      <c r="U17" s="43"/>
    </row>
    <row r="18" spans="1:21" s="11" customFormat="1" x14ac:dyDescent="0.25">
      <c r="A18" s="51" t="s">
        <v>69</v>
      </c>
      <c r="B18" s="53" t="s">
        <v>15</v>
      </c>
      <c r="C18" s="53" t="s">
        <v>15</v>
      </c>
      <c r="D18" s="53" t="s">
        <v>15</v>
      </c>
      <c r="E18" s="52">
        <v>18.760000000000002</v>
      </c>
      <c r="F18" s="52">
        <v>11.07</v>
      </c>
      <c r="G18" s="52">
        <v>147.47999999999999</v>
      </c>
      <c r="H18" s="52">
        <v>61.15</v>
      </c>
      <c r="I18" s="52">
        <v>4.17</v>
      </c>
      <c r="J18" s="52">
        <v>1.63</v>
      </c>
      <c r="K18" s="52">
        <v>345.26</v>
      </c>
      <c r="L18" s="52">
        <v>33.299999999999997</v>
      </c>
      <c r="M18" s="52">
        <v>20.32</v>
      </c>
      <c r="N18" s="52">
        <v>528.6</v>
      </c>
      <c r="O18" s="52">
        <v>0</v>
      </c>
      <c r="P18" s="52">
        <v>1.38</v>
      </c>
      <c r="Q18" s="52">
        <v>9.8699999999999992</v>
      </c>
      <c r="R18" s="43"/>
      <c r="S18" s="43"/>
      <c r="T18" s="43"/>
      <c r="U18" s="43"/>
    </row>
    <row r="19" spans="1:21" s="11" customFormat="1" x14ac:dyDescent="0.25">
      <c r="A19" s="51" t="s">
        <v>70</v>
      </c>
      <c r="B19" s="53" t="s">
        <v>15</v>
      </c>
      <c r="C19" s="53" t="s">
        <v>15</v>
      </c>
      <c r="D19" s="53" t="s">
        <v>15</v>
      </c>
      <c r="E19" s="52">
        <v>41.89</v>
      </c>
      <c r="F19" s="52">
        <v>16.79</v>
      </c>
      <c r="G19" s="52">
        <v>137.85</v>
      </c>
      <c r="H19" s="52">
        <v>44.34</v>
      </c>
      <c r="I19" s="52">
        <v>4.0999999999999996</v>
      </c>
      <c r="J19" s="52">
        <v>1.8</v>
      </c>
      <c r="K19" s="52">
        <v>346.9</v>
      </c>
      <c r="L19" s="52">
        <v>34.83</v>
      </c>
      <c r="M19" s="52">
        <v>13.97</v>
      </c>
      <c r="N19" s="52">
        <v>580.29999999999995</v>
      </c>
      <c r="O19" s="52">
        <v>0</v>
      </c>
      <c r="P19" s="52">
        <v>1.35</v>
      </c>
      <c r="Q19" s="52">
        <v>9.83</v>
      </c>
      <c r="R19" s="43"/>
      <c r="S19" s="43"/>
      <c r="T19" s="43"/>
      <c r="U19" s="43"/>
    </row>
    <row r="20" spans="1:21" s="11" customFormat="1" x14ac:dyDescent="0.25">
      <c r="A20" s="51" t="s">
        <v>71</v>
      </c>
      <c r="B20" s="53" t="s">
        <v>15</v>
      </c>
      <c r="C20" s="53" t="s">
        <v>15</v>
      </c>
      <c r="D20" s="53" t="s">
        <v>15</v>
      </c>
      <c r="E20" s="52">
        <v>55.74</v>
      </c>
      <c r="F20" s="52">
        <v>31.85</v>
      </c>
      <c r="G20" s="52">
        <v>134.12</v>
      </c>
      <c r="H20" s="52">
        <v>52.4</v>
      </c>
      <c r="I20" s="52">
        <v>4.0999999999999996</v>
      </c>
      <c r="J20" s="52">
        <v>6.81</v>
      </c>
      <c r="K20" s="52">
        <v>356.32</v>
      </c>
      <c r="L20" s="52">
        <v>34.950000000000003</v>
      </c>
      <c r="M20" s="52">
        <v>12.91</v>
      </c>
      <c r="N20" s="52">
        <v>581.29999999999995</v>
      </c>
      <c r="O20" s="52">
        <v>0</v>
      </c>
      <c r="P20" s="52">
        <v>1.2</v>
      </c>
      <c r="Q20" s="52">
        <v>9.83</v>
      </c>
      <c r="R20" s="43"/>
      <c r="S20" s="43"/>
      <c r="T20" s="43"/>
      <c r="U20" s="43"/>
    </row>
    <row r="21" spans="1:21" s="11" customFormat="1" x14ac:dyDescent="0.25">
      <c r="A21" s="51" t="s">
        <v>72</v>
      </c>
      <c r="B21" s="53" t="s">
        <v>15</v>
      </c>
      <c r="C21" s="53" t="s">
        <v>15</v>
      </c>
      <c r="D21" s="53" t="s">
        <v>15</v>
      </c>
      <c r="E21" s="52">
        <v>62.25</v>
      </c>
      <c r="F21" s="52">
        <v>36.799999999999997</v>
      </c>
      <c r="G21" s="52">
        <v>126.24</v>
      </c>
      <c r="H21" s="52">
        <v>30.9</v>
      </c>
      <c r="I21" s="52">
        <v>4.1399999999999997</v>
      </c>
      <c r="J21" s="52">
        <v>5.99</v>
      </c>
      <c r="K21" s="52">
        <v>355.79</v>
      </c>
      <c r="L21" s="52">
        <v>35.35</v>
      </c>
      <c r="M21" s="52">
        <v>12.52</v>
      </c>
      <c r="N21" s="52">
        <v>608.5</v>
      </c>
      <c r="O21" s="52">
        <v>0</v>
      </c>
      <c r="P21" s="52">
        <v>1.03</v>
      </c>
      <c r="Q21" s="52">
        <v>9.81</v>
      </c>
      <c r="R21" s="43"/>
      <c r="S21" s="43"/>
      <c r="T21" s="43"/>
      <c r="U21" s="43"/>
    </row>
    <row r="22" spans="1:21" s="11" customFormat="1" x14ac:dyDescent="0.25">
      <c r="A22" s="51" t="s">
        <v>73</v>
      </c>
      <c r="B22" s="53" t="s">
        <v>15</v>
      </c>
      <c r="C22" s="53" t="s">
        <v>15</v>
      </c>
      <c r="D22" s="53" t="s">
        <v>15</v>
      </c>
      <c r="E22" s="52">
        <v>62.54</v>
      </c>
      <c r="F22" s="52">
        <v>30.59</v>
      </c>
      <c r="G22" s="52">
        <v>112.75</v>
      </c>
      <c r="H22" s="52">
        <v>38.61</v>
      </c>
      <c r="I22" s="52">
        <v>4</v>
      </c>
      <c r="J22" s="52">
        <v>4.1900000000000004</v>
      </c>
      <c r="K22" s="52">
        <v>345.56</v>
      </c>
      <c r="L22" s="52">
        <v>35.89</v>
      </c>
      <c r="M22" s="52">
        <v>13.49</v>
      </c>
      <c r="N22" s="52">
        <v>556.20000000000005</v>
      </c>
      <c r="O22" s="52">
        <v>0</v>
      </c>
      <c r="P22" s="52">
        <v>1.03</v>
      </c>
      <c r="Q22" s="52">
        <v>9.7899999999999991</v>
      </c>
      <c r="R22" s="43"/>
      <c r="S22" s="43"/>
      <c r="T22" s="43"/>
      <c r="U22" s="43"/>
    </row>
    <row r="23" spans="1:21" s="11" customFormat="1" x14ac:dyDescent="0.25">
      <c r="A23" s="51" t="s">
        <v>74</v>
      </c>
      <c r="B23" s="53" t="s">
        <v>15</v>
      </c>
      <c r="C23" s="53" t="s">
        <v>15</v>
      </c>
      <c r="D23" s="53" t="s">
        <v>15</v>
      </c>
      <c r="E23" s="52">
        <v>40.78</v>
      </c>
      <c r="F23" s="52">
        <v>27.78</v>
      </c>
      <c r="G23" s="52">
        <v>124.4</v>
      </c>
      <c r="H23" s="52">
        <v>51.66</v>
      </c>
      <c r="I23" s="52">
        <v>4.0199999999999996</v>
      </c>
      <c r="J23" s="52">
        <v>4.1900000000000004</v>
      </c>
      <c r="K23" s="52">
        <v>349.74</v>
      </c>
      <c r="L23" s="52">
        <v>35.17</v>
      </c>
      <c r="M23" s="52">
        <v>15.37</v>
      </c>
      <c r="N23" s="52">
        <v>378.9</v>
      </c>
      <c r="O23" s="52">
        <v>0</v>
      </c>
      <c r="P23" s="52">
        <v>0.95</v>
      </c>
      <c r="Q23" s="52">
        <v>9.7899999999999991</v>
      </c>
      <c r="R23" s="43"/>
      <c r="S23" s="43"/>
      <c r="T23" s="43"/>
      <c r="U23" s="43"/>
    </row>
    <row r="24" spans="1:21" s="11" customFormat="1" x14ac:dyDescent="0.25">
      <c r="A24" s="51" t="s">
        <v>75</v>
      </c>
      <c r="B24" s="53" t="s">
        <v>15</v>
      </c>
      <c r="C24" s="53" t="s">
        <v>15</v>
      </c>
      <c r="D24" s="53" t="s">
        <v>15</v>
      </c>
      <c r="E24" s="52">
        <v>41.25</v>
      </c>
      <c r="F24" s="52">
        <v>32.15</v>
      </c>
      <c r="G24" s="52">
        <v>118.8</v>
      </c>
      <c r="H24" s="52">
        <v>60.08</v>
      </c>
      <c r="I24" s="52">
        <v>4</v>
      </c>
      <c r="J24" s="52">
        <v>4.8899999999999997</v>
      </c>
      <c r="K24" s="52">
        <v>348.24</v>
      </c>
      <c r="L24" s="52">
        <v>33.369999999999997</v>
      </c>
      <c r="M24" s="52">
        <v>16.72</v>
      </c>
      <c r="N24" s="52">
        <v>259</v>
      </c>
      <c r="O24" s="52">
        <v>0</v>
      </c>
      <c r="P24" s="52">
        <v>0.83</v>
      </c>
      <c r="Q24" s="52">
        <v>9.81</v>
      </c>
      <c r="R24" s="43"/>
      <c r="S24" s="43"/>
      <c r="T24" s="43"/>
      <c r="U24" s="43"/>
    </row>
    <row r="25" spans="1:21" s="11" customFormat="1" x14ac:dyDescent="0.25">
      <c r="A25" s="51" t="s">
        <v>76</v>
      </c>
      <c r="B25" s="53" t="s">
        <v>15</v>
      </c>
      <c r="C25" s="53" t="s">
        <v>15</v>
      </c>
      <c r="D25" s="53" t="s">
        <v>15</v>
      </c>
      <c r="E25" s="52">
        <v>46.97</v>
      </c>
      <c r="F25" s="52">
        <v>27.67</v>
      </c>
      <c r="G25" s="52">
        <v>117.49</v>
      </c>
      <c r="H25" s="54" t="s">
        <v>14</v>
      </c>
      <c r="I25" s="52">
        <v>4.0999999999999996</v>
      </c>
      <c r="J25" s="52">
        <v>4.5</v>
      </c>
      <c r="K25" s="52">
        <v>352.23</v>
      </c>
      <c r="L25" s="52">
        <v>31.1</v>
      </c>
      <c r="M25" s="52">
        <v>16.760000000000002</v>
      </c>
      <c r="N25" s="52">
        <v>132.5</v>
      </c>
      <c r="O25" s="52">
        <v>0</v>
      </c>
      <c r="P25" s="52">
        <v>0.77</v>
      </c>
      <c r="Q25" s="52">
        <v>9.76</v>
      </c>
      <c r="R25" s="43"/>
      <c r="S25" s="43"/>
      <c r="T25" s="43"/>
      <c r="U25" s="43"/>
    </row>
    <row r="26" spans="1:21" s="11" customFormat="1" x14ac:dyDescent="0.25">
      <c r="A26" s="51" t="s">
        <v>77</v>
      </c>
      <c r="B26" s="53" t="s">
        <v>15</v>
      </c>
      <c r="C26" s="53" t="s">
        <v>15</v>
      </c>
      <c r="D26" s="53" t="s">
        <v>15</v>
      </c>
      <c r="E26" s="52">
        <v>34.1</v>
      </c>
      <c r="F26" s="52">
        <v>33.450000000000003</v>
      </c>
      <c r="G26" s="52">
        <v>122.74</v>
      </c>
      <c r="H26" s="54" t="s">
        <v>14</v>
      </c>
      <c r="I26" s="52">
        <v>4.07</v>
      </c>
      <c r="J26" s="52">
        <v>4.3600000000000003</v>
      </c>
      <c r="K26" s="52">
        <v>354.35</v>
      </c>
      <c r="L26" s="52">
        <v>29.51</v>
      </c>
      <c r="M26" s="52">
        <v>17.55</v>
      </c>
      <c r="N26" s="52">
        <v>69.400000000000006</v>
      </c>
      <c r="O26" s="52">
        <v>0</v>
      </c>
      <c r="P26" s="52">
        <v>0.88</v>
      </c>
      <c r="Q26" s="52">
        <v>9.7200000000000006</v>
      </c>
      <c r="R26" s="43"/>
      <c r="S26" s="43"/>
      <c r="T26" s="43"/>
      <c r="U26" s="43"/>
    </row>
    <row r="27" spans="1:21" s="11" customFormat="1" x14ac:dyDescent="0.25">
      <c r="A27" s="51" t="s">
        <v>78</v>
      </c>
      <c r="B27" s="53" t="s">
        <v>15</v>
      </c>
      <c r="C27" s="53" t="s">
        <v>15</v>
      </c>
      <c r="D27" s="53" t="s">
        <v>15</v>
      </c>
      <c r="E27" s="52">
        <v>102.41</v>
      </c>
      <c r="F27" s="52">
        <v>24.07</v>
      </c>
      <c r="G27" s="52">
        <v>114.81</v>
      </c>
      <c r="H27" s="54" t="s">
        <v>14</v>
      </c>
      <c r="I27" s="52">
        <v>4.13</v>
      </c>
      <c r="J27" s="52">
        <v>2.71</v>
      </c>
      <c r="K27" s="52">
        <v>359.69</v>
      </c>
      <c r="L27" s="52">
        <v>27.96</v>
      </c>
      <c r="M27" s="52">
        <v>19.010000000000002</v>
      </c>
      <c r="N27" s="52">
        <v>31</v>
      </c>
      <c r="O27" s="52">
        <v>0</v>
      </c>
      <c r="P27" s="52">
        <v>1.96</v>
      </c>
      <c r="Q27" s="52">
        <v>9.67</v>
      </c>
      <c r="R27" s="43"/>
      <c r="S27" s="43"/>
      <c r="T27" s="43"/>
      <c r="U27" s="43"/>
    </row>
    <row r="28" spans="1:21" s="11" customFormat="1" x14ac:dyDescent="0.25">
      <c r="A28" s="51" t="s">
        <v>79</v>
      </c>
      <c r="B28" s="53" t="s">
        <v>15</v>
      </c>
      <c r="C28" s="53" t="s">
        <v>15</v>
      </c>
      <c r="D28" s="53" t="s">
        <v>15</v>
      </c>
      <c r="E28" s="52">
        <v>113.46</v>
      </c>
      <c r="F28" s="52">
        <v>15.28</v>
      </c>
      <c r="G28" s="52">
        <v>137.13999999999999</v>
      </c>
      <c r="H28" s="54" t="s">
        <v>14</v>
      </c>
      <c r="I28" s="52">
        <v>4.05</v>
      </c>
      <c r="J28" s="52">
        <v>1.97</v>
      </c>
      <c r="K28" s="52">
        <v>47.59</v>
      </c>
      <c r="L28" s="52">
        <v>27.08</v>
      </c>
      <c r="M28" s="52">
        <v>21.67</v>
      </c>
      <c r="N28" s="52">
        <v>28.9</v>
      </c>
      <c r="O28" s="52">
        <v>0</v>
      </c>
      <c r="P28" s="52">
        <v>3.26</v>
      </c>
      <c r="Q28" s="52">
        <v>9.69</v>
      </c>
      <c r="R28" s="43"/>
      <c r="S28" s="43"/>
      <c r="T28" s="43"/>
      <c r="U28" s="43"/>
    </row>
    <row r="29" spans="1:21" s="11" customFormat="1" x14ac:dyDescent="0.25">
      <c r="A29" s="51" t="s">
        <v>80</v>
      </c>
      <c r="B29" s="53" t="s">
        <v>15</v>
      </c>
      <c r="C29" s="53" t="s">
        <v>15</v>
      </c>
      <c r="D29" s="53" t="s">
        <v>15</v>
      </c>
      <c r="E29" s="52">
        <v>107</v>
      </c>
      <c r="F29" s="52">
        <v>16.82</v>
      </c>
      <c r="G29" s="52">
        <v>198.18</v>
      </c>
      <c r="H29" s="54" t="s">
        <v>14</v>
      </c>
      <c r="I29" s="52">
        <v>4.13</v>
      </c>
      <c r="J29" s="52">
        <v>2.3199999999999998</v>
      </c>
      <c r="K29" s="52">
        <v>359.24</v>
      </c>
      <c r="L29" s="52">
        <v>25.83</v>
      </c>
      <c r="M29" s="52">
        <v>23.78</v>
      </c>
      <c r="N29" s="52">
        <v>28.7</v>
      </c>
      <c r="O29" s="52">
        <v>0</v>
      </c>
      <c r="P29" s="52">
        <v>3.92</v>
      </c>
      <c r="Q29" s="52">
        <v>9.69</v>
      </c>
      <c r="R29" s="43"/>
      <c r="S29" s="43"/>
      <c r="T29" s="43"/>
      <c r="U29" s="43"/>
    </row>
    <row r="30" spans="1:21" s="11" customFormat="1" x14ac:dyDescent="0.25">
      <c r="A30" s="51" t="s">
        <v>81</v>
      </c>
      <c r="B30" s="53" t="s">
        <v>15</v>
      </c>
      <c r="C30" s="53" t="s">
        <v>15</v>
      </c>
      <c r="D30" s="53" t="s">
        <v>15</v>
      </c>
      <c r="E30" s="52">
        <v>81.67</v>
      </c>
      <c r="F30" s="52">
        <v>14.39</v>
      </c>
      <c r="G30" s="52">
        <v>182.3</v>
      </c>
      <c r="H30" s="54" t="s">
        <v>14</v>
      </c>
      <c r="I30" s="52">
        <v>4.04</v>
      </c>
      <c r="J30" s="52">
        <v>2.14</v>
      </c>
      <c r="K30" s="52">
        <v>358.05</v>
      </c>
      <c r="L30" s="52">
        <v>25.78</v>
      </c>
      <c r="M30" s="52">
        <v>30.56</v>
      </c>
      <c r="N30" s="52">
        <v>29</v>
      </c>
      <c r="O30" s="52">
        <v>0</v>
      </c>
      <c r="P30" s="52">
        <v>2.73</v>
      </c>
      <c r="Q30" s="52">
        <v>9.6999999999999993</v>
      </c>
      <c r="R30" s="43"/>
      <c r="S30" s="43"/>
      <c r="T30" s="43"/>
      <c r="U30" s="43"/>
    </row>
    <row r="31" spans="1:21" s="11" customFormat="1" x14ac:dyDescent="0.25">
      <c r="A31" s="51" t="s">
        <v>82</v>
      </c>
      <c r="B31" s="53" t="s">
        <v>15</v>
      </c>
      <c r="C31" s="53" t="s">
        <v>15</v>
      </c>
      <c r="D31" s="53" t="s">
        <v>15</v>
      </c>
      <c r="E31" s="52">
        <v>87.17</v>
      </c>
      <c r="F31" s="52">
        <v>12.69</v>
      </c>
      <c r="G31" s="52">
        <v>170.94</v>
      </c>
      <c r="H31" s="52">
        <v>44.75</v>
      </c>
      <c r="I31" s="52">
        <v>4.25</v>
      </c>
      <c r="J31" s="52">
        <v>2.04</v>
      </c>
      <c r="K31" s="52">
        <v>358.2</v>
      </c>
      <c r="L31" s="52">
        <v>24.48</v>
      </c>
      <c r="M31" s="52">
        <v>29.2</v>
      </c>
      <c r="N31" s="52">
        <v>29</v>
      </c>
      <c r="O31" s="52">
        <v>0</v>
      </c>
      <c r="P31" s="52">
        <v>2.2400000000000002</v>
      </c>
      <c r="Q31" s="52">
        <v>9.7100000000000009</v>
      </c>
      <c r="R31" s="43"/>
      <c r="S31" s="43"/>
      <c r="T31" s="43"/>
      <c r="U31" s="43"/>
    </row>
    <row r="32" spans="1:21" s="11" customFormat="1" x14ac:dyDescent="0.25">
      <c r="A32" s="51" t="s">
        <v>83</v>
      </c>
      <c r="B32" s="53" t="s">
        <v>15</v>
      </c>
      <c r="C32" s="53" t="s">
        <v>15</v>
      </c>
      <c r="D32" s="53" t="s">
        <v>15</v>
      </c>
      <c r="E32" s="52">
        <v>56.91</v>
      </c>
      <c r="F32" s="52">
        <v>7.09</v>
      </c>
      <c r="G32" s="52">
        <v>190.12</v>
      </c>
      <c r="H32" s="52">
        <v>44.75</v>
      </c>
      <c r="I32" s="52">
        <v>4.0999999999999996</v>
      </c>
      <c r="J32" s="52">
        <v>1.78</v>
      </c>
      <c r="K32" s="52">
        <v>309.23</v>
      </c>
      <c r="L32" s="52">
        <v>23.61</v>
      </c>
      <c r="M32" s="52">
        <v>40.21</v>
      </c>
      <c r="N32" s="52">
        <v>29</v>
      </c>
      <c r="O32" s="52">
        <v>0</v>
      </c>
      <c r="P32" s="52">
        <v>2.12</v>
      </c>
      <c r="Q32" s="52">
        <v>9.73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4.82</v>
      </c>
      <c r="F34" s="28">
        <f t="shared" si="0"/>
        <v>6.58</v>
      </c>
      <c r="G34" s="28">
        <f t="shared" si="0"/>
        <v>95.41</v>
      </c>
      <c r="H34" s="28">
        <f t="shared" si="0"/>
        <v>22.85</v>
      </c>
      <c r="I34" s="28">
        <f t="shared" si="0"/>
        <v>3.95</v>
      </c>
      <c r="J34" s="28">
        <f t="shared" si="0"/>
        <v>0.6</v>
      </c>
      <c r="K34" s="28">
        <f t="shared" si="0"/>
        <v>47.59</v>
      </c>
      <c r="L34" s="28">
        <f t="shared" si="0"/>
        <v>18.89</v>
      </c>
      <c r="M34" s="28">
        <f t="shared" si="0"/>
        <v>12.52</v>
      </c>
      <c r="N34" s="28">
        <f t="shared" si="0"/>
        <v>28.7</v>
      </c>
      <c r="O34" s="28">
        <f t="shared" si="0"/>
        <v>0</v>
      </c>
      <c r="P34" s="28">
        <f t="shared" si="0"/>
        <v>0.77</v>
      </c>
      <c r="Q34" s="28">
        <f t="shared" si="0"/>
        <v>9.67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113.46</v>
      </c>
      <c r="F35" s="29">
        <f t="shared" si="1"/>
        <v>36.799999999999997</v>
      </c>
      <c r="G35" s="29">
        <f t="shared" si="1"/>
        <v>198.18</v>
      </c>
      <c r="H35" s="29">
        <f t="shared" si="1"/>
        <v>61.15</v>
      </c>
      <c r="I35" s="29">
        <f t="shared" si="1"/>
        <v>4.25</v>
      </c>
      <c r="J35" s="29">
        <f t="shared" si="1"/>
        <v>6.81</v>
      </c>
      <c r="K35" s="29">
        <f t="shared" si="1"/>
        <v>359.69</v>
      </c>
      <c r="L35" s="29">
        <f t="shared" si="1"/>
        <v>35.89</v>
      </c>
      <c r="M35" s="29">
        <f t="shared" si="1"/>
        <v>47.21</v>
      </c>
      <c r="N35" s="29">
        <f t="shared" si="1"/>
        <v>608.5</v>
      </c>
      <c r="O35" s="29">
        <f t="shared" si="1"/>
        <v>0</v>
      </c>
      <c r="P35" s="29">
        <f t="shared" si="1"/>
        <v>3.92</v>
      </c>
      <c r="Q35" s="29">
        <f t="shared" si="1"/>
        <v>9.99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46.451250000000009</v>
      </c>
      <c r="F36" s="28">
        <f t="shared" si="2"/>
        <v>18.889583333333327</v>
      </c>
      <c r="G36" s="28">
        <f t="shared" si="2"/>
        <v>131.43749999999997</v>
      </c>
      <c r="H36" s="28">
        <f t="shared" si="2"/>
        <v>42.416666666666657</v>
      </c>
      <c r="I36" s="28">
        <f t="shared" si="2"/>
        <v>4.0925000000000002</v>
      </c>
      <c r="J36" s="28">
        <f t="shared" si="2"/>
        <v>2.4508333333333332</v>
      </c>
      <c r="K36" s="28">
        <f t="shared" si="2"/>
        <v>327.73208333333332</v>
      </c>
      <c r="L36" s="28">
        <f t="shared" si="2"/>
        <v>27.647500000000004</v>
      </c>
      <c r="M36" s="28">
        <f t="shared" si="2"/>
        <v>26.470000000000002</v>
      </c>
      <c r="N36" s="28">
        <f t="shared" si="2"/>
        <v>208.06249999999997</v>
      </c>
      <c r="O36" s="28">
        <f t="shared" si="2"/>
        <v>0</v>
      </c>
      <c r="P36" s="28">
        <f t="shared" si="2"/>
        <v>1.5274999999999999</v>
      </c>
      <c r="Q36" s="28">
        <f t="shared" si="2"/>
        <v>9.8266666666666644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32.149139188218975</v>
      </c>
      <c r="F37" s="28">
        <f t="shared" si="3"/>
        <v>9.367317596263911</v>
      </c>
      <c r="G37" s="28">
        <f t="shared" si="3"/>
        <v>28.387074561742363</v>
      </c>
      <c r="H37" s="28">
        <f t="shared" si="3"/>
        <v>10.298360234979739</v>
      </c>
      <c r="I37" s="28">
        <f t="shared" si="3"/>
        <v>7.2546836445574067E-2</v>
      </c>
      <c r="J37" s="28">
        <f t="shared" si="3"/>
        <v>1.8384017554639009</v>
      </c>
      <c r="K37" s="28">
        <f t="shared" si="3"/>
        <v>63.148631434044354</v>
      </c>
      <c r="L37" s="28">
        <f t="shared" si="3"/>
        <v>5.5749956131782179</v>
      </c>
      <c r="M37" s="28">
        <f t="shared" si="3"/>
        <v>11.50882308038716</v>
      </c>
      <c r="N37" s="28">
        <f t="shared" si="3"/>
        <v>218.37907371576728</v>
      </c>
      <c r="O37" s="28">
        <f t="shared" si="3"/>
        <v>0</v>
      </c>
      <c r="P37" s="28">
        <f t="shared" si="3"/>
        <v>0.80464547959091126</v>
      </c>
      <c r="Q37" s="28">
        <f t="shared" si="3"/>
        <v>0.1015816941171495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18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&lt;90%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LESS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3" width="11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02/04/2025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84</v>
      </c>
      <c r="B9" s="53" t="s">
        <v>15</v>
      </c>
      <c r="C9" s="53" t="s">
        <v>15</v>
      </c>
      <c r="D9" s="53" t="s">
        <v>15</v>
      </c>
      <c r="E9" s="52">
        <v>52.06</v>
      </c>
      <c r="F9" s="52">
        <v>7.07</v>
      </c>
      <c r="G9" s="52">
        <v>186.99</v>
      </c>
      <c r="H9" s="52">
        <v>131.33000000000001</v>
      </c>
      <c r="I9" s="52">
        <v>4.22</v>
      </c>
      <c r="J9" s="52">
        <v>1.74</v>
      </c>
      <c r="K9" s="52">
        <v>359.68</v>
      </c>
      <c r="L9" s="52">
        <v>21.35</v>
      </c>
      <c r="M9" s="52">
        <v>48.21</v>
      </c>
      <c r="N9" s="52">
        <v>28.8</v>
      </c>
      <c r="O9" s="52">
        <v>0</v>
      </c>
      <c r="P9" s="52">
        <v>2.17</v>
      </c>
      <c r="Q9" s="52">
        <v>9.84</v>
      </c>
      <c r="R9" s="43"/>
      <c r="S9" s="43"/>
      <c r="T9" s="43"/>
      <c r="U9" s="43"/>
    </row>
    <row r="10" spans="1:21" s="11" customFormat="1" x14ac:dyDescent="0.25">
      <c r="A10" s="51" t="s">
        <v>85</v>
      </c>
      <c r="B10" s="53" t="s">
        <v>15</v>
      </c>
      <c r="C10" s="53" t="s">
        <v>15</v>
      </c>
      <c r="D10" s="53" t="s">
        <v>15</v>
      </c>
      <c r="E10" s="52">
        <v>41.64</v>
      </c>
      <c r="F10" s="52">
        <v>7.15</v>
      </c>
      <c r="G10" s="52">
        <v>188.25</v>
      </c>
      <c r="H10" s="52">
        <v>58.04</v>
      </c>
      <c r="I10" s="52">
        <v>3.99</v>
      </c>
      <c r="J10" s="52">
        <v>2.16</v>
      </c>
      <c r="K10" s="52">
        <v>313.95</v>
      </c>
      <c r="L10" s="52">
        <v>21.21</v>
      </c>
      <c r="M10" s="52">
        <v>46.42</v>
      </c>
      <c r="N10" s="52">
        <v>28.6</v>
      </c>
      <c r="O10" s="52">
        <v>0</v>
      </c>
      <c r="P10" s="52">
        <v>1.97</v>
      </c>
      <c r="Q10" s="52">
        <v>9.86</v>
      </c>
      <c r="R10" s="43"/>
      <c r="S10" s="43"/>
      <c r="T10" s="43"/>
      <c r="U10" s="43"/>
    </row>
    <row r="11" spans="1:21" s="11" customFormat="1" x14ac:dyDescent="0.25">
      <c r="A11" s="51" t="s">
        <v>86</v>
      </c>
      <c r="B11" s="53" t="s">
        <v>15</v>
      </c>
      <c r="C11" s="53" t="s">
        <v>15</v>
      </c>
      <c r="D11" s="53" t="s">
        <v>15</v>
      </c>
      <c r="E11" s="52">
        <v>8.66</v>
      </c>
      <c r="F11" s="52">
        <v>8.61</v>
      </c>
      <c r="G11" s="52">
        <v>169.98</v>
      </c>
      <c r="H11" s="52">
        <v>187.93</v>
      </c>
      <c r="I11" s="52">
        <v>4.09</v>
      </c>
      <c r="J11" s="52">
        <v>2.11</v>
      </c>
      <c r="K11" s="52">
        <v>329.39</v>
      </c>
      <c r="L11" s="52">
        <v>20.93</v>
      </c>
      <c r="M11" s="52">
        <v>46.76</v>
      </c>
      <c r="N11" s="52">
        <v>28.9</v>
      </c>
      <c r="O11" s="52">
        <v>0</v>
      </c>
      <c r="P11" s="52">
        <v>1.86</v>
      </c>
      <c r="Q11" s="52">
        <v>9.86</v>
      </c>
      <c r="R11" s="43"/>
      <c r="S11" s="43"/>
      <c r="T11" s="43"/>
      <c r="U11" s="43"/>
    </row>
    <row r="12" spans="1:21" s="11" customFormat="1" x14ac:dyDescent="0.25">
      <c r="A12" s="51" t="s">
        <v>87</v>
      </c>
      <c r="B12" s="53" t="s">
        <v>15</v>
      </c>
      <c r="C12" s="53" t="s">
        <v>15</v>
      </c>
      <c r="D12" s="53" t="s">
        <v>15</v>
      </c>
      <c r="E12" s="52">
        <v>8.51</v>
      </c>
      <c r="F12" s="52">
        <v>9.8699999999999992</v>
      </c>
      <c r="G12" s="52">
        <v>125.22</v>
      </c>
      <c r="H12" s="52">
        <v>54.63</v>
      </c>
      <c r="I12" s="52">
        <v>4.1500000000000004</v>
      </c>
      <c r="J12" s="52">
        <v>1.42</v>
      </c>
      <c r="K12" s="52">
        <v>332.25</v>
      </c>
      <c r="L12" s="52">
        <v>19.809999999999999</v>
      </c>
      <c r="M12" s="52">
        <v>49</v>
      </c>
      <c r="N12" s="52">
        <v>28.7</v>
      </c>
      <c r="O12" s="52">
        <v>0</v>
      </c>
      <c r="P12" s="52">
        <v>1.59</v>
      </c>
      <c r="Q12" s="52">
        <v>9.83</v>
      </c>
      <c r="R12" s="43"/>
      <c r="S12" s="43"/>
      <c r="T12" s="43"/>
      <c r="U12" s="43"/>
    </row>
    <row r="13" spans="1:21" s="11" customFormat="1" x14ac:dyDescent="0.25">
      <c r="A13" s="51" t="s">
        <v>88</v>
      </c>
      <c r="B13" s="53" t="s">
        <v>15</v>
      </c>
      <c r="C13" s="53" t="s">
        <v>15</v>
      </c>
      <c r="D13" s="53" t="s">
        <v>15</v>
      </c>
      <c r="E13" s="52">
        <v>10.1</v>
      </c>
      <c r="F13" s="52">
        <v>11.5</v>
      </c>
      <c r="G13" s="52">
        <v>109.97</v>
      </c>
      <c r="H13" s="52">
        <v>160.16</v>
      </c>
      <c r="I13" s="52">
        <v>4.12</v>
      </c>
      <c r="J13" s="52">
        <v>2.46</v>
      </c>
      <c r="K13" s="52">
        <v>346.3</v>
      </c>
      <c r="L13" s="52">
        <v>19.96</v>
      </c>
      <c r="M13" s="52">
        <v>40.57</v>
      </c>
      <c r="N13" s="52">
        <v>28.5</v>
      </c>
      <c r="O13" s="52">
        <v>0</v>
      </c>
      <c r="P13" s="52">
        <v>1.41</v>
      </c>
      <c r="Q13" s="52">
        <v>9.7799999999999994</v>
      </c>
      <c r="R13" s="43"/>
      <c r="S13" s="43"/>
      <c r="T13" s="43"/>
      <c r="U13" s="43"/>
    </row>
    <row r="14" spans="1:21" s="11" customFormat="1" x14ac:dyDescent="0.25">
      <c r="A14" s="51" t="s">
        <v>89</v>
      </c>
      <c r="B14" s="53" t="s">
        <v>15</v>
      </c>
      <c r="C14" s="53" t="s">
        <v>15</v>
      </c>
      <c r="D14" s="53" t="s">
        <v>15</v>
      </c>
      <c r="E14" s="52">
        <v>20.28</v>
      </c>
      <c r="F14" s="52">
        <v>11.69</v>
      </c>
      <c r="G14" s="52">
        <v>95.29</v>
      </c>
      <c r="H14" s="52">
        <v>53.29</v>
      </c>
      <c r="I14" s="52">
        <v>4.1399999999999997</v>
      </c>
      <c r="J14" s="52">
        <v>2.4500000000000002</v>
      </c>
      <c r="K14" s="52">
        <v>346.13</v>
      </c>
      <c r="L14" s="52">
        <v>20.61</v>
      </c>
      <c r="M14" s="52">
        <v>36.979999999999997</v>
      </c>
      <c r="N14" s="52">
        <v>31.5</v>
      </c>
      <c r="O14" s="52">
        <v>0</v>
      </c>
      <c r="P14" s="52">
        <v>1.17</v>
      </c>
      <c r="Q14" s="52">
        <v>9.76</v>
      </c>
      <c r="R14" s="43"/>
      <c r="S14" s="43"/>
      <c r="T14" s="43"/>
      <c r="U14" s="43"/>
    </row>
    <row r="15" spans="1:21" s="11" customFormat="1" x14ac:dyDescent="0.25">
      <c r="A15" s="51" t="s">
        <v>90</v>
      </c>
      <c r="B15" s="53" t="s">
        <v>15</v>
      </c>
      <c r="C15" s="53" t="s">
        <v>15</v>
      </c>
      <c r="D15" s="53" t="s">
        <v>15</v>
      </c>
      <c r="E15" s="52">
        <v>13.69</v>
      </c>
      <c r="F15" s="52">
        <v>7.92</v>
      </c>
      <c r="G15" s="52">
        <v>108.54</v>
      </c>
      <c r="H15" s="52">
        <v>1.07</v>
      </c>
      <c r="I15" s="52">
        <v>4.0999999999999996</v>
      </c>
      <c r="J15" s="52">
        <v>2.46</v>
      </c>
      <c r="K15" s="52">
        <v>334.25</v>
      </c>
      <c r="L15" s="52">
        <v>21.19</v>
      </c>
      <c r="M15" s="52">
        <v>36.840000000000003</v>
      </c>
      <c r="N15" s="52">
        <v>55.8</v>
      </c>
      <c r="O15" s="52">
        <v>0</v>
      </c>
      <c r="P15" s="52">
        <v>1.36</v>
      </c>
      <c r="Q15" s="52">
        <v>9.74</v>
      </c>
      <c r="R15" s="43"/>
      <c r="S15" s="43"/>
      <c r="T15" s="43"/>
      <c r="U15" s="43"/>
    </row>
    <row r="16" spans="1:21" s="11" customFormat="1" x14ac:dyDescent="0.25">
      <c r="A16" s="51" t="s">
        <v>91</v>
      </c>
      <c r="B16" s="53" t="s">
        <v>15</v>
      </c>
      <c r="C16" s="53" t="s">
        <v>15</v>
      </c>
      <c r="D16" s="53" t="s">
        <v>15</v>
      </c>
      <c r="E16" s="52">
        <v>6.78</v>
      </c>
      <c r="F16" s="52">
        <v>8.27</v>
      </c>
      <c r="G16" s="52">
        <v>132.66</v>
      </c>
      <c r="H16" s="52">
        <v>0.04</v>
      </c>
      <c r="I16" s="52">
        <v>4.05</v>
      </c>
      <c r="J16" s="52">
        <v>3.05</v>
      </c>
      <c r="K16" s="52">
        <v>346.69</v>
      </c>
      <c r="L16" s="52">
        <v>23.04</v>
      </c>
      <c r="M16" s="52">
        <v>31.59</v>
      </c>
      <c r="N16" s="52">
        <v>123.5</v>
      </c>
      <c r="O16" s="52">
        <v>0</v>
      </c>
      <c r="P16" s="52">
        <v>1.43</v>
      </c>
      <c r="Q16" s="52">
        <v>9.7100000000000009</v>
      </c>
      <c r="R16" s="43"/>
      <c r="S16" s="43"/>
      <c r="T16" s="43"/>
      <c r="U16" s="43"/>
    </row>
    <row r="17" spans="1:21" s="11" customFormat="1" x14ac:dyDescent="0.25">
      <c r="A17" s="51" t="s">
        <v>92</v>
      </c>
      <c r="B17" s="53" t="s">
        <v>15</v>
      </c>
      <c r="C17" s="53" t="s">
        <v>15</v>
      </c>
      <c r="D17" s="53" t="s">
        <v>15</v>
      </c>
      <c r="E17" s="52">
        <v>22.86</v>
      </c>
      <c r="F17" s="52">
        <v>15.1</v>
      </c>
      <c r="G17" s="52">
        <v>122.87</v>
      </c>
      <c r="H17" s="52">
        <v>76.73</v>
      </c>
      <c r="I17" s="52">
        <v>3.95</v>
      </c>
      <c r="J17" s="52">
        <v>2.92</v>
      </c>
      <c r="K17" s="52">
        <v>333.21</v>
      </c>
      <c r="L17" s="52">
        <v>26.16</v>
      </c>
      <c r="M17" s="52">
        <v>27.94</v>
      </c>
      <c r="N17" s="52">
        <v>252.7</v>
      </c>
      <c r="O17" s="52">
        <v>0</v>
      </c>
      <c r="P17" s="52">
        <v>1.38</v>
      </c>
      <c r="Q17" s="52">
        <v>9.6999999999999993</v>
      </c>
      <c r="R17" s="43"/>
      <c r="S17" s="43"/>
      <c r="T17" s="43"/>
      <c r="U17" s="43"/>
    </row>
    <row r="18" spans="1:21" s="11" customFormat="1" x14ac:dyDescent="0.25">
      <c r="A18" s="51" t="s">
        <v>93</v>
      </c>
      <c r="B18" s="53" t="s">
        <v>15</v>
      </c>
      <c r="C18" s="53" t="s">
        <v>15</v>
      </c>
      <c r="D18" s="53" t="s">
        <v>15</v>
      </c>
      <c r="E18" s="52">
        <v>21.72</v>
      </c>
      <c r="F18" s="52">
        <v>16.329999999999998</v>
      </c>
      <c r="G18" s="52">
        <v>103.24</v>
      </c>
      <c r="H18" s="52">
        <v>426.82</v>
      </c>
      <c r="I18" s="52">
        <v>4.01</v>
      </c>
      <c r="J18" s="52">
        <v>1.8</v>
      </c>
      <c r="K18" s="52">
        <v>331.87</v>
      </c>
      <c r="L18" s="52">
        <v>28.68</v>
      </c>
      <c r="M18" s="52">
        <v>23.84</v>
      </c>
      <c r="N18" s="52">
        <v>351.8</v>
      </c>
      <c r="O18" s="52">
        <v>0</v>
      </c>
      <c r="P18" s="52">
        <v>1.48</v>
      </c>
      <c r="Q18" s="52">
        <v>9.69</v>
      </c>
      <c r="R18" s="43"/>
      <c r="S18" s="43"/>
      <c r="T18" s="43"/>
      <c r="U18" s="43"/>
    </row>
    <row r="19" spans="1:21" s="11" customFormat="1" x14ac:dyDescent="0.25">
      <c r="A19" s="51" t="s">
        <v>94</v>
      </c>
      <c r="B19" s="53" t="s">
        <v>15</v>
      </c>
      <c r="C19" s="53" t="s">
        <v>15</v>
      </c>
      <c r="D19" s="53" t="s">
        <v>15</v>
      </c>
      <c r="E19" s="52">
        <v>14.35</v>
      </c>
      <c r="F19" s="52">
        <v>15.62</v>
      </c>
      <c r="G19" s="52">
        <v>106</v>
      </c>
      <c r="H19" s="52">
        <v>52.41</v>
      </c>
      <c r="I19" s="52">
        <v>4.09</v>
      </c>
      <c r="J19" s="52">
        <v>3.09</v>
      </c>
      <c r="K19" s="52">
        <v>332.53</v>
      </c>
      <c r="L19" s="52">
        <v>31.5</v>
      </c>
      <c r="M19" s="52">
        <v>21.91</v>
      </c>
      <c r="N19" s="52">
        <v>414.1</v>
      </c>
      <c r="O19" s="52">
        <v>0</v>
      </c>
      <c r="P19" s="52">
        <v>1.44</v>
      </c>
      <c r="Q19" s="52">
        <v>9.68</v>
      </c>
      <c r="R19" s="43"/>
      <c r="S19" s="43"/>
      <c r="T19" s="43"/>
      <c r="U19" s="43"/>
    </row>
    <row r="20" spans="1:21" s="11" customFormat="1" x14ac:dyDescent="0.25">
      <c r="A20" s="51" t="s">
        <v>95</v>
      </c>
      <c r="B20" s="53" t="s">
        <v>15</v>
      </c>
      <c r="C20" s="53" t="s">
        <v>15</v>
      </c>
      <c r="D20" s="53" t="s">
        <v>15</v>
      </c>
      <c r="E20" s="52">
        <v>13.67</v>
      </c>
      <c r="F20" s="52">
        <v>12.69</v>
      </c>
      <c r="G20" s="52">
        <v>107.93</v>
      </c>
      <c r="H20" s="52">
        <v>1.05</v>
      </c>
      <c r="I20" s="52">
        <v>4.03</v>
      </c>
      <c r="J20" s="52">
        <v>3.31</v>
      </c>
      <c r="K20" s="52">
        <v>346.65</v>
      </c>
      <c r="L20" s="52">
        <v>33.57</v>
      </c>
      <c r="M20" s="52">
        <v>16.11</v>
      </c>
      <c r="N20" s="52">
        <v>527.70000000000005</v>
      </c>
      <c r="O20" s="52">
        <v>0</v>
      </c>
      <c r="P20" s="52">
        <v>1.34</v>
      </c>
      <c r="Q20" s="52">
        <v>9.6300000000000008</v>
      </c>
      <c r="R20" s="43"/>
      <c r="S20" s="43"/>
      <c r="T20" s="43"/>
      <c r="U20" s="43"/>
    </row>
    <row r="21" spans="1:21" s="11" customFormat="1" x14ac:dyDescent="0.25">
      <c r="A21" s="51" t="s">
        <v>96</v>
      </c>
      <c r="B21" s="53" t="s">
        <v>15</v>
      </c>
      <c r="C21" s="53" t="s">
        <v>15</v>
      </c>
      <c r="D21" s="53" t="s">
        <v>15</v>
      </c>
      <c r="E21" s="52">
        <v>22.18</v>
      </c>
      <c r="F21" s="52">
        <v>16.440000000000001</v>
      </c>
      <c r="G21" s="52">
        <v>105.64</v>
      </c>
      <c r="H21" s="52">
        <v>0.04</v>
      </c>
      <c r="I21" s="52">
        <v>4</v>
      </c>
      <c r="J21" s="52">
        <v>3.23</v>
      </c>
      <c r="K21" s="52">
        <v>352.65</v>
      </c>
      <c r="L21" s="52">
        <v>32.369999999999997</v>
      </c>
      <c r="M21" s="52">
        <v>17.440000000000001</v>
      </c>
      <c r="N21" s="52">
        <v>386.8</v>
      </c>
      <c r="O21" s="52">
        <v>0</v>
      </c>
      <c r="P21" s="52">
        <v>1.21</v>
      </c>
      <c r="Q21" s="52">
        <v>9.3800000000000008</v>
      </c>
      <c r="R21" s="43"/>
      <c r="S21" s="43"/>
      <c r="T21" s="43"/>
      <c r="U21" s="43"/>
    </row>
    <row r="22" spans="1:21" s="11" customFormat="1" x14ac:dyDescent="0.25">
      <c r="A22" s="51" t="s">
        <v>97</v>
      </c>
      <c r="B22" s="53" t="s">
        <v>15</v>
      </c>
      <c r="C22" s="53" t="s">
        <v>15</v>
      </c>
      <c r="D22" s="53" t="s">
        <v>15</v>
      </c>
      <c r="E22" s="52">
        <v>42.74</v>
      </c>
      <c r="F22" s="52">
        <v>24.33</v>
      </c>
      <c r="G22" s="52">
        <v>106.3</v>
      </c>
      <c r="H22" s="5" t="s">
        <v>14</v>
      </c>
      <c r="I22" s="52">
        <v>4.1100000000000003</v>
      </c>
      <c r="J22" s="52">
        <v>4.12</v>
      </c>
      <c r="K22" s="52">
        <v>356.27</v>
      </c>
      <c r="L22" s="52">
        <v>32.450000000000003</v>
      </c>
      <c r="M22" s="52">
        <v>14.78</v>
      </c>
      <c r="N22" s="52">
        <v>396.1</v>
      </c>
      <c r="O22" s="52">
        <v>0</v>
      </c>
      <c r="P22" s="52">
        <v>1.1000000000000001</v>
      </c>
      <c r="Q22" s="52">
        <v>9.42</v>
      </c>
      <c r="R22" s="43"/>
      <c r="S22" s="43"/>
      <c r="T22" s="43"/>
      <c r="U22" s="43"/>
    </row>
    <row r="23" spans="1:21" s="11" customFormat="1" x14ac:dyDescent="0.25">
      <c r="A23" s="51" t="s">
        <v>98</v>
      </c>
      <c r="B23" s="53" t="s">
        <v>15</v>
      </c>
      <c r="C23" s="53" t="s">
        <v>15</v>
      </c>
      <c r="D23" s="53" t="s">
        <v>15</v>
      </c>
      <c r="E23" s="52">
        <v>86.46</v>
      </c>
      <c r="F23" s="52">
        <v>38.840000000000003</v>
      </c>
      <c r="G23" s="52">
        <v>93.05</v>
      </c>
      <c r="H23" s="5" t="s">
        <v>14</v>
      </c>
      <c r="I23" s="52">
        <v>4.1100000000000003</v>
      </c>
      <c r="J23" s="52">
        <v>4.1100000000000003</v>
      </c>
      <c r="K23" s="52">
        <v>357.56</v>
      </c>
      <c r="L23" s="52">
        <v>33.39</v>
      </c>
      <c r="M23" s="52">
        <v>15.24</v>
      </c>
      <c r="N23" s="52">
        <v>331.8</v>
      </c>
      <c r="O23" s="52">
        <v>0</v>
      </c>
      <c r="P23" s="52">
        <v>1.07</v>
      </c>
      <c r="Q23" s="52">
        <v>9.61</v>
      </c>
      <c r="R23" s="43"/>
      <c r="S23" s="43"/>
      <c r="T23" s="43"/>
      <c r="U23" s="43"/>
    </row>
    <row r="24" spans="1:21" s="11" customFormat="1" x14ac:dyDescent="0.25">
      <c r="A24" s="51" t="s">
        <v>99</v>
      </c>
      <c r="B24" s="53" t="s">
        <v>15</v>
      </c>
      <c r="C24" s="53" t="s">
        <v>15</v>
      </c>
      <c r="D24" s="53" t="s">
        <v>15</v>
      </c>
      <c r="E24" s="52">
        <v>89.31</v>
      </c>
      <c r="F24" s="52">
        <v>40.56</v>
      </c>
      <c r="G24" s="18" t="s">
        <v>12</v>
      </c>
      <c r="H24" s="18" t="s">
        <v>12</v>
      </c>
      <c r="I24" s="52">
        <v>4.0599999999999996</v>
      </c>
      <c r="J24" s="52">
        <v>2.94</v>
      </c>
      <c r="K24" s="52">
        <v>100.21</v>
      </c>
      <c r="L24" s="52">
        <v>31.53</v>
      </c>
      <c r="M24" s="52">
        <v>14.91</v>
      </c>
      <c r="N24" s="52">
        <v>241.3</v>
      </c>
      <c r="O24" s="52">
        <v>0</v>
      </c>
      <c r="P24" s="52">
        <v>0.88</v>
      </c>
      <c r="Q24" s="52">
        <v>9.64</v>
      </c>
      <c r="R24" s="43"/>
      <c r="S24" s="43"/>
      <c r="T24" s="43"/>
      <c r="U24" s="43"/>
    </row>
    <row r="25" spans="1:21" s="11" customFormat="1" x14ac:dyDescent="0.25">
      <c r="A25" s="51" t="s">
        <v>100</v>
      </c>
      <c r="B25" s="53" t="s">
        <v>15</v>
      </c>
      <c r="C25" s="53" t="s">
        <v>15</v>
      </c>
      <c r="D25" s="53" t="s">
        <v>15</v>
      </c>
      <c r="E25" s="52">
        <v>79.45</v>
      </c>
      <c r="F25" s="52">
        <v>36.97</v>
      </c>
      <c r="G25" s="18" t="s">
        <v>12</v>
      </c>
      <c r="H25" s="18" t="s">
        <v>12</v>
      </c>
      <c r="I25" s="52">
        <v>4.12</v>
      </c>
      <c r="J25" s="52">
        <v>2.19</v>
      </c>
      <c r="K25" s="52">
        <v>90.27</v>
      </c>
      <c r="L25" s="52">
        <v>29.98</v>
      </c>
      <c r="M25" s="52">
        <v>16.48</v>
      </c>
      <c r="N25" s="52">
        <v>112.1</v>
      </c>
      <c r="O25" s="52">
        <v>0</v>
      </c>
      <c r="P25" s="52">
        <v>1.1100000000000001</v>
      </c>
      <c r="Q25" s="52">
        <v>9.59</v>
      </c>
      <c r="R25" s="43"/>
      <c r="S25" s="43"/>
      <c r="T25" s="43"/>
      <c r="U25" s="43"/>
    </row>
    <row r="26" spans="1:21" s="11" customFormat="1" x14ac:dyDescent="0.25">
      <c r="A26" s="51" t="s">
        <v>101</v>
      </c>
      <c r="B26" s="53" t="s">
        <v>15</v>
      </c>
      <c r="C26" s="53" t="s">
        <v>15</v>
      </c>
      <c r="D26" s="53" t="s">
        <v>15</v>
      </c>
      <c r="E26" s="52">
        <v>93.13</v>
      </c>
      <c r="F26" s="52">
        <v>35.82</v>
      </c>
      <c r="G26" s="52">
        <v>109.79</v>
      </c>
      <c r="H26" s="54" t="s">
        <v>14</v>
      </c>
      <c r="I26" s="52">
        <v>4.05</v>
      </c>
      <c r="J26" s="52">
        <v>1.73</v>
      </c>
      <c r="K26" s="52">
        <v>358.13</v>
      </c>
      <c r="L26" s="52">
        <v>28.79</v>
      </c>
      <c r="M26" s="52">
        <v>25.23</v>
      </c>
      <c r="N26" s="52">
        <v>89</v>
      </c>
      <c r="O26" s="52">
        <v>0</v>
      </c>
      <c r="P26" s="52">
        <v>2.21</v>
      </c>
      <c r="Q26" s="52">
        <v>9.5399999999999991</v>
      </c>
      <c r="R26" s="43"/>
      <c r="S26" s="43"/>
      <c r="T26" s="43"/>
      <c r="U26" s="43"/>
    </row>
    <row r="27" spans="1:21" s="11" customFormat="1" x14ac:dyDescent="0.25">
      <c r="A27" s="51" t="s">
        <v>102</v>
      </c>
      <c r="B27" s="53" t="s">
        <v>15</v>
      </c>
      <c r="C27" s="53" t="s">
        <v>15</v>
      </c>
      <c r="D27" s="53" t="s">
        <v>15</v>
      </c>
      <c r="E27" s="52">
        <v>148.03</v>
      </c>
      <c r="F27" s="52">
        <v>27.85</v>
      </c>
      <c r="G27" s="52">
        <v>127.21</v>
      </c>
      <c r="H27" s="54" t="s">
        <v>14</v>
      </c>
      <c r="I27" s="52">
        <v>4.18</v>
      </c>
      <c r="J27" s="52">
        <v>2.78</v>
      </c>
      <c r="K27" s="52">
        <v>10.08</v>
      </c>
      <c r="L27" s="52">
        <v>27.06</v>
      </c>
      <c r="M27" s="52">
        <v>21.68</v>
      </c>
      <c r="N27" s="52">
        <v>34.5</v>
      </c>
      <c r="O27" s="52">
        <v>0</v>
      </c>
      <c r="P27" s="52">
        <v>1.84</v>
      </c>
      <c r="Q27" s="52">
        <v>9.74</v>
      </c>
      <c r="R27" s="43"/>
      <c r="S27" s="43"/>
      <c r="T27" s="43"/>
      <c r="U27" s="43"/>
    </row>
    <row r="28" spans="1:21" s="11" customFormat="1" x14ac:dyDescent="0.25">
      <c r="A28" s="51" t="s">
        <v>103</v>
      </c>
      <c r="B28" s="53" t="s">
        <v>15</v>
      </c>
      <c r="C28" s="53" t="s">
        <v>15</v>
      </c>
      <c r="D28" s="53" t="s">
        <v>15</v>
      </c>
      <c r="E28" s="52">
        <v>48.26</v>
      </c>
      <c r="F28" s="52">
        <v>28.11</v>
      </c>
      <c r="G28" s="52">
        <v>130.57</v>
      </c>
      <c r="H28" s="54" t="s">
        <v>14</v>
      </c>
      <c r="I28" s="52">
        <v>4.1100000000000003</v>
      </c>
      <c r="J28" s="52">
        <v>2.31</v>
      </c>
      <c r="K28" s="52">
        <v>5.85</v>
      </c>
      <c r="L28" s="52">
        <v>26.36</v>
      </c>
      <c r="M28" s="52">
        <v>24.21</v>
      </c>
      <c r="N28" s="52">
        <v>33.1</v>
      </c>
      <c r="O28" s="52">
        <v>0</v>
      </c>
      <c r="P28" s="52">
        <v>1.65</v>
      </c>
      <c r="Q28" s="52">
        <v>9.75</v>
      </c>
      <c r="R28" s="43"/>
      <c r="S28" s="43"/>
      <c r="T28" s="43"/>
      <c r="U28" s="43"/>
    </row>
    <row r="29" spans="1:21" s="11" customFormat="1" x14ac:dyDescent="0.25">
      <c r="A29" s="51" t="s">
        <v>104</v>
      </c>
      <c r="B29" s="53" t="s">
        <v>15</v>
      </c>
      <c r="C29" s="53" t="s">
        <v>15</v>
      </c>
      <c r="D29" s="53" t="s">
        <v>15</v>
      </c>
      <c r="E29" s="52">
        <v>16.899999999999999</v>
      </c>
      <c r="F29" s="52">
        <v>19.149999999999999</v>
      </c>
      <c r="G29" s="52">
        <v>130.57</v>
      </c>
      <c r="H29" s="54" t="s">
        <v>14</v>
      </c>
      <c r="I29" s="52">
        <v>4.1100000000000003</v>
      </c>
      <c r="J29" s="52">
        <v>2.15</v>
      </c>
      <c r="K29" s="52">
        <v>12.01</v>
      </c>
      <c r="L29" s="52">
        <v>25.97</v>
      </c>
      <c r="M29" s="52">
        <v>26.32</v>
      </c>
      <c r="N29" s="52">
        <v>33.200000000000003</v>
      </c>
      <c r="O29" s="52">
        <v>0</v>
      </c>
      <c r="P29" s="52">
        <v>1.44</v>
      </c>
      <c r="Q29" s="52">
        <v>9.74</v>
      </c>
      <c r="R29" s="43"/>
      <c r="S29" s="43"/>
      <c r="T29" s="43"/>
      <c r="U29" s="43"/>
    </row>
    <row r="30" spans="1:21" s="11" customFormat="1" x14ac:dyDescent="0.25">
      <c r="A30" s="51" t="s">
        <v>105</v>
      </c>
      <c r="B30" s="53" t="s">
        <v>15</v>
      </c>
      <c r="C30" s="53" t="s">
        <v>15</v>
      </c>
      <c r="D30" s="53" t="s">
        <v>15</v>
      </c>
      <c r="E30" s="52">
        <v>22.24</v>
      </c>
      <c r="F30" s="52">
        <v>15.63</v>
      </c>
      <c r="G30" s="52">
        <v>108.36</v>
      </c>
      <c r="H30" s="54" t="s">
        <v>14</v>
      </c>
      <c r="I30" s="52">
        <v>4.16</v>
      </c>
      <c r="J30" s="52">
        <v>2.5499999999999998</v>
      </c>
      <c r="K30" s="52">
        <v>8.31</v>
      </c>
      <c r="L30" s="52">
        <v>25.3</v>
      </c>
      <c r="M30" s="52">
        <v>28.41</v>
      </c>
      <c r="N30" s="52">
        <v>33.1</v>
      </c>
      <c r="O30" s="52">
        <v>0</v>
      </c>
      <c r="P30" s="52">
        <v>1.42</v>
      </c>
      <c r="Q30" s="52">
        <v>9.74</v>
      </c>
      <c r="R30" s="43"/>
      <c r="S30" s="43"/>
      <c r="T30" s="43"/>
      <c r="U30" s="43"/>
    </row>
    <row r="31" spans="1:21" s="11" customFormat="1" x14ac:dyDescent="0.25">
      <c r="A31" s="51" t="s">
        <v>106</v>
      </c>
      <c r="B31" s="53" t="s">
        <v>15</v>
      </c>
      <c r="C31" s="53" t="s">
        <v>15</v>
      </c>
      <c r="D31" s="53" t="s">
        <v>15</v>
      </c>
      <c r="E31" s="52">
        <v>49.01</v>
      </c>
      <c r="F31" s="52">
        <v>17.510000000000002</v>
      </c>
      <c r="G31" s="52">
        <v>90.65</v>
      </c>
      <c r="H31" s="54" t="s">
        <v>14</v>
      </c>
      <c r="I31" s="52">
        <v>4.04</v>
      </c>
      <c r="J31" s="52">
        <v>2.6</v>
      </c>
      <c r="K31" s="52">
        <v>5.79</v>
      </c>
      <c r="L31" s="52">
        <v>24.96</v>
      </c>
      <c r="M31" s="52">
        <v>31.11</v>
      </c>
      <c r="N31" s="52">
        <v>33.4</v>
      </c>
      <c r="O31" s="52">
        <v>0</v>
      </c>
      <c r="P31" s="52">
        <v>1.04</v>
      </c>
      <c r="Q31" s="52">
        <v>9.73</v>
      </c>
      <c r="R31" s="43"/>
      <c r="S31" s="43"/>
      <c r="T31" s="43"/>
      <c r="U31" s="43"/>
    </row>
    <row r="32" spans="1:21" s="11" customFormat="1" x14ac:dyDescent="0.25">
      <c r="A32" s="51" t="s">
        <v>107</v>
      </c>
      <c r="B32" s="53" t="s">
        <v>15</v>
      </c>
      <c r="C32" s="53" t="s">
        <v>15</v>
      </c>
      <c r="D32" s="53" t="s">
        <v>15</v>
      </c>
      <c r="E32" s="52">
        <v>28.71</v>
      </c>
      <c r="F32" s="52">
        <v>20.49</v>
      </c>
      <c r="G32" s="52">
        <v>74.209999999999994</v>
      </c>
      <c r="H32" s="54" t="s">
        <v>14</v>
      </c>
      <c r="I32" s="52">
        <v>3.94</v>
      </c>
      <c r="J32" s="52">
        <v>2.2200000000000002</v>
      </c>
      <c r="K32" s="52">
        <v>67.83</v>
      </c>
      <c r="L32" s="52">
        <v>24.31</v>
      </c>
      <c r="M32" s="52">
        <v>31.26</v>
      </c>
      <c r="N32" s="52">
        <v>33.299999999999997</v>
      </c>
      <c r="O32" s="52">
        <v>0</v>
      </c>
      <c r="P32" s="52">
        <v>0.87</v>
      </c>
      <c r="Q32" s="52">
        <v>9.73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6.78</v>
      </c>
      <c r="F34" s="28">
        <f t="shared" si="0"/>
        <v>7.07</v>
      </c>
      <c r="G34" s="28">
        <f t="shared" si="0"/>
        <v>74.209999999999994</v>
      </c>
      <c r="H34" s="28">
        <f t="shared" si="0"/>
        <v>0.04</v>
      </c>
      <c r="I34" s="28">
        <f t="shared" si="0"/>
        <v>3.94</v>
      </c>
      <c r="J34" s="28">
        <f t="shared" si="0"/>
        <v>1.42</v>
      </c>
      <c r="K34" s="28">
        <f t="shared" si="0"/>
        <v>5.79</v>
      </c>
      <c r="L34" s="28">
        <f t="shared" si="0"/>
        <v>19.809999999999999</v>
      </c>
      <c r="M34" s="28">
        <f t="shared" si="0"/>
        <v>14.78</v>
      </c>
      <c r="N34" s="28">
        <f t="shared" si="0"/>
        <v>28.5</v>
      </c>
      <c r="O34" s="28">
        <f t="shared" si="0"/>
        <v>0</v>
      </c>
      <c r="P34" s="28">
        <f t="shared" si="0"/>
        <v>0.87</v>
      </c>
      <c r="Q34" s="28">
        <f t="shared" si="0"/>
        <v>9.3800000000000008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148.03</v>
      </c>
      <c r="F35" s="29">
        <f t="shared" si="1"/>
        <v>40.56</v>
      </c>
      <c r="G35" s="29">
        <f t="shared" si="1"/>
        <v>188.25</v>
      </c>
      <c r="H35" s="29">
        <f t="shared" si="1"/>
        <v>426.82</v>
      </c>
      <c r="I35" s="29">
        <f t="shared" si="1"/>
        <v>4.22</v>
      </c>
      <c r="J35" s="29">
        <f t="shared" si="1"/>
        <v>4.12</v>
      </c>
      <c r="K35" s="29">
        <f t="shared" si="1"/>
        <v>359.68</v>
      </c>
      <c r="L35" s="29">
        <f t="shared" si="1"/>
        <v>33.57</v>
      </c>
      <c r="M35" s="29">
        <f t="shared" si="1"/>
        <v>49</v>
      </c>
      <c r="N35" s="29">
        <f t="shared" si="1"/>
        <v>527.70000000000005</v>
      </c>
      <c r="O35" s="29">
        <f t="shared" si="1"/>
        <v>0</v>
      </c>
      <c r="P35" s="29">
        <f t="shared" si="1"/>
        <v>2.21</v>
      </c>
      <c r="Q35" s="29">
        <f t="shared" si="1"/>
        <v>9.86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40.030833333333327</v>
      </c>
      <c r="F36" s="28">
        <f t="shared" si="2"/>
        <v>18.896666666666665</v>
      </c>
      <c r="G36" s="28">
        <f t="shared" si="2"/>
        <v>119.69500000000002</v>
      </c>
      <c r="H36" s="28">
        <f t="shared" si="2"/>
        <v>92.58</v>
      </c>
      <c r="I36" s="28">
        <f t="shared" si="2"/>
        <v>4.0804166666666664</v>
      </c>
      <c r="J36" s="28">
        <f t="shared" si="2"/>
        <v>2.5791666666666662</v>
      </c>
      <c r="K36" s="28">
        <f t="shared" si="2"/>
        <v>240.74416666666673</v>
      </c>
      <c r="L36" s="28">
        <f t="shared" si="2"/>
        <v>26.27</v>
      </c>
      <c r="M36" s="28">
        <f t="shared" si="2"/>
        <v>28.885000000000002</v>
      </c>
      <c r="N36" s="28">
        <f t="shared" si="2"/>
        <v>152.42916666666667</v>
      </c>
      <c r="O36" s="28">
        <f t="shared" si="2"/>
        <v>0</v>
      </c>
      <c r="P36" s="28">
        <f t="shared" si="2"/>
        <v>1.4349999999999998</v>
      </c>
      <c r="Q36" s="28">
        <f t="shared" si="2"/>
        <v>9.6954166666666648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35.673809527885929</v>
      </c>
      <c r="F37" s="28">
        <f t="shared" si="3"/>
        <v>10.573457608422205</v>
      </c>
      <c r="G37" s="28">
        <f t="shared" si="3"/>
        <v>29.192344683071227</v>
      </c>
      <c r="H37" s="28">
        <f t="shared" si="3"/>
        <v>117.89738221577838</v>
      </c>
      <c r="I37" s="28">
        <f t="shared" si="3"/>
        <v>7.0432154629807397E-2</v>
      </c>
      <c r="J37" s="28">
        <f t="shared" si="3"/>
        <v>0.68524776012302602</v>
      </c>
      <c r="K37" s="28">
        <f t="shared" si="3"/>
        <v>148.90361919030366</v>
      </c>
      <c r="L37" s="28">
        <f t="shared" si="3"/>
        <v>4.6424834058845068</v>
      </c>
      <c r="M37" s="28">
        <f t="shared" si="3"/>
        <v>11.201235956648796</v>
      </c>
      <c r="N37" s="28">
        <f t="shared" si="3"/>
        <v>162.24426694277088</v>
      </c>
      <c r="O37" s="28">
        <f t="shared" si="3"/>
        <v>0</v>
      </c>
      <c r="P37" s="28">
        <f t="shared" si="3"/>
        <v>0.3681800126828319</v>
      </c>
      <c r="Q37" s="28">
        <f t="shared" si="3"/>
        <v>0.12222499447888018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24</v>
      </c>
      <c r="F38" s="32">
        <f t="shared" si="4"/>
        <v>24</v>
      </c>
      <c r="G38" s="32">
        <f>COUNT(G9:G32)+2</f>
        <v>24</v>
      </c>
      <c r="H38" s="32">
        <f>COUNT(H9:H32)+11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546875" defaultRowHeight="15" x14ac:dyDescent="0.25"/>
  <cols>
    <col min="1" max="1" width="18.28515625" style="26" customWidth="1"/>
    <col min="2" max="2" width="13.285156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03/04/2025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108</v>
      </c>
      <c r="B9" s="53" t="s">
        <v>15</v>
      </c>
      <c r="C9" s="53" t="s">
        <v>15</v>
      </c>
      <c r="D9" s="53" t="s">
        <v>15</v>
      </c>
      <c r="E9" s="52">
        <v>8.64</v>
      </c>
      <c r="F9" s="52">
        <v>10.08</v>
      </c>
      <c r="G9" s="52">
        <v>68.37</v>
      </c>
      <c r="H9" s="54" t="s">
        <v>14</v>
      </c>
      <c r="I9" s="52">
        <v>4.08</v>
      </c>
      <c r="J9" s="52">
        <v>2.5</v>
      </c>
      <c r="K9" s="52">
        <v>88.91</v>
      </c>
      <c r="L9" s="52">
        <v>24.48</v>
      </c>
      <c r="M9" s="52">
        <v>31.07</v>
      </c>
      <c r="N9" s="52">
        <v>33.299999999999997</v>
      </c>
      <c r="O9" s="52">
        <v>0</v>
      </c>
      <c r="P9" s="52">
        <v>1.02</v>
      </c>
      <c r="Q9" s="52">
        <v>9.77</v>
      </c>
      <c r="R9" s="43"/>
      <c r="S9" s="43"/>
      <c r="T9" s="43"/>
      <c r="U9" s="43"/>
    </row>
    <row r="10" spans="1:21" s="11" customFormat="1" x14ac:dyDescent="0.25">
      <c r="A10" s="51" t="s">
        <v>109</v>
      </c>
      <c r="B10" s="53" t="s">
        <v>15</v>
      </c>
      <c r="C10" s="53" t="s">
        <v>15</v>
      </c>
      <c r="D10" s="53" t="s">
        <v>15</v>
      </c>
      <c r="E10" s="52">
        <v>7.23</v>
      </c>
      <c r="F10" s="52">
        <v>9.32</v>
      </c>
      <c r="G10" s="52">
        <v>65.11</v>
      </c>
      <c r="H10" s="54" t="s">
        <v>14</v>
      </c>
      <c r="I10" s="52">
        <v>3.99</v>
      </c>
      <c r="J10" s="52">
        <v>4</v>
      </c>
      <c r="K10" s="52">
        <v>104.75</v>
      </c>
      <c r="L10" s="52">
        <v>23.63</v>
      </c>
      <c r="M10" s="52">
        <v>44.95</v>
      </c>
      <c r="N10" s="52">
        <v>33.9</v>
      </c>
      <c r="O10" s="52">
        <v>0</v>
      </c>
      <c r="P10" s="52">
        <v>0.86</v>
      </c>
      <c r="Q10" s="52">
        <v>9.75</v>
      </c>
      <c r="R10" s="43"/>
      <c r="S10" s="43"/>
      <c r="T10" s="43"/>
      <c r="U10" s="43"/>
    </row>
    <row r="11" spans="1:21" s="11" customFormat="1" x14ac:dyDescent="0.25">
      <c r="A11" s="51" t="s">
        <v>110</v>
      </c>
      <c r="B11" s="53" t="s">
        <v>15</v>
      </c>
      <c r="C11" s="53" t="s">
        <v>15</v>
      </c>
      <c r="D11" s="53" t="s">
        <v>15</v>
      </c>
      <c r="E11" s="52">
        <v>7.99</v>
      </c>
      <c r="F11" s="52">
        <v>17.62</v>
      </c>
      <c r="G11" s="52">
        <v>68.95</v>
      </c>
      <c r="H11" s="54" t="s">
        <v>14</v>
      </c>
      <c r="I11" s="52">
        <v>4.03</v>
      </c>
      <c r="J11" s="52">
        <v>3.19</v>
      </c>
      <c r="K11" s="52">
        <v>99.37</v>
      </c>
      <c r="L11" s="52">
        <v>22.64</v>
      </c>
      <c r="M11" s="52">
        <v>55.38</v>
      </c>
      <c r="N11" s="52">
        <v>33.799999999999997</v>
      </c>
      <c r="O11" s="52">
        <v>0</v>
      </c>
      <c r="P11" s="52">
        <v>0.73</v>
      </c>
      <c r="Q11" s="52">
        <v>9.74</v>
      </c>
      <c r="R11" s="43"/>
      <c r="S11" s="43"/>
      <c r="T11" s="43"/>
      <c r="U11" s="43"/>
    </row>
    <row r="12" spans="1:21" s="11" customFormat="1" x14ac:dyDescent="0.25">
      <c r="A12" s="51" t="s">
        <v>111</v>
      </c>
      <c r="B12" s="53" t="s">
        <v>15</v>
      </c>
      <c r="C12" s="53" t="s">
        <v>15</v>
      </c>
      <c r="D12" s="53" t="s">
        <v>15</v>
      </c>
      <c r="E12" s="52">
        <v>11.72</v>
      </c>
      <c r="F12" s="52">
        <v>22.2</v>
      </c>
      <c r="G12" s="52">
        <v>68.95</v>
      </c>
      <c r="H12" s="52">
        <v>37.299999999999997</v>
      </c>
      <c r="I12" s="52">
        <v>4.1100000000000003</v>
      </c>
      <c r="J12" s="52">
        <v>2.72</v>
      </c>
      <c r="K12" s="52">
        <v>172.6</v>
      </c>
      <c r="L12" s="52">
        <v>21.68</v>
      </c>
      <c r="M12" s="52">
        <v>59.7</v>
      </c>
      <c r="N12" s="52">
        <v>33.4</v>
      </c>
      <c r="O12" s="52">
        <v>0</v>
      </c>
      <c r="P12" s="52">
        <v>0.62</v>
      </c>
      <c r="Q12" s="52">
        <v>9.73</v>
      </c>
      <c r="R12" s="43"/>
      <c r="S12" s="43"/>
      <c r="T12" s="43"/>
      <c r="U12" s="43"/>
    </row>
    <row r="13" spans="1:21" s="11" customFormat="1" x14ac:dyDescent="0.25">
      <c r="A13" s="51" t="s">
        <v>112</v>
      </c>
      <c r="B13" s="53" t="s">
        <v>15</v>
      </c>
      <c r="C13" s="53" t="s">
        <v>15</v>
      </c>
      <c r="D13" s="53" t="s">
        <v>15</v>
      </c>
      <c r="E13" s="52">
        <v>9.42</v>
      </c>
      <c r="F13" s="52">
        <v>17.97</v>
      </c>
      <c r="G13" s="52">
        <v>59.45</v>
      </c>
      <c r="H13" s="52">
        <v>37.299999999999997</v>
      </c>
      <c r="I13" s="52">
        <v>4.12</v>
      </c>
      <c r="J13" s="52">
        <v>3.13</v>
      </c>
      <c r="K13" s="52">
        <v>102.5</v>
      </c>
      <c r="L13" s="52">
        <v>21.55</v>
      </c>
      <c r="M13" s="52">
        <v>62.16</v>
      </c>
      <c r="N13" s="52">
        <v>33.5</v>
      </c>
      <c r="O13" s="52">
        <v>0</v>
      </c>
      <c r="P13" s="52">
        <v>0.63</v>
      </c>
      <c r="Q13" s="52">
        <v>9.74</v>
      </c>
      <c r="R13" s="43"/>
      <c r="S13" s="43"/>
      <c r="T13" s="43"/>
      <c r="U13" s="43"/>
    </row>
    <row r="14" spans="1:21" s="11" customFormat="1" x14ac:dyDescent="0.25">
      <c r="A14" s="51" t="s">
        <v>113</v>
      </c>
      <c r="B14" s="53" t="s">
        <v>15</v>
      </c>
      <c r="C14" s="53" t="s">
        <v>15</v>
      </c>
      <c r="D14" s="53" t="s">
        <v>15</v>
      </c>
      <c r="E14" s="52">
        <v>6.18</v>
      </c>
      <c r="F14" s="52">
        <v>10.16</v>
      </c>
      <c r="G14" s="52">
        <v>58.37</v>
      </c>
      <c r="H14" s="52">
        <v>35.729999999999997</v>
      </c>
      <c r="I14" s="52">
        <v>4.0199999999999996</v>
      </c>
      <c r="J14" s="52">
        <v>2.89</v>
      </c>
      <c r="K14" s="52">
        <v>355.06</v>
      </c>
      <c r="L14" s="52">
        <v>21.12</v>
      </c>
      <c r="M14" s="52">
        <v>67.150000000000006</v>
      </c>
      <c r="N14" s="52">
        <v>35.6</v>
      </c>
      <c r="O14" s="52">
        <v>0</v>
      </c>
      <c r="P14" s="52">
        <v>0.63</v>
      </c>
      <c r="Q14" s="52">
        <v>9.6999999999999993</v>
      </c>
      <c r="R14" s="43"/>
      <c r="S14" s="43"/>
      <c r="T14" s="43"/>
      <c r="U14" s="43"/>
    </row>
    <row r="15" spans="1:21" s="11" customFormat="1" x14ac:dyDescent="0.25">
      <c r="A15" s="51" t="s">
        <v>114</v>
      </c>
      <c r="B15" s="53" t="s">
        <v>15</v>
      </c>
      <c r="C15" s="53" t="s">
        <v>15</v>
      </c>
      <c r="D15" s="53" t="s">
        <v>15</v>
      </c>
      <c r="E15" s="52">
        <v>6.9</v>
      </c>
      <c r="F15" s="52">
        <v>14.63</v>
      </c>
      <c r="G15" s="52">
        <v>54.24</v>
      </c>
      <c r="H15" s="52">
        <v>35.729999999999997</v>
      </c>
      <c r="I15" s="52">
        <v>4.13</v>
      </c>
      <c r="J15" s="52">
        <v>2.0699999999999998</v>
      </c>
      <c r="K15" s="52">
        <v>357.53</v>
      </c>
      <c r="L15" s="52">
        <v>21.11</v>
      </c>
      <c r="M15" s="52">
        <v>66.760000000000005</v>
      </c>
      <c r="N15" s="52">
        <v>91.7</v>
      </c>
      <c r="O15" s="52">
        <v>0</v>
      </c>
      <c r="P15" s="52">
        <v>0.69</v>
      </c>
      <c r="Q15" s="52">
        <v>9.7100000000000009</v>
      </c>
      <c r="R15" s="43"/>
      <c r="S15" s="43"/>
      <c r="T15" s="43"/>
      <c r="U15" s="43"/>
    </row>
    <row r="16" spans="1:21" s="11" customFormat="1" x14ac:dyDescent="0.25">
      <c r="A16" s="51" t="s">
        <v>115</v>
      </c>
      <c r="B16" s="53" t="s">
        <v>15</v>
      </c>
      <c r="C16" s="53" t="s">
        <v>15</v>
      </c>
      <c r="D16" s="53" t="s">
        <v>15</v>
      </c>
      <c r="E16" s="52">
        <v>9.56</v>
      </c>
      <c r="F16" s="52">
        <v>17.53</v>
      </c>
      <c r="G16" s="52">
        <v>57.02</v>
      </c>
      <c r="H16" s="52">
        <v>4.29</v>
      </c>
      <c r="I16" s="52">
        <v>4.1399999999999997</v>
      </c>
      <c r="J16" s="52">
        <v>1.7</v>
      </c>
      <c r="K16" s="52">
        <v>56.13</v>
      </c>
      <c r="L16" s="52">
        <v>22.56</v>
      </c>
      <c r="M16" s="52">
        <v>62.31</v>
      </c>
      <c r="N16" s="52">
        <v>194.4</v>
      </c>
      <c r="O16" s="52">
        <v>0</v>
      </c>
      <c r="P16" s="52">
        <v>0.82</v>
      </c>
      <c r="Q16" s="52">
        <v>9.68</v>
      </c>
      <c r="R16" s="43"/>
      <c r="S16" s="43"/>
      <c r="T16" s="43"/>
      <c r="U16" s="43"/>
    </row>
    <row r="17" spans="1:21" s="11" customFormat="1" x14ac:dyDescent="0.25">
      <c r="A17" s="51" t="s">
        <v>116</v>
      </c>
      <c r="B17" s="53" t="s">
        <v>15</v>
      </c>
      <c r="C17" s="53" t="s">
        <v>15</v>
      </c>
      <c r="D17" s="53" t="s">
        <v>15</v>
      </c>
      <c r="E17" s="52">
        <v>6.95</v>
      </c>
      <c r="F17" s="52">
        <v>14.06</v>
      </c>
      <c r="G17" s="52">
        <v>68.17</v>
      </c>
      <c r="H17" s="52">
        <v>4.29</v>
      </c>
      <c r="I17" s="52">
        <v>4.1900000000000004</v>
      </c>
      <c r="J17" s="52">
        <v>2.82</v>
      </c>
      <c r="K17" s="52">
        <v>355.97</v>
      </c>
      <c r="L17" s="52">
        <v>24.49</v>
      </c>
      <c r="M17" s="52">
        <v>58.23</v>
      </c>
      <c r="N17" s="52">
        <v>226.2</v>
      </c>
      <c r="O17" s="52">
        <v>0</v>
      </c>
      <c r="P17" s="52">
        <v>0.8</v>
      </c>
      <c r="Q17" s="52">
        <v>9.64</v>
      </c>
      <c r="R17" s="43"/>
      <c r="S17" s="43"/>
      <c r="T17" s="43"/>
      <c r="U17" s="43"/>
    </row>
    <row r="18" spans="1:21" s="11" customFormat="1" x14ac:dyDescent="0.25">
      <c r="A18" s="51" t="s">
        <v>117</v>
      </c>
      <c r="B18" s="53" t="s">
        <v>15</v>
      </c>
      <c r="C18" s="53" t="s">
        <v>15</v>
      </c>
      <c r="D18" s="53" t="s">
        <v>15</v>
      </c>
      <c r="E18" s="52">
        <v>8.7899999999999991</v>
      </c>
      <c r="F18" s="52">
        <v>10.26</v>
      </c>
      <c r="G18" s="52">
        <v>77.849999999999994</v>
      </c>
      <c r="H18" s="54" t="s">
        <v>14</v>
      </c>
      <c r="I18" s="52">
        <v>4.04</v>
      </c>
      <c r="J18" s="52">
        <v>3</v>
      </c>
      <c r="K18" s="52">
        <v>356.98</v>
      </c>
      <c r="L18" s="52">
        <v>27.08</v>
      </c>
      <c r="M18" s="52">
        <v>50.58</v>
      </c>
      <c r="N18" s="52">
        <v>332.7</v>
      </c>
      <c r="O18" s="52">
        <v>0</v>
      </c>
      <c r="P18" s="52">
        <v>0.9</v>
      </c>
      <c r="Q18" s="52">
        <v>9.59</v>
      </c>
      <c r="R18" s="43"/>
      <c r="S18" s="43"/>
      <c r="T18" s="43"/>
      <c r="U18" s="43"/>
    </row>
    <row r="19" spans="1:21" s="11" customFormat="1" x14ac:dyDescent="0.25">
      <c r="A19" s="51" t="s">
        <v>118</v>
      </c>
      <c r="B19" s="53" t="s">
        <v>15</v>
      </c>
      <c r="C19" s="53" t="s">
        <v>15</v>
      </c>
      <c r="D19" s="53" t="s">
        <v>15</v>
      </c>
      <c r="E19" s="52">
        <v>22.65</v>
      </c>
      <c r="F19" s="52">
        <v>12.16</v>
      </c>
      <c r="G19" s="52">
        <v>92.28</v>
      </c>
      <c r="H19" s="54" t="s">
        <v>14</v>
      </c>
      <c r="I19" s="52">
        <v>4.05</v>
      </c>
      <c r="J19" s="52">
        <v>2.84</v>
      </c>
      <c r="K19" s="52">
        <v>350.06</v>
      </c>
      <c r="L19" s="52">
        <v>27.22</v>
      </c>
      <c r="M19" s="52">
        <v>47.93</v>
      </c>
      <c r="N19" s="52">
        <v>456.3</v>
      </c>
      <c r="O19" s="52">
        <v>0</v>
      </c>
      <c r="P19" s="52">
        <v>1.1599999999999999</v>
      </c>
      <c r="Q19" s="52">
        <v>9.59</v>
      </c>
      <c r="R19" s="43"/>
      <c r="S19" s="43"/>
      <c r="T19" s="43"/>
      <c r="U19" s="43"/>
    </row>
    <row r="20" spans="1:21" s="11" customFormat="1" x14ac:dyDescent="0.25">
      <c r="A20" s="51" t="s">
        <v>119</v>
      </c>
      <c r="B20" s="53" t="s">
        <v>15</v>
      </c>
      <c r="C20" s="53" t="s">
        <v>15</v>
      </c>
      <c r="D20" s="53" t="s">
        <v>15</v>
      </c>
      <c r="E20" s="52">
        <v>19.39</v>
      </c>
      <c r="F20" s="52">
        <v>10.29</v>
      </c>
      <c r="G20" s="52">
        <v>104.09</v>
      </c>
      <c r="H20" s="52">
        <v>62.73</v>
      </c>
      <c r="I20" s="52">
        <v>4.01</v>
      </c>
      <c r="J20" s="52">
        <v>3.65</v>
      </c>
      <c r="K20" s="52">
        <v>340.62</v>
      </c>
      <c r="L20" s="52">
        <v>30.65</v>
      </c>
      <c r="M20" s="52">
        <v>40.659999999999997</v>
      </c>
      <c r="N20" s="52">
        <v>638.29999999999995</v>
      </c>
      <c r="O20" s="52">
        <v>0</v>
      </c>
      <c r="P20" s="52">
        <v>1.1100000000000001</v>
      </c>
      <c r="Q20" s="52">
        <v>9.59</v>
      </c>
      <c r="R20" s="43"/>
      <c r="S20" s="43"/>
      <c r="T20" s="43"/>
      <c r="U20" s="43"/>
    </row>
    <row r="21" spans="1:21" s="11" customFormat="1" x14ac:dyDescent="0.25">
      <c r="A21" s="51" t="s">
        <v>120</v>
      </c>
      <c r="B21" s="53" t="s">
        <v>15</v>
      </c>
      <c r="C21" s="53" t="s">
        <v>15</v>
      </c>
      <c r="D21" s="53" t="s">
        <v>15</v>
      </c>
      <c r="E21" s="52">
        <v>5.65</v>
      </c>
      <c r="F21" s="52">
        <v>12.56</v>
      </c>
      <c r="G21" s="52">
        <v>104.09</v>
      </c>
      <c r="H21" s="52">
        <v>31.73</v>
      </c>
      <c r="I21" s="52">
        <v>4.09</v>
      </c>
      <c r="J21" s="52">
        <v>3.54</v>
      </c>
      <c r="K21" s="52">
        <v>340.37</v>
      </c>
      <c r="L21" s="52">
        <v>29.7</v>
      </c>
      <c r="M21" s="52">
        <v>40.86</v>
      </c>
      <c r="N21" s="52">
        <v>311.5</v>
      </c>
      <c r="O21" s="52">
        <v>0</v>
      </c>
      <c r="P21" s="52">
        <v>1.02</v>
      </c>
      <c r="Q21" s="52">
        <v>9.58</v>
      </c>
      <c r="R21" s="43"/>
      <c r="S21" s="43"/>
      <c r="T21" s="43"/>
      <c r="U21" s="43"/>
    </row>
    <row r="22" spans="1:21" s="11" customFormat="1" x14ac:dyDescent="0.25">
      <c r="A22" s="51" t="s">
        <v>121</v>
      </c>
      <c r="B22" s="53" t="s">
        <v>15</v>
      </c>
      <c r="C22" s="53" t="s">
        <v>15</v>
      </c>
      <c r="D22" s="53" t="s">
        <v>15</v>
      </c>
      <c r="E22" s="52">
        <v>5.19</v>
      </c>
      <c r="F22" s="52">
        <v>12.96</v>
      </c>
      <c r="G22" s="52">
        <v>83.02</v>
      </c>
      <c r="H22" s="52">
        <v>31.73</v>
      </c>
      <c r="I22" s="52">
        <v>4.12</v>
      </c>
      <c r="J22" s="52">
        <v>4.68</v>
      </c>
      <c r="K22" s="52">
        <v>337.41</v>
      </c>
      <c r="L22" s="52">
        <v>30.35</v>
      </c>
      <c r="M22" s="52">
        <v>39.74</v>
      </c>
      <c r="N22" s="52">
        <v>483.5</v>
      </c>
      <c r="O22" s="52">
        <v>0</v>
      </c>
      <c r="P22" s="52">
        <v>0.98</v>
      </c>
      <c r="Q22" s="52">
        <v>9.57</v>
      </c>
      <c r="R22" s="43"/>
      <c r="S22" s="43"/>
      <c r="T22" s="43"/>
      <c r="U22" s="43"/>
    </row>
    <row r="23" spans="1:21" s="11" customFormat="1" x14ac:dyDescent="0.25">
      <c r="A23" s="51" t="s">
        <v>122</v>
      </c>
      <c r="B23" s="53" t="s">
        <v>15</v>
      </c>
      <c r="C23" s="53" t="s">
        <v>15</v>
      </c>
      <c r="D23" s="53" t="s">
        <v>15</v>
      </c>
      <c r="E23" s="52">
        <v>3.87</v>
      </c>
      <c r="F23" s="52">
        <v>10.48</v>
      </c>
      <c r="G23" s="52">
        <v>70.64</v>
      </c>
      <c r="H23" s="52">
        <v>26.92</v>
      </c>
      <c r="I23" s="52">
        <v>3.99</v>
      </c>
      <c r="J23" s="52">
        <v>5.0599999999999996</v>
      </c>
      <c r="K23" s="52">
        <v>339.31</v>
      </c>
      <c r="L23" s="52">
        <v>29.95</v>
      </c>
      <c r="M23" s="52">
        <v>38.56</v>
      </c>
      <c r="N23" s="52">
        <v>380</v>
      </c>
      <c r="O23" s="52">
        <v>0</v>
      </c>
      <c r="P23" s="52">
        <v>0.93</v>
      </c>
      <c r="Q23" s="52">
        <v>9.5500000000000007</v>
      </c>
      <c r="R23" s="43"/>
      <c r="S23" s="43"/>
      <c r="T23" s="43"/>
      <c r="U23" s="43"/>
    </row>
    <row r="24" spans="1:21" s="11" customFormat="1" x14ac:dyDescent="0.25">
      <c r="A24" s="51" t="s">
        <v>123</v>
      </c>
      <c r="B24" s="53" t="s">
        <v>15</v>
      </c>
      <c r="C24" s="53" t="s">
        <v>15</v>
      </c>
      <c r="D24" s="53" t="s">
        <v>15</v>
      </c>
      <c r="E24" s="52">
        <v>4.4800000000000004</v>
      </c>
      <c r="F24" s="52">
        <v>12.72</v>
      </c>
      <c r="G24" s="52">
        <v>93.92</v>
      </c>
      <c r="H24" s="52">
        <v>26.92</v>
      </c>
      <c r="I24" s="52">
        <v>4.2699999999999996</v>
      </c>
      <c r="J24" s="52">
        <v>5.43</v>
      </c>
      <c r="K24" s="52">
        <v>336.96</v>
      </c>
      <c r="L24" s="52">
        <v>29.11</v>
      </c>
      <c r="M24" s="52">
        <v>35.97</v>
      </c>
      <c r="N24" s="52">
        <v>263.8</v>
      </c>
      <c r="O24" s="52">
        <v>0</v>
      </c>
      <c r="P24" s="52">
        <v>0.89</v>
      </c>
      <c r="Q24" s="52">
        <v>9.5399999999999991</v>
      </c>
      <c r="R24" s="43"/>
      <c r="S24" s="43"/>
      <c r="T24" s="43"/>
      <c r="U24" s="43"/>
    </row>
    <row r="25" spans="1:21" s="11" customFormat="1" x14ac:dyDescent="0.25">
      <c r="A25" s="51" t="s">
        <v>124</v>
      </c>
      <c r="B25" s="53" t="s">
        <v>15</v>
      </c>
      <c r="C25" s="53" t="s">
        <v>15</v>
      </c>
      <c r="D25" s="53" t="s">
        <v>15</v>
      </c>
      <c r="E25" s="52">
        <v>6.31</v>
      </c>
      <c r="F25" s="52">
        <v>15.95</v>
      </c>
      <c r="G25" s="52">
        <v>114.18</v>
      </c>
      <c r="H25" s="52">
        <v>26.12</v>
      </c>
      <c r="I25" s="52">
        <v>4.09</v>
      </c>
      <c r="J25" s="52">
        <v>3.6</v>
      </c>
      <c r="K25" s="52">
        <v>351.55</v>
      </c>
      <c r="L25" s="52">
        <v>26.52</v>
      </c>
      <c r="M25" s="52">
        <v>45.52</v>
      </c>
      <c r="N25" s="52">
        <v>132</v>
      </c>
      <c r="O25" s="52">
        <v>0.2</v>
      </c>
      <c r="P25" s="52">
        <v>0.86</v>
      </c>
      <c r="Q25" s="52">
        <v>9.5399999999999991</v>
      </c>
      <c r="R25" s="43"/>
      <c r="S25" s="43"/>
      <c r="T25" s="43"/>
      <c r="U25" s="43"/>
    </row>
    <row r="26" spans="1:21" s="11" customFormat="1" x14ac:dyDescent="0.25">
      <c r="A26" s="51" t="s">
        <v>125</v>
      </c>
      <c r="B26" s="53" t="s">
        <v>15</v>
      </c>
      <c r="C26" s="53" t="s">
        <v>15</v>
      </c>
      <c r="D26" s="53" t="s">
        <v>15</v>
      </c>
      <c r="E26" s="52">
        <v>7.6</v>
      </c>
      <c r="F26" s="52">
        <v>17.579999999999998</v>
      </c>
      <c r="G26" s="52">
        <v>114.18</v>
      </c>
      <c r="H26" s="54" t="s">
        <v>14</v>
      </c>
      <c r="I26" s="52">
        <v>4.08</v>
      </c>
      <c r="J26" s="52">
        <v>3</v>
      </c>
      <c r="K26" s="52">
        <v>357.55</v>
      </c>
      <c r="L26" s="52">
        <v>25.22</v>
      </c>
      <c r="M26" s="52">
        <v>92.98</v>
      </c>
      <c r="N26" s="52">
        <v>67.900000000000006</v>
      </c>
      <c r="O26" s="52">
        <v>1.2</v>
      </c>
      <c r="P26" s="52">
        <v>0.83</v>
      </c>
      <c r="Q26" s="52">
        <v>9.5399999999999991</v>
      </c>
      <c r="R26" s="43"/>
      <c r="S26" s="43"/>
      <c r="T26" s="43"/>
      <c r="U26" s="43"/>
    </row>
    <row r="27" spans="1:21" s="11" customFormat="1" x14ac:dyDescent="0.25">
      <c r="A27" s="51" t="s">
        <v>126</v>
      </c>
      <c r="B27" s="53" t="s">
        <v>15</v>
      </c>
      <c r="C27" s="53" t="s">
        <v>15</v>
      </c>
      <c r="D27" s="53" t="s">
        <v>15</v>
      </c>
      <c r="E27" s="52">
        <v>3.59</v>
      </c>
      <c r="F27" s="52">
        <v>7.81</v>
      </c>
      <c r="G27" s="52">
        <v>111.41</v>
      </c>
      <c r="H27" s="54" t="s">
        <v>14</v>
      </c>
      <c r="I27" s="52">
        <v>4.08</v>
      </c>
      <c r="J27" s="52">
        <v>2.39</v>
      </c>
      <c r="K27" s="52">
        <v>164.84</v>
      </c>
      <c r="L27" s="52">
        <v>20.2</v>
      </c>
      <c r="M27" s="52">
        <v>82.28</v>
      </c>
      <c r="N27" s="52">
        <v>52.5</v>
      </c>
      <c r="O27" s="52">
        <v>0</v>
      </c>
      <c r="P27" s="52">
        <v>0.84</v>
      </c>
      <c r="Q27" s="52">
        <v>9.5399999999999991</v>
      </c>
      <c r="R27" s="43"/>
      <c r="S27" s="43"/>
      <c r="T27" s="43"/>
      <c r="U27" s="43"/>
    </row>
    <row r="28" spans="1:21" s="11" customFormat="1" x14ac:dyDescent="0.25">
      <c r="A28" s="51" t="s">
        <v>127</v>
      </c>
      <c r="B28" s="53" t="s">
        <v>15</v>
      </c>
      <c r="C28" s="53" t="s">
        <v>15</v>
      </c>
      <c r="D28" s="53" t="s">
        <v>15</v>
      </c>
      <c r="E28" s="52">
        <v>3.39</v>
      </c>
      <c r="F28" s="52">
        <v>7.67</v>
      </c>
      <c r="G28" s="52">
        <v>92.97</v>
      </c>
      <c r="H28" s="52">
        <v>43.34</v>
      </c>
      <c r="I28" s="52">
        <v>4.01</v>
      </c>
      <c r="J28" s="52">
        <v>1.75</v>
      </c>
      <c r="K28" s="52">
        <v>177.55</v>
      </c>
      <c r="L28" s="52">
        <v>20.41</v>
      </c>
      <c r="M28" s="52">
        <v>74.56</v>
      </c>
      <c r="N28" s="52">
        <v>36</v>
      </c>
      <c r="O28" s="52">
        <v>0</v>
      </c>
      <c r="P28" s="52">
        <v>0.78</v>
      </c>
      <c r="Q28" s="52">
        <v>9.5399999999999991</v>
      </c>
      <c r="R28" s="43"/>
      <c r="S28" s="43"/>
      <c r="T28" s="43"/>
      <c r="U28" s="43"/>
    </row>
    <row r="29" spans="1:21" s="11" customFormat="1" x14ac:dyDescent="0.25">
      <c r="A29" s="51" t="s">
        <v>128</v>
      </c>
      <c r="B29" s="53" t="s">
        <v>15</v>
      </c>
      <c r="C29" s="53" t="s">
        <v>15</v>
      </c>
      <c r="D29" s="53" t="s">
        <v>15</v>
      </c>
      <c r="E29" s="52">
        <v>3.35</v>
      </c>
      <c r="F29" s="52">
        <v>10.92</v>
      </c>
      <c r="G29" s="52">
        <v>68.63</v>
      </c>
      <c r="H29" s="52">
        <v>21.38</v>
      </c>
      <c r="I29" s="52">
        <v>4.03</v>
      </c>
      <c r="J29" s="52">
        <v>1.86</v>
      </c>
      <c r="K29" s="52">
        <v>206.7</v>
      </c>
      <c r="L29" s="52">
        <v>20.05</v>
      </c>
      <c r="M29" s="52">
        <v>83.58</v>
      </c>
      <c r="N29" s="52">
        <v>35.700000000000003</v>
      </c>
      <c r="O29" s="52">
        <v>0</v>
      </c>
      <c r="P29" s="52">
        <v>0.72</v>
      </c>
      <c r="Q29" s="52">
        <v>9.56</v>
      </c>
      <c r="R29" s="43"/>
      <c r="S29" s="43"/>
      <c r="T29" s="43"/>
      <c r="U29" s="43"/>
    </row>
    <row r="30" spans="1:21" s="11" customFormat="1" x14ac:dyDescent="0.25">
      <c r="A30" s="51" t="s">
        <v>129</v>
      </c>
      <c r="B30" s="53" t="s">
        <v>15</v>
      </c>
      <c r="C30" s="53" t="s">
        <v>15</v>
      </c>
      <c r="D30" s="53" t="s">
        <v>15</v>
      </c>
      <c r="E30" s="52">
        <v>3.24</v>
      </c>
      <c r="F30" s="52">
        <v>10.64</v>
      </c>
      <c r="G30" s="52">
        <v>53.34</v>
      </c>
      <c r="H30" s="5" t="s">
        <v>14</v>
      </c>
      <c r="I30" s="52">
        <v>4</v>
      </c>
      <c r="J30" s="52">
        <v>1.75</v>
      </c>
      <c r="K30" s="52">
        <v>180.72</v>
      </c>
      <c r="L30" s="52">
        <v>20.09</v>
      </c>
      <c r="M30" s="52">
        <v>86.11</v>
      </c>
      <c r="N30" s="52">
        <v>35.700000000000003</v>
      </c>
      <c r="O30" s="52">
        <v>0</v>
      </c>
      <c r="P30" s="52">
        <v>0.72</v>
      </c>
      <c r="Q30" s="52">
        <v>9.5399999999999991</v>
      </c>
      <c r="R30" s="43"/>
      <c r="S30" s="43"/>
      <c r="T30" s="43"/>
      <c r="U30" s="43"/>
    </row>
    <row r="31" spans="1:21" s="11" customFormat="1" x14ac:dyDescent="0.25">
      <c r="A31" s="51" t="s">
        <v>130</v>
      </c>
      <c r="B31" s="53" t="s">
        <v>15</v>
      </c>
      <c r="C31" s="53" t="s">
        <v>15</v>
      </c>
      <c r="D31" s="53" t="s">
        <v>15</v>
      </c>
      <c r="E31" s="52">
        <v>3.52</v>
      </c>
      <c r="F31" s="52">
        <v>8.6199999999999992</v>
      </c>
      <c r="G31" s="52">
        <v>53.34</v>
      </c>
      <c r="H31" s="5" t="s">
        <v>14</v>
      </c>
      <c r="I31" s="52">
        <v>4.09</v>
      </c>
      <c r="J31" s="52">
        <v>1.65</v>
      </c>
      <c r="K31" s="52">
        <v>183.23</v>
      </c>
      <c r="L31" s="52">
        <v>20.34</v>
      </c>
      <c r="M31" s="52">
        <v>81.010000000000005</v>
      </c>
      <c r="N31" s="52">
        <v>35.6</v>
      </c>
      <c r="O31" s="52">
        <v>0</v>
      </c>
      <c r="P31" s="52">
        <v>0.72</v>
      </c>
      <c r="Q31" s="52">
        <v>9.5299999999999994</v>
      </c>
      <c r="R31" s="43"/>
      <c r="S31" s="43"/>
      <c r="T31" s="43"/>
      <c r="U31" s="43"/>
    </row>
    <row r="32" spans="1:21" s="11" customFormat="1" x14ac:dyDescent="0.25">
      <c r="A32" s="51" t="s">
        <v>131</v>
      </c>
      <c r="B32" s="53" t="s">
        <v>15</v>
      </c>
      <c r="C32" s="53" t="s">
        <v>15</v>
      </c>
      <c r="D32" s="53" t="s">
        <v>15</v>
      </c>
      <c r="E32" s="52">
        <v>3.34</v>
      </c>
      <c r="F32" s="52">
        <v>8.75</v>
      </c>
      <c r="G32" s="52">
        <v>51.48</v>
      </c>
      <c r="H32" s="52">
        <v>18.64</v>
      </c>
      <c r="I32" s="52">
        <v>4.07</v>
      </c>
      <c r="J32" s="52">
        <v>1.47</v>
      </c>
      <c r="K32" s="52">
        <v>331.38</v>
      </c>
      <c r="L32" s="52">
        <v>20.149999999999999</v>
      </c>
      <c r="M32" s="52">
        <v>90.76</v>
      </c>
      <c r="N32" s="52">
        <v>36.1</v>
      </c>
      <c r="O32" s="52">
        <v>0</v>
      </c>
      <c r="P32" s="52">
        <v>0.71</v>
      </c>
      <c r="Q32" s="52">
        <v>9.5299999999999994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3.24</v>
      </c>
      <c r="F34" s="28">
        <f t="shared" si="0"/>
        <v>7.67</v>
      </c>
      <c r="G34" s="28">
        <f t="shared" si="0"/>
        <v>51.48</v>
      </c>
      <c r="H34" s="28">
        <f t="shared" si="0"/>
        <v>4.29</v>
      </c>
      <c r="I34" s="28">
        <f t="shared" si="0"/>
        <v>3.99</v>
      </c>
      <c r="J34" s="28">
        <f t="shared" si="0"/>
        <v>1.47</v>
      </c>
      <c r="K34" s="28">
        <f t="shared" si="0"/>
        <v>56.13</v>
      </c>
      <c r="L34" s="28">
        <f t="shared" si="0"/>
        <v>20.05</v>
      </c>
      <c r="M34" s="28">
        <f t="shared" si="0"/>
        <v>31.07</v>
      </c>
      <c r="N34" s="28">
        <f t="shared" si="0"/>
        <v>33.299999999999997</v>
      </c>
      <c r="O34" s="28">
        <f t="shared" si="0"/>
        <v>0</v>
      </c>
      <c r="P34" s="28">
        <f t="shared" si="0"/>
        <v>0.62</v>
      </c>
      <c r="Q34" s="28">
        <f t="shared" si="0"/>
        <v>9.5299999999999994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22.65</v>
      </c>
      <c r="F35" s="29">
        <f t="shared" si="1"/>
        <v>22.2</v>
      </c>
      <c r="G35" s="29">
        <f t="shared" si="1"/>
        <v>114.18</v>
      </c>
      <c r="H35" s="29">
        <f t="shared" si="1"/>
        <v>62.73</v>
      </c>
      <c r="I35" s="29">
        <f t="shared" si="1"/>
        <v>4.2699999999999996</v>
      </c>
      <c r="J35" s="29">
        <f t="shared" si="1"/>
        <v>5.43</v>
      </c>
      <c r="K35" s="29">
        <f t="shared" si="1"/>
        <v>357.55</v>
      </c>
      <c r="L35" s="29">
        <f t="shared" si="1"/>
        <v>30.65</v>
      </c>
      <c r="M35" s="29">
        <f t="shared" si="1"/>
        <v>92.98</v>
      </c>
      <c r="N35" s="29">
        <f t="shared" si="1"/>
        <v>638.29999999999995</v>
      </c>
      <c r="O35" s="29">
        <f t="shared" si="1"/>
        <v>1.2</v>
      </c>
      <c r="P35" s="29">
        <f t="shared" si="1"/>
        <v>1.1599999999999999</v>
      </c>
      <c r="Q35" s="29">
        <f t="shared" si="1"/>
        <v>9.77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7.4562499999999998</v>
      </c>
      <c r="F36" s="28">
        <f t="shared" si="2"/>
        <v>12.6225</v>
      </c>
      <c r="G36" s="28">
        <f t="shared" si="2"/>
        <v>77.252083333333346</v>
      </c>
      <c r="H36" s="28">
        <f t="shared" si="2"/>
        <v>29.61</v>
      </c>
      <c r="I36" s="28">
        <f t="shared" si="2"/>
        <v>4.076249999999999</v>
      </c>
      <c r="J36" s="28">
        <f t="shared" si="2"/>
        <v>2.945416666666667</v>
      </c>
      <c r="K36" s="28">
        <f t="shared" si="2"/>
        <v>252.00208333333333</v>
      </c>
      <c r="L36" s="28">
        <f t="shared" si="2"/>
        <v>24.179166666666664</v>
      </c>
      <c r="M36" s="28">
        <f t="shared" si="2"/>
        <v>59.950416666666655</v>
      </c>
      <c r="N36" s="28">
        <f t="shared" si="2"/>
        <v>167.22499999999999</v>
      </c>
      <c r="O36" s="28">
        <f t="shared" si="2"/>
        <v>5.8333333333333327E-2</v>
      </c>
      <c r="P36" s="28">
        <f t="shared" si="2"/>
        <v>0.83208333333333329</v>
      </c>
      <c r="Q36" s="28">
        <f t="shared" si="2"/>
        <v>9.6162499999999991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4.8249666027228928</v>
      </c>
      <c r="F37" s="28">
        <f t="shared" si="3"/>
        <v>3.8224113149777024</v>
      </c>
      <c r="G37" s="28">
        <f t="shared" si="3"/>
        <v>20.959402783386505</v>
      </c>
      <c r="H37" s="28">
        <f t="shared" si="3"/>
        <v>14.600753405218514</v>
      </c>
      <c r="I37" s="28">
        <f t="shared" si="3"/>
        <v>6.6581920773683287E-2</v>
      </c>
      <c r="J37" s="28">
        <f t="shared" si="3"/>
        <v>1.0822680659922763</v>
      </c>
      <c r="K37" s="28">
        <f t="shared" si="3"/>
        <v>110.71972637481754</v>
      </c>
      <c r="L37" s="28">
        <f t="shared" si="3"/>
        <v>3.7559899021333116</v>
      </c>
      <c r="M37" s="28">
        <f t="shared" si="3"/>
        <v>18.93724774070288</v>
      </c>
      <c r="N37" s="28">
        <f t="shared" si="3"/>
        <v>178.8196328341956</v>
      </c>
      <c r="O37" s="28">
        <f t="shared" si="3"/>
        <v>0.24657068246098393</v>
      </c>
      <c r="P37" s="28">
        <f t="shared" si="3"/>
        <v>0.14893766325624985</v>
      </c>
      <c r="Q37" s="28">
        <f t="shared" si="3"/>
        <v>8.555763376608902E-2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COUNT(H9:H32)+9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8.42578125" style="20" customWidth="1"/>
    <col min="3" max="3" width="10.140625" style="20" customWidth="1"/>
    <col min="4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04/04/2025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132</v>
      </c>
      <c r="B9" s="53" t="s">
        <v>15</v>
      </c>
      <c r="C9" s="53" t="s">
        <v>15</v>
      </c>
      <c r="D9" s="53" t="s">
        <v>15</v>
      </c>
      <c r="E9" s="52">
        <v>3.95</v>
      </c>
      <c r="F9" s="52">
        <v>13.88</v>
      </c>
      <c r="G9" s="52">
        <v>50.08</v>
      </c>
      <c r="H9" s="52">
        <v>30.95</v>
      </c>
      <c r="I9" s="52">
        <v>4</v>
      </c>
      <c r="J9" s="52">
        <v>0.89</v>
      </c>
      <c r="K9" s="52">
        <v>311.94</v>
      </c>
      <c r="L9" s="52">
        <v>19.43</v>
      </c>
      <c r="M9" s="52">
        <v>95.94</v>
      </c>
      <c r="N9" s="52">
        <v>35.9</v>
      </c>
      <c r="O9" s="52">
        <v>0</v>
      </c>
      <c r="P9" s="52">
        <v>0.69</v>
      </c>
      <c r="Q9" s="52">
        <v>9.5299999999999994</v>
      </c>
      <c r="R9" s="43"/>
      <c r="S9" s="43"/>
      <c r="T9" s="43"/>
      <c r="U9" s="43"/>
    </row>
    <row r="10" spans="1:21" s="11" customFormat="1" x14ac:dyDescent="0.25">
      <c r="A10" s="51" t="s">
        <v>133</v>
      </c>
      <c r="B10" s="53" t="s">
        <v>15</v>
      </c>
      <c r="C10" s="53" t="s">
        <v>15</v>
      </c>
      <c r="D10" s="53" t="s">
        <v>15</v>
      </c>
      <c r="E10" s="52">
        <v>4.0199999999999996</v>
      </c>
      <c r="F10" s="52">
        <v>11.73</v>
      </c>
      <c r="G10" s="52">
        <v>48.19</v>
      </c>
      <c r="H10" s="54" t="s">
        <v>14</v>
      </c>
      <c r="I10" s="52">
        <v>3.95</v>
      </c>
      <c r="J10" s="52">
        <v>1.83</v>
      </c>
      <c r="K10" s="52">
        <v>115.62</v>
      </c>
      <c r="L10" s="52">
        <v>19.66</v>
      </c>
      <c r="M10" s="52">
        <v>93.69</v>
      </c>
      <c r="N10" s="52">
        <v>35.700000000000003</v>
      </c>
      <c r="O10" s="52">
        <v>0</v>
      </c>
      <c r="P10" s="52">
        <v>0.64</v>
      </c>
      <c r="Q10" s="52">
        <v>9.5399999999999991</v>
      </c>
      <c r="R10" s="43"/>
      <c r="S10" s="43"/>
      <c r="T10" s="43"/>
      <c r="U10" s="43"/>
    </row>
    <row r="11" spans="1:21" s="11" customFormat="1" x14ac:dyDescent="0.25">
      <c r="A11" s="51" t="s">
        <v>134</v>
      </c>
      <c r="B11" s="53" t="s">
        <v>15</v>
      </c>
      <c r="C11" s="53" t="s">
        <v>15</v>
      </c>
      <c r="D11" s="53" t="s">
        <v>15</v>
      </c>
      <c r="E11" s="52">
        <v>3.75</v>
      </c>
      <c r="F11" s="52">
        <v>9.93</v>
      </c>
      <c r="G11" s="52">
        <v>48.19</v>
      </c>
      <c r="H11" s="54" t="s">
        <v>14</v>
      </c>
      <c r="I11" s="52">
        <v>4.13</v>
      </c>
      <c r="J11" s="52">
        <v>1.6</v>
      </c>
      <c r="K11" s="52">
        <v>175.56</v>
      </c>
      <c r="L11" s="52">
        <v>19.489999999999998</v>
      </c>
      <c r="M11" s="52">
        <v>93.88</v>
      </c>
      <c r="N11" s="52">
        <v>35.9</v>
      </c>
      <c r="O11" s="52">
        <v>0</v>
      </c>
      <c r="P11" s="52">
        <v>0.66</v>
      </c>
      <c r="Q11" s="52">
        <v>9.5299999999999994</v>
      </c>
      <c r="R11" s="43"/>
      <c r="S11" s="43"/>
      <c r="T11" s="43"/>
      <c r="U11" s="43"/>
    </row>
    <row r="12" spans="1:21" s="11" customFormat="1" x14ac:dyDescent="0.25">
      <c r="A12" s="51" t="s">
        <v>135</v>
      </c>
      <c r="B12" s="53" t="s">
        <v>15</v>
      </c>
      <c r="C12" s="53" t="s">
        <v>15</v>
      </c>
      <c r="D12" s="53" t="s">
        <v>15</v>
      </c>
      <c r="E12" s="52">
        <v>3.88</v>
      </c>
      <c r="F12" s="52">
        <v>8.0500000000000007</v>
      </c>
      <c r="G12" s="52">
        <v>44.99</v>
      </c>
      <c r="H12" s="52">
        <v>37.19</v>
      </c>
      <c r="I12" s="52">
        <v>4.05</v>
      </c>
      <c r="J12" s="52">
        <v>0.88</v>
      </c>
      <c r="K12" s="52">
        <v>277.54000000000002</v>
      </c>
      <c r="L12" s="52">
        <v>19.09</v>
      </c>
      <c r="M12" s="52">
        <v>96.18</v>
      </c>
      <c r="N12" s="52">
        <v>35.799999999999997</v>
      </c>
      <c r="O12" s="52">
        <v>0</v>
      </c>
      <c r="P12" s="52">
        <v>0.64</v>
      </c>
      <c r="Q12" s="52">
        <v>9.5399999999999991</v>
      </c>
      <c r="R12" s="43"/>
      <c r="S12" s="43"/>
      <c r="T12" s="43"/>
      <c r="U12" s="43"/>
    </row>
    <row r="13" spans="1:21" s="11" customFormat="1" x14ac:dyDescent="0.25">
      <c r="A13" s="51" t="s">
        <v>136</v>
      </c>
      <c r="B13" s="53" t="s">
        <v>15</v>
      </c>
      <c r="C13" s="53" t="s">
        <v>15</v>
      </c>
      <c r="D13" s="53" t="s">
        <v>15</v>
      </c>
      <c r="E13" s="52">
        <v>3.48</v>
      </c>
      <c r="F13" s="52">
        <v>6.9</v>
      </c>
      <c r="G13" s="52">
        <v>41.86</v>
      </c>
      <c r="H13" s="52">
        <v>34.97</v>
      </c>
      <c r="I13" s="52">
        <v>3.96</v>
      </c>
      <c r="J13" s="52">
        <v>2.13</v>
      </c>
      <c r="K13" s="52">
        <v>299.41000000000003</v>
      </c>
      <c r="L13" s="52">
        <v>18.8</v>
      </c>
      <c r="M13" s="52">
        <v>100.23</v>
      </c>
      <c r="N13" s="52">
        <v>35.799999999999997</v>
      </c>
      <c r="O13" s="52">
        <v>0</v>
      </c>
      <c r="P13" s="52">
        <v>0.63</v>
      </c>
      <c r="Q13" s="52">
        <v>9.5500000000000007</v>
      </c>
      <c r="R13" s="43"/>
      <c r="S13" s="43"/>
      <c r="T13" s="43"/>
      <c r="U13" s="43"/>
    </row>
    <row r="14" spans="1:21" s="11" customFormat="1" x14ac:dyDescent="0.25">
      <c r="A14" s="51" t="s">
        <v>137</v>
      </c>
      <c r="B14" s="53" t="s">
        <v>15</v>
      </c>
      <c r="C14" s="53" t="s">
        <v>15</v>
      </c>
      <c r="D14" s="53" t="s">
        <v>15</v>
      </c>
      <c r="E14" s="52">
        <v>3.44</v>
      </c>
      <c r="F14" s="52">
        <v>6.89</v>
      </c>
      <c r="G14" s="52">
        <v>44.59</v>
      </c>
      <c r="H14" s="52">
        <v>34.97</v>
      </c>
      <c r="I14" s="52">
        <v>3.99</v>
      </c>
      <c r="J14" s="52">
        <v>2.67</v>
      </c>
      <c r="K14" s="52">
        <v>334.33</v>
      </c>
      <c r="L14" s="52">
        <v>18.850000000000001</v>
      </c>
      <c r="M14" s="52">
        <v>99.3</v>
      </c>
      <c r="N14" s="52">
        <v>38.1</v>
      </c>
      <c r="O14" s="52">
        <v>0</v>
      </c>
      <c r="P14" s="52">
        <v>0.65</v>
      </c>
      <c r="Q14" s="52">
        <v>9.5500000000000007</v>
      </c>
      <c r="R14" s="43"/>
      <c r="S14" s="43"/>
      <c r="T14" s="43"/>
      <c r="U14" s="43"/>
    </row>
    <row r="15" spans="1:21" s="11" customFormat="1" x14ac:dyDescent="0.25">
      <c r="A15" s="51" t="s">
        <v>138</v>
      </c>
      <c r="B15" s="53" t="s">
        <v>15</v>
      </c>
      <c r="C15" s="53" t="s">
        <v>15</v>
      </c>
      <c r="D15" s="53" t="s">
        <v>15</v>
      </c>
      <c r="E15" s="52">
        <v>3.19</v>
      </c>
      <c r="F15" s="52">
        <v>7.66</v>
      </c>
      <c r="G15" s="52">
        <v>58.16</v>
      </c>
      <c r="H15" s="52">
        <v>25.76</v>
      </c>
      <c r="I15" s="52">
        <v>4.0999999999999996</v>
      </c>
      <c r="J15" s="52">
        <v>2.37</v>
      </c>
      <c r="K15" s="52">
        <v>330.2</v>
      </c>
      <c r="L15" s="52">
        <v>19.46</v>
      </c>
      <c r="M15" s="52">
        <v>95.19</v>
      </c>
      <c r="N15" s="52">
        <v>87.8</v>
      </c>
      <c r="O15" s="52">
        <v>0</v>
      </c>
      <c r="P15" s="52">
        <v>0.68</v>
      </c>
      <c r="Q15" s="52">
        <v>9.5299999999999994</v>
      </c>
      <c r="R15" s="43"/>
      <c r="S15" s="43"/>
      <c r="T15" s="43"/>
      <c r="U15" s="43"/>
    </row>
    <row r="16" spans="1:21" s="11" customFormat="1" x14ac:dyDescent="0.25">
      <c r="A16" s="51" t="s">
        <v>139</v>
      </c>
      <c r="B16" s="53" t="s">
        <v>15</v>
      </c>
      <c r="C16" s="53" t="s">
        <v>15</v>
      </c>
      <c r="D16" s="53" t="s">
        <v>15</v>
      </c>
      <c r="E16" s="52">
        <v>3.97</v>
      </c>
      <c r="F16" s="52">
        <v>7.03</v>
      </c>
      <c r="G16" s="52">
        <v>58.16</v>
      </c>
      <c r="H16" s="52">
        <v>25.76</v>
      </c>
      <c r="I16" s="52">
        <v>4.1900000000000004</v>
      </c>
      <c r="J16" s="52">
        <v>2.2200000000000002</v>
      </c>
      <c r="K16" s="52">
        <v>318.25</v>
      </c>
      <c r="L16" s="52">
        <v>21.51</v>
      </c>
      <c r="M16" s="52">
        <v>86.56</v>
      </c>
      <c r="N16" s="52">
        <v>159</v>
      </c>
      <c r="O16" s="52">
        <v>0</v>
      </c>
      <c r="P16" s="52">
        <v>0.74</v>
      </c>
      <c r="Q16" s="52">
        <v>9.5299999999999994</v>
      </c>
      <c r="R16" s="43"/>
      <c r="S16" s="43"/>
      <c r="T16" s="43"/>
      <c r="U16" s="43"/>
    </row>
    <row r="17" spans="1:21" s="11" customFormat="1" x14ac:dyDescent="0.25">
      <c r="A17" s="51" t="s">
        <v>140</v>
      </c>
      <c r="B17" s="53" t="s">
        <v>15</v>
      </c>
      <c r="C17" s="53" t="s">
        <v>15</v>
      </c>
      <c r="D17" s="53" t="s">
        <v>15</v>
      </c>
      <c r="E17" s="52">
        <v>2.76</v>
      </c>
      <c r="F17" s="52">
        <v>7.21</v>
      </c>
      <c r="G17" s="52">
        <v>59.6</v>
      </c>
      <c r="H17" s="52">
        <v>4.6399999999999997</v>
      </c>
      <c r="I17" s="52">
        <v>4.12</v>
      </c>
      <c r="J17" s="52">
        <v>2.73</v>
      </c>
      <c r="K17" s="52">
        <v>333.84</v>
      </c>
      <c r="L17" s="52">
        <v>24.45</v>
      </c>
      <c r="M17" s="52">
        <v>74.12</v>
      </c>
      <c r="N17" s="52">
        <v>305.3</v>
      </c>
      <c r="O17" s="52">
        <v>0</v>
      </c>
      <c r="P17" s="52">
        <v>0.8</v>
      </c>
      <c r="Q17" s="52">
        <v>9.5500000000000007</v>
      </c>
      <c r="R17" s="43"/>
      <c r="S17" s="43"/>
      <c r="T17" s="43"/>
      <c r="U17" s="43"/>
    </row>
    <row r="18" spans="1:21" s="11" customFormat="1" x14ac:dyDescent="0.25">
      <c r="A18" s="51" t="s">
        <v>141</v>
      </c>
      <c r="B18" s="53" t="s">
        <v>15</v>
      </c>
      <c r="C18" s="53" t="s">
        <v>15</v>
      </c>
      <c r="D18" s="53" t="s">
        <v>15</v>
      </c>
      <c r="E18" s="52">
        <v>2.82</v>
      </c>
      <c r="F18" s="52">
        <v>10.94</v>
      </c>
      <c r="G18" s="52">
        <v>61.26</v>
      </c>
      <c r="H18" s="54" t="s">
        <v>14</v>
      </c>
      <c r="I18" s="52">
        <v>4.04</v>
      </c>
      <c r="J18" s="52">
        <v>2.36</v>
      </c>
      <c r="K18" s="52">
        <v>324.52999999999997</v>
      </c>
      <c r="L18" s="52">
        <v>26.3</v>
      </c>
      <c r="M18" s="52">
        <v>65.010000000000005</v>
      </c>
      <c r="N18" s="52">
        <v>372.1</v>
      </c>
      <c r="O18" s="52">
        <v>0</v>
      </c>
      <c r="P18" s="52">
        <v>0.84</v>
      </c>
      <c r="Q18" s="52">
        <v>9.57</v>
      </c>
      <c r="R18" s="43"/>
      <c r="S18" s="43"/>
      <c r="T18" s="43"/>
      <c r="U18" s="43"/>
    </row>
    <row r="19" spans="1:21" s="11" customFormat="1" x14ac:dyDescent="0.25">
      <c r="A19" s="51" t="s">
        <v>142</v>
      </c>
      <c r="B19" s="53" t="s">
        <v>15</v>
      </c>
      <c r="C19" s="53" t="s">
        <v>15</v>
      </c>
      <c r="D19" s="53" t="s">
        <v>15</v>
      </c>
      <c r="E19" s="52">
        <v>3.26</v>
      </c>
      <c r="F19" s="52">
        <v>11.46</v>
      </c>
      <c r="G19" s="52">
        <v>61.26</v>
      </c>
      <c r="H19" s="54" t="s">
        <v>14</v>
      </c>
      <c r="I19" s="52">
        <v>4.05</v>
      </c>
      <c r="J19" s="52">
        <v>2.61</v>
      </c>
      <c r="K19" s="52">
        <v>308.02</v>
      </c>
      <c r="L19" s="52">
        <v>27.56</v>
      </c>
      <c r="M19" s="52">
        <v>52.76</v>
      </c>
      <c r="N19" s="52">
        <v>636.70000000000005</v>
      </c>
      <c r="O19" s="52">
        <v>0</v>
      </c>
      <c r="P19" s="52">
        <v>0.82</v>
      </c>
      <c r="Q19" s="52">
        <v>9.56</v>
      </c>
      <c r="R19" s="43"/>
      <c r="S19" s="43"/>
      <c r="T19" s="43"/>
      <c r="U19" s="43"/>
    </row>
    <row r="20" spans="1:21" s="11" customFormat="1" x14ac:dyDescent="0.25">
      <c r="A20" s="51" t="s">
        <v>143</v>
      </c>
      <c r="B20" s="53" t="s">
        <v>15</v>
      </c>
      <c r="C20" s="53" t="s">
        <v>15</v>
      </c>
      <c r="D20" s="53" t="s">
        <v>15</v>
      </c>
      <c r="E20" s="52">
        <v>3.47</v>
      </c>
      <c r="F20" s="52">
        <v>12.4</v>
      </c>
      <c r="G20" s="52">
        <v>55.1</v>
      </c>
      <c r="H20" s="54" t="s">
        <v>14</v>
      </c>
      <c r="I20" s="52">
        <v>4.12</v>
      </c>
      <c r="J20" s="52">
        <v>1.63</v>
      </c>
      <c r="K20" s="52">
        <v>281.74</v>
      </c>
      <c r="L20" s="52">
        <v>27.13</v>
      </c>
      <c r="M20" s="52">
        <v>47.34</v>
      </c>
      <c r="N20" s="52">
        <v>569.29999999999995</v>
      </c>
      <c r="O20" s="52">
        <v>0</v>
      </c>
      <c r="P20" s="52">
        <v>0.75</v>
      </c>
      <c r="Q20" s="52">
        <v>9.5399999999999991</v>
      </c>
      <c r="R20" s="43"/>
      <c r="S20" s="43"/>
      <c r="T20" s="43"/>
      <c r="U20" s="43"/>
    </row>
    <row r="21" spans="1:21" s="11" customFormat="1" x14ac:dyDescent="0.25">
      <c r="A21" s="51" t="s">
        <v>144</v>
      </c>
      <c r="B21" s="53" t="s">
        <v>15</v>
      </c>
      <c r="C21" s="53" t="s">
        <v>15</v>
      </c>
      <c r="D21" s="53" t="s">
        <v>15</v>
      </c>
      <c r="E21" s="52">
        <v>2.95</v>
      </c>
      <c r="F21" s="52">
        <v>11.43</v>
      </c>
      <c r="G21" s="52">
        <v>50.78</v>
      </c>
      <c r="H21" s="52">
        <v>26.9</v>
      </c>
      <c r="I21" s="52">
        <v>4.1399999999999997</v>
      </c>
      <c r="J21" s="52">
        <v>2.23</v>
      </c>
      <c r="K21" s="52">
        <v>335.4</v>
      </c>
      <c r="L21" s="52">
        <v>31.41</v>
      </c>
      <c r="M21" s="52">
        <v>40.700000000000003</v>
      </c>
      <c r="N21" s="52">
        <v>928.1</v>
      </c>
      <c r="O21" s="52">
        <v>0</v>
      </c>
      <c r="P21" s="52">
        <v>0.72</v>
      </c>
      <c r="Q21" s="52">
        <v>9.5399999999999991</v>
      </c>
      <c r="R21" s="43"/>
      <c r="S21" s="43"/>
      <c r="T21" s="43"/>
      <c r="U21" s="43"/>
    </row>
    <row r="22" spans="1:21" s="11" customFormat="1" x14ac:dyDescent="0.25">
      <c r="A22" s="51" t="s">
        <v>145</v>
      </c>
      <c r="B22" s="53" t="s">
        <v>15</v>
      </c>
      <c r="C22" s="53" t="s">
        <v>15</v>
      </c>
      <c r="D22" s="53" t="s">
        <v>15</v>
      </c>
      <c r="E22" s="52">
        <v>3.76</v>
      </c>
      <c r="F22" s="52">
        <v>17.54</v>
      </c>
      <c r="G22" s="52">
        <v>50.77</v>
      </c>
      <c r="H22" s="52">
        <v>26.9</v>
      </c>
      <c r="I22" s="52">
        <v>4.0999999999999996</v>
      </c>
      <c r="J22" s="52">
        <v>2.35</v>
      </c>
      <c r="K22" s="52">
        <v>327.06</v>
      </c>
      <c r="L22" s="52">
        <v>32.17</v>
      </c>
      <c r="M22" s="52">
        <v>35.520000000000003</v>
      </c>
      <c r="N22" s="52">
        <v>830.2</v>
      </c>
      <c r="O22" s="52">
        <v>0</v>
      </c>
      <c r="P22" s="52">
        <v>0.68</v>
      </c>
      <c r="Q22" s="52">
        <v>9.57</v>
      </c>
      <c r="R22" s="43"/>
      <c r="S22" s="43"/>
      <c r="T22" s="43"/>
      <c r="U22" s="43"/>
    </row>
    <row r="23" spans="1:21" s="11" customFormat="1" x14ac:dyDescent="0.25">
      <c r="A23" s="51" t="s">
        <v>146</v>
      </c>
      <c r="B23" s="53" t="s">
        <v>15</v>
      </c>
      <c r="C23" s="53" t="s">
        <v>15</v>
      </c>
      <c r="D23" s="53" t="s">
        <v>15</v>
      </c>
      <c r="E23" s="52">
        <v>5.18</v>
      </c>
      <c r="F23" s="52">
        <v>24.11</v>
      </c>
      <c r="G23" s="52">
        <v>50.77</v>
      </c>
      <c r="H23" s="52">
        <v>2.42</v>
      </c>
      <c r="I23" s="52">
        <v>4.16</v>
      </c>
      <c r="J23" s="52">
        <v>2.04</v>
      </c>
      <c r="K23" s="52">
        <v>321.49</v>
      </c>
      <c r="L23" s="52">
        <v>30.9</v>
      </c>
      <c r="M23" s="52">
        <v>36.44</v>
      </c>
      <c r="N23" s="52">
        <v>513.20000000000005</v>
      </c>
      <c r="O23" s="52">
        <v>0</v>
      </c>
      <c r="P23" s="52">
        <v>0.56000000000000005</v>
      </c>
      <c r="Q23" s="52">
        <v>9.56</v>
      </c>
      <c r="R23" s="43"/>
      <c r="S23" s="43"/>
      <c r="T23" s="43"/>
      <c r="U23" s="43"/>
    </row>
    <row r="24" spans="1:21" s="11" customFormat="1" x14ac:dyDescent="0.25">
      <c r="A24" s="51" t="s">
        <v>147</v>
      </c>
      <c r="B24" s="53" t="s">
        <v>15</v>
      </c>
      <c r="C24" s="53" t="s">
        <v>15</v>
      </c>
      <c r="D24" s="53" t="s">
        <v>15</v>
      </c>
      <c r="E24" s="52">
        <v>6.26</v>
      </c>
      <c r="F24" s="52">
        <v>32.200000000000003</v>
      </c>
      <c r="G24" s="52">
        <v>43.37</v>
      </c>
      <c r="H24" s="52">
        <v>0.19</v>
      </c>
      <c r="I24" s="52">
        <v>4.0599999999999996</v>
      </c>
      <c r="J24" s="52">
        <v>2.36</v>
      </c>
      <c r="K24" s="52">
        <v>168.05</v>
      </c>
      <c r="L24" s="52">
        <v>30.56</v>
      </c>
      <c r="M24" s="52">
        <v>35.270000000000003</v>
      </c>
      <c r="N24" s="52">
        <v>361.7</v>
      </c>
      <c r="O24" s="52">
        <v>0</v>
      </c>
      <c r="P24" s="52">
        <v>0.53</v>
      </c>
      <c r="Q24" s="52">
        <v>9.56</v>
      </c>
      <c r="R24" s="43"/>
      <c r="S24" s="43"/>
      <c r="T24" s="43"/>
      <c r="U24" s="43"/>
    </row>
    <row r="25" spans="1:21" s="11" customFormat="1" x14ac:dyDescent="0.25">
      <c r="A25" s="51" t="s">
        <v>148</v>
      </c>
      <c r="B25" s="53" t="s">
        <v>15</v>
      </c>
      <c r="C25" s="53" t="s">
        <v>15</v>
      </c>
      <c r="D25" s="53" t="s">
        <v>15</v>
      </c>
      <c r="E25" s="52">
        <v>7.87</v>
      </c>
      <c r="F25" s="52">
        <v>27.62</v>
      </c>
      <c r="G25" s="52">
        <v>44.51</v>
      </c>
      <c r="H25" s="52">
        <v>10.32</v>
      </c>
      <c r="I25" s="52">
        <v>4.12</v>
      </c>
      <c r="J25" s="52">
        <v>1.66</v>
      </c>
      <c r="K25" s="52">
        <v>152.63999999999999</v>
      </c>
      <c r="L25" s="52">
        <v>29.32</v>
      </c>
      <c r="M25" s="52">
        <v>35.43</v>
      </c>
      <c r="N25" s="52">
        <v>187.9</v>
      </c>
      <c r="O25" s="52">
        <v>0</v>
      </c>
      <c r="P25" s="52">
        <v>0.49</v>
      </c>
      <c r="Q25" s="52">
        <v>9.56</v>
      </c>
      <c r="R25" s="43"/>
      <c r="S25" s="43"/>
      <c r="T25" s="43"/>
      <c r="U25" s="43"/>
    </row>
    <row r="26" spans="1:21" s="11" customFormat="1" x14ac:dyDescent="0.25">
      <c r="A26" s="51" t="s">
        <v>149</v>
      </c>
      <c r="B26" s="53" t="s">
        <v>15</v>
      </c>
      <c r="C26" s="53" t="s">
        <v>15</v>
      </c>
      <c r="D26" s="53" t="s">
        <v>15</v>
      </c>
      <c r="E26" s="52">
        <v>6.48</v>
      </c>
      <c r="F26" s="52">
        <v>20.5</v>
      </c>
      <c r="G26" s="52">
        <v>46.27</v>
      </c>
      <c r="H26" s="54" t="s">
        <v>14</v>
      </c>
      <c r="I26" s="52">
        <v>3.99</v>
      </c>
      <c r="J26" s="52">
        <v>1.96</v>
      </c>
      <c r="K26" s="52">
        <v>171.49</v>
      </c>
      <c r="L26" s="52">
        <v>28.61</v>
      </c>
      <c r="M26" s="52">
        <v>37.11</v>
      </c>
      <c r="N26" s="52">
        <v>116.1</v>
      </c>
      <c r="O26" s="52">
        <v>0</v>
      </c>
      <c r="P26" s="52">
        <v>0.54</v>
      </c>
      <c r="Q26" s="52">
        <v>9.5500000000000007</v>
      </c>
      <c r="R26" s="43"/>
      <c r="S26" s="43"/>
      <c r="T26" s="43"/>
      <c r="U26" s="43"/>
    </row>
    <row r="27" spans="1:21" s="11" customFormat="1" x14ac:dyDescent="0.25">
      <c r="A27" s="51" t="s">
        <v>150</v>
      </c>
      <c r="B27" s="53" t="s">
        <v>15</v>
      </c>
      <c r="C27" s="53" t="s">
        <v>15</v>
      </c>
      <c r="D27" s="53" t="s">
        <v>15</v>
      </c>
      <c r="E27" s="52">
        <v>6.05</v>
      </c>
      <c r="F27" s="52">
        <v>21.45</v>
      </c>
      <c r="G27" s="52">
        <v>49.77</v>
      </c>
      <c r="H27" s="54" t="s">
        <v>14</v>
      </c>
      <c r="I27" s="52">
        <v>4.12</v>
      </c>
      <c r="J27" s="52">
        <v>2.44</v>
      </c>
      <c r="K27" s="52">
        <v>169.13</v>
      </c>
      <c r="L27" s="52">
        <v>27.26</v>
      </c>
      <c r="M27" s="52">
        <v>54.77</v>
      </c>
      <c r="N27" s="52">
        <v>74.900000000000006</v>
      </c>
      <c r="O27" s="52">
        <v>0</v>
      </c>
      <c r="P27" s="52">
        <v>0.55000000000000004</v>
      </c>
      <c r="Q27" s="52">
        <v>9.5500000000000007</v>
      </c>
      <c r="R27" s="43"/>
      <c r="S27" s="43"/>
      <c r="T27" s="43"/>
      <c r="U27" s="43"/>
    </row>
    <row r="28" spans="1:21" s="11" customFormat="1" x14ac:dyDescent="0.25">
      <c r="A28" s="51" t="s">
        <v>151</v>
      </c>
      <c r="B28" s="53" t="s">
        <v>15</v>
      </c>
      <c r="C28" s="53" t="s">
        <v>15</v>
      </c>
      <c r="D28" s="53" t="s">
        <v>15</v>
      </c>
      <c r="E28" s="52">
        <v>4.03</v>
      </c>
      <c r="F28" s="52">
        <v>14.41</v>
      </c>
      <c r="G28" s="52">
        <v>49.77</v>
      </c>
      <c r="H28" s="54" t="s">
        <v>14</v>
      </c>
      <c r="I28" s="52">
        <v>4</v>
      </c>
      <c r="J28" s="52">
        <v>2.46</v>
      </c>
      <c r="K28" s="52">
        <v>165.03</v>
      </c>
      <c r="L28" s="52">
        <v>25.25</v>
      </c>
      <c r="M28" s="52">
        <v>55.21</v>
      </c>
      <c r="N28" s="52">
        <v>76.099999999999994</v>
      </c>
      <c r="O28" s="52">
        <v>0</v>
      </c>
      <c r="P28" s="52">
        <v>0.55000000000000004</v>
      </c>
      <c r="Q28" s="52">
        <v>9.5500000000000007</v>
      </c>
      <c r="R28" s="43"/>
      <c r="S28" s="43"/>
      <c r="T28" s="43"/>
      <c r="U28" s="43"/>
    </row>
    <row r="29" spans="1:21" s="11" customFormat="1" x14ac:dyDescent="0.25">
      <c r="A29" s="51" t="s">
        <v>152</v>
      </c>
      <c r="B29" s="53" t="s">
        <v>15</v>
      </c>
      <c r="C29" s="53" t="s">
        <v>15</v>
      </c>
      <c r="D29" s="53" t="s">
        <v>15</v>
      </c>
      <c r="E29" s="52">
        <v>4.51</v>
      </c>
      <c r="F29" s="52">
        <v>13.16</v>
      </c>
      <c r="G29" s="52">
        <v>48.02</v>
      </c>
      <c r="H29" s="52">
        <v>14.61</v>
      </c>
      <c r="I29" s="52">
        <v>4.09</v>
      </c>
      <c r="J29" s="52">
        <v>2.2400000000000002</v>
      </c>
      <c r="K29" s="52">
        <v>166.38</v>
      </c>
      <c r="L29" s="52">
        <v>24.72</v>
      </c>
      <c r="M29" s="52">
        <v>54.33</v>
      </c>
      <c r="N29" s="52">
        <v>79.5</v>
      </c>
      <c r="O29" s="52">
        <v>0</v>
      </c>
      <c r="P29" s="52">
        <v>0.56999999999999995</v>
      </c>
      <c r="Q29" s="52">
        <v>9.5399999999999991</v>
      </c>
      <c r="R29" s="43"/>
      <c r="S29" s="43"/>
      <c r="T29" s="43"/>
      <c r="U29" s="43"/>
    </row>
    <row r="30" spans="1:21" s="11" customFormat="1" x14ac:dyDescent="0.25">
      <c r="A30" s="51" t="s">
        <v>153</v>
      </c>
      <c r="B30" s="53" t="s">
        <v>15</v>
      </c>
      <c r="C30" s="53" t="s">
        <v>15</v>
      </c>
      <c r="D30" s="53" t="s">
        <v>15</v>
      </c>
      <c r="E30" s="52">
        <v>3.74</v>
      </c>
      <c r="F30" s="52">
        <v>11.63</v>
      </c>
      <c r="G30" s="52">
        <v>46.25</v>
      </c>
      <c r="H30" s="52">
        <v>30.62</v>
      </c>
      <c r="I30" s="52">
        <v>4.04</v>
      </c>
      <c r="J30" s="52">
        <v>2.4300000000000002</v>
      </c>
      <c r="K30" s="52">
        <v>167.32</v>
      </c>
      <c r="L30" s="52">
        <v>24.32</v>
      </c>
      <c r="M30" s="52">
        <v>60.81</v>
      </c>
      <c r="N30" s="52">
        <v>84.5</v>
      </c>
      <c r="O30" s="52">
        <v>0</v>
      </c>
      <c r="P30" s="52">
        <v>0.56999999999999995</v>
      </c>
      <c r="Q30" s="52">
        <v>9.58</v>
      </c>
      <c r="R30" s="43"/>
      <c r="S30" s="43"/>
      <c r="T30" s="43"/>
      <c r="U30" s="43"/>
    </row>
    <row r="31" spans="1:21" s="11" customFormat="1" x14ac:dyDescent="0.25">
      <c r="A31" s="51" t="s">
        <v>154</v>
      </c>
      <c r="B31" s="53" t="s">
        <v>15</v>
      </c>
      <c r="C31" s="53" t="s">
        <v>15</v>
      </c>
      <c r="D31" s="53" t="s">
        <v>15</v>
      </c>
      <c r="E31" s="52">
        <v>3.82</v>
      </c>
      <c r="F31" s="52">
        <v>11.44</v>
      </c>
      <c r="G31" s="52">
        <v>46.25</v>
      </c>
      <c r="H31" s="52">
        <v>30.62</v>
      </c>
      <c r="I31" s="52">
        <v>4.0199999999999996</v>
      </c>
      <c r="J31" s="52">
        <v>2.12</v>
      </c>
      <c r="K31" s="52">
        <v>167.7</v>
      </c>
      <c r="L31" s="52">
        <v>23.25</v>
      </c>
      <c r="M31" s="52">
        <v>66.13</v>
      </c>
      <c r="N31" s="52">
        <v>86.1</v>
      </c>
      <c r="O31" s="52">
        <v>0</v>
      </c>
      <c r="P31" s="52">
        <v>0.55000000000000004</v>
      </c>
      <c r="Q31" s="52">
        <v>9.58</v>
      </c>
      <c r="R31" s="43"/>
      <c r="S31" s="43"/>
      <c r="T31" s="43"/>
      <c r="U31" s="43"/>
    </row>
    <row r="32" spans="1:21" s="11" customFormat="1" x14ac:dyDescent="0.25">
      <c r="A32" s="51" t="s">
        <v>155</v>
      </c>
      <c r="B32" s="53" t="s">
        <v>15</v>
      </c>
      <c r="C32" s="53" t="s">
        <v>15</v>
      </c>
      <c r="D32" s="53" t="s">
        <v>15</v>
      </c>
      <c r="E32" s="52">
        <v>3.53</v>
      </c>
      <c r="F32" s="52">
        <v>13.27</v>
      </c>
      <c r="G32" s="52">
        <v>41.65</v>
      </c>
      <c r="H32" s="52">
        <v>17.07</v>
      </c>
      <c r="I32" s="52">
        <v>4.13</v>
      </c>
      <c r="J32" s="52">
        <v>2.4700000000000002</v>
      </c>
      <c r="K32" s="52">
        <v>176.83</v>
      </c>
      <c r="L32" s="52">
        <v>22.58</v>
      </c>
      <c r="M32" s="52">
        <v>72.040000000000006</v>
      </c>
      <c r="N32" s="52">
        <v>88.5</v>
      </c>
      <c r="O32" s="52">
        <v>0</v>
      </c>
      <c r="P32" s="52">
        <v>0.54</v>
      </c>
      <c r="Q32" s="52">
        <v>9.58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</v>
      </c>
      <c r="C34" s="28">
        <f t="shared" si="0"/>
        <v>0</v>
      </c>
      <c r="D34" s="28">
        <f t="shared" si="0"/>
        <v>0</v>
      </c>
      <c r="E34" s="28">
        <f t="shared" si="0"/>
        <v>2.76</v>
      </c>
      <c r="F34" s="28">
        <f t="shared" si="0"/>
        <v>6.89</v>
      </c>
      <c r="G34" s="28">
        <f t="shared" si="0"/>
        <v>41.65</v>
      </c>
      <c r="H34" s="28">
        <f t="shared" si="0"/>
        <v>0.19</v>
      </c>
      <c r="I34" s="28">
        <f t="shared" si="0"/>
        <v>3.95</v>
      </c>
      <c r="J34" s="28">
        <f t="shared" si="0"/>
        <v>0.88</v>
      </c>
      <c r="K34" s="28">
        <f t="shared" si="0"/>
        <v>115.62</v>
      </c>
      <c r="L34" s="28">
        <f t="shared" si="0"/>
        <v>18.8</v>
      </c>
      <c r="M34" s="28">
        <f t="shared" si="0"/>
        <v>35.270000000000003</v>
      </c>
      <c r="N34" s="28">
        <f t="shared" si="0"/>
        <v>35.700000000000003</v>
      </c>
      <c r="O34" s="28">
        <f t="shared" si="0"/>
        <v>0</v>
      </c>
      <c r="P34" s="28">
        <f t="shared" si="0"/>
        <v>0.49</v>
      </c>
      <c r="Q34" s="28">
        <f t="shared" si="0"/>
        <v>9.5299999999999994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0</v>
      </c>
      <c r="C35" s="29">
        <f t="shared" si="1"/>
        <v>0</v>
      </c>
      <c r="D35" s="29">
        <f t="shared" si="1"/>
        <v>0</v>
      </c>
      <c r="E35" s="29">
        <f t="shared" si="1"/>
        <v>7.87</v>
      </c>
      <c r="F35" s="29">
        <f t="shared" si="1"/>
        <v>32.200000000000003</v>
      </c>
      <c r="G35" s="29">
        <f t="shared" si="1"/>
        <v>61.26</v>
      </c>
      <c r="H35" s="29">
        <f t="shared" si="1"/>
        <v>37.19</v>
      </c>
      <c r="I35" s="29">
        <f t="shared" si="1"/>
        <v>4.1900000000000004</v>
      </c>
      <c r="J35" s="29">
        <f t="shared" si="1"/>
        <v>2.73</v>
      </c>
      <c r="K35" s="29">
        <f t="shared" si="1"/>
        <v>335.4</v>
      </c>
      <c r="L35" s="29">
        <f t="shared" si="1"/>
        <v>32.17</v>
      </c>
      <c r="M35" s="29">
        <f t="shared" si="1"/>
        <v>100.23</v>
      </c>
      <c r="N35" s="29">
        <f t="shared" si="1"/>
        <v>928.1</v>
      </c>
      <c r="O35" s="29">
        <f t="shared" si="1"/>
        <v>0</v>
      </c>
      <c r="P35" s="29">
        <f t="shared" si="1"/>
        <v>0.84</v>
      </c>
      <c r="Q35" s="29">
        <f t="shared" si="1"/>
        <v>9.58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 t="e">
        <f t="shared" ref="B36:Q36" si="2">AVERAGE(B9:B32)</f>
        <v>#DIV/0!</v>
      </c>
      <c r="C36" s="28" t="e">
        <f t="shared" si="2"/>
        <v>#DIV/0!</v>
      </c>
      <c r="D36" s="28" t="e">
        <f t="shared" si="2"/>
        <v>#DIV/0!</v>
      </c>
      <c r="E36" s="28">
        <f t="shared" si="2"/>
        <v>4.1737499999999992</v>
      </c>
      <c r="F36" s="28">
        <f t="shared" si="2"/>
        <v>13.868333333333334</v>
      </c>
      <c r="G36" s="28">
        <f t="shared" si="2"/>
        <v>49.98416666666666</v>
      </c>
      <c r="H36" s="28">
        <f t="shared" si="2"/>
        <v>22.118124999999999</v>
      </c>
      <c r="I36" s="28">
        <f t="shared" si="2"/>
        <v>4.0695833333333331</v>
      </c>
      <c r="J36" s="28">
        <f t="shared" si="2"/>
        <v>2.1116666666666664</v>
      </c>
      <c r="K36" s="28">
        <f t="shared" si="2"/>
        <v>245.8125</v>
      </c>
      <c r="L36" s="28">
        <f t="shared" si="2"/>
        <v>24.670000000000005</v>
      </c>
      <c r="M36" s="28">
        <f t="shared" si="2"/>
        <v>65.998333333333335</v>
      </c>
      <c r="N36" s="28">
        <f t="shared" si="2"/>
        <v>240.59166666666667</v>
      </c>
      <c r="O36" s="28">
        <f t="shared" si="2"/>
        <v>0</v>
      </c>
      <c r="P36" s="28">
        <f t="shared" si="2"/>
        <v>0.64124999999999999</v>
      </c>
      <c r="Q36" s="28">
        <f t="shared" si="2"/>
        <v>9.5516666666666676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 t="e">
        <f>STDEV(B9:B32)</f>
        <v>#DIV/0!</v>
      </c>
      <c r="C37" s="28" t="e">
        <f t="shared" ref="C37:Q37" si="3">STDEV(C9:C32)</f>
        <v>#DIV/0!</v>
      </c>
      <c r="D37" s="28" t="e">
        <f t="shared" si="3"/>
        <v>#DIV/0!</v>
      </c>
      <c r="E37" s="28">
        <f t="shared" si="3"/>
        <v>1.2841265429313709</v>
      </c>
      <c r="F37" s="28">
        <f t="shared" si="3"/>
        <v>6.7898874080865781</v>
      </c>
      <c r="G37" s="28">
        <f t="shared" si="3"/>
        <v>5.984670937644327</v>
      </c>
      <c r="H37" s="28">
        <f t="shared" si="3"/>
        <v>12.241248966098189</v>
      </c>
      <c r="I37" s="28">
        <f t="shared" si="3"/>
        <v>6.6298348505017479E-2</v>
      </c>
      <c r="J37" s="28">
        <f t="shared" si="3"/>
        <v>0.48925557175442996</v>
      </c>
      <c r="K37" s="28">
        <f t="shared" si="3"/>
        <v>79.615975797410869</v>
      </c>
      <c r="L37" s="28">
        <f t="shared" si="3"/>
        <v>4.4671613396856866</v>
      </c>
      <c r="M37" s="28">
        <f t="shared" si="3"/>
        <v>23.861549143679529</v>
      </c>
      <c r="N37" s="28">
        <f t="shared" si="3"/>
        <v>267.55608094243604</v>
      </c>
      <c r="O37" s="28">
        <f t="shared" si="3"/>
        <v>0</v>
      </c>
      <c r="P37" s="28">
        <f t="shared" si="3"/>
        <v>9.9534241431737086E-2</v>
      </c>
      <c r="Q37" s="28">
        <f t="shared" si="3"/>
        <v>1.606147609943635E-2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0</v>
      </c>
      <c r="C38" s="32">
        <f t="shared" si="4"/>
        <v>0</v>
      </c>
      <c r="D38" s="32">
        <f t="shared" si="4"/>
        <v>0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COUNT(H9:H32)+8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05/04/2025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156</v>
      </c>
      <c r="B9" s="53" t="s">
        <v>15</v>
      </c>
      <c r="C9" s="53" t="s">
        <v>15</v>
      </c>
      <c r="D9" s="53" t="s">
        <v>15</v>
      </c>
      <c r="E9" s="52">
        <v>3.41</v>
      </c>
      <c r="F9" s="52">
        <v>11.98</v>
      </c>
      <c r="G9" s="52">
        <v>39.79</v>
      </c>
      <c r="H9" s="52">
        <v>20.99</v>
      </c>
      <c r="I9" s="52">
        <v>4.07</v>
      </c>
      <c r="J9" s="52">
        <v>1.79</v>
      </c>
      <c r="K9" s="52">
        <v>238.15</v>
      </c>
      <c r="L9" s="52">
        <v>21.65</v>
      </c>
      <c r="M9" s="52">
        <v>73.89</v>
      </c>
      <c r="N9" s="52">
        <v>88.5</v>
      </c>
      <c r="O9" s="52">
        <v>0</v>
      </c>
      <c r="P9" s="52">
        <v>0.52</v>
      </c>
      <c r="Q9" s="52">
        <v>9.59</v>
      </c>
      <c r="R9" s="43"/>
      <c r="S9" s="43"/>
      <c r="T9" s="43"/>
      <c r="U9" s="43"/>
    </row>
    <row r="10" spans="1:21" s="11" customFormat="1" x14ac:dyDescent="0.25">
      <c r="A10" s="51" t="s">
        <v>157</v>
      </c>
      <c r="B10" s="53" t="s">
        <v>15</v>
      </c>
      <c r="C10" s="53" t="s">
        <v>15</v>
      </c>
      <c r="D10" s="53" t="s">
        <v>15</v>
      </c>
      <c r="E10" s="52">
        <v>3.27</v>
      </c>
      <c r="F10" s="52">
        <v>11.52</v>
      </c>
      <c r="G10" s="52">
        <v>35.78</v>
      </c>
      <c r="H10" s="52">
        <v>20.99</v>
      </c>
      <c r="I10" s="52">
        <v>4.0199999999999996</v>
      </c>
      <c r="J10" s="52">
        <v>2.13</v>
      </c>
      <c r="K10" s="52">
        <v>212.11</v>
      </c>
      <c r="L10" s="52">
        <v>21.51</v>
      </c>
      <c r="M10" s="52">
        <v>79.27</v>
      </c>
      <c r="N10" s="52">
        <v>89.8</v>
      </c>
      <c r="O10" s="52">
        <v>0</v>
      </c>
      <c r="P10" s="52">
        <v>0.49</v>
      </c>
      <c r="Q10" s="52">
        <v>9.59</v>
      </c>
      <c r="R10" s="43"/>
      <c r="S10" s="43"/>
      <c r="T10" s="43"/>
      <c r="U10" s="43"/>
    </row>
    <row r="11" spans="1:21" s="11" customFormat="1" x14ac:dyDescent="0.25">
      <c r="A11" s="51" t="s">
        <v>158</v>
      </c>
      <c r="B11" s="53" t="s">
        <v>15</v>
      </c>
      <c r="C11" s="53" t="s">
        <v>15</v>
      </c>
      <c r="D11" s="53" t="s">
        <v>15</v>
      </c>
      <c r="E11" s="52">
        <v>3.12</v>
      </c>
      <c r="F11" s="52">
        <v>9.24</v>
      </c>
      <c r="G11" s="52">
        <v>33.68</v>
      </c>
      <c r="H11" s="52">
        <v>18.350000000000001</v>
      </c>
      <c r="I11" s="52">
        <v>4.0599999999999996</v>
      </c>
      <c r="J11" s="52">
        <v>1.82</v>
      </c>
      <c r="K11" s="52">
        <v>196.6</v>
      </c>
      <c r="L11" s="52">
        <v>20.81</v>
      </c>
      <c r="M11" s="52">
        <v>79.88</v>
      </c>
      <c r="N11" s="52">
        <v>89</v>
      </c>
      <c r="O11" s="52">
        <v>0</v>
      </c>
      <c r="P11" s="52">
        <v>0.47</v>
      </c>
      <c r="Q11" s="52">
        <v>9.59</v>
      </c>
      <c r="R11" s="43"/>
      <c r="S11" s="43"/>
      <c r="T11" s="43"/>
      <c r="U11" s="43"/>
    </row>
    <row r="12" spans="1:21" s="11" customFormat="1" x14ac:dyDescent="0.25">
      <c r="A12" s="51" t="s">
        <v>159</v>
      </c>
      <c r="B12" s="53" t="s">
        <v>15</v>
      </c>
      <c r="C12" s="53" t="s">
        <v>15</v>
      </c>
      <c r="D12" s="53" t="s">
        <v>15</v>
      </c>
      <c r="E12" s="52">
        <v>2.94</v>
      </c>
      <c r="F12" s="52">
        <v>10.93</v>
      </c>
      <c r="G12" s="52">
        <v>28.08</v>
      </c>
      <c r="H12" s="52">
        <v>15.03</v>
      </c>
      <c r="I12" s="52">
        <v>4.1500000000000004</v>
      </c>
      <c r="J12" s="52">
        <v>1.96</v>
      </c>
      <c r="K12" s="52">
        <v>236.36</v>
      </c>
      <c r="L12" s="52">
        <v>20.62</v>
      </c>
      <c r="M12" s="52">
        <v>82.75</v>
      </c>
      <c r="N12" s="52">
        <v>84.9</v>
      </c>
      <c r="O12" s="52">
        <v>0</v>
      </c>
      <c r="P12" s="52">
        <v>0.45</v>
      </c>
      <c r="Q12" s="52">
        <v>9.6</v>
      </c>
      <c r="R12" s="43"/>
      <c r="S12" s="43"/>
      <c r="T12" s="43"/>
      <c r="U12" s="43"/>
    </row>
    <row r="13" spans="1:21" s="11" customFormat="1" x14ac:dyDescent="0.25">
      <c r="A13" s="51" t="s">
        <v>160</v>
      </c>
      <c r="B13" s="53" t="s">
        <v>15</v>
      </c>
      <c r="C13" s="53" t="s">
        <v>15</v>
      </c>
      <c r="D13" s="53" t="s">
        <v>15</v>
      </c>
      <c r="E13" s="52">
        <v>3.07</v>
      </c>
      <c r="F13" s="52">
        <v>10.55</v>
      </c>
      <c r="G13" s="52">
        <v>29.33</v>
      </c>
      <c r="H13" s="52">
        <v>13.76</v>
      </c>
      <c r="I13" s="52">
        <v>4.1500000000000004</v>
      </c>
      <c r="J13" s="52">
        <v>1.22</v>
      </c>
      <c r="K13" s="52">
        <v>288.89999999999998</v>
      </c>
      <c r="L13" s="52">
        <v>19.91</v>
      </c>
      <c r="M13" s="52">
        <v>89.18</v>
      </c>
      <c r="N13" s="52">
        <v>84.5</v>
      </c>
      <c r="O13" s="52">
        <v>0</v>
      </c>
      <c r="P13" s="52">
        <v>0.46</v>
      </c>
      <c r="Q13" s="52">
        <v>9.59</v>
      </c>
      <c r="R13" s="43"/>
      <c r="S13" s="43"/>
      <c r="T13" s="43"/>
      <c r="U13" s="43"/>
    </row>
    <row r="14" spans="1:21" s="11" customFormat="1" x14ac:dyDescent="0.25">
      <c r="A14" s="51" t="s">
        <v>161</v>
      </c>
      <c r="B14" s="53" t="s">
        <v>15</v>
      </c>
      <c r="C14" s="53" t="s">
        <v>15</v>
      </c>
      <c r="D14" s="53" t="s">
        <v>15</v>
      </c>
      <c r="E14" s="52">
        <v>2.86</v>
      </c>
      <c r="F14" s="52">
        <v>7.54</v>
      </c>
      <c r="G14" s="52">
        <v>30.85</v>
      </c>
      <c r="H14" s="52">
        <v>13.76</v>
      </c>
      <c r="I14" s="52">
        <v>4.0199999999999996</v>
      </c>
      <c r="J14" s="52">
        <v>1.34</v>
      </c>
      <c r="K14" s="52">
        <v>261.45</v>
      </c>
      <c r="L14" s="52">
        <v>19.54</v>
      </c>
      <c r="M14" s="52">
        <v>92.8</v>
      </c>
      <c r="N14" s="52">
        <v>90.9</v>
      </c>
      <c r="O14" s="52">
        <v>0</v>
      </c>
      <c r="P14" s="52">
        <v>0.48</v>
      </c>
      <c r="Q14" s="52">
        <v>9.59</v>
      </c>
      <c r="R14" s="43"/>
      <c r="S14" s="43"/>
      <c r="T14" s="43"/>
      <c r="U14" s="43"/>
    </row>
    <row r="15" spans="1:21" s="11" customFormat="1" x14ac:dyDescent="0.25">
      <c r="A15" s="51" t="s">
        <v>162</v>
      </c>
      <c r="B15" s="53" t="s">
        <v>15</v>
      </c>
      <c r="C15" s="53" t="s">
        <v>15</v>
      </c>
      <c r="D15" s="53" t="s">
        <v>15</v>
      </c>
      <c r="E15" s="52">
        <v>2.71</v>
      </c>
      <c r="F15" s="52">
        <v>6.88</v>
      </c>
      <c r="G15" s="52">
        <v>31.08</v>
      </c>
      <c r="H15" s="52">
        <v>20.309999999999999</v>
      </c>
      <c r="I15" s="52">
        <v>4.12</v>
      </c>
      <c r="J15" s="52">
        <v>1.4</v>
      </c>
      <c r="K15" s="52">
        <v>252.28</v>
      </c>
      <c r="L15" s="52">
        <v>20.74</v>
      </c>
      <c r="M15" s="52">
        <v>92.93</v>
      </c>
      <c r="N15" s="52">
        <v>226.8</v>
      </c>
      <c r="O15" s="52">
        <v>0</v>
      </c>
      <c r="P15" s="52">
        <v>0.51</v>
      </c>
      <c r="Q15" s="52">
        <v>9.6199999999999992</v>
      </c>
      <c r="R15" s="43"/>
      <c r="S15" s="43"/>
      <c r="T15" s="43"/>
      <c r="U15" s="43"/>
    </row>
    <row r="16" spans="1:21" s="11" customFormat="1" x14ac:dyDescent="0.25">
      <c r="A16" s="51" t="s">
        <v>163</v>
      </c>
      <c r="B16" s="53" t="s">
        <v>15</v>
      </c>
      <c r="C16" s="53" t="s">
        <v>15</v>
      </c>
      <c r="D16" s="53" t="s">
        <v>15</v>
      </c>
      <c r="E16" s="52">
        <v>2.8</v>
      </c>
      <c r="F16" s="52">
        <v>8.65</v>
      </c>
      <c r="G16" s="52">
        <v>34.130000000000003</v>
      </c>
      <c r="H16" s="52">
        <v>20.309999999999999</v>
      </c>
      <c r="I16" s="52">
        <v>4.25</v>
      </c>
      <c r="J16" s="52">
        <v>1.76</v>
      </c>
      <c r="K16" s="52">
        <v>229.56</v>
      </c>
      <c r="L16" s="52">
        <v>24.21</v>
      </c>
      <c r="M16" s="52">
        <v>83.18</v>
      </c>
      <c r="N16" s="52">
        <v>435.5</v>
      </c>
      <c r="O16" s="52">
        <v>0</v>
      </c>
      <c r="P16" s="52">
        <v>0.55000000000000004</v>
      </c>
      <c r="Q16" s="52">
        <v>9.6300000000000008</v>
      </c>
      <c r="R16" s="43"/>
      <c r="S16" s="43"/>
      <c r="T16" s="43"/>
      <c r="U16" s="43"/>
    </row>
    <row r="17" spans="1:21" s="11" customFormat="1" x14ac:dyDescent="0.25">
      <c r="A17" s="51" t="s">
        <v>164</v>
      </c>
      <c r="B17" s="53" t="s">
        <v>15</v>
      </c>
      <c r="C17" s="53" t="s">
        <v>15</v>
      </c>
      <c r="D17" s="53" t="s">
        <v>15</v>
      </c>
      <c r="E17" s="52">
        <v>3.16</v>
      </c>
      <c r="F17" s="52">
        <v>11.01</v>
      </c>
      <c r="G17" s="52">
        <v>38.51</v>
      </c>
      <c r="H17" s="52">
        <v>24.95</v>
      </c>
      <c r="I17" s="52">
        <v>4.08</v>
      </c>
      <c r="J17" s="52">
        <v>1.73</v>
      </c>
      <c r="K17" s="52">
        <v>242.75</v>
      </c>
      <c r="L17" s="52">
        <v>27.38</v>
      </c>
      <c r="M17" s="52">
        <v>65.73</v>
      </c>
      <c r="N17" s="52">
        <v>660.7</v>
      </c>
      <c r="O17" s="52">
        <v>0</v>
      </c>
      <c r="P17" s="52">
        <v>0.56000000000000005</v>
      </c>
      <c r="Q17" s="52">
        <v>9.61</v>
      </c>
      <c r="R17" s="43"/>
      <c r="S17" s="43"/>
      <c r="T17" s="43"/>
      <c r="U17" s="43"/>
    </row>
    <row r="18" spans="1:21" s="11" customFormat="1" x14ac:dyDescent="0.25">
      <c r="A18" s="51" t="s">
        <v>165</v>
      </c>
      <c r="B18" s="53" t="s">
        <v>15</v>
      </c>
      <c r="C18" s="53" t="s">
        <v>15</v>
      </c>
      <c r="D18" s="53" t="s">
        <v>15</v>
      </c>
      <c r="E18" s="52">
        <v>3.52</v>
      </c>
      <c r="F18" s="52">
        <v>11.74</v>
      </c>
      <c r="G18" s="52">
        <v>38.51</v>
      </c>
      <c r="H18" s="52">
        <v>24.95</v>
      </c>
      <c r="I18" s="52">
        <v>4.09</v>
      </c>
      <c r="J18" s="52">
        <v>1.5</v>
      </c>
      <c r="K18" s="52">
        <v>279.75</v>
      </c>
      <c r="L18" s="52">
        <v>30.9</v>
      </c>
      <c r="M18" s="52">
        <v>51.5</v>
      </c>
      <c r="N18" s="52">
        <v>820.5</v>
      </c>
      <c r="O18" s="52">
        <v>0</v>
      </c>
      <c r="P18" s="52">
        <v>0.52</v>
      </c>
      <c r="Q18" s="52">
        <v>9.59</v>
      </c>
      <c r="R18" s="43"/>
      <c r="S18" s="43"/>
      <c r="T18" s="43"/>
      <c r="U18" s="43"/>
    </row>
    <row r="19" spans="1:21" s="11" customFormat="1" x14ac:dyDescent="0.25">
      <c r="A19" s="51" t="s">
        <v>166</v>
      </c>
      <c r="B19" s="53" t="s">
        <v>15</v>
      </c>
      <c r="C19" s="53" t="s">
        <v>15</v>
      </c>
      <c r="D19" s="53" t="s">
        <v>15</v>
      </c>
      <c r="E19" s="52">
        <v>3.33</v>
      </c>
      <c r="F19" s="52">
        <v>10.16</v>
      </c>
      <c r="G19" s="52">
        <v>36.94</v>
      </c>
      <c r="H19" s="52">
        <v>20.45</v>
      </c>
      <c r="I19" s="52">
        <v>4.0999999999999996</v>
      </c>
      <c r="J19" s="52">
        <v>1.66</v>
      </c>
      <c r="K19" s="52">
        <v>298.64</v>
      </c>
      <c r="L19" s="52">
        <v>31.69</v>
      </c>
      <c r="M19" s="52">
        <v>42.01</v>
      </c>
      <c r="N19" s="52">
        <v>930.7</v>
      </c>
      <c r="O19" s="52">
        <v>0</v>
      </c>
      <c r="P19" s="52">
        <v>0.52</v>
      </c>
      <c r="Q19" s="52">
        <v>9.59</v>
      </c>
      <c r="R19" s="43"/>
      <c r="S19" s="43"/>
      <c r="T19" s="43"/>
      <c r="U19" s="43"/>
    </row>
    <row r="20" spans="1:21" s="11" customFormat="1" x14ac:dyDescent="0.25">
      <c r="A20" s="51" t="s">
        <v>167</v>
      </c>
      <c r="B20" s="53" t="s">
        <v>15</v>
      </c>
      <c r="C20" s="53" t="s">
        <v>15</v>
      </c>
      <c r="D20" s="53" t="s">
        <v>15</v>
      </c>
      <c r="E20" s="52">
        <v>3.4</v>
      </c>
      <c r="F20" s="52">
        <v>13.91</v>
      </c>
      <c r="G20" s="52">
        <v>41.51</v>
      </c>
      <c r="H20" s="52">
        <v>20.45</v>
      </c>
      <c r="I20" s="52">
        <v>4.04</v>
      </c>
      <c r="J20" s="52">
        <v>2.0099999999999998</v>
      </c>
      <c r="K20" s="52">
        <v>309.95999999999998</v>
      </c>
      <c r="L20" s="52">
        <v>32.85</v>
      </c>
      <c r="M20" s="52">
        <v>39.590000000000003</v>
      </c>
      <c r="N20" s="52">
        <v>982.9</v>
      </c>
      <c r="O20" s="52">
        <v>0</v>
      </c>
      <c r="P20" s="52">
        <v>0.54</v>
      </c>
      <c r="Q20" s="52">
        <v>9.61</v>
      </c>
      <c r="R20" s="43"/>
      <c r="S20" s="43"/>
      <c r="T20" s="43"/>
      <c r="U20" s="43"/>
    </row>
    <row r="21" spans="1:21" s="11" customFormat="1" x14ac:dyDescent="0.25">
      <c r="A21" s="51" t="s">
        <v>168</v>
      </c>
      <c r="B21" s="53" t="s">
        <v>15</v>
      </c>
      <c r="C21" s="53" t="s">
        <v>15</v>
      </c>
      <c r="D21" s="53" t="s">
        <v>15</v>
      </c>
      <c r="E21" s="52">
        <v>4.9800000000000004</v>
      </c>
      <c r="F21" s="52">
        <v>22.17</v>
      </c>
      <c r="G21" s="52">
        <v>41.51</v>
      </c>
      <c r="H21" s="52">
        <v>13.05</v>
      </c>
      <c r="I21" s="52">
        <v>4.0999999999999996</v>
      </c>
      <c r="J21" s="52">
        <v>1.91</v>
      </c>
      <c r="K21" s="52">
        <v>315.82</v>
      </c>
      <c r="L21" s="52">
        <v>32.83</v>
      </c>
      <c r="M21" s="52">
        <v>29.24</v>
      </c>
      <c r="N21" s="52">
        <v>965.5</v>
      </c>
      <c r="O21" s="52">
        <v>0</v>
      </c>
      <c r="P21" s="52">
        <v>0.52</v>
      </c>
      <c r="Q21" s="52">
        <v>9.6</v>
      </c>
      <c r="R21" s="43"/>
      <c r="S21" s="43"/>
      <c r="T21" s="43"/>
      <c r="U21" s="43"/>
    </row>
    <row r="22" spans="1:21" s="11" customFormat="1" x14ac:dyDescent="0.25">
      <c r="A22" s="51" t="s">
        <v>169</v>
      </c>
      <c r="B22" s="53" t="s">
        <v>15</v>
      </c>
      <c r="C22" s="53" t="s">
        <v>15</v>
      </c>
      <c r="D22" s="53" t="s">
        <v>15</v>
      </c>
      <c r="E22" s="52">
        <v>4.95</v>
      </c>
      <c r="F22" s="52">
        <v>26.92</v>
      </c>
      <c r="G22" s="52">
        <v>36.159999999999997</v>
      </c>
      <c r="H22" s="52">
        <v>11.37</v>
      </c>
      <c r="I22" s="52">
        <v>4.04</v>
      </c>
      <c r="J22" s="52">
        <v>2.06</v>
      </c>
      <c r="K22" s="52">
        <v>326.85000000000002</v>
      </c>
      <c r="L22" s="52">
        <v>36.909999999999997</v>
      </c>
      <c r="M22" s="52">
        <v>17.86</v>
      </c>
      <c r="N22" s="52">
        <v>912.7</v>
      </c>
      <c r="O22" s="52">
        <v>0</v>
      </c>
      <c r="P22" s="52">
        <v>0.46</v>
      </c>
      <c r="Q22" s="54" t="s">
        <v>14</v>
      </c>
      <c r="R22" s="43"/>
      <c r="S22" s="43"/>
      <c r="T22" s="43"/>
      <c r="U22" s="43"/>
    </row>
    <row r="23" spans="1:21" s="11" customFormat="1" x14ac:dyDescent="0.25">
      <c r="A23" s="51" t="s">
        <v>170</v>
      </c>
      <c r="B23" s="53" t="s">
        <v>15</v>
      </c>
      <c r="C23" s="53" t="s">
        <v>15</v>
      </c>
      <c r="D23" s="53" t="s">
        <v>15</v>
      </c>
      <c r="E23" s="52">
        <v>5.13</v>
      </c>
      <c r="F23" s="52">
        <v>27.19</v>
      </c>
      <c r="G23" s="52">
        <v>36.74</v>
      </c>
      <c r="H23" s="52">
        <v>5.0999999999999996</v>
      </c>
      <c r="I23" s="52">
        <v>4.0199999999999996</v>
      </c>
      <c r="J23" s="52">
        <v>2.25</v>
      </c>
      <c r="K23" s="52">
        <v>328.89</v>
      </c>
      <c r="L23" s="52">
        <v>34.69</v>
      </c>
      <c r="M23" s="52">
        <v>21.17</v>
      </c>
      <c r="N23" s="52">
        <v>613.29999999999995</v>
      </c>
      <c r="O23" s="52">
        <v>0</v>
      </c>
      <c r="P23" s="52">
        <v>0.49</v>
      </c>
      <c r="Q23" s="54" t="s">
        <v>14</v>
      </c>
      <c r="R23" s="43"/>
      <c r="S23" s="43"/>
      <c r="T23" s="43"/>
      <c r="U23" s="43"/>
    </row>
    <row r="24" spans="1:21" s="11" customFormat="1" x14ac:dyDescent="0.25">
      <c r="A24" s="51" t="s">
        <v>171</v>
      </c>
      <c r="B24" s="52">
        <v>0.42</v>
      </c>
      <c r="C24" s="52">
        <v>49.69</v>
      </c>
      <c r="D24" s="52">
        <v>94.46</v>
      </c>
      <c r="E24" s="52">
        <v>6.51</v>
      </c>
      <c r="F24" s="52">
        <v>33.33</v>
      </c>
      <c r="G24" s="52">
        <v>43.88</v>
      </c>
      <c r="H24" s="52">
        <v>12.44</v>
      </c>
      <c r="I24" s="52">
        <v>4.09</v>
      </c>
      <c r="J24" s="52">
        <v>1.42</v>
      </c>
      <c r="K24" s="52">
        <v>333.59</v>
      </c>
      <c r="L24" s="52">
        <v>34.6</v>
      </c>
      <c r="M24" s="52">
        <v>16.54</v>
      </c>
      <c r="N24" s="52">
        <v>405.1</v>
      </c>
      <c r="O24" s="52">
        <v>0</v>
      </c>
      <c r="P24" s="52">
        <v>0.48</v>
      </c>
      <c r="Q24" s="54" t="s">
        <v>14</v>
      </c>
      <c r="R24" s="43"/>
      <c r="S24" s="43"/>
      <c r="T24" s="43"/>
      <c r="U24" s="43"/>
    </row>
    <row r="25" spans="1:21" s="11" customFormat="1" x14ac:dyDescent="0.25">
      <c r="A25" s="51" t="s">
        <v>172</v>
      </c>
      <c r="B25" s="52">
        <v>9.9600000000000009</v>
      </c>
      <c r="C25" s="52">
        <v>64.27</v>
      </c>
      <c r="D25" s="52">
        <v>107.71</v>
      </c>
      <c r="E25" s="52">
        <v>8.09</v>
      </c>
      <c r="F25" s="52">
        <v>30.35</v>
      </c>
      <c r="G25" s="52">
        <v>49.86</v>
      </c>
      <c r="H25" s="52">
        <v>20.91</v>
      </c>
      <c r="I25" s="52">
        <v>4.1900000000000004</v>
      </c>
      <c r="J25" s="52">
        <v>0.92</v>
      </c>
      <c r="K25" s="52">
        <v>284.48</v>
      </c>
      <c r="L25" s="52">
        <v>33.1</v>
      </c>
      <c r="M25" s="52">
        <v>18.09</v>
      </c>
      <c r="N25" s="52">
        <v>139.4</v>
      </c>
      <c r="O25" s="52">
        <v>0</v>
      </c>
      <c r="P25" s="52">
        <v>0.56000000000000005</v>
      </c>
      <c r="Q25" s="54" t="s">
        <v>14</v>
      </c>
      <c r="R25" s="43"/>
      <c r="S25" s="43"/>
      <c r="T25" s="43"/>
      <c r="U25" s="43"/>
    </row>
    <row r="26" spans="1:21" s="11" customFormat="1" x14ac:dyDescent="0.25">
      <c r="A26" s="51" t="s">
        <v>173</v>
      </c>
      <c r="B26" s="52">
        <v>1.92</v>
      </c>
      <c r="C26" s="52">
        <v>67.47</v>
      </c>
      <c r="D26" s="52">
        <v>126.2</v>
      </c>
      <c r="E26" s="52">
        <v>8.82</v>
      </c>
      <c r="F26" s="52">
        <v>30.78</v>
      </c>
      <c r="G26" s="52">
        <v>49.86</v>
      </c>
      <c r="H26" s="52">
        <v>20.91</v>
      </c>
      <c r="I26" s="52">
        <v>4.09</v>
      </c>
      <c r="J26" s="52">
        <v>1.29</v>
      </c>
      <c r="K26" s="52">
        <v>322.60000000000002</v>
      </c>
      <c r="L26" s="52">
        <v>31.81</v>
      </c>
      <c r="M26" s="52">
        <v>25.91</v>
      </c>
      <c r="N26" s="52">
        <v>88.9</v>
      </c>
      <c r="O26" s="52">
        <v>0</v>
      </c>
      <c r="P26" s="52">
        <v>0.54</v>
      </c>
      <c r="Q26" s="54" t="s">
        <v>14</v>
      </c>
      <c r="R26" s="43"/>
      <c r="S26" s="43"/>
      <c r="T26" s="43"/>
      <c r="U26" s="43"/>
    </row>
    <row r="27" spans="1:21" s="11" customFormat="1" x14ac:dyDescent="0.25">
      <c r="A27" s="51" t="s">
        <v>174</v>
      </c>
      <c r="B27" s="52">
        <v>44.49</v>
      </c>
      <c r="C27" s="52">
        <v>142.77000000000001</v>
      </c>
      <c r="D27" s="52">
        <v>214.31</v>
      </c>
      <c r="E27" s="52">
        <v>8.0399999999999991</v>
      </c>
      <c r="F27" s="52">
        <v>22.16</v>
      </c>
      <c r="G27" s="52">
        <v>56.34</v>
      </c>
      <c r="H27" s="52">
        <v>11.42</v>
      </c>
      <c r="I27" s="52">
        <v>4.17</v>
      </c>
      <c r="J27" s="52">
        <v>0.49</v>
      </c>
      <c r="K27" s="52">
        <v>250.87</v>
      </c>
      <c r="L27" s="52">
        <v>29.29</v>
      </c>
      <c r="M27" s="52">
        <v>29.29</v>
      </c>
      <c r="N27" s="52">
        <v>33.700000000000003</v>
      </c>
      <c r="O27" s="52">
        <v>0</v>
      </c>
      <c r="P27" s="52">
        <v>1.45</v>
      </c>
      <c r="Q27" s="54" t="s">
        <v>14</v>
      </c>
      <c r="R27" s="43"/>
      <c r="S27" s="43"/>
      <c r="T27" s="43"/>
      <c r="U27" s="43"/>
    </row>
    <row r="28" spans="1:21" s="11" customFormat="1" x14ac:dyDescent="0.25">
      <c r="A28" s="51" t="s">
        <v>175</v>
      </c>
      <c r="B28" s="52">
        <v>32.799999999999997</v>
      </c>
      <c r="C28" s="52">
        <v>121.22</v>
      </c>
      <c r="D28" s="52">
        <v>190.97</v>
      </c>
      <c r="E28" s="52">
        <v>7.88</v>
      </c>
      <c r="F28" s="52">
        <v>17.329999999999998</v>
      </c>
      <c r="G28" s="52">
        <v>82.66</v>
      </c>
      <c r="H28" s="52">
        <v>28.06</v>
      </c>
      <c r="I28" s="52">
        <v>4.1100000000000003</v>
      </c>
      <c r="J28" s="52">
        <v>0.67</v>
      </c>
      <c r="K28" s="52">
        <v>275.36</v>
      </c>
      <c r="L28" s="52">
        <v>27.79</v>
      </c>
      <c r="M28" s="52">
        <v>29.51</v>
      </c>
      <c r="N28" s="52">
        <v>28.3</v>
      </c>
      <c r="O28" s="52">
        <v>0</v>
      </c>
      <c r="P28" s="52">
        <v>1.4</v>
      </c>
      <c r="Q28" s="54" t="s">
        <v>14</v>
      </c>
      <c r="R28" s="43"/>
      <c r="S28" s="43"/>
      <c r="T28" s="43"/>
      <c r="U28" s="43"/>
    </row>
    <row r="29" spans="1:21" s="11" customFormat="1" x14ac:dyDescent="0.25">
      <c r="A29" s="51" t="s">
        <v>176</v>
      </c>
      <c r="B29" s="52">
        <v>139.04</v>
      </c>
      <c r="C29" s="52">
        <v>219.79</v>
      </c>
      <c r="D29" s="52">
        <v>207.27</v>
      </c>
      <c r="E29" s="52">
        <v>7.2</v>
      </c>
      <c r="F29" s="52">
        <v>14.43</v>
      </c>
      <c r="G29" s="52">
        <v>83.99</v>
      </c>
      <c r="H29" s="52">
        <v>37.159999999999997</v>
      </c>
      <c r="I29" s="52">
        <v>4.0599999999999996</v>
      </c>
      <c r="J29" s="52">
        <v>0.6</v>
      </c>
      <c r="K29" s="52">
        <v>268.36</v>
      </c>
      <c r="L29" s="52">
        <v>27.14</v>
      </c>
      <c r="M29" s="52">
        <v>30.02</v>
      </c>
      <c r="N29" s="52">
        <v>28.4</v>
      </c>
      <c r="O29" s="52">
        <v>0</v>
      </c>
      <c r="P29" s="52">
        <v>1.56</v>
      </c>
      <c r="Q29" s="54" t="s">
        <v>14</v>
      </c>
      <c r="R29" s="43"/>
      <c r="S29" s="43"/>
      <c r="T29" s="43"/>
      <c r="U29" s="43"/>
    </row>
    <row r="30" spans="1:21" s="11" customFormat="1" x14ac:dyDescent="0.25">
      <c r="A30" s="51" t="s">
        <v>177</v>
      </c>
      <c r="B30" s="52">
        <v>192.78</v>
      </c>
      <c r="C30" s="52">
        <v>258.69</v>
      </c>
      <c r="D30" s="52">
        <v>199.24</v>
      </c>
      <c r="E30" s="52">
        <v>7.35</v>
      </c>
      <c r="F30" s="52">
        <v>8.85</v>
      </c>
      <c r="G30" s="52">
        <v>93.73</v>
      </c>
      <c r="H30" s="52">
        <v>37.159999999999997</v>
      </c>
      <c r="I30" s="52">
        <v>4.1399999999999997</v>
      </c>
      <c r="J30" s="52">
        <v>0.44</v>
      </c>
      <c r="K30" s="52">
        <v>316.8</v>
      </c>
      <c r="L30" s="52">
        <v>25.55</v>
      </c>
      <c r="M30" s="52">
        <v>36.159999999999997</v>
      </c>
      <c r="N30" s="52">
        <v>28.5</v>
      </c>
      <c r="O30" s="52">
        <v>0</v>
      </c>
      <c r="P30" s="52">
        <v>2.0699999999999998</v>
      </c>
      <c r="Q30" s="54" t="s">
        <v>14</v>
      </c>
      <c r="R30" s="43"/>
      <c r="S30" s="43"/>
      <c r="T30" s="43"/>
      <c r="U30" s="43"/>
    </row>
    <row r="31" spans="1:21" s="11" customFormat="1" x14ac:dyDescent="0.25">
      <c r="A31" s="51" t="s">
        <v>178</v>
      </c>
      <c r="B31" s="52">
        <v>30.93</v>
      </c>
      <c r="C31" s="52">
        <v>92.53</v>
      </c>
      <c r="D31" s="52">
        <v>149.77000000000001</v>
      </c>
      <c r="E31" s="52">
        <v>7.12</v>
      </c>
      <c r="F31" s="52">
        <v>13.01</v>
      </c>
      <c r="G31" s="52">
        <v>104.74</v>
      </c>
      <c r="H31" s="52">
        <v>32.61</v>
      </c>
      <c r="I31" s="52">
        <v>4.1100000000000003</v>
      </c>
      <c r="J31" s="52">
        <v>0.49</v>
      </c>
      <c r="K31" s="52">
        <v>293.66000000000003</v>
      </c>
      <c r="L31" s="52">
        <v>25.23</v>
      </c>
      <c r="M31" s="52">
        <v>34.68</v>
      </c>
      <c r="N31" s="52">
        <v>28.3</v>
      </c>
      <c r="O31" s="52">
        <v>0</v>
      </c>
      <c r="P31" s="52">
        <v>1.36</v>
      </c>
      <c r="Q31" s="54" t="s">
        <v>14</v>
      </c>
      <c r="R31" s="43"/>
      <c r="S31" s="43"/>
      <c r="T31" s="43"/>
      <c r="U31" s="43"/>
    </row>
    <row r="32" spans="1:21" s="11" customFormat="1" x14ac:dyDescent="0.25">
      <c r="A32" s="51" t="s">
        <v>179</v>
      </c>
      <c r="B32" s="52">
        <v>23.27</v>
      </c>
      <c r="C32" s="52">
        <v>69.38</v>
      </c>
      <c r="D32" s="52">
        <v>97.07</v>
      </c>
      <c r="E32" s="52">
        <v>4.55</v>
      </c>
      <c r="F32" s="52">
        <v>16.43</v>
      </c>
      <c r="G32" s="52">
        <v>104.74</v>
      </c>
      <c r="H32" s="52">
        <v>31.28</v>
      </c>
      <c r="I32" s="52">
        <v>4.13</v>
      </c>
      <c r="J32" s="52">
        <v>0.53</v>
      </c>
      <c r="K32" s="52">
        <v>305.39999999999998</v>
      </c>
      <c r="L32" s="52">
        <v>24.09</v>
      </c>
      <c r="M32" s="52">
        <v>37.31</v>
      </c>
      <c r="N32" s="52">
        <v>28.5</v>
      </c>
      <c r="O32" s="52">
        <v>0</v>
      </c>
      <c r="P32" s="52">
        <v>1.05</v>
      </c>
      <c r="Q32" s="54" t="s">
        <v>14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0.42</v>
      </c>
      <c r="C34" s="28">
        <f t="shared" si="0"/>
        <v>49.69</v>
      </c>
      <c r="D34" s="28">
        <f t="shared" si="0"/>
        <v>94.46</v>
      </c>
      <c r="E34" s="28">
        <f t="shared" si="0"/>
        <v>2.71</v>
      </c>
      <c r="F34" s="28">
        <f t="shared" si="0"/>
        <v>6.88</v>
      </c>
      <c r="G34" s="28">
        <f t="shared" si="0"/>
        <v>28.08</v>
      </c>
      <c r="H34" s="28">
        <f t="shared" si="0"/>
        <v>5.0999999999999996</v>
      </c>
      <c r="I34" s="28">
        <f t="shared" si="0"/>
        <v>4.0199999999999996</v>
      </c>
      <c r="J34" s="28">
        <f t="shared" si="0"/>
        <v>0.44</v>
      </c>
      <c r="K34" s="28">
        <f t="shared" si="0"/>
        <v>196.6</v>
      </c>
      <c r="L34" s="28">
        <f t="shared" si="0"/>
        <v>19.54</v>
      </c>
      <c r="M34" s="28">
        <f t="shared" si="0"/>
        <v>16.54</v>
      </c>
      <c r="N34" s="28">
        <f t="shared" si="0"/>
        <v>28.3</v>
      </c>
      <c r="O34" s="28">
        <f t="shared" si="0"/>
        <v>0</v>
      </c>
      <c r="P34" s="28">
        <f t="shared" si="0"/>
        <v>0.45</v>
      </c>
      <c r="Q34" s="28">
        <f t="shared" si="0"/>
        <v>9.59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192.78</v>
      </c>
      <c r="C35" s="29">
        <f t="shared" si="1"/>
        <v>258.69</v>
      </c>
      <c r="D35" s="29">
        <f t="shared" si="1"/>
        <v>214.31</v>
      </c>
      <c r="E35" s="29">
        <f t="shared" si="1"/>
        <v>8.82</v>
      </c>
      <c r="F35" s="29">
        <f t="shared" si="1"/>
        <v>33.33</v>
      </c>
      <c r="G35" s="29">
        <f t="shared" si="1"/>
        <v>104.74</v>
      </c>
      <c r="H35" s="29">
        <f t="shared" si="1"/>
        <v>37.159999999999997</v>
      </c>
      <c r="I35" s="29">
        <f t="shared" si="1"/>
        <v>4.25</v>
      </c>
      <c r="J35" s="29">
        <f t="shared" si="1"/>
        <v>2.25</v>
      </c>
      <c r="K35" s="29">
        <f t="shared" si="1"/>
        <v>333.59</v>
      </c>
      <c r="L35" s="29">
        <f t="shared" si="1"/>
        <v>36.909999999999997</v>
      </c>
      <c r="M35" s="29">
        <f t="shared" si="1"/>
        <v>92.93</v>
      </c>
      <c r="N35" s="29">
        <f t="shared" si="1"/>
        <v>982.9</v>
      </c>
      <c r="O35" s="29">
        <f t="shared" si="1"/>
        <v>0</v>
      </c>
      <c r="P35" s="29">
        <f t="shared" si="1"/>
        <v>2.0699999999999998</v>
      </c>
      <c r="Q35" s="29">
        <f t="shared" si="1"/>
        <v>9.6300000000000008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52.845555555555549</v>
      </c>
      <c r="C36" s="28">
        <f t="shared" si="2"/>
        <v>120.64555555555555</v>
      </c>
      <c r="D36" s="28">
        <f t="shared" si="2"/>
        <v>154.11111111111111</v>
      </c>
      <c r="E36" s="28">
        <f t="shared" si="2"/>
        <v>4.925416666666667</v>
      </c>
      <c r="F36" s="28">
        <f t="shared" si="2"/>
        <v>16.127500000000001</v>
      </c>
      <c r="G36" s="28">
        <f t="shared" si="2"/>
        <v>50.099999999999994</v>
      </c>
      <c r="H36" s="28">
        <f t="shared" si="2"/>
        <v>20.657083333333333</v>
      </c>
      <c r="I36" s="28">
        <f t="shared" si="2"/>
        <v>4.0999999999999996</v>
      </c>
      <c r="J36" s="28">
        <f t="shared" si="2"/>
        <v>1.3912500000000003</v>
      </c>
      <c r="K36" s="28">
        <f t="shared" si="2"/>
        <v>277.88291666666663</v>
      </c>
      <c r="L36" s="28">
        <f t="shared" si="2"/>
        <v>27.285</v>
      </c>
      <c r="M36" s="28">
        <f t="shared" si="2"/>
        <v>49.937083333333341</v>
      </c>
      <c r="N36" s="28">
        <f t="shared" si="2"/>
        <v>328.55416666666662</v>
      </c>
      <c r="O36" s="28">
        <f t="shared" si="2"/>
        <v>0</v>
      </c>
      <c r="P36" s="28">
        <f t="shared" si="2"/>
        <v>0.75041666666666673</v>
      </c>
      <c r="Q36" s="28">
        <f t="shared" si="2"/>
        <v>9.6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67.099550689835326</v>
      </c>
      <c r="C37" s="28">
        <f t="shared" ref="C37:Q37" si="3">STDEV(C9:C32)</f>
        <v>74.0227043060288</v>
      </c>
      <c r="D37" s="28">
        <f t="shared" si="3"/>
        <v>49.507385672353038</v>
      </c>
      <c r="E37" s="28">
        <f t="shared" si="3"/>
        <v>2.100877620272612</v>
      </c>
      <c r="F37" s="28">
        <f t="shared" si="3"/>
        <v>8.1744396164800328</v>
      </c>
      <c r="G37" s="28">
        <f t="shared" si="3"/>
        <v>24.323817456398036</v>
      </c>
      <c r="H37" s="28">
        <f t="shared" si="3"/>
        <v>8.2458413651270686</v>
      </c>
      <c r="I37" s="28">
        <f t="shared" si="3"/>
        <v>5.7027834546329169E-2</v>
      </c>
      <c r="J37" s="28">
        <f t="shared" si="3"/>
        <v>0.59219791418512802</v>
      </c>
      <c r="K37" s="28">
        <f t="shared" si="3"/>
        <v>39.147443192557603</v>
      </c>
      <c r="L37" s="28">
        <f t="shared" si="3"/>
        <v>5.4745601371847261</v>
      </c>
      <c r="M37" s="28">
        <f t="shared" si="3"/>
        <v>27.166115639694873</v>
      </c>
      <c r="N37" s="28">
        <f t="shared" si="3"/>
        <v>359.75697470855135</v>
      </c>
      <c r="O37" s="28">
        <f t="shared" si="3"/>
        <v>0</v>
      </c>
      <c r="P37" s="28">
        <f t="shared" si="3"/>
        <v>0.45969251695554847</v>
      </c>
      <c r="Q37" s="28">
        <f t="shared" si="3"/>
        <v>1.3540064007726641E-2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9</v>
      </c>
      <c r="C38" s="32">
        <f t="shared" si="4"/>
        <v>9</v>
      </c>
      <c r="D38" s="32">
        <f t="shared" si="4"/>
        <v>9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COUNT(Q9:Q32)+11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&lt;90%</v>
      </c>
      <c r="C39" s="29" t="str">
        <f t="shared" ref="C39:P39" si="5">IF(C38&gt;=22,"&gt;90%",IF(C38&lt;=22,"&lt;90%"))</f>
        <v>&lt;90%</v>
      </c>
      <c r="D39" s="29" t="str">
        <f t="shared" si="5"/>
        <v>&lt;90%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LESS</v>
      </c>
      <c r="C40" s="29" t="str">
        <f t="shared" ref="C40:Q40" si="6">IF(C38&gt;=22,"OK",IF(C38&lt;=22,"LESS"))</f>
        <v>LESS</v>
      </c>
      <c r="D40" s="29" t="str">
        <f t="shared" si="6"/>
        <v>LESS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3.5703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06/04/2025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180</v>
      </c>
      <c r="B9" s="52">
        <v>17.21</v>
      </c>
      <c r="C9" s="52">
        <v>59.87</v>
      </c>
      <c r="D9" s="52">
        <v>88.19</v>
      </c>
      <c r="E9" s="52">
        <v>3.64</v>
      </c>
      <c r="F9" s="52">
        <v>13.04</v>
      </c>
      <c r="G9" s="52">
        <v>89.71</v>
      </c>
      <c r="H9" s="52">
        <v>37.61</v>
      </c>
      <c r="I9" s="52">
        <v>4.08</v>
      </c>
      <c r="J9" s="52">
        <v>0.5</v>
      </c>
      <c r="K9" s="52">
        <v>328.24</v>
      </c>
      <c r="L9" s="52">
        <v>22.89</v>
      </c>
      <c r="M9" s="52">
        <v>50.92</v>
      </c>
      <c r="N9" s="52">
        <v>28.4</v>
      </c>
      <c r="O9" s="52">
        <v>0</v>
      </c>
      <c r="P9" s="52">
        <v>0.98</v>
      </c>
      <c r="Q9" s="55" t="s">
        <v>8</v>
      </c>
      <c r="R9" s="43"/>
      <c r="S9" s="43"/>
      <c r="T9" s="43"/>
      <c r="U9" s="43"/>
    </row>
    <row r="10" spans="1:21" s="11" customFormat="1" x14ac:dyDescent="0.25">
      <c r="A10" s="51" t="s">
        <v>181</v>
      </c>
      <c r="B10" s="52">
        <v>23.54</v>
      </c>
      <c r="C10" s="52">
        <v>69.55</v>
      </c>
      <c r="D10" s="52">
        <v>96.98</v>
      </c>
      <c r="E10" s="52">
        <v>3.43</v>
      </c>
      <c r="F10" s="52">
        <v>15.06</v>
      </c>
      <c r="G10" s="52">
        <v>72.13</v>
      </c>
      <c r="H10" s="52">
        <v>37.61</v>
      </c>
      <c r="I10" s="52">
        <v>4.03</v>
      </c>
      <c r="J10" s="52">
        <v>0.35</v>
      </c>
      <c r="K10" s="52">
        <v>330.15</v>
      </c>
      <c r="L10" s="52">
        <v>21.58</v>
      </c>
      <c r="M10" s="52">
        <v>47.28</v>
      </c>
      <c r="N10" s="52">
        <v>28.4</v>
      </c>
      <c r="O10" s="52">
        <v>0</v>
      </c>
      <c r="P10" s="52">
        <v>0.86</v>
      </c>
      <c r="Q10" s="55" t="s">
        <v>8</v>
      </c>
      <c r="R10" s="43"/>
      <c r="S10" s="43"/>
      <c r="T10" s="43"/>
      <c r="U10" s="43"/>
    </row>
    <row r="11" spans="1:21" s="11" customFormat="1" x14ac:dyDescent="0.25">
      <c r="A11" s="51" t="s">
        <v>182</v>
      </c>
      <c r="B11" s="52">
        <v>11.02</v>
      </c>
      <c r="C11" s="52">
        <v>42.55</v>
      </c>
      <c r="D11" s="52">
        <v>65.5</v>
      </c>
      <c r="E11" s="52">
        <v>3.59</v>
      </c>
      <c r="F11" s="52">
        <v>15.75</v>
      </c>
      <c r="G11" s="52">
        <v>70.319999999999993</v>
      </c>
      <c r="H11" s="52">
        <v>25.27</v>
      </c>
      <c r="I11" s="52">
        <v>4.09</v>
      </c>
      <c r="J11" s="52">
        <v>0.72</v>
      </c>
      <c r="K11" s="52">
        <v>253.61</v>
      </c>
      <c r="L11" s="52">
        <v>21.86</v>
      </c>
      <c r="M11" s="52">
        <v>42.79</v>
      </c>
      <c r="N11" s="52">
        <v>28.1</v>
      </c>
      <c r="O11" s="52">
        <v>0</v>
      </c>
      <c r="P11" s="52">
        <v>0.89</v>
      </c>
      <c r="Q11" s="55" t="s">
        <v>8</v>
      </c>
      <c r="R11" s="43"/>
      <c r="S11" s="43"/>
      <c r="T11" s="43"/>
      <c r="U11" s="43"/>
    </row>
    <row r="12" spans="1:21" s="11" customFormat="1" x14ac:dyDescent="0.25">
      <c r="A12" s="51" t="s">
        <v>183</v>
      </c>
      <c r="B12" s="52">
        <v>14.72</v>
      </c>
      <c r="C12" s="52">
        <v>53.23</v>
      </c>
      <c r="D12" s="52">
        <v>79.47</v>
      </c>
      <c r="E12" s="52">
        <v>3.17</v>
      </c>
      <c r="F12" s="52">
        <v>13.21</v>
      </c>
      <c r="G12" s="52">
        <v>55.06</v>
      </c>
      <c r="H12" s="52">
        <v>20.350000000000001</v>
      </c>
      <c r="I12" s="52">
        <v>4.17</v>
      </c>
      <c r="J12" s="52">
        <v>0.51</v>
      </c>
      <c r="K12" s="52">
        <v>287.47000000000003</v>
      </c>
      <c r="L12" s="52">
        <v>21.06</v>
      </c>
      <c r="M12" s="52">
        <v>46.91</v>
      </c>
      <c r="N12" s="52">
        <v>28.2</v>
      </c>
      <c r="O12" s="52">
        <v>0</v>
      </c>
      <c r="P12" s="55" t="s">
        <v>8</v>
      </c>
      <c r="Q12" s="55" t="s">
        <v>8</v>
      </c>
      <c r="R12" s="43"/>
      <c r="S12" s="43"/>
      <c r="T12" s="43"/>
      <c r="U12" s="43"/>
    </row>
    <row r="13" spans="1:21" s="11" customFormat="1" x14ac:dyDescent="0.25">
      <c r="A13" s="51" t="s">
        <v>184</v>
      </c>
      <c r="B13" s="52">
        <v>13.82</v>
      </c>
      <c r="C13" s="52">
        <v>53.96</v>
      </c>
      <c r="D13" s="52">
        <v>84.63</v>
      </c>
      <c r="E13" s="52">
        <v>2.74</v>
      </c>
      <c r="F13" s="52">
        <v>8.5500000000000007</v>
      </c>
      <c r="G13" s="52">
        <v>53.36</v>
      </c>
      <c r="H13" s="52">
        <v>27.26</v>
      </c>
      <c r="I13" s="52">
        <v>4.18</v>
      </c>
      <c r="J13" s="52">
        <v>0.52</v>
      </c>
      <c r="K13" s="52">
        <v>259.64999999999998</v>
      </c>
      <c r="L13" s="52">
        <v>20.329999999999998</v>
      </c>
      <c r="M13" s="52">
        <v>47.6</v>
      </c>
      <c r="N13" s="52">
        <v>28.2</v>
      </c>
      <c r="O13" s="52">
        <v>0</v>
      </c>
      <c r="P13" s="55" t="s">
        <v>8</v>
      </c>
      <c r="Q13" s="55" t="s">
        <v>8</v>
      </c>
      <c r="R13" s="43"/>
      <c r="S13" s="43"/>
      <c r="T13" s="43"/>
      <c r="U13" s="43"/>
    </row>
    <row r="14" spans="1:21" s="11" customFormat="1" x14ac:dyDescent="0.25">
      <c r="A14" s="51" t="s">
        <v>185</v>
      </c>
      <c r="B14" s="52">
        <v>21.63</v>
      </c>
      <c r="C14" s="52">
        <v>66.849999999999994</v>
      </c>
      <c r="D14" s="52">
        <v>98.1</v>
      </c>
      <c r="E14" s="52">
        <v>2.68</v>
      </c>
      <c r="F14" s="52">
        <v>8.73</v>
      </c>
      <c r="G14" s="52">
        <v>58.99</v>
      </c>
      <c r="H14" s="52">
        <v>27.26</v>
      </c>
      <c r="I14" s="52">
        <v>4.07</v>
      </c>
      <c r="J14" s="52">
        <v>0.54</v>
      </c>
      <c r="K14" s="52">
        <v>273.14999999999998</v>
      </c>
      <c r="L14" s="52">
        <v>20.05</v>
      </c>
      <c r="M14" s="52">
        <v>54.06</v>
      </c>
      <c r="N14" s="52">
        <v>34.1</v>
      </c>
      <c r="O14" s="52">
        <v>0</v>
      </c>
      <c r="P14" s="55" t="s">
        <v>8</v>
      </c>
      <c r="Q14" s="55" t="s">
        <v>8</v>
      </c>
      <c r="R14" s="43"/>
      <c r="S14" s="43"/>
      <c r="T14" s="43"/>
      <c r="U14" s="43"/>
    </row>
    <row r="15" spans="1:21" s="11" customFormat="1" x14ac:dyDescent="0.25">
      <c r="A15" s="51" t="s">
        <v>186</v>
      </c>
      <c r="B15" s="52">
        <v>108.79</v>
      </c>
      <c r="C15" s="52">
        <v>154.22</v>
      </c>
      <c r="D15" s="52">
        <v>128.19999999999999</v>
      </c>
      <c r="E15" s="52">
        <v>3.71</v>
      </c>
      <c r="F15" s="52">
        <v>9.4</v>
      </c>
      <c r="G15" s="52">
        <v>78.010000000000005</v>
      </c>
      <c r="H15" s="52">
        <v>23.36</v>
      </c>
      <c r="I15" s="52">
        <v>4.0999999999999996</v>
      </c>
      <c r="J15" s="52">
        <v>0.59</v>
      </c>
      <c r="K15" s="52">
        <v>327.52999999999997</v>
      </c>
      <c r="L15" s="52">
        <v>22.35</v>
      </c>
      <c r="M15" s="52">
        <v>56.43</v>
      </c>
      <c r="N15" s="52">
        <v>144.69999999999999</v>
      </c>
      <c r="O15" s="52">
        <v>0</v>
      </c>
      <c r="P15" s="55" t="s">
        <v>8</v>
      </c>
      <c r="Q15" s="55" t="s">
        <v>8</v>
      </c>
      <c r="R15" s="43"/>
      <c r="S15" s="43"/>
      <c r="T15" s="43"/>
      <c r="U15" s="43"/>
    </row>
    <row r="16" spans="1:21" s="11" customFormat="1" x14ac:dyDescent="0.25">
      <c r="A16" s="51" t="s">
        <v>187</v>
      </c>
      <c r="B16" s="52">
        <v>34.08</v>
      </c>
      <c r="C16" s="52">
        <v>74.64</v>
      </c>
      <c r="D16" s="52">
        <v>93.18</v>
      </c>
      <c r="E16" s="52">
        <v>5.44</v>
      </c>
      <c r="F16" s="52">
        <v>11.62</v>
      </c>
      <c r="G16" s="52">
        <v>78.010000000000005</v>
      </c>
      <c r="H16" s="52">
        <v>23.36</v>
      </c>
      <c r="I16" s="52">
        <v>4.0599999999999996</v>
      </c>
      <c r="J16" s="52">
        <v>0.81</v>
      </c>
      <c r="K16" s="52">
        <v>298.52999999999997</v>
      </c>
      <c r="L16" s="52">
        <v>28.56</v>
      </c>
      <c r="M16" s="52">
        <v>41.52</v>
      </c>
      <c r="N16" s="52">
        <v>353</v>
      </c>
      <c r="O16" s="52">
        <v>0</v>
      </c>
      <c r="P16" s="55" t="s">
        <v>8</v>
      </c>
      <c r="Q16" s="55" t="s">
        <v>8</v>
      </c>
      <c r="R16" s="43"/>
      <c r="S16" s="43"/>
      <c r="T16" s="43"/>
      <c r="U16" s="43"/>
    </row>
    <row r="17" spans="1:21" s="11" customFormat="1" x14ac:dyDescent="0.25">
      <c r="A17" s="51" t="s">
        <v>188</v>
      </c>
      <c r="B17" s="52">
        <v>30.83</v>
      </c>
      <c r="C17" s="52">
        <v>72.400000000000006</v>
      </c>
      <c r="D17" s="52">
        <v>101.73</v>
      </c>
      <c r="E17" s="52">
        <v>3.66</v>
      </c>
      <c r="F17" s="52">
        <v>8.3699999999999992</v>
      </c>
      <c r="G17" s="52">
        <v>77.11</v>
      </c>
      <c r="H17" s="52">
        <v>21.28</v>
      </c>
      <c r="I17" s="52">
        <v>4.03</v>
      </c>
      <c r="J17" s="52">
        <v>0.7</v>
      </c>
      <c r="K17" s="52">
        <v>286.95999999999998</v>
      </c>
      <c r="L17" s="52">
        <v>30.04</v>
      </c>
      <c r="M17" s="52">
        <v>36.51</v>
      </c>
      <c r="N17" s="52">
        <v>563</v>
      </c>
      <c r="O17" s="52">
        <v>0</v>
      </c>
      <c r="P17" s="55" t="s">
        <v>8</v>
      </c>
      <c r="Q17" s="55" t="s">
        <v>8</v>
      </c>
      <c r="R17" s="43"/>
      <c r="S17" s="43"/>
      <c r="T17" s="43"/>
      <c r="U17" s="43"/>
    </row>
    <row r="18" spans="1:21" s="11" customFormat="1" x14ac:dyDescent="0.25">
      <c r="A18" s="51" t="s">
        <v>189</v>
      </c>
      <c r="B18" s="52">
        <v>13.12</v>
      </c>
      <c r="C18" s="52">
        <v>63.33</v>
      </c>
      <c r="D18" s="52">
        <v>102.83</v>
      </c>
      <c r="E18" s="52">
        <v>3.29</v>
      </c>
      <c r="F18" s="52">
        <v>8.99</v>
      </c>
      <c r="G18" s="52">
        <v>77.11</v>
      </c>
      <c r="H18" s="52">
        <v>15.75</v>
      </c>
      <c r="I18" s="52">
        <v>3.97</v>
      </c>
      <c r="J18" s="52">
        <v>0.91</v>
      </c>
      <c r="K18" s="52">
        <v>289.45</v>
      </c>
      <c r="L18" s="52">
        <v>32.619999999999997</v>
      </c>
      <c r="M18" s="52">
        <v>38.08</v>
      </c>
      <c r="N18" s="52">
        <v>762.1</v>
      </c>
      <c r="O18" s="52">
        <v>0</v>
      </c>
      <c r="P18" s="55" t="s">
        <v>8</v>
      </c>
      <c r="Q18" s="55" t="s">
        <v>8</v>
      </c>
      <c r="R18" s="43"/>
      <c r="S18" s="43"/>
      <c r="T18" s="43"/>
      <c r="U18" s="43"/>
    </row>
    <row r="19" spans="1:21" s="11" customFormat="1" x14ac:dyDescent="0.25">
      <c r="A19" s="51" t="s">
        <v>190</v>
      </c>
      <c r="B19" s="52">
        <v>3.72</v>
      </c>
      <c r="C19" s="52">
        <v>55.63</v>
      </c>
      <c r="D19" s="52">
        <v>101.77</v>
      </c>
      <c r="E19" s="52">
        <v>11.15</v>
      </c>
      <c r="F19" s="52">
        <v>22.41</v>
      </c>
      <c r="G19" s="52">
        <v>67.83</v>
      </c>
      <c r="H19" s="52">
        <v>15.75</v>
      </c>
      <c r="I19" s="52">
        <v>4.2699999999999996</v>
      </c>
      <c r="J19" s="52">
        <v>1.0900000000000001</v>
      </c>
      <c r="K19" s="52">
        <v>304.98</v>
      </c>
      <c r="L19" s="52">
        <v>35.44</v>
      </c>
      <c r="M19" s="52">
        <v>28.97</v>
      </c>
      <c r="N19" s="52">
        <v>865.1</v>
      </c>
      <c r="O19" s="52">
        <v>0</v>
      </c>
      <c r="P19" s="55" t="s">
        <v>8</v>
      </c>
      <c r="Q19" s="55" t="s">
        <v>8</v>
      </c>
      <c r="R19" s="43"/>
      <c r="S19" s="43"/>
      <c r="T19" s="43"/>
      <c r="U19" s="43"/>
    </row>
    <row r="20" spans="1:21" s="11" customFormat="1" x14ac:dyDescent="0.25">
      <c r="A20" s="51" t="s">
        <v>191</v>
      </c>
      <c r="B20" s="52">
        <v>2.86</v>
      </c>
      <c r="C20" s="52">
        <v>51</v>
      </c>
      <c r="D20" s="52">
        <v>93.23</v>
      </c>
      <c r="E20" s="52">
        <v>13.52</v>
      </c>
      <c r="F20" s="52">
        <v>24.6</v>
      </c>
      <c r="G20" s="52">
        <v>66.33</v>
      </c>
      <c r="H20" s="52">
        <v>12.35</v>
      </c>
      <c r="I20" s="52">
        <v>4.1100000000000003</v>
      </c>
      <c r="J20" s="52">
        <v>0.71</v>
      </c>
      <c r="K20" s="52">
        <v>287.11</v>
      </c>
      <c r="L20" s="52">
        <v>35.26</v>
      </c>
      <c r="M20" s="52">
        <v>25.72</v>
      </c>
      <c r="N20" s="52">
        <v>891.5</v>
      </c>
      <c r="O20" s="52">
        <v>0</v>
      </c>
      <c r="P20" s="52">
        <v>0.99</v>
      </c>
      <c r="Q20" s="55" t="s">
        <v>8</v>
      </c>
      <c r="R20" s="43"/>
      <c r="S20" s="43"/>
      <c r="T20" s="43"/>
      <c r="U20" s="43"/>
    </row>
    <row r="21" spans="1:21" s="11" customFormat="1" x14ac:dyDescent="0.25">
      <c r="A21" s="51" t="s">
        <v>192</v>
      </c>
      <c r="B21" s="52">
        <v>1.84</v>
      </c>
      <c r="C21" s="52">
        <v>45.52</v>
      </c>
      <c r="D21" s="52">
        <v>84.29</v>
      </c>
      <c r="E21" s="52">
        <v>9.56</v>
      </c>
      <c r="F21" s="52">
        <v>23.51</v>
      </c>
      <c r="G21" s="52">
        <v>67.22</v>
      </c>
      <c r="H21" s="52">
        <v>8.89</v>
      </c>
      <c r="I21" s="52">
        <v>4.09</v>
      </c>
      <c r="J21" s="52">
        <v>1.23</v>
      </c>
      <c r="K21" s="52">
        <v>196.8</v>
      </c>
      <c r="L21" s="52">
        <v>34</v>
      </c>
      <c r="M21" s="52">
        <v>23.46</v>
      </c>
      <c r="N21" s="52">
        <v>899.1</v>
      </c>
      <c r="O21" s="52">
        <v>0</v>
      </c>
      <c r="P21" s="52">
        <v>0.9</v>
      </c>
      <c r="Q21" s="55" t="s">
        <v>8</v>
      </c>
      <c r="R21" s="43"/>
      <c r="S21" s="43"/>
      <c r="T21" s="43"/>
      <c r="U21" s="43"/>
    </row>
    <row r="22" spans="1:21" s="11" customFormat="1" x14ac:dyDescent="0.25">
      <c r="A22" s="51" t="s">
        <v>193</v>
      </c>
      <c r="B22" s="52">
        <v>9.01</v>
      </c>
      <c r="C22" s="52">
        <v>46.82</v>
      </c>
      <c r="D22" s="52">
        <v>75.78</v>
      </c>
      <c r="E22" s="52">
        <v>9.25</v>
      </c>
      <c r="F22" s="52">
        <v>30.41</v>
      </c>
      <c r="G22" s="52">
        <v>67.22</v>
      </c>
      <c r="H22" s="52">
        <v>23.38</v>
      </c>
      <c r="I22" s="52">
        <v>4.12</v>
      </c>
      <c r="J22" s="52">
        <v>1.25</v>
      </c>
      <c r="K22" s="52">
        <v>350.38</v>
      </c>
      <c r="L22" s="52">
        <v>37.369999999999997</v>
      </c>
      <c r="M22" s="52">
        <v>18.77</v>
      </c>
      <c r="N22" s="52">
        <v>838.5</v>
      </c>
      <c r="O22" s="52">
        <v>0</v>
      </c>
      <c r="P22" s="52">
        <v>0.86</v>
      </c>
      <c r="Q22" s="55" t="s">
        <v>8</v>
      </c>
      <c r="R22" s="43"/>
      <c r="S22" s="43"/>
      <c r="T22" s="43"/>
      <c r="U22" s="43"/>
    </row>
    <row r="23" spans="1:21" s="11" customFormat="1" x14ac:dyDescent="0.25">
      <c r="A23" s="51" t="s">
        <v>194</v>
      </c>
      <c r="B23" s="52">
        <v>6.23</v>
      </c>
      <c r="C23" s="52">
        <v>43.26</v>
      </c>
      <c r="D23" s="52">
        <v>74.44</v>
      </c>
      <c r="E23" s="52">
        <v>7.88</v>
      </c>
      <c r="F23" s="52">
        <v>31.14</v>
      </c>
      <c r="G23" s="52">
        <v>61.04</v>
      </c>
      <c r="H23" s="52">
        <v>23.38</v>
      </c>
      <c r="I23" s="52">
        <v>4.0999999999999996</v>
      </c>
      <c r="J23" s="52">
        <v>1.79</v>
      </c>
      <c r="K23" s="52">
        <v>355.74</v>
      </c>
      <c r="L23" s="52">
        <v>37.619999999999997</v>
      </c>
      <c r="M23" s="52">
        <v>13.8</v>
      </c>
      <c r="N23" s="52">
        <v>547</v>
      </c>
      <c r="O23" s="52">
        <v>0</v>
      </c>
      <c r="P23" s="52">
        <v>0.66</v>
      </c>
      <c r="Q23" s="55" t="s">
        <v>8</v>
      </c>
      <c r="R23" s="43"/>
      <c r="S23" s="43"/>
      <c r="T23" s="43"/>
      <c r="U23" s="43"/>
    </row>
    <row r="24" spans="1:21" s="11" customFormat="1" x14ac:dyDescent="0.25">
      <c r="A24" s="51" t="s">
        <v>195</v>
      </c>
      <c r="B24" s="52">
        <v>14.66</v>
      </c>
      <c r="C24" s="52">
        <v>53.05</v>
      </c>
      <c r="D24" s="52">
        <v>79.05</v>
      </c>
      <c r="E24" s="52">
        <v>8.57</v>
      </c>
      <c r="F24" s="52">
        <v>32.799999999999997</v>
      </c>
      <c r="G24" s="52">
        <v>60.82</v>
      </c>
      <c r="H24" s="52">
        <v>23.38</v>
      </c>
      <c r="I24" s="52">
        <v>4.03</v>
      </c>
      <c r="J24" s="52">
        <v>1.1000000000000001</v>
      </c>
      <c r="K24" s="52">
        <v>347.46</v>
      </c>
      <c r="L24" s="52">
        <v>35.590000000000003</v>
      </c>
      <c r="M24" s="52">
        <v>13.29</v>
      </c>
      <c r="N24" s="52">
        <v>267.60000000000002</v>
      </c>
      <c r="O24" s="52">
        <v>0</v>
      </c>
      <c r="P24" s="52">
        <v>0.51</v>
      </c>
      <c r="Q24" s="55" t="s">
        <v>8</v>
      </c>
      <c r="R24" s="43"/>
      <c r="S24" s="43"/>
      <c r="T24" s="43"/>
      <c r="U24" s="43"/>
    </row>
    <row r="25" spans="1:21" s="11" customFormat="1" x14ac:dyDescent="0.25">
      <c r="A25" s="51" t="s">
        <v>196</v>
      </c>
      <c r="B25" s="52">
        <v>19.18</v>
      </c>
      <c r="C25" s="52">
        <v>70.900000000000006</v>
      </c>
      <c r="D25" s="52">
        <v>106.26</v>
      </c>
      <c r="E25" s="52">
        <v>13.37</v>
      </c>
      <c r="F25" s="52">
        <v>34.54</v>
      </c>
      <c r="G25" s="52">
        <v>55.5</v>
      </c>
      <c r="H25" s="52">
        <v>20.94</v>
      </c>
      <c r="I25" s="52">
        <v>4.2300000000000004</v>
      </c>
      <c r="J25" s="52">
        <v>1.34</v>
      </c>
      <c r="K25" s="52">
        <v>344.68</v>
      </c>
      <c r="L25" s="52">
        <v>35.26</v>
      </c>
      <c r="M25" s="52">
        <v>15.44</v>
      </c>
      <c r="N25" s="52">
        <v>160.69999999999999</v>
      </c>
      <c r="O25" s="52">
        <v>0</v>
      </c>
      <c r="P25" s="52">
        <v>0.73</v>
      </c>
      <c r="Q25" s="55" t="s">
        <v>8</v>
      </c>
      <c r="R25" s="43"/>
      <c r="S25" s="43"/>
      <c r="T25" s="43"/>
      <c r="U25" s="43"/>
    </row>
    <row r="26" spans="1:21" s="11" customFormat="1" x14ac:dyDescent="0.25">
      <c r="A26" s="51" t="s">
        <v>197</v>
      </c>
      <c r="B26" s="52">
        <v>2.93</v>
      </c>
      <c r="C26" s="52">
        <v>46.31</v>
      </c>
      <c r="D26" s="52">
        <v>85.64</v>
      </c>
      <c r="E26" s="52">
        <v>14.13</v>
      </c>
      <c r="F26" s="52">
        <v>37.75</v>
      </c>
      <c r="G26" s="52">
        <v>51.51</v>
      </c>
      <c r="H26" s="52">
        <v>0.42</v>
      </c>
      <c r="I26" s="52">
        <v>4.1500000000000004</v>
      </c>
      <c r="J26" s="52">
        <v>0.97</v>
      </c>
      <c r="K26" s="52">
        <v>221.8</v>
      </c>
      <c r="L26" s="52">
        <v>32.880000000000003</v>
      </c>
      <c r="M26" s="52">
        <v>18.7</v>
      </c>
      <c r="N26" s="52">
        <v>86.3</v>
      </c>
      <c r="O26" s="52">
        <v>0</v>
      </c>
      <c r="P26" s="52">
        <v>0.5</v>
      </c>
      <c r="Q26" s="55" t="s">
        <v>8</v>
      </c>
      <c r="R26" s="43"/>
      <c r="S26" s="43"/>
      <c r="T26" s="43"/>
      <c r="U26" s="43"/>
    </row>
    <row r="27" spans="1:21" s="11" customFormat="1" x14ac:dyDescent="0.25">
      <c r="A27" s="51" t="s">
        <v>198</v>
      </c>
      <c r="B27" s="52">
        <v>53.73</v>
      </c>
      <c r="C27" s="52">
        <v>146.27000000000001</v>
      </c>
      <c r="D27" s="52">
        <v>197.5</v>
      </c>
      <c r="E27" s="52">
        <v>8.19</v>
      </c>
      <c r="F27" s="52">
        <v>20.85</v>
      </c>
      <c r="G27" s="52">
        <v>55.18</v>
      </c>
      <c r="H27" s="52">
        <v>24.52</v>
      </c>
      <c r="I27" s="52">
        <v>4.0999999999999996</v>
      </c>
      <c r="J27" s="52">
        <v>0.55000000000000004</v>
      </c>
      <c r="K27" s="52">
        <v>255.74</v>
      </c>
      <c r="L27" s="52">
        <v>30.83</v>
      </c>
      <c r="M27" s="52">
        <v>25.29</v>
      </c>
      <c r="N27" s="52">
        <v>35.200000000000003</v>
      </c>
      <c r="O27" s="52">
        <v>0</v>
      </c>
      <c r="P27" s="52">
        <v>1.1599999999999999</v>
      </c>
      <c r="Q27" s="55" t="s">
        <v>8</v>
      </c>
      <c r="R27" s="43"/>
      <c r="S27" s="43"/>
      <c r="T27" s="43"/>
      <c r="U27" s="43"/>
    </row>
    <row r="28" spans="1:21" s="11" customFormat="1" x14ac:dyDescent="0.25">
      <c r="A28" s="51" t="s">
        <v>199</v>
      </c>
      <c r="B28" s="52">
        <v>58.75</v>
      </c>
      <c r="C28" s="52">
        <v>150.38999999999999</v>
      </c>
      <c r="D28" s="52">
        <v>197.67</v>
      </c>
      <c r="E28" s="52">
        <v>8.73</v>
      </c>
      <c r="F28" s="52">
        <v>15.95</v>
      </c>
      <c r="G28" s="52">
        <v>66.849999999999994</v>
      </c>
      <c r="H28" s="52">
        <v>24.52</v>
      </c>
      <c r="I28" s="52">
        <v>4.1100000000000003</v>
      </c>
      <c r="J28" s="52">
        <v>0.69</v>
      </c>
      <c r="K28" s="52">
        <v>202.18</v>
      </c>
      <c r="L28" s="52">
        <v>28.29</v>
      </c>
      <c r="M28" s="52">
        <v>26.61</v>
      </c>
      <c r="N28" s="52">
        <v>32.9</v>
      </c>
      <c r="O28" s="52">
        <v>0</v>
      </c>
      <c r="P28" s="52">
        <v>1.01</v>
      </c>
      <c r="Q28" s="55" t="s">
        <v>8</v>
      </c>
      <c r="R28" s="43"/>
      <c r="S28" s="43"/>
      <c r="T28" s="43"/>
      <c r="U28" s="43"/>
    </row>
    <row r="29" spans="1:21" s="11" customFormat="1" x14ac:dyDescent="0.25">
      <c r="A29" s="51" t="s">
        <v>200</v>
      </c>
      <c r="B29" s="52">
        <v>33.619999999999997</v>
      </c>
      <c r="C29" s="52">
        <v>112.99</v>
      </c>
      <c r="D29" s="52">
        <v>164.66</v>
      </c>
      <c r="E29" s="52">
        <v>8.8699999999999992</v>
      </c>
      <c r="F29" s="52">
        <v>22.96</v>
      </c>
      <c r="G29" s="52">
        <v>68.819999999999993</v>
      </c>
      <c r="H29" s="52">
        <v>45.08</v>
      </c>
      <c r="I29" s="52">
        <v>4.08</v>
      </c>
      <c r="J29" s="52">
        <v>0.47</v>
      </c>
      <c r="K29" s="52">
        <v>261.24</v>
      </c>
      <c r="L29" s="52">
        <v>28.11</v>
      </c>
      <c r="M29" s="52">
        <v>29.7</v>
      </c>
      <c r="N29" s="52">
        <v>33.9</v>
      </c>
      <c r="O29" s="52">
        <v>0</v>
      </c>
      <c r="P29" s="52">
        <v>1.1000000000000001</v>
      </c>
      <c r="Q29" s="55" t="s">
        <v>8</v>
      </c>
      <c r="R29" s="43"/>
      <c r="S29" s="43"/>
      <c r="T29" s="43"/>
      <c r="U29" s="43"/>
    </row>
    <row r="30" spans="1:21" s="11" customFormat="1" x14ac:dyDescent="0.25">
      <c r="A30" s="51" t="s">
        <v>201</v>
      </c>
      <c r="B30" s="52">
        <v>15.85</v>
      </c>
      <c r="C30" s="52">
        <v>77.599999999999994</v>
      </c>
      <c r="D30" s="52">
        <v>130.44</v>
      </c>
      <c r="E30" s="52">
        <v>7.47</v>
      </c>
      <c r="F30" s="52">
        <v>15.47</v>
      </c>
      <c r="G30" s="52">
        <v>74.64</v>
      </c>
      <c r="H30" s="52">
        <v>45.08</v>
      </c>
      <c r="I30" s="52">
        <v>4.12</v>
      </c>
      <c r="J30" s="52">
        <v>0.56000000000000005</v>
      </c>
      <c r="K30" s="52">
        <v>314.26</v>
      </c>
      <c r="L30" s="52">
        <v>26.46</v>
      </c>
      <c r="M30" s="52">
        <v>38.18</v>
      </c>
      <c r="N30" s="52">
        <v>33.700000000000003</v>
      </c>
      <c r="O30" s="52">
        <v>0</v>
      </c>
      <c r="P30" s="52">
        <v>0.94</v>
      </c>
      <c r="Q30" s="55" t="s">
        <v>8</v>
      </c>
      <c r="R30" s="43"/>
      <c r="S30" s="43"/>
      <c r="T30" s="43"/>
      <c r="U30" s="43"/>
    </row>
    <row r="31" spans="1:21" s="11" customFormat="1" x14ac:dyDescent="0.25">
      <c r="A31" s="51" t="s">
        <v>202</v>
      </c>
      <c r="B31" s="52">
        <v>88.24</v>
      </c>
      <c r="C31" s="52">
        <v>153.77000000000001</v>
      </c>
      <c r="D31" s="52">
        <v>158.88999999999999</v>
      </c>
      <c r="E31" s="52">
        <v>6.51</v>
      </c>
      <c r="F31" s="52">
        <v>8.4600000000000009</v>
      </c>
      <c r="G31" s="52">
        <v>83.09</v>
      </c>
      <c r="H31" s="52">
        <v>24.44</v>
      </c>
      <c r="I31" s="52">
        <v>4.09</v>
      </c>
      <c r="J31" s="52">
        <v>0.56999999999999995</v>
      </c>
      <c r="K31" s="52">
        <v>347.94</v>
      </c>
      <c r="L31" s="52">
        <v>23.9</v>
      </c>
      <c r="M31" s="52">
        <v>46.51</v>
      </c>
      <c r="N31" s="52">
        <v>34</v>
      </c>
      <c r="O31" s="52">
        <v>0</v>
      </c>
      <c r="P31" s="52">
        <v>1.64</v>
      </c>
      <c r="Q31" s="55" t="s">
        <v>8</v>
      </c>
      <c r="R31" s="43"/>
      <c r="S31" s="43"/>
      <c r="T31" s="43"/>
      <c r="U31" s="43"/>
    </row>
    <row r="32" spans="1:21" s="11" customFormat="1" x14ac:dyDescent="0.25">
      <c r="A32" s="51" t="s">
        <v>203</v>
      </c>
      <c r="B32" s="52">
        <v>116.22</v>
      </c>
      <c r="C32" s="52">
        <v>175.31</v>
      </c>
      <c r="D32" s="52">
        <v>157.16999999999999</v>
      </c>
      <c r="E32" s="52">
        <v>6.06</v>
      </c>
      <c r="F32" s="52">
        <v>10.67</v>
      </c>
      <c r="G32" s="52">
        <v>98.27</v>
      </c>
      <c r="H32" s="52">
        <v>50.33</v>
      </c>
      <c r="I32" s="52">
        <v>4.18</v>
      </c>
      <c r="J32" s="52">
        <v>1.05</v>
      </c>
      <c r="K32" s="52">
        <v>353.31</v>
      </c>
      <c r="L32" s="52">
        <v>23.26</v>
      </c>
      <c r="M32" s="52">
        <v>46.79</v>
      </c>
      <c r="N32" s="52">
        <v>34</v>
      </c>
      <c r="O32" s="52">
        <v>0</v>
      </c>
      <c r="P32" s="52">
        <v>1.42</v>
      </c>
      <c r="Q32" s="55" t="s">
        <v>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1.84</v>
      </c>
      <c r="C34" s="28">
        <f t="shared" si="0"/>
        <v>42.55</v>
      </c>
      <c r="D34" s="28">
        <f t="shared" si="0"/>
        <v>65.5</v>
      </c>
      <c r="E34" s="28">
        <f t="shared" si="0"/>
        <v>2.68</v>
      </c>
      <c r="F34" s="28">
        <f t="shared" si="0"/>
        <v>8.3699999999999992</v>
      </c>
      <c r="G34" s="28">
        <f t="shared" si="0"/>
        <v>51.51</v>
      </c>
      <c r="H34" s="28">
        <f t="shared" si="0"/>
        <v>0.42</v>
      </c>
      <c r="I34" s="28">
        <f t="shared" si="0"/>
        <v>3.97</v>
      </c>
      <c r="J34" s="28">
        <f t="shared" si="0"/>
        <v>0.35</v>
      </c>
      <c r="K34" s="28">
        <f t="shared" si="0"/>
        <v>196.8</v>
      </c>
      <c r="L34" s="28">
        <f t="shared" si="0"/>
        <v>20.05</v>
      </c>
      <c r="M34" s="28">
        <f t="shared" si="0"/>
        <v>13.29</v>
      </c>
      <c r="N34" s="28">
        <f t="shared" si="0"/>
        <v>28.1</v>
      </c>
      <c r="O34" s="28">
        <f t="shared" si="0"/>
        <v>0</v>
      </c>
      <c r="P34" s="28">
        <f t="shared" si="0"/>
        <v>0.5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116.22</v>
      </c>
      <c r="C35" s="29">
        <f t="shared" si="1"/>
        <v>175.31</v>
      </c>
      <c r="D35" s="29">
        <f t="shared" si="1"/>
        <v>197.67</v>
      </c>
      <c r="E35" s="29">
        <f t="shared" si="1"/>
        <v>14.13</v>
      </c>
      <c r="F35" s="29">
        <f t="shared" si="1"/>
        <v>37.75</v>
      </c>
      <c r="G35" s="29">
        <f t="shared" si="1"/>
        <v>98.27</v>
      </c>
      <c r="H35" s="29">
        <f t="shared" si="1"/>
        <v>50.33</v>
      </c>
      <c r="I35" s="29">
        <f t="shared" si="1"/>
        <v>4.2699999999999996</v>
      </c>
      <c r="J35" s="29">
        <f t="shared" si="1"/>
        <v>1.79</v>
      </c>
      <c r="K35" s="29">
        <f t="shared" si="1"/>
        <v>355.74</v>
      </c>
      <c r="L35" s="29">
        <f t="shared" si="1"/>
        <v>37.619999999999997</v>
      </c>
      <c r="M35" s="29">
        <f t="shared" si="1"/>
        <v>56.43</v>
      </c>
      <c r="N35" s="29">
        <f t="shared" si="1"/>
        <v>899.1</v>
      </c>
      <c r="O35" s="29">
        <f t="shared" si="1"/>
        <v>0</v>
      </c>
      <c r="P35" s="29">
        <f t="shared" si="1"/>
        <v>1.64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29.816666666666674</v>
      </c>
      <c r="C36" s="28">
        <f t="shared" si="2"/>
        <v>80.809166666666655</v>
      </c>
      <c r="D36" s="28">
        <f t="shared" si="2"/>
        <v>110.23333333333335</v>
      </c>
      <c r="E36" s="28">
        <f t="shared" si="2"/>
        <v>7.0254166666666658</v>
      </c>
      <c r="F36" s="28">
        <f t="shared" si="2"/>
        <v>18.510000000000002</v>
      </c>
      <c r="G36" s="28">
        <f t="shared" si="2"/>
        <v>68.922083333333333</v>
      </c>
      <c r="H36" s="28">
        <f t="shared" si="2"/>
        <v>25.065416666666668</v>
      </c>
      <c r="I36" s="28">
        <f t="shared" si="2"/>
        <v>4.1066666666666665</v>
      </c>
      <c r="J36" s="28">
        <f t="shared" si="2"/>
        <v>0.81333333333333335</v>
      </c>
      <c r="K36" s="28">
        <f t="shared" si="2"/>
        <v>294.93166666666667</v>
      </c>
      <c r="L36" s="28">
        <f t="shared" si="2"/>
        <v>28.567083333333333</v>
      </c>
      <c r="M36" s="28">
        <f t="shared" si="2"/>
        <v>34.72208333333333</v>
      </c>
      <c r="N36" s="28">
        <f t="shared" si="2"/>
        <v>281.57083333333327</v>
      </c>
      <c r="O36" s="28">
        <f t="shared" si="2"/>
        <v>0</v>
      </c>
      <c r="P36" s="28">
        <f t="shared" si="2"/>
        <v>0.94687500000000002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32.55762031506157</v>
      </c>
      <c r="C37" s="28">
        <f t="shared" ref="C37:Q37" si="3">STDEV(C9:C32)</f>
        <v>42.389006872338854</v>
      </c>
      <c r="D37" s="28">
        <f t="shared" si="3"/>
        <v>38.135480759440014</v>
      </c>
      <c r="E37" s="28">
        <f t="shared" si="3"/>
        <v>3.6149207450169132</v>
      </c>
      <c r="F37" s="28">
        <f t="shared" si="3"/>
        <v>9.3474111738049608</v>
      </c>
      <c r="G37" s="28">
        <f t="shared" si="3"/>
        <v>11.775641763796786</v>
      </c>
      <c r="H37" s="28">
        <f t="shared" si="3"/>
        <v>11.49112813895124</v>
      </c>
      <c r="I37" s="28">
        <f t="shared" si="3"/>
        <v>6.6310643559502211E-2</v>
      </c>
      <c r="J37" s="28">
        <f t="shared" si="3"/>
        <v>0.35001449245357857</v>
      </c>
      <c r="K37" s="28">
        <f t="shared" si="3"/>
        <v>47.554707778347868</v>
      </c>
      <c r="L37" s="28">
        <f t="shared" si="3"/>
        <v>6.020017679568638</v>
      </c>
      <c r="M37" s="28">
        <f t="shared" si="3"/>
        <v>13.518044294866446</v>
      </c>
      <c r="N37" s="28">
        <f t="shared" si="3"/>
        <v>336.95180339029361</v>
      </c>
      <c r="O37" s="28">
        <f t="shared" si="3"/>
        <v>0</v>
      </c>
      <c r="P37" s="28">
        <f t="shared" si="3"/>
        <v>0.2967090325554651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COUNT(P9:P32)+8</f>
        <v>24</v>
      </c>
      <c r="Q38" s="32">
        <f>COUNT(Q9:Q32)+24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07/04/2025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204</v>
      </c>
      <c r="B9" s="52">
        <v>51.11</v>
      </c>
      <c r="C9" s="52">
        <v>111.62</v>
      </c>
      <c r="D9" s="52">
        <v>135.19</v>
      </c>
      <c r="E9" s="52">
        <v>6.04</v>
      </c>
      <c r="F9" s="52">
        <v>7.86</v>
      </c>
      <c r="G9" s="52">
        <v>99.02</v>
      </c>
      <c r="H9" s="52">
        <v>56.14</v>
      </c>
      <c r="I9" s="52">
        <v>4.25</v>
      </c>
      <c r="J9" s="52">
        <v>0.36</v>
      </c>
      <c r="K9" s="52">
        <v>289.18</v>
      </c>
      <c r="L9" s="52">
        <v>23.15</v>
      </c>
      <c r="M9" s="52">
        <v>47.64</v>
      </c>
      <c r="N9" s="52">
        <v>34</v>
      </c>
      <c r="O9" s="52">
        <v>0</v>
      </c>
      <c r="P9" s="52">
        <v>1.4</v>
      </c>
      <c r="Q9" s="55" t="s">
        <v>8</v>
      </c>
      <c r="R9" s="43"/>
      <c r="S9" s="43"/>
      <c r="T9" s="43"/>
      <c r="U9" s="43"/>
    </row>
    <row r="10" spans="1:21" s="11" customFormat="1" x14ac:dyDescent="0.25">
      <c r="A10" s="51" t="s">
        <v>205</v>
      </c>
      <c r="B10" s="52">
        <v>56.99</v>
      </c>
      <c r="C10" s="52">
        <v>114.12</v>
      </c>
      <c r="D10" s="52">
        <v>130.94999999999999</v>
      </c>
      <c r="E10" s="52">
        <v>5.27</v>
      </c>
      <c r="F10" s="52">
        <v>7.16</v>
      </c>
      <c r="G10" s="52">
        <v>100.06</v>
      </c>
      <c r="H10" s="52">
        <v>56.14</v>
      </c>
      <c r="I10" s="52">
        <v>4.0599999999999996</v>
      </c>
      <c r="J10" s="52">
        <v>0.56999999999999995</v>
      </c>
      <c r="K10" s="52">
        <v>341.63</v>
      </c>
      <c r="L10" s="52">
        <v>21.63</v>
      </c>
      <c r="M10" s="52">
        <v>50.92</v>
      </c>
      <c r="N10" s="52">
        <v>34.1</v>
      </c>
      <c r="O10" s="52">
        <v>0</v>
      </c>
      <c r="P10" s="52">
        <v>1.26</v>
      </c>
      <c r="Q10" s="55" t="s">
        <v>8</v>
      </c>
      <c r="R10" s="43"/>
      <c r="S10" s="43"/>
      <c r="T10" s="43"/>
      <c r="U10" s="43"/>
    </row>
    <row r="11" spans="1:21" s="11" customFormat="1" x14ac:dyDescent="0.25">
      <c r="A11" s="51" t="s">
        <v>206</v>
      </c>
      <c r="B11" s="52">
        <v>43.88</v>
      </c>
      <c r="C11" s="52">
        <v>85.67</v>
      </c>
      <c r="D11" s="52">
        <v>99.51</v>
      </c>
      <c r="E11" s="52">
        <v>3.53</v>
      </c>
      <c r="F11" s="52">
        <v>7.73</v>
      </c>
      <c r="G11" s="52">
        <v>100.06</v>
      </c>
      <c r="H11" s="52">
        <v>40.97</v>
      </c>
      <c r="I11" s="52">
        <v>4.09</v>
      </c>
      <c r="J11" s="52">
        <v>0.39</v>
      </c>
      <c r="K11" s="52">
        <v>355.74</v>
      </c>
      <c r="L11" s="52">
        <v>21.74</v>
      </c>
      <c r="M11" s="52">
        <v>55.05</v>
      </c>
      <c r="N11" s="52">
        <v>34.200000000000003</v>
      </c>
      <c r="O11" s="52">
        <v>0</v>
      </c>
      <c r="P11" s="52">
        <v>1.1000000000000001</v>
      </c>
      <c r="Q11" s="55" t="s">
        <v>8</v>
      </c>
      <c r="R11" s="43"/>
      <c r="S11" s="43"/>
      <c r="T11" s="43"/>
      <c r="U11" s="43"/>
    </row>
    <row r="12" spans="1:21" s="11" customFormat="1" x14ac:dyDescent="0.25">
      <c r="A12" s="51" t="s">
        <v>207</v>
      </c>
      <c r="B12" s="52">
        <v>48.89</v>
      </c>
      <c r="C12" s="52">
        <v>91.63</v>
      </c>
      <c r="D12" s="52">
        <v>101.51</v>
      </c>
      <c r="E12" s="52">
        <v>3.36</v>
      </c>
      <c r="F12" s="52">
        <v>6.77</v>
      </c>
      <c r="G12" s="52">
        <v>96.78</v>
      </c>
      <c r="H12" s="52">
        <v>30.91</v>
      </c>
      <c r="I12" s="52">
        <v>4.07</v>
      </c>
      <c r="J12" s="52">
        <v>0.48</v>
      </c>
      <c r="K12" s="52">
        <v>346.22</v>
      </c>
      <c r="L12" s="52">
        <v>20.18</v>
      </c>
      <c r="M12" s="52">
        <v>57.07</v>
      </c>
      <c r="N12" s="52">
        <v>34.1</v>
      </c>
      <c r="O12" s="52">
        <v>0</v>
      </c>
      <c r="P12" s="52">
        <v>1.04</v>
      </c>
      <c r="Q12" s="55" t="s">
        <v>8</v>
      </c>
      <c r="R12" s="43"/>
      <c r="S12" s="43"/>
      <c r="T12" s="43"/>
      <c r="U12" s="43"/>
    </row>
    <row r="13" spans="1:21" s="11" customFormat="1" x14ac:dyDescent="0.25">
      <c r="A13" s="51" t="s">
        <v>208</v>
      </c>
      <c r="B13" s="52">
        <v>65.760000000000005</v>
      </c>
      <c r="C13" s="52">
        <v>104.36</v>
      </c>
      <c r="D13" s="52">
        <v>99.57</v>
      </c>
      <c r="E13" s="52">
        <v>3.74</v>
      </c>
      <c r="F13" s="52">
        <v>8.56</v>
      </c>
      <c r="G13" s="52">
        <v>96.78</v>
      </c>
      <c r="H13" s="52">
        <v>27.84</v>
      </c>
      <c r="I13" s="52">
        <v>4.07</v>
      </c>
      <c r="J13" s="52">
        <v>0.72</v>
      </c>
      <c r="K13" s="52">
        <v>286.68</v>
      </c>
      <c r="L13" s="52">
        <v>21.43</v>
      </c>
      <c r="M13" s="52">
        <v>57.71</v>
      </c>
      <c r="N13" s="52">
        <v>34</v>
      </c>
      <c r="O13" s="52">
        <v>0</v>
      </c>
      <c r="P13" s="52">
        <v>0.95</v>
      </c>
      <c r="Q13" s="55" t="s">
        <v>8</v>
      </c>
      <c r="R13" s="43"/>
      <c r="S13" s="43"/>
      <c r="T13" s="43"/>
      <c r="U13" s="43"/>
    </row>
    <row r="14" spans="1:21" s="11" customFormat="1" x14ac:dyDescent="0.25">
      <c r="A14" s="51" t="s">
        <v>209</v>
      </c>
      <c r="B14" s="52">
        <v>38.92</v>
      </c>
      <c r="C14" s="52">
        <v>73.95</v>
      </c>
      <c r="D14" s="52">
        <v>88.87</v>
      </c>
      <c r="E14" s="52">
        <v>4.34</v>
      </c>
      <c r="F14" s="52">
        <v>9.5299999999999994</v>
      </c>
      <c r="G14" s="52">
        <v>94.89</v>
      </c>
      <c r="H14" s="52">
        <v>32.85</v>
      </c>
      <c r="I14" s="52">
        <v>4.08</v>
      </c>
      <c r="J14" s="52">
        <v>1.52</v>
      </c>
      <c r="K14" s="52">
        <v>181.08</v>
      </c>
      <c r="L14" s="52">
        <v>21.43</v>
      </c>
      <c r="M14" s="52">
        <v>48.21</v>
      </c>
      <c r="N14" s="52">
        <v>42.8</v>
      </c>
      <c r="O14" s="52">
        <v>0</v>
      </c>
      <c r="P14" s="52">
        <v>0.93</v>
      </c>
      <c r="Q14" s="55" t="s">
        <v>8</v>
      </c>
      <c r="R14" s="43"/>
      <c r="S14" s="43"/>
      <c r="T14" s="43"/>
      <c r="U14" s="43"/>
    </row>
    <row r="15" spans="1:21" s="11" customFormat="1" x14ac:dyDescent="0.25">
      <c r="A15" s="51" t="s">
        <v>210</v>
      </c>
      <c r="B15" s="52">
        <v>37.799999999999997</v>
      </c>
      <c r="C15" s="52">
        <v>74.2</v>
      </c>
      <c r="D15" s="52">
        <v>85.84</v>
      </c>
      <c r="E15" s="52">
        <v>3.46</v>
      </c>
      <c r="F15" s="52">
        <v>7.23</v>
      </c>
      <c r="G15" s="52">
        <v>83.25</v>
      </c>
      <c r="H15" s="52">
        <v>32.85</v>
      </c>
      <c r="I15" s="52">
        <v>4.12</v>
      </c>
      <c r="J15" s="52">
        <v>0.76</v>
      </c>
      <c r="K15" s="52">
        <v>268.57</v>
      </c>
      <c r="L15" s="52">
        <v>21.46</v>
      </c>
      <c r="M15" s="52">
        <v>51.74</v>
      </c>
      <c r="N15" s="52">
        <v>166.1</v>
      </c>
      <c r="O15" s="52">
        <v>0</v>
      </c>
      <c r="P15" s="52">
        <v>0.92</v>
      </c>
      <c r="Q15" s="55" t="s">
        <v>8</v>
      </c>
      <c r="R15" s="43"/>
      <c r="S15" s="43"/>
      <c r="T15" s="43"/>
      <c r="U15" s="43"/>
    </row>
    <row r="16" spans="1:21" s="11" customFormat="1" x14ac:dyDescent="0.25">
      <c r="A16" s="51" t="s">
        <v>211</v>
      </c>
      <c r="B16" s="52">
        <v>32.07</v>
      </c>
      <c r="C16" s="52">
        <v>70.45</v>
      </c>
      <c r="D16" s="52">
        <v>87.18</v>
      </c>
      <c r="E16" s="52">
        <v>2.85</v>
      </c>
      <c r="F16" s="52">
        <v>7.21</v>
      </c>
      <c r="G16" s="52">
        <v>67.040000000000006</v>
      </c>
      <c r="H16" s="52">
        <v>18.39</v>
      </c>
      <c r="I16" s="52">
        <v>4.1900000000000004</v>
      </c>
      <c r="J16" s="52">
        <v>1.1200000000000001</v>
      </c>
      <c r="K16" s="52">
        <v>222.62</v>
      </c>
      <c r="L16" s="52">
        <v>24.89</v>
      </c>
      <c r="M16" s="52">
        <v>43.54</v>
      </c>
      <c r="N16" s="52">
        <v>390.7</v>
      </c>
      <c r="O16" s="52">
        <v>0</v>
      </c>
      <c r="P16" s="52">
        <v>0.86</v>
      </c>
      <c r="Q16" s="55" t="s">
        <v>8</v>
      </c>
      <c r="R16" s="43"/>
      <c r="S16" s="43"/>
      <c r="T16" s="43"/>
      <c r="U16" s="43"/>
    </row>
    <row r="17" spans="1:21" s="11" customFormat="1" x14ac:dyDescent="0.25">
      <c r="A17" s="51" t="s">
        <v>212</v>
      </c>
      <c r="B17" s="52">
        <v>21.86</v>
      </c>
      <c r="C17" s="52">
        <v>62.63</v>
      </c>
      <c r="D17" s="52">
        <v>93.98</v>
      </c>
      <c r="E17" s="52">
        <v>4.68</v>
      </c>
      <c r="F17" s="52">
        <v>9.32</v>
      </c>
      <c r="G17" s="52">
        <v>65.739999999999995</v>
      </c>
      <c r="H17" s="52">
        <v>24.06</v>
      </c>
      <c r="I17" s="52">
        <v>4.1900000000000004</v>
      </c>
      <c r="J17" s="52">
        <v>0.93</v>
      </c>
      <c r="K17" s="52">
        <v>289.64</v>
      </c>
      <c r="L17" s="52">
        <v>30.94</v>
      </c>
      <c r="M17" s="52">
        <v>34.130000000000003</v>
      </c>
      <c r="N17" s="52">
        <v>562</v>
      </c>
      <c r="O17" s="52">
        <v>0</v>
      </c>
      <c r="P17" s="52">
        <v>0.87</v>
      </c>
      <c r="Q17" s="55" t="s">
        <v>8</v>
      </c>
      <c r="R17" s="43"/>
      <c r="S17" s="43"/>
      <c r="T17" s="43"/>
      <c r="U17" s="43"/>
    </row>
    <row r="18" spans="1:21" s="11" customFormat="1" x14ac:dyDescent="0.25">
      <c r="A18" s="51" t="s">
        <v>213</v>
      </c>
      <c r="B18" s="52">
        <v>11.27</v>
      </c>
      <c r="C18" s="52">
        <v>62.22</v>
      </c>
      <c r="D18" s="52">
        <v>103.44</v>
      </c>
      <c r="E18" s="52">
        <v>5.03</v>
      </c>
      <c r="F18" s="52">
        <v>10.99</v>
      </c>
      <c r="G18" s="52">
        <v>77.069999999999993</v>
      </c>
      <c r="H18" s="52">
        <v>25.33</v>
      </c>
      <c r="I18" s="52">
        <v>4.16</v>
      </c>
      <c r="J18" s="52">
        <v>1.1100000000000001</v>
      </c>
      <c r="K18" s="52">
        <v>295.19</v>
      </c>
      <c r="L18" s="52">
        <v>33.840000000000003</v>
      </c>
      <c r="M18" s="52">
        <v>28.13</v>
      </c>
      <c r="N18" s="52">
        <v>748.4</v>
      </c>
      <c r="O18" s="52">
        <v>0</v>
      </c>
      <c r="P18" s="52">
        <v>1.01</v>
      </c>
      <c r="Q18" s="55" t="s">
        <v>8</v>
      </c>
      <c r="R18" s="43"/>
      <c r="S18" s="43"/>
      <c r="T18" s="43"/>
      <c r="U18" s="43"/>
    </row>
    <row r="19" spans="1:21" s="11" customFormat="1" x14ac:dyDescent="0.25">
      <c r="A19" s="51" t="s">
        <v>214</v>
      </c>
      <c r="B19" s="52">
        <v>3.56</v>
      </c>
      <c r="C19" s="52">
        <v>55.74</v>
      </c>
      <c r="D19" s="52">
        <v>102.47</v>
      </c>
      <c r="E19" s="52">
        <v>4.91</v>
      </c>
      <c r="F19" s="52">
        <v>10.83</v>
      </c>
      <c r="G19" s="52">
        <v>77.42</v>
      </c>
      <c r="H19" s="52">
        <v>25.33</v>
      </c>
      <c r="I19" s="52">
        <v>4.1399999999999997</v>
      </c>
      <c r="J19" s="52">
        <v>1.25</v>
      </c>
      <c r="K19" s="52">
        <v>290.14999999999998</v>
      </c>
      <c r="L19" s="52">
        <v>34.49</v>
      </c>
      <c r="M19" s="52">
        <v>27.95</v>
      </c>
      <c r="N19" s="52">
        <v>885</v>
      </c>
      <c r="O19" s="52">
        <v>0</v>
      </c>
      <c r="P19" s="52">
        <v>0.91</v>
      </c>
      <c r="Q19" s="55" t="s">
        <v>8</v>
      </c>
      <c r="R19" s="43"/>
      <c r="S19" s="43"/>
      <c r="T19" s="43"/>
      <c r="U19" s="43"/>
    </row>
    <row r="20" spans="1:21" s="11" customFormat="1" x14ac:dyDescent="0.25">
      <c r="A20" s="51" t="s">
        <v>215</v>
      </c>
      <c r="B20" s="52">
        <v>3.12</v>
      </c>
      <c r="C20" s="52">
        <v>54.45</v>
      </c>
      <c r="D20" s="52">
        <v>99.5</v>
      </c>
      <c r="E20" s="52">
        <v>5.93</v>
      </c>
      <c r="F20" s="52">
        <v>15.83</v>
      </c>
      <c r="G20" s="52">
        <v>77.42</v>
      </c>
      <c r="H20" s="52">
        <v>25.73</v>
      </c>
      <c r="I20" s="52">
        <v>3.96</v>
      </c>
      <c r="J20" s="52">
        <v>0.85</v>
      </c>
      <c r="K20" s="52">
        <v>302.38</v>
      </c>
      <c r="L20" s="52">
        <v>36.700000000000003</v>
      </c>
      <c r="M20" s="52">
        <v>22.71</v>
      </c>
      <c r="N20" s="52">
        <v>940.8</v>
      </c>
      <c r="O20" s="52">
        <v>0</v>
      </c>
      <c r="P20" s="52">
        <v>0.87</v>
      </c>
      <c r="Q20" s="55" t="s">
        <v>8</v>
      </c>
      <c r="R20" s="43"/>
      <c r="S20" s="43"/>
      <c r="T20" s="43"/>
      <c r="U20" s="43"/>
    </row>
    <row r="21" spans="1:21" s="11" customFormat="1" x14ac:dyDescent="0.25">
      <c r="A21" s="51" t="s">
        <v>216</v>
      </c>
      <c r="B21" s="52">
        <v>4.2699999999999996</v>
      </c>
      <c r="C21" s="52">
        <v>51.7</v>
      </c>
      <c r="D21" s="52">
        <v>92.4</v>
      </c>
      <c r="E21" s="52">
        <v>7.54</v>
      </c>
      <c r="F21" s="52">
        <v>21.15</v>
      </c>
      <c r="G21" s="52">
        <v>71.47</v>
      </c>
      <c r="H21" s="52">
        <v>25.73</v>
      </c>
      <c r="I21" s="52">
        <v>4.09</v>
      </c>
      <c r="J21" s="52">
        <v>0.81</v>
      </c>
      <c r="K21" s="52">
        <v>307.5</v>
      </c>
      <c r="L21" s="52">
        <v>37.19</v>
      </c>
      <c r="M21" s="52">
        <v>20.13</v>
      </c>
      <c r="N21" s="52">
        <v>948.6</v>
      </c>
      <c r="O21" s="52">
        <v>0</v>
      </c>
      <c r="P21" s="52">
        <v>0.76</v>
      </c>
      <c r="Q21" s="55" t="s">
        <v>8</v>
      </c>
      <c r="R21" s="43"/>
      <c r="S21" s="43"/>
      <c r="T21" s="43"/>
      <c r="U21" s="43"/>
    </row>
    <row r="22" spans="1:21" s="11" customFormat="1" x14ac:dyDescent="0.25">
      <c r="A22" s="51" t="s">
        <v>217</v>
      </c>
      <c r="B22" s="52">
        <v>5.03</v>
      </c>
      <c r="C22" s="52">
        <v>42.3</v>
      </c>
      <c r="D22" s="52">
        <v>75.83</v>
      </c>
      <c r="E22" s="52">
        <v>10.08</v>
      </c>
      <c r="F22" s="52">
        <v>28.78</v>
      </c>
      <c r="G22" s="52">
        <v>67.27</v>
      </c>
      <c r="H22" s="52">
        <v>31.6</v>
      </c>
      <c r="I22" s="52">
        <v>4.12</v>
      </c>
      <c r="J22" s="52">
        <v>1.64</v>
      </c>
      <c r="K22" s="52">
        <v>312.68</v>
      </c>
      <c r="L22" s="52">
        <v>36.85</v>
      </c>
      <c r="M22" s="52">
        <v>14.84</v>
      </c>
      <c r="N22" s="52">
        <v>930.4</v>
      </c>
      <c r="O22" s="52">
        <v>0</v>
      </c>
      <c r="P22" s="52">
        <v>0.59</v>
      </c>
      <c r="Q22" s="55" t="s">
        <v>8</v>
      </c>
      <c r="R22" s="43"/>
      <c r="S22" s="43"/>
      <c r="T22" s="43"/>
      <c r="U22" s="43"/>
    </row>
    <row r="23" spans="1:21" s="11" customFormat="1" x14ac:dyDescent="0.25">
      <c r="A23" s="51" t="s">
        <v>218</v>
      </c>
      <c r="B23" s="52">
        <v>6.48</v>
      </c>
      <c r="C23" s="52">
        <v>44.97</v>
      </c>
      <c r="D23" s="52">
        <v>82.19</v>
      </c>
      <c r="E23" s="52">
        <v>12.4</v>
      </c>
      <c r="F23" s="52">
        <v>33.89</v>
      </c>
      <c r="G23" s="52">
        <v>55.48</v>
      </c>
      <c r="H23" s="52">
        <v>31.6</v>
      </c>
      <c r="I23" s="52">
        <v>4.16</v>
      </c>
      <c r="J23" s="52">
        <v>1.26</v>
      </c>
      <c r="K23" s="52">
        <v>288.5</v>
      </c>
      <c r="L23" s="52">
        <v>37.42</v>
      </c>
      <c r="M23" s="52">
        <v>13.61</v>
      </c>
      <c r="N23" s="52">
        <v>601</v>
      </c>
      <c r="O23" s="52">
        <v>0</v>
      </c>
      <c r="P23" s="52">
        <v>0.65</v>
      </c>
      <c r="Q23" s="55" t="s">
        <v>8</v>
      </c>
      <c r="R23" s="43"/>
      <c r="S23" s="43"/>
      <c r="T23" s="43"/>
      <c r="U23" s="43"/>
    </row>
    <row r="24" spans="1:21" s="11" customFormat="1" x14ac:dyDescent="0.25">
      <c r="A24" s="51" t="s">
        <v>219</v>
      </c>
      <c r="B24" s="52">
        <v>9.89</v>
      </c>
      <c r="C24" s="52">
        <v>46.2</v>
      </c>
      <c r="D24" s="52">
        <v>73.25</v>
      </c>
      <c r="E24" s="52">
        <v>12.4</v>
      </c>
      <c r="F24" s="52">
        <v>28.66</v>
      </c>
      <c r="G24" s="52">
        <v>51.82</v>
      </c>
      <c r="H24" s="52">
        <v>20.82</v>
      </c>
      <c r="I24" s="52">
        <v>4.1399999999999997</v>
      </c>
      <c r="J24" s="52">
        <v>1.85</v>
      </c>
      <c r="K24" s="52">
        <v>358.26</v>
      </c>
      <c r="L24" s="52">
        <v>36.83</v>
      </c>
      <c r="M24" s="52">
        <v>13.01</v>
      </c>
      <c r="N24" s="52">
        <v>354.7</v>
      </c>
      <c r="O24" s="52">
        <v>0</v>
      </c>
      <c r="P24" s="52">
        <v>0.48</v>
      </c>
      <c r="Q24" s="55" t="s">
        <v>8</v>
      </c>
      <c r="R24" s="43"/>
      <c r="S24" s="43"/>
      <c r="T24" s="43"/>
      <c r="U24" s="43"/>
    </row>
    <row r="25" spans="1:21" s="11" customFormat="1" x14ac:dyDescent="0.25">
      <c r="A25" s="51" t="s">
        <v>220</v>
      </c>
      <c r="B25" s="52">
        <v>26.17</v>
      </c>
      <c r="C25" s="52">
        <v>88.76</v>
      </c>
      <c r="D25" s="52">
        <v>129.72</v>
      </c>
      <c r="E25" s="52">
        <v>19.850000000000001</v>
      </c>
      <c r="F25" s="52">
        <v>33.159999999999997</v>
      </c>
      <c r="G25" s="52">
        <v>51.16</v>
      </c>
      <c r="H25" s="52">
        <v>20.81</v>
      </c>
      <c r="I25" s="52">
        <v>4.0599999999999996</v>
      </c>
      <c r="J25" s="52">
        <v>1.31</v>
      </c>
      <c r="K25" s="52">
        <v>352.22</v>
      </c>
      <c r="L25" s="52">
        <v>335.75</v>
      </c>
      <c r="M25" s="52">
        <v>12.43</v>
      </c>
      <c r="N25" s="52">
        <v>229.9</v>
      </c>
      <c r="O25" s="52">
        <v>0</v>
      </c>
      <c r="P25" s="52">
        <v>0.68</v>
      </c>
      <c r="Q25" s="55" t="s">
        <v>8</v>
      </c>
      <c r="R25" s="43"/>
      <c r="S25" s="43"/>
      <c r="T25" s="43"/>
      <c r="U25" s="43"/>
    </row>
    <row r="26" spans="1:21" s="11" customFormat="1" x14ac:dyDescent="0.25">
      <c r="A26" s="51" t="s">
        <v>221</v>
      </c>
      <c r="B26" s="52">
        <v>20.14</v>
      </c>
      <c r="C26" s="52">
        <v>83.73</v>
      </c>
      <c r="D26" s="52">
        <v>129.36000000000001</v>
      </c>
      <c r="E26" s="52">
        <v>17.989999999999998</v>
      </c>
      <c r="F26" s="52">
        <v>32.78</v>
      </c>
      <c r="G26" s="52">
        <v>51.16</v>
      </c>
      <c r="H26" s="52">
        <v>18.32</v>
      </c>
      <c r="I26" s="52">
        <v>4.07</v>
      </c>
      <c r="J26" s="52">
        <v>0.76</v>
      </c>
      <c r="K26" s="52">
        <v>84.17</v>
      </c>
      <c r="L26" s="52">
        <v>32.6</v>
      </c>
      <c r="M26" s="52">
        <v>16.309999999999999</v>
      </c>
      <c r="N26" s="52">
        <v>101.2</v>
      </c>
      <c r="O26" s="52">
        <v>0</v>
      </c>
      <c r="P26" s="52">
        <v>0.56000000000000005</v>
      </c>
      <c r="Q26" s="55" t="s">
        <v>8</v>
      </c>
      <c r="R26" s="43"/>
      <c r="S26" s="43"/>
      <c r="T26" s="43"/>
      <c r="U26" s="43"/>
    </row>
    <row r="27" spans="1:21" s="11" customFormat="1" x14ac:dyDescent="0.25">
      <c r="A27" s="51" t="s">
        <v>222</v>
      </c>
      <c r="B27" s="52">
        <v>176.23</v>
      </c>
      <c r="C27" s="52">
        <v>261.88</v>
      </c>
      <c r="D27" s="52">
        <v>244.57</v>
      </c>
      <c r="E27" s="52">
        <v>12.07</v>
      </c>
      <c r="F27" s="52">
        <v>23.28</v>
      </c>
      <c r="G27" s="52">
        <v>58.57</v>
      </c>
      <c r="H27" s="52">
        <v>14.87</v>
      </c>
      <c r="I27" s="52">
        <v>4.2</v>
      </c>
      <c r="J27" s="52">
        <v>0.45</v>
      </c>
      <c r="K27" s="52">
        <v>313.06</v>
      </c>
      <c r="L27" s="52">
        <v>31.01</v>
      </c>
      <c r="M27" s="52">
        <v>26.11</v>
      </c>
      <c r="N27" s="52">
        <v>54.5</v>
      </c>
      <c r="O27" s="52">
        <v>0</v>
      </c>
      <c r="P27" s="52">
        <v>3.25</v>
      </c>
      <c r="Q27" s="55" t="s">
        <v>8</v>
      </c>
      <c r="R27" s="43"/>
      <c r="S27" s="43"/>
      <c r="T27" s="43"/>
      <c r="U27" s="43"/>
    </row>
    <row r="28" spans="1:21" s="11" customFormat="1" x14ac:dyDescent="0.25">
      <c r="A28" s="51" t="s">
        <v>223</v>
      </c>
      <c r="B28" s="52">
        <v>238.18</v>
      </c>
      <c r="C28" s="52">
        <v>316.11</v>
      </c>
      <c r="D28" s="52">
        <v>239.45</v>
      </c>
      <c r="E28" s="52">
        <v>13.69</v>
      </c>
      <c r="F28" s="52">
        <v>12.29</v>
      </c>
      <c r="G28" s="52">
        <v>162.22999999999999</v>
      </c>
      <c r="H28" s="52">
        <v>29.29</v>
      </c>
      <c r="I28" s="52">
        <v>4.17</v>
      </c>
      <c r="J28" s="52">
        <v>0.59</v>
      </c>
      <c r="K28" s="52">
        <v>226.25</v>
      </c>
      <c r="L28" s="52">
        <v>28.89</v>
      </c>
      <c r="M28" s="52">
        <v>28.17</v>
      </c>
      <c r="N28" s="52">
        <v>49.7</v>
      </c>
      <c r="O28" s="52">
        <v>0</v>
      </c>
      <c r="P28" s="52">
        <v>2.12</v>
      </c>
      <c r="Q28" s="55" t="s">
        <v>8</v>
      </c>
      <c r="R28" s="43"/>
      <c r="S28" s="43"/>
      <c r="T28" s="43"/>
      <c r="U28" s="43"/>
    </row>
    <row r="29" spans="1:21" s="11" customFormat="1" x14ac:dyDescent="0.25">
      <c r="A29" s="51" t="s">
        <v>224</v>
      </c>
      <c r="B29" s="52">
        <v>301.38</v>
      </c>
      <c r="C29" s="52">
        <v>345.95</v>
      </c>
      <c r="D29" s="52">
        <v>206.41</v>
      </c>
      <c r="E29" s="52">
        <v>11.73</v>
      </c>
      <c r="F29" s="52">
        <v>7.69</v>
      </c>
      <c r="G29" s="52">
        <v>162.22999999999999</v>
      </c>
      <c r="H29" s="52">
        <v>32.85</v>
      </c>
      <c r="I29" s="52">
        <v>4.1100000000000003</v>
      </c>
      <c r="J29" s="52">
        <v>0.54</v>
      </c>
      <c r="K29" s="52">
        <v>351.6</v>
      </c>
      <c r="L29" s="52">
        <v>28.23</v>
      </c>
      <c r="M29" s="52">
        <v>35.57</v>
      </c>
      <c r="N29" s="52">
        <v>50.4</v>
      </c>
      <c r="O29" s="52">
        <v>0</v>
      </c>
      <c r="P29" s="52">
        <v>4.12</v>
      </c>
      <c r="Q29" s="55" t="s">
        <v>8</v>
      </c>
      <c r="R29" s="43"/>
      <c r="S29" s="43"/>
      <c r="T29" s="43"/>
      <c r="U29" s="43"/>
    </row>
    <row r="30" spans="1:21" s="11" customFormat="1" x14ac:dyDescent="0.25">
      <c r="A30" s="51" t="s">
        <v>225</v>
      </c>
      <c r="B30" s="52">
        <v>304.61</v>
      </c>
      <c r="C30" s="52">
        <v>356.44</v>
      </c>
      <c r="D30" s="52">
        <v>214.68</v>
      </c>
      <c r="E30" s="52">
        <v>8.4499999999999993</v>
      </c>
      <c r="F30" s="52">
        <v>6.93</v>
      </c>
      <c r="G30" s="52">
        <v>154.02000000000001</v>
      </c>
      <c r="H30" s="52">
        <v>32.85</v>
      </c>
      <c r="I30" s="52">
        <v>4.07</v>
      </c>
      <c r="J30" s="52">
        <v>0.47</v>
      </c>
      <c r="K30" s="52">
        <v>353.18</v>
      </c>
      <c r="L30" s="52">
        <v>25.24</v>
      </c>
      <c r="M30" s="52">
        <v>41.34</v>
      </c>
      <c r="N30" s="52">
        <v>50.3</v>
      </c>
      <c r="O30" s="52">
        <v>0</v>
      </c>
      <c r="P30" s="52">
        <v>3.88</v>
      </c>
      <c r="Q30" s="55" t="s">
        <v>8</v>
      </c>
      <c r="R30" s="43"/>
      <c r="S30" s="43"/>
      <c r="T30" s="43"/>
      <c r="U30" s="43"/>
    </row>
    <row r="31" spans="1:21" s="11" customFormat="1" x14ac:dyDescent="0.25">
      <c r="A31" s="51" t="s">
        <v>226</v>
      </c>
      <c r="B31" s="52">
        <v>354.76</v>
      </c>
      <c r="C31" s="52">
        <v>392.16</v>
      </c>
      <c r="D31" s="52">
        <v>212.27</v>
      </c>
      <c r="E31" s="52">
        <v>8.18</v>
      </c>
      <c r="F31" s="52">
        <v>10.83</v>
      </c>
      <c r="G31" s="52">
        <v>163.16999999999999</v>
      </c>
      <c r="H31" s="52">
        <v>31.58</v>
      </c>
      <c r="I31" s="52">
        <v>4.0599999999999996</v>
      </c>
      <c r="J31" s="52">
        <v>0.81</v>
      </c>
      <c r="K31" s="52">
        <v>331.43</v>
      </c>
      <c r="L31" s="52">
        <v>26.16</v>
      </c>
      <c r="M31" s="52">
        <v>42.62</v>
      </c>
      <c r="N31" s="52">
        <v>51.1</v>
      </c>
      <c r="O31" s="52">
        <v>0</v>
      </c>
      <c r="P31" s="52">
        <v>3.87</v>
      </c>
      <c r="Q31" s="55" t="s">
        <v>8</v>
      </c>
      <c r="R31" s="43"/>
      <c r="S31" s="43"/>
      <c r="T31" s="43"/>
      <c r="U31" s="43"/>
    </row>
    <row r="32" spans="1:21" s="11" customFormat="1" x14ac:dyDescent="0.25">
      <c r="A32" s="51" t="s">
        <v>227</v>
      </c>
      <c r="B32" s="52">
        <v>147.97</v>
      </c>
      <c r="C32" s="52">
        <v>215.63</v>
      </c>
      <c r="D32" s="52">
        <v>185.6</v>
      </c>
      <c r="E32" s="52">
        <v>7.48</v>
      </c>
      <c r="F32" s="52">
        <v>12.89</v>
      </c>
      <c r="G32" s="52">
        <v>163.16999999999999</v>
      </c>
      <c r="H32" s="52">
        <v>31.56</v>
      </c>
      <c r="I32" s="52">
        <v>4.1399999999999997</v>
      </c>
      <c r="J32" s="52">
        <v>0.49</v>
      </c>
      <c r="K32" s="52">
        <v>336.14</v>
      </c>
      <c r="L32" s="52">
        <v>25.71</v>
      </c>
      <c r="M32" s="52">
        <v>38.25</v>
      </c>
      <c r="N32" s="52">
        <v>52.2</v>
      </c>
      <c r="O32" s="52">
        <v>0</v>
      </c>
      <c r="P32" s="52">
        <v>1.88</v>
      </c>
      <c r="Q32" s="55" t="s">
        <v>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3.12</v>
      </c>
      <c r="C34" s="28">
        <f t="shared" si="0"/>
        <v>42.3</v>
      </c>
      <c r="D34" s="28">
        <f t="shared" si="0"/>
        <v>73.25</v>
      </c>
      <c r="E34" s="28">
        <f t="shared" si="0"/>
        <v>2.85</v>
      </c>
      <c r="F34" s="28">
        <f t="shared" si="0"/>
        <v>6.77</v>
      </c>
      <c r="G34" s="28">
        <f t="shared" si="0"/>
        <v>51.16</v>
      </c>
      <c r="H34" s="28">
        <f t="shared" si="0"/>
        <v>14.87</v>
      </c>
      <c r="I34" s="28">
        <f t="shared" si="0"/>
        <v>3.96</v>
      </c>
      <c r="J34" s="28">
        <f t="shared" si="0"/>
        <v>0.36</v>
      </c>
      <c r="K34" s="28">
        <f t="shared" si="0"/>
        <v>84.17</v>
      </c>
      <c r="L34" s="28">
        <f t="shared" si="0"/>
        <v>20.18</v>
      </c>
      <c r="M34" s="28">
        <f t="shared" si="0"/>
        <v>12.43</v>
      </c>
      <c r="N34" s="28">
        <f t="shared" si="0"/>
        <v>34</v>
      </c>
      <c r="O34" s="28">
        <f t="shared" si="0"/>
        <v>0</v>
      </c>
      <c r="P34" s="28">
        <f t="shared" si="0"/>
        <v>0.48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354.76</v>
      </c>
      <c r="C35" s="29">
        <f t="shared" si="1"/>
        <v>392.16</v>
      </c>
      <c r="D35" s="29">
        <f t="shared" si="1"/>
        <v>244.57</v>
      </c>
      <c r="E35" s="29">
        <f t="shared" si="1"/>
        <v>19.850000000000001</v>
      </c>
      <c r="F35" s="29">
        <f t="shared" si="1"/>
        <v>33.89</v>
      </c>
      <c r="G35" s="29">
        <f t="shared" si="1"/>
        <v>163.16999999999999</v>
      </c>
      <c r="H35" s="29">
        <f t="shared" si="1"/>
        <v>56.14</v>
      </c>
      <c r="I35" s="29">
        <f t="shared" si="1"/>
        <v>4.25</v>
      </c>
      <c r="J35" s="29">
        <f t="shared" si="1"/>
        <v>1.85</v>
      </c>
      <c r="K35" s="29">
        <f t="shared" si="1"/>
        <v>358.26</v>
      </c>
      <c r="L35" s="29">
        <f t="shared" si="1"/>
        <v>335.75</v>
      </c>
      <c r="M35" s="29">
        <f t="shared" si="1"/>
        <v>57.71</v>
      </c>
      <c r="N35" s="29">
        <f t="shared" si="1"/>
        <v>948.6</v>
      </c>
      <c r="O35" s="29">
        <f t="shared" si="1"/>
        <v>0</v>
      </c>
      <c r="P35" s="29">
        <f t="shared" si="1"/>
        <v>4.12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83.764166666666668</v>
      </c>
      <c r="C36" s="28">
        <f t="shared" si="2"/>
        <v>133.61958333333334</v>
      </c>
      <c r="D36" s="28">
        <f t="shared" si="2"/>
        <v>129.73916666666665</v>
      </c>
      <c r="E36" s="28">
        <f t="shared" si="2"/>
        <v>8.1249999999999982</v>
      </c>
      <c r="F36" s="28">
        <f t="shared" si="2"/>
        <v>15.056249999999997</v>
      </c>
      <c r="G36" s="28">
        <f t="shared" si="2"/>
        <v>93.636666666666656</v>
      </c>
      <c r="H36" s="28">
        <f t="shared" si="2"/>
        <v>29.93416666666667</v>
      </c>
      <c r="I36" s="28">
        <f t="shared" si="2"/>
        <v>4.1154166666666674</v>
      </c>
      <c r="J36" s="28">
        <f t="shared" si="2"/>
        <v>0.87666666666666648</v>
      </c>
      <c r="K36" s="28">
        <f t="shared" si="2"/>
        <v>295.16958333333343</v>
      </c>
      <c r="L36" s="28">
        <f t="shared" si="2"/>
        <v>41.406666666666673</v>
      </c>
      <c r="M36" s="28">
        <f t="shared" si="2"/>
        <v>34.466249999999995</v>
      </c>
      <c r="N36" s="28">
        <f t="shared" si="2"/>
        <v>307.50833333333327</v>
      </c>
      <c r="O36" s="28">
        <f t="shared" si="2"/>
        <v>0</v>
      </c>
      <c r="P36" s="28">
        <f t="shared" si="2"/>
        <v>1.4566666666666668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108.57426998890293</v>
      </c>
      <c r="C37" s="28">
        <f t="shared" ref="C37:Q37" si="3">STDEV(C9:C32)</f>
        <v>112.76032641342572</v>
      </c>
      <c r="D37" s="28">
        <f t="shared" si="3"/>
        <v>55.045181830507424</v>
      </c>
      <c r="E37" s="28">
        <f t="shared" si="3"/>
        <v>4.7164070702361922</v>
      </c>
      <c r="F37" s="28">
        <f t="shared" si="3"/>
        <v>9.6124556028827239</v>
      </c>
      <c r="G37" s="28">
        <f t="shared" si="3"/>
        <v>38.719770443384689</v>
      </c>
      <c r="H37" s="28">
        <f t="shared" si="3"/>
        <v>10.042520433968077</v>
      </c>
      <c r="I37" s="28">
        <f t="shared" si="3"/>
        <v>6.2344008231095045E-2</v>
      </c>
      <c r="J37" s="28">
        <f t="shared" si="3"/>
        <v>0.41929201888594247</v>
      </c>
      <c r="K37" s="28">
        <f t="shared" si="3"/>
        <v>64.102057246995116</v>
      </c>
      <c r="L37" s="28">
        <f t="shared" si="3"/>
        <v>62.982710510015401</v>
      </c>
      <c r="M37" s="28">
        <f t="shared" si="3"/>
        <v>15.107956387137623</v>
      </c>
      <c r="N37" s="28">
        <f t="shared" si="3"/>
        <v>348.54475717420166</v>
      </c>
      <c r="O37" s="28">
        <f t="shared" si="3"/>
        <v>0</v>
      </c>
      <c r="P37" s="28">
        <f t="shared" si="3"/>
        <v>1.1340794645367924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COUNT(Q9:Q32)+24</f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08/04/2025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228</v>
      </c>
      <c r="B9" s="52">
        <v>90.58</v>
      </c>
      <c r="C9" s="52">
        <v>142.83000000000001</v>
      </c>
      <c r="D9" s="52">
        <v>137.07</v>
      </c>
      <c r="E9" s="52">
        <v>4.8899999999999997</v>
      </c>
      <c r="F9" s="52">
        <v>8.48</v>
      </c>
      <c r="G9" s="52">
        <v>104.13</v>
      </c>
      <c r="H9" s="52">
        <v>28.76</v>
      </c>
      <c r="I9" s="52">
        <v>4.0199999999999996</v>
      </c>
      <c r="J9" s="52">
        <v>0.59</v>
      </c>
      <c r="K9" s="52">
        <v>331.23</v>
      </c>
      <c r="L9" s="52">
        <v>24.34</v>
      </c>
      <c r="M9" s="52">
        <v>45.03</v>
      </c>
      <c r="N9" s="52">
        <v>52.5</v>
      </c>
      <c r="O9" s="52">
        <v>0</v>
      </c>
      <c r="P9" s="52">
        <v>1.63</v>
      </c>
      <c r="Q9" s="53" t="s">
        <v>15</v>
      </c>
      <c r="R9" s="43"/>
      <c r="S9" s="43"/>
      <c r="T9" s="43"/>
      <c r="U9" s="43"/>
    </row>
    <row r="10" spans="1:21" s="11" customFormat="1" x14ac:dyDescent="0.25">
      <c r="A10" s="51" t="s">
        <v>229</v>
      </c>
      <c r="B10" s="52">
        <v>82.81</v>
      </c>
      <c r="C10" s="52">
        <v>132.16</v>
      </c>
      <c r="D10" s="52">
        <v>129.84</v>
      </c>
      <c r="E10" s="52">
        <v>4.24</v>
      </c>
      <c r="F10" s="52">
        <v>7.07</v>
      </c>
      <c r="G10" s="52">
        <v>104.13</v>
      </c>
      <c r="H10" s="52">
        <v>28.76</v>
      </c>
      <c r="I10" s="52">
        <v>4.07</v>
      </c>
      <c r="J10" s="52">
        <v>0.64</v>
      </c>
      <c r="K10" s="52">
        <v>341.89</v>
      </c>
      <c r="L10" s="52">
        <v>23.28</v>
      </c>
      <c r="M10" s="52">
        <v>51.69</v>
      </c>
      <c r="N10" s="52">
        <v>52.4</v>
      </c>
      <c r="O10" s="52">
        <v>0</v>
      </c>
      <c r="P10" s="52">
        <v>1.33</v>
      </c>
      <c r="Q10" s="53" t="s">
        <v>15</v>
      </c>
      <c r="R10" s="43"/>
      <c r="S10" s="43"/>
      <c r="T10" s="43"/>
      <c r="U10" s="43"/>
    </row>
    <row r="11" spans="1:21" s="11" customFormat="1" x14ac:dyDescent="0.25">
      <c r="A11" s="51" t="s">
        <v>230</v>
      </c>
      <c r="B11" s="52">
        <v>35.299999999999997</v>
      </c>
      <c r="C11" s="52">
        <v>73.16</v>
      </c>
      <c r="D11" s="52">
        <v>89.65</v>
      </c>
      <c r="E11" s="52">
        <v>3.72</v>
      </c>
      <c r="F11" s="52">
        <v>11.6</v>
      </c>
      <c r="G11" s="52">
        <v>91.61</v>
      </c>
      <c r="H11" s="52">
        <v>25.91</v>
      </c>
      <c r="I11" s="52">
        <v>4.0599999999999996</v>
      </c>
      <c r="J11" s="52">
        <v>1</v>
      </c>
      <c r="K11" s="52">
        <v>297.19</v>
      </c>
      <c r="L11" s="52">
        <v>23.24</v>
      </c>
      <c r="M11" s="52">
        <v>50.85</v>
      </c>
      <c r="N11" s="52">
        <v>53</v>
      </c>
      <c r="O11" s="52">
        <v>0</v>
      </c>
      <c r="P11" s="52">
        <v>0.83</v>
      </c>
      <c r="Q11" s="53" t="s">
        <v>15</v>
      </c>
      <c r="R11" s="43"/>
      <c r="S11" s="43"/>
      <c r="T11" s="43"/>
      <c r="U11" s="43"/>
    </row>
    <row r="12" spans="1:21" s="11" customFormat="1" x14ac:dyDescent="0.25">
      <c r="A12" s="51" t="s">
        <v>231</v>
      </c>
      <c r="B12" s="52">
        <v>39.659999999999997</v>
      </c>
      <c r="C12" s="52">
        <v>67.790000000000006</v>
      </c>
      <c r="D12" s="52">
        <v>87.81</v>
      </c>
      <c r="E12" s="52">
        <v>4.37</v>
      </c>
      <c r="F12" s="52">
        <v>17.22</v>
      </c>
      <c r="G12" s="52">
        <v>78.23</v>
      </c>
      <c r="H12" s="52">
        <v>25.28</v>
      </c>
      <c r="I12" s="52">
        <v>4.05</v>
      </c>
      <c r="J12" s="52">
        <v>0.8</v>
      </c>
      <c r="K12" s="52">
        <v>155.16999999999999</v>
      </c>
      <c r="L12" s="52">
        <v>24.15</v>
      </c>
      <c r="M12" s="52">
        <v>47.41</v>
      </c>
      <c r="N12" s="52">
        <v>52.5</v>
      </c>
      <c r="O12" s="52">
        <v>0</v>
      </c>
      <c r="P12" s="52">
        <v>0.75</v>
      </c>
      <c r="Q12" s="53" t="s">
        <v>15</v>
      </c>
      <c r="R12" s="43"/>
      <c r="S12" s="43"/>
      <c r="T12" s="43"/>
      <c r="U12" s="43"/>
    </row>
    <row r="13" spans="1:21" s="11" customFormat="1" x14ac:dyDescent="0.25">
      <c r="A13" s="51" t="s">
        <v>232</v>
      </c>
      <c r="B13" s="52">
        <v>59.32</v>
      </c>
      <c r="C13" s="52">
        <v>95.84</v>
      </c>
      <c r="D13" s="52">
        <v>93.68</v>
      </c>
      <c r="E13" s="52">
        <v>3.2</v>
      </c>
      <c r="F13" s="52">
        <v>9.64</v>
      </c>
      <c r="G13" s="52">
        <v>63.31</v>
      </c>
      <c r="H13" s="52">
        <v>24.32</v>
      </c>
      <c r="I13" s="52">
        <v>4.09</v>
      </c>
      <c r="J13" s="52">
        <v>1.4</v>
      </c>
      <c r="K13" s="52">
        <v>196.31</v>
      </c>
      <c r="L13" s="52">
        <v>23.36</v>
      </c>
      <c r="M13" s="52">
        <v>43.64</v>
      </c>
      <c r="N13" s="52">
        <v>52.6</v>
      </c>
      <c r="O13" s="52">
        <v>0</v>
      </c>
      <c r="P13" s="52">
        <v>1.1100000000000001</v>
      </c>
      <c r="Q13" s="53" t="s">
        <v>15</v>
      </c>
      <c r="R13" s="43"/>
      <c r="S13" s="43"/>
      <c r="T13" s="43"/>
      <c r="U13" s="43"/>
    </row>
    <row r="14" spans="1:21" s="11" customFormat="1" x14ac:dyDescent="0.25">
      <c r="A14" s="51" t="s">
        <v>233</v>
      </c>
      <c r="B14" s="52">
        <v>47.38</v>
      </c>
      <c r="C14" s="52">
        <v>86.66</v>
      </c>
      <c r="D14" s="52">
        <v>93.36</v>
      </c>
      <c r="E14" s="52">
        <v>2.66</v>
      </c>
      <c r="F14" s="52">
        <v>7</v>
      </c>
      <c r="G14" s="52">
        <v>50.49</v>
      </c>
      <c r="H14" s="52">
        <v>20.67</v>
      </c>
      <c r="I14" s="52">
        <v>4</v>
      </c>
      <c r="J14" s="52">
        <v>1.56</v>
      </c>
      <c r="K14" s="52">
        <v>175.24</v>
      </c>
      <c r="L14" s="52">
        <v>22.46</v>
      </c>
      <c r="M14" s="52">
        <v>50.08</v>
      </c>
      <c r="N14" s="52">
        <v>61.3</v>
      </c>
      <c r="O14" s="52">
        <v>0</v>
      </c>
      <c r="P14" s="52">
        <v>0.99</v>
      </c>
      <c r="Q14" s="53" t="s">
        <v>15</v>
      </c>
      <c r="R14" s="43"/>
      <c r="S14" s="43"/>
      <c r="T14" s="43"/>
      <c r="U14" s="43"/>
    </row>
    <row r="15" spans="1:21" s="11" customFormat="1" x14ac:dyDescent="0.25">
      <c r="A15" s="51" t="s">
        <v>234</v>
      </c>
      <c r="B15" s="52">
        <v>31.47</v>
      </c>
      <c r="C15" s="52">
        <v>73.59</v>
      </c>
      <c r="D15" s="52">
        <v>92.55</v>
      </c>
      <c r="E15" s="52">
        <v>2.72</v>
      </c>
      <c r="F15" s="52">
        <v>9.52</v>
      </c>
      <c r="G15" s="52">
        <v>43.05</v>
      </c>
      <c r="H15" s="52">
        <v>19.18</v>
      </c>
      <c r="I15" s="52">
        <v>4.13</v>
      </c>
      <c r="J15" s="52">
        <v>0.74</v>
      </c>
      <c r="K15" s="52">
        <v>218.85</v>
      </c>
      <c r="L15" s="52">
        <v>21.86</v>
      </c>
      <c r="M15" s="52">
        <v>56.11</v>
      </c>
      <c r="N15" s="52">
        <v>178.8</v>
      </c>
      <c r="O15" s="52">
        <v>0</v>
      </c>
      <c r="P15" s="52">
        <v>0.82</v>
      </c>
      <c r="Q15" s="53" t="s">
        <v>15</v>
      </c>
      <c r="R15" s="43"/>
      <c r="S15" s="43"/>
      <c r="T15" s="43"/>
      <c r="U15" s="43"/>
    </row>
    <row r="16" spans="1:21" s="11" customFormat="1" x14ac:dyDescent="0.25">
      <c r="A16" s="51" t="s">
        <v>235</v>
      </c>
      <c r="B16" s="52">
        <v>24.98</v>
      </c>
      <c r="C16" s="52">
        <v>63.33</v>
      </c>
      <c r="D16" s="52">
        <v>86.02</v>
      </c>
      <c r="E16" s="52">
        <v>3.94</v>
      </c>
      <c r="F16" s="52">
        <v>11.54</v>
      </c>
      <c r="G16" s="52">
        <v>52.75</v>
      </c>
      <c r="H16" s="52">
        <v>19.18</v>
      </c>
      <c r="I16" s="52">
        <v>4.0999999999999996</v>
      </c>
      <c r="J16" s="52">
        <v>1.42</v>
      </c>
      <c r="K16" s="52">
        <v>211.1</v>
      </c>
      <c r="L16" s="52">
        <v>25.59</v>
      </c>
      <c r="M16" s="52">
        <v>57.74</v>
      </c>
      <c r="N16" s="52">
        <v>400.4</v>
      </c>
      <c r="O16" s="52">
        <v>0</v>
      </c>
      <c r="P16" s="52">
        <v>0.84</v>
      </c>
      <c r="Q16" s="53" t="s">
        <v>15</v>
      </c>
      <c r="R16" s="43"/>
      <c r="S16" s="43"/>
      <c r="T16" s="43"/>
      <c r="U16" s="43"/>
    </row>
    <row r="17" spans="1:21" s="11" customFormat="1" x14ac:dyDescent="0.25">
      <c r="A17" s="51" t="s">
        <v>236</v>
      </c>
      <c r="B17" s="52">
        <v>16.21</v>
      </c>
      <c r="C17" s="52">
        <v>58.38</v>
      </c>
      <c r="D17" s="52">
        <v>89.2</v>
      </c>
      <c r="E17" s="52">
        <v>3.52</v>
      </c>
      <c r="F17" s="52">
        <v>11.6</v>
      </c>
      <c r="G17" s="52">
        <v>52.75</v>
      </c>
      <c r="H17" s="52">
        <v>18.649999999999999</v>
      </c>
      <c r="I17" s="52">
        <v>4.09</v>
      </c>
      <c r="J17" s="52">
        <v>0.87</v>
      </c>
      <c r="K17" s="52">
        <v>238.61</v>
      </c>
      <c r="L17" s="52">
        <v>27.68</v>
      </c>
      <c r="M17" s="52">
        <v>48.6</v>
      </c>
      <c r="N17" s="52">
        <v>630.70000000000005</v>
      </c>
      <c r="O17" s="52">
        <v>0</v>
      </c>
      <c r="P17" s="52">
        <v>0.76</v>
      </c>
      <c r="Q17" s="53" t="s">
        <v>15</v>
      </c>
      <c r="R17" s="43"/>
      <c r="S17" s="43"/>
      <c r="T17" s="43"/>
      <c r="U17" s="43"/>
    </row>
    <row r="18" spans="1:21" s="11" customFormat="1" x14ac:dyDescent="0.25">
      <c r="A18" s="51" t="s">
        <v>237</v>
      </c>
      <c r="B18" s="52">
        <v>8.84</v>
      </c>
      <c r="C18" s="52">
        <v>54.66</v>
      </c>
      <c r="D18" s="52">
        <v>93.54</v>
      </c>
      <c r="E18" s="52">
        <v>3.38</v>
      </c>
      <c r="F18" s="52">
        <v>10.31</v>
      </c>
      <c r="G18" s="52">
        <v>38.86</v>
      </c>
      <c r="H18" s="52">
        <v>18.649999999999999</v>
      </c>
      <c r="I18" s="52">
        <v>4.18</v>
      </c>
      <c r="J18" s="52">
        <v>1.07</v>
      </c>
      <c r="K18" s="52">
        <v>213.92</v>
      </c>
      <c r="L18" s="52">
        <v>29.74</v>
      </c>
      <c r="M18" s="52">
        <v>44.52</v>
      </c>
      <c r="N18" s="52">
        <v>785.1</v>
      </c>
      <c r="O18" s="52">
        <v>0</v>
      </c>
      <c r="P18" s="52">
        <v>0.69</v>
      </c>
      <c r="Q18" s="53" t="s">
        <v>15</v>
      </c>
      <c r="R18" s="43"/>
      <c r="S18" s="43"/>
      <c r="T18" s="43"/>
      <c r="U18" s="43"/>
    </row>
    <row r="19" spans="1:21" s="11" customFormat="1" x14ac:dyDescent="0.25">
      <c r="A19" s="51" t="s">
        <v>238</v>
      </c>
      <c r="B19" s="52">
        <v>4.3099999999999996</v>
      </c>
      <c r="C19" s="52">
        <v>49.35</v>
      </c>
      <c r="D19" s="52">
        <v>87.83</v>
      </c>
      <c r="E19" s="52">
        <v>3.73</v>
      </c>
      <c r="F19" s="52">
        <v>12.6</v>
      </c>
      <c r="G19" s="52">
        <v>38.26</v>
      </c>
      <c r="H19" s="52">
        <v>16.27</v>
      </c>
      <c r="I19" s="52">
        <v>4</v>
      </c>
      <c r="J19" s="52">
        <v>0.81</v>
      </c>
      <c r="K19" s="52">
        <v>294.10000000000002</v>
      </c>
      <c r="L19" s="52">
        <v>32.6</v>
      </c>
      <c r="M19" s="52">
        <v>40.65</v>
      </c>
      <c r="N19" s="52">
        <v>872.4</v>
      </c>
      <c r="O19" s="52">
        <v>0</v>
      </c>
      <c r="P19" s="52">
        <v>0.57999999999999996</v>
      </c>
      <c r="Q19" s="53" t="s">
        <v>15</v>
      </c>
      <c r="R19" s="43"/>
      <c r="S19" s="43"/>
      <c r="T19" s="43"/>
      <c r="U19" s="43"/>
    </row>
    <row r="20" spans="1:21" s="11" customFormat="1" x14ac:dyDescent="0.25">
      <c r="A20" s="51" t="s">
        <v>239</v>
      </c>
      <c r="B20" s="52">
        <v>6.91</v>
      </c>
      <c r="C20" s="52">
        <v>48.37</v>
      </c>
      <c r="D20" s="52">
        <v>81.97</v>
      </c>
      <c r="E20" s="52">
        <v>4.01</v>
      </c>
      <c r="F20" s="52">
        <v>15.38</v>
      </c>
      <c r="G20" s="52">
        <v>38.26</v>
      </c>
      <c r="H20" s="52">
        <v>10.73</v>
      </c>
      <c r="I20" s="52">
        <v>4.18</v>
      </c>
      <c r="J20" s="52">
        <v>0.85</v>
      </c>
      <c r="K20" s="52">
        <v>303.13</v>
      </c>
      <c r="L20" s="52">
        <v>35.82</v>
      </c>
      <c r="M20" s="52">
        <v>30.04</v>
      </c>
      <c r="N20" s="52">
        <v>911</v>
      </c>
      <c r="O20" s="52">
        <v>0</v>
      </c>
      <c r="P20" s="52">
        <v>0.54</v>
      </c>
      <c r="Q20" s="53" t="s">
        <v>15</v>
      </c>
      <c r="R20" s="43"/>
      <c r="S20" s="43"/>
      <c r="T20" s="43"/>
      <c r="U20" s="43"/>
    </row>
    <row r="21" spans="1:21" s="11" customFormat="1" x14ac:dyDescent="0.25">
      <c r="A21" s="51" t="s">
        <v>240</v>
      </c>
      <c r="B21" s="52">
        <v>5.78</v>
      </c>
      <c r="C21" s="52">
        <v>45.32</v>
      </c>
      <c r="D21" s="52">
        <v>81.11</v>
      </c>
      <c r="E21" s="52">
        <v>5.8</v>
      </c>
      <c r="F21" s="52">
        <v>18.62</v>
      </c>
      <c r="G21" s="52">
        <v>38.75</v>
      </c>
      <c r="H21" s="52">
        <v>7.19</v>
      </c>
      <c r="I21" s="52">
        <v>3.96</v>
      </c>
      <c r="J21" s="52">
        <v>1.01</v>
      </c>
      <c r="K21" s="52">
        <v>312.91000000000003</v>
      </c>
      <c r="L21" s="52">
        <v>36.119999999999997</v>
      </c>
      <c r="M21" s="52">
        <v>28.33</v>
      </c>
      <c r="N21" s="52">
        <v>898.1</v>
      </c>
      <c r="O21" s="52">
        <v>0</v>
      </c>
      <c r="P21" s="52">
        <v>0.52</v>
      </c>
      <c r="Q21" s="53" t="s">
        <v>15</v>
      </c>
      <c r="R21" s="43"/>
      <c r="S21" s="43"/>
      <c r="T21" s="43"/>
      <c r="U21" s="43"/>
    </row>
    <row r="22" spans="1:21" s="11" customFormat="1" x14ac:dyDescent="0.25">
      <c r="A22" s="51" t="s">
        <v>241</v>
      </c>
      <c r="B22" s="52">
        <v>2.77</v>
      </c>
      <c r="C22" s="52">
        <v>44.82</v>
      </c>
      <c r="D22" s="52">
        <v>83.26</v>
      </c>
      <c r="E22" s="52">
        <v>12.66</v>
      </c>
      <c r="F22" s="52">
        <v>33.32</v>
      </c>
      <c r="G22" s="52">
        <v>38.75</v>
      </c>
      <c r="H22" s="52">
        <v>5.49</v>
      </c>
      <c r="I22" s="52">
        <v>4.08</v>
      </c>
      <c r="J22" s="52">
        <v>0.8</v>
      </c>
      <c r="K22" s="52">
        <v>311.81</v>
      </c>
      <c r="L22" s="52">
        <v>35.99</v>
      </c>
      <c r="M22" s="52">
        <v>23.86</v>
      </c>
      <c r="N22" s="52">
        <v>819.3</v>
      </c>
      <c r="O22" s="52">
        <v>0</v>
      </c>
      <c r="P22" s="52">
        <v>0.67</v>
      </c>
      <c r="Q22" s="53" t="s">
        <v>15</v>
      </c>
      <c r="R22" s="43"/>
      <c r="S22" s="43"/>
      <c r="T22" s="43"/>
      <c r="U22" s="43"/>
    </row>
    <row r="23" spans="1:21" s="11" customFormat="1" x14ac:dyDescent="0.25">
      <c r="A23" s="51" t="s">
        <v>242</v>
      </c>
      <c r="B23" s="52">
        <v>1.21</v>
      </c>
      <c r="C23" s="52">
        <v>38.56</v>
      </c>
      <c r="D23" s="52">
        <v>71.95</v>
      </c>
      <c r="E23" s="52">
        <v>10.62</v>
      </c>
      <c r="F23" s="52">
        <v>28.98</v>
      </c>
      <c r="G23" s="52">
        <v>49.18</v>
      </c>
      <c r="H23" s="52">
        <v>3.84</v>
      </c>
      <c r="I23" s="52">
        <v>4.08</v>
      </c>
      <c r="J23" s="52">
        <v>0.47</v>
      </c>
      <c r="K23" s="52">
        <v>283.76</v>
      </c>
      <c r="L23" s="52">
        <v>38.409999999999997</v>
      </c>
      <c r="M23" s="52">
        <v>25.71</v>
      </c>
      <c r="N23" s="52">
        <v>561.29999999999995</v>
      </c>
      <c r="O23" s="52">
        <v>0</v>
      </c>
      <c r="P23" s="52">
        <v>0.63</v>
      </c>
      <c r="Q23" s="53" t="s">
        <v>15</v>
      </c>
      <c r="R23" s="43"/>
      <c r="S23" s="43"/>
      <c r="T23" s="43"/>
      <c r="U23" s="43"/>
    </row>
    <row r="24" spans="1:21" s="11" customFormat="1" x14ac:dyDescent="0.25">
      <c r="A24" s="51" t="s">
        <v>243</v>
      </c>
      <c r="B24" s="52">
        <v>2.93</v>
      </c>
      <c r="C24" s="52">
        <v>36.35</v>
      </c>
      <c r="D24" s="52">
        <v>65.069999999999993</v>
      </c>
      <c r="E24" s="52">
        <v>12.46</v>
      </c>
      <c r="F24" s="52">
        <v>38.92</v>
      </c>
      <c r="G24" s="52">
        <v>49.18</v>
      </c>
      <c r="H24" s="52">
        <v>18.43</v>
      </c>
      <c r="I24" s="52">
        <v>4.04</v>
      </c>
      <c r="J24" s="52">
        <v>1.28</v>
      </c>
      <c r="K24" s="52">
        <v>200.58</v>
      </c>
      <c r="L24" s="52">
        <v>37.020000000000003</v>
      </c>
      <c r="M24" s="52">
        <v>25.63</v>
      </c>
      <c r="N24" s="52">
        <v>388.7</v>
      </c>
      <c r="O24" s="52">
        <v>0</v>
      </c>
      <c r="P24" s="52">
        <v>0.5</v>
      </c>
      <c r="Q24" s="53" t="s">
        <v>15</v>
      </c>
      <c r="R24" s="43"/>
      <c r="S24" s="43"/>
      <c r="T24" s="43"/>
      <c r="U24" s="43"/>
    </row>
    <row r="25" spans="1:21" s="11" customFormat="1" x14ac:dyDescent="0.25">
      <c r="A25" s="51" t="s">
        <v>244</v>
      </c>
      <c r="B25" s="52">
        <v>3.58</v>
      </c>
      <c r="C25" s="52">
        <v>36.01</v>
      </c>
      <c r="D25" s="52">
        <v>63.43</v>
      </c>
      <c r="E25" s="52">
        <v>9.83</v>
      </c>
      <c r="F25" s="52">
        <v>36.36</v>
      </c>
      <c r="G25" s="52">
        <v>54.6</v>
      </c>
      <c r="H25" s="52">
        <v>27.88</v>
      </c>
      <c r="I25" s="52">
        <v>4.09</v>
      </c>
      <c r="J25" s="52">
        <v>0.96</v>
      </c>
      <c r="K25" s="52">
        <v>195.21</v>
      </c>
      <c r="L25" s="52">
        <v>35.76</v>
      </c>
      <c r="M25" s="52">
        <v>25.21</v>
      </c>
      <c r="N25" s="52">
        <v>194.9</v>
      </c>
      <c r="O25" s="52">
        <v>0</v>
      </c>
      <c r="P25" s="52">
        <v>0.5</v>
      </c>
      <c r="Q25" s="53" t="s">
        <v>15</v>
      </c>
      <c r="R25" s="43"/>
      <c r="S25" s="43"/>
      <c r="T25" s="43"/>
      <c r="U25" s="43"/>
    </row>
    <row r="26" spans="1:21" s="11" customFormat="1" x14ac:dyDescent="0.25">
      <c r="A26" s="51" t="s">
        <v>245</v>
      </c>
      <c r="B26" s="52">
        <v>3.63</v>
      </c>
      <c r="C26" s="52">
        <v>70.66</v>
      </c>
      <c r="D26" s="52">
        <v>129.68</v>
      </c>
      <c r="E26" s="52">
        <v>9.58</v>
      </c>
      <c r="F26" s="52">
        <v>31.75</v>
      </c>
      <c r="G26" s="52">
        <v>54.6</v>
      </c>
      <c r="H26" s="52">
        <v>27.88</v>
      </c>
      <c r="I26" s="52">
        <v>4.66</v>
      </c>
      <c r="J26" s="52">
        <v>1.54</v>
      </c>
      <c r="K26" s="52">
        <v>172.97</v>
      </c>
      <c r="L26" s="52">
        <v>35.11</v>
      </c>
      <c r="M26" s="52">
        <v>26.88</v>
      </c>
      <c r="N26" s="52">
        <v>111.5</v>
      </c>
      <c r="O26" s="52">
        <v>0</v>
      </c>
      <c r="P26" s="52">
        <v>0.46</v>
      </c>
      <c r="Q26" s="53" t="s">
        <v>15</v>
      </c>
      <c r="R26" s="43"/>
      <c r="S26" s="43"/>
      <c r="T26" s="43"/>
      <c r="U26" s="43"/>
    </row>
    <row r="27" spans="1:21" s="11" customFormat="1" x14ac:dyDescent="0.25">
      <c r="A27" s="51" t="s">
        <v>246</v>
      </c>
      <c r="B27" s="52">
        <v>49.24</v>
      </c>
      <c r="C27" s="52">
        <v>133.41</v>
      </c>
      <c r="D27" s="52">
        <v>203.58</v>
      </c>
      <c r="E27" s="52">
        <v>7.95</v>
      </c>
      <c r="F27" s="52">
        <v>26.14</v>
      </c>
      <c r="G27" s="52">
        <v>61.77</v>
      </c>
      <c r="H27" s="52">
        <v>25.58</v>
      </c>
      <c r="I27" s="52">
        <v>4.1100000000000003</v>
      </c>
      <c r="J27" s="52">
        <v>0.59</v>
      </c>
      <c r="K27" s="52">
        <v>243.67</v>
      </c>
      <c r="L27" s="52">
        <v>33.76</v>
      </c>
      <c r="M27" s="52">
        <v>32.79</v>
      </c>
      <c r="N27" s="52">
        <v>58.5</v>
      </c>
      <c r="O27" s="52">
        <v>0</v>
      </c>
      <c r="P27" s="52">
        <v>1.43</v>
      </c>
      <c r="Q27" s="53" t="s">
        <v>15</v>
      </c>
      <c r="R27" s="43"/>
      <c r="S27" s="43"/>
      <c r="T27" s="43"/>
      <c r="U27" s="43"/>
    </row>
    <row r="28" spans="1:21" s="11" customFormat="1" x14ac:dyDescent="0.25">
      <c r="A28" s="51" t="s">
        <v>247</v>
      </c>
      <c r="B28" s="52">
        <v>233.51</v>
      </c>
      <c r="C28" s="52">
        <v>296.77</v>
      </c>
      <c r="D28" s="52">
        <v>229.89</v>
      </c>
      <c r="E28" s="52">
        <v>7.62</v>
      </c>
      <c r="F28" s="52">
        <v>7.51</v>
      </c>
      <c r="G28" s="52">
        <v>100.01</v>
      </c>
      <c r="H28" s="52">
        <v>27.21</v>
      </c>
      <c r="I28" s="52">
        <v>4.04</v>
      </c>
      <c r="J28" s="52">
        <v>0.48</v>
      </c>
      <c r="K28" s="52">
        <v>339.07</v>
      </c>
      <c r="L28" s="52">
        <v>31.79</v>
      </c>
      <c r="M28" s="52">
        <v>41.12</v>
      </c>
      <c r="N28" s="52">
        <v>54.7</v>
      </c>
      <c r="O28" s="52">
        <v>0</v>
      </c>
      <c r="P28" s="52">
        <v>4.71</v>
      </c>
      <c r="Q28" s="53" t="s">
        <v>15</v>
      </c>
      <c r="R28" s="43"/>
      <c r="S28" s="43"/>
      <c r="T28" s="43"/>
      <c r="U28" s="43"/>
    </row>
    <row r="29" spans="1:21" s="11" customFormat="1" x14ac:dyDescent="0.25">
      <c r="A29" s="51" t="s">
        <v>248</v>
      </c>
      <c r="B29" s="52">
        <v>216.82</v>
      </c>
      <c r="C29" s="52">
        <v>280.17</v>
      </c>
      <c r="D29" s="52">
        <v>203.46</v>
      </c>
      <c r="E29" s="52">
        <v>7.39</v>
      </c>
      <c r="F29" s="52">
        <v>21.05</v>
      </c>
      <c r="G29" s="52">
        <v>108.42</v>
      </c>
      <c r="H29" s="52">
        <v>30.33</v>
      </c>
      <c r="I29" s="52">
        <v>4.04</v>
      </c>
      <c r="J29" s="52">
        <v>0.54</v>
      </c>
      <c r="K29" s="52">
        <v>334.1</v>
      </c>
      <c r="L29" s="52">
        <v>31.65</v>
      </c>
      <c r="M29" s="52">
        <v>43.32</v>
      </c>
      <c r="N29" s="52">
        <v>54.3</v>
      </c>
      <c r="O29" s="52">
        <v>0</v>
      </c>
      <c r="P29" s="52">
        <v>4.33</v>
      </c>
      <c r="Q29" s="53" t="s">
        <v>15</v>
      </c>
      <c r="R29" s="43"/>
      <c r="S29" s="43"/>
      <c r="T29" s="43"/>
      <c r="U29" s="43"/>
    </row>
    <row r="30" spans="1:21" s="11" customFormat="1" x14ac:dyDescent="0.25">
      <c r="A30" s="51" t="s">
        <v>249</v>
      </c>
      <c r="B30" s="52">
        <v>32.54</v>
      </c>
      <c r="C30" s="52">
        <v>78.61</v>
      </c>
      <c r="D30" s="52">
        <v>108.03</v>
      </c>
      <c r="E30" s="52">
        <v>6.26</v>
      </c>
      <c r="F30" s="52">
        <v>21.7</v>
      </c>
      <c r="G30" s="52">
        <v>108.42</v>
      </c>
      <c r="H30" s="52">
        <v>30.33</v>
      </c>
      <c r="I30" s="52">
        <v>4.0999999999999996</v>
      </c>
      <c r="J30" s="52">
        <v>1.2</v>
      </c>
      <c r="K30" s="52">
        <v>90.06</v>
      </c>
      <c r="L30" s="52">
        <v>31.87</v>
      </c>
      <c r="M30" s="52">
        <v>34.69</v>
      </c>
      <c r="N30" s="52">
        <v>53.7</v>
      </c>
      <c r="O30" s="52">
        <v>0</v>
      </c>
      <c r="P30" s="52">
        <v>1.23</v>
      </c>
      <c r="Q30" s="53" t="s">
        <v>15</v>
      </c>
      <c r="R30" s="43"/>
      <c r="S30" s="43"/>
      <c r="T30" s="43"/>
      <c r="U30" s="43"/>
    </row>
    <row r="31" spans="1:21" s="11" customFormat="1" x14ac:dyDescent="0.25">
      <c r="A31" s="51" t="s">
        <v>250</v>
      </c>
      <c r="B31" s="52">
        <v>27.64</v>
      </c>
      <c r="C31" s="52">
        <v>75.33</v>
      </c>
      <c r="D31" s="52">
        <v>101.77</v>
      </c>
      <c r="E31" s="52">
        <v>3.69</v>
      </c>
      <c r="F31" s="52">
        <v>15.2</v>
      </c>
      <c r="G31" s="52">
        <v>82.56</v>
      </c>
      <c r="H31" s="52">
        <v>23.22</v>
      </c>
      <c r="I31" s="52">
        <v>4.13</v>
      </c>
      <c r="J31" s="52">
        <v>0.98</v>
      </c>
      <c r="K31" s="52">
        <v>177.95</v>
      </c>
      <c r="L31" s="52">
        <v>31.14</v>
      </c>
      <c r="M31" s="52">
        <v>35.83</v>
      </c>
      <c r="N31" s="52">
        <v>53.9</v>
      </c>
      <c r="O31" s="52">
        <v>0</v>
      </c>
      <c r="P31" s="52">
        <v>1.1399999999999999</v>
      </c>
      <c r="Q31" s="53" t="s">
        <v>15</v>
      </c>
      <c r="R31" s="43"/>
      <c r="S31" s="43"/>
      <c r="T31" s="43"/>
      <c r="U31" s="43"/>
    </row>
    <row r="32" spans="1:21" s="11" customFormat="1" x14ac:dyDescent="0.25">
      <c r="A32" s="51" t="s">
        <v>251</v>
      </c>
      <c r="B32" s="52">
        <v>14.96</v>
      </c>
      <c r="C32" s="52">
        <v>60.37</v>
      </c>
      <c r="D32" s="52">
        <v>93.29</v>
      </c>
      <c r="E32" s="52">
        <v>3.08</v>
      </c>
      <c r="F32" s="52">
        <v>12.44</v>
      </c>
      <c r="G32" s="52">
        <v>62.05</v>
      </c>
      <c r="H32" s="52">
        <v>22.2</v>
      </c>
      <c r="I32" s="52">
        <v>4.2</v>
      </c>
      <c r="J32" s="52">
        <v>1.91</v>
      </c>
      <c r="K32" s="52">
        <v>173.47</v>
      </c>
      <c r="L32" s="52">
        <v>29.84</v>
      </c>
      <c r="M32" s="52">
        <v>37.96</v>
      </c>
      <c r="N32" s="52">
        <v>54.1</v>
      </c>
      <c r="O32" s="52">
        <v>0</v>
      </c>
      <c r="P32" s="52">
        <v>0.98</v>
      </c>
      <c r="Q32" s="53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1.21</v>
      </c>
      <c r="C34" s="28">
        <f t="shared" si="0"/>
        <v>36.01</v>
      </c>
      <c r="D34" s="28">
        <f t="shared" si="0"/>
        <v>63.43</v>
      </c>
      <c r="E34" s="28">
        <f t="shared" si="0"/>
        <v>2.66</v>
      </c>
      <c r="F34" s="28">
        <f t="shared" si="0"/>
        <v>7</v>
      </c>
      <c r="G34" s="28">
        <f t="shared" si="0"/>
        <v>38.26</v>
      </c>
      <c r="H34" s="28">
        <f t="shared" si="0"/>
        <v>3.84</v>
      </c>
      <c r="I34" s="28">
        <f t="shared" si="0"/>
        <v>3.96</v>
      </c>
      <c r="J34" s="28">
        <f t="shared" si="0"/>
        <v>0.47</v>
      </c>
      <c r="K34" s="28">
        <f t="shared" si="0"/>
        <v>90.06</v>
      </c>
      <c r="L34" s="28">
        <f t="shared" si="0"/>
        <v>21.86</v>
      </c>
      <c r="M34" s="28">
        <f t="shared" si="0"/>
        <v>23.86</v>
      </c>
      <c r="N34" s="28">
        <f t="shared" si="0"/>
        <v>52.4</v>
      </c>
      <c r="O34" s="28">
        <f t="shared" si="0"/>
        <v>0</v>
      </c>
      <c r="P34" s="28">
        <f t="shared" si="0"/>
        <v>0.46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233.51</v>
      </c>
      <c r="C35" s="29">
        <f t="shared" si="1"/>
        <v>296.77</v>
      </c>
      <c r="D35" s="29">
        <f t="shared" si="1"/>
        <v>229.89</v>
      </c>
      <c r="E35" s="29">
        <f t="shared" si="1"/>
        <v>12.66</v>
      </c>
      <c r="F35" s="29">
        <f t="shared" si="1"/>
        <v>38.92</v>
      </c>
      <c r="G35" s="29">
        <f t="shared" si="1"/>
        <v>108.42</v>
      </c>
      <c r="H35" s="29">
        <f t="shared" si="1"/>
        <v>30.33</v>
      </c>
      <c r="I35" s="29">
        <f t="shared" si="1"/>
        <v>4.66</v>
      </c>
      <c r="J35" s="29">
        <f t="shared" si="1"/>
        <v>1.91</v>
      </c>
      <c r="K35" s="29">
        <f t="shared" si="1"/>
        <v>341.89</v>
      </c>
      <c r="L35" s="29">
        <f t="shared" si="1"/>
        <v>38.409999999999997</v>
      </c>
      <c r="M35" s="29">
        <f t="shared" si="1"/>
        <v>57.74</v>
      </c>
      <c r="N35" s="29">
        <f t="shared" si="1"/>
        <v>911</v>
      </c>
      <c r="O35" s="29">
        <f t="shared" si="1"/>
        <v>0</v>
      </c>
      <c r="P35" s="29">
        <f t="shared" si="1"/>
        <v>4.71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43.432499999999997</v>
      </c>
      <c r="C36" s="28">
        <f t="shared" si="2"/>
        <v>89.270833333333329</v>
      </c>
      <c r="D36" s="28">
        <f t="shared" si="2"/>
        <v>108.21</v>
      </c>
      <c r="E36" s="28">
        <f t="shared" si="2"/>
        <v>5.8883333333333328</v>
      </c>
      <c r="F36" s="28">
        <f t="shared" si="2"/>
        <v>17.664583333333329</v>
      </c>
      <c r="G36" s="28">
        <f t="shared" si="2"/>
        <v>65.171666666666667</v>
      </c>
      <c r="H36" s="28">
        <f t="shared" si="2"/>
        <v>21.080833333333327</v>
      </c>
      <c r="I36" s="28">
        <f t="shared" si="2"/>
        <v>4.104166666666667</v>
      </c>
      <c r="J36" s="28">
        <f t="shared" si="2"/>
        <v>0.97958333333333325</v>
      </c>
      <c r="K36" s="28">
        <f t="shared" si="2"/>
        <v>242.17916666666667</v>
      </c>
      <c r="L36" s="28">
        <f t="shared" si="2"/>
        <v>30.107499999999998</v>
      </c>
      <c r="M36" s="28">
        <f t="shared" si="2"/>
        <v>39.487083333333338</v>
      </c>
      <c r="N36" s="28">
        <f t="shared" si="2"/>
        <v>308.57083333333338</v>
      </c>
      <c r="O36" s="28">
        <f t="shared" si="2"/>
        <v>0</v>
      </c>
      <c r="P36" s="28">
        <f t="shared" si="2"/>
        <v>1.165416666666667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61.318678355109647</v>
      </c>
      <c r="C37" s="28">
        <f t="shared" ref="C37:Q37" si="3">STDEV(C9:C32)</f>
        <v>68.165175280450157</v>
      </c>
      <c r="D37" s="28">
        <f t="shared" si="3"/>
        <v>44.305382635011554</v>
      </c>
      <c r="E37" s="28">
        <f t="shared" si="3"/>
        <v>3.1295029007491109</v>
      </c>
      <c r="F37" s="28">
        <f t="shared" si="3"/>
        <v>9.8843468606842748</v>
      </c>
      <c r="G37" s="28">
        <f t="shared" si="3"/>
        <v>25.084363511032613</v>
      </c>
      <c r="H37" s="28">
        <f t="shared" si="3"/>
        <v>7.7638347297031736</v>
      </c>
      <c r="I37" s="28">
        <f t="shared" si="3"/>
        <v>0.13200516019777633</v>
      </c>
      <c r="J37" s="28">
        <f t="shared" si="3"/>
        <v>0.38089687257344629</v>
      </c>
      <c r="K37" s="28">
        <f t="shared" si="3"/>
        <v>70.377561018605391</v>
      </c>
      <c r="L37" s="28">
        <f t="shared" si="3"/>
        <v>5.3855162039129194</v>
      </c>
      <c r="M37" s="28">
        <f t="shared" si="3"/>
        <v>10.474937575477195</v>
      </c>
      <c r="N37" s="28">
        <f t="shared" si="3"/>
        <v>332.47058252235428</v>
      </c>
      <c r="O37" s="28">
        <f t="shared" si="3"/>
        <v>0</v>
      </c>
      <c r="P37" s="28">
        <f t="shared" si="3"/>
        <v>1.0820872711194973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09/04/2025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252</v>
      </c>
      <c r="B9" s="52">
        <v>7.52</v>
      </c>
      <c r="C9" s="52">
        <v>52.92</v>
      </c>
      <c r="D9" s="52">
        <v>89.73</v>
      </c>
      <c r="E9" s="52">
        <v>3.58</v>
      </c>
      <c r="F9" s="52">
        <v>13.21</v>
      </c>
      <c r="G9" s="52">
        <v>48.43</v>
      </c>
      <c r="H9" s="52">
        <v>19.82</v>
      </c>
      <c r="I9" s="52">
        <v>4.24</v>
      </c>
      <c r="J9" s="52">
        <v>1.53</v>
      </c>
      <c r="K9" s="52">
        <v>160.88999999999999</v>
      </c>
      <c r="L9" s="52">
        <v>28.54</v>
      </c>
      <c r="M9" s="52">
        <v>38.03</v>
      </c>
      <c r="N9" s="52">
        <v>53.9</v>
      </c>
      <c r="O9" s="52">
        <v>0</v>
      </c>
      <c r="P9" s="52">
        <v>0.83</v>
      </c>
      <c r="Q9" s="53" t="s">
        <v>15</v>
      </c>
      <c r="R9" s="43"/>
      <c r="S9" s="43"/>
      <c r="T9" s="43"/>
      <c r="U9" s="43"/>
    </row>
    <row r="10" spans="1:21" s="11" customFormat="1" x14ac:dyDescent="0.25">
      <c r="A10" s="51" t="s">
        <v>253</v>
      </c>
      <c r="B10" s="52">
        <v>3.58</v>
      </c>
      <c r="C10" s="52">
        <v>38.36</v>
      </c>
      <c r="D10" s="52">
        <v>67.930000000000007</v>
      </c>
      <c r="E10" s="52">
        <v>3.67</v>
      </c>
      <c r="F10" s="52">
        <v>13.44</v>
      </c>
      <c r="G10" s="52">
        <v>28.49</v>
      </c>
      <c r="H10" s="52">
        <v>16.66</v>
      </c>
      <c r="I10" s="52">
        <v>3.97</v>
      </c>
      <c r="J10" s="52">
        <v>1.36</v>
      </c>
      <c r="K10" s="52">
        <v>169.17</v>
      </c>
      <c r="L10" s="52">
        <v>27.73</v>
      </c>
      <c r="M10" s="52">
        <v>38.450000000000003</v>
      </c>
      <c r="N10" s="52">
        <v>52.9</v>
      </c>
      <c r="O10" s="52">
        <v>0</v>
      </c>
      <c r="P10" s="52">
        <v>0.63</v>
      </c>
      <c r="Q10" s="53" t="s">
        <v>15</v>
      </c>
      <c r="R10" s="43"/>
      <c r="S10" s="43"/>
      <c r="T10" s="43"/>
      <c r="U10" s="43"/>
    </row>
    <row r="11" spans="1:21" s="11" customFormat="1" x14ac:dyDescent="0.25">
      <c r="A11" s="51" t="s">
        <v>254</v>
      </c>
      <c r="B11" s="52">
        <v>3.11</v>
      </c>
      <c r="C11" s="52">
        <v>38.51</v>
      </c>
      <c r="D11" s="52">
        <v>68.94</v>
      </c>
      <c r="E11" s="52">
        <v>3.58</v>
      </c>
      <c r="F11" s="52">
        <v>10.87</v>
      </c>
      <c r="G11" s="52">
        <v>24.61</v>
      </c>
      <c r="H11" s="52">
        <v>13.04</v>
      </c>
      <c r="I11" s="52">
        <v>4.0199999999999996</v>
      </c>
      <c r="J11" s="52">
        <v>0.68</v>
      </c>
      <c r="K11" s="52">
        <v>161.12</v>
      </c>
      <c r="L11" s="52">
        <v>26.89</v>
      </c>
      <c r="M11" s="52">
        <v>41.31</v>
      </c>
      <c r="N11" s="52">
        <v>53.4</v>
      </c>
      <c r="O11" s="52">
        <v>0</v>
      </c>
      <c r="P11" s="52">
        <v>0.59</v>
      </c>
      <c r="Q11" s="53" t="s">
        <v>15</v>
      </c>
      <c r="R11" s="43"/>
      <c r="S11" s="43"/>
      <c r="T11" s="43"/>
      <c r="U11" s="43"/>
    </row>
    <row r="12" spans="1:21" s="11" customFormat="1" x14ac:dyDescent="0.25">
      <c r="A12" s="51" t="s">
        <v>255</v>
      </c>
      <c r="B12" s="52">
        <v>2.06</v>
      </c>
      <c r="C12" s="52">
        <v>36.299999999999997</v>
      </c>
      <c r="D12" s="52">
        <v>66.400000000000006</v>
      </c>
      <c r="E12" s="52">
        <v>3.51</v>
      </c>
      <c r="F12" s="52">
        <v>11.75</v>
      </c>
      <c r="G12" s="52">
        <v>24.61</v>
      </c>
      <c r="H12" s="52">
        <v>13.04</v>
      </c>
      <c r="I12" s="52">
        <v>4.17</v>
      </c>
      <c r="J12" s="52">
        <v>0.5</v>
      </c>
      <c r="K12" s="52">
        <v>168.95</v>
      </c>
      <c r="L12" s="52">
        <v>26.19</v>
      </c>
      <c r="M12" s="52">
        <v>40.729999999999997</v>
      </c>
      <c r="N12" s="52">
        <v>53.4</v>
      </c>
      <c r="O12" s="52">
        <v>0</v>
      </c>
      <c r="P12" s="52">
        <v>0.49</v>
      </c>
      <c r="Q12" s="53" t="s">
        <v>15</v>
      </c>
      <c r="R12" s="43"/>
      <c r="S12" s="43"/>
      <c r="T12" s="43"/>
      <c r="U12" s="43"/>
    </row>
    <row r="13" spans="1:21" s="11" customFormat="1" x14ac:dyDescent="0.25">
      <c r="A13" s="51" t="s">
        <v>256</v>
      </c>
      <c r="B13" s="52">
        <v>1.9</v>
      </c>
      <c r="C13" s="52">
        <v>36.1</v>
      </c>
      <c r="D13" s="52">
        <v>66.180000000000007</v>
      </c>
      <c r="E13" s="52">
        <v>3.28</v>
      </c>
      <c r="F13" s="52">
        <v>12.61</v>
      </c>
      <c r="G13" s="52">
        <v>24.48</v>
      </c>
      <c r="H13" s="52">
        <v>11.75</v>
      </c>
      <c r="I13" s="52">
        <v>4.1399999999999997</v>
      </c>
      <c r="J13" s="52">
        <v>0.45</v>
      </c>
      <c r="K13" s="52">
        <v>185.96</v>
      </c>
      <c r="L13" s="52">
        <v>25.57</v>
      </c>
      <c r="M13" s="52">
        <v>42.31</v>
      </c>
      <c r="N13" s="52">
        <v>53.4</v>
      </c>
      <c r="O13" s="52">
        <v>0</v>
      </c>
      <c r="P13" s="52">
        <v>0.43</v>
      </c>
      <c r="Q13" s="53" t="s">
        <v>15</v>
      </c>
      <c r="R13" s="43"/>
      <c r="S13" s="43"/>
      <c r="T13" s="43"/>
      <c r="U13" s="43"/>
    </row>
    <row r="14" spans="1:21" s="11" customFormat="1" x14ac:dyDescent="0.25">
      <c r="A14" s="51" t="s">
        <v>257</v>
      </c>
      <c r="B14" s="52">
        <v>3.14</v>
      </c>
      <c r="C14" s="52">
        <v>38.659999999999997</v>
      </c>
      <c r="D14" s="52">
        <v>69.16</v>
      </c>
      <c r="E14" s="52">
        <v>3.25</v>
      </c>
      <c r="F14" s="52">
        <v>13.15</v>
      </c>
      <c r="G14" s="52">
        <v>24.48</v>
      </c>
      <c r="H14" s="52">
        <v>10.52</v>
      </c>
      <c r="I14" s="52">
        <v>4.0999999999999996</v>
      </c>
      <c r="J14" s="52">
        <v>0.64</v>
      </c>
      <c r="K14" s="52">
        <v>179.06</v>
      </c>
      <c r="L14" s="52">
        <v>24.96</v>
      </c>
      <c r="M14" s="52">
        <v>43.77</v>
      </c>
      <c r="N14" s="52">
        <v>62.2</v>
      </c>
      <c r="O14" s="52">
        <v>0</v>
      </c>
      <c r="P14" s="52">
        <v>0.35</v>
      </c>
      <c r="Q14" s="53" t="s">
        <v>15</v>
      </c>
      <c r="R14" s="43"/>
      <c r="S14" s="43"/>
      <c r="T14" s="43"/>
      <c r="U14" s="43"/>
    </row>
    <row r="15" spans="1:21" s="11" customFormat="1" x14ac:dyDescent="0.25">
      <c r="A15" s="51" t="s">
        <v>258</v>
      </c>
      <c r="B15" s="52">
        <v>5.38</v>
      </c>
      <c r="C15" s="52">
        <v>43.49</v>
      </c>
      <c r="D15" s="52">
        <v>75.13</v>
      </c>
      <c r="E15" s="52">
        <v>3.61</v>
      </c>
      <c r="F15" s="52">
        <v>11.16</v>
      </c>
      <c r="G15" s="52">
        <v>25.33</v>
      </c>
      <c r="H15" s="52">
        <v>9.7799999999999994</v>
      </c>
      <c r="I15" s="52">
        <v>4.0599999999999996</v>
      </c>
      <c r="J15" s="52">
        <v>1.19</v>
      </c>
      <c r="K15" s="52">
        <v>179.12</v>
      </c>
      <c r="L15" s="52">
        <v>25.95</v>
      </c>
      <c r="M15" s="52">
        <v>43.83</v>
      </c>
      <c r="N15" s="52">
        <v>191.9</v>
      </c>
      <c r="O15" s="52">
        <v>0</v>
      </c>
      <c r="P15" s="52">
        <v>0.38</v>
      </c>
      <c r="Q15" s="53" t="s">
        <v>15</v>
      </c>
      <c r="R15" s="43"/>
      <c r="S15" s="43"/>
      <c r="T15" s="43"/>
      <c r="U15" s="43"/>
    </row>
    <row r="16" spans="1:21" s="11" customFormat="1" x14ac:dyDescent="0.25">
      <c r="A16" s="51" t="s">
        <v>259</v>
      </c>
      <c r="B16" s="52">
        <v>5.0999999999999996</v>
      </c>
      <c r="C16" s="52">
        <v>44.66</v>
      </c>
      <c r="D16" s="52">
        <v>78.209999999999994</v>
      </c>
      <c r="E16" s="52">
        <v>3.06</v>
      </c>
      <c r="F16" s="52">
        <v>8.9</v>
      </c>
      <c r="G16" s="52">
        <v>29.74</v>
      </c>
      <c r="H16" s="52">
        <v>10.35</v>
      </c>
      <c r="I16" s="52">
        <v>4.13</v>
      </c>
      <c r="J16" s="52">
        <v>1.58</v>
      </c>
      <c r="K16" s="52">
        <v>203.3</v>
      </c>
      <c r="L16" s="52">
        <v>28.33</v>
      </c>
      <c r="M16" s="52">
        <v>41.96</v>
      </c>
      <c r="N16" s="52">
        <v>412.7</v>
      </c>
      <c r="O16" s="52">
        <v>0</v>
      </c>
      <c r="P16" s="52">
        <v>0.38</v>
      </c>
      <c r="Q16" s="53" t="s">
        <v>15</v>
      </c>
      <c r="R16" s="43"/>
      <c r="S16" s="43"/>
      <c r="T16" s="43"/>
      <c r="U16" s="43"/>
    </row>
    <row r="17" spans="1:21" s="11" customFormat="1" x14ac:dyDescent="0.25">
      <c r="A17" s="51" t="s">
        <v>260</v>
      </c>
      <c r="B17" s="52">
        <v>3.75</v>
      </c>
      <c r="C17" s="52">
        <v>45.04</v>
      </c>
      <c r="D17" s="52">
        <v>81.06</v>
      </c>
      <c r="E17" s="52">
        <v>3.23</v>
      </c>
      <c r="F17" s="52">
        <v>8.06</v>
      </c>
      <c r="G17" s="52">
        <v>31.03</v>
      </c>
      <c r="H17" s="52">
        <v>10.35</v>
      </c>
      <c r="I17" s="52">
        <v>4.04</v>
      </c>
      <c r="J17" s="52">
        <v>0.99</v>
      </c>
      <c r="K17" s="52">
        <v>268.83</v>
      </c>
      <c r="L17" s="52">
        <v>31.15</v>
      </c>
      <c r="M17" s="52">
        <v>43.03</v>
      </c>
      <c r="N17" s="52">
        <v>609.29999999999995</v>
      </c>
      <c r="O17" s="52">
        <v>0</v>
      </c>
      <c r="P17" s="52">
        <v>0.4</v>
      </c>
      <c r="Q17" s="53" t="s">
        <v>15</v>
      </c>
      <c r="R17" s="43"/>
      <c r="S17" s="43"/>
      <c r="T17" s="43"/>
      <c r="U17" s="43"/>
    </row>
    <row r="18" spans="1:21" s="11" customFormat="1" x14ac:dyDescent="0.25">
      <c r="A18" s="51" t="s">
        <v>261</v>
      </c>
      <c r="B18" s="52">
        <v>4.68</v>
      </c>
      <c r="C18" s="52">
        <v>48.07</v>
      </c>
      <c r="D18" s="52">
        <v>85.15</v>
      </c>
      <c r="E18" s="52">
        <v>4.1900000000000004</v>
      </c>
      <c r="F18" s="52">
        <v>10.45</v>
      </c>
      <c r="G18" s="52">
        <v>38.950000000000003</v>
      </c>
      <c r="H18" s="52">
        <v>11.8</v>
      </c>
      <c r="I18" s="52">
        <v>4.0599999999999996</v>
      </c>
      <c r="J18" s="52">
        <v>1.19</v>
      </c>
      <c r="K18" s="52">
        <v>304.08999999999997</v>
      </c>
      <c r="L18" s="52">
        <v>36.24</v>
      </c>
      <c r="M18" s="52">
        <v>36.56</v>
      </c>
      <c r="N18" s="52">
        <v>792</v>
      </c>
      <c r="O18" s="52">
        <v>0</v>
      </c>
      <c r="P18" s="52">
        <v>0.63</v>
      </c>
      <c r="Q18" s="53" t="s">
        <v>15</v>
      </c>
      <c r="R18" s="43"/>
      <c r="S18" s="43"/>
      <c r="T18" s="43"/>
      <c r="U18" s="43"/>
    </row>
    <row r="19" spans="1:21" s="11" customFormat="1" x14ac:dyDescent="0.25">
      <c r="A19" s="51" t="s">
        <v>262</v>
      </c>
      <c r="B19" s="52">
        <v>4.03</v>
      </c>
      <c r="C19" s="52">
        <v>47.68</v>
      </c>
      <c r="D19" s="52">
        <v>85.09</v>
      </c>
      <c r="E19" s="52">
        <v>7.67</v>
      </c>
      <c r="F19" s="52">
        <v>14.32</v>
      </c>
      <c r="G19" s="52">
        <v>44.63</v>
      </c>
      <c r="H19" s="52">
        <v>13.85</v>
      </c>
      <c r="I19" s="52">
        <v>4.09</v>
      </c>
      <c r="J19" s="52">
        <v>1.1200000000000001</v>
      </c>
      <c r="K19" s="52">
        <v>303.79000000000002</v>
      </c>
      <c r="L19" s="52">
        <v>36.799999999999997</v>
      </c>
      <c r="M19" s="52">
        <v>33.200000000000003</v>
      </c>
      <c r="N19" s="52">
        <v>908.5</v>
      </c>
      <c r="O19" s="52">
        <v>0</v>
      </c>
      <c r="P19" s="52">
        <v>0.75</v>
      </c>
      <c r="Q19" s="53" t="s">
        <v>15</v>
      </c>
      <c r="R19" s="43"/>
      <c r="S19" s="43"/>
      <c r="T19" s="43"/>
      <c r="U19" s="43"/>
    </row>
    <row r="20" spans="1:21" s="11" customFormat="1" x14ac:dyDescent="0.25">
      <c r="A20" s="51" t="s">
        <v>263</v>
      </c>
      <c r="B20" s="52">
        <v>2.59</v>
      </c>
      <c r="C20" s="52">
        <v>46.88</v>
      </c>
      <c r="D20" s="52">
        <v>86.02</v>
      </c>
      <c r="E20" s="52">
        <v>4.62</v>
      </c>
      <c r="F20" s="52">
        <v>10.39</v>
      </c>
      <c r="G20" s="52">
        <v>45.69</v>
      </c>
      <c r="H20" s="52">
        <v>13.85</v>
      </c>
      <c r="I20" s="52">
        <v>4.0999999999999996</v>
      </c>
      <c r="J20" s="52">
        <v>1.1100000000000001</v>
      </c>
      <c r="K20" s="52">
        <v>304.52</v>
      </c>
      <c r="L20" s="52">
        <v>37.9</v>
      </c>
      <c r="M20" s="52">
        <v>29.64</v>
      </c>
      <c r="N20" s="52">
        <v>946.3</v>
      </c>
      <c r="O20" s="52">
        <v>0</v>
      </c>
      <c r="P20" s="52">
        <v>0.74</v>
      </c>
      <c r="Q20" s="53" t="s">
        <v>15</v>
      </c>
      <c r="R20" s="43"/>
      <c r="S20" s="43"/>
      <c r="T20" s="43"/>
      <c r="U20" s="43"/>
    </row>
    <row r="21" spans="1:21" s="11" customFormat="1" x14ac:dyDescent="0.25">
      <c r="A21" s="51" t="s">
        <v>264</v>
      </c>
      <c r="B21" s="52">
        <v>1.84</v>
      </c>
      <c r="C21" s="52">
        <v>46.58</v>
      </c>
      <c r="D21" s="52">
        <v>86.33</v>
      </c>
      <c r="E21" s="52">
        <v>5.13</v>
      </c>
      <c r="F21" s="52">
        <v>16.91</v>
      </c>
      <c r="G21" s="52">
        <v>50</v>
      </c>
      <c r="H21" s="52">
        <v>13.57</v>
      </c>
      <c r="I21" s="52">
        <v>4</v>
      </c>
      <c r="J21" s="52">
        <v>1</v>
      </c>
      <c r="K21" s="52">
        <v>277.87</v>
      </c>
      <c r="L21" s="52">
        <v>37.33</v>
      </c>
      <c r="M21" s="52">
        <v>28.01</v>
      </c>
      <c r="N21" s="52">
        <v>940.4</v>
      </c>
      <c r="O21" s="52">
        <v>0</v>
      </c>
      <c r="P21" s="52">
        <v>0.75</v>
      </c>
      <c r="Q21" s="53" t="s">
        <v>15</v>
      </c>
      <c r="R21" s="43"/>
      <c r="S21" s="43"/>
      <c r="T21" s="43"/>
      <c r="U21" s="43"/>
    </row>
    <row r="22" spans="1:21" s="11" customFormat="1" x14ac:dyDescent="0.25">
      <c r="A22" s="51" t="s">
        <v>265</v>
      </c>
      <c r="B22" s="52">
        <v>1.5</v>
      </c>
      <c r="C22" s="52">
        <v>38.74</v>
      </c>
      <c r="D22" s="52">
        <v>72.7</v>
      </c>
      <c r="E22" s="52">
        <v>8.34</v>
      </c>
      <c r="F22" s="52">
        <v>29.43</v>
      </c>
      <c r="G22" s="52">
        <v>51.1</v>
      </c>
      <c r="H22" s="52">
        <v>13.5</v>
      </c>
      <c r="I22" s="52">
        <v>4.0999999999999996</v>
      </c>
      <c r="J22" s="52">
        <v>1</v>
      </c>
      <c r="K22" s="52">
        <v>299.42</v>
      </c>
      <c r="L22" s="52">
        <v>37.119999999999997</v>
      </c>
      <c r="M22" s="52">
        <v>27.18</v>
      </c>
      <c r="N22" s="52">
        <v>866.6</v>
      </c>
      <c r="O22" s="52">
        <v>0</v>
      </c>
      <c r="P22" s="52">
        <v>0.68</v>
      </c>
      <c r="Q22" s="53" t="s">
        <v>15</v>
      </c>
      <c r="R22" s="43"/>
      <c r="S22" s="43"/>
      <c r="T22" s="43"/>
      <c r="U22" s="43"/>
    </row>
    <row r="23" spans="1:21" s="11" customFormat="1" x14ac:dyDescent="0.25">
      <c r="A23" s="51" t="s">
        <v>266</v>
      </c>
      <c r="B23" s="52">
        <v>2.2000000000000002</v>
      </c>
      <c r="C23" s="52">
        <v>39.03</v>
      </c>
      <c r="D23" s="52">
        <v>71.34</v>
      </c>
      <c r="E23" s="52">
        <v>9.7200000000000006</v>
      </c>
      <c r="F23" s="52">
        <v>29.93</v>
      </c>
      <c r="G23" s="52">
        <v>51.1</v>
      </c>
      <c r="H23" s="52">
        <v>16.09</v>
      </c>
      <c r="I23" s="52">
        <v>4.08</v>
      </c>
      <c r="J23" s="52">
        <v>1.03</v>
      </c>
      <c r="K23" s="52">
        <v>209.3</v>
      </c>
      <c r="L23" s="52">
        <v>36.68</v>
      </c>
      <c r="M23" s="52">
        <v>27.33</v>
      </c>
      <c r="N23" s="52">
        <v>640</v>
      </c>
      <c r="O23" s="52">
        <v>0</v>
      </c>
      <c r="P23" s="52">
        <v>0.63</v>
      </c>
      <c r="Q23" s="53" t="s">
        <v>15</v>
      </c>
      <c r="R23" s="43"/>
      <c r="S23" s="43"/>
      <c r="T23" s="43"/>
      <c r="U23" s="43"/>
    </row>
    <row r="24" spans="1:21" s="11" customFormat="1" x14ac:dyDescent="0.25">
      <c r="A24" s="51" t="s">
        <v>267</v>
      </c>
      <c r="B24" s="52">
        <v>2.25</v>
      </c>
      <c r="C24" s="52">
        <v>34.76</v>
      </c>
      <c r="D24" s="52">
        <v>64.95</v>
      </c>
      <c r="E24" s="52">
        <v>8.94</v>
      </c>
      <c r="F24" s="52">
        <v>31.8</v>
      </c>
      <c r="G24" s="52">
        <v>47.01</v>
      </c>
      <c r="H24" s="52">
        <v>16.09</v>
      </c>
      <c r="I24" s="52">
        <v>4.2</v>
      </c>
      <c r="J24" s="52">
        <v>1.17</v>
      </c>
      <c r="K24" s="52">
        <v>152.91</v>
      </c>
      <c r="L24" s="52">
        <v>35.36</v>
      </c>
      <c r="M24" s="52">
        <v>28.13</v>
      </c>
      <c r="N24" s="52">
        <v>395.2</v>
      </c>
      <c r="O24" s="52">
        <v>0</v>
      </c>
      <c r="P24" s="52">
        <v>0.57999999999999996</v>
      </c>
      <c r="Q24" s="53" t="s">
        <v>15</v>
      </c>
      <c r="R24" s="43"/>
      <c r="S24" s="43"/>
      <c r="T24" s="43"/>
      <c r="U24" s="43"/>
    </row>
    <row r="25" spans="1:21" s="11" customFormat="1" x14ac:dyDescent="0.25">
      <c r="A25" s="51" t="s">
        <v>268</v>
      </c>
      <c r="B25" s="52">
        <v>1.1399999999999999</v>
      </c>
      <c r="C25" s="52">
        <v>38.32</v>
      </c>
      <c r="D25" s="52">
        <v>71.61</v>
      </c>
      <c r="E25" s="52">
        <v>7.72</v>
      </c>
      <c r="F25" s="52">
        <v>31.19</v>
      </c>
      <c r="G25" s="52">
        <v>44.18</v>
      </c>
      <c r="H25" s="52">
        <v>15.61</v>
      </c>
      <c r="I25" s="52">
        <v>4.04</v>
      </c>
      <c r="J25" s="52">
        <v>1.49</v>
      </c>
      <c r="K25" s="52">
        <v>159.08000000000001</v>
      </c>
      <c r="L25" s="52">
        <v>34.909999999999997</v>
      </c>
      <c r="M25" s="52">
        <v>28.42</v>
      </c>
      <c r="N25" s="52">
        <v>177.9</v>
      </c>
      <c r="O25" s="52">
        <v>0</v>
      </c>
      <c r="P25" s="52">
        <v>0.54</v>
      </c>
      <c r="Q25" s="53" t="s">
        <v>15</v>
      </c>
      <c r="R25" s="43"/>
      <c r="S25" s="43"/>
      <c r="T25" s="43"/>
      <c r="U25" s="43"/>
    </row>
    <row r="26" spans="1:21" s="11" customFormat="1" x14ac:dyDescent="0.25">
      <c r="A26" s="51" t="s">
        <v>269</v>
      </c>
      <c r="B26" s="52">
        <v>1.26</v>
      </c>
      <c r="C26" s="52">
        <v>43.2</v>
      </c>
      <c r="D26" s="52">
        <v>80.75</v>
      </c>
      <c r="E26" s="52">
        <v>6.4</v>
      </c>
      <c r="F26" s="52">
        <v>26.64</v>
      </c>
      <c r="G26" s="52">
        <v>45.93</v>
      </c>
      <c r="H26" s="52">
        <v>15.61</v>
      </c>
      <c r="I26" s="52">
        <v>3.98</v>
      </c>
      <c r="J26" s="52">
        <v>1.81</v>
      </c>
      <c r="K26" s="52">
        <v>168.46</v>
      </c>
      <c r="L26" s="52">
        <v>34.5</v>
      </c>
      <c r="M26" s="52">
        <v>30.25</v>
      </c>
      <c r="N26" s="52">
        <v>101.1</v>
      </c>
      <c r="O26" s="52">
        <v>0</v>
      </c>
      <c r="P26" s="52">
        <v>0.5</v>
      </c>
      <c r="Q26" s="53" t="s">
        <v>15</v>
      </c>
      <c r="R26" s="43"/>
      <c r="S26" s="43"/>
      <c r="T26" s="43"/>
      <c r="U26" s="43"/>
    </row>
    <row r="27" spans="1:21" s="11" customFormat="1" x14ac:dyDescent="0.25">
      <c r="A27" s="51" t="s">
        <v>270</v>
      </c>
      <c r="B27" s="52">
        <v>4.07</v>
      </c>
      <c r="C27" s="52">
        <v>45.41</v>
      </c>
      <c r="D27" s="52">
        <v>81.42</v>
      </c>
      <c r="E27" s="52">
        <v>4.43</v>
      </c>
      <c r="F27" s="52">
        <v>20.25</v>
      </c>
      <c r="G27" s="52">
        <v>47.04</v>
      </c>
      <c r="H27" s="52">
        <v>15.93</v>
      </c>
      <c r="I27" s="52">
        <v>4.08</v>
      </c>
      <c r="J27" s="52">
        <v>1.42</v>
      </c>
      <c r="K27" s="52">
        <v>258.06</v>
      </c>
      <c r="L27" s="52">
        <v>33.130000000000003</v>
      </c>
      <c r="M27" s="52">
        <v>32.86</v>
      </c>
      <c r="N27" s="52">
        <v>48.4</v>
      </c>
      <c r="O27" s="52">
        <v>0</v>
      </c>
      <c r="P27" s="52">
        <v>0.53</v>
      </c>
      <c r="Q27" s="53" t="s">
        <v>15</v>
      </c>
      <c r="R27" s="43"/>
      <c r="S27" s="43"/>
      <c r="T27" s="43"/>
      <c r="U27" s="43"/>
    </row>
    <row r="28" spans="1:21" s="11" customFormat="1" x14ac:dyDescent="0.25">
      <c r="A28" s="51" t="s">
        <v>271</v>
      </c>
      <c r="B28" s="52">
        <v>3.2</v>
      </c>
      <c r="C28" s="52">
        <v>44.15</v>
      </c>
      <c r="D28" s="52">
        <v>79.58</v>
      </c>
      <c r="E28" s="52">
        <v>3.16</v>
      </c>
      <c r="F28" s="52">
        <v>8.86</v>
      </c>
      <c r="G28" s="52">
        <v>69.23</v>
      </c>
      <c r="H28" s="52">
        <v>16.309999999999999</v>
      </c>
      <c r="I28" s="52">
        <v>4.0599999999999996</v>
      </c>
      <c r="J28" s="52">
        <v>3.32</v>
      </c>
      <c r="K28" s="52">
        <v>318.35000000000002</v>
      </c>
      <c r="L28" s="52">
        <v>30.71</v>
      </c>
      <c r="M28" s="52">
        <v>38.57</v>
      </c>
      <c r="N28" s="52">
        <v>48.7</v>
      </c>
      <c r="O28" s="52">
        <v>0</v>
      </c>
      <c r="P28" s="52">
        <v>0.5</v>
      </c>
      <c r="Q28" s="53" t="s">
        <v>15</v>
      </c>
      <c r="R28" s="43"/>
      <c r="S28" s="43"/>
      <c r="T28" s="43"/>
      <c r="U28" s="43"/>
    </row>
    <row r="29" spans="1:21" s="11" customFormat="1" x14ac:dyDescent="0.25">
      <c r="A29" s="51" t="s">
        <v>272</v>
      </c>
      <c r="B29" s="52">
        <v>5.13</v>
      </c>
      <c r="C29" s="52">
        <v>48.06</v>
      </c>
      <c r="D29" s="52">
        <v>84.1</v>
      </c>
      <c r="E29" s="52">
        <v>3.78</v>
      </c>
      <c r="F29" s="52">
        <v>9.2200000000000006</v>
      </c>
      <c r="G29" s="52">
        <v>82.1</v>
      </c>
      <c r="H29" s="52">
        <v>18.2</v>
      </c>
      <c r="I29" s="52">
        <v>4.09</v>
      </c>
      <c r="J29" s="52">
        <v>4.1399999999999997</v>
      </c>
      <c r="K29" s="52">
        <v>324.06</v>
      </c>
      <c r="L29" s="52">
        <v>28.64</v>
      </c>
      <c r="M29" s="52">
        <v>49.95</v>
      </c>
      <c r="N29" s="52">
        <v>48.5</v>
      </c>
      <c r="O29" s="52">
        <v>0</v>
      </c>
      <c r="P29" s="52">
        <v>0.51</v>
      </c>
      <c r="Q29" s="53" t="s">
        <v>15</v>
      </c>
      <c r="R29" s="43"/>
      <c r="S29" s="43"/>
      <c r="T29" s="43"/>
      <c r="U29" s="43"/>
    </row>
    <row r="30" spans="1:21" s="11" customFormat="1" x14ac:dyDescent="0.25">
      <c r="A30" s="51" t="s">
        <v>273</v>
      </c>
      <c r="B30" s="52">
        <v>1.49</v>
      </c>
      <c r="C30" s="52">
        <v>41.54</v>
      </c>
      <c r="D30" s="52">
        <v>77.42</v>
      </c>
      <c r="E30" s="52">
        <v>3.01</v>
      </c>
      <c r="F30" s="52">
        <v>10.54</v>
      </c>
      <c r="G30" s="52">
        <v>89.13</v>
      </c>
      <c r="H30" s="52">
        <v>18.2</v>
      </c>
      <c r="I30" s="52">
        <v>4.08</v>
      </c>
      <c r="J30" s="52">
        <v>4.34</v>
      </c>
      <c r="K30" s="52">
        <v>327.57</v>
      </c>
      <c r="L30" s="52">
        <v>24.84</v>
      </c>
      <c r="M30" s="52">
        <v>55.76</v>
      </c>
      <c r="N30" s="52">
        <v>46.9</v>
      </c>
      <c r="O30" s="52">
        <v>0</v>
      </c>
      <c r="P30" s="52">
        <v>0.46</v>
      </c>
      <c r="Q30" s="53" t="s">
        <v>15</v>
      </c>
      <c r="R30" s="43"/>
      <c r="S30" s="43"/>
      <c r="T30" s="43"/>
      <c r="U30" s="43"/>
    </row>
    <row r="31" spans="1:21" s="11" customFormat="1" x14ac:dyDescent="0.25">
      <c r="A31" s="51" t="s">
        <v>274</v>
      </c>
      <c r="B31" s="52">
        <v>3.45</v>
      </c>
      <c r="C31" s="52">
        <v>44.12</v>
      </c>
      <c r="D31" s="52">
        <v>79.14</v>
      </c>
      <c r="E31" s="52">
        <v>5.78</v>
      </c>
      <c r="F31" s="52">
        <v>10.130000000000001</v>
      </c>
      <c r="G31" s="52">
        <v>89.13</v>
      </c>
      <c r="H31" s="52">
        <v>12.65</v>
      </c>
      <c r="I31" s="52">
        <v>4.12</v>
      </c>
      <c r="J31" s="52">
        <v>3.51</v>
      </c>
      <c r="K31" s="52">
        <v>344.82</v>
      </c>
      <c r="L31" s="52">
        <v>26.35</v>
      </c>
      <c r="M31" s="52">
        <v>51.57</v>
      </c>
      <c r="N31" s="52">
        <v>45.4</v>
      </c>
      <c r="O31" s="52">
        <v>0</v>
      </c>
      <c r="P31" s="52">
        <v>0.41</v>
      </c>
      <c r="Q31" s="53" t="s">
        <v>15</v>
      </c>
      <c r="R31" s="43"/>
      <c r="S31" s="43"/>
      <c r="T31" s="43"/>
      <c r="U31" s="43"/>
    </row>
    <row r="32" spans="1:21" s="11" customFormat="1" x14ac:dyDescent="0.25">
      <c r="A32" s="51" t="s">
        <v>275</v>
      </c>
      <c r="B32" s="52">
        <v>8.56</v>
      </c>
      <c r="C32" s="52">
        <v>61.4</v>
      </c>
      <c r="D32" s="52">
        <v>104.39</v>
      </c>
      <c r="E32" s="52">
        <v>33.590000000000003</v>
      </c>
      <c r="F32" s="52">
        <v>18.64</v>
      </c>
      <c r="G32" s="52">
        <v>69.06</v>
      </c>
      <c r="H32" s="52">
        <v>12.79</v>
      </c>
      <c r="I32" s="52">
        <v>4.08</v>
      </c>
      <c r="J32" s="52">
        <v>1.6</v>
      </c>
      <c r="K32" s="52">
        <v>359.77</v>
      </c>
      <c r="L32" s="52">
        <v>27.54</v>
      </c>
      <c r="M32" s="52">
        <v>36.909999999999997</v>
      </c>
      <c r="N32" s="52">
        <v>46.7</v>
      </c>
      <c r="O32" s="52">
        <v>0</v>
      </c>
      <c r="P32" s="52">
        <v>0.72</v>
      </c>
      <c r="Q32" s="53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1.1399999999999999</v>
      </c>
      <c r="C34" s="28">
        <f t="shared" si="0"/>
        <v>34.76</v>
      </c>
      <c r="D34" s="28">
        <f t="shared" si="0"/>
        <v>64.95</v>
      </c>
      <c r="E34" s="28">
        <f t="shared" si="0"/>
        <v>3.01</v>
      </c>
      <c r="F34" s="28">
        <f t="shared" si="0"/>
        <v>8.06</v>
      </c>
      <c r="G34" s="28">
        <f t="shared" si="0"/>
        <v>24.48</v>
      </c>
      <c r="H34" s="28">
        <f t="shared" si="0"/>
        <v>9.7799999999999994</v>
      </c>
      <c r="I34" s="28">
        <f t="shared" si="0"/>
        <v>3.97</v>
      </c>
      <c r="J34" s="28">
        <f t="shared" si="0"/>
        <v>0.45</v>
      </c>
      <c r="K34" s="28">
        <f t="shared" si="0"/>
        <v>152.91</v>
      </c>
      <c r="L34" s="28">
        <f t="shared" si="0"/>
        <v>24.84</v>
      </c>
      <c r="M34" s="28">
        <f t="shared" si="0"/>
        <v>27.18</v>
      </c>
      <c r="N34" s="28">
        <f t="shared" si="0"/>
        <v>45.4</v>
      </c>
      <c r="O34" s="28">
        <f t="shared" si="0"/>
        <v>0</v>
      </c>
      <c r="P34" s="28">
        <f t="shared" si="0"/>
        <v>0.35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8.56</v>
      </c>
      <c r="C35" s="29">
        <f t="shared" si="1"/>
        <v>61.4</v>
      </c>
      <c r="D35" s="29">
        <f t="shared" si="1"/>
        <v>104.39</v>
      </c>
      <c r="E35" s="29">
        <f t="shared" si="1"/>
        <v>33.590000000000003</v>
      </c>
      <c r="F35" s="29">
        <f t="shared" si="1"/>
        <v>31.8</v>
      </c>
      <c r="G35" s="29">
        <f t="shared" si="1"/>
        <v>89.13</v>
      </c>
      <c r="H35" s="29">
        <f t="shared" si="1"/>
        <v>19.82</v>
      </c>
      <c r="I35" s="29">
        <f t="shared" si="1"/>
        <v>4.24</v>
      </c>
      <c r="J35" s="29">
        <f t="shared" si="1"/>
        <v>4.34</v>
      </c>
      <c r="K35" s="29">
        <f t="shared" si="1"/>
        <v>359.77</v>
      </c>
      <c r="L35" s="29">
        <f t="shared" si="1"/>
        <v>37.9</v>
      </c>
      <c r="M35" s="29">
        <f t="shared" si="1"/>
        <v>55.76</v>
      </c>
      <c r="N35" s="29">
        <f t="shared" si="1"/>
        <v>946.3</v>
      </c>
      <c r="O35" s="29">
        <f t="shared" si="1"/>
        <v>0</v>
      </c>
      <c r="P35" s="29">
        <f t="shared" si="1"/>
        <v>0.83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3.4554166666666668</v>
      </c>
      <c r="C36" s="28">
        <f t="shared" si="2"/>
        <v>43.415833333333332</v>
      </c>
      <c r="D36" s="28">
        <f t="shared" si="2"/>
        <v>78.030416666666667</v>
      </c>
      <c r="E36" s="28">
        <f t="shared" si="2"/>
        <v>6.135416666666667</v>
      </c>
      <c r="F36" s="28">
        <f t="shared" si="2"/>
        <v>15.91041666666667</v>
      </c>
      <c r="G36" s="28">
        <f t="shared" si="2"/>
        <v>46.895000000000003</v>
      </c>
      <c r="H36" s="28">
        <f t="shared" si="2"/>
        <v>14.139999999999999</v>
      </c>
      <c r="I36" s="28">
        <f t="shared" si="2"/>
        <v>4.0845833333333337</v>
      </c>
      <c r="J36" s="28">
        <f t="shared" si="2"/>
        <v>1.5904166666666668</v>
      </c>
      <c r="K36" s="28">
        <f t="shared" si="2"/>
        <v>241.18624999999997</v>
      </c>
      <c r="L36" s="28">
        <f t="shared" si="2"/>
        <v>30.973333333333333</v>
      </c>
      <c r="M36" s="28">
        <f t="shared" si="2"/>
        <v>37.823333333333331</v>
      </c>
      <c r="N36" s="28">
        <f t="shared" si="2"/>
        <v>316.4874999999999</v>
      </c>
      <c r="O36" s="28">
        <f t="shared" si="2"/>
        <v>0</v>
      </c>
      <c r="P36" s="28">
        <f t="shared" si="2"/>
        <v>0.55875000000000008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1.8997253329309758</v>
      </c>
      <c r="C37" s="28">
        <f t="shared" ref="C37:Q37" si="3">STDEV(C9:C32)</f>
        <v>6.0012527073912301</v>
      </c>
      <c r="D37" s="28">
        <f t="shared" si="3"/>
        <v>9.247409263123977</v>
      </c>
      <c r="E37" s="28">
        <f t="shared" si="3"/>
        <v>6.2043077455465809</v>
      </c>
      <c r="F37" s="28">
        <f t="shared" si="3"/>
        <v>7.8993326515965592</v>
      </c>
      <c r="G37" s="28">
        <f t="shared" si="3"/>
        <v>20.076394964799061</v>
      </c>
      <c r="H37" s="28">
        <f t="shared" si="3"/>
        <v>2.7252044199352836</v>
      </c>
      <c r="I37" s="28">
        <f t="shared" si="3"/>
        <v>6.3655264932471936E-2</v>
      </c>
      <c r="J37" s="28">
        <f t="shared" si="3"/>
        <v>1.0919487134264241</v>
      </c>
      <c r="K37" s="28">
        <f t="shared" si="3"/>
        <v>71.947817975342673</v>
      </c>
      <c r="L37" s="28">
        <f t="shared" si="3"/>
        <v>4.6725253079702966</v>
      </c>
      <c r="M37" s="28">
        <f t="shared" si="3"/>
        <v>8.0487150833381023</v>
      </c>
      <c r="N37" s="28">
        <f t="shared" si="3"/>
        <v>348.73715692418733</v>
      </c>
      <c r="O37" s="28">
        <f t="shared" si="3"/>
        <v>0</v>
      </c>
      <c r="P37" s="28">
        <f t="shared" si="3"/>
        <v>0.13724977231310756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10/04/2025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276</v>
      </c>
      <c r="B9" s="52">
        <v>7.63</v>
      </c>
      <c r="C9" s="52">
        <v>60.73</v>
      </c>
      <c r="D9" s="52">
        <v>104.52</v>
      </c>
      <c r="E9" s="52">
        <v>54.26</v>
      </c>
      <c r="F9" s="52">
        <v>15.51</v>
      </c>
      <c r="G9" s="52">
        <v>65.89</v>
      </c>
      <c r="H9" s="52">
        <v>13.29</v>
      </c>
      <c r="I9" s="52">
        <v>4.2</v>
      </c>
      <c r="J9" s="52">
        <v>0.92</v>
      </c>
      <c r="K9" s="52">
        <v>158</v>
      </c>
      <c r="L9" s="52">
        <v>27.85</v>
      </c>
      <c r="M9" s="52">
        <v>37.450000000000003</v>
      </c>
      <c r="N9" s="52">
        <v>46.5</v>
      </c>
      <c r="O9" s="52">
        <v>0</v>
      </c>
      <c r="P9" s="52">
        <v>0.64</v>
      </c>
      <c r="Q9" s="53" t="s">
        <v>15</v>
      </c>
      <c r="R9" s="43"/>
      <c r="S9" s="43"/>
      <c r="T9" s="43"/>
      <c r="U9" s="43"/>
    </row>
    <row r="10" spans="1:21" s="11" customFormat="1" x14ac:dyDescent="0.25">
      <c r="A10" s="51" t="s">
        <v>277</v>
      </c>
      <c r="B10" s="52">
        <v>3.97</v>
      </c>
      <c r="C10" s="52">
        <v>52.91</v>
      </c>
      <c r="D10" s="52">
        <v>95.19</v>
      </c>
      <c r="E10" s="52">
        <v>5.13</v>
      </c>
      <c r="F10" s="52">
        <v>10.65</v>
      </c>
      <c r="G10" s="52">
        <v>55.87</v>
      </c>
      <c r="H10" s="52">
        <v>13.82</v>
      </c>
      <c r="I10" s="52">
        <v>4.12</v>
      </c>
      <c r="J10" s="52">
        <v>2.16</v>
      </c>
      <c r="K10" s="52">
        <v>172.05</v>
      </c>
      <c r="L10" s="52">
        <v>27.08</v>
      </c>
      <c r="M10" s="52">
        <v>42.69</v>
      </c>
      <c r="N10" s="52">
        <v>47</v>
      </c>
      <c r="O10" s="52">
        <v>0</v>
      </c>
      <c r="P10" s="52">
        <v>0.42</v>
      </c>
      <c r="Q10" s="53" t="s">
        <v>15</v>
      </c>
      <c r="R10" s="43"/>
      <c r="S10" s="43"/>
      <c r="T10" s="43"/>
      <c r="U10" s="43"/>
    </row>
    <row r="11" spans="1:21" s="11" customFormat="1" x14ac:dyDescent="0.25">
      <c r="A11" s="51" t="s">
        <v>278</v>
      </c>
      <c r="B11" s="52">
        <v>3.48</v>
      </c>
      <c r="C11" s="52">
        <v>47.19</v>
      </c>
      <c r="D11" s="52">
        <v>84.98</v>
      </c>
      <c r="E11" s="52">
        <v>4.43</v>
      </c>
      <c r="F11" s="52">
        <v>8.82</v>
      </c>
      <c r="G11" s="52">
        <v>46.41</v>
      </c>
      <c r="H11" s="52">
        <v>13.82</v>
      </c>
      <c r="I11" s="52">
        <v>4.03</v>
      </c>
      <c r="J11" s="52">
        <v>0.99</v>
      </c>
      <c r="K11" s="52">
        <v>321.39999999999998</v>
      </c>
      <c r="L11" s="52">
        <v>25.43</v>
      </c>
      <c r="M11" s="52">
        <v>46.27</v>
      </c>
      <c r="N11" s="52">
        <v>46.4</v>
      </c>
      <c r="O11" s="52">
        <v>0</v>
      </c>
      <c r="P11" s="52">
        <v>0.36</v>
      </c>
      <c r="Q11" s="53" t="s">
        <v>15</v>
      </c>
      <c r="R11" s="43"/>
      <c r="S11" s="43"/>
      <c r="T11" s="43"/>
      <c r="U11" s="43"/>
    </row>
    <row r="12" spans="1:21" s="11" customFormat="1" x14ac:dyDescent="0.25">
      <c r="A12" s="51" t="s">
        <v>279</v>
      </c>
      <c r="B12" s="52">
        <v>5.54</v>
      </c>
      <c r="C12" s="52">
        <v>40.96</v>
      </c>
      <c r="D12" s="52">
        <v>73.959999999999994</v>
      </c>
      <c r="E12" s="52">
        <v>5.16</v>
      </c>
      <c r="F12" s="52">
        <v>20.3</v>
      </c>
      <c r="G12" s="52">
        <v>41.69</v>
      </c>
      <c r="H12" s="52">
        <v>11.86</v>
      </c>
      <c r="I12" s="52">
        <v>4.05</v>
      </c>
      <c r="J12" s="52">
        <v>0.71</v>
      </c>
      <c r="K12" s="52">
        <v>312.58</v>
      </c>
      <c r="L12" s="52">
        <v>24.47</v>
      </c>
      <c r="M12" s="52">
        <v>51.57</v>
      </c>
      <c r="N12" s="52">
        <v>46.6</v>
      </c>
      <c r="O12" s="52">
        <v>0</v>
      </c>
      <c r="P12" s="52">
        <v>0.33</v>
      </c>
      <c r="Q12" s="53" t="s">
        <v>15</v>
      </c>
      <c r="R12" s="43"/>
      <c r="S12" s="43"/>
      <c r="T12" s="43"/>
      <c r="U12" s="43"/>
    </row>
    <row r="13" spans="1:21" s="11" customFormat="1" x14ac:dyDescent="0.25">
      <c r="A13" s="51" t="s">
        <v>280</v>
      </c>
      <c r="B13" s="52">
        <v>10.48</v>
      </c>
      <c r="C13" s="52">
        <v>50</v>
      </c>
      <c r="D13" s="52">
        <v>79.61</v>
      </c>
      <c r="E13" s="52">
        <v>9.9</v>
      </c>
      <c r="F13" s="52">
        <v>13.2</v>
      </c>
      <c r="G13" s="52">
        <v>34.32</v>
      </c>
      <c r="H13" s="52">
        <v>11.25</v>
      </c>
      <c r="I13" s="52">
        <v>4.17</v>
      </c>
      <c r="J13" s="52">
        <v>0.97</v>
      </c>
      <c r="K13" s="52">
        <v>354.44</v>
      </c>
      <c r="L13" s="52">
        <v>23.47</v>
      </c>
      <c r="M13" s="52">
        <v>53.05</v>
      </c>
      <c r="N13" s="52">
        <v>46.5</v>
      </c>
      <c r="O13" s="52">
        <v>0</v>
      </c>
      <c r="P13" s="52">
        <v>0.59</v>
      </c>
      <c r="Q13" s="53" t="s">
        <v>15</v>
      </c>
      <c r="R13" s="43"/>
      <c r="S13" s="43"/>
      <c r="T13" s="43"/>
      <c r="U13" s="43"/>
    </row>
    <row r="14" spans="1:21" s="11" customFormat="1" x14ac:dyDescent="0.25">
      <c r="A14" s="51" t="s">
        <v>281</v>
      </c>
      <c r="B14" s="52">
        <v>11.53</v>
      </c>
      <c r="C14" s="52">
        <v>52.45</v>
      </c>
      <c r="D14" s="52">
        <v>82.68</v>
      </c>
      <c r="E14" s="52">
        <v>4.1500000000000004</v>
      </c>
      <c r="F14" s="52">
        <v>7.87</v>
      </c>
      <c r="G14" s="52">
        <v>38.909999999999997</v>
      </c>
      <c r="H14" s="52">
        <v>14.84</v>
      </c>
      <c r="I14" s="52">
        <v>4.04</v>
      </c>
      <c r="J14" s="52">
        <v>0.64</v>
      </c>
      <c r="K14" s="52">
        <v>332.83</v>
      </c>
      <c r="L14" s="52">
        <v>22.85</v>
      </c>
      <c r="M14" s="52">
        <v>58.43</v>
      </c>
      <c r="N14" s="52">
        <v>56.3</v>
      </c>
      <c r="O14" s="52">
        <v>0</v>
      </c>
      <c r="P14" s="52">
        <v>0.41</v>
      </c>
      <c r="Q14" s="53" t="s">
        <v>15</v>
      </c>
      <c r="R14" s="43"/>
      <c r="S14" s="43"/>
      <c r="T14" s="43"/>
      <c r="U14" s="43"/>
    </row>
    <row r="15" spans="1:21" s="11" customFormat="1" x14ac:dyDescent="0.25">
      <c r="A15" s="51" t="s">
        <v>282</v>
      </c>
      <c r="B15" s="52">
        <v>28.41</v>
      </c>
      <c r="C15" s="52">
        <v>68.150000000000006</v>
      </c>
      <c r="D15" s="52">
        <v>91.1</v>
      </c>
      <c r="E15" s="52">
        <v>3.54</v>
      </c>
      <c r="F15" s="52">
        <v>7.58</v>
      </c>
      <c r="G15" s="52">
        <v>48.16</v>
      </c>
      <c r="H15" s="52">
        <v>15.46</v>
      </c>
      <c r="I15" s="52">
        <v>4.1100000000000003</v>
      </c>
      <c r="J15" s="52">
        <v>0.33</v>
      </c>
      <c r="K15" s="52">
        <v>285.36</v>
      </c>
      <c r="L15" s="52">
        <v>26.38</v>
      </c>
      <c r="M15" s="52">
        <v>59.85</v>
      </c>
      <c r="N15" s="52">
        <v>197.6</v>
      </c>
      <c r="O15" s="52">
        <v>0</v>
      </c>
      <c r="P15" s="52">
        <v>0.51</v>
      </c>
      <c r="Q15" s="53" t="s">
        <v>15</v>
      </c>
      <c r="R15" s="43"/>
      <c r="S15" s="43"/>
      <c r="T15" s="43"/>
      <c r="U15" s="43"/>
    </row>
    <row r="16" spans="1:21" s="11" customFormat="1" x14ac:dyDescent="0.25">
      <c r="A16" s="51" t="s">
        <v>283</v>
      </c>
      <c r="B16" s="52">
        <v>19.2</v>
      </c>
      <c r="C16" s="52">
        <v>60.29</v>
      </c>
      <c r="D16" s="52">
        <v>85.93</v>
      </c>
      <c r="E16" s="52">
        <v>4.6100000000000003</v>
      </c>
      <c r="F16" s="52">
        <v>11.39</v>
      </c>
      <c r="G16" s="52">
        <v>50.81</v>
      </c>
      <c r="H16" s="52">
        <v>17.86</v>
      </c>
      <c r="I16" s="52">
        <v>4.0599999999999996</v>
      </c>
      <c r="J16" s="52">
        <v>0.64</v>
      </c>
      <c r="K16" s="52">
        <v>316.58999999999997</v>
      </c>
      <c r="L16" s="52">
        <v>32.61</v>
      </c>
      <c r="M16" s="52">
        <v>40.11</v>
      </c>
      <c r="N16" s="52">
        <v>429.7</v>
      </c>
      <c r="O16" s="52">
        <v>0</v>
      </c>
      <c r="P16" s="52">
        <v>0.49</v>
      </c>
      <c r="Q16" s="53" t="s">
        <v>15</v>
      </c>
      <c r="R16" s="43"/>
      <c r="S16" s="43"/>
      <c r="T16" s="43"/>
      <c r="U16" s="43"/>
    </row>
    <row r="17" spans="1:21" s="11" customFormat="1" x14ac:dyDescent="0.25">
      <c r="A17" s="51" t="s">
        <v>284</v>
      </c>
      <c r="B17" s="52">
        <v>17.690000000000001</v>
      </c>
      <c r="C17" s="52">
        <v>57.53</v>
      </c>
      <c r="D17" s="52">
        <v>82.96</v>
      </c>
      <c r="E17" s="52">
        <v>4.79</v>
      </c>
      <c r="F17" s="52">
        <v>12.16</v>
      </c>
      <c r="G17" s="52">
        <v>50.81</v>
      </c>
      <c r="H17" s="52">
        <v>17.86</v>
      </c>
      <c r="I17" s="52">
        <v>4.18</v>
      </c>
      <c r="J17" s="52">
        <v>1</v>
      </c>
      <c r="K17" s="52">
        <v>192.1</v>
      </c>
      <c r="L17" s="52">
        <v>31.87</v>
      </c>
      <c r="M17" s="52">
        <v>35.36</v>
      </c>
      <c r="N17" s="52">
        <v>654.9</v>
      </c>
      <c r="O17" s="52">
        <v>0</v>
      </c>
      <c r="P17" s="52">
        <v>0.43</v>
      </c>
      <c r="Q17" s="53" t="s">
        <v>15</v>
      </c>
      <c r="R17" s="43"/>
      <c r="S17" s="43"/>
      <c r="T17" s="43"/>
      <c r="U17" s="43"/>
    </row>
    <row r="18" spans="1:21" s="11" customFormat="1" x14ac:dyDescent="0.25">
      <c r="A18" s="51" t="s">
        <v>285</v>
      </c>
      <c r="B18" s="52">
        <v>18.22</v>
      </c>
      <c r="C18" s="52">
        <v>59.65</v>
      </c>
      <c r="D18" s="52">
        <v>86.2</v>
      </c>
      <c r="E18" s="52">
        <v>5.13</v>
      </c>
      <c r="F18" s="52">
        <v>11.99</v>
      </c>
      <c r="G18" s="52">
        <v>45.38</v>
      </c>
      <c r="H18" s="52">
        <v>12.15</v>
      </c>
      <c r="I18" s="52">
        <v>4.3099999999999996</v>
      </c>
      <c r="J18" s="52">
        <v>1.03</v>
      </c>
      <c r="K18" s="52">
        <v>296.55</v>
      </c>
      <c r="L18" s="52">
        <v>34.770000000000003</v>
      </c>
      <c r="M18" s="52">
        <v>29.87</v>
      </c>
      <c r="N18" s="52">
        <v>846.5</v>
      </c>
      <c r="O18" s="52">
        <v>0</v>
      </c>
      <c r="P18" s="52">
        <v>0.46</v>
      </c>
      <c r="Q18" s="53" t="s">
        <v>15</v>
      </c>
      <c r="R18" s="43"/>
      <c r="S18" s="43"/>
      <c r="T18" s="43"/>
      <c r="U18" s="43"/>
    </row>
    <row r="19" spans="1:21" s="11" customFormat="1" x14ac:dyDescent="0.25">
      <c r="A19" s="51" t="s">
        <v>286</v>
      </c>
      <c r="B19" s="52">
        <v>3.91</v>
      </c>
      <c r="C19" s="52">
        <v>46.73</v>
      </c>
      <c r="D19" s="52">
        <v>83.43</v>
      </c>
      <c r="E19" s="52">
        <v>3.24</v>
      </c>
      <c r="F19" s="52">
        <v>11.6</v>
      </c>
      <c r="G19" s="52">
        <v>41.47</v>
      </c>
      <c r="H19" s="52">
        <v>11.59</v>
      </c>
      <c r="I19" s="52">
        <v>4.07</v>
      </c>
      <c r="J19" s="52">
        <v>2.0099999999999998</v>
      </c>
      <c r="K19" s="52">
        <v>160.44</v>
      </c>
      <c r="L19" s="52">
        <v>33.72</v>
      </c>
      <c r="M19" s="52">
        <v>30.38</v>
      </c>
      <c r="N19" s="52">
        <v>937.3</v>
      </c>
      <c r="O19" s="52">
        <v>0</v>
      </c>
      <c r="P19" s="52">
        <v>0.4</v>
      </c>
      <c r="Q19" s="53" t="s">
        <v>15</v>
      </c>
      <c r="R19" s="43"/>
      <c r="S19" s="43"/>
      <c r="T19" s="43"/>
      <c r="U19" s="43"/>
    </row>
    <row r="20" spans="1:21" s="11" customFormat="1" x14ac:dyDescent="0.25">
      <c r="A20" s="51" t="s">
        <v>287</v>
      </c>
      <c r="B20" s="52">
        <v>4.0199999999999996</v>
      </c>
      <c r="C20" s="52">
        <v>45.08</v>
      </c>
      <c r="D20" s="52">
        <v>80.94</v>
      </c>
      <c r="E20" s="52">
        <v>4.21</v>
      </c>
      <c r="F20" s="52">
        <v>24.38</v>
      </c>
      <c r="G20" s="52">
        <v>37.08</v>
      </c>
      <c r="H20" s="52">
        <v>11.15</v>
      </c>
      <c r="I20" s="52">
        <v>4.12</v>
      </c>
      <c r="J20" s="52">
        <v>0.53</v>
      </c>
      <c r="K20" s="52">
        <v>278.27</v>
      </c>
      <c r="L20" s="52">
        <v>37.22</v>
      </c>
      <c r="M20" s="52">
        <v>27.77</v>
      </c>
      <c r="N20" s="52">
        <v>975.7</v>
      </c>
      <c r="O20" s="52">
        <v>0</v>
      </c>
      <c r="P20" s="52">
        <v>0.41</v>
      </c>
      <c r="Q20" s="53" t="s">
        <v>15</v>
      </c>
      <c r="R20" s="43"/>
      <c r="S20" s="43"/>
      <c r="T20" s="43"/>
      <c r="U20" s="43"/>
    </row>
    <row r="21" spans="1:21" s="11" customFormat="1" x14ac:dyDescent="0.25">
      <c r="A21" s="51" t="s">
        <v>288</v>
      </c>
      <c r="B21" s="52">
        <v>5.33</v>
      </c>
      <c r="C21" s="52">
        <v>42.6</v>
      </c>
      <c r="D21" s="52">
        <v>73.760000000000005</v>
      </c>
      <c r="E21" s="52">
        <v>8.3699999999999992</v>
      </c>
      <c r="F21" s="52">
        <v>24.94</v>
      </c>
      <c r="G21" s="52">
        <v>39.159999999999997</v>
      </c>
      <c r="H21" s="52">
        <v>11.22</v>
      </c>
      <c r="I21" s="52">
        <v>4.16</v>
      </c>
      <c r="J21" s="52">
        <v>0.94</v>
      </c>
      <c r="K21" s="52">
        <v>326.22000000000003</v>
      </c>
      <c r="L21" s="52">
        <v>39.18</v>
      </c>
      <c r="M21" s="52">
        <v>26.51</v>
      </c>
      <c r="N21" s="52">
        <v>961.9</v>
      </c>
      <c r="O21" s="52">
        <v>0</v>
      </c>
      <c r="P21" s="52">
        <v>0.51</v>
      </c>
      <c r="Q21" s="53" t="s">
        <v>15</v>
      </c>
      <c r="R21" s="43"/>
      <c r="S21" s="43"/>
      <c r="T21" s="43"/>
      <c r="U21" s="43"/>
    </row>
    <row r="22" spans="1:21" s="11" customFormat="1" x14ac:dyDescent="0.25">
      <c r="A22" s="51" t="s">
        <v>289</v>
      </c>
      <c r="B22" s="52">
        <v>3.29</v>
      </c>
      <c r="C22" s="52">
        <v>48</v>
      </c>
      <c r="D22" s="52">
        <v>86.83</v>
      </c>
      <c r="E22" s="52">
        <v>11.52</v>
      </c>
      <c r="F22" s="52">
        <v>28.43</v>
      </c>
      <c r="G22" s="52">
        <v>39.450000000000003</v>
      </c>
      <c r="H22" s="52">
        <v>11.98</v>
      </c>
      <c r="I22" s="52">
        <v>4.0999999999999996</v>
      </c>
      <c r="J22" s="52">
        <v>0.87</v>
      </c>
      <c r="K22" s="52">
        <v>298.54000000000002</v>
      </c>
      <c r="L22" s="52">
        <v>39.32</v>
      </c>
      <c r="M22" s="52">
        <v>20.77</v>
      </c>
      <c r="N22" s="52">
        <v>877.8</v>
      </c>
      <c r="O22" s="52">
        <v>0</v>
      </c>
      <c r="P22" s="52">
        <v>0.63</v>
      </c>
      <c r="Q22" s="53" t="s">
        <v>15</v>
      </c>
      <c r="R22" s="43"/>
      <c r="S22" s="43"/>
      <c r="T22" s="43"/>
      <c r="U22" s="43"/>
    </row>
    <row r="23" spans="1:21" s="11" customFormat="1" x14ac:dyDescent="0.25">
      <c r="A23" s="51" t="s">
        <v>290</v>
      </c>
      <c r="B23" s="52">
        <v>8.7899999999999991</v>
      </c>
      <c r="C23" s="52">
        <v>47.68</v>
      </c>
      <c r="D23" s="52">
        <v>82.72</v>
      </c>
      <c r="E23" s="52">
        <v>7.49</v>
      </c>
      <c r="F23" s="52">
        <v>24.56</v>
      </c>
      <c r="G23" s="52">
        <v>40.08</v>
      </c>
      <c r="H23" s="52">
        <v>12.24</v>
      </c>
      <c r="I23" s="52">
        <v>4.07</v>
      </c>
      <c r="J23" s="52">
        <v>1.26</v>
      </c>
      <c r="K23" s="52">
        <v>319.20999999999998</v>
      </c>
      <c r="L23" s="52">
        <v>39.68</v>
      </c>
      <c r="M23" s="52">
        <v>21.24</v>
      </c>
      <c r="N23" s="52">
        <v>571.4</v>
      </c>
      <c r="O23" s="52">
        <v>0</v>
      </c>
      <c r="P23" s="52">
        <v>0.52</v>
      </c>
      <c r="Q23" s="53" t="s">
        <v>15</v>
      </c>
      <c r="R23" s="43"/>
      <c r="S23" s="43"/>
      <c r="T23" s="43"/>
      <c r="U23" s="43"/>
    </row>
    <row r="24" spans="1:21" s="11" customFormat="1" x14ac:dyDescent="0.25">
      <c r="A24" s="51" t="s">
        <v>291</v>
      </c>
      <c r="B24" s="52">
        <v>7.14</v>
      </c>
      <c r="C24" s="52">
        <v>46.47</v>
      </c>
      <c r="D24" s="52">
        <v>79.069999999999993</v>
      </c>
      <c r="E24" s="52">
        <v>5.25</v>
      </c>
      <c r="F24" s="52">
        <v>26.72</v>
      </c>
      <c r="G24" s="52">
        <v>40.08</v>
      </c>
      <c r="H24" s="52">
        <v>12.24</v>
      </c>
      <c r="I24" s="52">
        <v>4.12</v>
      </c>
      <c r="J24" s="52">
        <v>1.46</v>
      </c>
      <c r="K24" s="52">
        <v>334.85</v>
      </c>
      <c r="L24" s="52">
        <v>38.58</v>
      </c>
      <c r="M24" s="52">
        <v>20.52</v>
      </c>
      <c r="N24" s="52">
        <v>451.5</v>
      </c>
      <c r="O24" s="52">
        <v>0</v>
      </c>
      <c r="P24" s="52">
        <v>0.49</v>
      </c>
      <c r="Q24" s="53" t="s">
        <v>15</v>
      </c>
      <c r="R24" s="43"/>
      <c r="S24" s="43"/>
      <c r="T24" s="43"/>
      <c r="U24" s="43"/>
    </row>
    <row r="25" spans="1:21" s="11" customFormat="1" x14ac:dyDescent="0.25">
      <c r="A25" s="51" t="s">
        <v>292</v>
      </c>
      <c r="B25" s="52">
        <v>5.36</v>
      </c>
      <c r="C25" s="52">
        <v>41.98</v>
      </c>
      <c r="D25" s="52">
        <v>74.05</v>
      </c>
      <c r="E25" s="52">
        <v>5.95</v>
      </c>
      <c r="F25" s="52">
        <v>31.17</v>
      </c>
      <c r="G25" s="52">
        <v>38.4</v>
      </c>
      <c r="H25" s="52">
        <v>11.29</v>
      </c>
      <c r="I25" s="52">
        <v>4.03</v>
      </c>
      <c r="J25" s="52">
        <v>0.72</v>
      </c>
      <c r="K25" s="52">
        <v>335.52</v>
      </c>
      <c r="L25" s="52">
        <v>37.6</v>
      </c>
      <c r="M25" s="52">
        <v>22.05</v>
      </c>
      <c r="N25" s="52">
        <v>183.2</v>
      </c>
      <c r="O25" s="52">
        <v>0</v>
      </c>
      <c r="P25" s="52">
        <v>0.54</v>
      </c>
      <c r="Q25" s="53" t="s">
        <v>15</v>
      </c>
      <c r="R25" s="43"/>
      <c r="S25" s="43"/>
      <c r="T25" s="43"/>
      <c r="U25" s="43"/>
    </row>
    <row r="26" spans="1:21" s="11" customFormat="1" x14ac:dyDescent="0.25">
      <c r="A26" s="51" t="s">
        <v>293</v>
      </c>
      <c r="B26" s="52">
        <v>10.199999999999999</v>
      </c>
      <c r="C26" s="52">
        <v>58.68</v>
      </c>
      <c r="D26" s="52">
        <v>106.56</v>
      </c>
      <c r="E26" s="52">
        <v>8.75</v>
      </c>
      <c r="F26" s="52">
        <v>35.29</v>
      </c>
      <c r="G26" s="52">
        <v>39.57</v>
      </c>
      <c r="H26" s="52">
        <v>11.07</v>
      </c>
      <c r="I26" s="52">
        <v>4.09</v>
      </c>
      <c r="J26" s="52">
        <v>0.79</v>
      </c>
      <c r="K26" s="52">
        <v>295.11</v>
      </c>
      <c r="L26" s="52">
        <v>36.130000000000003</v>
      </c>
      <c r="M26" s="52">
        <v>24.54</v>
      </c>
      <c r="N26" s="52">
        <v>104.7</v>
      </c>
      <c r="O26" s="52">
        <v>0</v>
      </c>
      <c r="P26" s="52">
        <v>0.6</v>
      </c>
      <c r="Q26" s="53" t="s">
        <v>15</v>
      </c>
      <c r="R26" s="43"/>
      <c r="S26" s="43"/>
      <c r="T26" s="43"/>
      <c r="U26" s="43"/>
    </row>
    <row r="27" spans="1:21" s="11" customFormat="1" x14ac:dyDescent="0.25">
      <c r="A27" s="51" t="s">
        <v>294</v>
      </c>
      <c r="B27" s="52">
        <v>17.63</v>
      </c>
      <c r="C27" s="52">
        <v>127.89</v>
      </c>
      <c r="D27" s="52">
        <v>217.72</v>
      </c>
      <c r="E27" s="52">
        <v>11.89</v>
      </c>
      <c r="F27" s="52">
        <v>25.75</v>
      </c>
      <c r="G27" s="52">
        <v>44.03</v>
      </c>
      <c r="H27" s="52">
        <v>15.44</v>
      </c>
      <c r="I27" s="52">
        <v>4.0199999999999996</v>
      </c>
      <c r="J27" s="52">
        <v>0.5</v>
      </c>
      <c r="K27" s="52">
        <v>253.55</v>
      </c>
      <c r="L27" s="52">
        <v>34.130000000000003</v>
      </c>
      <c r="M27" s="52">
        <v>30.43</v>
      </c>
      <c r="N27" s="52">
        <v>61.5</v>
      </c>
      <c r="O27" s="52">
        <v>0</v>
      </c>
      <c r="P27" s="52">
        <v>1.38</v>
      </c>
      <c r="Q27" s="53" t="s">
        <v>15</v>
      </c>
      <c r="R27" s="43"/>
      <c r="S27" s="43"/>
      <c r="T27" s="43"/>
      <c r="U27" s="43"/>
    </row>
    <row r="28" spans="1:21" s="11" customFormat="1" x14ac:dyDescent="0.25">
      <c r="A28" s="51" t="s">
        <v>295</v>
      </c>
      <c r="B28" s="52">
        <v>7.12</v>
      </c>
      <c r="C28" s="52">
        <v>78.930000000000007</v>
      </c>
      <c r="D28" s="52">
        <v>140.49</v>
      </c>
      <c r="E28" s="52">
        <v>9.7899999999999991</v>
      </c>
      <c r="F28" s="52">
        <v>22.9</v>
      </c>
      <c r="G28" s="52">
        <v>71.23</v>
      </c>
      <c r="H28" s="52">
        <v>15.44</v>
      </c>
      <c r="I28" s="52">
        <v>4.05</v>
      </c>
      <c r="J28" s="52">
        <v>0.85</v>
      </c>
      <c r="K28" s="52">
        <v>301.76</v>
      </c>
      <c r="L28" s="52">
        <v>32.369999999999997</v>
      </c>
      <c r="M28" s="52">
        <v>31.55</v>
      </c>
      <c r="N28" s="52">
        <v>55.3</v>
      </c>
      <c r="O28" s="52">
        <v>0</v>
      </c>
      <c r="P28" s="52">
        <v>1.33</v>
      </c>
      <c r="Q28" s="53" t="s">
        <v>15</v>
      </c>
      <c r="R28" s="43"/>
      <c r="S28" s="43"/>
      <c r="T28" s="43"/>
      <c r="U28" s="43"/>
    </row>
    <row r="29" spans="1:21" s="11" customFormat="1" x14ac:dyDescent="0.25">
      <c r="A29" s="51" t="s">
        <v>296</v>
      </c>
      <c r="B29" s="52">
        <v>43.26</v>
      </c>
      <c r="C29" s="52">
        <v>122.59</v>
      </c>
      <c r="D29" s="52">
        <v>168.24</v>
      </c>
      <c r="E29" s="52">
        <v>17.55</v>
      </c>
      <c r="F29" s="52">
        <v>15.8</v>
      </c>
      <c r="G29" s="52">
        <v>72.069999999999993</v>
      </c>
      <c r="H29" s="52">
        <v>13.46</v>
      </c>
      <c r="I29" s="52">
        <v>4.0199999999999996</v>
      </c>
      <c r="J29" s="52">
        <v>1.25</v>
      </c>
      <c r="K29" s="52">
        <v>353.07</v>
      </c>
      <c r="L29" s="52">
        <v>31.3</v>
      </c>
      <c r="M29" s="52">
        <v>29.74</v>
      </c>
      <c r="N29" s="52">
        <v>55.6</v>
      </c>
      <c r="O29" s="52">
        <v>0</v>
      </c>
      <c r="P29" s="52">
        <v>2.0099999999999998</v>
      </c>
      <c r="Q29" s="53" t="s">
        <v>15</v>
      </c>
      <c r="R29" s="43"/>
      <c r="S29" s="43"/>
      <c r="T29" s="43"/>
      <c r="U29" s="43"/>
    </row>
    <row r="30" spans="1:21" s="11" customFormat="1" x14ac:dyDescent="0.25">
      <c r="A30" s="51" t="s">
        <v>297</v>
      </c>
      <c r="B30" s="52">
        <v>27.1</v>
      </c>
      <c r="C30" s="52">
        <v>78.680000000000007</v>
      </c>
      <c r="D30" s="52">
        <v>117.98</v>
      </c>
      <c r="E30" s="52">
        <v>12.13</v>
      </c>
      <c r="F30" s="52">
        <v>14.4</v>
      </c>
      <c r="G30" s="52">
        <v>72.069999999999993</v>
      </c>
      <c r="H30" s="52">
        <v>13.46</v>
      </c>
      <c r="I30" s="52">
        <v>4.09</v>
      </c>
      <c r="J30" s="52">
        <v>1.84</v>
      </c>
      <c r="K30" s="52">
        <v>100.09</v>
      </c>
      <c r="L30" s="52">
        <v>31.16</v>
      </c>
      <c r="M30" s="52">
        <v>29.32</v>
      </c>
      <c r="N30" s="52">
        <v>56.1</v>
      </c>
      <c r="O30" s="52">
        <v>0</v>
      </c>
      <c r="P30" s="52">
        <v>0.96</v>
      </c>
      <c r="Q30" s="53" t="s">
        <v>15</v>
      </c>
      <c r="R30" s="43"/>
      <c r="S30" s="43"/>
      <c r="T30" s="43"/>
      <c r="U30" s="43"/>
    </row>
    <row r="31" spans="1:21" s="11" customFormat="1" x14ac:dyDescent="0.25">
      <c r="A31" s="51" t="s">
        <v>298</v>
      </c>
      <c r="B31" s="52">
        <v>10.220000000000001</v>
      </c>
      <c r="C31" s="52">
        <v>57.62</v>
      </c>
      <c r="D31" s="52">
        <v>95.65</v>
      </c>
      <c r="E31" s="52">
        <v>6.64</v>
      </c>
      <c r="F31" s="52">
        <v>15.84</v>
      </c>
      <c r="G31" s="52">
        <v>72.099999999999994</v>
      </c>
      <c r="H31" s="52">
        <v>16.34</v>
      </c>
      <c r="I31" s="52">
        <v>4.1399999999999997</v>
      </c>
      <c r="J31" s="52">
        <v>2.2799999999999998</v>
      </c>
      <c r="K31" s="52">
        <v>96.1</v>
      </c>
      <c r="L31" s="52">
        <v>29.9</v>
      </c>
      <c r="M31" s="52">
        <v>32.39</v>
      </c>
      <c r="N31" s="52">
        <v>56</v>
      </c>
      <c r="O31" s="52">
        <v>0</v>
      </c>
      <c r="P31" s="52">
        <v>0.9</v>
      </c>
      <c r="Q31" s="53" t="s">
        <v>15</v>
      </c>
      <c r="R31" s="43"/>
      <c r="S31" s="43"/>
      <c r="T31" s="43"/>
      <c r="U31" s="43"/>
    </row>
    <row r="32" spans="1:21" s="11" customFormat="1" x14ac:dyDescent="0.25">
      <c r="A32" s="51" t="s">
        <v>299</v>
      </c>
      <c r="B32" s="52">
        <v>7.49</v>
      </c>
      <c r="C32" s="52">
        <v>53</v>
      </c>
      <c r="D32" s="52">
        <v>91.15</v>
      </c>
      <c r="E32" s="52">
        <v>3.95</v>
      </c>
      <c r="F32" s="52">
        <v>8.8699999999999992</v>
      </c>
      <c r="G32" s="52">
        <v>72.099999999999994</v>
      </c>
      <c r="H32" s="52">
        <v>16.34</v>
      </c>
      <c r="I32" s="52">
        <v>4.0999999999999996</v>
      </c>
      <c r="J32" s="52">
        <v>2.8</v>
      </c>
      <c r="K32" s="52">
        <v>105.53</v>
      </c>
      <c r="L32" s="52">
        <v>28.97</v>
      </c>
      <c r="M32" s="52">
        <v>37.479999999999997</v>
      </c>
      <c r="N32" s="52">
        <v>56.1</v>
      </c>
      <c r="O32" s="52">
        <v>0</v>
      </c>
      <c r="P32" s="52">
        <v>0.83</v>
      </c>
      <c r="Q32" s="53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3.29</v>
      </c>
      <c r="C34" s="28">
        <f t="shared" si="0"/>
        <v>40.96</v>
      </c>
      <c r="D34" s="28">
        <f t="shared" si="0"/>
        <v>73.760000000000005</v>
      </c>
      <c r="E34" s="28">
        <f t="shared" si="0"/>
        <v>3.24</v>
      </c>
      <c r="F34" s="28">
        <f t="shared" si="0"/>
        <v>7.58</v>
      </c>
      <c r="G34" s="28">
        <f t="shared" si="0"/>
        <v>34.32</v>
      </c>
      <c r="H34" s="28">
        <f t="shared" si="0"/>
        <v>11.07</v>
      </c>
      <c r="I34" s="28">
        <f t="shared" si="0"/>
        <v>4.0199999999999996</v>
      </c>
      <c r="J34" s="28">
        <f t="shared" si="0"/>
        <v>0.33</v>
      </c>
      <c r="K34" s="28">
        <f t="shared" si="0"/>
        <v>96.1</v>
      </c>
      <c r="L34" s="28">
        <f t="shared" si="0"/>
        <v>22.85</v>
      </c>
      <c r="M34" s="28">
        <f t="shared" si="0"/>
        <v>20.52</v>
      </c>
      <c r="N34" s="28">
        <f t="shared" si="0"/>
        <v>46.4</v>
      </c>
      <c r="O34" s="28">
        <f t="shared" si="0"/>
        <v>0</v>
      </c>
      <c r="P34" s="28">
        <f t="shared" si="0"/>
        <v>0.33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43.26</v>
      </c>
      <c r="C35" s="29">
        <f t="shared" si="1"/>
        <v>127.89</v>
      </c>
      <c r="D35" s="29">
        <f t="shared" si="1"/>
        <v>217.72</v>
      </c>
      <c r="E35" s="29">
        <f t="shared" si="1"/>
        <v>54.26</v>
      </c>
      <c r="F35" s="29">
        <f t="shared" si="1"/>
        <v>35.29</v>
      </c>
      <c r="G35" s="29">
        <f t="shared" si="1"/>
        <v>72.099999999999994</v>
      </c>
      <c r="H35" s="29">
        <f t="shared" si="1"/>
        <v>17.86</v>
      </c>
      <c r="I35" s="29">
        <f t="shared" si="1"/>
        <v>4.3099999999999996</v>
      </c>
      <c r="J35" s="29">
        <f t="shared" si="1"/>
        <v>2.8</v>
      </c>
      <c r="K35" s="29">
        <f t="shared" si="1"/>
        <v>354.44</v>
      </c>
      <c r="L35" s="29">
        <f t="shared" si="1"/>
        <v>39.68</v>
      </c>
      <c r="M35" s="29">
        <f t="shared" si="1"/>
        <v>59.85</v>
      </c>
      <c r="N35" s="29">
        <f t="shared" si="1"/>
        <v>975.7</v>
      </c>
      <c r="O35" s="29">
        <f t="shared" si="1"/>
        <v>0</v>
      </c>
      <c r="P35" s="29">
        <f t="shared" si="1"/>
        <v>2.0099999999999998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11.958750000000002</v>
      </c>
      <c r="C36" s="28">
        <f t="shared" si="2"/>
        <v>60.241250000000001</v>
      </c>
      <c r="D36" s="28">
        <f t="shared" si="2"/>
        <v>98.571666666666673</v>
      </c>
      <c r="E36" s="28">
        <f t="shared" si="2"/>
        <v>9.0762499999999999</v>
      </c>
      <c r="F36" s="28">
        <f t="shared" si="2"/>
        <v>17.921666666666667</v>
      </c>
      <c r="G36" s="28">
        <f t="shared" si="2"/>
        <v>49.880833333333328</v>
      </c>
      <c r="H36" s="28">
        <f t="shared" si="2"/>
        <v>13.561249999999996</v>
      </c>
      <c r="I36" s="28">
        <f t="shared" si="2"/>
        <v>4.1020833333333337</v>
      </c>
      <c r="J36" s="28">
        <f t="shared" si="2"/>
        <v>1.1454166666666665</v>
      </c>
      <c r="K36" s="28">
        <f t="shared" si="2"/>
        <v>262.50666666666672</v>
      </c>
      <c r="L36" s="28">
        <f t="shared" si="2"/>
        <v>31.918333333333333</v>
      </c>
      <c r="M36" s="28">
        <f t="shared" si="2"/>
        <v>34.972499999999997</v>
      </c>
      <c r="N36" s="28">
        <f t="shared" si="2"/>
        <v>325.92083333333335</v>
      </c>
      <c r="O36" s="28">
        <f t="shared" si="2"/>
        <v>0</v>
      </c>
      <c r="P36" s="28">
        <f t="shared" si="2"/>
        <v>0.67291666666666672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9.7969273410639772</v>
      </c>
      <c r="C37" s="28">
        <f t="shared" ref="C37:Q37" si="3">STDEV(C9:C32)</f>
        <v>22.458688318293689</v>
      </c>
      <c r="D37" s="28">
        <f t="shared" si="3"/>
        <v>33.556954915313817</v>
      </c>
      <c r="E37" s="28">
        <f t="shared" si="3"/>
        <v>10.250295780461974</v>
      </c>
      <c r="F37" s="28">
        <f t="shared" si="3"/>
        <v>8.1234008013707033</v>
      </c>
      <c r="G37" s="28">
        <f t="shared" si="3"/>
        <v>13.36680148292994</v>
      </c>
      <c r="H37" s="28">
        <f t="shared" si="3"/>
        <v>2.1638840130051351</v>
      </c>
      <c r="I37" s="28">
        <f t="shared" si="3"/>
        <v>6.8077907203992094E-2</v>
      </c>
      <c r="J37" s="28">
        <f t="shared" si="3"/>
        <v>0.63316993506219676</v>
      </c>
      <c r="K37" s="28">
        <f t="shared" si="3"/>
        <v>85.323341557235892</v>
      </c>
      <c r="L37" s="28">
        <f t="shared" si="3"/>
        <v>5.2864138141553649</v>
      </c>
      <c r="M37" s="28">
        <f t="shared" si="3"/>
        <v>11.687114885540673</v>
      </c>
      <c r="N37" s="28">
        <f t="shared" si="3"/>
        <v>358.39796677796556</v>
      </c>
      <c r="O37" s="28">
        <f t="shared" si="3"/>
        <v>0</v>
      </c>
      <c r="P37" s="28">
        <f t="shared" si="3"/>
        <v>0.39841511197402552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4.4257812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5.5" customHeight="1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11/04/2025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300</v>
      </c>
      <c r="B9" s="52">
        <v>3.36</v>
      </c>
      <c r="C9" s="52">
        <v>45.93</v>
      </c>
      <c r="D9" s="52">
        <v>83.85</v>
      </c>
      <c r="E9" s="52">
        <v>3.57</v>
      </c>
      <c r="F9" s="52">
        <v>8.39</v>
      </c>
      <c r="G9" s="52">
        <v>85.76</v>
      </c>
      <c r="H9" s="52">
        <v>16.170000000000002</v>
      </c>
      <c r="I9" s="52">
        <v>4.1399999999999997</v>
      </c>
      <c r="J9" s="52">
        <v>3.96</v>
      </c>
      <c r="K9" s="52">
        <v>105.77</v>
      </c>
      <c r="L9" s="52">
        <v>28.23</v>
      </c>
      <c r="M9" s="52">
        <v>46.36</v>
      </c>
      <c r="N9" s="52">
        <v>56.4</v>
      </c>
      <c r="O9" s="52">
        <v>0</v>
      </c>
      <c r="P9" s="52">
        <v>0.64</v>
      </c>
      <c r="Q9" s="53" t="s">
        <v>15</v>
      </c>
      <c r="R9" s="43"/>
      <c r="S9" s="43"/>
      <c r="T9" s="43"/>
      <c r="U9" s="43"/>
    </row>
    <row r="10" spans="1:21" s="11" customFormat="1" x14ac:dyDescent="0.25">
      <c r="A10" s="51" t="s">
        <v>301</v>
      </c>
      <c r="B10" s="52">
        <v>0.94</v>
      </c>
      <c r="C10" s="52">
        <v>40.020000000000003</v>
      </c>
      <c r="D10" s="52">
        <v>75.150000000000006</v>
      </c>
      <c r="E10" s="52">
        <v>2.91</v>
      </c>
      <c r="F10" s="52">
        <v>11.43</v>
      </c>
      <c r="G10" s="52">
        <v>85.76</v>
      </c>
      <c r="H10" s="52">
        <v>14.41</v>
      </c>
      <c r="I10" s="52">
        <v>4.1100000000000003</v>
      </c>
      <c r="J10" s="52">
        <v>3.64</v>
      </c>
      <c r="K10" s="52">
        <v>99.58</v>
      </c>
      <c r="L10" s="52">
        <v>27.03</v>
      </c>
      <c r="M10" s="52">
        <v>47.39</v>
      </c>
      <c r="N10" s="52">
        <v>56</v>
      </c>
      <c r="O10" s="52">
        <v>0</v>
      </c>
      <c r="P10" s="52">
        <v>0.45</v>
      </c>
      <c r="Q10" s="53" t="s">
        <v>15</v>
      </c>
      <c r="R10" s="43"/>
      <c r="S10" s="43"/>
      <c r="T10" s="43"/>
      <c r="U10" s="43"/>
    </row>
    <row r="11" spans="1:21" s="11" customFormat="1" x14ac:dyDescent="0.25">
      <c r="A11" s="51" t="s">
        <v>302</v>
      </c>
      <c r="B11" s="52">
        <v>1.1299999999999999</v>
      </c>
      <c r="C11" s="52">
        <v>32.14</v>
      </c>
      <c r="D11" s="52">
        <v>60.11</v>
      </c>
      <c r="E11" s="52">
        <v>3.65</v>
      </c>
      <c r="F11" s="52">
        <v>15.37</v>
      </c>
      <c r="G11" s="52">
        <v>84</v>
      </c>
      <c r="H11" s="52">
        <v>14.41</v>
      </c>
      <c r="I11" s="52">
        <v>4.1500000000000004</v>
      </c>
      <c r="J11" s="52">
        <v>1.45</v>
      </c>
      <c r="K11" s="52">
        <v>95.41</v>
      </c>
      <c r="L11" s="52">
        <v>26.62</v>
      </c>
      <c r="M11" s="52">
        <v>47.61</v>
      </c>
      <c r="N11" s="52">
        <v>55.7</v>
      </c>
      <c r="O11" s="52">
        <v>0</v>
      </c>
      <c r="P11" s="52">
        <v>0.38</v>
      </c>
      <c r="Q11" s="53" t="s">
        <v>15</v>
      </c>
      <c r="R11" s="43"/>
      <c r="S11" s="43"/>
      <c r="T11" s="43"/>
      <c r="U11" s="43"/>
    </row>
    <row r="12" spans="1:21" s="11" customFormat="1" x14ac:dyDescent="0.25">
      <c r="A12" s="51" t="s">
        <v>303</v>
      </c>
      <c r="B12" s="52">
        <v>1.48</v>
      </c>
      <c r="C12" s="52">
        <v>35.83</v>
      </c>
      <c r="D12" s="52">
        <v>66.36</v>
      </c>
      <c r="E12" s="52">
        <v>3.43</v>
      </c>
      <c r="F12" s="52">
        <v>9.6199999999999992</v>
      </c>
      <c r="G12" s="52">
        <v>71.209999999999994</v>
      </c>
      <c r="H12" s="52">
        <v>14.7</v>
      </c>
      <c r="I12" s="52">
        <v>4.18</v>
      </c>
      <c r="J12" s="52">
        <v>1.36</v>
      </c>
      <c r="K12" s="52">
        <v>92.79</v>
      </c>
      <c r="L12" s="52">
        <v>26.17</v>
      </c>
      <c r="M12" s="52">
        <v>50.25</v>
      </c>
      <c r="N12" s="52">
        <v>55.9</v>
      </c>
      <c r="O12" s="52">
        <v>0</v>
      </c>
      <c r="P12" s="52">
        <v>0.34</v>
      </c>
      <c r="Q12" s="53" t="s">
        <v>15</v>
      </c>
      <c r="R12" s="43"/>
      <c r="S12" s="43"/>
      <c r="T12" s="43"/>
      <c r="U12" s="43"/>
    </row>
    <row r="13" spans="1:21" s="11" customFormat="1" x14ac:dyDescent="0.25">
      <c r="A13" s="51" t="s">
        <v>304</v>
      </c>
      <c r="B13" s="52">
        <v>1.81</v>
      </c>
      <c r="C13" s="52">
        <v>37.35</v>
      </c>
      <c r="D13" s="52">
        <v>68.7</v>
      </c>
      <c r="E13" s="52">
        <v>3.04</v>
      </c>
      <c r="F13" s="52">
        <v>9.17</v>
      </c>
      <c r="G13" s="52">
        <v>61.98</v>
      </c>
      <c r="H13" s="52">
        <v>16.03</v>
      </c>
      <c r="I13" s="52">
        <v>4.04</v>
      </c>
      <c r="J13" s="52">
        <v>1.19</v>
      </c>
      <c r="K13" s="52">
        <v>126.98</v>
      </c>
      <c r="L13" s="52">
        <v>25.49</v>
      </c>
      <c r="M13" s="52">
        <v>51.42</v>
      </c>
      <c r="N13" s="52">
        <v>55.9</v>
      </c>
      <c r="O13" s="52">
        <v>0</v>
      </c>
      <c r="P13" s="52">
        <v>0.33</v>
      </c>
      <c r="Q13" s="53" t="s">
        <v>15</v>
      </c>
      <c r="R13" s="43"/>
      <c r="S13" s="43"/>
      <c r="T13" s="43"/>
      <c r="U13" s="43"/>
    </row>
    <row r="14" spans="1:21" s="11" customFormat="1" x14ac:dyDescent="0.25">
      <c r="A14" s="51" t="s">
        <v>305</v>
      </c>
      <c r="B14" s="52">
        <v>3.2</v>
      </c>
      <c r="C14" s="52">
        <v>38.11</v>
      </c>
      <c r="D14" s="52">
        <v>69.900000000000006</v>
      </c>
      <c r="E14" s="52">
        <v>3.65</v>
      </c>
      <c r="F14" s="52">
        <v>15.11</v>
      </c>
      <c r="G14" s="52">
        <v>57.49</v>
      </c>
      <c r="H14" s="52">
        <v>16.03</v>
      </c>
      <c r="I14" s="52">
        <v>4.0199999999999996</v>
      </c>
      <c r="J14" s="52">
        <v>1.74</v>
      </c>
      <c r="K14" s="52">
        <v>98.34</v>
      </c>
      <c r="L14" s="52">
        <v>24.92</v>
      </c>
      <c r="M14" s="52">
        <v>53.67</v>
      </c>
      <c r="N14" s="52">
        <v>60.1</v>
      </c>
      <c r="O14" s="52">
        <v>0</v>
      </c>
      <c r="P14" s="52">
        <v>0.3</v>
      </c>
      <c r="Q14" s="53" t="s">
        <v>15</v>
      </c>
      <c r="R14" s="43"/>
      <c r="S14" s="43"/>
      <c r="T14" s="43"/>
      <c r="U14" s="43"/>
    </row>
    <row r="15" spans="1:21" s="11" customFormat="1" x14ac:dyDescent="0.25">
      <c r="A15" s="51" t="s">
        <v>306</v>
      </c>
      <c r="B15" s="52">
        <v>17.5</v>
      </c>
      <c r="C15" s="52">
        <v>57.75</v>
      </c>
      <c r="D15" s="52">
        <v>87.95</v>
      </c>
      <c r="E15" s="52">
        <v>4.99</v>
      </c>
      <c r="F15" s="52">
        <v>14.47</v>
      </c>
      <c r="G15" s="52">
        <v>48.81</v>
      </c>
      <c r="H15" s="52">
        <v>13.57</v>
      </c>
      <c r="I15" s="52">
        <v>3.98</v>
      </c>
      <c r="J15" s="52">
        <v>0.59</v>
      </c>
      <c r="K15" s="52">
        <v>57.73</v>
      </c>
      <c r="L15" s="52">
        <v>25.31</v>
      </c>
      <c r="M15" s="52">
        <v>55.32</v>
      </c>
      <c r="N15" s="52">
        <v>164.2</v>
      </c>
      <c r="O15" s="52">
        <v>0</v>
      </c>
      <c r="P15" s="52">
        <v>0.47</v>
      </c>
      <c r="Q15" s="53" t="s">
        <v>15</v>
      </c>
      <c r="R15" s="43"/>
      <c r="S15" s="43"/>
      <c r="T15" s="43"/>
      <c r="U15" s="43"/>
    </row>
    <row r="16" spans="1:21" s="11" customFormat="1" x14ac:dyDescent="0.25">
      <c r="A16" s="51" t="s">
        <v>307</v>
      </c>
      <c r="B16" s="52">
        <v>9.01</v>
      </c>
      <c r="C16" s="52">
        <v>47.36</v>
      </c>
      <c r="D16" s="52">
        <v>77.69</v>
      </c>
      <c r="E16" s="52">
        <v>5.49</v>
      </c>
      <c r="F16" s="52">
        <v>10.4</v>
      </c>
      <c r="G16" s="52">
        <v>53.53</v>
      </c>
      <c r="H16" s="52">
        <v>13.57</v>
      </c>
      <c r="I16" s="52">
        <v>4.0199999999999996</v>
      </c>
      <c r="J16" s="52">
        <v>1.01</v>
      </c>
      <c r="K16" s="52">
        <v>99.15</v>
      </c>
      <c r="L16" s="52">
        <v>26.94</v>
      </c>
      <c r="M16" s="52">
        <v>53.5</v>
      </c>
      <c r="N16" s="52">
        <v>352.8</v>
      </c>
      <c r="O16" s="52">
        <v>0</v>
      </c>
      <c r="P16" s="52">
        <v>0.4</v>
      </c>
      <c r="Q16" s="53" t="s">
        <v>15</v>
      </c>
      <c r="R16" s="43"/>
      <c r="S16" s="43"/>
      <c r="T16" s="43"/>
      <c r="U16" s="43"/>
    </row>
    <row r="17" spans="1:21" s="11" customFormat="1" x14ac:dyDescent="0.25">
      <c r="A17" s="51" t="s">
        <v>308</v>
      </c>
      <c r="B17" s="52">
        <v>8.86</v>
      </c>
      <c r="C17" s="52">
        <v>49.41</v>
      </c>
      <c r="D17" s="52">
        <v>80.98</v>
      </c>
      <c r="E17" s="52">
        <v>4.37</v>
      </c>
      <c r="F17" s="52">
        <v>8.5</v>
      </c>
      <c r="G17" s="52">
        <v>53.53</v>
      </c>
      <c r="H17" s="52">
        <v>13.03</v>
      </c>
      <c r="I17" s="52">
        <v>4.0599999999999996</v>
      </c>
      <c r="J17" s="52">
        <v>1.1100000000000001</v>
      </c>
      <c r="K17" s="52">
        <v>127.82</v>
      </c>
      <c r="L17" s="52">
        <v>30</v>
      </c>
      <c r="M17" s="52">
        <v>49.28</v>
      </c>
      <c r="N17" s="52">
        <v>595.1</v>
      </c>
      <c r="O17" s="52">
        <v>0</v>
      </c>
      <c r="P17" s="52">
        <v>0.38</v>
      </c>
      <c r="Q17" s="53" t="s">
        <v>15</v>
      </c>
      <c r="R17" s="43"/>
      <c r="S17" s="43"/>
      <c r="T17" s="43"/>
      <c r="U17" s="43"/>
    </row>
    <row r="18" spans="1:21" s="11" customFormat="1" x14ac:dyDescent="0.25">
      <c r="A18" s="51" t="s">
        <v>309</v>
      </c>
      <c r="B18" s="52">
        <v>6.35</v>
      </c>
      <c r="C18" s="52">
        <v>47.96</v>
      </c>
      <c r="D18" s="52">
        <v>82.05</v>
      </c>
      <c r="E18" s="52">
        <v>3.95</v>
      </c>
      <c r="F18" s="52">
        <v>9.15</v>
      </c>
      <c r="G18" s="52">
        <v>50.94</v>
      </c>
      <c r="H18" s="52">
        <v>12.22</v>
      </c>
      <c r="I18" s="52">
        <v>4.0999999999999996</v>
      </c>
      <c r="J18" s="52">
        <v>0.68</v>
      </c>
      <c r="K18" s="52">
        <v>313.48</v>
      </c>
      <c r="L18" s="52">
        <v>33.57</v>
      </c>
      <c r="M18" s="52">
        <v>39.04</v>
      </c>
      <c r="N18" s="52">
        <v>764</v>
      </c>
      <c r="O18" s="52">
        <v>0</v>
      </c>
      <c r="P18" s="52">
        <v>0.41</v>
      </c>
      <c r="Q18" s="53" t="s">
        <v>15</v>
      </c>
      <c r="R18" s="43"/>
      <c r="S18" s="43"/>
      <c r="T18" s="43"/>
      <c r="U18" s="43"/>
    </row>
    <row r="19" spans="1:21" s="11" customFormat="1" x14ac:dyDescent="0.25">
      <c r="A19" s="51" t="s">
        <v>310</v>
      </c>
      <c r="B19" s="52">
        <v>3.05</v>
      </c>
      <c r="C19" s="52">
        <v>46.47</v>
      </c>
      <c r="D19" s="52">
        <v>87.15</v>
      </c>
      <c r="E19" s="52">
        <v>4.1399999999999997</v>
      </c>
      <c r="F19" s="52">
        <v>9.16</v>
      </c>
      <c r="G19" s="52">
        <v>53.39</v>
      </c>
      <c r="H19" s="52">
        <v>14.13</v>
      </c>
      <c r="I19" s="52">
        <v>4.0599999999999996</v>
      </c>
      <c r="J19" s="52">
        <v>1.03</v>
      </c>
      <c r="K19" s="52">
        <v>294.81</v>
      </c>
      <c r="L19" s="52">
        <v>34.58</v>
      </c>
      <c r="M19" s="52">
        <v>33.89</v>
      </c>
      <c r="N19" s="52">
        <v>855.5</v>
      </c>
      <c r="O19" s="52">
        <v>0</v>
      </c>
      <c r="P19" s="52">
        <v>0.52</v>
      </c>
      <c r="Q19" s="53" t="s">
        <v>15</v>
      </c>
      <c r="R19" s="43"/>
      <c r="S19" s="43"/>
      <c r="T19" s="43"/>
      <c r="U19" s="43"/>
    </row>
    <row r="20" spans="1:21" s="11" customFormat="1" x14ac:dyDescent="0.25">
      <c r="A20" s="51" t="s">
        <v>311</v>
      </c>
      <c r="B20" s="52">
        <v>3.19</v>
      </c>
      <c r="C20" s="52">
        <v>54.14</v>
      </c>
      <c r="D20" s="52">
        <v>99.83</v>
      </c>
      <c r="E20" s="52">
        <v>8.34</v>
      </c>
      <c r="F20" s="52">
        <v>15.02</v>
      </c>
      <c r="G20" s="52">
        <v>69.63</v>
      </c>
      <c r="H20" s="52">
        <v>14.34</v>
      </c>
      <c r="I20" s="52">
        <v>4.17</v>
      </c>
      <c r="J20" s="52">
        <v>1.19</v>
      </c>
      <c r="K20" s="52">
        <v>330.77</v>
      </c>
      <c r="L20" s="52">
        <v>38.36</v>
      </c>
      <c r="M20" s="52">
        <v>28.75</v>
      </c>
      <c r="N20" s="52">
        <v>853.1</v>
      </c>
      <c r="O20" s="52">
        <v>0</v>
      </c>
      <c r="P20" s="52">
        <v>0.83</v>
      </c>
      <c r="Q20" s="53" t="s">
        <v>15</v>
      </c>
      <c r="R20" s="43"/>
      <c r="S20" s="43"/>
      <c r="T20" s="43"/>
      <c r="U20" s="43"/>
    </row>
    <row r="21" spans="1:21" s="11" customFormat="1" x14ac:dyDescent="0.25">
      <c r="A21" s="51" t="s">
        <v>312</v>
      </c>
      <c r="B21" s="52">
        <v>2.08</v>
      </c>
      <c r="C21" s="52">
        <v>51.52</v>
      </c>
      <c r="D21" s="52">
        <v>96.24</v>
      </c>
      <c r="E21" s="52">
        <v>16.47</v>
      </c>
      <c r="F21" s="52">
        <v>26.49</v>
      </c>
      <c r="G21" s="52">
        <v>81.83</v>
      </c>
      <c r="H21" s="52">
        <v>14.34</v>
      </c>
      <c r="I21" s="52">
        <v>4.12</v>
      </c>
      <c r="J21" s="52">
        <v>0.83</v>
      </c>
      <c r="K21" s="52">
        <v>305.01</v>
      </c>
      <c r="L21" s="52">
        <v>38.520000000000003</v>
      </c>
      <c r="M21" s="52">
        <v>27.62</v>
      </c>
      <c r="N21" s="52">
        <v>847.3</v>
      </c>
      <c r="O21" s="52">
        <v>0</v>
      </c>
      <c r="P21" s="52">
        <v>0.89</v>
      </c>
      <c r="Q21" s="53" t="s">
        <v>15</v>
      </c>
      <c r="R21" s="43"/>
      <c r="S21" s="43"/>
      <c r="T21" s="43"/>
      <c r="U21" s="43"/>
    </row>
    <row r="22" spans="1:21" s="11" customFormat="1" x14ac:dyDescent="0.25">
      <c r="A22" s="51" t="s">
        <v>313</v>
      </c>
      <c r="B22" s="52">
        <v>2.95</v>
      </c>
      <c r="C22" s="52">
        <v>49.23</v>
      </c>
      <c r="D22" s="52">
        <v>89.7</v>
      </c>
      <c r="E22" s="52">
        <v>8.61</v>
      </c>
      <c r="F22" s="52">
        <v>24.98</v>
      </c>
      <c r="G22" s="52">
        <v>81.83</v>
      </c>
      <c r="H22" s="52">
        <v>26.24</v>
      </c>
      <c r="I22" s="52">
        <v>4.07</v>
      </c>
      <c r="J22" s="52">
        <v>1.35</v>
      </c>
      <c r="K22" s="52">
        <v>319.02999999999997</v>
      </c>
      <c r="L22" s="52">
        <v>40.19</v>
      </c>
      <c r="M22" s="52">
        <v>21.85</v>
      </c>
      <c r="N22" s="52">
        <v>815</v>
      </c>
      <c r="O22" s="52">
        <v>0</v>
      </c>
      <c r="P22" s="52">
        <v>0.82</v>
      </c>
      <c r="Q22" s="53" t="s">
        <v>15</v>
      </c>
      <c r="R22" s="43"/>
      <c r="S22" s="43"/>
      <c r="T22" s="43"/>
      <c r="U22" s="43"/>
    </row>
    <row r="23" spans="1:21" s="11" customFormat="1" x14ac:dyDescent="0.25">
      <c r="A23" s="51" t="s">
        <v>314</v>
      </c>
      <c r="B23" s="52">
        <v>6.4</v>
      </c>
      <c r="C23" s="52">
        <v>46.16</v>
      </c>
      <c r="D23" s="52">
        <v>80.39</v>
      </c>
      <c r="E23" s="52">
        <v>10.42</v>
      </c>
      <c r="F23" s="52">
        <v>24.68</v>
      </c>
      <c r="G23" s="52">
        <v>79.33</v>
      </c>
      <c r="H23" s="52">
        <v>26.44</v>
      </c>
      <c r="I23" s="52">
        <v>4.08</v>
      </c>
      <c r="J23" s="52">
        <v>1.82</v>
      </c>
      <c r="K23" s="52">
        <v>347.83</v>
      </c>
      <c r="L23" s="52">
        <v>40.1</v>
      </c>
      <c r="M23" s="52">
        <v>18.71</v>
      </c>
      <c r="N23" s="52">
        <v>501</v>
      </c>
      <c r="O23" s="52">
        <v>0</v>
      </c>
      <c r="P23" s="52">
        <v>0.73</v>
      </c>
      <c r="Q23" s="53" t="s">
        <v>15</v>
      </c>
      <c r="R23" s="43"/>
      <c r="S23" s="43"/>
      <c r="T23" s="43"/>
      <c r="U23" s="43"/>
    </row>
    <row r="24" spans="1:21" s="11" customFormat="1" x14ac:dyDescent="0.25">
      <c r="A24" s="51" t="s">
        <v>315</v>
      </c>
      <c r="B24" s="52">
        <v>8.0299999999999994</v>
      </c>
      <c r="C24" s="52">
        <v>54.6</v>
      </c>
      <c r="D24" s="52">
        <v>92.18</v>
      </c>
      <c r="E24" s="52">
        <v>11.16</v>
      </c>
      <c r="F24" s="52">
        <v>27.9</v>
      </c>
      <c r="G24" s="52">
        <v>65.02</v>
      </c>
      <c r="H24" s="52">
        <v>26.44</v>
      </c>
      <c r="I24" s="52">
        <v>4.07</v>
      </c>
      <c r="J24" s="52">
        <v>1.6</v>
      </c>
      <c r="K24" s="52">
        <v>353.86</v>
      </c>
      <c r="L24" s="52">
        <v>39.15</v>
      </c>
      <c r="M24" s="52">
        <v>18.57</v>
      </c>
      <c r="N24" s="52">
        <v>390</v>
      </c>
      <c r="O24" s="52">
        <v>0</v>
      </c>
      <c r="P24" s="52">
        <v>0.8</v>
      </c>
      <c r="Q24" s="53" t="s">
        <v>15</v>
      </c>
      <c r="R24" s="43"/>
      <c r="S24" s="43"/>
      <c r="T24" s="43"/>
      <c r="U24" s="43"/>
    </row>
    <row r="25" spans="1:21" s="11" customFormat="1" x14ac:dyDescent="0.25">
      <c r="A25" s="51" t="s">
        <v>316</v>
      </c>
      <c r="B25" s="52">
        <v>8.44</v>
      </c>
      <c r="C25" s="52">
        <v>53.1</v>
      </c>
      <c r="D25" s="52">
        <v>88.68</v>
      </c>
      <c r="E25" s="52">
        <v>14.1</v>
      </c>
      <c r="F25" s="52">
        <v>38.81</v>
      </c>
      <c r="G25" s="52">
        <v>64.08</v>
      </c>
      <c r="H25" s="52">
        <v>26.77</v>
      </c>
      <c r="I25" s="52">
        <v>4.16</v>
      </c>
      <c r="J25" s="52">
        <v>1.52</v>
      </c>
      <c r="K25" s="52">
        <v>331.68</v>
      </c>
      <c r="L25" s="52">
        <v>37.590000000000003</v>
      </c>
      <c r="M25" s="52">
        <v>20.079999999999998</v>
      </c>
      <c r="N25" s="52">
        <v>173.4</v>
      </c>
      <c r="O25" s="52">
        <v>0</v>
      </c>
      <c r="P25" s="52">
        <v>0.76</v>
      </c>
      <c r="Q25" s="53" t="s">
        <v>15</v>
      </c>
      <c r="R25" s="43"/>
      <c r="S25" s="43"/>
      <c r="T25" s="43"/>
      <c r="U25" s="43"/>
    </row>
    <row r="26" spans="1:21" s="11" customFormat="1" x14ac:dyDescent="0.25">
      <c r="A26" s="51" t="s">
        <v>317</v>
      </c>
      <c r="B26" s="52">
        <v>2.27</v>
      </c>
      <c r="C26" s="52">
        <v>39.78</v>
      </c>
      <c r="D26" s="52">
        <v>72.709999999999994</v>
      </c>
      <c r="E26" s="52">
        <v>22.55</v>
      </c>
      <c r="F26" s="52">
        <v>35.200000000000003</v>
      </c>
      <c r="G26" s="52">
        <v>64.08</v>
      </c>
      <c r="H26" s="54" t="s">
        <v>14</v>
      </c>
      <c r="I26" s="52">
        <v>4.1100000000000003</v>
      </c>
      <c r="J26" s="52">
        <v>1</v>
      </c>
      <c r="K26" s="52">
        <v>92.58</v>
      </c>
      <c r="L26" s="52">
        <v>34.99</v>
      </c>
      <c r="M26" s="52">
        <v>24.77</v>
      </c>
      <c r="N26" s="52">
        <v>108.1</v>
      </c>
      <c r="O26" s="52">
        <v>0</v>
      </c>
      <c r="P26" s="52">
        <v>0.66</v>
      </c>
      <c r="Q26" s="53" t="s">
        <v>15</v>
      </c>
      <c r="R26" s="43"/>
      <c r="S26" s="43"/>
      <c r="T26" s="43"/>
      <c r="U26" s="43"/>
    </row>
    <row r="27" spans="1:21" s="11" customFormat="1" x14ac:dyDescent="0.25">
      <c r="A27" s="51" t="s">
        <v>318</v>
      </c>
      <c r="B27" s="52">
        <v>5.17</v>
      </c>
      <c r="C27" s="52">
        <v>89.09</v>
      </c>
      <c r="D27" s="52">
        <v>162.58000000000001</v>
      </c>
      <c r="E27" s="52">
        <v>22.9</v>
      </c>
      <c r="F27" s="52">
        <v>29.78</v>
      </c>
      <c r="G27" s="52">
        <v>61.27</v>
      </c>
      <c r="H27" s="54" t="s">
        <v>14</v>
      </c>
      <c r="I27" s="52">
        <v>4.07</v>
      </c>
      <c r="J27" s="52">
        <v>1.1399999999999999</v>
      </c>
      <c r="K27" s="52">
        <v>189.67</v>
      </c>
      <c r="L27" s="52">
        <v>33.630000000000003</v>
      </c>
      <c r="M27" s="52">
        <v>28.27</v>
      </c>
      <c r="N27" s="52">
        <v>58.5</v>
      </c>
      <c r="O27" s="52">
        <v>0</v>
      </c>
      <c r="P27" s="52">
        <v>1.03</v>
      </c>
      <c r="Q27" s="53" t="s">
        <v>15</v>
      </c>
      <c r="R27" s="43"/>
      <c r="S27" s="43"/>
      <c r="T27" s="43"/>
      <c r="U27" s="43"/>
    </row>
    <row r="28" spans="1:21" s="11" customFormat="1" x14ac:dyDescent="0.25">
      <c r="A28" s="51" t="s">
        <v>319</v>
      </c>
      <c r="B28" s="52">
        <v>126.07</v>
      </c>
      <c r="C28" s="52">
        <v>216.08</v>
      </c>
      <c r="D28" s="52">
        <v>220.07</v>
      </c>
      <c r="E28" s="52">
        <v>15</v>
      </c>
      <c r="F28" s="52">
        <v>11.03</v>
      </c>
      <c r="G28" s="52">
        <v>81.45</v>
      </c>
      <c r="H28" s="54" t="s">
        <v>14</v>
      </c>
      <c r="I28" s="52">
        <v>4.0999999999999996</v>
      </c>
      <c r="J28" s="52">
        <v>0.46</v>
      </c>
      <c r="K28" s="52">
        <v>323.55</v>
      </c>
      <c r="L28" s="52">
        <v>32.21</v>
      </c>
      <c r="M28" s="52">
        <v>34.729999999999997</v>
      </c>
      <c r="N28" s="52">
        <v>53.8</v>
      </c>
      <c r="O28" s="52">
        <v>0</v>
      </c>
      <c r="P28" s="52">
        <v>2.81</v>
      </c>
      <c r="Q28" s="53" t="s">
        <v>15</v>
      </c>
      <c r="R28" s="43"/>
      <c r="S28" s="43"/>
      <c r="T28" s="43"/>
      <c r="U28" s="43"/>
    </row>
    <row r="29" spans="1:21" s="11" customFormat="1" x14ac:dyDescent="0.25">
      <c r="A29" s="51" t="s">
        <v>320</v>
      </c>
      <c r="B29" s="52">
        <v>15.32</v>
      </c>
      <c r="C29" s="52">
        <v>101.12</v>
      </c>
      <c r="D29" s="52">
        <v>170.39</v>
      </c>
      <c r="E29" s="52">
        <v>14.7</v>
      </c>
      <c r="F29" s="52">
        <v>15.49</v>
      </c>
      <c r="G29" s="52">
        <v>97.81</v>
      </c>
      <c r="H29" s="54" t="s">
        <v>14</v>
      </c>
      <c r="I29" s="52">
        <v>4.1100000000000003</v>
      </c>
      <c r="J29" s="52">
        <v>0.84</v>
      </c>
      <c r="K29" s="52">
        <v>276.49</v>
      </c>
      <c r="L29" s="52">
        <v>31.29</v>
      </c>
      <c r="M29" s="52">
        <v>33.94</v>
      </c>
      <c r="N29" s="52">
        <v>53.5</v>
      </c>
      <c r="O29" s="52">
        <v>0</v>
      </c>
      <c r="P29" s="52">
        <v>1.4</v>
      </c>
      <c r="Q29" s="53" t="s">
        <v>15</v>
      </c>
      <c r="R29" s="43"/>
      <c r="S29" s="43"/>
      <c r="T29" s="43"/>
      <c r="U29" s="43"/>
    </row>
    <row r="30" spans="1:21" s="11" customFormat="1" x14ac:dyDescent="0.25">
      <c r="A30" s="51" t="s">
        <v>321</v>
      </c>
      <c r="B30" s="52">
        <v>14.02</v>
      </c>
      <c r="C30" s="52">
        <v>104.96</v>
      </c>
      <c r="D30" s="52">
        <v>179.38</v>
      </c>
      <c r="E30" s="52">
        <v>12.12</v>
      </c>
      <c r="F30" s="52">
        <v>16.93</v>
      </c>
      <c r="G30" s="52">
        <v>100.99</v>
      </c>
      <c r="H30" s="54" t="s">
        <v>14</v>
      </c>
      <c r="I30" s="52">
        <v>3.98</v>
      </c>
      <c r="J30" s="52">
        <v>0.51</v>
      </c>
      <c r="K30" s="52">
        <v>290.35000000000002</v>
      </c>
      <c r="L30" s="52">
        <v>29.88</v>
      </c>
      <c r="M30" s="52">
        <v>38.380000000000003</v>
      </c>
      <c r="N30" s="52">
        <v>56.5</v>
      </c>
      <c r="O30" s="52">
        <v>0</v>
      </c>
      <c r="P30" s="52">
        <v>1.51</v>
      </c>
      <c r="Q30" s="53" t="s">
        <v>15</v>
      </c>
      <c r="R30" s="43"/>
      <c r="S30" s="43"/>
      <c r="T30" s="43"/>
      <c r="U30" s="43"/>
    </row>
    <row r="31" spans="1:21" s="11" customFormat="1" x14ac:dyDescent="0.25">
      <c r="A31" s="51" t="s">
        <v>322</v>
      </c>
      <c r="B31" s="52">
        <v>12.6</v>
      </c>
      <c r="C31" s="52">
        <v>75.84</v>
      </c>
      <c r="D31" s="52">
        <v>128.66</v>
      </c>
      <c r="E31" s="52">
        <v>11.78</v>
      </c>
      <c r="F31" s="52">
        <v>22.97</v>
      </c>
      <c r="G31" s="52">
        <v>101.6</v>
      </c>
      <c r="H31" s="54" t="s">
        <v>14</v>
      </c>
      <c r="I31" s="52">
        <v>4.1900000000000004</v>
      </c>
      <c r="J31" s="52">
        <v>0.5</v>
      </c>
      <c r="K31" s="52">
        <v>291.41000000000003</v>
      </c>
      <c r="L31" s="52">
        <v>29.15</v>
      </c>
      <c r="M31" s="52">
        <v>40.46</v>
      </c>
      <c r="N31" s="52">
        <v>56.5</v>
      </c>
      <c r="O31" s="52">
        <v>0</v>
      </c>
      <c r="P31" s="52">
        <v>1.1100000000000001</v>
      </c>
      <c r="Q31" s="53" t="s">
        <v>15</v>
      </c>
      <c r="R31" s="43"/>
      <c r="S31" s="43"/>
      <c r="T31" s="43"/>
      <c r="U31" s="43"/>
    </row>
    <row r="32" spans="1:21" s="11" customFormat="1" x14ac:dyDescent="0.25">
      <c r="A32" s="51" t="s">
        <v>323</v>
      </c>
      <c r="B32" s="52">
        <v>8.51</v>
      </c>
      <c r="C32" s="52">
        <v>54.14</v>
      </c>
      <c r="D32" s="52">
        <v>90.57</v>
      </c>
      <c r="E32" s="52">
        <v>9.2200000000000006</v>
      </c>
      <c r="F32" s="52">
        <v>20.29</v>
      </c>
      <c r="G32" s="52">
        <v>101.6</v>
      </c>
      <c r="H32" s="52">
        <v>26.35</v>
      </c>
      <c r="I32" s="52">
        <v>3.95</v>
      </c>
      <c r="J32" s="52">
        <v>1.08</v>
      </c>
      <c r="K32" s="52">
        <v>188.43</v>
      </c>
      <c r="L32" s="52">
        <v>28.32</v>
      </c>
      <c r="M32" s="52">
        <v>42.45</v>
      </c>
      <c r="N32" s="52">
        <v>56</v>
      </c>
      <c r="O32" s="52">
        <v>0</v>
      </c>
      <c r="P32" s="52">
        <v>1.04</v>
      </c>
      <c r="Q32" s="53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0.94</v>
      </c>
      <c r="C34" s="28">
        <f t="shared" si="0"/>
        <v>32.14</v>
      </c>
      <c r="D34" s="28">
        <f t="shared" si="0"/>
        <v>60.11</v>
      </c>
      <c r="E34" s="28">
        <f t="shared" si="0"/>
        <v>2.91</v>
      </c>
      <c r="F34" s="28">
        <f t="shared" si="0"/>
        <v>8.39</v>
      </c>
      <c r="G34" s="28">
        <f t="shared" si="0"/>
        <v>48.81</v>
      </c>
      <c r="H34" s="28">
        <f t="shared" si="0"/>
        <v>12.22</v>
      </c>
      <c r="I34" s="28">
        <f t="shared" si="0"/>
        <v>3.95</v>
      </c>
      <c r="J34" s="28">
        <f t="shared" si="0"/>
        <v>0.46</v>
      </c>
      <c r="K34" s="28">
        <f t="shared" si="0"/>
        <v>57.73</v>
      </c>
      <c r="L34" s="28">
        <f t="shared" si="0"/>
        <v>24.92</v>
      </c>
      <c r="M34" s="28">
        <f t="shared" si="0"/>
        <v>18.57</v>
      </c>
      <c r="N34" s="28">
        <f t="shared" si="0"/>
        <v>53.5</v>
      </c>
      <c r="O34" s="28">
        <f t="shared" si="0"/>
        <v>0</v>
      </c>
      <c r="P34" s="28">
        <f t="shared" si="0"/>
        <v>0.3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126.07</v>
      </c>
      <c r="C35" s="29">
        <f t="shared" si="1"/>
        <v>216.08</v>
      </c>
      <c r="D35" s="29">
        <f t="shared" si="1"/>
        <v>220.07</v>
      </c>
      <c r="E35" s="29">
        <f t="shared" si="1"/>
        <v>22.9</v>
      </c>
      <c r="F35" s="29">
        <f t="shared" si="1"/>
        <v>38.81</v>
      </c>
      <c r="G35" s="29">
        <f t="shared" si="1"/>
        <v>101.6</v>
      </c>
      <c r="H35" s="29">
        <f t="shared" si="1"/>
        <v>26.77</v>
      </c>
      <c r="I35" s="29">
        <f t="shared" si="1"/>
        <v>4.1900000000000004</v>
      </c>
      <c r="J35" s="29">
        <f t="shared" si="1"/>
        <v>3.96</v>
      </c>
      <c r="K35" s="29">
        <f t="shared" si="1"/>
        <v>353.86</v>
      </c>
      <c r="L35" s="29">
        <f t="shared" si="1"/>
        <v>40.19</v>
      </c>
      <c r="M35" s="29">
        <f t="shared" si="1"/>
        <v>55.32</v>
      </c>
      <c r="N35" s="29">
        <f t="shared" si="1"/>
        <v>855.5</v>
      </c>
      <c r="O35" s="29">
        <f t="shared" si="1"/>
        <v>0</v>
      </c>
      <c r="P35" s="29">
        <f t="shared" si="1"/>
        <v>2.81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11.3225</v>
      </c>
      <c r="C36" s="28">
        <f t="shared" si="2"/>
        <v>61.170416666666675</v>
      </c>
      <c r="D36" s="28">
        <f t="shared" si="2"/>
        <v>100.46958333333335</v>
      </c>
      <c r="E36" s="28">
        <f t="shared" si="2"/>
        <v>9.19</v>
      </c>
      <c r="F36" s="28">
        <f t="shared" si="2"/>
        <v>17.930833333333332</v>
      </c>
      <c r="G36" s="28">
        <f t="shared" si="2"/>
        <v>73.204999999999998</v>
      </c>
      <c r="H36" s="28">
        <f t="shared" si="2"/>
        <v>17.732777777777777</v>
      </c>
      <c r="I36" s="28">
        <f t="shared" si="2"/>
        <v>4.085</v>
      </c>
      <c r="J36" s="28">
        <f t="shared" si="2"/>
        <v>1.3166666666666667</v>
      </c>
      <c r="K36" s="28">
        <f t="shared" si="2"/>
        <v>214.68833333333336</v>
      </c>
      <c r="L36" s="28">
        <f t="shared" si="2"/>
        <v>31.76</v>
      </c>
      <c r="M36" s="28">
        <f t="shared" si="2"/>
        <v>37.762916666666676</v>
      </c>
      <c r="N36" s="28">
        <f t="shared" si="2"/>
        <v>295.59583333333336</v>
      </c>
      <c r="O36" s="28">
        <f t="shared" si="2"/>
        <v>0</v>
      </c>
      <c r="P36" s="28">
        <f t="shared" si="2"/>
        <v>0.79208333333333325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24.896118302292404</v>
      </c>
      <c r="C37" s="28">
        <f t="shared" ref="C37:Q37" si="3">STDEV(C9:C32)</f>
        <v>38.236083968028737</v>
      </c>
      <c r="D37" s="28">
        <f t="shared" si="3"/>
        <v>41.131710128314694</v>
      </c>
      <c r="E37" s="28">
        <f t="shared" si="3"/>
        <v>6.0445865108340149</v>
      </c>
      <c r="F37" s="28">
        <f t="shared" si="3"/>
        <v>8.948529593405727</v>
      </c>
      <c r="G37" s="28">
        <f t="shared" si="3"/>
        <v>17.066892944605129</v>
      </c>
      <c r="H37" s="28">
        <f t="shared" si="3"/>
        <v>5.6496692308754382</v>
      </c>
      <c r="I37" s="28">
        <f t="shared" si="3"/>
        <v>6.4740283810206564E-2</v>
      </c>
      <c r="J37" s="28">
        <f t="shared" si="3"/>
        <v>0.85586298510647263</v>
      </c>
      <c r="K37" s="28">
        <f t="shared" si="3"/>
        <v>107.12639197681868</v>
      </c>
      <c r="L37" s="28">
        <f t="shared" si="3"/>
        <v>5.161620069235096</v>
      </c>
      <c r="M37" s="28">
        <f t="shared" si="3"/>
        <v>12.083014840880015</v>
      </c>
      <c r="N37" s="28">
        <f t="shared" si="3"/>
        <v>317.38474865301305</v>
      </c>
      <c r="O37" s="28">
        <f t="shared" si="3"/>
        <v>0</v>
      </c>
      <c r="P37" s="28">
        <f t="shared" si="3"/>
        <v>0.54484125463626887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>COUNT(H9:H32)+6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12/04/2025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324</v>
      </c>
      <c r="B9" s="52">
        <v>5.89</v>
      </c>
      <c r="C9" s="52">
        <v>51.02</v>
      </c>
      <c r="D9" s="52">
        <v>88.62</v>
      </c>
      <c r="E9" s="52">
        <v>3.8</v>
      </c>
      <c r="F9" s="52">
        <v>15.68</v>
      </c>
      <c r="G9" s="52">
        <v>89.78</v>
      </c>
      <c r="H9" s="52">
        <v>26.27</v>
      </c>
      <c r="I9" s="52">
        <v>4.22</v>
      </c>
      <c r="J9" s="52">
        <v>0.81</v>
      </c>
      <c r="K9" s="52">
        <v>168.21</v>
      </c>
      <c r="L9" s="52">
        <v>27.48</v>
      </c>
      <c r="M9" s="52">
        <v>44.79</v>
      </c>
      <c r="N9" s="52">
        <v>56.5</v>
      </c>
      <c r="O9" s="52">
        <v>0</v>
      </c>
      <c r="P9" s="52">
        <v>1.01</v>
      </c>
      <c r="Q9" s="56" t="s">
        <v>15</v>
      </c>
      <c r="R9" s="43"/>
      <c r="S9" s="43"/>
      <c r="T9" s="43"/>
      <c r="U9" s="43"/>
    </row>
    <row r="10" spans="1:21" s="11" customFormat="1" x14ac:dyDescent="0.25">
      <c r="A10" s="51" t="s">
        <v>325</v>
      </c>
      <c r="B10" s="52">
        <v>2.85</v>
      </c>
      <c r="C10" s="52">
        <v>43.6</v>
      </c>
      <c r="D10" s="52">
        <v>79.09</v>
      </c>
      <c r="E10" s="52">
        <v>3.65</v>
      </c>
      <c r="F10" s="52">
        <v>19.8</v>
      </c>
      <c r="G10" s="52">
        <v>71.73</v>
      </c>
      <c r="H10" s="52">
        <v>17.78</v>
      </c>
      <c r="I10" s="52">
        <v>4.0599999999999996</v>
      </c>
      <c r="J10" s="52">
        <v>1.1499999999999999</v>
      </c>
      <c r="K10" s="52">
        <v>159.22999999999999</v>
      </c>
      <c r="L10" s="52">
        <v>27.92</v>
      </c>
      <c r="M10" s="52">
        <v>39.380000000000003</v>
      </c>
      <c r="N10" s="52">
        <v>56.2</v>
      </c>
      <c r="O10" s="52">
        <v>0</v>
      </c>
      <c r="P10" s="52">
        <v>0.75</v>
      </c>
      <c r="Q10" s="56" t="s">
        <v>15</v>
      </c>
      <c r="R10" s="43"/>
      <c r="S10" s="43"/>
      <c r="T10" s="43"/>
      <c r="U10" s="43"/>
    </row>
    <row r="11" spans="1:21" s="11" customFormat="1" x14ac:dyDescent="0.25">
      <c r="A11" s="51" t="s">
        <v>326</v>
      </c>
      <c r="B11" s="52">
        <v>1.54</v>
      </c>
      <c r="C11" s="52">
        <v>33.94</v>
      </c>
      <c r="D11" s="52">
        <v>62.74</v>
      </c>
      <c r="E11" s="52">
        <v>5.01</v>
      </c>
      <c r="F11" s="52">
        <v>19.12</v>
      </c>
      <c r="G11" s="52">
        <v>51.2</v>
      </c>
      <c r="H11" s="52">
        <v>15.2</v>
      </c>
      <c r="I11" s="52">
        <v>4.09</v>
      </c>
      <c r="J11" s="52">
        <v>1.41</v>
      </c>
      <c r="K11" s="52">
        <v>97.45</v>
      </c>
      <c r="L11" s="52">
        <v>28.16</v>
      </c>
      <c r="M11" s="52">
        <v>41.2</v>
      </c>
      <c r="N11" s="52">
        <v>57</v>
      </c>
      <c r="O11" s="52">
        <v>0</v>
      </c>
      <c r="P11" s="52">
        <v>0.55000000000000004</v>
      </c>
      <c r="Q11" s="56" t="s">
        <v>15</v>
      </c>
      <c r="R11" s="43"/>
      <c r="S11" s="43"/>
      <c r="T11" s="43"/>
      <c r="U11" s="43"/>
    </row>
    <row r="12" spans="1:21" s="11" customFormat="1" x14ac:dyDescent="0.25">
      <c r="A12" s="51" t="s">
        <v>327</v>
      </c>
      <c r="B12" s="52">
        <v>3.45</v>
      </c>
      <c r="C12" s="52">
        <v>36.25</v>
      </c>
      <c r="D12" s="52">
        <v>64.08</v>
      </c>
      <c r="E12" s="52">
        <v>3.84</v>
      </c>
      <c r="F12" s="52">
        <v>15.41</v>
      </c>
      <c r="G12" s="52">
        <v>48.97</v>
      </c>
      <c r="H12" s="52">
        <v>17.43</v>
      </c>
      <c r="I12" s="52">
        <v>4.0199999999999996</v>
      </c>
      <c r="J12" s="52">
        <v>0.75</v>
      </c>
      <c r="K12" s="52">
        <v>109.2</v>
      </c>
      <c r="L12" s="52">
        <v>27.02</v>
      </c>
      <c r="M12" s="52">
        <v>43.06</v>
      </c>
      <c r="N12" s="52">
        <v>56.9</v>
      </c>
      <c r="O12" s="52">
        <v>0</v>
      </c>
      <c r="P12" s="52">
        <v>0.53</v>
      </c>
      <c r="Q12" s="56" t="s">
        <v>15</v>
      </c>
      <c r="R12" s="43"/>
      <c r="S12" s="43"/>
      <c r="T12" s="43"/>
      <c r="U12" s="43"/>
    </row>
    <row r="13" spans="1:21" s="11" customFormat="1" x14ac:dyDescent="0.25">
      <c r="A13" s="51" t="s">
        <v>328</v>
      </c>
      <c r="B13" s="52">
        <v>2.54</v>
      </c>
      <c r="C13" s="52">
        <v>40.85</v>
      </c>
      <c r="D13" s="52">
        <v>74.290000000000006</v>
      </c>
      <c r="E13" s="52">
        <v>3.19</v>
      </c>
      <c r="F13" s="52">
        <v>12.72</v>
      </c>
      <c r="G13" s="52">
        <v>45.52</v>
      </c>
      <c r="H13" s="52">
        <v>17.43</v>
      </c>
      <c r="I13" s="52">
        <v>4.0599999999999996</v>
      </c>
      <c r="J13" s="52">
        <v>0.91</v>
      </c>
      <c r="K13" s="52">
        <v>312.19</v>
      </c>
      <c r="L13" s="52">
        <v>26.82</v>
      </c>
      <c r="M13" s="52">
        <v>48.73</v>
      </c>
      <c r="N13" s="52">
        <v>57.4</v>
      </c>
      <c r="O13" s="52">
        <v>0</v>
      </c>
      <c r="P13" s="52">
        <v>0.57999999999999996</v>
      </c>
      <c r="Q13" s="56" t="s">
        <v>15</v>
      </c>
      <c r="R13" s="43"/>
      <c r="S13" s="43"/>
      <c r="T13" s="43"/>
      <c r="U13" s="43"/>
    </row>
    <row r="14" spans="1:21" s="11" customFormat="1" x14ac:dyDescent="0.25">
      <c r="A14" s="51" t="s">
        <v>329</v>
      </c>
      <c r="B14" s="52">
        <v>10.8</v>
      </c>
      <c r="C14" s="52">
        <v>57.71</v>
      </c>
      <c r="D14" s="52">
        <v>94.27</v>
      </c>
      <c r="E14" s="52">
        <v>2.97</v>
      </c>
      <c r="F14" s="52">
        <v>11.24</v>
      </c>
      <c r="G14" s="52">
        <v>42.32</v>
      </c>
      <c r="H14" s="52">
        <v>12.7</v>
      </c>
      <c r="I14" s="52">
        <v>4.16</v>
      </c>
      <c r="J14" s="52">
        <v>1.34</v>
      </c>
      <c r="K14" s="52">
        <v>309.3</v>
      </c>
      <c r="L14" s="52">
        <v>26.55</v>
      </c>
      <c r="M14" s="52">
        <v>53.07</v>
      </c>
      <c r="N14" s="52">
        <v>66.5</v>
      </c>
      <c r="O14" s="52">
        <v>0</v>
      </c>
      <c r="P14" s="52">
        <v>0.55000000000000004</v>
      </c>
      <c r="Q14" s="56" t="s">
        <v>15</v>
      </c>
      <c r="R14" s="43"/>
      <c r="S14" s="43"/>
      <c r="T14" s="43"/>
      <c r="U14" s="43"/>
    </row>
    <row r="15" spans="1:21" s="11" customFormat="1" x14ac:dyDescent="0.25">
      <c r="A15" s="51" t="s">
        <v>330</v>
      </c>
      <c r="B15" s="52">
        <v>30.44</v>
      </c>
      <c r="C15" s="52">
        <v>72.150000000000006</v>
      </c>
      <c r="D15" s="52">
        <v>91.38</v>
      </c>
      <c r="E15" s="52">
        <v>4.49</v>
      </c>
      <c r="F15" s="52">
        <v>7.85</v>
      </c>
      <c r="G15" s="52">
        <v>57.43</v>
      </c>
      <c r="H15" s="52">
        <v>20.98</v>
      </c>
      <c r="I15" s="52">
        <v>4.16</v>
      </c>
      <c r="J15" s="52">
        <v>0.56999999999999995</v>
      </c>
      <c r="K15" s="52">
        <v>323.95999999999998</v>
      </c>
      <c r="L15" s="52">
        <v>26.92</v>
      </c>
      <c r="M15" s="52">
        <v>53.18</v>
      </c>
      <c r="N15" s="52">
        <v>184.5</v>
      </c>
      <c r="O15" s="52">
        <v>0</v>
      </c>
      <c r="P15" s="52">
        <v>0.84</v>
      </c>
      <c r="Q15" s="56" t="s">
        <v>15</v>
      </c>
      <c r="R15" s="43"/>
      <c r="S15" s="43"/>
      <c r="T15" s="43"/>
      <c r="U15" s="43"/>
    </row>
    <row r="16" spans="1:21" s="11" customFormat="1" x14ac:dyDescent="0.25">
      <c r="A16" s="51" t="s">
        <v>331</v>
      </c>
      <c r="B16" s="52">
        <v>24.21</v>
      </c>
      <c r="C16" s="52">
        <v>68.760000000000005</v>
      </c>
      <c r="D16" s="52">
        <v>95.5</v>
      </c>
      <c r="E16" s="52">
        <v>6.65</v>
      </c>
      <c r="F16" s="52">
        <v>9.7899999999999991</v>
      </c>
      <c r="G16" s="52">
        <v>69.239999999999995</v>
      </c>
      <c r="H16" s="52">
        <v>33.79</v>
      </c>
      <c r="I16" s="52">
        <v>4.1100000000000003</v>
      </c>
      <c r="J16" s="52">
        <v>0.81</v>
      </c>
      <c r="K16" s="52">
        <v>333.03</v>
      </c>
      <c r="L16" s="52">
        <v>27.9</v>
      </c>
      <c r="M16" s="52">
        <v>55.75</v>
      </c>
      <c r="N16" s="52">
        <v>206.5</v>
      </c>
      <c r="O16" s="52">
        <v>0</v>
      </c>
      <c r="P16" s="52">
        <v>0.94</v>
      </c>
      <c r="Q16" s="56" t="s">
        <v>15</v>
      </c>
      <c r="R16" s="43"/>
      <c r="S16" s="43"/>
      <c r="T16" s="43"/>
      <c r="U16" s="43"/>
    </row>
    <row r="17" spans="1:21" s="11" customFormat="1" x14ac:dyDescent="0.25">
      <c r="A17" s="51" t="s">
        <v>332</v>
      </c>
      <c r="B17" s="52">
        <v>18.760000000000002</v>
      </c>
      <c r="C17" s="52">
        <v>62.24</v>
      </c>
      <c r="D17" s="52">
        <v>93.54</v>
      </c>
      <c r="E17" s="52">
        <v>6.07</v>
      </c>
      <c r="F17" s="52">
        <v>8.82</v>
      </c>
      <c r="G17" s="52">
        <v>84.52</v>
      </c>
      <c r="H17" s="52">
        <v>33.79</v>
      </c>
      <c r="I17" s="52">
        <v>4.04</v>
      </c>
      <c r="J17" s="52">
        <v>1.45</v>
      </c>
      <c r="K17" s="52">
        <v>322.74</v>
      </c>
      <c r="L17" s="52">
        <v>34.49</v>
      </c>
      <c r="M17" s="52">
        <v>47.69</v>
      </c>
      <c r="N17" s="52">
        <v>546.4</v>
      </c>
      <c r="O17" s="52">
        <v>0</v>
      </c>
      <c r="P17" s="52">
        <v>0.8</v>
      </c>
      <c r="Q17" s="56" t="s">
        <v>15</v>
      </c>
      <c r="R17" s="43"/>
      <c r="S17" s="43"/>
      <c r="T17" s="43"/>
      <c r="U17" s="43"/>
    </row>
    <row r="18" spans="1:21" s="11" customFormat="1" x14ac:dyDescent="0.25">
      <c r="A18" s="51" t="s">
        <v>333</v>
      </c>
      <c r="B18" s="52">
        <v>19.27</v>
      </c>
      <c r="C18" s="52">
        <v>67.14</v>
      </c>
      <c r="D18" s="52">
        <v>98.93</v>
      </c>
      <c r="E18" s="52">
        <v>12.73</v>
      </c>
      <c r="F18" s="52">
        <v>9.8000000000000007</v>
      </c>
      <c r="G18" s="52">
        <v>107.23</v>
      </c>
      <c r="H18" s="52">
        <v>30.84</v>
      </c>
      <c r="I18" s="52">
        <v>4.09</v>
      </c>
      <c r="J18" s="52">
        <v>1.42</v>
      </c>
      <c r="K18" s="52">
        <v>340.33</v>
      </c>
      <c r="L18" s="52">
        <v>36.44</v>
      </c>
      <c r="M18" s="52">
        <v>35.67</v>
      </c>
      <c r="N18" s="52">
        <v>722.6</v>
      </c>
      <c r="O18" s="52">
        <v>0</v>
      </c>
      <c r="P18" s="52">
        <v>0.96</v>
      </c>
      <c r="Q18" s="56" t="s">
        <v>15</v>
      </c>
      <c r="R18" s="43"/>
      <c r="S18" s="43"/>
      <c r="T18" s="43"/>
      <c r="U18" s="43"/>
    </row>
    <row r="19" spans="1:21" s="11" customFormat="1" x14ac:dyDescent="0.25">
      <c r="A19" s="51" t="s">
        <v>334</v>
      </c>
      <c r="B19" s="52">
        <v>14.67</v>
      </c>
      <c r="C19" s="52">
        <v>62.75</v>
      </c>
      <c r="D19" s="52">
        <v>97.58</v>
      </c>
      <c r="E19" s="52">
        <v>10.55</v>
      </c>
      <c r="F19" s="52">
        <v>16.02</v>
      </c>
      <c r="G19" s="52">
        <v>112.62</v>
      </c>
      <c r="H19" s="52">
        <v>36.81</v>
      </c>
      <c r="I19" s="52">
        <v>4.07</v>
      </c>
      <c r="J19" s="52">
        <v>1.46</v>
      </c>
      <c r="K19" s="52">
        <v>333.91</v>
      </c>
      <c r="L19" s="52">
        <v>37.25</v>
      </c>
      <c r="M19" s="52">
        <v>32.26</v>
      </c>
      <c r="N19" s="52">
        <v>766.7</v>
      </c>
      <c r="O19" s="52">
        <v>0</v>
      </c>
      <c r="P19" s="52">
        <v>0.94</v>
      </c>
      <c r="Q19" s="56" t="s">
        <v>15</v>
      </c>
      <c r="R19" s="43"/>
      <c r="S19" s="43"/>
      <c r="T19" s="43"/>
      <c r="U19" s="43"/>
    </row>
    <row r="20" spans="1:21" s="11" customFormat="1" x14ac:dyDescent="0.25">
      <c r="A20" s="51" t="s">
        <v>335</v>
      </c>
      <c r="B20" s="52">
        <v>9.9700000000000006</v>
      </c>
      <c r="C20" s="52">
        <v>58.79</v>
      </c>
      <c r="D20" s="52">
        <v>100.3</v>
      </c>
      <c r="E20" s="52">
        <v>14.72</v>
      </c>
      <c r="F20" s="52">
        <v>17.940000000000001</v>
      </c>
      <c r="G20" s="52">
        <v>112.62</v>
      </c>
      <c r="H20" s="52">
        <v>36.81</v>
      </c>
      <c r="I20" s="52">
        <v>4.16</v>
      </c>
      <c r="J20" s="52">
        <v>1.18</v>
      </c>
      <c r="K20" s="52">
        <v>325.75</v>
      </c>
      <c r="L20" s="52">
        <v>36.92</v>
      </c>
      <c r="M20" s="52">
        <v>28.72</v>
      </c>
      <c r="N20" s="52">
        <v>880.2</v>
      </c>
      <c r="O20" s="52">
        <v>0</v>
      </c>
      <c r="P20" s="52">
        <v>0.94</v>
      </c>
      <c r="Q20" s="56" t="s">
        <v>15</v>
      </c>
      <c r="R20" s="43"/>
      <c r="S20" s="43"/>
      <c r="T20" s="43"/>
      <c r="U20" s="43"/>
    </row>
    <row r="21" spans="1:21" s="11" customFormat="1" x14ac:dyDescent="0.25">
      <c r="A21" s="51" t="s">
        <v>336</v>
      </c>
      <c r="B21" s="52">
        <v>2.92</v>
      </c>
      <c r="C21" s="52">
        <v>52.54</v>
      </c>
      <c r="D21" s="52">
        <v>97.17</v>
      </c>
      <c r="E21" s="52">
        <v>12.71</v>
      </c>
      <c r="F21" s="52">
        <v>22.47</v>
      </c>
      <c r="G21" s="52">
        <v>96.89</v>
      </c>
      <c r="H21" s="52">
        <v>28.34</v>
      </c>
      <c r="I21" s="52">
        <v>4.1100000000000003</v>
      </c>
      <c r="J21" s="52">
        <v>0.92</v>
      </c>
      <c r="K21" s="52">
        <v>323.33</v>
      </c>
      <c r="L21" s="52">
        <v>37.54</v>
      </c>
      <c r="M21" s="52">
        <v>26.33</v>
      </c>
      <c r="N21" s="52">
        <v>891.4</v>
      </c>
      <c r="O21" s="52">
        <v>0</v>
      </c>
      <c r="P21" s="52">
        <v>0.85</v>
      </c>
      <c r="Q21" s="56" t="s">
        <v>15</v>
      </c>
      <c r="R21" s="43"/>
      <c r="S21" s="43"/>
      <c r="T21" s="43"/>
      <c r="U21" s="43"/>
    </row>
    <row r="22" spans="1:21" s="11" customFormat="1" x14ac:dyDescent="0.25">
      <c r="A22" s="51" t="s">
        <v>337</v>
      </c>
      <c r="B22" s="52">
        <v>2.78</v>
      </c>
      <c r="C22" s="52">
        <v>50.3</v>
      </c>
      <c r="D22" s="52">
        <v>92.01</v>
      </c>
      <c r="E22" s="52">
        <v>8.51</v>
      </c>
      <c r="F22" s="52">
        <v>16.809999999999999</v>
      </c>
      <c r="G22" s="52">
        <v>79.42</v>
      </c>
      <c r="H22" s="52">
        <v>28.47</v>
      </c>
      <c r="I22" s="52">
        <v>4.12</v>
      </c>
      <c r="J22" s="52">
        <v>0.75</v>
      </c>
      <c r="K22" s="52">
        <v>308.83999999999997</v>
      </c>
      <c r="L22" s="52">
        <v>40.29</v>
      </c>
      <c r="M22" s="52">
        <v>19.62</v>
      </c>
      <c r="N22" s="52">
        <v>811.6</v>
      </c>
      <c r="O22" s="52">
        <v>0</v>
      </c>
      <c r="P22" s="52">
        <v>0.78</v>
      </c>
      <c r="Q22" s="56" t="s">
        <v>15</v>
      </c>
      <c r="R22" s="43"/>
      <c r="S22" s="43"/>
      <c r="T22" s="43"/>
      <c r="U22" s="43"/>
    </row>
    <row r="23" spans="1:21" s="11" customFormat="1" x14ac:dyDescent="0.25">
      <c r="A23" s="51" t="s">
        <v>338</v>
      </c>
      <c r="B23" s="52">
        <v>1.27</v>
      </c>
      <c r="C23" s="52">
        <v>45.01</v>
      </c>
      <c r="D23" s="52">
        <v>85.41</v>
      </c>
      <c r="E23" s="52">
        <v>10.36</v>
      </c>
      <c r="F23" s="52">
        <v>20.28</v>
      </c>
      <c r="G23" s="52">
        <v>67.5</v>
      </c>
      <c r="H23" s="52">
        <v>28.47</v>
      </c>
      <c r="I23" s="52">
        <v>4.04</v>
      </c>
      <c r="J23" s="52">
        <v>1.18</v>
      </c>
      <c r="K23" s="52">
        <v>294.77</v>
      </c>
      <c r="L23" s="52">
        <v>38.32</v>
      </c>
      <c r="M23" s="52">
        <v>21.8</v>
      </c>
      <c r="N23" s="52">
        <v>366</v>
      </c>
      <c r="O23" s="52">
        <v>0</v>
      </c>
      <c r="P23" s="52">
        <v>0.73</v>
      </c>
      <c r="Q23" s="56" t="s">
        <v>15</v>
      </c>
      <c r="R23" s="43"/>
      <c r="S23" s="43"/>
      <c r="T23" s="43"/>
      <c r="U23" s="43"/>
    </row>
    <row r="24" spans="1:21" s="11" customFormat="1" x14ac:dyDescent="0.25">
      <c r="A24" s="51" t="s">
        <v>339</v>
      </c>
      <c r="B24" s="52">
        <v>1.74</v>
      </c>
      <c r="C24" s="52">
        <v>41.2</v>
      </c>
      <c r="D24" s="52">
        <v>76.19</v>
      </c>
      <c r="E24" s="52">
        <v>21.59</v>
      </c>
      <c r="F24" s="52">
        <v>31.79</v>
      </c>
      <c r="G24" s="52">
        <v>56.05</v>
      </c>
      <c r="H24" s="52">
        <v>25.75</v>
      </c>
      <c r="I24" s="52">
        <v>4.07</v>
      </c>
      <c r="J24" s="52">
        <v>0.77</v>
      </c>
      <c r="K24" s="52">
        <v>265.83999999999997</v>
      </c>
      <c r="L24" s="52">
        <v>37.22</v>
      </c>
      <c r="M24" s="52">
        <v>16.95</v>
      </c>
      <c r="N24" s="52">
        <v>294.5</v>
      </c>
      <c r="O24" s="52">
        <v>0</v>
      </c>
      <c r="P24" s="52">
        <v>0.65</v>
      </c>
      <c r="Q24" s="56" t="s">
        <v>15</v>
      </c>
      <c r="R24" s="43"/>
      <c r="S24" s="43"/>
      <c r="T24" s="43"/>
      <c r="U24" s="43"/>
    </row>
    <row r="25" spans="1:21" s="11" customFormat="1" x14ac:dyDescent="0.25">
      <c r="A25" s="51" t="s">
        <v>340</v>
      </c>
      <c r="B25" s="52">
        <v>4.8499999999999996</v>
      </c>
      <c r="C25" s="52">
        <v>46.29</v>
      </c>
      <c r="D25" s="52">
        <v>83.49</v>
      </c>
      <c r="E25" s="52">
        <v>8.75</v>
      </c>
      <c r="F25" s="52">
        <v>26.67</v>
      </c>
      <c r="G25" s="52">
        <v>56.05</v>
      </c>
      <c r="H25" s="52">
        <v>25.75</v>
      </c>
      <c r="I25" s="52">
        <v>4.0599999999999996</v>
      </c>
      <c r="J25" s="52">
        <v>0.71</v>
      </c>
      <c r="K25" s="52">
        <v>291.37</v>
      </c>
      <c r="L25" s="52">
        <v>36.71</v>
      </c>
      <c r="M25" s="52">
        <v>16.61</v>
      </c>
      <c r="N25" s="52">
        <v>163.80000000000001</v>
      </c>
      <c r="O25" s="52">
        <v>0</v>
      </c>
      <c r="P25" s="52">
        <v>0.65</v>
      </c>
      <c r="Q25" s="56" t="s">
        <v>15</v>
      </c>
      <c r="R25" s="43"/>
      <c r="S25" s="43"/>
      <c r="T25" s="43"/>
      <c r="U25" s="43"/>
    </row>
    <row r="26" spans="1:21" s="11" customFormat="1" x14ac:dyDescent="0.25">
      <c r="A26" s="51" t="s">
        <v>341</v>
      </c>
      <c r="B26" s="52">
        <v>47.11</v>
      </c>
      <c r="C26" s="52">
        <v>99.31</v>
      </c>
      <c r="D26" s="52">
        <v>119.1</v>
      </c>
      <c r="E26" s="52">
        <v>8.08</v>
      </c>
      <c r="F26" s="52">
        <v>15.71</v>
      </c>
      <c r="G26" s="52">
        <v>57.07</v>
      </c>
      <c r="H26" s="52">
        <v>21.54</v>
      </c>
      <c r="I26" s="52">
        <v>4.0199999999999996</v>
      </c>
      <c r="J26" s="52">
        <v>0.89</v>
      </c>
      <c r="K26" s="52">
        <v>300.70999999999998</v>
      </c>
      <c r="L26" s="52">
        <v>35.6</v>
      </c>
      <c r="M26" s="52">
        <v>16.350000000000001</v>
      </c>
      <c r="N26" s="52">
        <v>102.7</v>
      </c>
      <c r="O26" s="52">
        <v>0</v>
      </c>
      <c r="P26" s="52">
        <v>0.97</v>
      </c>
      <c r="Q26" s="56" t="s">
        <v>15</v>
      </c>
      <c r="R26" s="43"/>
      <c r="S26" s="43"/>
      <c r="T26" s="43"/>
      <c r="U26" s="43"/>
    </row>
    <row r="27" spans="1:21" s="11" customFormat="1" x14ac:dyDescent="0.25">
      <c r="A27" s="51" t="s">
        <v>342</v>
      </c>
      <c r="B27" s="52">
        <v>115.69</v>
      </c>
      <c r="C27" s="52">
        <v>196.5</v>
      </c>
      <c r="D27" s="52">
        <v>198.52</v>
      </c>
      <c r="E27" s="52">
        <v>11.69</v>
      </c>
      <c r="F27" s="52">
        <v>19.05</v>
      </c>
      <c r="G27" s="52">
        <v>66</v>
      </c>
      <c r="H27" s="52">
        <v>23.35</v>
      </c>
      <c r="I27" s="52">
        <v>4.0999999999999996</v>
      </c>
      <c r="J27" s="52">
        <v>0.51</v>
      </c>
      <c r="K27" s="52">
        <v>300.29000000000002</v>
      </c>
      <c r="L27" s="52">
        <v>33.770000000000003</v>
      </c>
      <c r="M27" s="52">
        <v>21.59</v>
      </c>
      <c r="N27" s="52">
        <v>56.3</v>
      </c>
      <c r="O27" s="52">
        <v>0</v>
      </c>
      <c r="P27" s="52">
        <v>2.79</v>
      </c>
      <c r="Q27" s="56" t="s">
        <v>15</v>
      </c>
      <c r="R27" s="43"/>
      <c r="S27" s="43"/>
      <c r="T27" s="43"/>
      <c r="U27" s="43"/>
    </row>
    <row r="28" spans="1:21" s="11" customFormat="1" x14ac:dyDescent="0.25">
      <c r="A28" s="51" t="s">
        <v>343</v>
      </c>
      <c r="B28" s="52">
        <v>68.12</v>
      </c>
      <c r="C28" s="52">
        <v>135.9</v>
      </c>
      <c r="D28" s="52">
        <v>174.38</v>
      </c>
      <c r="E28" s="52">
        <v>13.52</v>
      </c>
      <c r="F28" s="52">
        <v>12.4</v>
      </c>
      <c r="G28" s="52">
        <v>77.67</v>
      </c>
      <c r="H28" s="52">
        <v>27.12</v>
      </c>
      <c r="I28" s="52">
        <v>4.05</v>
      </c>
      <c r="J28" s="52">
        <v>0.44</v>
      </c>
      <c r="K28" s="52">
        <v>301.95999999999998</v>
      </c>
      <c r="L28" s="52">
        <v>31.76</v>
      </c>
      <c r="M28" s="52">
        <v>20.52</v>
      </c>
      <c r="N28" s="52">
        <v>50.5</v>
      </c>
      <c r="O28" s="52">
        <v>0</v>
      </c>
      <c r="P28" s="52">
        <v>2.23</v>
      </c>
      <c r="Q28" s="56" t="s">
        <v>15</v>
      </c>
      <c r="R28" s="43"/>
      <c r="S28" s="43"/>
      <c r="T28" s="43"/>
      <c r="U28" s="43"/>
    </row>
    <row r="29" spans="1:21" s="11" customFormat="1" x14ac:dyDescent="0.25">
      <c r="A29" s="51" t="s">
        <v>344</v>
      </c>
      <c r="B29" s="52">
        <v>51.97</v>
      </c>
      <c r="C29" s="52">
        <v>107.28</v>
      </c>
      <c r="D29" s="52">
        <v>137.97</v>
      </c>
      <c r="E29" s="52">
        <v>6.4</v>
      </c>
      <c r="F29" s="52">
        <v>11.21</v>
      </c>
      <c r="G29" s="52">
        <v>77.67</v>
      </c>
      <c r="H29" s="52">
        <v>27.12</v>
      </c>
      <c r="I29" s="52">
        <v>4.28</v>
      </c>
      <c r="J29" s="52">
        <v>1.45</v>
      </c>
      <c r="K29" s="52">
        <v>317.8</v>
      </c>
      <c r="L29" s="52">
        <v>31.19</v>
      </c>
      <c r="M29" s="52">
        <v>23.96</v>
      </c>
      <c r="N29" s="52">
        <v>50.7</v>
      </c>
      <c r="O29" s="52">
        <v>0</v>
      </c>
      <c r="P29" s="52">
        <v>1.69</v>
      </c>
      <c r="Q29" s="56" t="s">
        <v>15</v>
      </c>
      <c r="R29" s="43"/>
      <c r="S29" s="43"/>
      <c r="T29" s="43"/>
      <c r="U29" s="43"/>
    </row>
    <row r="30" spans="1:21" s="11" customFormat="1" x14ac:dyDescent="0.25">
      <c r="A30" s="51" t="s">
        <v>345</v>
      </c>
      <c r="B30" s="52">
        <v>121.92</v>
      </c>
      <c r="C30" s="52">
        <v>170.03</v>
      </c>
      <c r="D30" s="52">
        <v>143.47999999999999</v>
      </c>
      <c r="E30" s="52">
        <v>8.5500000000000007</v>
      </c>
      <c r="F30" s="52">
        <v>11.4</v>
      </c>
      <c r="G30" s="52">
        <v>74.209999999999994</v>
      </c>
      <c r="H30" s="52">
        <v>25</v>
      </c>
      <c r="I30" s="52">
        <v>4.24</v>
      </c>
      <c r="J30" s="52">
        <v>1.4</v>
      </c>
      <c r="K30" s="52">
        <v>344.78</v>
      </c>
      <c r="L30" s="52">
        <v>30.03</v>
      </c>
      <c r="M30" s="52">
        <v>28.44</v>
      </c>
      <c r="N30" s="52">
        <v>51.5</v>
      </c>
      <c r="O30" s="52">
        <v>0</v>
      </c>
      <c r="P30" s="52">
        <v>1.92</v>
      </c>
      <c r="Q30" s="56" t="s">
        <v>15</v>
      </c>
      <c r="R30" s="43"/>
      <c r="S30" s="43"/>
      <c r="T30" s="43"/>
      <c r="U30" s="43"/>
    </row>
    <row r="31" spans="1:21" s="11" customFormat="1" x14ac:dyDescent="0.25">
      <c r="A31" s="51" t="s">
        <v>346</v>
      </c>
      <c r="B31" s="52">
        <v>85.01</v>
      </c>
      <c r="C31" s="52">
        <v>133.13</v>
      </c>
      <c r="D31" s="52">
        <v>135.1</v>
      </c>
      <c r="E31" s="52">
        <v>7.07</v>
      </c>
      <c r="F31" s="52">
        <v>7.61</v>
      </c>
      <c r="G31" s="52">
        <v>76.91</v>
      </c>
      <c r="H31" s="52">
        <v>22.89</v>
      </c>
      <c r="I31" s="52">
        <v>4.0999999999999996</v>
      </c>
      <c r="J31" s="52">
        <v>0.45</v>
      </c>
      <c r="K31" s="52">
        <v>354.12</v>
      </c>
      <c r="L31" s="52">
        <v>28.16</v>
      </c>
      <c r="M31" s="52">
        <v>33.229999999999997</v>
      </c>
      <c r="N31" s="52">
        <v>51.2</v>
      </c>
      <c r="O31" s="52">
        <v>0</v>
      </c>
      <c r="P31" s="52">
        <v>1.72</v>
      </c>
      <c r="Q31" s="56" t="s">
        <v>15</v>
      </c>
      <c r="R31" s="43"/>
      <c r="S31" s="43"/>
      <c r="T31" s="43"/>
      <c r="U31" s="43"/>
    </row>
    <row r="32" spans="1:21" s="11" customFormat="1" x14ac:dyDescent="0.25">
      <c r="A32" s="51" t="s">
        <v>347</v>
      </c>
      <c r="B32" s="52">
        <v>48.5</v>
      </c>
      <c r="C32" s="52">
        <v>98.92</v>
      </c>
      <c r="D32" s="52">
        <v>126.4</v>
      </c>
      <c r="E32" s="52">
        <v>5.33</v>
      </c>
      <c r="F32" s="52">
        <v>10.25</v>
      </c>
      <c r="G32" s="52">
        <v>76.91</v>
      </c>
      <c r="H32" s="52">
        <v>21.77</v>
      </c>
      <c r="I32" s="52">
        <v>4.08</v>
      </c>
      <c r="J32" s="52">
        <v>1.1000000000000001</v>
      </c>
      <c r="K32" s="52">
        <v>202.04</v>
      </c>
      <c r="L32" s="52">
        <v>28.09</v>
      </c>
      <c r="M32" s="52">
        <v>31.52</v>
      </c>
      <c r="N32" s="52">
        <v>51</v>
      </c>
      <c r="O32" s="52">
        <v>0</v>
      </c>
      <c r="P32" s="52">
        <v>1.22</v>
      </c>
      <c r="Q32" s="56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1.27</v>
      </c>
      <c r="C34" s="28">
        <f t="shared" si="0"/>
        <v>33.94</v>
      </c>
      <c r="D34" s="28">
        <f t="shared" si="0"/>
        <v>62.74</v>
      </c>
      <c r="E34" s="28">
        <f t="shared" si="0"/>
        <v>2.97</v>
      </c>
      <c r="F34" s="28">
        <f t="shared" si="0"/>
        <v>7.61</v>
      </c>
      <c r="G34" s="28">
        <f t="shared" si="0"/>
        <v>42.32</v>
      </c>
      <c r="H34" s="28">
        <f t="shared" si="0"/>
        <v>12.7</v>
      </c>
      <c r="I34" s="28">
        <f t="shared" si="0"/>
        <v>4.0199999999999996</v>
      </c>
      <c r="J34" s="28">
        <f t="shared" si="0"/>
        <v>0.44</v>
      </c>
      <c r="K34" s="28">
        <f t="shared" si="0"/>
        <v>97.45</v>
      </c>
      <c r="L34" s="28">
        <f t="shared" si="0"/>
        <v>26.55</v>
      </c>
      <c r="M34" s="28">
        <f t="shared" si="0"/>
        <v>16.350000000000001</v>
      </c>
      <c r="N34" s="28">
        <f t="shared" si="0"/>
        <v>50.5</v>
      </c>
      <c r="O34" s="28">
        <f t="shared" si="0"/>
        <v>0</v>
      </c>
      <c r="P34" s="28">
        <f t="shared" si="0"/>
        <v>0.53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121.92</v>
      </c>
      <c r="C35" s="29">
        <f t="shared" si="1"/>
        <v>196.5</v>
      </c>
      <c r="D35" s="29">
        <f t="shared" si="1"/>
        <v>198.52</v>
      </c>
      <c r="E35" s="29">
        <f t="shared" si="1"/>
        <v>21.59</v>
      </c>
      <c r="F35" s="29">
        <f t="shared" si="1"/>
        <v>31.79</v>
      </c>
      <c r="G35" s="29">
        <f t="shared" si="1"/>
        <v>112.62</v>
      </c>
      <c r="H35" s="29">
        <f t="shared" si="1"/>
        <v>36.81</v>
      </c>
      <c r="I35" s="29">
        <f t="shared" si="1"/>
        <v>4.28</v>
      </c>
      <c r="J35" s="29">
        <f t="shared" si="1"/>
        <v>1.46</v>
      </c>
      <c r="K35" s="29">
        <f t="shared" si="1"/>
        <v>354.12</v>
      </c>
      <c r="L35" s="29">
        <f t="shared" si="1"/>
        <v>40.29</v>
      </c>
      <c r="M35" s="29">
        <f t="shared" si="1"/>
        <v>55.75</v>
      </c>
      <c r="N35" s="29">
        <f t="shared" si="1"/>
        <v>891.4</v>
      </c>
      <c r="O35" s="29">
        <f t="shared" si="1"/>
        <v>0</v>
      </c>
      <c r="P35" s="29">
        <f t="shared" si="1"/>
        <v>2.79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29.01125</v>
      </c>
      <c r="C36" s="28">
        <f t="shared" si="2"/>
        <v>76.317083333333343</v>
      </c>
      <c r="D36" s="28">
        <f t="shared" si="2"/>
        <v>104.56416666666667</v>
      </c>
      <c r="E36" s="28">
        <f t="shared" si="2"/>
        <v>8.3429166666666692</v>
      </c>
      <c r="F36" s="28">
        <f t="shared" si="2"/>
        <v>15.409999999999997</v>
      </c>
      <c r="G36" s="28">
        <f t="shared" si="2"/>
        <v>73.147083333333342</v>
      </c>
      <c r="H36" s="28">
        <f t="shared" si="2"/>
        <v>25.224999999999998</v>
      </c>
      <c r="I36" s="28">
        <f t="shared" si="2"/>
        <v>4.1045833333333333</v>
      </c>
      <c r="J36" s="28">
        <f t="shared" si="2"/>
        <v>0.99291666666666678</v>
      </c>
      <c r="K36" s="28">
        <f t="shared" si="2"/>
        <v>280.88124999999997</v>
      </c>
      <c r="L36" s="28">
        <f t="shared" si="2"/>
        <v>32.189583333333339</v>
      </c>
      <c r="M36" s="28">
        <f t="shared" si="2"/>
        <v>33.350833333333341</v>
      </c>
      <c r="N36" s="28">
        <f t="shared" si="2"/>
        <v>274.94166666666666</v>
      </c>
      <c r="O36" s="28">
        <f t="shared" si="2"/>
        <v>0</v>
      </c>
      <c r="P36" s="28">
        <f t="shared" si="2"/>
        <v>1.0662499999999999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36.093907147220484</v>
      </c>
      <c r="C37" s="28">
        <f t="shared" ref="C37:Q37" si="3">STDEV(C9:C32)</f>
        <v>43.700138541136127</v>
      </c>
      <c r="D37" s="28">
        <f t="shared" si="3"/>
        <v>33.343626849058793</v>
      </c>
      <c r="E37" s="28">
        <f t="shared" si="3"/>
        <v>4.5134480015082508</v>
      </c>
      <c r="F37" s="28">
        <f t="shared" si="3"/>
        <v>6.0517449872994877</v>
      </c>
      <c r="G37" s="28">
        <f t="shared" si="3"/>
        <v>20.138041975362093</v>
      </c>
      <c r="H37" s="28">
        <f t="shared" si="3"/>
        <v>6.5046565260388034</v>
      </c>
      <c r="I37" s="28">
        <f t="shared" si="3"/>
        <v>6.8205518498309248E-2</v>
      </c>
      <c r="J37" s="28">
        <f t="shared" si="3"/>
        <v>0.34481853030337545</v>
      </c>
      <c r="K37" s="28">
        <f t="shared" si="3"/>
        <v>74.729320496360913</v>
      </c>
      <c r="L37" s="28">
        <f t="shared" si="3"/>
        <v>4.6255711554890171</v>
      </c>
      <c r="M37" s="28">
        <f t="shared" si="3"/>
        <v>12.692224910881682</v>
      </c>
      <c r="N37" s="28">
        <f t="shared" si="3"/>
        <v>308.84138312009981</v>
      </c>
      <c r="O37" s="28">
        <f t="shared" si="3"/>
        <v>0</v>
      </c>
      <c r="P37" s="28">
        <f t="shared" si="3"/>
        <v>0.58360061164553567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2" ySplit="8" topLeftCell="C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3.855468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13/04/2025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348</v>
      </c>
      <c r="B9" s="52">
        <v>24.25</v>
      </c>
      <c r="C9" s="52">
        <v>59.44</v>
      </c>
      <c r="D9" s="52">
        <v>81.3</v>
      </c>
      <c r="E9" s="52">
        <v>5.65</v>
      </c>
      <c r="F9" s="52">
        <v>13.05</v>
      </c>
      <c r="G9" s="52">
        <v>75.239999999999995</v>
      </c>
      <c r="H9" s="52">
        <v>21.77</v>
      </c>
      <c r="I9" s="52">
        <v>4.1900000000000004</v>
      </c>
      <c r="J9" s="52">
        <v>0.94</v>
      </c>
      <c r="K9" s="52">
        <v>184.69</v>
      </c>
      <c r="L9" s="52">
        <v>27.27</v>
      </c>
      <c r="M9" s="52">
        <v>30.57</v>
      </c>
      <c r="N9" s="52">
        <v>50.6</v>
      </c>
      <c r="O9" s="52">
        <v>0</v>
      </c>
      <c r="P9" s="52">
        <v>0.78</v>
      </c>
      <c r="Q9" s="53" t="s">
        <v>15</v>
      </c>
      <c r="R9" s="43"/>
      <c r="S9" s="43"/>
      <c r="T9" s="43"/>
      <c r="U9" s="43"/>
    </row>
    <row r="10" spans="1:21" s="11" customFormat="1" x14ac:dyDescent="0.25">
      <c r="A10" s="51" t="s">
        <v>349</v>
      </c>
      <c r="B10" s="52">
        <v>25.76</v>
      </c>
      <c r="C10" s="52">
        <v>63.16</v>
      </c>
      <c r="D10" s="52">
        <v>82.91</v>
      </c>
      <c r="E10" s="52">
        <v>5.25</v>
      </c>
      <c r="F10" s="52">
        <v>14.95</v>
      </c>
      <c r="G10" s="52">
        <v>58.89</v>
      </c>
      <c r="H10" s="52">
        <v>14.28</v>
      </c>
      <c r="I10" s="52">
        <v>4.04</v>
      </c>
      <c r="J10" s="52">
        <v>1.34</v>
      </c>
      <c r="K10" s="52">
        <v>173.87</v>
      </c>
      <c r="L10" s="52">
        <v>26.73</v>
      </c>
      <c r="M10" s="52">
        <v>35.1</v>
      </c>
      <c r="N10" s="52">
        <v>51.5</v>
      </c>
      <c r="O10" s="52">
        <v>0</v>
      </c>
      <c r="P10" s="52">
        <v>0.81</v>
      </c>
      <c r="Q10" s="53" t="s">
        <v>15</v>
      </c>
      <c r="R10" s="43"/>
      <c r="S10" s="43"/>
      <c r="T10" s="43"/>
      <c r="U10" s="43"/>
    </row>
    <row r="11" spans="1:21" s="11" customFormat="1" x14ac:dyDescent="0.25">
      <c r="A11" s="51" t="s">
        <v>350</v>
      </c>
      <c r="B11" s="52">
        <v>21.49</v>
      </c>
      <c r="C11" s="52">
        <v>62.4</v>
      </c>
      <c r="D11" s="52">
        <v>86.44</v>
      </c>
      <c r="E11" s="52">
        <v>4</v>
      </c>
      <c r="F11" s="52">
        <v>10.68</v>
      </c>
      <c r="G11" s="52">
        <v>58.89</v>
      </c>
      <c r="H11" s="52">
        <v>13.98</v>
      </c>
      <c r="I11" s="52">
        <v>4.08</v>
      </c>
      <c r="J11" s="52">
        <v>0.42</v>
      </c>
      <c r="K11" s="52">
        <v>358.21</v>
      </c>
      <c r="L11" s="52">
        <v>26.09</v>
      </c>
      <c r="M11" s="52">
        <v>40.97</v>
      </c>
      <c r="N11" s="52">
        <v>51.5</v>
      </c>
      <c r="O11" s="52">
        <v>0</v>
      </c>
      <c r="P11" s="52">
        <v>0.75</v>
      </c>
      <c r="Q11" s="53" t="s">
        <v>15</v>
      </c>
      <c r="R11" s="43"/>
      <c r="S11" s="43"/>
      <c r="T11" s="43"/>
      <c r="U11" s="43"/>
    </row>
    <row r="12" spans="1:21" s="11" customFormat="1" x14ac:dyDescent="0.25">
      <c r="A12" s="51" t="s">
        <v>351</v>
      </c>
      <c r="B12" s="52">
        <v>14.97</v>
      </c>
      <c r="C12" s="52">
        <v>59.26</v>
      </c>
      <c r="D12" s="52">
        <v>90.43</v>
      </c>
      <c r="E12" s="52">
        <v>3.25</v>
      </c>
      <c r="F12" s="52">
        <v>9.7799999999999994</v>
      </c>
      <c r="G12" s="52">
        <v>51.31</v>
      </c>
      <c r="H12" s="52">
        <v>13.98</v>
      </c>
      <c r="I12" s="52">
        <v>4.07</v>
      </c>
      <c r="J12" s="52">
        <v>0.42</v>
      </c>
      <c r="K12" s="52">
        <v>332.25</v>
      </c>
      <c r="L12" s="52">
        <v>24.89</v>
      </c>
      <c r="M12" s="52">
        <v>47.01</v>
      </c>
      <c r="N12" s="52">
        <v>51.7</v>
      </c>
      <c r="O12" s="52">
        <v>0</v>
      </c>
      <c r="P12" s="52">
        <v>0.66</v>
      </c>
      <c r="Q12" s="53" t="s">
        <v>15</v>
      </c>
      <c r="R12" s="43"/>
      <c r="S12" s="43"/>
      <c r="T12" s="43"/>
      <c r="U12" s="43"/>
    </row>
    <row r="13" spans="1:21" s="11" customFormat="1" x14ac:dyDescent="0.25">
      <c r="A13" s="51" t="s">
        <v>352</v>
      </c>
      <c r="B13" s="52">
        <v>20.2</v>
      </c>
      <c r="C13" s="52">
        <v>68.98</v>
      </c>
      <c r="D13" s="52">
        <v>106.09</v>
      </c>
      <c r="E13" s="52">
        <v>3.58</v>
      </c>
      <c r="F13" s="52">
        <v>8.1199999999999992</v>
      </c>
      <c r="G13" s="52">
        <v>64.31</v>
      </c>
      <c r="H13" s="52">
        <v>18.309999999999999</v>
      </c>
      <c r="I13" s="52">
        <v>4.17</v>
      </c>
      <c r="J13" s="52">
        <v>0.41</v>
      </c>
      <c r="K13" s="52">
        <v>333.81</v>
      </c>
      <c r="L13" s="52">
        <v>23.34</v>
      </c>
      <c r="M13" s="52">
        <v>50.86</v>
      </c>
      <c r="N13" s="52">
        <v>51.9</v>
      </c>
      <c r="O13" s="52">
        <v>0</v>
      </c>
      <c r="P13" s="52">
        <v>0.59</v>
      </c>
      <c r="Q13" s="53" t="s">
        <v>15</v>
      </c>
      <c r="R13" s="43"/>
      <c r="S13" s="43"/>
      <c r="T13" s="43"/>
      <c r="U13" s="43"/>
    </row>
    <row r="14" spans="1:21" s="11" customFormat="1" x14ac:dyDescent="0.25">
      <c r="A14" s="51" t="s">
        <v>353</v>
      </c>
      <c r="B14" s="52">
        <v>29.44</v>
      </c>
      <c r="C14" s="52">
        <v>75.819999999999993</v>
      </c>
      <c r="D14" s="52">
        <v>99.94</v>
      </c>
      <c r="E14" s="52">
        <v>3.77</v>
      </c>
      <c r="F14" s="52">
        <v>10.81</v>
      </c>
      <c r="G14" s="52">
        <v>64.31</v>
      </c>
      <c r="H14" s="52">
        <v>18.309999999999999</v>
      </c>
      <c r="I14" s="52">
        <v>4.08</v>
      </c>
      <c r="J14" s="52">
        <v>0.88</v>
      </c>
      <c r="K14" s="52">
        <v>238.13</v>
      </c>
      <c r="L14" s="52">
        <v>24.63</v>
      </c>
      <c r="M14" s="52">
        <v>46.04</v>
      </c>
      <c r="N14" s="52">
        <v>62.9</v>
      </c>
      <c r="O14" s="52">
        <v>0</v>
      </c>
      <c r="P14" s="52">
        <v>0.59</v>
      </c>
      <c r="Q14" s="53" t="s">
        <v>15</v>
      </c>
      <c r="R14" s="43"/>
      <c r="S14" s="43"/>
      <c r="T14" s="43"/>
      <c r="U14" s="43"/>
    </row>
    <row r="15" spans="1:21" s="11" customFormat="1" x14ac:dyDescent="0.25">
      <c r="A15" s="51" t="s">
        <v>354</v>
      </c>
      <c r="B15" s="52">
        <v>40.46</v>
      </c>
      <c r="C15" s="52">
        <v>87.11</v>
      </c>
      <c r="D15" s="52">
        <v>104.64</v>
      </c>
      <c r="E15" s="52">
        <v>4.0199999999999996</v>
      </c>
      <c r="F15" s="52">
        <v>8.8800000000000008</v>
      </c>
      <c r="G15" s="52">
        <v>61.6</v>
      </c>
      <c r="H15" s="52">
        <v>17.32</v>
      </c>
      <c r="I15" s="52">
        <v>4.1100000000000003</v>
      </c>
      <c r="J15" s="52">
        <v>0.43</v>
      </c>
      <c r="K15" s="52">
        <v>268.98</v>
      </c>
      <c r="L15" s="52">
        <v>27.22</v>
      </c>
      <c r="M15" s="52">
        <v>44.62</v>
      </c>
      <c r="N15" s="52">
        <v>211</v>
      </c>
      <c r="O15" s="52">
        <v>0</v>
      </c>
      <c r="P15" s="52">
        <v>0.67</v>
      </c>
      <c r="Q15" s="53" t="s">
        <v>15</v>
      </c>
      <c r="R15" s="43"/>
      <c r="S15" s="43"/>
      <c r="T15" s="43"/>
      <c r="U15" s="43"/>
    </row>
    <row r="16" spans="1:21" s="11" customFormat="1" x14ac:dyDescent="0.25">
      <c r="A16" s="51" t="s">
        <v>355</v>
      </c>
      <c r="B16" s="52">
        <v>25.64</v>
      </c>
      <c r="C16" s="52">
        <v>69.150000000000006</v>
      </c>
      <c r="D16" s="52">
        <v>96.23</v>
      </c>
      <c r="E16" s="52">
        <v>3.73</v>
      </c>
      <c r="F16" s="52">
        <v>8.65</v>
      </c>
      <c r="G16" s="52">
        <v>62.16</v>
      </c>
      <c r="H16" s="52">
        <v>20.12</v>
      </c>
      <c r="I16" s="52">
        <v>4.07</v>
      </c>
      <c r="J16" s="52">
        <v>0.51</v>
      </c>
      <c r="K16" s="52">
        <v>281.08</v>
      </c>
      <c r="L16" s="52">
        <v>29.9</v>
      </c>
      <c r="M16" s="52">
        <v>34.22</v>
      </c>
      <c r="N16" s="52">
        <v>434.4</v>
      </c>
      <c r="O16" s="52">
        <v>0</v>
      </c>
      <c r="P16" s="52">
        <v>0.68</v>
      </c>
      <c r="Q16" s="53" t="s">
        <v>15</v>
      </c>
      <c r="R16" s="43"/>
      <c r="S16" s="43"/>
      <c r="T16" s="43"/>
      <c r="U16" s="43"/>
    </row>
    <row r="17" spans="1:21" s="11" customFormat="1" x14ac:dyDescent="0.25">
      <c r="A17" s="51" t="s">
        <v>356</v>
      </c>
      <c r="B17" s="52">
        <v>17.350000000000001</v>
      </c>
      <c r="C17" s="52">
        <v>62.09</v>
      </c>
      <c r="D17" s="52">
        <v>95.45</v>
      </c>
      <c r="E17" s="52">
        <v>7.52</v>
      </c>
      <c r="F17" s="52">
        <v>12.61</v>
      </c>
      <c r="G17" s="52">
        <v>62.16</v>
      </c>
      <c r="H17" s="52">
        <v>20.12</v>
      </c>
      <c r="I17" s="52">
        <v>4.26</v>
      </c>
      <c r="J17" s="52">
        <v>0.78</v>
      </c>
      <c r="K17" s="52">
        <v>289.07</v>
      </c>
      <c r="L17" s="52">
        <v>34.76</v>
      </c>
      <c r="M17" s="52">
        <v>30.43</v>
      </c>
      <c r="N17" s="52">
        <v>595</v>
      </c>
      <c r="O17" s="52">
        <v>0</v>
      </c>
      <c r="P17" s="52">
        <v>0.77</v>
      </c>
      <c r="Q17" s="53" t="s">
        <v>15</v>
      </c>
      <c r="R17" s="43"/>
      <c r="S17" s="43"/>
      <c r="T17" s="43"/>
      <c r="U17" s="43"/>
    </row>
    <row r="18" spans="1:21" s="11" customFormat="1" x14ac:dyDescent="0.25">
      <c r="A18" s="51" t="s">
        <v>357</v>
      </c>
      <c r="B18" s="52">
        <v>10.91</v>
      </c>
      <c r="C18" s="52">
        <v>62.85</v>
      </c>
      <c r="D18" s="52">
        <v>103.55</v>
      </c>
      <c r="E18" s="52">
        <v>12.47</v>
      </c>
      <c r="F18" s="52">
        <v>13.48</v>
      </c>
      <c r="G18" s="52">
        <v>62.85</v>
      </c>
      <c r="H18" s="52">
        <v>18.239999999999998</v>
      </c>
      <c r="I18" s="52">
        <v>4.07</v>
      </c>
      <c r="J18" s="52">
        <v>0.9</v>
      </c>
      <c r="K18" s="52">
        <v>309.45999999999998</v>
      </c>
      <c r="L18" s="52">
        <v>38.06</v>
      </c>
      <c r="M18" s="52">
        <v>24.39</v>
      </c>
      <c r="N18" s="52">
        <v>763.8</v>
      </c>
      <c r="O18" s="52">
        <v>0</v>
      </c>
      <c r="P18" s="52">
        <v>0.96</v>
      </c>
      <c r="Q18" s="53" t="s">
        <v>15</v>
      </c>
      <c r="R18" s="43"/>
      <c r="S18" s="43"/>
      <c r="T18" s="43"/>
      <c r="U18" s="43"/>
    </row>
    <row r="19" spans="1:21" s="11" customFormat="1" x14ac:dyDescent="0.25">
      <c r="A19" s="51" t="s">
        <v>358</v>
      </c>
      <c r="B19" s="52">
        <v>5.47</v>
      </c>
      <c r="C19" s="52">
        <v>54.06</v>
      </c>
      <c r="D19" s="52">
        <v>95.08</v>
      </c>
      <c r="E19" s="52">
        <v>8.94</v>
      </c>
      <c r="F19" s="52">
        <v>18.25</v>
      </c>
      <c r="G19" s="52">
        <v>62.85</v>
      </c>
      <c r="H19" s="52">
        <v>19.54</v>
      </c>
      <c r="I19" s="52">
        <v>4.07</v>
      </c>
      <c r="J19" s="52">
        <v>0.75</v>
      </c>
      <c r="K19" s="52">
        <v>272.70999999999998</v>
      </c>
      <c r="L19" s="52">
        <v>38.31</v>
      </c>
      <c r="M19" s="52">
        <v>19.579999999999998</v>
      </c>
      <c r="N19" s="52">
        <v>796</v>
      </c>
      <c r="O19" s="52">
        <v>0</v>
      </c>
      <c r="P19" s="52">
        <v>0.79</v>
      </c>
      <c r="Q19" s="53" t="s">
        <v>15</v>
      </c>
      <c r="R19" s="43"/>
      <c r="S19" s="43"/>
      <c r="T19" s="43"/>
      <c r="U19" s="43"/>
    </row>
    <row r="20" spans="1:21" s="11" customFormat="1" x14ac:dyDescent="0.25">
      <c r="A20" s="51" t="s">
        <v>359</v>
      </c>
      <c r="B20" s="52">
        <v>2.13</v>
      </c>
      <c r="C20" s="52">
        <v>45.93</v>
      </c>
      <c r="D20" s="52">
        <v>84.65</v>
      </c>
      <c r="E20" s="52">
        <v>9.2799999999999994</v>
      </c>
      <c r="F20" s="52">
        <v>19.59</v>
      </c>
      <c r="G20" s="52">
        <v>61.14</v>
      </c>
      <c r="H20" s="52">
        <v>19.54</v>
      </c>
      <c r="I20" s="52">
        <v>4.1100000000000003</v>
      </c>
      <c r="J20" s="52">
        <v>1.4</v>
      </c>
      <c r="K20" s="52">
        <v>121.56</v>
      </c>
      <c r="L20" s="52">
        <v>38.6</v>
      </c>
      <c r="M20" s="52">
        <v>20.99</v>
      </c>
      <c r="N20" s="52">
        <v>917.7</v>
      </c>
      <c r="O20" s="52">
        <v>0</v>
      </c>
      <c r="P20" s="52">
        <v>0.73</v>
      </c>
      <c r="Q20" s="53" t="s">
        <v>15</v>
      </c>
      <c r="R20" s="43"/>
      <c r="S20" s="43"/>
      <c r="T20" s="43"/>
      <c r="U20" s="43"/>
    </row>
    <row r="21" spans="1:21" s="11" customFormat="1" x14ac:dyDescent="0.25">
      <c r="A21" s="51" t="s">
        <v>360</v>
      </c>
      <c r="B21" s="52">
        <v>8.16</v>
      </c>
      <c r="C21" s="52">
        <v>56.93</v>
      </c>
      <c r="D21" s="52">
        <v>97.21</v>
      </c>
      <c r="E21" s="52">
        <v>14.61</v>
      </c>
      <c r="F21" s="52">
        <v>21.46</v>
      </c>
      <c r="G21" s="52">
        <v>66.099999999999994</v>
      </c>
      <c r="H21" s="52">
        <v>20.420000000000002</v>
      </c>
      <c r="I21" s="52">
        <v>4.1100000000000003</v>
      </c>
      <c r="J21" s="52">
        <v>1.84</v>
      </c>
      <c r="K21" s="52">
        <v>355.95</v>
      </c>
      <c r="L21" s="52">
        <v>39.61</v>
      </c>
      <c r="M21" s="52">
        <v>19.329999999999998</v>
      </c>
      <c r="N21" s="52">
        <v>913.2</v>
      </c>
      <c r="O21" s="52">
        <v>0</v>
      </c>
      <c r="P21" s="52">
        <v>0.75</v>
      </c>
      <c r="Q21" s="53" t="s">
        <v>15</v>
      </c>
      <c r="R21" s="43"/>
      <c r="S21" s="43"/>
      <c r="T21" s="43"/>
      <c r="U21" s="43"/>
    </row>
    <row r="22" spans="1:21" s="11" customFormat="1" x14ac:dyDescent="0.25">
      <c r="A22" s="51" t="s">
        <v>361</v>
      </c>
      <c r="B22" s="52">
        <v>5.73</v>
      </c>
      <c r="C22" s="52">
        <v>55.7</v>
      </c>
      <c r="D22" s="52">
        <v>98.4</v>
      </c>
      <c r="E22" s="52">
        <v>22.73</v>
      </c>
      <c r="F22" s="52">
        <v>35</v>
      </c>
      <c r="G22" s="52">
        <v>82.22</v>
      </c>
      <c r="H22" s="52">
        <v>20.420000000000002</v>
      </c>
      <c r="I22" s="52">
        <v>4.13</v>
      </c>
      <c r="J22" s="52">
        <v>1.72</v>
      </c>
      <c r="K22" s="52">
        <v>344.2</v>
      </c>
      <c r="L22" s="52">
        <v>40</v>
      </c>
      <c r="M22" s="52">
        <v>19.64</v>
      </c>
      <c r="N22" s="52">
        <v>796.5</v>
      </c>
      <c r="O22" s="52">
        <v>0</v>
      </c>
      <c r="P22" s="52">
        <v>0.75</v>
      </c>
      <c r="Q22" s="53" t="s">
        <v>15</v>
      </c>
      <c r="R22" s="43"/>
      <c r="S22" s="43"/>
      <c r="T22" s="43"/>
      <c r="U22" s="43"/>
    </row>
    <row r="23" spans="1:21" s="11" customFormat="1" x14ac:dyDescent="0.25">
      <c r="A23" s="51" t="s">
        <v>362</v>
      </c>
      <c r="B23" s="52">
        <v>10.130000000000001</v>
      </c>
      <c r="C23" s="52">
        <v>54.28</v>
      </c>
      <c r="D23" s="52">
        <v>88.35</v>
      </c>
      <c r="E23" s="52">
        <v>28.26</v>
      </c>
      <c r="F23" s="52">
        <v>33.01</v>
      </c>
      <c r="G23" s="52">
        <v>82.22</v>
      </c>
      <c r="H23" s="52">
        <v>22.92</v>
      </c>
      <c r="I23" s="52">
        <v>3.99</v>
      </c>
      <c r="J23" s="52">
        <v>1.01</v>
      </c>
      <c r="K23" s="52">
        <v>359.08</v>
      </c>
      <c r="L23" s="52">
        <v>38.44</v>
      </c>
      <c r="M23" s="52">
        <v>15.31</v>
      </c>
      <c r="N23" s="52">
        <v>549.4</v>
      </c>
      <c r="O23" s="52">
        <v>0</v>
      </c>
      <c r="P23" s="52">
        <v>0.66</v>
      </c>
      <c r="Q23" s="53" t="s">
        <v>15</v>
      </c>
      <c r="R23" s="43"/>
      <c r="S23" s="43"/>
      <c r="T23" s="43"/>
      <c r="U23" s="43"/>
    </row>
    <row r="24" spans="1:21" s="11" customFormat="1" x14ac:dyDescent="0.25">
      <c r="A24" s="51" t="s">
        <v>363</v>
      </c>
      <c r="B24" s="52">
        <v>5.15</v>
      </c>
      <c r="C24" s="52">
        <v>45.14</v>
      </c>
      <c r="D24" s="52">
        <v>80.430000000000007</v>
      </c>
      <c r="E24" s="52">
        <v>24.24</v>
      </c>
      <c r="F24" s="52">
        <v>26.65</v>
      </c>
      <c r="G24" s="52">
        <v>78.209999999999994</v>
      </c>
      <c r="H24" s="52">
        <v>22.94</v>
      </c>
      <c r="I24" s="52">
        <v>4.1500000000000004</v>
      </c>
      <c r="J24" s="52">
        <v>1.26</v>
      </c>
      <c r="K24" s="52">
        <v>340.73</v>
      </c>
      <c r="L24" s="52">
        <v>35.83</v>
      </c>
      <c r="M24" s="52">
        <v>16.989999999999998</v>
      </c>
      <c r="N24" s="52">
        <v>271.39999999999998</v>
      </c>
      <c r="O24" s="52">
        <v>0</v>
      </c>
      <c r="P24" s="52">
        <v>0.6</v>
      </c>
      <c r="Q24" s="53" t="s">
        <v>15</v>
      </c>
      <c r="R24" s="43"/>
      <c r="S24" s="43"/>
      <c r="T24" s="43"/>
      <c r="U24" s="43"/>
    </row>
    <row r="25" spans="1:21" s="11" customFormat="1" x14ac:dyDescent="0.25">
      <c r="A25" s="51" t="s">
        <v>364</v>
      </c>
      <c r="B25" s="52">
        <v>14</v>
      </c>
      <c r="C25" s="52">
        <v>72.239999999999995</v>
      </c>
      <c r="D25" s="52">
        <v>116.78</v>
      </c>
      <c r="E25" s="52">
        <v>25.77</v>
      </c>
      <c r="F25" s="52">
        <v>27.19</v>
      </c>
      <c r="G25" s="52">
        <v>69.64</v>
      </c>
      <c r="H25" s="52">
        <v>22.94</v>
      </c>
      <c r="I25" s="52">
        <v>4.07</v>
      </c>
      <c r="J25" s="52">
        <v>1.3</v>
      </c>
      <c r="K25" s="52">
        <v>350.43</v>
      </c>
      <c r="L25" s="52">
        <v>35.78</v>
      </c>
      <c r="M25" s="52">
        <v>18.95</v>
      </c>
      <c r="N25" s="52">
        <v>132.30000000000001</v>
      </c>
      <c r="O25" s="52">
        <v>0</v>
      </c>
      <c r="P25" s="52">
        <v>0.96</v>
      </c>
      <c r="Q25" s="53" t="s">
        <v>15</v>
      </c>
      <c r="R25" s="43"/>
      <c r="S25" s="43"/>
      <c r="T25" s="43"/>
      <c r="U25" s="43"/>
    </row>
    <row r="26" spans="1:21" s="11" customFormat="1" x14ac:dyDescent="0.25">
      <c r="A26" s="51" t="s">
        <v>365</v>
      </c>
      <c r="B26" s="52">
        <v>18.510000000000002</v>
      </c>
      <c r="C26" s="52">
        <v>78.48</v>
      </c>
      <c r="D26" s="52">
        <v>121.8</v>
      </c>
      <c r="E26" s="52">
        <v>24.65</v>
      </c>
      <c r="F26" s="52">
        <v>24.91</v>
      </c>
      <c r="G26" s="52">
        <v>79.81</v>
      </c>
      <c r="H26" s="52">
        <v>22.01</v>
      </c>
      <c r="I26" s="52">
        <v>4.1100000000000003</v>
      </c>
      <c r="J26" s="52">
        <v>2.58</v>
      </c>
      <c r="K26" s="52">
        <v>358.37</v>
      </c>
      <c r="L26" s="52">
        <v>35.36</v>
      </c>
      <c r="M26" s="52">
        <v>26.99</v>
      </c>
      <c r="N26" s="52">
        <v>141.4</v>
      </c>
      <c r="O26" s="52">
        <v>0</v>
      </c>
      <c r="P26" s="52">
        <v>0.82</v>
      </c>
      <c r="Q26" s="53" t="s">
        <v>15</v>
      </c>
      <c r="R26" s="43"/>
      <c r="S26" s="43"/>
      <c r="T26" s="43"/>
      <c r="U26" s="43"/>
    </row>
    <row r="27" spans="1:21" s="11" customFormat="1" x14ac:dyDescent="0.25">
      <c r="A27" s="51" t="s">
        <v>366</v>
      </c>
      <c r="B27" s="52">
        <v>4.91</v>
      </c>
      <c r="C27" s="52">
        <v>54.88</v>
      </c>
      <c r="D27" s="52">
        <v>97.5</v>
      </c>
      <c r="E27" s="52">
        <v>7</v>
      </c>
      <c r="F27" s="52">
        <v>13.24</v>
      </c>
      <c r="G27" s="52">
        <v>170.57</v>
      </c>
      <c r="H27" s="52">
        <v>24.77</v>
      </c>
      <c r="I27" s="52">
        <v>4.24</v>
      </c>
      <c r="J27" s="52">
        <v>4.8899999999999997</v>
      </c>
      <c r="K27" s="52">
        <v>359.52</v>
      </c>
      <c r="L27" s="52">
        <v>30.26</v>
      </c>
      <c r="M27" s="52">
        <v>33.04</v>
      </c>
      <c r="N27" s="52">
        <v>50</v>
      </c>
      <c r="O27" s="52">
        <v>0</v>
      </c>
      <c r="P27" s="52">
        <v>0.7</v>
      </c>
      <c r="Q27" s="53" t="s">
        <v>15</v>
      </c>
      <c r="R27" s="43"/>
      <c r="S27" s="43"/>
      <c r="T27" s="43"/>
      <c r="U27" s="43"/>
    </row>
    <row r="28" spans="1:21" s="11" customFormat="1" x14ac:dyDescent="0.25">
      <c r="A28" s="51" t="s">
        <v>367</v>
      </c>
      <c r="B28" s="52">
        <v>3.31</v>
      </c>
      <c r="C28" s="52">
        <v>49.35</v>
      </c>
      <c r="D28" s="52">
        <v>91.26</v>
      </c>
      <c r="E28" s="52">
        <v>6.89</v>
      </c>
      <c r="F28" s="52">
        <v>10.78</v>
      </c>
      <c r="G28" s="52">
        <v>170.57</v>
      </c>
      <c r="H28" s="52">
        <v>24.77</v>
      </c>
      <c r="I28" s="52">
        <v>4.1900000000000004</v>
      </c>
      <c r="J28" s="52">
        <v>3.25</v>
      </c>
      <c r="K28" s="52">
        <v>359.18</v>
      </c>
      <c r="L28" s="52">
        <v>27.73</v>
      </c>
      <c r="M28" s="52">
        <v>34.94</v>
      </c>
      <c r="N28" s="52">
        <v>46.8</v>
      </c>
      <c r="O28" s="52">
        <v>0</v>
      </c>
      <c r="P28" s="52">
        <v>0.57999999999999996</v>
      </c>
      <c r="Q28" s="53" t="s">
        <v>15</v>
      </c>
      <c r="R28" s="43"/>
      <c r="S28" s="43"/>
      <c r="T28" s="43"/>
      <c r="U28" s="43"/>
    </row>
    <row r="29" spans="1:21" s="11" customFormat="1" x14ac:dyDescent="0.25">
      <c r="A29" s="51" t="s">
        <v>368</v>
      </c>
      <c r="B29" s="52">
        <v>3.6</v>
      </c>
      <c r="C29" s="52">
        <v>51.66</v>
      </c>
      <c r="D29" s="52">
        <v>93.34</v>
      </c>
      <c r="E29" s="52">
        <v>6.09</v>
      </c>
      <c r="F29" s="52">
        <v>11.21</v>
      </c>
      <c r="G29" s="52">
        <v>166.01</v>
      </c>
      <c r="H29" s="52">
        <v>23.73</v>
      </c>
      <c r="I29" s="52">
        <v>4.0999999999999996</v>
      </c>
      <c r="J29" s="52">
        <v>1.34</v>
      </c>
      <c r="K29" s="52">
        <v>104.62</v>
      </c>
      <c r="L29" s="52">
        <v>27.16</v>
      </c>
      <c r="M29" s="52">
        <v>36.799999999999997</v>
      </c>
      <c r="N29" s="52">
        <v>46.3</v>
      </c>
      <c r="O29" s="52">
        <v>0</v>
      </c>
      <c r="P29" s="52">
        <v>0.59</v>
      </c>
      <c r="Q29" s="53" t="s">
        <v>15</v>
      </c>
      <c r="R29" s="43"/>
      <c r="S29" s="43"/>
      <c r="T29" s="43"/>
      <c r="U29" s="43"/>
    </row>
    <row r="30" spans="1:21" s="11" customFormat="1" x14ac:dyDescent="0.25">
      <c r="A30" s="51" t="s">
        <v>369</v>
      </c>
      <c r="B30" s="52">
        <v>6.41</v>
      </c>
      <c r="C30" s="52">
        <v>55.53</v>
      </c>
      <c r="D30" s="52">
        <v>97.61</v>
      </c>
      <c r="E30" s="52">
        <v>5.61</v>
      </c>
      <c r="F30" s="52">
        <v>10.16</v>
      </c>
      <c r="G30" s="52">
        <v>49.33</v>
      </c>
      <c r="H30" s="52">
        <v>20.36</v>
      </c>
      <c r="I30" s="52">
        <v>4.12</v>
      </c>
      <c r="J30" s="52">
        <v>0.83</v>
      </c>
      <c r="K30" s="52">
        <v>332.27</v>
      </c>
      <c r="L30" s="52">
        <v>26.85</v>
      </c>
      <c r="M30" s="52">
        <v>38.92</v>
      </c>
      <c r="N30" s="52">
        <v>46.9</v>
      </c>
      <c r="O30" s="52">
        <v>0</v>
      </c>
      <c r="P30" s="52">
        <v>0.59</v>
      </c>
      <c r="Q30" s="53" t="s">
        <v>15</v>
      </c>
      <c r="R30" s="43"/>
      <c r="S30" s="43"/>
      <c r="T30" s="43"/>
      <c r="U30" s="43"/>
    </row>
    <row r="31" spans="1:21" s="11" customFormat="1" x14ac:dyDescent="0.25">
      <c r="A31" s="51" t="s">
        <v>370</v>
      </c>
      <c r="B31" s="52">
        <v>16.7</v>
      </c>
      <c r="C31" s="52">
        <v>62.56</v>
      </c>
      <c r="D31" s="52">
        <v>96.86</v>
      </c>
      <c r="E31" s="52">
        <v>16.309999999999999</v>
      </c>
      <c r="F31" s="52">
        <v>12.34</v>
      </c>
      <c r="G31" s="52">
        <v>55.11</v>
      </c>
      <c r="H31" s="52">
        <v>15.88</v>
      </c>
      <c r="I31" s="52">
        <v>3.98</v>
      </c>
      <c r="J31" s="52">
        <v>0.79</v>
      </c>
      <c r="K31" s="52">
        <v>320.39999999999998</v>
      </c>
      <c r="L31" s="52">
        <v>25.76</v>
      </c>
      <c r="M31" s="52">
        <v>43.64</v>
      </c>
      <c r="N31" s="52">
        <v>46.9</v>
      </c>
      <c r="O31" s="52">
        <v>0</v>
      </c>
      <c r="P31" s="52">
        <v>0.74</v>
      </c>
      <c r="Q31" s="53" t="s">
        <v>15</v>
      </c>
      <c r="R31" s="43"/>
      <c r="S31" s="43"/>
      <c r="T31" s="43"/>
      <c r="U31" s="43"/>
    </row>
    <row r="32" spans="1:21" s="11" customFormat="1" x14ac:dyDescent="0.25">
      <c r="A32" s="51" t="s">
        <v>371</v>
      </c>
      <c r="B32" s="52">
        <v>26.41</v>
      </c>
      <c r="C32" s="52">
        <v>77.2</v>
      </c>
      <c r="D32" s="52">
        <v>107.23</v>
      </c>
      <c r="E32" s="52">
        <v>17.3</v>
      </c>
      <c r="F32" s="52">
        <v>12.75</v>
      </c>
      <c r="G32" s="52">
        <v>65.989999999999995</v>
      </c>
      <c r="H32" s="52">
        <v>19.45</v>
      </c>
      <c r="I32" s="52">
        <v>4.1399999999999997</v>
      </c>
      <c r="J32" s="52">
        <v>0.95</v>
      </c>
      <c r="K32" s="52">
        <v>203.27</v>
      </c>
      <c r="L32" s="52">
        <v>25.48</v>
      </c>
      <c r="M32" s="52">
        <v>43.48</v>
      </c>
      <c r="N32" s="52">
        <v>46.2</v>
      </c>
      <c r="O32" s="52">
        <v>0</v>
      </c>
      <c r="P32" s="52">
        <v>0.61</v>
      </c>
      <c r="Q32" s="53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2.13</v>
      </c>
      <c r="C34" s="28">
        <f t="shared" si="0"/>
        <v>45.14</v>
      </c>
      <c r="D34" s="28">
        <f t="shared" si="0"/>
        <v>80.430000000000007</v>
      </c>
      <c r="E34" s="28">
        <f t="shared" si="0"/>
        <v>3.25</v>
      </c>
      <c r="F34" s="28">
        <f t="shared" si="0"/>
        <v>8.1199999999999992</v>
      </c>
      <c r="G34" s="28">
        <f t="shared" si="0"/>
        <v>49.33</v>
      </c>
      <c r="H34" s="28">
        <f t="shared" si="0"/>
        <v>13.98</v>
      </c>
      <c r="I34" s="28">
        <f t="shared" si="0"/>
        <v>3.98</v>
      </c>
      <c r="J34" s="28">
        <f t="shared" si="0"/>
        <v>0.41</v>
      </c>
      <c r="K34" s="28">
        <f t="shared" si="0"/>
        <v>104.62</v>
      </c>
      <c r="L34" s="28">
        <f t="shared" si="0"/>
        <v>23.34</v>
      </c>
      <c r="M34" s="28">
        <f t="shared" si="0"/>
        <v>15.31</v>
      </c>
      <c r="N34" s="28">
        <f t="shared" si="0"/>
        <v>46.2</v>
      </c>
      <c r="O34" s="28">
        <f t="shared" si="0"/>
        <v>0</v>
      </c>
      <c r="P34" s="28">
        <f t="shared" si="0"/>
        <v>0.57999999999999996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40.46</v>
      </c>
      <c r="C35" s="29">
        <f t="shared" si="1"/>
        <v>87.11</v>
      </c>
      <c r="D35" s="29">
        <f t="shared" si="1"/>
        <v>121.8</v>
      </c>
      <c r="E35" s="29">
        <f t="shared" si="1"/>
        <v>28.26</v>
      </c>
      <c r="F35" s="29">
        <f t="shared" si="1"/>
        <v>35</v>
      </c>
      <c r="G35" s="29">
        <f t="shared" si="1"/>
        <v>170.57</v>
      </c>
      <c r="H35" s="29">
        <f t="shared" si="1"/>
        <v>24.77</v>
      </c>
      <c r="I35" s="29">
        <f t="shared" si="1"/>
        <v>4.26</v>
      </c>
      <c r="J35" s="29">
        <f t="shared" si="1"/>
        <v>4.8899999999999997</v>
      </c>
      <c r="K35" s="29">
        <f t="shared" si="1"/>
        <v>359.52</v>
      </c>
      <c r="L35" s="29">
        <f t="shared" si="1"/>
        <v>40</v>
      </c>
      <c r="M35" s="29">
        <f t="shared" si="1"/>
        <v>50.86</v>
      </c>
      <c r="N35" s="29">
        <f t="shared" si="1"/>
        <v>917.7</v>
      </c>
      <c r="O35" s="29">
        <f t="shared" si="1"/>
        <v>0</v>
      </c>
      <c r="P35" s="29">
        <f t="shared" si="1"/>
        <v>0.96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15.04541666666667</v>
      </c>
      <c r="C36" s="28">
        <f t="shared" si="2"/>
        <v>61.841666666666669</v>
      </c>
      <c r="D36" s="28">
        <f t="shared" si="2"/>
        <v>96.394999999999996</v>
      </c>
      <c r="E36" s="28">
        <f t="shared" si="2"/>
        <v>11.288333333333334</v>
      </c>
      <c r="F36" s="28">
        <f t="shared" si="2"/>
        <v>16.147916666666664</v>
      </c>
      <c r="G36" s="28">
        <f t="shared" si="2"/>
        <v>78.395416666666662</v>
      </c>
      <c r="H36" s="28">
        <f t="shared" si="2"/>
        <v>19.838333333333335</v>
      </c>
      <c r="I36" s="28">
        <f t="shared" si="2"/>
        <v>4.1104166666666666</v>
      </c>
      <c r="J36" s="28">
        <f t="shared" si="2"/>
        <v>1.2891666666666666</v>
      </c>
      <c r="K36" s="28">
        <f t="shared" si="2"/>
        <v>289.66000000000003</v>
      </c>
      <c r="L36" s="28">
        <f t="shared" si="2"/>
        <v>31.169166666666669</v>
      </c>
      <c r="M36" s="28">
        <f t="shared" si="2"/>
        <v>32.200416666666662</v>
      </c>
      <c r="N36" s="28">
        <f t="shared" si="2"/>
        <v>296.88749999999993</v>
      </c>
      <c r="O36" s="28">
        <f t="shared" si="2"/>
        <v>0</v>
      </c>
      <c r="P36" s="28">
        <f t="shared" si="2"/>
        <v>0.71375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10.132091066707702</v>
      </c>
      <c r="C37" s="28">
        <f t="shared" ref="C37:Q37" si="3">STDEV(C9:C32)</f>
        <v>10.703269580373336</v>
      </c>
      <c r="D37" s="28">
        <f t="shared" si="3"/>
        <v>10.325101957597431</v>
      </c>
      <c r="E37" s="28">
        <f t="shared" si="3"/>
        <v>8.2918821834929322</v>
      </c>
      <c r="F37" s="28">
        <f t="shared" si="3"/>
        <v>7.8570472267378202</v>
      </c>
      <c r="G37" s="28">
        <f t="shared" si="3"/>
        <v>36.091839976126444</v>
      </c>
      <c r="H37" s="28">
        <f t="shared" si="3"/>
        <v>3.1703842404169169</v>
      </c>
      <c r="I37" s="28">
        <f t="shared" si="3"/>
        <v>6.7532869077191582E-2</v>
      </c>
      <c r="J37" s="28">
        <f t="shared" si="3"/>
        <v>1.0269707106727584</v>
      </c>
      <c r="K37" s="28">
        <f t="shared" si="3"/>
        <v>78.676424787806056</v>
      </c>
      <c r="L37" s="28">
        <f t="shared" si="3"/>
        <v>5.7469711619453836</v>
      </c>
      <c r="M37" s="28">
        <f t="shared" si="3"/>
        <v>10.894370895565519</v>
      </c>
      <c r="N37" s="28">
        <f t="shared" si="3"/>
        <v>325.90436088774925</v>
      </c>
      <c r="O37" s="28">
        <f t="shared" si="3"/>
        <v>0</v>
      </c>
      <c r="P37" s="28">
        <f t="shared" si="3"/>
        <v>0.10874031691023879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14/04/2025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372</v>
      </c>
      <c r="B9" s="52">
        <v>8.7799999999999994</v>
      </c>
      <c r="C9" s="52">
        <v>52.46</v>
      </c>
      <c r="D9" s="52">
        <v>86.93</v>
      </c>
      <c r="E9" s="52">
        <v>3.49</v>
      </c>
      <c r="F9" s="52">
        <v>7.74</v>
      </c>
      <c r="G9" s="52">
        <v>66.91</v>
      </c>
      <c r="H9" s="52">
        <v>19.45</v>
      </c>
      <c r="I9" s="52">
        <v>4.1500000000000004</v>
      </c>
      <c r="J9" s="52">
        <v>1.19</v>
      </c>
      <c r="K9" s="52">
        <v>210.22</v>
      </c>
      <c r="L9" s="52">
        <v>25.26</v>
      </c>
      <c r="M9" s="52">
        <v>44.6</v>
      </c>
      <c r="N9" s="52">
        <v>46.7</v>
      </c>
      <c r="O9" s="52">
        <v>0</v>
      </c>
      <c r="P9" s="52">
        <v>0.56999999999999995</v>
      </c>
      <c r="Q9" s="53" t="s">
        <v>15</v>
      </c>
      <c r="R9" s="43"/>
      <c r="S9" s="43"/>
      <c r="T9" s="43"/>
      <c r="U9" s="43"/>
    </row>
    <row r="10" spans="1:21" s="11" customFormat="1" x14ac:dyDescent="0.25">
      <c r="A10" s="51" t="s">
        <v>373</v>
      </c>
      <c r="B10" s="52">
        <v>4.63</v>
      </c>
      <c r="C10" s="52">
        <v>45.9</v>
      </c>
      <c r="D10" s="52">
        <v>80.739999999999995</v>
      </c>
      <c r="E10" s="52">
        <v>2.61</v>
      </c>
      <c r="F10" s="52">
        <v>8.06</v>
      </c>
      <c r="G10" s="52">
        <v>66.91</v>
      </c>
      <c r="H10" s="52">
        <v>16.579999999999998</v>
      </c>
      <c r="I10" s="52">
        <v>4.07</v>
      </c>
      <c r="J10" s="52">
        <v>1.07</v>
      </c>
      <c r="K10" s="52">
        <v>211.49</v>
      </c>
      <c r="L10" s="52">
        <v>24.81</v>
      </c>
      <c r="M10" s="52">
        <v>45.52</v>
      </c>
      <c r="N10" s="52">
        <v>46.5</v>
      </c>
      <c r="O10" s="52">
        <v>0</v>
      </c>
      <c r="P10" s="52">
        <v>0.49</v>
      </c>
      <c r="Q10" s="53" t="s">
        <v>15</v>
      </c>
      <c r="R10" s="43"/>
      <c r="S10" s="43"/>
      <c r="T10" s="43"/>
      <c r="U10" s="43"/>
    </row>
    <row r="11" spans="1:21" s="11" customFormat="1" x14ac:dyDescent="0.25">
      <c r="A11" s="51" t="s">
        <v>374</v>
      </c>
      <c r="B11" s="52">
        <v>3.51</v>
      </c>
      <c r="C11" s="52">
        <v>44.6</v>
      </c>
      <c r="D11" s="52">
        <v>80.150000000000006</v>
      </c>
      <c r="E11" s="52">
        <v>2.84</v>
      </c>
      <c r="F11" s="52">
        <v>10.68</v>
      </c>
      <c r="G11" s="52">
        <v>39.29</v>
      </c>
      <c r="H11" s="52">
        <v>12.57</v>
      </c>
      <c r="I11" s="52">
        <v>4.0999999999999996</v>
      </c>
      <c r="J11" s="52">
        <v>1.64</v>
      </c>
      <c r="K11" s="52">
        <v>323.17</v>
      </c>
      <c r="L11" s="52">
        <v>23.95</v>
      </c>
      <c r="M11" s="52">
        <v>50.9</v>
      </c>
      <c r="N11" s="52">
        <v>46.7</v>
      </c>
      <c r="O11" s="52">
        <v>0</v>
      </c>
      <c r="P11" s="52">
        <v>0.46</v>
      </c>
      <c r="Q11" s="53" t="s">
        <v>15</v>
      </c>
      <c r="R11" s="43"/>
      <c r="S11" s="43"/>
      <c r="T11" s="43"/>
      <c r="U11" s="43"/>
    </row>
    <row r="12" spans="1:21" s="11" customFormat="1" x14ac:dyDescent="0.25">
      <c r="A12" s="51" t="s">
        <v>375</v>
      </c>
      <c r="B12" s="52">
        <v>4.74</v>
      </c>
      <c r="C12" s="52">
        <v>47.28</v>
      </c>
      <c r="D12" s="52">
        <v>84.63</v>
      </c>
      <c r="E12" s="52">
        <v>9.5500000000000007</v>
      </c>
      <c r="F12" s="52">
        <v>9.48</v>
      </c>
      <c r="G12" s="52">
        <v>56.17</v>
      </c>
      <c r="H12" s="52">
        <v>12.62</v>
      </c>
      <c r="I12" s="52">
        <v>4.13</v>
      </c>
      <c r="J12" s="52">
        <v>1.61</v>
      </c>
      <c r="K12" s="52">
        <v>349.24</v>
      </c>
      <c r="L12" s="52">
        <v>24.03</v>
      </c>
      <c r="M12" s="52">
        <v>46.56</v>
      </c>
      <c r="N12" s="52">
        <v>46.7</v>
      </c>
      <c r="O12" s="52">
        <v>0</v>
      </c>
      <c r="P12" s="52">
        <v>0.56000000000000005</v>
      </c>
      <c r="Q12" s="53" t="s">
        <v>15</v>
      </c>
      <c r="R12" s="43"/>
      <c r="S12" s="43"/>
      <c r="T12" s="43"/>
      <c r="U12" s="43"/>
    </row>
    <row r="13" spans="1:21" s="11" customFormat="1" x14ac:dyDescent="0.25">
      <c r="A13" s="51" t="s">
        <v>376</v>
      </c>
      <c r="B13" s="52">
        <v>8.2799999999999994</v>
      </c>
      <c r="C13" s="52">
        <v>48.41</v>
      </c>
      <c r="D13" s="52">
        <v>84.43</v>
      </c>
      <c r="E13" s="52">
        <v>6.75</v>
      </c>
      <c r="F13" s="52">
        <v>7.67</v>
      </c>
      <c r="G13" s="52">
        <v>85.07</v>
      </c>
      <c r="H13" s="52">
        <v>22.27</v>
      </c>
      <c r="I13" s="52">
        <v>4.04</v>
      </c>
      <c r="J13" s="52">
        <v>1.06</v>
      </c>
      <c r="K13" s="52">
        <v>166.93</v>
      </c>
      <c r="L13" s="52">
        <v>24.56</v>
      </c>
      <c r="M13" s="52">
        <v>47.5</v>
      </c>
      <c r="N13" s="52">
        <v>46.7</v>
      </c>
      <c r="O13" s="52">
        <v>0</v>
      </c>
      <c r="P13" s="52">
        <v>0.53</v>
      </c>
      <c r="Q13" s="53" t="s">
        <v>15</v>
      </c>
      <c r="R13" s="43"/>
      <c r="S13" s="43"/>
      <c r="T13" s="43"/>
      <c r="U13" s="43"/>
    </row>
    <row r="14" spans="1:21" s="11" customFormat="1" x14ac:dyDescent="0.25">
      <c r="A14" s="51" t="s">
        <v>377</v>
      </c>
      <c r="B14" s="52">
        <v>11.21</v>
      </c>
      <c r="C14" s="52">
        <v>56.86</v>
      </c>
      <c r="D14" s="52">
        <v>91.62</v>
      </c>
      <c r="E14" s="52">
        <v>4.2</v>
      </c>
      <c r="F14" s="52">
        <v>7.76</v>
      </c>
      <c r="G14" s="52">
        <v>93.2</v>
      </c>
      <c r="H14" s="52">
        <v>22.27</v>
      </c>
      <c r="I14" s="52">
        <v>4.05</v>
      </c>
      <c r="J14" s="52">
        <v>1.27</v>
      </c>
      <c r="K14" s="52">
        <v>196.25</v>
      </c>
      <c r="L14" s="52">
        <v>24.22</v>
      </c>
      <c r="M14" s="52">
        <v>50.16</v>
      </c>
      <c r="N14" s="52">
        <v>57.2</v>
      </c>
      <c r="O14" s="52">
        <v>0</v>
      </c>
      <c r="P14" s="52">
        <v>0.55000000000000004</v>
      </c>
      <c r="Q14" s="53" t="s">
        <v>15</v>
      </c>
      <c r="R14" s="43"/>
      <c r="S14" s="43"/>
      <c r="T14" s="43"/>
      <c r="U14" s="43"/>
    </row>
    <row r="15" spans="1:21" s="11" customFormat="1" x14ac:dyDescent="0.25">
      <c r="A15" s="51" t="s">
        <v>378</v>
      </c>
      <c r="B15" s="52">
        <v>24.58</v>
      </c>
      <c r="C15" s="52">
        <v>64.319999999999993</v>
      </c>
      <c r="D15" s="52">
        <v>89.79</v>
      </c>
      <c r="E15" s="52">
        <v>4.45</v>
      </c>
      <c r="F15" s="52">
        <v>6.93</v>
      </c>
      <c r="G15" s="52">
        <v>97.98</v>
      </c>
      <c r="H15" s="52">
        <v>23.2</v>
      </c>
      <c r="I15" s="52">
        <v>4.17</v>
      </c>
      <c r="J15" s="52">
        <v>1.67</v>
      </c>
      <c r="K15" s="52">
        <v>333.04</v>
      </c>
      <c r="L15" s="52">
        <v>25.96</v>
      </c>
      <c r="M15" s="52">
        <v>51.13</v>
      </c>
      <c r="N15" s="52">
        <v>178.4</v>
      </c>
      <c r="O15" s="52">
        <v>0</v>
      </c>
      <c r="P15" s="52">
        <v>0.64</v>
      </c>
      <c r="Q15" s="53" t="s">
        <v>15</v>
      </c>
      <c r="R15" s="43"/>
      <c r="S15" s="43"/>
      <c r="T15" s="43"/>
      <c r="U15" s="43"/>
    </row>
    <row r="16" spans="1:21" s="11" customFormat="1" x14ac:dyDescent="0.25">
      <c r="A16" s="51" t="s">
        <v>379</v>
      </c>
      <c r="B16" s="52">
        <v>43.34</v>
      </c>
      <c r="C16" s="52">
        <v>88.23</v>
      </c>
      <c r="D16" s="52">
        <v>102.35</v>
      </c>
      <c r="E16" s="52">
        <v>32.92</v>
      </c>
      <c r="F16" s="52">
        <v>8.86</v>
      </c>
      <c r="G16" s="52">
        <v>209.86</v>
      </c>
      <c r="H16" s="52">
        <v>41.29</v>
      </c>
      <c r="I16" s="52">
        <v>4.07</v>
      </c>
      <c r="J16" s="52">
        <v>1.06</v>
      </c>
      <c r="K16" s="52">
        <v>343.37</v>
      </c>
      <c r="L16" s="52">
        <v>28.05</v>
      </c>
      <c r="M16" s="52">
        <v>45.94</v>
      </c>
      <c r="N16" s="52">
        <v>395.4</v>
      </c>
      <c r="O16" s="52">
        <v>0</v>
      </c>
      <c r="P16" s="52">
        <v>1.1399999999999999</v>
      </c>
      <c r="Q16" s="53" t="s">
        <v>15</v>
      </c>
      <c r="R16" s="43"/>
      <c r="S16" s="43"/>
      <c r="T16" s="43"/>
      <c r="U16" s="43"/>
    </row>
    <row r="17" spans="1:21" s="11" customFormat="1" x14ac:dyDescent="0.25">
      <c r="A17" s="51" t="s">
        <v>380</v>
      </c>
      <c r="B17" s="52">
        <v>22.08</v>
      </c>
      <c r="C17" s="52">
        <v>64.53</v>
      </c>
      <c r="D17" s="52">
        <v>89.61</v>
      </c>
      <c r="E17" s="52">
        <v>7.61</v>
      </c>
      <c r="F17" s="52">
        <v>12.48</v>
      </c>
      <c r="G17" s="52">
        <v>209.86</v>
      </c>
      <c r="H17" s="52">
        <v>41.29</v>
      </c>
      <c r="I17" s="52">
        <v>3.99</v>
      </c>
      <c r="J17" s="52">
        <v>0.68</v>
      </c>
      <c r="K17" s="52">
        <v>321.02999999999997</v>
      </c>
      <c r="L17" s="52">
        <v>29.15</v>
      </c>
      <c r="M17" s="52">
        <v>38.1</v>
      </c>
      <c r="N17" s="52">
        <v>497.4</v>
      </c>
      <c r="O17" s="52">
        <v>0</v>
      </c>
      <c r="P17" s="52">
        <v>0.75</v>
      </c>
      <c r="Q17" s="53" t="s">
        <v>15</v>
      </c>
      <c r="R17" s="43"/>
      <c r="S17" s="43"/>
      <c r="T17" s="43"/>
      <c r="U17" s="43"/>
    </row>
    <row r="18" spans="1:21" s="11" customFormat="1" x14ac:dyDescent="0.25">
      <c r="A18" s="51" t="s">
        <v>381</v>
      </c>
      <c r="B18" s="52">
        <v>21.31</v>
      </c>
      <c r="C18" s="52">
        <v>66.72</v>
      </c>
      <c r="D18" s="52">
        <v>97.53</v>
      </c>
      <c r="E18" s="52">
        <v>7.83</v>
      </c>
      <c r="F18" s="52">
        <v>11.13</v>
      </c>
      <c r="G18" s="52">
        <v>78.63</v>
      </c>
      <c r="H18" s="52">
        <v>32.9</v>
      </c>
      <c r="I18" s="52">
        <v>4.08</v>
      </c>
      <c r="J18" s="52">
        <v>0.99</v>
      </c>
      <c r="K18" s="52">
        <v>340.15</v>
      </c>
      <c r="L18" s="52">
        <v>35.270000000000003</v>
      </c>
      <c r="M18" s="52">
        <v>31.11</v>
      </c>
      <c r="N18" s="52">
        <v>733.7</v>
      </c>
      <c r="O18" s="52">
        <v>0</v>
      </c>
      <c r="P18" s="52">
        <v>0.75</v>
      </c>
      <c r="Q18" s="53" t="s">
        <v>15</v>
      </c>
      <c r="R18" s="43"/>
      <c r="S18" s="43"/>
      <c r="T18" s="43"/>
      <c r="U18" s="43"/>
    </row>
    <row r="19" spans="1:21" s="11" customFormat="1" x14ac:dyDescent="0.25">
      <c r="A19" s="51" t="s">
        <v>382</v>
      </c>
      <c r="B19" s="57" t="s">
        <v>12</v>
      </c>
      <c r="C19" s="57" t="s">
        <v>12</v>
      </c>
      <c r="D19" s="57" t="s">
        <v>12</v>
      </c>
      <c r="E19" s="52">
        <v>15.37</v>
      </c>
      <c r="F19" s="52">
        <v>19.32</v>
      </c>
      <c r="G19" s="52">
        <v>74.22</v>
      </c>
      <c r="H19" s="52">
        <v>28.46</v>
      </c>
      <c r="I19" s="52">
        <v>4.08</v>
      </c>
      <c r="J19" s="52">
        <v>0.77</v>
      </c>
      <c r="K19" s="52">
        <v>340.36</v>
      </c>
      <c r="L19" s="52">
        <v>34.130000000000003</v>
      </c>
      <c r="M19" s="52">
        <v>33.79</v>
      </c>
      <c r="N19" s="52">
        <v>856.3</v>
      </c>
      <c r="O19" s="52">
        <v>0</v>
      </c>
      <c r="P19" s="52">
        <v>0.76</v>
      </c>
      <c r="Q19" s="53" t="s">
        <v>15</v>
      </c>
      <c r="R19" s="43"/>
      <c r="S19" s="43"/>
      <c r="T19" s="43"/>
      <c r="U19" s="43"/>
    </row>
    <row r="20" spans="1:21" s="11" customFormat="1" x14ac:dyDescent="0.25">
      <c r="A20" s="51" t="s">
        <v>383</v>
      </c>
      <c r="B20" s="52">
        <v>4.5999999999999996</v>
      </c>
      <c r="C20" s="52">
        <v>75.17</v>
      </c>
      <c r="D20" s="52">
        <v>72.55</v>
      </c>
      <c r="E20" s="52">
        <v>6.44</v>
      </c>
      <c r="F20" s="52">
        <v>26.09</v>
      </c>
      <c r="G20" s="57" t="s">
        <v>12</v>
      </c>
      <c r="H20" s="57" t="s">
        <v>12</v>
      </c>
      <c r="I20" s="52">
        <v>4.09</v>
      </c>
      <c r="J20" s="52">
        <v>1.01</v>
      </c>
      <c r="K20" s="52">
        <v>340.42</v>
      </c>
      <c r="L20" s="52">
        <v>36.58</v>
      </c>
      <c r="M20" s="52">
        <v>28.93</v>
      </c>
      <c r="N20" s="52">
        <v>730.4</v>
      </c>
      <c r="O20" s="52">
        <v>0</v>
      </c>
      <c r="P20" s="52">
        <v>0.8</v>
      </c>
      <c r="Q20" s="53" t="s">
        <v>15</v>
      </c>
      <c r="R20" s="43"/>
      <c r="S20" s="43"/>
      <c r="T20" s="43"/>
      <c r="U20" s="43"/>
    </row>
    <row r="21" spans="1:21" s="11" customFormat="1" x14ac:dyDescent="0.25">
      <c r="A21" s="51" t="s">
        <v>384</v>
      </c>
      <c r="B21" s="52">
        <v>3.72</v>
      </c>
      <c r="C21" s="52">
        <v>69.5</v>
      </c>
      <c r="D21" s="52">
        <v>68.069999999999993</v>
      </c>
      <c r="E21" s="18" t="s">
        <v>12</v>
      </c>
      <c r="F21" s="52">
        <v>19.739999999999998</v>
      </c>
      <c r="G21" s="52">
        <v>75.69</v>
      </c>
      <c r="H21" s="52">
        <v>14.57</v>
      </c>
      <c r="I21" s="52">
        <v>4.04</v>
      </c>
      <c r="J21" s="52">
        <v>0.45</v>
      </c>
      <c r="K21" s="52">
        <v>289.89</v>
      </c>
      <c r="L21" s="52">
        <v>35.42</v>
      </c>
      <c r="M21" s="52">
        <v>25.96</v>
      </c>
      <c r="N21" s="52">
        <v>460.7</v>
      </c>
      <c r="O21" s="52">
        <v>0</v>
      </c>
      <c r="P21" s="52">
        <v>0.71</v>
      </c>
      <c r="Q21" s="53" t="s">
        <v>15</v>
      </c>
      <c r="R21" s="43"/>
      <c r="S21" s="43"/>
      <c r="T21" s="43"/>
      <c r="U21" s="43"/>
    </row>
    <row r="22" spans="1:21" s="11" customFormat="1" x14ac:dyDescent="0.25">
      <c r="A22" s="51" t="s">
        <v>385</v>
      </c>
      <c r="B22" s="52">
        <v>1.43</v>
      </c>
      <c r="C22" s="52">
        <v>67.45</v>
      </c>
      <c r="D22" s="52">
        <v>66.03</v>
      </c>
      <c r="E22" s="52">
        <v>5.81</v>
      </c>
      <c r="F22" s="52">
        <v>18.73</v>
      </c>
      <c r="G22" s="52">
        <v>75.69</v>
      </c>
      <c r="H22" s="52">
        <v>18.88</v>
      </c>
      <c r="I22" s="52">
        <v>4.01</v>
      </c>
      <c r="J22" s="52">
        <v>1.07</v>
      </c>
      <c r="K22" s="52">
        <v>286.60000000000002</v>
      </c>
      <c r="L22" s="52">
        <v>35.479999999999997</v>
      </c>
      <c r="M22" s="52">
        <v>25.9</v>
      </c>
      <c r="N22" s="52">
        <v>677.6</v>
      </c>
      <c r="O22" s="52">
        <v>0</v>
      </c>
      <c r="P22" s="52">
        <v>0.66</v>
      </c>
      <c r="Q22" s="53" t="s">
        <v>15</v>
      </c>
      <c r="R22" s="43"/>
      <c r="S22" s="43"/>
      <c r="T22" s="43"/>
      <c r="U22" s="43"/>
    </row>
    <row r="23" spans="1:21" s="11" customFormat="1" x14ac:dyDescent="0.25">
      <c r="A23" s="51" t="s">
        <v>386</v>
      </c>
      <c r="B23" s="52">
        <v>0.97</v>
      </c>
      <c r="C23" s="52">
        <v>51.83</v>
      </c>
      <c r="D23" s="52">
        <v>51.49</v>
      </c>
      <c r="E23" s="52">
        <v>11.77</v>
      </c>
      <c r="F23" s="52">
        <v>21.61</v>
      </c>
      <c r="G23" s="52">
        <v>78.42</v>
      </c>
      <c r="H23" s="52">
        <v>19.95</v>
      </c>
      <c r="I23" s="52">
        <v>4.0599999999999996</v>
      </c>
      <c r="J23" s="52">
        <v>1.33</v>
      </c>
      <c r="K23" s="52">
        <v>289.44</v>
      </c>
      <c r="L23" s="52">
        <v>35.200000000000003</v>
      </c>
      <c r="M23" s="52">
        <v>25.45</v>
      </c>
      <c r="N23" s="52">
        <v>661</v>
      </c>
      <c r="O23" s="52">
        <v>0</v>
      </c>
      <c r="P23" s="52">
        <v>0.67</v>
      </c>
      <c r="Q23" s="53" t="s">
        <v>15</v>
      </c>
      <c r="R23" s="43"/>
      <c r="S23" s="43"/>
      <c r="T23" s="43"/>
      <c r="U23" s="43"/>
    </row>
    <row r="24" spans="1:21" s="11" customFormat="1" x14ac:dyDescent="0.25">
      <c r="A24" s="51" t="s">
        <v>387</v>
      </c>
      <c r="B24" s="52">
        <v>22.08</v>
      </c>
      <c r="C24" s="52">
        <v>108.88</v>
      </c>
      <c r="D24" s="52">
        <v>86.8</v>
      </c>
      <c r="E24" s="52">
        <v>26.35</v>
      </c>
      <c r="F24" s="52">
        <v>30.16</v>
      </c>
      <c r="G24" s="52">
        <v>78.42</v>
      </c>
      <c r="H24" s="52">
        <v>19.95</v>
      </c>
      <c r="I24" s="52">
        <v>4.1900000000000004</v>
      </c>
      <c r="J24" s="52">
        <v>0.85</v>
      </c>
      <c r="K24" s="52">
        <v>339.51</v>
      </c>
      <c r="L24" s="52">
        <v>35.840000000000003</v>
      </c>
      <c r="M24" s="52">
        <v>24.03</v>
      </c>
      <c r="N24" s="52">
        <v>254.7</v>
      </c>
      <c r="O24" s="52">
        <v>0</v>
      </c>
      <c r="P24" s="52">
        <v>0.91</v>
      </c>
      <c r="Q24" s="53" t="s">
        <v>15</v>
      </c>
      <c r="R24" s="43"/>
      <c r="S24" s="43"/>
      <c r="T24" s="43"/>
      <c r="U24" s="43"/>
    </row>
    <row r="25" spans="1:21" s="11" customFormat="1" x14ac:dyDescent="0.25">
      <c r="A25" s="51" t="s">
        <v>388</v>
      </c>
      <c r="B25" s="52">
        <v>9.9</v>
      </c>
      <c r="C25" s="52">
        <v>92.61</v>
      </c>
      <c r="D25" s="52">
        <v>83.57</v>
      </c>
      <c r="E25" s="52">
        <v>38.86</v>
      </c>
      <c r="F25" s="52">
        <v>31.49</v>
      </c>
      <c r="G25" s="52">
        <v>65.52</v>
      </c>
      <c r="H25" s="52">
        <v>18.27</v>
      </c>
      <c r="I25" s="52">
        <v>4</v>
      </c>
      <c r="J25" s="52">
        <v>0.99</v>
      </c>
      <c r="K25" s="52">
        <v>351.97</v>
      </c>
      <c r="L25" s="52">
        <v>34.5</v>
      </c>
      <c r="M25" s="52">
        <v>24.11</v>
      </c>
      <c r="N25" s="52">
        <v>174.3</v>
      </c>
      <c r="O25" s="52">
        <v>0</v>
      </c>
      <c r="P25" s="52">
        <v>1.19</v>
      </c>
      <c r="Q25" s="53" t="s">
        <v>15</v>
      </c>
      <c r="R25" s="43"/>
      <c r="S25" s="43"/>
      <c r="T25" s="43"/>
      <c r="U25" s="43"/>
    </row>
    <row r="26" spans="1:21" s="11" customFormat="1" x14ac:dyDescent="0.25">
      <c r="A26" s="51" t="s">
        <v>389</v>
      </c>
      <c r="B26" s="52">
        <v>4.5</v>
      </c>
      <c r="C26" s="52">
        <v>70.22</v>
      </c>
      <c r="D26" s="52">
        <v>67.150000000000006</v>
      </c>
      <c r="E26" s="52">
        <v>37.119999999999997</v>
      </c>
      <c r="F26" s="52">
        <v>34.31</v>
      </c>
      <c r="G26" s="52">
        <v>59.59</v>
      </c>
      <c r="H26" s="52">
        <v>21.45</v>
      </c>
      <c r="I26" s="52">
        <v>4.13</v>
      </c>
      <c r="J26" s="52">
        <v>0.71</v>
      </c>
      <c r="K26" s="52">
        <v>166.7</v>
      </c>
      <c r="L26" s="52">
        <v>33.869999999999997</v>
      </c>
      <c r="M26" s="52">
        <v>25.47</v>
      </c>
      <c r="N26" s="52">
        <v>120.2</v>
      </c>
      <c r="O26" s="52">
        <v>0</v>
      </c>
      <c r="P26" s="52">
        <v>0.98</v>
      </c>
      <c r="Q26" s="53" t="s">
        <v>15</v>
      </c>
      <c r="R26" s="43"/>
      <c r="S26" s="43"/>
      <c r="T26" s="43"/>
      <c r="U26" s="43"/>
    </row>
    <row r="27" spans="1:21" s="11" customFormat="1" x14ac:dyDescent="0.25">
      <c r="A27" s="51" t="s">
        <v>390</v>
      </c>
      <c r="B27" s="52">
        <v>78</v>
      </c>
      <c r="C27" s="52">
        <v>234.82</v>
      </c>
      <c r="D27" s="52">
        <v>156.82</v>
      </c>
      <c r="E27" s="52">
        <v>24.65</v>
      </c>
      <c r="F27" s="52">
        <v>28.63</v>
      </c>
      <c r="G27" s="52">
        <v>80.06</v>
      </c>
      <c r="H27" s="52">
        <v>21.45</v>
      </c>
      <c r="I27" s="52">
        <v>4.09</v>
      </c>
      <c r="J27" s="52">
        <v>0.56999999999999995</v>
      </c>
      <c r="K27" s="52">
        <v>348.51</v>
      </c>
      <c r="L27" s="52">
        <v>32.51</v>
      </c>
      <c r="M27" s="52">
        <v>34.5</v>
      </c>
      <c r="N27" s="52">
        <v>54.3</v>
      </c>
      <c r="O27" s="52">
        <v>0</v>
      </c>
      <c r="P27" s="52">
        <v>2.4900000000000002</v>
      </c>
      <c r="Q27" s="53" t="s">
        <v>15</v>
      </c>
      <c r="R27" s="43"/>
      <c r="S27" s="43"/>
      <c r="T27" s="43"/>
      <c r="U27" s="43"/>
    </row>
    <row r="28" spans="1:21" s="11" customFormat="1" x14ac:dyDescent="0.25">
      <c r="A28" s="51" t="s">
        <v>391</v>
      </c>
      <c r="B28" s="52">
        <v>87.1</v>
      </c>
      <c r="C28" s="52">
        <v>256.91000000000003</v>
      </c>
      <c r="D28" s="52">
        <v>169.81</v>
      </c>
      <c r="E28" s="52">
        <v>15.86</v>
      </c>
      <c r="F28" s="52">
        <v>9.7899999999999991</v>
      </c>
      <c r="G28" s="52">
        <v>97.46</v>
      </c>
      <c r="H28" s="52">
        <v>25.18</v>
      </c>
      <c r="I28" s="52">
        <v>4.01</v>
      </c>
      <c r="J28" s="52">
        <v>0.51</v>
      </c>
      <c r="K28" s="52">
        <v>285.98</v>
      </c>
      <c r="L28" s="52">
        <v>30.05</v>
      </c>
      <c r="M28" s="52">
        <v>36.770000000000003</v>
      </c>
      <c r="N28" s="52">
        <v>45.1</v>
      </c>
      <c r="O28" s="52">
        <v>0</v>
      </c>
      <c r="P28" s="52">
        <v>2.5499999999999998</v>
      </c>
      <c r="Q28" s="53" t="s">
        <v>15</v>
      </c>
      <c r="R28" s="43"/>
      <c r="S28" s="43"/>
      <c r="T28" s="43"/>
      <c r="U28" s="43"/>
    </row>
    <row r="29" spans="1:21" s="11" customFormat="1" x14ac:dyDescent="0.25">
      <c r="A29" s="51" t="s">
        <v>392</v>
      </c>
      <c r="B29" s="52">
        <v>47.89</v>
      </c>
      <c r="C29" s="52">
        <v>193.05</v>
      </c>
      <c r="D29" s="52">
        <v>145.16</v>
      </c>
      <c r="E29" s="52">
        <v>13.17</v>
      </c>
      <c r="F29" s="52">
        <v>10.66</v>
      </c>
      <c r="G29" s="52">
        <v>127.49</v>
      </c>
      <c r="H29" s="52">
        <v>29.63</v>
      </c>
      <c r="I29" s="52">
        <v>4.05</v>
      </c>
      <c r="J29" s="52">
        <v>1.52</v>
      </c>
      <c r="K29" s="52">
        <v>277.20999999999998</v>
      </c>
      <c r="L29" s="52">
        <v>29.31</v>
      </c>
      <c r="M29" s="52">
        <v>38.6</v>
      </c>
      <c r="N29" s="52">
        <v>47.9</v>
      </c>
      <c r="O29" s="52">
        <v>0</v>
      </c>
      <c r="P29" s="52">
        <v>2.41</v>
      </c>
      <c r="Q29" s="53" t="s">
        <v>15</v>
      </c>
      <c r="R29" s="43"/>
      <c r="S29" s="43"/>
      <c r="T29" s="43"/>
      <c r="U29" s="43"/>
    </row>
    <row r="30" spans="1:21" s="11" customFormat="1" x14ac:dyDescent="0.25">
      <c r="A30" s="51" t="s">
        <v>393</v>
      </c>
      <c r="B30" s="52">
        <v>18.27</v>
      </c>
      <c r="C30" s="52">
        <v>93.91</v>
      </c>
      <c r="D30" s="52">
        <v>75.64</v>
      </c>
      <c r="E30" s="52">
        <v>5.32</v>
      </c>
      <c r="F30" s="52">
        <v>11.38</v>
      </c>
      <c r="G30" s="52">
        <v>127.49</v>
      </c>
      <c r="H30" s="52">
        <v>29.63</v>
      </c>
      <c r="I30" s="52">
        <v>4.08</v>
      </c>
      <c r="J30" s="52">
        <v>1.62</v>
      </c>
      <c r="K30" s="52">
        <v>165.3</v>
      </c>
      <c r="L30" s="52">
        <v>28.48</v>
      </c>
      <c r="M30" s="52">
        <v>39.29</v>
      </c>
      <c r="N30" s="52">
        <v>47.9</v>
      </c>
      <c r="O30" s="52">
        <v>0</v>
      </c>
      <c r="P30" s="52">
        <v>1.08</v>
      </c>
      <c r="Q30" s="53" t="s">
        <v>15</v>
      </c>
      <c r="R30" s="43"/>
      <c r="S30" s="43"/>
      <c r="T30" s="43"/>
      <c r="U30" s="43"/>
    </row>
    <row r="31" spans="1:21" s="11" customFormat="1" x14ac:dyDescent="0.25">
      <c r="A31" s="51" t="s">
        <v>394</v>
      </c>
      <c r="B31" s="52">
        <v>14.57</v>
      </c>
      <c r="C31" s="52">
        <v>88.86</v>
      </c>
      <c r="D31" s="52">
        <v>74.28</v>
      </c>
      <c r="E31" s="52">
        <v>4.24</v>
      </c>
      <c r="F31" s="52">
        <v>8.5500000000000007</v>
      </c>
      <c r="G31" s="52">
        <v>79.77</v>
      </c>
      <c r="H31" s="52">
        <v>25.43</v>
      </c>
      <c r="I31" s="52">
        <v>4.09</v>
      </c>
      <c r="J31" s="52">
        <v>1.4</v>
      </c>
      <c r="K31" s="52">
        <v>167.99</v>
      </c>
      <c r="L31" s="52">
        <v>27.4</v>
      </c>
      <c r="M31" s="52">
        <v>41.23</v>
      </c>
      <c r="N31" s="52">
        <v>47.7</v>
      </c>
      <c r="O31" s="52">
        <v>0</v>
      </c>
      <c r="P31" s="52">
        <v>1.02</v>
      </c>
      <c r="Q31" s="53" t="s">
        <v>15</v>
      </c>
      <c r="R31" s="43"/>
      <c r="S31" s="43"/>
      <c r="T31" s="43"/>
      <c r="U31" s="43"/>
    </row>
    <row r="32" spans="1:21" s="11" customFormat="1" x14ac:dyDescent="0.25">
      <c r="A32" s="51" t="s">
        <v>395</v>
      </c>
      <c r="B32" s="52">
        <v>6.27</v>
      </c>
      <c r="C32" s="52">
        <v>73.510000000000005</v>
      </c>
      <c r="D32" s="52">
        <v>67.94</v>
      </c>
      <c r="E32" s="52">
        <v>3.54</v>
      </c>
      <c r="F32" s="52">
        <v>9.66</v>
      </c>
      <c r="G32" s="52">
        <v>59.31</v>
      </c>
      <c r="H32" s="52">
        <v>22.3</v>
      </c>
      <c r="I32" s="52">
        <v>3.92</v>
      </c>
      <c r="J32" s="52">
        <v>1.69</v>
      </c>
      <c r="K32" s="52">
        <v>164.5</v>
      </c>
      <c r="L32" s="52">
        <v>26.43</v>
      </c>
      <c r="M32" s="52">
        <v>42.04</v>
      </c>
      <c r="N32" s="52">
        <v>47.7</v>
      </c>
      <c r="O32" s="52">
        <v>0</v>
      </c>
      <c r="P32" s="52">
        <v>0.77</v>
      </c>
      <c r="Q32" s="53" t="s">
        <v>15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0.97</v>
      </c>
      <c r="C34" s="28">
        <f t="shared" si="0"/>
        <v>44.6</v>
      </c>
      <c r="D34" s="28">
        <f t="shared" si="0"/>
        <v>51.49</v>
      </c>
      <c r="E34" s="28">
        <f t="shared" si="0"/>
        <v>2.61</v>
      </c>
      <c r="F34" s="28">
        <f t="shared" si="0"/>
        <v>6.93</v>
      </c>
      <c r="G34" s="28">
        <f t="shared" si="0"/>
        <v>39.29</v>
      </c>
      <c r="H34" s="28">
        <f t="shared" si="0"/>
        <v>12.57</v>
      </c>
      <c r="I34" s="28">
        <f t="shared" si="0"/>
        <v>3.92</v>
      </c>
      <c r="J34" s="28">
        <f t="shared" si="0"/>
        <v>0.45</v>
      </c>
      <c r="K34" s="28">
        <f t="shared" si="0"/>
        <v>164.5</v>
      </c>
      <c r="L34" s="28">
        <f t="shared" si="0"/>
        <v>23.95</v>
      </c>
      <c r="M34" s="28">
        <f t="shared" si="0"/>
        <v>24.03</v>
      </c>
      <c r="N34" s="28">
        <f t="shared" si="0"/>
        <v>45.1</v>
      </c>
      <c r="O34" s="28">
        <f t="shared" si="0"/>
        <v>0</v>
      </c>
      <c r="P34" s="28">
        <f t="shared" si="0"/>
        <v>0.46</v>
      </c>
      <c r="Q34" s="28">
        <f t="shared" si="0"/>
        <v>0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87.1</v>
      </c>
      <c r="C35" s="29">
        <f t="shared" si="1"/>
        <v>256.91000000000003</v>
      </c>
      <c r="D35" s="29">
        <f t="shared" si="1"/>
        <v>169.81</v>
      </c>
      <c r="E35" s="29">
        <f t="shared" si="1"/>
        <v>38.86</v>
      </c>
      <c r="F35" s="29">
        <f t="shared" si="1"/>
        <v>34.31</v>
      </c>
      <c r="G35" s="29">
        <f t="shared" si="1"/>
        <v>209.86</v>
      </c>
      <c r="H35" s="29">
        <f t="shared" si="1"/>
        <v>41.29</v>
      </c>
      <c r="I35" s="29">
        <f t="shared" si="1"/>
        <v>4.1900000000000004</v>
      </c>
      <c r="J35" s="29">
        <f t="shared" si="1"/>
        <v>1.69</v>
      </c>
      <c r="K35" s="29">
        <f t="shared" si="1"/>
        <v>351.97</v>
      </c>
      <c r="L35" s="29">
        <f t="shared" si="1"/>
        <v>36.58</v>
      </c>
      <c r="M35" s="29">
        <f t="shared" si="1"/>
        <v>51.13</v>
      </c>
      <c r="N35" s="29">
        <f t="shared" si="1"/>
        <v>856.3</v>
      </c>
      <c r="O35" s="29">
        <f t="shared" si="1"/>
        <v>0</v>
      </c>
      <c r="P35" s="29">
        <f t="shared" si="1"/>
        <v>2.5499999999999998</v>
      </c>
      <c r="Q35" s="29">
        <f t="shared" si="1"/>
        <v>0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19.641739130434779</v>
      </c>
      <c r="C36" s="28">
        <f t="shared" si="2"/>
        <v>89.392608695652186</v>
      </c>
      <c r="D36" s="28">
        <f t="shared" si="2"/>
        <v>90.134347826086966</v>
      </c>
      <c r="E36" s="28">
        <f t="shared" si="2"/>
        <v>12.64130434782609</v>
      </c>
      <c r="F36" s="28">
        <f t="shared" si="2"/>
        <v>15.454583333333337</v>
      </c>
      <c r="G36" s="28">
        <f t="shared" si="2"/>
        <v>90.565652173913051</v>
      </c>
      <c r="H36" s="28">
        <f t="shared" si="2"/>
        <v>23.460434782608687</v>
      </c>
      <c r="I36" s="28">
        <f t="shared" si="2"/>
        <v>4.0704166666666666</v>
      </c>
      <c r="J36" s="28">
        <f t="shared" si="2"/>
        <v>1.11375</v>
      </c>
      <c r="K36" s="28">
        <f t="shared" si="2"/>
        <v>275.38625000000002</v>
      </c>
      <c r="L36" s="28">
        <f t="shared" si="2"/>
        <v>30.01916666666666</v>
      </c>
      <c r="M36" s="28">
        <f t="shared" si="2"/>
        <v>37.399583333333332</v>
      </c>
      <c r="N36" s="28">
        <f t="shared" si="2"/>
        <v>263.38333333333333</v>
      </c>
      <c r="O36" s="28">
        <f t="shared" si="2"/>
        <v>0</v>
      </c>
      <c r="P36" s="28">
        <f t="shared" si="2"/>
        <v>0.97666666666666657</v>
      </c>
      <c r="Q36" s="28" t="e">
        <f t="shared" si="2"/>
        <v>#DIV/0!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23.424328194921603</v>
      </c>
      <c r="C37" s="28">
        <f t="shared" ref="C37:Q37" si="3">STDEV(C9:C32)</f>
        <v>58.392376932220039</v>
      </c>
      <c r="D37" s="28">
        <f t="shared" si="3"/>
        <v>29.152847331090673</v>
      </c>
      <c r="E37" s="28">
        <f t="shared" si="3"/>
        <v>11.386778738498684</v>
      </c>
      <c r="F37" s="28">
        <f t="shared" si="3"/>
        <v>8.8136919072674527</v>
      </c>
      <c r="G37" s="28">
        <f t="shared" si="3"/>
        <v>42.74556211160585</v>
      </c>
      <c r="H37" s="28">
        <f t="shared" si="3"/>
        <v>7.6762061405008515</v>
      </c>
      <c r="I37" s="28">
        <f t="shared" si="3"/>
        <v>6.0467682109620766E-2</v>
      </c>
      <c r="J37" s="28">
        <f t="shared" si="3"/>
        <v>0.38648710535889264</v>
      </c>
      <c r="K37" s="28">
        <f t="shared" si="3"/>
        <v>72.382237540801697</v>
      </c>
      <c r="L37" s="28">
        <f t="shared" si="3"/>
        <v>4.5587297207299935</v>
      </c>
      <c r="M37" s="28">
        <f t="shared" si="3"/>
        <v>9.2986176995932066</v>
      </c>
      <c r="N37" s="28">
        <f t="shared" si="3"/>
        <v>281.45682450061685</v>
      </c>
      <c r="O37" s="28">
        <f t="shared" si="3"/>
        <v>0</v>
      </c>
      <c r="P37" s="28">
        <f t="shared" si="3"/>
        <v>0.61629797047028911</v>
      </c>
      <c r="Q37" s="28" t="e">
        <f t="shared" si="3"/>
        <v>#DIV/0!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>COUNT(B9:B32)+1</f>
        <v>24</v>
      </c>
      <c r="C38" s="32">
        <f t="shared" ref="C38:E38" si="4">COUNT(C9:C32)+1</f>
        <v>24</v>
      </c>
      <c r="D38" s="32">
        <f t="shared" si="4"/>
        <v>24</v>
      </c>
      <c r="E38" s="32">
        <f t="shared" si="4"/>
        <v>24</v>
      </c>
      <c r="F38" s="32">
        <f t="shared" ref="B38:Q38" si="5">COUNT(F9:F32)</f>
        <v>24</v>
      </c>
      <c r="G38" s="32">
        <f>COUNT(G9:G32)+1</f>
        <v>24</v>
      </c>
      <c r="H38" s="32">
        <f>COUNT(H9:H32)+1</f>
        <v>24</v>
      </c>
      <c r="I38" s="32">
        <f t="shared" si="5"/>
        <v>24</v>
      </c>
      <c r="J38" s="32">
        <f t="shared" si="5"/>
        <v>24</v>
      </c>
      <c r="K38" s="32">
        <f t="shared" si="5"/>
        <v>24</v>
      </c>
      <c r="L38" s="32">
        <f t="shared" si="5"/>
        <v>24</v>
      </c>
      <c r="M38" s="32">
        <f t="shared" si="5"/>
        <v>24</v>
      </c>
      <c r="N38" s="32">
        <f t="shared" si="5"/>
        <v>24</v>
      </c>
      <c r="O38" s="32">
        <f t="shared" si="5"/>
        <v>24</v>
      </c>
      <c r="P38" s="32">
        <f t="shared" si="5"/>
        <v>24</v>
      </c>
      <c r="Q38" s="32">
        <f t="shared" si="5"/>
        <v>0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6">IF(C38&gt;=22,"&gt;90%",IF(C38&lt;=22,"&lt;90%"))</f>
        <v>&gt;90%</v>
      </c>
      <c r="D39" s="29" t="str">
        <f t="shared" si="6"/>
        <v>&gt;90%</v>
      </c>
      <c r="E39" s="29" t="str">
        <f t="shared" si="6"/>
        <v>&gt;90%</v>
      </c>
      <c r="F39" s="29" t="str">
        <f t="shared" si="6"/>
        <v>&gt;90%</v>
      </c>
      <c r="G39" s="29" t="str">
        <f t="shared" si="6"/>
        <v>&gt;90%</v>
      </c>
      <c r="H39" s="29" t="str">
        <f t="shared" si="6"/>
        <v>&gt;90%</v>
      </c>
      <c r="I39" s="29" t="str">
        <f t="shared" si="6"/>
        <v>&gt;90%</v>
      </c>
      <c r="J39" s="29" t="str">
        <f t="shared" si="6"/>
        <v>&gt;90%</v>
      </c>
      <c r="K39" s="29" t="str">
        <f t="shared" si="6"/>
        <v>&gt;90%</v>
      </c>
      <c r="L39" s="29" t="str">
        <f t="shared" si="6"/>
        <v>&gt;90%</v>
      </c>
      <c r="M39" s="29" t="str">
        <f t="shared" si="6"/>
        <v>&gt;90%</v>
      </c>
      <c r="N39" s="29" t="str">
        <f t="shared" si="6"/>
        <v>&gt;90%</v>
      </c>
      <c r="O39" s="29" t="str">
        <f t="shared" si="6"/>
        <v>&gt;90%</v>
      </c>
      <c r="P39" s="29" t="str">
        <f t="shared" si="6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7">IF(C38&gt;=22,"OK",IF(C38&lt;=22,"LESS"))</f>
        <v>OK</v>
      </c>
      <c r="D40" s="29" t="str">
        <f t="shared" si="7"/>
        <v>OK</v>
      </c>
      <c r="E40" s="29" t="str">
        <f t="shared" si="7"/>
        <v>OK</v>
      </c>
      <c r="F40" s="29" t="str">
        <f t="shared" si="7"/>
        <v>OK</v>
      </c>
      <c r="G40" s="29" t="str">
        <f t="shared" si="7"/>
        <v>OK</v>
      </c>
      <c r="H40" s="29" t="str">
        <f t="shared" si="7"/>
        <v>OK</v>
      </c>
      <c r="I40" s="29" t="str">
        <f t="shared" si="7"/>
        <v>OK</v>
      </c>
      <c r="J40" s="29" t="str">
        <f t="shared" si="7"/>
        <v>OK</v>
      </c>
      <c r="K40" s="29" t="str">
        <f t="shared" si="7"/>
        <v>OK</v>
      </c>
      <c r="L40" s="29" t="str">
        <f t="shared" si="7"/>
        <v>OK</v>
      </c>
      <c r="M40" s="29" t="str">
        <f t="shared" si="7"/>
        <v>OK</v>
      </c>
      <c r="N40" s="29" t="str">
        <f t="shared" si="7"/>
        <v>OK</v>
      </c>
      <c r="O40" s="29" t="str">
        <f t="shared" si="7"/>
        <v>OK</v>
      </c>
      <c r="P40" s="29" t="str">
        <f t="shared" si="7"/>
        <v>OK</v>
      </c>
      <c r="Q40" s="29" t="str">
        <f t="shared" si="7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8" sqref="G48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15/04/2025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396</v>
      </c>
      <c r="B9" s="52">
        <v>3.13</v>
      </c>
      <c r="C9" s="52">
        <v>66.19</v>
      </c>
      <c r="D9" s="52">
        <v>63.07</v>
      </c>
      <c r="E9" s="52">
        <v>4.32</v>
      </c>
      <c r="F9" s="52">
        <v>18.5</v>
      </c>
      <c r="G9" s="52">
        <v>59.31</v>
      </c>
      <c r="H9" s="52">
        <v>19.05</v>
      </c>
      <c r="I9" s="52">
        <v>4.0599999999999996</v>
      </c>
      <c r="J9" s="52">
        <v>1.29</v>
      </c>
      <c r="K9" s="52">
        <v>178.53</v>
      </c>
      <c r="L9" s="52">
        <v>25.92</v>
      </c>
      <c r="M9" s="52">
        <v>44.04</v>
      </c>
      <c r="N9" s="52">
        <v>47.9</v>
      </c>
      <c r="O9" s="52">
        <v>0</v>
      </c>
      <c r="P9" s="52">
        <v>0.64</v>
      </c>
      <c r="Q9" s="53" t="s">
        <v>15</v>
      </c>
      <c r="R9" s="43"/>
      <c r="S9" s="43"/>
      <c r="T9" s="43"/>
      <c r="U9" s="43"/>
    </row>
    <row r="10" spans="1:21" s="11" customFormat="1" x14ac:dyDescent="0.25">
      <c r="A10" s="51" t="s">
        <v>397</v>
      </c>
      <c r="B10" s="52">
        <v>2.23</v>
      </c>
      <c r="C10" s="52">
        <v>46.39</v>
      </c>
      <c r="D10" s="52">
        <v>44.16</v>
      </c>
      <c r="E10" s="52">
        <v>5</v>
      </c>
      <c r="F10" s="52">
        <v>19.53</v>
      </c>
      <c r="G10" s="52">
        <v>42.31</v>
      </c>
      <c r="H10" s="52">
        <v>15.61</v>
      </c>
      <c r="I10" s="52">
        <v>4.18</v>
      </c>
      <c r="J10" s="52">
        <v>1.43</v>
      </c>
      <c r="K10" s="52">
        <v>251.74</v>
      </c>
      <c r="L10" s="52">
        <v>25.08</v>
      </c>
      <c r="M10" s="52">
        <v>45.65</v>
      </c>
      <c r="N10" s="52">
        <v>47.9</v>
      </c>
      <c r="O10" s="52">
        <v>0</v>
      </c>
      <c r="P10" s="52">
        <v>0.53</v>
      </c>
      <c r="Q10" s="53" t="s">
        <v>15</v>
      </c>
      <c r="R10" s="43"/>
      <c r="S10" s="43"/>
      <c r="T10" s="43"/>
      <c r="U10" s="43"/>
    </row>
    <row r="11" spans="1:21" s="11" customFormat="1" x14ac:dyDescent="0.25">
      <c r="A11" s="51" t="s">
        <v>398</v>
      </c>
      <c r="B11" s="52">
        <v>2.69</v>
      </c>
      <c r="C11" s="52">
        <v>54.93</v>
      </c>
      <c r="D11" s="52">
        <v>52.53</v>
      </c>
      <c r="E11" s="52">
        <v>4.13</v>
      </c>
      <c r="F11" s="52">
        <v>12.33</v>
      </c>
      <c r="G11" s="52">
        <v>31</v>
      </c>
      <c r="H11" s="52">
        <v>13.32</v>
      </c>
      <c r="I11" s="52">
        <v>4.04</v>
      </c>
      <c r="J11" s="52">
        <v>1.36</v>
      </c>
      <c r="K11" s="52">
        <v>184.15</v>
      </c>
      <c r="L11" s="52">
        <v>24.72</v>
      </c>
      <c r="M11" s="52">
        <v>45.4</v>
      </c>
      <c r="N11" s="52">
        <v>47.7</v>
      </c>
      <c r="O11" s="52">
        <v>0</v>
      </c>
      <c r="P11" s="52">
        <v>0.53</v>
      </c>
      <c r="Q11" s="53" t="s">
        <v>15</v>
      </c>
      <c r="R11" s="43"/>
      <c r="S11" s="43"/>
      <c r="T11" s="43"/>
      <c r="U11" s="43"/>
    </row>
    <row r="12" spans="1:21" s="11" customFormat="1" x14ac:dyDescent="0.25">
      <c r="A12" s="51" t="s">
        <v>399</v>
      </c>
      <c r="B12" s="52">
        <v>1.62</v>
      </c>
      <c r="C12" s="52">
        <v>51.21</v>
      </c>
      <c r="D12" s="52">
        <v>49.6</v>
      </c>
      <c r="E12" s="52">
        <v>4.04</v>
      </c>
      <c r="F12" s="52">
        <v>12.77</v>
      </c>
      <c r="G12" s="52">
        <v>29.18</v>
      </c>
      <c r="H12" s="52">
        <v>13.32</v>
      </c>
      <c r="I12" s="52">
        <v>3.99</v>
      </c>
      <c r="J12" s="52">
        <v>0.73</v>
      </c>
      <c r="K12" s="52">
        <v>202.77</v>
      </c>
      <c r="L12" s="52">
        <v>24.7</v>
      </c>
      <c r="M12" s="52">
        <v>48.85</v>
      </c>
      <c r="N12" s="52">
        <v>47.9</v>
      </c>
      <c r="O12" s="52">
        <v>0</v>
      </c>
      <c r="P12" s="52">
        <v>0.45</v>
      </c>
      <c r="Q12" s="53" t="s">
        <v>15</v>
      </c>
      <c r="R12" s="43"/>
      <c r="S12" s="43"/>
      <c r="T12" s="43"/>
      <c r="U12" s="43"/>
    </row>
    <row r="13" spans="1:21" s="11" customFormat="1" x14ac:dyDescent="0.25">
      <c r="A13" s="51" t="s">
        <v>400</v>
      </c>
      <c r="B13" s="52">
        <v>2.97</v>
      </c>
      <c r="C13" s="52">
        <v>54.19</v>
      </c>
      <c r="D13" s="52">
        <v>51.55</v>
      </c>
      <c r="E13" s="52">
        <v>4.03</v>
      </c>
      <c r="F13" s="52">
        <v>11.61</v>
      </c>
      <c r="G13" s="52">
        <v>29.18</v>
      </c>
      <c r="H13" s="52">
        <v>13.29</v>
      </c>
      <c r="I13" s="52">
        <v>4.07</v>
      </c>
      <c r="J13" s="52">
        <v>1.31</v>
      </c>
      <c r="K13" s="52">
        <v>358.14</v>
      </c>
      <c r="L13" s="52">
        <v>23.92</v>
      </c>
      <c r="M13" s="52">
        <v>50.55</v>
      </c>
      <c r="N13" s="52">
        <v>47.9</v>
      </c>
      <c r="O13" s="52">
        <v>0</v>
      </c>
      <c r="P13" s="52">
        <v>0.43</v>
      </c>
      <c r="Q13" s="53" t="s">
        <v>15</v>
      </c>
      <c r="R13" s="43"/>
      <c r="S13" s="43"/>
      <c r="T13" s="43"/>
      <c r="U13" s="43"/>
    </row>
    <row r="14" spans="1:21" s="11" customFormat="1" x14ac:dyDescent="0.25">
      <c r="A14" s="51" t="s">
        <v>401</v>
      </c>
      <c r="B14" s="52">
        <v>4.2300000000000004</v>
      </c>
      <c r="C14" s="52">
        <v>52.98</v>
      </c>
      <c r="D14" s="52">
        <v>48.75</v>
      </c>
      <c r="E14" s="52">
        <v>5.26</v>
      </c>
      <c r="F14" s="52">
        <v>13.39</v>
      </c>
      <c r="G14" s="52">
        <v>29.41</v>
      </c>
      <c r="H14" s="52">
        <v>10.69</v>
      </c>
      <c r="I14" s="52">
        <v>4.01</v>
      </c>
      <c r="J14" s="52">
        <v>1.46</v>
      </c>
      <c r="K14" s="52">
        <v>100.96</v>
      </c>
      <c r="L14" s="52">
        <v>24.07</v>
      </c>
      <c r="M14" s="52">
        <v>50.78</v>
      </c>
      <c r="N14" s="52">
        <v>56.9</v>
      </c>
      <c r="O14" s="52">
        <v>0</v>
      </c>
      <c r="P14" s="52">
        <v>0.42</v>
      </c>
      <c r="Q14" s="53" t="s">
        <v>15</v>
      </c>
      <c r="R14" s="43"/>
      <c r="S14" s="43"/>
      <c r="T14" s="43"/>
      <c r="U14" s="43"/>
    </row>
    <row r="15" spans="1:21" s="11" customFormat="1" x14ac:dyDescent="0.25">
      <c r="A15" s="51" t="s">
        <v>402</v>
      </c>
      <c r="B15" s="52">
        <v>4.38</v>
      </c>
      <c r="C15" s="52">
        <v>55.38</v>
      </c>
      <c r="D15" s="52">
        <v>51.08</v>
      </c>
      <c r="E15" s="52">
        <v>5.75</v>
      </c>
      <c r="F15" s="52">
        <v>10.44</v>
      </c>
      <c r="G15" s="52">
        <v>31.49</v>
      </c>
      <c r="H15" s="52">
        <v>10.69</v>
      </c>
      <c r="I15" s="52">
        <v>4.04</v>
      </c>
      <c r="J15" s="52">
        <v>1.74</v>
      </c>
      <c r="K15" s="52">
        <v>101.99</v>
      </c>
      <c r="L15" s="52">
        <v>25.43</v>
      </c>
      <c r="M15" s="52">
        <v>49.41</v>
      </c>
      <c r="N15" s="52">
        <v>174.4</v>
      </c>
      <c r="O15" s="52">
        <v>0</v>
      </c>
      <c r="P15" s="52">
        <v>0.42</v>
      </c>
      <c r="Q15" s="53" t="s">
        <v>15</v>
      </c>
      <c r="R15" s="43"/>
      <c r="S15" s="43"/>
      <c r="T15" s="43"/>
      <c r="U15" s="43"/>
    </row>
    <row r="16" spans="1:21" s="11" customFormat="1" x14ac:dyDescent="0.25">
      <c r="A16" s="51" t="s">
        <v>403</v>
      </c>
      <c r="B16" s="52">
        <v>4.6399999999999997</v>
      </c>
      <c r="C16" s="52">
        <v>56.81</v>
      </c>
      <c r="D16" s="52">
        <v>52.55</v>
      </c>
      <c r="E16" s="52">
        <v>3.94</v>
      </c>
      <c r="F16" s="52">
        <v>11.11</v>
      </c>
      <c r="G16" s="52">
        <v>41.51</v>
      </c>
      <c r="H16" s="52">
        <v>12.75</v>
      </c>
      <c r="I16" s="52">
        <v>4.1399999999999997</v>
      </c>
      <c r="J16" s="52">
        <v>1.75</v>
      </c>
      <c r="K16" s="52">
        <v>103.27</v>
      </c>
      <c r="L16" s="52">
        <v>27.97</v>
      </c>
      <c r="M16" s="52">
        <v>46.29</v>
      </c>
      <c r="N16" s="52">
        <v>408.5</v>
      </c>
      <c r="O16" s="52">
        <v>0</v>
      </c>
      <c r="P16" s="52">
        <v>0.41</v>
      </c>
      <c r="Q16" s="53" t="s">
        <v>15</v>
      </c>
      <c r="R16" s="43"/>
      <c r="S16" s="43"/>
      <c r="T16" s="43"/>
      <c r="U16" s="43"/>
    </row>
    <row r="17" spans="1:21" s="11" customFormat="1" x14ac:dyDescent="0.25">
      <c r="A17" s="51" t="s">
        <v>404</v>
      </c>
      <c r="B17" s="52">
        <v>2.62</v>
      </c>
      <c r="C17" s="52">
        <v>54.76</v>
      </c>
      <c r="D17" s="52">
        <v>52.55</v>
      </c>
      <c r="E17" s="52">
        <v>3.88</v>
      </c>
      <c r="F17" s="52">
        <v>10.82</v>
      </c>
      <c r="G17" s="52">
        <v>41.51</v>
      </c>
      <c r="H17" s="52">
        <v>12.75</v>
      </c>
      <c r="I17" s="52">
        <v>4.01</v>
      </c>
      <c r="J17" s="52">
        <v>1.29</v>
      </c>
      <c r="K17" s="52">
        <v>173.3</v>
      </c>
      <c r="L17" s="52">
        <v>30.5</v>
      </c>
      <c r="M17" s="52">
        <v>37.78</v>
      </c>
      <c r="N17" s="52">
        <v>590</v>
      </c>
      <c r="O17" s="52">
        <v>0</v>
      </c>
      <c r="P17" s="52">
        <v>0.4</v>
      </c>
      <c r="Q17" s="53" t="s">
        <v>15</v>
      </c>
      <c r="R17" s="43"/>
      <c r="S17" s="43"/>
      <c r="T17" s="43"/>
      <c r="U17" s="43"/>
    </row>
    <row r="18" spans="1:21" s="11" customFormat="1" x14ac:dyDescent="0.25">
      <c r="A18" s="51" t="s">
        <v>405</v>
      </c>
      <c r="B18" s="52">
        <v>4.03</v>
      </c>
      <c r="C18" s="52">
        <v>49.56</v>
      </c>
      <c r="D18" s="52">
        <v>46.99</v>
      </c>
      <c r="E18" s="52">
        <v>5.22</v>
      </c>
      <c r="F18" s="52">
        <v>16.649999999999999</v>
      </c>
      <c r="G18" s="52">
        <v>34.51</v>
      </c>
      <c r="H18" s="52">
        <v>11.25</v>
      </c>
      <c r="I18" s="52">
        <v>4.04</v>
      </c>
      <c r="J18" s="52">
        <v>1.25</v>
      </c>
      <c r="K18" s="52">
        <v>178.73</v>
      </c>
      <c r="L18" s="52">
        <v>32.31</v>
      </c>
      <c r="M18" s="52">
        <v>34.700000000000003</v>
      </c>
      <c r="N18" s="52">
        <v>699.8</v>
      </c>
      <c r="O18" s="52">
        <v>0</v>
      </c>
      <c r="P18" s="52">
        <v>0.43</v>
      </c>
      <c r="Q18" s="53" t="s">
        <v>15</v>
      </c>
      <c r="R18" s="43"/>
      <c r="S18" s="43"/>
      <c r="T18" s="43"/>
      <c r="U18" s="43"/>
    </row>
    <row r="19" spans="1:21" s="11" customFormat="1" x14ac:dyDescent="0.25">
      <c r="A19" s="51" t="s">
        <v>406</v>
      </c>
      <c r="B19" s="52">
        <v>5.28</v>
      </c>
      <c r="C19" s="52">
        <v>54.38</v>
      </c>
      <c r="D19" s="52">
        <v>51.51</v>
      </c>
      <c r="E19" s="52">
        <v>5.07</v>
      </c>
      <c r="F19" s="52">
        <v>17.43</v>
      </c>
      <c r="G19" s="52">
        <v>35.53</v>
      </c>
      <c r="H19" s="52">
        <v>13.4</v>
      </c>
      <c r="I19" s="52">
        <v>4.0599999999999996</v>
      </c>
      <c r="J19" s="52">
        <v>0.83</v>
      </c>
      <c r="K19" s="52">
        <v>331.61</v>
      </c>
      <c r="L19" s="52">
        <v>36.44</v>
      </c>
      <c r="M19" s="52">
        <v>34.85</v>
      </c>
      <c r="N19" s="52">
        <v>882.3</v>
      </c>
      <c r="O19" s="52">
        <v>0</v>
      </c>
      <c r="P19" s="52">
        <v>0.48</v>
      </c>
      <c r="Q19" s="53" t="s">
        <v>15</v>
      </c>
      <c r="R19" s="43"/>
      <c r="S19" s="43"/>
      <c r="T19" s="43"/>
      <c r="U19" s="43"/>
    </row>
    <row r="20" spans="1:21" s="11" customFormat="1" x14ac:dyDescent="0.25">
      <c r="A20" s="51" t="s">
        <v>407</v>
      </c>
      <c r="B20" s="52">
        <v>2.02</v>
      </c>
      <c r="C20" s="52">
        <v>45.71</v>
      </c>
      <c r="D20" s="52">
        <v>44.06</v>
      </c>
      <c r="E20" s="52">
        <v>5.15</v>
      </c>
      <c r="F20" s="52">
        <v>16.89</v>
      </c>
      <c r="G20" s="52">
        <v>35.53</v>
      </c>
      <c r="H20" s="52">
        <v>13.4</v>
      </c>
      <c r="I20" s="52">
        <v>4.09</v>
      </c>
      <c r="J20" s="52">
        <v>0.57999999999999996</v>
      </c>
      <c r="K20" s="52">
        <v>276.24</v>
      </c>
      <c r="L20" s="52">
        <v>35.590000000000003</v>
      </c>
      <c r="M20" s="52">
        <v>34.53</v>
      </c>
      <c r="N20" s="52">
        <v>913.7</v>
      </c>
      <c r="O20" s="52">
        <v>0</v>
      </c>
      <c r="P20" s="52">
        <v>0.45</v>
      </c>
      <c r="Q20" s="53" t="s">
        <v>15</v>
      </c>
      <c r="R20" s="43"/>
      <c r="S20" s="43"/>
      <c r="T20" s="43"/>
      <c r="U20" s="43"/>
    </row>
    <row r="21" spans="1:21" s="11" customFormat="1" x14ac:dyDescent="0.25">
      <c r="A21" s="51" t="s">
        <v>408</v>
      </c>
      <c r="B21" s="52">
        <v>1.31</v>
      </c>
      <c r="C21" s="52">
        <v>42.58</v>
      </c>
      <c r="D21" s="52">
        <v>41.76</v>
      </c>
      <c r="E21" s="52">
        <v>5.47</v>
      </c>
      <c r="F21" s="52">
        <v>18.13</v>
      </c>
      <c r="G21" s="52">
        <v>34.53</v>
      </c>
      <c r="H21" s="52">
        <v>15.25</v>
      </c>
      <c r="I21" s="52">
        <v>3.98</v>
      </c>
      <c r="J21" s="52">
        <v>0.75</v>
      </c>
      <c r="K21" s="52">
        <v>305.70999999999998</v>
      </c>
      <c r="L21" s="52">
        <v>36.01</v>
      </c>
      <c r="M21" s="52">
        <v>35.020000000000003</v>
      </c>
      <c r="N21" s="52">
        <v>857.3</v>
      </c>
      <c r="O21" s="52">
        <v>0</v>
      </c>
      <c r="P21" s="52">
        <v>0.45</v>
      </c>
      <c r="Q21" s="53" t="s">
        <v>15</v>
      </c>
      <c r="R21" s="43"/>
      <c r="S21" s="43"/>
      <c r="T21" s="43"/>
      <c r="U21" s="43"/>
    </row>
    <row r="22" spans="1:21" s="11" customFormat="1" x14ac:dyDescent="0.25">
      <c r="A22" s="51" t="s">
        <v>409</v>
      </c>
      <c r="B22" s="52">
        <v>4.8899999999999997</v>
      </c>
      <c r="C22" s="52">
        <v>49.7</v>
      </c>
      <c r="D22" s="52">
        <v>44.81</v>
      </c>
      <c r="E22" s="52">
        <v>8.09</v>
      </c>
      <c r="F22" s="52">
        <v>26.55</v>
      </c>
      <c r="G22" s="52">
        <v>34.53</v>
      </c>
      <c r="H22" s="52">
        <v>15.25</v>
      </c>
      <c r="I22" s="52">
        <v>3.98</v>
      </c>
      <c r="J22" s="52">
        <v>1.41</v>
      </c>
      <c r="K22" s="52">
        <v>316.95</v>
      </c>
      <c r="L22" s="52">
        <v>38.43</v>
      </c>
      <c r="M22" s="52">
        <v>28</v>
      </c>
      <c r="N22" s="52">
        <v>750.5</v>
      </c>
      <c r="O22" s="52">
        <v>0</v>
      </c>
      <c r="P22" s="52">
        <v>0.48</v>
      </c>
      <c r="Q22" s="53" t="s">
        <v>15</v>
      </c>
      <c r="R22" s="43"/>
      <c r="S22" s="43"/>
      <c r="T22" s="43"/>
      <c r="U22" s="43"/>
    </row>
    <row r="23" spans="1:21" s="11" customFormat="1" x14ac:dyDescent="0.25">
      <c r="A23" s="51" t="s">
        <v>410</v>
      </c>
      <c r="B23" s="52">
        <v>5.13</v>
      </c>
      <c r="C23" s="52">
        <v>56.24</v>
      </c>
      <c r="D23" s="52">
        <v>52.38</v>
      </c>
      <c r="E23" s="52">
        <v>7.1</v>
      </c>
      <c r="F23" s="52">
        <v>25.78</v>
      </c>
      <c r="G23" s="52">
        <v>45.62</v>
      </c>
      <c r="H23" s="52">
        <v>16.059999999999999</v>
      </c>
      <c r="I23" s="52">
        <v>4.0999999999999996</v>
      </c>
      <c r="J23" s="52">
        <v>2.56</v>
      </c>
      <c r="K23" s="52">
        <v>314.39</v>
      </c>
      <c r="L23" s="52">
        <v>39.18</v>
      </c>
      <c r="M23" s="52">
        <v>25.56</v>
      </c>
      <c r="N23" s="52">
        <v>565.4</v>
      </c>
      <c r="O23" s="52">
        <v>0</v>
      </c>
      <c r="P23" s="52">
        <v>0.68</v>
      </c>
      <c r="Q23" s="53" t="s">
        <v>15</v>
      </c>
      <c r="R23" s="43"/>
      <c r="S23" s="43"/>
      <c r="T23" s="43"/>
      <c r="U23" s="43"/>
    </row>
    <row r="24" spans="1:21" s="11" customFormat="1" x14ac:dyDescent="0.25">
      <c r="A24" s="51" t="s">
        <v>411</v>
      </c>
      <c r="B24" s="52">
        <v>6.01</v>
      </c>
      <c r="C24" s="52">
        <v>54.08</v>
      </c>
      <c r="D24" s="52">
        <v>48.06</v>
      </c>
      <c r="E24" s="52">
        <v>10.57</v>
      </c>
      <c r="F24" s="52">
        <v>33.94</v>
      </c>
      <c r="G24" s="52">
        <v>45.62</v>
      </c>
      <c r="H24" s="52">
        <v>16.059999999999999</v>
      </c>
      <c r="I24" s="52">
        <v>4.21</v>
      </c>
      <c r="J24" s="52">
        <v>1.51</v>
      </c>
      <c r="K24" s="52">
        <v>239</v>
      </c>
      <c r="L24" s="52">
        <v>35.909999999999997</v>
      </c>
      <c r="M24" s="52">
        <v>29.6</v>
      </c>
      <c r="N24" s="52">
        <v>276.7</v>
      </c>
      <c r="O24" s="52">
        <v>0</v>
      </c>
      <c r="P24" s="52">
        <v>0.6</v>
      </c>
      <c r="Q24" s="52">
        <v>9.0500000000000007</v>
      </c>
      <c r="R24" s="43"/>
      <c r="S24" s="43"/>
      <c r="T24" s="43"/>
      <c r="U24" s="43"/>
    </row>
    <row r="25" spans="1:21" s="11" customFormat="1" x14ac:dyDescent="0.25">
      <c r="A25" s="51" t="s">
        <v>412</v>
      </c>
      <c r="B25" s="52">
        <v>0.49</v>
      </c>
      <c r="C25" s="52">
        <v>47.76</v>
      </c>
      <c r="D25" s="52">
        <v>47.27</v>
      </c>
      <c r="E25" s="52">
        <v>5.09</v>
      </c>
      <c r="F25" s="52">
        <v>15.1</v>
      </c>
      <c r="G25" s="52">
        <v>192.36</v>
      </c>
      <c r="H25" s="52">
        <v>19.45</v>
      </c>
      <c r="I25" s="52">
        <v>4.12</v>
      </c>
      <c r="J25" s="52">
        <v>1.96</v>
      </c>
      <c r="K25" s="52">
        <v>260.67</v>
      </c>
      <c r="L25" s="52">
        <v>31.51</v>
      </c>
      <c r="M25" s="52">
        <v>46.93</v>
      </c>
      <c r="N25" s="52">
        <v>113.8</v>
      </c>
      <c r="O25" s="52">
        <v>0</v>
      </c>
      <c r="P25" s="52">
        <v>0.48</v>
      </c>
      <c r="Q25" s="52">
        <v>9.09</v>
      </c>
      <c r="R25" s="43"/>
      <c r="S25" s="43"/>
      <c r="T25" s="43"/>
      <c r="U25" s="43"/>
    </row>
    <row r="26" spans="1:21" s="11" customFormat="1" x14ac:dyDescent="0.25">
      <c r="A26" s="51" t="s">
        <v>413</v>
      </c>
      <c r="B26" s="52">
        <v>0.61</v>
      </c>
      <c r="C26" s="52">
        <v>42.89</v>
      </c>
      <c r="D26" s="52">
        <v>42.28</v>
      </c>
      <c r="E26" s="52">
        <v>4.2699999999999996</v>
      </c>
      <c r="F26" s="52">
        <v>12.19</v>
      </c>
      <c r="G26" s="52">
        <v>192.36</v>
      </c>
      <c r="H26" s="52">
        <v>19.579999999999998</v>
      </c>
      <c r="I26" s="52">
        <v>4.03</v>
      </c>
      <c r="J26" s="52">
        <v>4.41</v>
      </c>
      <c r="K26" s="52">
        <v>185.77</v>
      </c>
      <c r="L26" s="52">
        <v>29.27</v>
      </c>
      <c r="M26" s="52">
        <v>52.51</v>
      </c>
      <c r="N26" s="52">
        <v>89.6</v>
      </c>
      <c r="O26" s="52">
        <v>0</v>
      </c>
      <c r="P26" s="52">
        <v>0.38</v>
      </c>
      <c r="Q26" s="52">
        <v>8.92</v>
      </c>
      <c r="R26" s="43"/>
      <c r="S26" s="43"/>
      <c r="T26" s="43"/>
      <c r="U26" s="43"/>
    </row>
    <row r="27" spans="1:21" s="11" customFormat="1" x14ac:dyDescent="0.25">
      <c r="A27" s="51" t="s">
        <v>414</v>
      </c>
      <c r="B27" s="52">
        <v>0.74</v>
      </c>
      <c r="C27" s="52">
        <v>40.130000000000003</v>
      </c>
      <c r="D27" s="52">
        <v>39.57</v>
      </c>
      <c r="E27" s="52">
        <v>4.07</v>
      </c>
      <c r="F27" s="52">
        <v>10.71</v>
      </c>
      <c r="G27" s="52">
        <v>96.89</v>
      </c>
      <c r="H27" s="52">
        <v>19.579999999999998</v>
      </c>
      <c r="I27" s="52">
        <v>4.05</v>
      </c>
      <c r="J27" s="52">
        <v>4.2300000000000004</v>
      </c>
      <c r="K27" s="52">
        <v>170.06</v>
      </c>
      <c r="L27" s="52">
        <v>25.8</v>
      </c>
      <c r="M27" s="52">
        <v>56.73</v>
      </c>
      <c r="N27" s="52">
        <v>62.2</v>
      </c>
      <c r="O27" s="52">
        <v>0</v>
      </c>
      <c r="P27" s="52">
        <v>0.32</v>
      </c>
      <c r="Q27" s="52">
        <v>8.75</v>
      </c>
      <c r="R27" s="43"/>
      <c r="S27" s="43"/>
      <c r="T27" s="43"/>
      <c r="U27" s="43"/>
    </row>
    <row r="28" spans="1:21" s="11" customFormat="1" x14ac:dyDescent="0.25">
      <c r="A28" s="51" t="s">
        <v>415</v>
      </c>
      <c r="B28" s="52">
        <v>1.58</v>
      </c>
      <c r="C28" s="52">
        <v>41.74</v>
      </c>
      <c r="D28" s="52">
        <v>40.159999999999997</v>
      </c>
      <c r="E28" s="52">
        <v>4.07</v>
      </c>
      <c r="F28" s="52">
        <v>11.09</v>
      </c>
      <c r="G28" s="52">
        <v>91.23</v>
      </c>
      <c r="H28" s="52">
        <v>18.440000000000001</v>
      </c>
      <c r="I28" s="52">
        <v>4.1100000000000003</v>
      </c>
      <c r="J28" s="52">
        <v>2.15</v>
      </c>
      <c r="K28" s="52">
        <v>209.46</v>
      </c>
      <c r="L28" s="52">
        <v>25.13</v>
      </c>
      <c r="M28" s="52">
        <v>54.95</v>
      </c>
      <c r="N28" s="52">
        <v>51</v>
      </c>
      <c r="O28" s="52">
        <v>0</v>
      </c>
      <c r="P28" s="52">
        <v>0.33</v>
      </c>
      <c r="Q28" s="52">
        <v>8.69</v>
      </c>
      <c r="R28" s="43"/>
      <c r="S28" s="43"/>
      <c r="T28" s="43"/>
      <c r="U28" s="43"/>
    </row>
    <row r="29" spans="1:21" s="11" customFormat="1" x14ac:dyDescent="0.25">
      <c r="A29" s="51" t="s">
        <v>416</v>
      </c>
      <c r="B29" s="52">
        <v>2.15</v>
      </c>
      <c r="C29" s="52">
        <v>57.18</v>
      </c>
      <c r="D29" s="52">
        <v>55.03</v>
      </c>
      <c r="E29" s="52">
        <v>4</v>
      </c>
      <c r="F29" s="52">
        <v>8.81</v>
      </c>
      <c r="G29" s="52">
        <v>19.329999999999998</v>
      </c>
      <c r="H29" s="52">
        <v>13.9</v>
      </c>
      <c r="I29" s="52">
        <v>4.13</v>
      </c>
      <c r="J29" s="52">
        <v>2.63</v>
      </c>
      <c r="K29" s="52">
        <v>169.8</v>
      </c>
      <c r="L29" s="52">
        <v>25.38</v>
      </c>
      <c r="M29" s="52">
        <v>54.05</v>
      </c>
      <c r="N29" s="52">
        <v>51</v>
      </c>
      <c r="O29" s="52">
        <v>0</v>
      </c>
      <c r="P29" s="52">
        <v>0.31</v>
      </c>
      <c r="Q29" s="52">
        <v>8.8000000000000007</v>
      </c>
      <c r="R29" s="43"/>
      <c r="S29" s="43"/>
      <c r="T29" s="43"/>
      <c r="U29" s="43"/>
    </row>
    <row r="30" spans="1:21" s="11" customFormat="1" x14ac:dyDescent="0.25">
      <c r="A30" s="51" t="s">
        <v>417</v>
      </c>
      <c r="B30" s="52">
        <v>2.2200000000000002</v>
      </c>
      <c r="C30" s="52">
        <v>55.88</v>
      </c>
      <c r="D30" s="52">
        <v>53.89</v>
      </c>
      <c r="E30" s="52">
        <v>3.6</v>
      </c>
      <c r="F30" s="52">
        <v>8.43</v>
      </c>
      <c r="G30" s="52">
        <v>19.329999999999998</v>
      </c>
      <c r="H30" s="52">
        <v>10.53</v>
      </c>
      <c r="I30" s="52">
        <v>4.04</v>
      </c>
      <c r="J30" s="52">
        <v>2.75</v>
      </c>
      <c r="K30" s="52">
        <v>169.25</v>
      </c>
      <c r="L30" s="52">
        <v>24.96</v>
      </c>
      <c r="M30" s="52">
        <v>58.9</v>
      </c>
      <c r="N30" s="52">
        <v>50.8</v>
      </c>
      <c r="O30" s="52">
        <v>0</v>
      </c>
      <c r="P30" s="52">
        <v>0.32</v>
      </c>
      <c r="Q30" s="52">
        <v>8.8800000000000008</v>
      </c>
      <c r="R30" s="43"/>
      <c r="S30" s="43"/>
      <c r="T30" s="43"/>
      <c r="U30" s="43"/>
    </row>
    <row r="31" spans="1:21" s="11" customFormat="1" x14ac:dyDescent="0.25">
      <c r="A31" s="51" t="s">
        <v>418</v>
      </c>
      <c r="B31" s="52">
        <v>1.92</v>
      </c>
      <c r="C31" s="52">
        <v>53.37</v>
      </c>
      <c r="D31" s="52">
        <v>51.46</v>
      </c>
      <c r="E31" s="52">
        <v>3.56</v>
      </c>
      <c r="F31" s="52">
        <v>9.31</v>
      </c>
      <c r="G31" s="52">
        <v>30.81</v>
      </c>
      <c r="H31" s="52">
        <v>9.6999999999999993</v>
      </c>
      <c r="I31" s="52">
        <v>4.0999999999999996</v>
      </c>
      <c r="J31" s="52">
        <v>2.34</v>
      </c>
      <c r="K31" s="52">
        <v>167.03</v>
      </c>
      <c r="L31" s="52">
        <v>24.4</v>
      </c>
      <c r="M31" s="52">
        <v>60.99</v>
      </c>
      <c r="N31" s="52">
        <v>50.8</v>
      </c>
      <c r="O31" s="52">
        <v>0</v>
      </c>
      <c r="P31" s="52">
        <v>0.3</v>
      </c>
      <c r="Q31" s="52">
        <v>8.9700000000000006</v>
      </c>
      <c r="R31" s="43"/>
      <c r="S31" s="43"/>
      <c r="T31" s="43"/>
      <c r="U31" s="43"/>
    </row>
    <row r="32" spans="1:21" s="11" customFormat="1" x14ac:dyDescent="0.25">
      <c r="A32" s="51" t="s">
        <v>419</v>
      </c>
      <c r="B32" s="52">
        <v>2.4</v>
      </c>
      <c r="C32" s="52">
        <v>44.36</v>
      </c>
      <c r="D32" s="52">
        <v>42.55</v>
      </c>
      <c r="E32" s="52">
        <v>3.61</v>
      </c>
      <c r="F32" s="52">
        <v>14.18</v>
      </c>
      <c r="G32" s="52">
        <v>30.81</v>
      </c>
      <c r="H32" s="52">
        <v>10.48</v>
      </c>
      <c r="I32" s="52">
        <v>4.0999999999999996</v>
      </c>
      <c r="J32" s="52">
        <v>1.1200000000000001</v>
      </c>
      <c r="K32" s="52">
        <v>164.07</v>
      </c>
      <c r="L32" s="52">
        <v>24.1</v>
      </c>
      <c r="M32" s="52">
        <v>61.7</v>
      </c>
      <c r="N32" s="52">
        <v>50.8</v>
      </c>
      <c r="O32" s="52">
        <v>0</v>
      </c>
      <c r="P32" s="52">
        <v>0.3</v>
      </c>
      <c r="Q32" s="52">
        <v>8.7899999999999991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0.49</v>
      </c>
      <c r="C34" s="28">
        <f t="shared" si="0"/>
        <v>40.130000000000003</v>
      </c>
      <c r="D34" s="28">
        <f t="shared" si="0"/>
        <v>39.57</v>
      </c>
      <c r="E34" s="28">
        <f t="shared" si="0"/>
        <v>3.56</v>
      </c>
      <c r="F34" s="28">
        <f t="shared" si="0"/>
        <v>8.43</v>
      </c>
      <c r="G34" s="28">
        <f t="shared" si="0"/>
        <v>19.329999999999998</v>
      </c>
      <c r="H34" s="28">
        <f t="shared" si="0"/>
        <v>9.6999999999999993</v>
      </c>
      <c r="I34" s="28">
        <f t="shared" si="0"/>
        <v>3.98</v>
      </c>
      <c r="J34" s="28">
        <f t="shared" si="0"/>
        <v>0.57999999999999996</v>
      </c>
      <c r="K34" s="28">
        <f t="shared" si="0"/>
        <v>100.96</v>
      </c>
      <c r="L34" s="28">
        <f t="shared" si="0"/>
        <v>23.92</v>
      </c>
      <c r="M34" s="28">
        <f t="shared" si="0"/>
        <v>25.56</v>
      </c>
      <c r="N34" s="28">
        <f t="shared" si="0"/>
        <v>47.7</v>
      </c>
      <c r="O34" s="28">
        <f t="shared" si="0"/>
        <v>0</v>
      </c>
      <c r="P34" s="28">
        <f t="shared" si="0"/>
        <v>0.3</v>
      </c>
      <c r="Q34" s="28">
        <f t="shared" si="0"/>
        <v>8.69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6.01</v>
      </c>
      <c r="C35" s="29">
        <f t="shared" si="1"/>
        <v>66.19</v>
      </c>
      <c r="D35" s="29">
        <f t="shared" si="1"/>
        <v>63.07</v>
      </c>
      <c r="E35" s="29">
        <f t="shared" si="1"/>
        <v>10.57</v>
      </c>
      <c r="F35" s="29">
        <f t="shared" si="1"/>
        <v>33.94</v>
      </c>
      <c r="G35" s="29">
        <f t="shared" si="1"/>
        <v>192.36</v>
      </c>
      <c r="H35" s="29">
        <f t="shared" si="1"/>
        <v>19.579999999999998</v>
      </c>
      <c r="I35" s="29">
        <f t="shared" si="1"/>
        <v>4.21</v>
      </c>
      <c r="J35" s="29">
        <f t="shared" si="1"/>
        <v>4.41</v>
      </c>
      <c r="K35" s="29">
        <f t="shared" si="1"/>
        <v>358.14</v>
      </c>
      <c r="L35" s="29">
        <f t="shared" si="1"/>
        <v>39.18</v>
      </c>
      <c r="M35" s="29">
        <f t="shared" si="1"/>
        <v>61.7</v>
      </c>
      <c r="N35" s="29">
        <f t="shared" si="1"/>
        <v>913.7</v>
      </c>
      <c r="O35" s="29">
        <f t="shared" si="1"/>
        <v>0</v>
      </c>
      <c r="P35" s="29">
        <f t="shared" si="1"/>
        <v>0.68</v>
      </c>
      <c r="Q35" s="29">
        <f t="shared" si="1"/>
        <v>9.09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2.8870833333333343</v>
      </c>
      <c r="C36" s="28">
        <f t="shared" si="2"/>
        <v>51.183333333333337</v>
      </c>
      <c r="D36" s="28">
        <f t="shared" si="2"/>
        <v>48.650833333333331</v>
      </c>
      <c r="E36" s="28">
        <f t="shared" si="2"/>
        <v>4.970416666666666</v>
      </c>
      <c r="F36" s="28">
        <f t="shared" si="2"/>
        <v>15.237083333333333</v>
      </c>
      <c r="G36" s="28">
        <f t="shared" si="2"/>
        <v>53.078749999999992</v>
      </c>
      <c r="H36" s="28">
        <f t="shared" si="2"/>
        <v>14.324999999999998</v>
      </c>
      <c r="I36" s="28">
        <f t="shared" si="2"/>
        <v>4.0699999999999994</v>
      </c>
      <c r="J36" s="28">
        <f t="shared" si="2"/>
        <v>1.7849999999999999</v>
      </c>
      <c r="K36" s="28">
        <f t="shared" si="2"/>
        <v>213.06625</v>
      </c>
      <c r="L36" s="28">
        <f t="shared" si="2"/>
        <v>29.030416666666664</v>
      </c>
      <c r="M36" s="28">
        <f t="shared" si="2"/>
        <v>45.323749999999997</v>
      </c>
      <c r="N36" s="28">
        <f t="shared" si="2"/>
        <v>288.95</v>
      </c>
      <c r="O36" s="28">
        <f t="shared" si="2"/>
        <v>0</v>
      </c>
      <c r="P36" s="28">
        <f t="shared" si="2"/>
        <v>0.43916666666666687</v>
      </c>
      <c r="Q36" s="28">
        <f t="shared" si="2"/>
        <v>8.8822222222222216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1.5851881774638021</v>
      </c>
      <c r="C37" s="28">
        <f t="shared" ref="C37:Q37" si="3">STDEV(C9:C32)</f>
        <v>6.2231864246028268</v>
      </c>
      <c r="D37" s="28">
        <f t="shared" si="3"/>
        <v>5.5464684546872922</v>
      </c>
      <c r="E37" s="28">
        <f t="shared" si="3"/>
        <v>1.623001725645812</v>
      </c>
      <c r="F37" s="28">
        <f t="shared" si="3"/>
        <v>6.246615416901113</v>
      </c>
      <c r="G37" s="28">
        <f t="shared" si="3"/>
        <v>46.756465845587236</v>
      </c>
      <c r="H37" s="28">
        <f t="shared" si="3"/>
        <v>3.1384058539882753</v>
      </c>
      <c r="I37" s="28">
        <f t="shared" si="3"/>
        <v>6.0072420062570367E-2</v>
      </c>
      <c r="J37" s="28">
        <f t="shared" si="3"/>
        <v>0.9826893002722511</v>
      </c>
      <c r="K37" s="28">
        <f t="shared" si="3"/>
        <v>73.997975695725685</v>
      </c>
      <c r="L37" s="28">
        <f t="shared" si="3"/>
        <v>5.2468429258370373</v>
      </c>
      <c r="M37" s="28">
        <f t="shared" si="3"/>
        <v>10.591368435008139</v>
      </c>
      <c r="N37" s="28">
        <f t="shared" si="3"/>
        <v>322.45887233541282</v>
      </c>
      <c r="O37" s="28">
        <f t="shared" si="3"/>
        <v>0</v>
      </c>
      <c r="P37" s="28">
        <f t="shared" si="3"/>
        <v>0.10396139194187716</v>
      </c>
      <c r="Q37" s="28">
        <f t="shared" si="3"/>
        <v>0.13700162205041411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9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&lt;90%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LESS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6" sqref="G46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16/04/2025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420</v>
      </c>
      <c r="B9" s="52">
        <v>3.35</v>
      </c>
      <c r="C9" s="52">
        <v>49.99</v>
      </c>
      <c r="D9" s="52">
        <v>46.64</v>
      </c>
      <c r="E9" s="52">
        <v>2.83</v>
      </c>
      <c r="F9" s="52">
        <v>13.73</v>
      </c>
      <c r="G9" s="52">
        <v>18.2</v>
      </c>
      <c r="H9" s="52">
        <v>10.48</v>
      </c>
      <c r="I9" s="52">
        <v>4.0199999999999996</v>
      </c>
      <c r="J9" s="52">
        <v>2.0299999999999998</v>
      </c>
      <c r="K9" s="52">
        <v>209.72</v>
      </c>
      <c r="L9" s="52">
        <v>24.08</v>
      </c>
      <c r="M9" s="52">
        <v>60.13</v>
      </c>
      <c r="N9" s="52">
        <v>50.9</v>
      </c>
      <c r="O9" s="52">
        <v>0</v>
      </c>
      <c r="P9" s="52">
        <v>0.28000000000000003</v>
      </c>
      <c r="Q9" s="52">
        <v>8.86</v>
      </c>
      <c r="R9" s="43"/>
      <c r="S9" s="43"/>
      <c r="T9" s="43"/>
      <c r="U9" s="43"/>
    </row>
    <row r="10" spans="1:21" s="11" customFormat="1" x14ac:dyDescent="0.25">
      <c r="A10" s="51" t="s">
        <v>421</v>
      </c>
      <c r="B10" s="52">
        <v>2.99</v>
      </c>
      <c r="C10" s="52">
        <v>46.65</v>
      </c>
      <c r="D10" s="52">
        <v>43.66</v>
      </c>
      <c r="E10" s="52">
        <v>2.61</v>
      </c>
      <c r="F10" s="52">
        <v>11.28</v>
      </c>
      <c r="G10" s="52">
        <v>18.2</v>
      </c>
      <c r="H10" s="52">
        <v>7.85</v>
      </c>
      <c r="I10" s="52">
        <v>4.12</v>
      </c>
      <c r="J10" s="52">
        <v>2.4900000000000002</v>
      </c>
      <c r="K10" s="52">
        <v>132.25</v>
      </c>
      <c r="L10" s="52">
        <v>24.01</v>
      </c>
      <c r="M10" s="52">
        <v>59.98</v>
      </c>
      <c r="N10" s="52">
        <v>51</v>
      </c>
      <c r="O10" s="52">
        <v>0</v>
      </c>
      <c r="P10" s="52">
        <v>0.27</v>
      </c>
      <c r="Q10" s="52">
        <v>8.82</v>
      </c>
      <c r="R10" s="43"/>
      <c r="S10" s="43"/>
      <c r="T10" s="43"/>
      <c r="U10" s="43"/>
    </row>
    <row r="11" spans="1:21" s="11" customFormat="1" x14ac:dyDescent="0.25">
      <c r="A11" s="51" t="s">
        <v>422</v>
      </c>
      <c r="B11" s="52">
        <v>2.6</v>
      </c>
      <c r="C11" s="52">
        <v>46.52</v>
      </c>
      <c r="D11" s="52">
        <v>43.98</v>
      </c>
      <c r="E11" s="52">
        <v>2.4300000000000002</v>
      </c>
      <c r="F11" s="52">
        <v>10.02</v>
      </c>
      <c r="G11" s="52">
        <v>20.23</v>
      </c>
      <c r="H11" s="52">
        <v>7.85</v>
      </c>
      <c r="I11" s="52">
        <v>4.0599999999999996</v>
      </c>
      <c r="J11" s="52">
        <v>2.5</v>
      </c>
      <c r="K11" s="52">
        <v>106.49</v>
      </c>
      <c r="L11" s="52">
        <v>23.85</v>
      </c>
      <c r="M11" s="52">
        <v>61.77</v>
      </c>
      <c r="N11" s="52">
        <v>50.7</v>
      </c>
      <c r="O11" s="52">
        <v>0</v>
      </c>
      <c r="P11" s="52">
        <v>0.28000000000000003</v>
      </c>
      <c r="Q11" s="52">
        <v>8.84</v>
      </c>
      <c r="R11" s="43"/>
      <c r="S11" s="43"/>
      <c r="T11" s="43"/>
      <c r="U11" s="43"/>
    </row>
    <row r="12" spans="1:21" s="11" customFormat="1" x14ac:dyDescent="0.25">
      <c r="A12" s="51" t="s">
        <v>423</v>
      </c>
      <c r="B12" s="52">
        <v>2.86</v>
      </c>
      <c r="C12" s="52">
        <v>45.12</v>
      </c>
      <c r="D12" s="52">
        <v>42.7</v>
      </c>
      <c r="E12" s="52">
        <v>2.69</v>
      </c>
      <c r="F12" s="52">
        <v>12.2</v>
      </c>
      <c r="G12" s="52">
        <v>20.23</v>
      </c>
      <c r="H12" s="52">
        <v>8</v>
      </c>
      <c r="I12" s="52">
        <v>4.12</v>
      </c>
      <c r="J12" s="52">
        <v>2.59</v>
      </c>
      <c r="K12" s="52">
        <v>104.87</v>
      </c>
      <c r="L12" s="52">
        <v>23.39</v>
      </c>
      <c r="M12" s="52">
        <v>62.19</v>
      </c>
      <c r="N12" s="52">
        <v>50.6</v>
      </c>
      <c r="O12" s="52">
        <v>0</v>
      </c>
      <c r="P12" s="52">
        <v>0.27</v>
      </c>
      <c r="Q12" s="52">
        <v>8.76</v>
      </c>
      <c r="R12" s="43"/>
      <c r="S12" s="43"/>
      <c r="T12" s="43"/>
      <c r="U12" s="43"/>
    </row>
    <row r="13" spans="1:21" s="11" customFormat="1" x14ac:dyDescent="0.25">
      <c r="A13" s="51" t="s">
        <v>424</v>
      </c>
      <c r="B13" s="52">
        <v>11.12</v>
      </c>
      <c r="C13" s="52">
        <v>60.44</v>
      </c>
      <c r="D13" s="52">
        <v>49.32</v>
      </c>
      <c r="E13" s="52">
        <v>2.69</v>
      </c>
      <c r="F13" s="52">
        <v>11.66</v>
      </c>
      <c r="G13" s="52">
        <v>21.96</v>
      </c>
      <c r="H13" s="52">
        <v>8</v>
      </c>
      <c r="I13" s="52">
        <v>4.0599999999999996</v>
      </c>
      <c r="J13" s="52">
        <v>2.7</v>
      </c>
      <c r="K13" s="52">
        <v>308.7</v>
      </c>
      <c r="L13" s="52">
        <v>23</v>
      </c>
      <c r="M13" s="52">
        <v>66.64</v>
      </c>
      <c r="N13" s="52">
        <v>51.1</v>
      </c>
      <c r="O13" s="52">
        <v>0</v>
      </c>
      <c r="P13" s="52">
        <v>0.33</v>
      </c>
      <c r="Q13" s="52">
        <v>8.74</v>
      </c>
      <c r="R13" s="43"/>
      <c r="S13" s="43"/>
      <c r="T13" s="43"/>
      <c r="U13" s="43"/>
    </row>
    <row r="14" spans="1:21" s="11" customFormat="1" x14ac:dyDescent="0.25">
      <c r="A14" s="51" t="s">
        <v>425</v>
      </c>
      <c r="B14" s="52">
        <v>5.87</v>
      </c>
      <c r="C14" s="52">
        <v>55.18</v>
      </c>
      <c r="D14" s="52">
        <v>49.31</v>
      </c>
      <c r="E14" s="52">
        <v>2.54</v>
      </c>
      <c r="F14" s="52">
        <v>8.4</v>
      </c>
      <c r="G14" s="52">
        <v>27.01</v>
      </c>
      <c r="H14" s="52">
        <v>6.71</v>
      </c>
      <c r="I14" s="52">
        <v>4.09</v>
      </c>
      <c r="J14" s="52">
        <v>1.83</v>
      </c>
      <c r="K14" s="52">
        <v>195.37</v>
      </c>
      <c r="L14" s="52">
        <v>22.52</v>
      </c>
      <c r="M14" s="52">
        <v>65.58</v>
      </c>
      <c r="N14" s="52">
        <v>64.2</v>
      </c>
      <c r="O14" s="52">
        <v>0</v>
      </c>
      <c r="P14" s="52">
        <v>0.28000000000000003</v>
      </c>
      <c r="Q14" s="52">
        <v>8.81</v>
      </c>
      <c r="R14" s="43"/>
      <c r="S14" s="43"/>
      <c r="T14" s="43"/>
      <c r="U14" s="43"/>
    </row>
    <row r="15" spans="1:21" s="11" customFormat="1" x14ac:dyDescent="0.25">
      <c r="A15" s="51" t="s">
        <v>426</v>
      </c>
      <c r="B15" s="52">
        <v>5.0199999999999996</v>
      </c>
      <c r="C15" s="52">
        <v>55.58</v>
      </c>
      <c r="D15" s="52">
        <v>50.78</v>
      </c>
      <c r="E15" s="52">
        <v>2.36</v>
      </c>
      <c r="F15" s="52">
        <v>8.68</v>
      </c>
      <c r="G15" s="52">
        <v>27.01</v>
      </c>
      <c r="H15" s="52">
        <v>6.71</v>
      </c>
      <c r="I15" s="52">
        <v>3.96</v>
      </c>
      <c r="J15" s="52">
        <v>0.99</v>
      </c>
      <c r="K15" s="52">
        <v>174.8</v>
      </c>
      <c r="L15" s="52">
        <v>23.97</v>
      </c>
      <c r="M15" s="52">
        <v>64.83</v>
      </c>
      <c r="N15" s="52">
        <v>175</v>
      </c>
      <c r="O15" s="52">
        <v>0</v>
      </c>
      <c r="P15" s="52">
        <v>0.3</v>
      </c>
      <c r="Q15" s="52">
        <v>8.75</v>
      </c>
      <c r="R15" s="43"/>
      <c r="S15" s="43"/>
      <c r="T15" s="43"/>
      <c r="U15" s="43"/>
    </row>
    <row r="16" spans="1:21" s="11" customFormat="1" x14ac:dyDescent="0.25">
      <c r="A16" s="51" t="s">
        <v>427</v>
      </c>
      <c r="B16" s="52">
        <v>4.83</v>
      </c>
      <c r="C16" s="52">
        <v>56.95</v>
      </c>
      <c r="D16" s="52">
        <v>52.57</v>
      </c>
      <c r="E16" s="52">
        <v>2.68</v>
      </c>
      <c r="F16" s="52">
        <v>8.2200000000000006</v>
      </c>
      <c r="G16" s="52">
        <v>28.53</v>
      </c>
      <c r="H16" s="52">
        <v>9.35</v>
      </c>
      <c r="I16" s="52">
        <v>4.12</v>
      </c>
      <c r="J16" s="52">
        <v>1.88</v>
      </c>
      <c r="K16" s="52">
        <v>178.24</v>
      </c>
      <c r="L16" s="52">
        <v>26.04</v>
      </c>
      <c r="M16" s="52">
        <v>57.26</v>
      </c>
      <c r="N16" s="52">
        <v>431.9</v>
      </c>
      <c r="O16" s="52">
        <v>0</v>
      </c>
      <c r="P16" s="52">
        <v>0.32</v>
      </c>
      <c r="Q16" s="52">
        <v>8.6999999999999993</v>
      </c>
      <c r="R16" s="43"/>
      <c r="S16" s="43"/>
      <c r="T16" s="43"/>
      <c r="U16" s="43"/>
    </row>
    <row r="17" spans="1:21" s="11" customFormat="1" x14ac:dyDescent="0.25">
      <c r="A17" s="51" t="s">
        <v>428</v>
      </c>
      <c r="B17" s="52">
        <v>6.73</v>
      </c>
      <c r="C17" s="52">
        <v>56.19</v>
      </c>
      <c r="D17" s="52">
        <v>49.67</v>
      </c>
      <c r="E17" s="52">
        <v>3</v>
      </c>
      <c r="F17" s="52">
        <v>15.86</v>
      </c>
      <c r="G17" s="52">
        <v>28.53</v>
      </c>
      <c r="H17" s="52">
        <v>9.35</v>
      </c>
      <c r="I17" s="52">
        <v>4.16</v>
      </c>
      <c r="J17" s="52">
        <v>1.71</v>
      </c>
      <c r="K17" s="52">
        <v>159.1</v>
      </c>
      <c r="L17" s="52">
        <v>28.76</v>
      </c>
      <c r="M17" s="52">
        <v>51.6</v>
      </c>
      <c r="N17" s="52">
        <v>655.1</v>
      </c>
      <c r="O17" s="52">
        <v>0</v>
      </c>
      <c r="P17" s="52">
        <v>0.35</v>
      </c>
      <c r="Q17" s="52">
        <v>8.81</v>
      </c>
      <c r="R17" s="43"/>
      <c r="S17" s="43"/>
      <c r="T17" s="43"/>
      <c r="U17" s="43"/>
    </row>
    <row r="18" spans="1:21" s="11" customFormat="1" x14ac:dyDescent="0.25">
      <c r="A18" s="51" t="s">
        <v>429</v>
      </c>
      <c r="B18" s="52">
        <v>3.66</v>
      </c>
      <c r="C18" s="52">
        <v>57.8</v>
      </c>
      <c r="D18" s="52">
        <v>54.18</v>
      </c>
      <c r="E18" s="52">
        <v>3.28</v>
      </c>
      <c r="F18" s="52">
        <v>10.8</v>
      </c>
      <c r="G18" s="52">
        <v>25.28</v>
      </c>
      <c r="H18" s="52">
        <v>8.2200000000000006</v>
      </c>
      <c r="I18" s="52">
        <v>4.08</v>
      </c>
      <c r="J18" s="52">
        <v>1.75</v>
      </c>
      <c r="K18" s="52">
        <v>326.38</v>
      </c>
      <c r="L18" s="52">
        <v>34.19</v>
      </c>
      <c r="M18" s="52">
        <v>44.59</v>
      </c>
      <c r="N18" s="52">
        <v>822.1</v>
      </c>
      <c r="O18" s="52">
        <v>0</v>
      </c>
      <c r="P18" s="52">
        <v>0.38</v>
      </c>
      <c r="Q18" s="52">
        <v>8.73</v>
      </c>
      <c r="R18" s="43"/>
      <c r="S18" s="43"/>
      <c r="T18" s="43"/>
      <c r="U18" s="43"/>
    </row>
    <row r="19" spans="1:21" s="11" customFormat="1" x14ac:dyDescent="0.25">
      <c r="A19" s="51" t="s">
        <v>430</v>
      </c>
      <c r="B19" s="52">
        <v>4.01</v>
      </c>
      <c r="C19" s="52">
        <v>59.24</v>
      </c>
      <c r="D19" s="52">
        <v>56.06</v>
      </c>
      <c r="E19" s="52">
        <v>4.16</v>
      </c>
      <c r="F19" s="52">
        <v>16.5</v>
      </c>
      <c r="G19" s="52">
        <v>25.28</v>
      </c>
      <c r="H19" s="52">
        <v>9.49</v>
      </c>
      <c r="I19" s="52">
        <v>4.08</v>
      </c>
      <c r="J19" s="52">
        <v>1.72</v>
      </c>
      <c r="K19" s="52">
        <v>326.16000000000003</v>
      </c>
      <c r="L19" s="52">
        <v>36.68</v>
      </c>
      <c r="M19" s="52">
        <v>32.9</v>
      </c>
      <c r="N19" s="52">
        <v>935.2</v>
      </c>
      <c r="O19" s="52">
        <v>0</v>
      </c>
      <c r="P19" s="52">
        <v>0.49</v>
      </c>
      <c r="Q19" s="52">
        <v>8.77</v>
      </c>
      <c r="R19" s="43"/>
      <c r="S19" s="43"/>
      <c r="T19" s="43"/>
      <c r="U19" s="43"/>
    </row>
    <row r="20" spans="1:21" s="11" customFormat="1" x14ac:dyDescent="0.25">
      <c r="A20" s="51" t="s">
        <v>431</v>
      </c>
      <c r="B20" s="52">
        <v>2.9</v>
      </c>
      <c r="C20" s="52">
        <v>62.41</v>
      </c>
      <c r="D20" s="52">
        <v>59.5</v>
      </c>
      <c r="E20" s="52">
        <v>8.9700000000000006</v>
      </c>
      <c r="F20" s="52">
        <v>14.96</v>
      </c>
      <c r="G20" s="52">
        <v>33.03</v>
      </c>
      <c r="H20" s="52">
        <v>9.6300000000000008</v>
      </c>
      <c r="I20" s="52">
        <v>4.05</v>
      </c>
      <c r="J20" s="52">
        <v>1.33</v>
      </c>
      <c r="K20" s="52">
        <v>292.07</v>
      </c>
      <c r="L20" s="52">
        <v>36.65</v>
      </c>
      <c r="M20" s="52">
        <v>33.520000000000003</v>
      </c>
      <c r="N20" s="52">
        <v>975.1</v>
      </c>
      <c r="O20" s="52">
        <v>0</v>
      </c>
      <c r="P20" s="52">
        <v>0.56999999999999995</v>
      </c>
      <c r="Q20" s="52">
        <v>8.82</v>
      </c>
      <c r="R20" s="43"/>
      <c r="S20" s="43"/>
      <c r="T20" s="43"/>
      <c r="U20" s="43"/>
    </row>
    <row r="21" spans="1:21" s="11" customFormat="1" x14ac:dyDescent="0.25">
      <c r="A21" s="51" t="s">
        <v>432</v>
      </c>
      <c r="B21" s="52">
        <v>1.93</v>
      </c>
      <c r="C21" s="52">
        <v>67.53</v>
      </c>
      <c r="D21" s="52">
        <v>65.95</v>
      </c>
      <c r="E21" s="52">
        <v>12.72</v>
      </c>
      <c r="F21" s="52">
        <v>21.5</v>
      </c>
      <c r="G21" s="52">
        <v>42.02</v>
      </c>
      <c r="H21" s="52">
        <v>12.59</v>
      </c>
      <c r="I21" s="52">
        <v>4.1399999999999997</v>
      </c>
      <c r="J21" s="52">
        <v>2.2000000000000002</v>
      </c>
      <c r="K21" s="52">
        <v>302.5</v>
      </c>
      <c r="L21" s="52">
        <v>37.85</v>
      </c>
      <c r="M21" s="52">
        <v>29.93</v>
      </c>
      <c r="N21" s="52">
        <v>928.9</v>
      </c>
      <c r="O21" s="52">
        <v>0</v>
      </c>
      <c r="P21" s="52">
        <v>0.96</v>
      </c>
      <c r="Q21" s="52">
        <v>8.7100000000000009</v>
      </c>
      <c r="R21" s="43"/>
      <c r="S21" s="43"/>
      <c r="T21" s="43"/>
      <c r="U21" s="43"/>
    </row>
    <row r="22" spans="1:21" s="11" customFormat="1" x14ac:dyDescent="0.25">
      <c r="A22" s="51" t="s">
        <v>433</v>
      </c>
      <c r="B22" s="52">
        <v>1.58</v>
      </c>
      <c r="C22" s="52">
        <v>71.87</v>
      </c>
      <c r="D22" s="52">
        <v>70.290000000000006</v>
      </c>
      <c r="E22" s="52">
        <v>7.65</v>
      </c>
      <c r="F22" s="52">
        <v>14.98</v>
      </c>
      <c r="G22" s="52">
        <v>61.03</v>
      </c>
      <c r="H22" s="52">
        <v>19.23</v>
      </c>
      <c r="I22" s="52">
        <v>4.01</v>
      </c>
      <c r="J22" s="52">
        <v>1.58</v>
      </c>
      <c r="K22" s="52">
        <v>275.87</v>
      </c>
      <c r="L22" s="52">
        <v>36.69</v>
      </c>
      <c r="M22" s="52">
        <v>29.27</v>
      </c>
      <c r="N22" s="52">
        <v>869.9</v>
      </c>
      <c r="O22" s="52">
        <v>0</v>
      </c>
      <c r="P22" s="52">
        <v>0.9</v>
      </c>
      <c r="Q22" s="52">
        <v>8.74</v>
      </c>
      <c r="R22" s="43"/>
      <c r="S22" s="43"/>
      <c r="T22" s="43"/>
      <c r="U22" s="43"/>
    </row>
    <row r="23" spans="1:21" s="11" customFormat="1" x14ac:dyDescent="0.25">
      <c r="A23" s="51" t="s">
        <v>434</v>
      </c>
      <c r="B23" s="52">
        <v>1.76</v>
      </c>
      <c r="C23" s="52">
        <v>56.47</v>
      </c>
      <c r="D23" s="52">
        <v>55.33</v>
      </c>
      <c r="E23" s="52">
        <v>4.0199999999999996</v>
      </c>
      <c r="F23" s="52">
        <v>19.14</v>
      </c>
      <c r="G23" s="52">
        <v>62.21</v>
      </c>
      <c r="H23" s="52">
        <v>26.39</v>
      </c>
      <c r="I23" s="52">
        <v>4.13</v>
      </c>
      <c r="J23" s="52">
        <v>1.85</v>
      </c>
      <c r="K23" s="52">
        <v>293.72000000000003</v>
      </c>
      <c r="L23" s="52">
        <v>36.74</v>
      </c>
      <c r="M23" s="52">
        <v>29.12</v>
      </c>
      <c r="N23" s="52">
        <v>615.29999999999995</v>
      </c>
      <c r="O23" s="52">
        <v>0</v>
      </c>
      <c r="P23" s="52">
        <v>0.72</v>
      </c>
      <c r="Q23" s="52">
        <v>8.7899999999999991</v>
      </c>
      <c r="R23" s="43"/>
      <c r="S23" s="43"/>
      <c r="T23" s="43"/>
      <c r="U23" s="43"/>
    </row>
    <row r="24" spans="1:21" s="11" customFormat="1" x14ac:dyDescent="0.25">
      <c r="A24" s="51" t="s">
        <v>435</v>
      </c>
      <c r="B24" s="52">
        <v>2.98</v>
      </c>
      <c r="C24" s="52">
        <v>60.03</v>
      </c>
      <c r="D24" s="52">
        <v>57.04</v>
      </c>
      <c r="E24" s="52">
        <v>4.3099999999999996</v>
      </c>
      <c r="F24" s="52">
        <v>16.82</v>
      </c>
      <c r="G24" s="52">
        <v>62.21</v>
      </c>
      <c r="H24" s="52">
        <v>26.39</v>
      </c>
      <c r="I24" s="52">
        <v>4.1100000000000003</v>
      </c>
      <c r="J24" s="52">
        <v>1.9</v>
      </c>
      <c r="K24" s="52">
        <v>294.68</v>
      </c>
      <c r="L24" s="52">
        <v>36.07</v>
      </c>
      <c r="M24" s="52">
        <v>28.76</v>
      </c>
      <c r="N24" s="52">
        <v>258.5</v>
      </c>
      <c r="O24" s="52">
        <v>0</v>
      </c>
      <c r="P24" s="52">
        <v>0.61</v>
      </c>
      <c r="Q24" s="52">
        <v>8.61</v>
      </c>
      <c r="R24" s="43"/>
      <c r="S24" s="43"/>
      <c r="T24" s="43"/>
      <c r="U24" s="43"/>
    </row>
    <row r="25" spans="1:21" s="11" customFormat="1" x14ac:dyDescent="0.25">
      <c r="A25" s="51" t="s">
        <v>436</v>
      </c>
      <c r="B25" s="52">
        <v>3.02</v>
      </c>
      <c r="C25" s="52">
        <v>59.28</v>
      </c>
      <c r="D25" s="52">
        <v>56.26</v>
      </c>
      <c r="E25" s="52">
        <v>7.02</v>
      </c>
      <c r="F25" s="52">
        <v>29.67</v>
      </c>
      <c r="G25" s="52">
        <v>48.88</v>
      </c>
      <c r="H25" s="52">
        <v>19.07</v>
      </c>
      <c r="I25" s="52">
        <v>4.1500000000000004</v>
      </c>
      <c r="J25" s="52">
        <v>1.32</v>
      </c>
      <c r="K25" s="52">
        <v>273.91000000000003</v>
      </c>
      <c r="L25" s="52">
        <v>34.979999999999997</v>
      </c>
      <c r="M25" s="52">
        <v>28.19</v>
      </c>
      <c r="N25" s="52">
        <v>128.30000000000001</v>
      </c>
      <c r="O25" s="52">
        <v>0</v>
      </c>
      <c r="P25" s="52">
        <v>0.56999999999999995</v>
      </c>
      <c r="Q25" s="52">
        <v>8.75</v>
      </c>
      <c r="R25" s="43"/>
      <c r="S25" s="43"/>
      <c r="T25" s="43"/>
      <c r="U25" s="43"/>
    </row>
    <row r="26" spans="1:21" s="11" customFormat="1" x14ac:dyDescent="0.25">
      <c r="A26" s="51" t="s">
        <v>437</v>
      </c>
      <c r="B26" s="52">
        <v>1.58</v>
      </c>
      <c r="C26" s="52">
        <v>67.38</v>
      </c>
      <c r="D26" s="52">
        <v>66.22</v>
      </c>
      <c r="E26" s="52">
        <v>5.54</v>
      </c>
      <c r="F26" s="52">
        <v>35.520000000000003</v>
      </c>
      <c r="G26" s="52">
        <v>46.15</v>
      </c>
      <c r="H26" s="52">
        <v>17.27</v>
      </c>
      <c r="I26" s="52">
        <v>4.08</v>
      </c>
      <c r="J26" s="52">
        <v>1.74</v>
      </c>
      <c r="K26" s="52">
        <v>239.73</v>
      </c>
      <c r="L26" s="52">
        <v>34.53</v>
      </c>
      <c r="M26" s="52">
        <v>31.99</v>
      </c>
      <c r="N26" s="52">
        <v>89.7</v>
      </c>
      <c r="O26" s="52">
        <v>0</v>
      </c>
      <c r="P26" s="52">
        <v>0.44</v>
      </c>
      <c r="Q26" s="52">
        <v>8.7100000000000009</v>
      </c>
      <c r="R26" s="43"/>
      <c r="S26" s="43"/>
      <c r="T26" s="43"/>
      <c r="U26" s="43"/>
    </row>
    <row r="27" spans="1:21" s="11" customFormat="1" x14ac:dyDescent="0.25">
      <c r="A27" s="51" t="s">
        <v>438</v>
      </c>
      <c r="B27" s="52">
        <v>25.47</v>
      </c>
      <c r="C27" s="52">
        <v>159.72</v>
      </c>
      <c r="D27" s="52">
        <v>134.25</v>
      </c>
      <c r="E27" s="52">
        <v>5.5</v>
      </c>
      <c r="F27" s="52">
        <v>27.85</v>
      </c>
      <c r="G27" s="52">
        <v>46.15</v>
      </c>
      <c r="H27" s="52">
        <v>16.57</v>
      </c>
      <c r="I27" s="52">
        <v>4.0599999999999996</v>
      </c>
      <c r="J27" s="52">
        <v>1.96</v>
      </c>
      <c r="K27" s="52">
        <v>217.82</v>
      </c>
      <c r="L27" s="52">
        <v>32.979999999999997</v>
      </c>
      <c r="M27" s="52">
        <v>35.659999999999997</v>
      </c>
      <c r="N27" s="52">
        <v>44.7</v>
      </c>
      <c r="O27" s="52">
        <v>0</v>
      </c>
      <c r="P27" s="52">
        <v>1.1299999999999999</v>
      </c>
      <c r="Q27" s="52">
        <v>8.6</v>
      </c>
      <c r="R27" s="43"/>
      <c r="S27" s="43"/>
      <c r="T27" s="43"/>
      <c r="U27" s="43"/>
    </row>
    <row r="28" spans="1:21" s="11" customFormat="1" x14ac:dyDescent="0.25">
      <c r="A28" s="51" t="s">
        <v>439</v>
      </c>
      <c r="B28" s="52">
        <v>84.52</v>
      </c>
      <c r="C28" s="52">
        <v>224.44</v>
      </c>
      <c r="D28" s="52">
        <v>139.91999999999999</v>
      </c>
      <c r="E28" s="52">
        <v>5.59</v>
      </c>
      <c r="F28" s="52">
        <v>23.5</v>
      </c>
      <c r="G28" s="52">
        <v>61.25</v>
      </c>
      <c r="H28" s="52">
        <v>16.440000000000001</v>
      </c>
      <c r="I28" s="52">
        <v>4.03</v>
      </c>
      <c r="J28" s="52">
        <v>1.37</v>
      </c>
      <c r="K28" s="52">
        <v>280.66000000000003</v>
      </c>
      <c r="L28" s="52">
        <v>31.96</v>
      </c>
      <c r="M28" s="52">
        <v>39.9</v>
      </c>
      <c r="N28" s="52">
        <v>38.4</v>
      </c>
      <c r="O28" s="52">
        <v>0</v>
      </c>
      <c r="P28" s="52">
        <v>2.86</v>
      </c>
      <c r="Q28" s="52">
        <v>8.98</v>
      </c>
      <c r="R28" s="43"/>
      <c r="S28" s="43"/>
      <c r="T28" s="43"/>
      <c r="U28" s="43"/>
    </row>
    <row r="29" spans="1:21" s="11" customFormat="1" x14ac:dyDescent="0.25">
      <c r="A29" s="51" t="s">
        <v>440</v>
      </c>
      <c r="B29" s="52">
        <v>127</v>
      </c>
      <c r="C29" s="52">
        <v>264.52</v>
      </c>
      <c r="D29" s="52">
        <v>137.78</v>
      </c>
      <c r="E29" s="52">
        <v>6.24</v>
      </c>
      <c r="F29" s="52">
        <v>16.190000000000001</v>
      </c>
      <c r="G29" s="52">
        <v>71</v>
      </c>
      <c r="H29" s="52">
        <v>17.77</v>
      </c>
      <c r="I29" s="52">
        <v>4.09</v>
      </c>
      <c r="J29" s="52">
        <v>1.36</v>
      </c>
      <c r="K29" s="52">
        <v>345.23</v>
      </c>
      <c r="L29" s="52">
        <v>31.17</v>
      </c>
      <c r="M29" s="52">
        <v>47.51</v>
      </c>
      <c r="N29" s="52">
        <v>38.6</v>
      </c>
      <c r="O29" s="52">
        <v>0</v>
      </c>
      <c r="P29" s="52">
        <v>3.73</v>
      </c>
      <c r="Q29" s="52">
        <v>9.23</v>
      </c>
      <c r="R29" s="43"/>
      <c r="S29" s="43"/>
      <c r="T29" s="43"/>
      <c r="U29" s="43"/>
    </row>
    <row r="30" spans="1:21" s="11" customFormat="1" x14ac:dyDescent="0.25">
      <c r="A30" s="51" t="s">
        <v>441</v>
      </c>
      <c r="B30" s="52">
        <v>164.88</v>
      </c>
      <c r="C30" s="52">
        <v>299.72000000000003</v>
      </c>
      <c r="D30" s="52">
        <v>134.84</v>
      </c>
      <c r="E30" s="52">
        <v>6.34</v>
      </c>
      <c r="F30" s="52">
        <v>20.6</v>
      </c>
      <c r="G30" s="52">
        <v>99.49</v>
      </c>
      <c r="H30" s="52">
        <v>21.44</v>
      </c>
      <c r="I30" s="52">
        <v>4.08</v>
      </c>
      <c r="J30" s="52">
        <v>2</v>
      </c>
      <c r="K30" s="52">
        <v>307.48</v>
      </c>
      <c r="L30" s="52">
        <v>30.2</v>
      </c>
      <c r="M30" s="52">
        <v>48.22</v>
      </c>
      <c r="N30" s="52">
        <v>38.299999999999997</v>
      </c>
      <c r="O30" s="52">
        <v>0</v>
      </c>
      <c r="P30" s="52">
        <v>4.04</v>
      </c>
      <c r="Q30" s="52">
        <v>9.4499999999999993</v>
      </c>
      <c r="R30" s="43"/>
      <c r="S30" s="43"/>
      <c r="T30" s="43"/>
      <c r="U30" s="43"/>
    </row>
    <row r="31" spans="1:21" s="11" customFormat="1" x14ac:dyDescent="0.25">
      <c r="A31" s="51" t="s">
        <v>442</v>
      </c>
      <c r="B31" s="52">
        <v>11.55</v>
      </c>
      <c r="C31" s="52">
        <v>76.180000000000007</v>
      </c>
      <c r="D31" s="52">
        <v>64.63</v>
      </c>
      <c r="E31" s="52">
        <v>4.97</v>
      </c>
      <c r="F31" s="52">
        <v>20.02</v>
      </c>
      <c r="G31" s="52">
        <v>99.49</v>
      </c>
      <c r="H31" s="52">
        <v>21.44</v>
      </c>
      <c r="I31" s="52">
        <v>4.09</v>
      </c>
      <c r="J31" s="52">
        <v>1.76</v>
      </c>
      <c r="K31" s="52">
        <v>224.16</v>
      </c>
      <c r="L31" s="52">
        <v>29.46</v>
      </c>
      <c r="M31" s="52">
        <v>44.2</v>
      </c>
      <c r="N31" s="52">
        <v>38.299999999999997</v>
      </c>
      <c r="O31" s="52">
        <v>0</v>
      </c>
      <c r="P31" s="52">
        <v>0.85</v>
      </c>
      <c r="Q31" s="52">
        <v>9.48</v>
      </c>
      <c r="R31" s="43"/>
      <c r="S31" s="43"/>
      <c r="T31" s="43"/>
      <c r="U31" s="43"/>
    </row>
    <row r="32" spans="1:21" s="11" customFormat="1" x14ac:dyDescent="0.25">
      <c r="A32" s="51" t="s">
        <v>443</v>
      </c>
      <c r="B32" s="52">
        <v>10.83</v>
      </c>
      <c r="C32" s="52">
        <v>59.61</v>
      </c>
      <c r="D32" s="52">
        <v>48.97</v>
      </c>
      <c r="E32" s="52">
        <v>4.6900000000000004</v>
      </c>
      <c r="F32" s="52">
        <v>16.510000000000002</v>
      </c>
      <c r="G32" s="52">
        <v>74.27</v>
      </c>
      <c r="H32" s="52">
        <v>20.97</v>
      </c>
      <c r="I32" s="52">
        <v>4.12</v>
      </c>
      <c r="J32" s="52">
        <v>1.47</v>
      </c>
      <c r="K32" s="52">
        <v>232.29</v>
      </c>
      <c r="L32" s="52">
        <v>28.49</v>
      </c>
      <c r="M32" s="52">
        <v>47.19</v>
      </c>
      <c r="N32" s="52">
        <v>38.299999999999997</v>
      </c>
      <c r="O32" s="52">
        <v>0</v>
      </c>
      <c r="P32" s="52">
        <v>0.83</v>
      </c>
      <c r="Q32" s="52">
        <v>9.1999999999999993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1.58</v>
      </c>
      <c r="C34" s="28">
        <f t="shared" si="0"/>
        <v>45.12</v>
      </c>
      <c r="D34" s="28">
        <f t="shared" si="0"/>
        <v>42.7</v>
      </c>
      <c r="E34" s="28">
        <f t="shared" si="0"/>
        <v>2.36</v>
      </c>
      <c r="F34" s="28">
        <f t="shared" si="0"/>
        <v>8.2200000000000006</v>
      </c>
      <c r="G34" s="28">
        <f t="shared" si="0"/>
        <v>18.2</v>
      </c>
      <c r="H34" s="28">
        <f t="shared" si="0"/>
        <v>6.71</v>
      </c>
      <c r="I34" s="28">
        <f t="shared" si="0"/>
        <v>3.96</v>
      </c>
      <c r="J34" s="28">
        <f t="shared" si="0"/>
        <v>0.99</v>
      </c>
      <c r="K34" s="28">
        <f t="shared" si="0"/>
        <v>104.87</v>
      </c>
      <c r="L34" s="28">
        <f t="shared" si="0"/>
        <v>22.52</v>
      </c>
      <c r="M34" s="28">
        <f t="shared" si="0"/>
        <v>28.19</v>
      </c>
      <c r="N34" s="28">
        <f t="shared" si="0"/>
        <v>38.299999999999997</v>
      </c>
      <c r="O34" s="28">
        <f t="shared" si="0"/>
        <v>0</v>
      </c>
      <c r="P34" s="28">
        <f t="shared" si="0"/>
        <v>0.27</v>
      </c>
      <c r="Q34" s="28">
        <f t="shared" si="0"/>
        <v>8.6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164.88</v>
      </c>
      <c r="C35" s="29">
        <f t="shared" si="1"/>
        <v>299.72000000000003</v>
      </c>
      <c r="D35" s="29">
        <f t="shared" si="1"/>
        <v>139.91999999999999</v>
      </c>
      <c r="E35" s="29">
        <f t="shared" si="1"/>
        <v>12.72</v>
      </c>
      <c r="F35" s="29">
        <f t="shared" si="1"/>
        <v>35.520000000000003</v>
      </c>
      <c r="G35" s="29">
        <f t="shared" si="1"/>
        <v>99.49</v>
      </c>
      <c r="H35" s="29">
        <f t="shared" si="1"/>
        <v>26.39</v>
      </c>
      <c r="I35" s="29">
        <f t="shared" si="1"/>
        <v>4.16</v>
      </c>
      <c r="J35" s="29">
        <f t="shared" si="1"/>
        <v>2.7</v>
      </c>
      <c r="K35" s="29">
        <f t="shared" si="1"/>
        <v>345.23</v>
      </c>
      <c r="L35" s="29">
        <f t="shared" si="1"/>
        <v>37.85</v>
      </c>
      <c r="M35" s="29">
        <f t="shared" si="1"/>
        <v>66.64</v>
      </c>
      <c r="N35" s="29">
        <f t="shared" si="1"/>
        <v>975.1</v>
      </c>
      <c r="O35" s="29">
        <f t="shared" si="1"/>
        <v>0</v>
      </c>
      <c r="P35" s="29">
        <f t="shared" si="1"/>
        <v>4.04</v>
      </c>
      <c r="Q35" s="29">
        <f t="shared" si="1"/>
        <v>9.48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20.543333333333333</v>
      </c>
      <c r="C36" s="28">
        <f t="shared" si="2"/>
        <v>88.284166666666678</v>
      </c>
      <c r="D36" s="28">
        <f t="shared" si="2"/>
        <v>67.910416666666677</v>
      </c>
      <c r="E36" s="28">
        <f t="shared" si="2"/>
        <v>4.784583333333333</v>
      </c>
      <c r="F36" s="28">
        <f t="shared" si="2"/>
        <v>16.858750000000001</v>
      </c>
      <c r="G36" s="28">
        <f t="shared" si="2"/>
        <v>44.484999999999992</v>
      </c>
      <c r="H36" s="28">
        <f t="shared" si="2"/>
        <v>14.050416666666663</v>
      </c>
      <c r="I36" s="28">
        <f t="shared" si="2"/>
        <v>4.0837500000000002</v>
      </c>
      <c r="J36" s="28">
        <f t="shared" si="2"/>
        <v>1.834583333333333</v>
      </c>
      <c r="K36" s="28">
        <f t="shared" si="2"/>
        <v>241.75833333333324</v>
      </c>
      <c r="L36" s="28">
        <f t="shared" si="2"/>
        <v>30.34416666666667</v>
      </c>
      <c r="M36" s="28">
        <f t="shared" si="2"/>
        <v>45.872083333333329</v>
      </c>
      <c r="N36" s="28">
        <f t="shared" si="2"/>
        <v>310.00416666666666</v>
      </c>
      <c r="O36" s="28">
        <f t="shared" si="2"/>
        <v>0</v>
      </c>
      <c r="P36" s="28">
        <f t="shared" si="2"/>
        <v>0.90666666666666662</v>
      </c>
      <c r="Q36" s="28">
        <f t="shared" si="2"/>
        <v>8.8608333333333302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42.520332493553227</v>
      </c>
      <c r="C37" s="28">
        <f t="shared" ref="C37:Q37" si="3">STDEV(C9:C32)</f>
        <v>71.737863322362557</v>
      </c>
      <c r="D37" s="28">
        <f t="shared" si="3"/>
        <v>32.264655245015554</v>
      </c>
      <c r="E37" s="28">
        <f t="shared" si="3"/>
        <v>2.5097253949328828</v>
      </c>
      <c r="F37" s="28">
        <f t="shared" si="3"/>
        <v>6.9876949688907333</v>
      </c>
      <c r="G37" s="28">
        <f t="shared" si="3"/>
        <v>24.592263010955303</v>
      </c>
      <c r="H37" s="28">
        <f t="shared" si="3"/>
        <v>6.3969268974941524</v>
      </c>
      <c r="I37" s="28">
        <f t="shared" si="3"/>
        <v>4.7622838875992092E-2</v>
      </c>
      <c r="J37" s="28">
        <f t="shared" si="3"/>
        <v>0.43415063671762583</v>
      </c>
      <c r="K37" s="28">
        <f t="shared" si="3"/>
        <v>71.553213804812032</v>
      </c>
      <c r="L37" s="28">
        <f t="shared" si="3"/>
        <v>5.3779128945575954</v>
      </c>
      <c r="M37" s="28">
        <f t="shared" si="3"/>
        <v>13.747285575283833</v>
      </c>
      <c r="N37" s="28">
        <f t="shared" si="3"/>
        <v>358.56279600306573</v>
      </c>
      <c r="O37" s="28">
        <f t="shared" si="3"/>
        <v>0</v>
      </c>
      <c r="P37" s="28">
        <f t="shared" si="3"/>
        <v>1.0637941393965717</v>
      </c>
      <c r="Q37" s="28">
        <f t="shared" si="3"/>
        <v>0.2378877460277114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17/04/2025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444</v>
      </c>
      <c r="B9" s="52">
        <v>8.4700000000000006</v>
      </c>
      <c r="C9" s="52">
        <v>56.72</v>
      </c>
      <c r="D9" s="52">
        <v>48.25</v>
      </c>
      <c r="E9" s="52">
        <v>4.8499999999999996</v>
      </c>
      <c r="F9" s="52">
        <v>15.63</v>
      </c>
      <c r="G9" s="52">
        <v>58.62</v>
      </c>
      <c r="H9" s="52">
        <v>20.41</v>
      </c>
      <c r="I9" s="52">
        <v>4.24</v>
      </c>
      <c r="J9" s="52">
        <v>1.44</v>
      </c>
      <c r="K9" s="52">
        <v>232.45</v>
      </c>
      <c r="L9" s="52">
        <v>27.22</v>
      </c>
      <c r="M9" s="52">
        <v>51.13</v>
      </c>
      <c r="N9" s="52">
        <v>38.200000000000003</v>
      </c>
      <c r="O9" s="52">
        <v>0</v>
      </c>
      <c r="P9" s="52">
        <v>0.77</v>
      </c>
      <c r="Q9" s="52">
        <v>9.25</v>
      </c>
      <c r="R9" s="43"/>
      <c r="S9" s="43"/>
      <c r="T9" s="43"/>
      <c r="U9" s="43"/>
    </row>
    <row r="10" spans="1:21" s="11" customFormat="1" x14ac:dyDescent="0.25">
      <c r="A10" s="51" t="s">
        <v>445</v>
      </c>
      <c r="B10" s="52">
        <v>4.42</v>
      </c>
      <c r="C10" s="52">
        <v>45.04</v>
      </c>
      <c r="D10" s="52">
        <v>40.619999999999997</v>
      </c>
      <c r="E10" s="52">
        <v>4.53</v>
      </c>
      <c r="F10" s="52">
        <v>17.13</v>
      </c>
      <c r="G10" s="52">
        <v>40.69</v>
      </c>
      <c r="H10" s="52">
        <v>17.29</v>
      </c>
      <c r="I10" s="52">
        <v>4.0199999999999996</v>
      </c>
      <c r="J10" s="52">
        <v>1.52</v>
      </c>
      <c r="K10" s="52">
        <v>237.8</v>
      </c>
      <c r="L10" s="52">
        <v>26.29</v>
      </c>
      <c r="M10" s="52">
        <v>53.1</v>
      </c>
      <c r="N10" s="52">
        <v>38.1</v>
      </c>
      <c r="O10" s="52">
        <v>0</v>
      </c>
      <c r="P10" s="52">
        <v>0.47</v>
      </c>
      <c r="Q10" s="52">
        <v>8.8000000000000007</v>
      </c>
      <c r="R10" s="43"/>
      <c r="S10" s="43"/>
      <c r="T10" s="43"/>
      <c r="U10" s="43"/>
    </row>
    <row r="11" spans="1:21" s="11" customFormat="1" x14ac:dyDescent="0.25">
      <c r="A11" s="51" t="s">
        <v>446</v>
      </c>
      <c r="B11" s="52">
        <v>2.4700000000000002</v>
      </c>
      <c r="C11" s="52">
        <v>36.9</v>
      </c>
      <c r="D11" s="52">
        <v>34.43</v>
      </c>
      <c r="E11" s="52">
        <v>4.3899999999999997</v>
      </c>
      <c r="F11" s="52">
        <v>15.75</v>
      </c>
      <c r="G11" s="52">
        <v>32.28</v>
      </c>
      <c r="H11" s="52">
        <v>14.49</v>
      </c>
      <c r="I11" s="52">
        <v>4.1500000000000004</v>
      </c>
      <c r="J11" s="52">
        <v>1.46</v>
      </c>
      <c r="K11" s="52">
        <v>235.16</v>
      </c>
      <c r="L11" s="52">
        <v>25.79</v>
      </c>
      <c r="M11" s="52">
        <v>57.79</v>
      </c>
      <c r="N11" s="52">
        <v>38.200000000000003</v>
      </c>
      <c r="O11" s="52">
        <v>0</v>
      </c>
      <c r="P11" s="52">
        <v>0.43</v>
      </c>
      <c r="Q11" s="52">
        <v>8.7799999999999994</v>
      </c>
      <c r="R11" s="43"/>
      <c r="S11" s="43"/>
      <c r="T11" s="43"/>
      <c r="U11" s="43"/>
    </row>
    <row r="12" spans="1:21" s="11" customFormat="1" x14ac:dyDescent="0.25">
      <c r="A12" s="51" t="s">
        <v>447</v>
      </c>
      <c r="B12" s="52">
        <v>4.3</v>
      </c>
      <c r="C12" s="52">
        <v>45.37</v>
      </c>
      <c r="D12" s="52">
        <v>41.86</v>
      </c>
      <c r="E12" s="52">
        <v>4.3600000000000003</v>
      </c>
      <c r="F12" s="52">
        <v>13.48</v>
      </c>
      <c r="G12" s="52">
        <v>28.55</v>
      </c>
      <c r="H12" s="52">
        <v>13.92</v>
      </c>
      <c r="I12" s="52">
        <v>4.17</v>
      </c>
      <c r="J12" s="52">
        <v>1.66</v>
      </c>
      <c r="K12" s="52">
        <v>200.54</v>
      </c>
      <c r="L12" s="52">
        <v>24.87</v>
      </c>
      <c r="M12" s="52">
        <v>63.1</v>
      </c>
      <c r="N12" s="52">
        <v>38.200000000000003</v>
      </c>
      <c r="O12" s="52">
        <v>0</v>
      </c>
      <c r="P12" s="52">
        <v>0.61</v>
      </c>
      <c r="Q12" s="52">
        <v>8.7200000000000006</v>
      </c>
      <c r="R12" s="43"/>
      <c r="S12" s="43"/>
      <c r="T12" s="43"/>
      <c r="U12" s="43"/>
    </row>
    <row r="13" spans="1:21" s="11" customFormat="1" x14ac:dyDescent="0.25">
      <c r="A13" s="51" t="s">
        <v>448</v>
      </c>
      <c r="B13" s="52">
        <v>6.05</v>
      </c>
      <c r="C13" s="52">
        <v>60.83</v>
      </c>
      <c r="D13" s="52">
        <v>54.79</v>
      </c>
      <c r="E13" s="52">
        <v>4.2</v>
      </c>
      <c r="F13" s="52">
        <v>10.52</v>
      </c>
      <c r="G13" s="52">
        <v>28.55</v>
      </c>
      <c r="H13" s="52">
        <v>13.92</v>
      </c>
      <c r="I13" s="52">
        <v>4.08</v>
      </c>
      <c r="J13" s="52">
        <v>1.25</v>
      </c>
      <c r="K13" s="52">
        <v>235.62</v>
      </c>
      <c r="L13" s="52">
        <v>24.82</v>
      </c>
      <c r="M13" s="52">
        <v>59.62</v>
      </c>
      <c r="N13" s="52">
        <v>38.1</v>
      </c>
      <c r="O13" s="52">
        <v>0</v>
      </c>
      <c r="P13" s="52">
        <v>0.46</v>
      </c>
      <c r="Q13" s="52">
        <v>8.67</v>
      </c>
      <c r="R13" s="43"/>
      <c r="S13" s="43"/>
      <c r="T13" s="43"/>
      <c r="U13" s="43"/>
    </row>
    <row r="14" spans="1:21" s="11" customFormat="1" x14ac:dyDescent="0.25">
      <c r="A14" s="51" t="s">
        <v>449</v>
      </c>
      <c r="B14" s="52">
        <v>4.3899999999999997</v>
      </c>
      <c r="C14" s="52">
        <v>53.18</v>
      </c>
      <c r="D14" s="52">
        <v>48.79</v>
      </c>
      <c r="E14" s="52">
        <v>3.93</v>
      </c>
      <c r="F14" s="52">
        <v>11.42</v>
      </c>
      <c r="G14" s="52">
        <v>29.33</v>
      </c>
      <c r="H14" s="52">
        <v>11.03</v>
      </c>
      <c r="I14" s="52">
        <v>4.04</v>
      </c>
      <c r="J14" s="52">
        <v>1.44</v>
      </c>
      <c r="K14" s="52">
        <v>226.83</v>
      </c>
      <c r="L14" s="52">
        <v>24.82</v>
      </c>
      <c r="M14" s="52">
        <v>61.31</v>
      </c>
      <c r="N14" s="52">
        <v>52.3</v>
      </c>
      <c r="O14" s="52">
        <v>0</v>
      </c>
      <c r="P14" s="52">
        <v>0.48</v>
      </c>
      <c r="Q14" s="52">
        <v>8.7799999999999994</v>
      </c>
      <c r="R14" s="43"/>
      <c r="S14" s="43"/>
      <c r="T14" s="43"/>
      <c r="U14" s="43"/>
    </row>
    <row r="15" spans="1:21" s="11" customFormat="1" x14ac:dyDescent="0.25">
      <c r="A15" s="51" t="s">
        <v>450</v>
      </c>
      <c r="B15" s="52">
        <v>5.41</v>
      </c>
      <c r="C15" s="52">
        <v>55.08</v>
      </c>
      <c r="D15" s="52">
        <v>49.67</v>
      </c>
      <c r="E15" s="52">
        <v>4.0199999999999996</v>
      </c>
      <c r="F15" s="52">
        <v>13.39</v>
      </c>
      <c r="G15" s="52">
        <v>31.45</v>
      </c>
      <c r="H15" s="52">
        <v>12.08</v>
      </c>
      <c r="I15" s="52">
        <v>4.1100000000000003</v>
      </c>
      <c r="J15" s="52">
        <v>2.09</v>
      </c>
      <c r="K15" s="52">
        <v>218.82</v>
      </c>
      <c r="L15" s="52">
        <v>26.12</v>
      </c>
      <c r="M15" s="52">
        <v>60.72</v>
      </c>
      <c r="N15" s="52">
        <v>156.4</v>
      </c>
      <c r="O15" s="52">
        <v>0</v>
      </c>
      <c r="P15" s="52">
        <v>0.47</v>
      </c>
      <c r="Q15" s="52">
        <v>8.6</v>
      </c>
      <c r="R15" s="43"/>
      <c r="S15" s="43"/>
      <c r="T15" s="43"/>
      <c r="U15" s="43"/>
    </row>
    <row r="16" spans="1:21" s="11" customFormat="1" x14ac:dyDescent="0.25">
      <c r="A16" s="51" t="s">
        <v>451</v>
      </c>
      <c r="B16" s="52">
        <v>6.5</v>
      </c>
      <c r="C16" s="52">
        <v>55.56</v>
      </c>
      <c r="D16" s="52">
        <v>50.53</v>
      </c>
      <c r="E16" s="52">
        <v>4.28</v>
      </c>
      <c r="F16" s="52">
        <v>12.33</v>
      </c>
      <c r="G16" s="52">
        <v>35.22</v>
      </c>
      <c r="H16" s="52">
        <v>12.08</v>
      </c>
      <c r="I16" s="52">
        <v>4.1100000000000003</v>
      </c>
      <c r="J16" s="52">
        <v>1.85</v>
      </c>
      <c r="K16" s="52">
        <v>209.48</v>
      </c>
      <c r="L16" s="52">
        <v>28.64</v>
      </c>
      <c r="M16" s="52">
        <v>55.39</v>
      </c>
      <c r="N16" s="52">
        <v>388.1</v>
      </c>
      <c r="O16" s="52">
        <v>0</v>
      </c>
      <c r="P16" s="52">
        <v>0.47</v>
      </c>
      <c r="Q16" s="52">
        <v>8.8000000000000007</v>
      </c>
      <c r="R16" s="43"/>
      <c r="S16" s="43"/>
      <c r="T16" s="43"/>
      <c r="U16" s="43"/>
    </row>
    <row r="17" spans="1:21" s="11" customFormat="1" x14ac:dyDescent="0.25">
      <c r="A17" s="51" t="s">
        <v>452</v>
      </c>
      <c r="B17" s="52">
        <v>4.59</v>
      </c>
      <c r="C17" s="52">
        <v>54.74</v>
      </c>
      <c r="D17" s="52">
        <v>50.14</v>
      </c>
      <c r="E17" s="52">
        <v>3.13</v>
      </c>
      <c r="F17" s="52">
        <v>9.61</v>
      </c>
      <c r="G17" s="52">
        <v>35.22</v>
      </c>
      <c r="H17" s="52">
        <v>11.08</v>
      </c>
      <c r="I17" s="52">
        <v>4.32</v>
      </c>
      <c r="J17" s="52">
        <v>1.66</v>
      </c>
      <c r="K17" s="52">
        <v>257.27</v>
      </c>
      <c r="L17" s="52">
        <v>30.81</v>
      </c>
      <c r="M17" s="52">
        <v>49.44</v>
      </c>
      <c r="N17" s="52">
        <v>575.9</v>
      </c>
      <c r="O17" s="52">
        <v>0</v>
      </c>
      <c r="P17" s="52">
        <v>0.47</v>
      </c>
      <c r="Q17" s="52">
        <v>8.76</v>
      </c>
      <c r="R17" s="43"/>
      <c r="S17" s="43"/>
      <c r="T17" s="43"/>
      <c r="U17" s="43"/>
    </row>
    <row r="18" spans="1:21" s="11" customFormat="1" x14ac:dyDescent="0.25">
      <c r="A18" s="51" t="s">
        <v>453</v>
      </c>
      <c r="B18" s="52">
        <v>2.61</v>
      </c>
      <c r="C18" s="52">
        <v>51.27</v>
      </c>
      <c r="D18" s="52">
        <v>49.52</v>
      </c>
      <c r="E18" s="52">
        <v>3.26</v>
      </c>
      <c r="F18" s="52">
        <v>11.94</v>
      </c>
      <c r="G18" s="52">
        <v>32.42</v>
      </c>
      <c r="H18" s="52">
        <v>10.27</v>
      </c>
      <c r="I18" s="52">
        <v>4.16</v>
      </c>
      <c r="J18" s="52">
        <v>2.2400000000000002</v>
      </c>
      <c r="K18" s="52">
        <v>273.76</v>
      </c>
      <c r="L18" s="52">
        <v>34.049999999999997</v>
      </c>
      <c r="M18" s="52">
        <v>49.83</v>
      </c>
      <c r="N18" s="52">
        <v>764.2</v>
      </c>
      <c r="O18" s="52">
        <v>0</v>
      </c>
      <c r="P18" s="52">
        <v>0.45</v>
      </c>
      <c r="Q18" s="52">
        <v>8.65</v>
      </c>
      <c r="R18" s="43"/>
      <c r="S18" s="43"/>
      <c r="T18" s="43"/>
      <c r="U18" s="43"/>
    </row>
    <row r="19" spans="1:21" s="11" customFormat="1" x14ac:dyDescent="0.25">
      <c r="A19" s="51" t="s">
        <v>454</v>
      </c>
      <c r="B19" s="52">
        <v>2.71</v>
      </c>
      <c r="C19" s="52">
        <v>53.47</v>
      </c>
      <c r="D19" s="52">
        <v>50.76</v>
      </c>
      <c r="E19" s="52">
        <v>3.53</v>
      </c>
      <c r="F19" s="52">
        <v>12.74</v>
      </c>
      <c r="G19" s="52">
        <v>32.520000000000003</v>
      </c>
      <c r="H19" s="52">
        <v>13.63</v>
      </c>
      <c r="I19" s="52">
        <v>4.0999999999999996</v>
      </c>
      <c r="J19" s="52">
        <v>1.5</v>
      </c>
      <c r="K19" s="52">
        <v>279.66000000000003</v>
      </c>
      <c r="L19" s="52">
        <v>35.53</v>
      </c>
      <c r="M19" s="52">
        <v>43.62</v>
      </c>
      <c r="N19" s="52">
        <v>825.2</v>
      </c>
      <c r="O19" s="52">
        <v>0</v>
      </c>
      <c r="P19" s="52">
        <v>0.46</v>
      </c>
      <c r="Q19" s="52">
        <v>8.58</v>
      </c>
      <c r="R19" s="43"/>
      <c r="S19" s="43"/>
      <c r="T19" s="43"/>
      <c r="U19" s="43"/>
    </row>
    <row r="20" spans="1:21" s="11" customFormat="1" x14ac:dyDescent="0.25">
      <c r="A20" s="51" t="s">
        <v>455</v>
      </c>
      <c r="B20" s="52">
        <v>1.05</v>
      </c>
      <c r="C20" s="52">
        <v>48.51</v>
      </c>
      <c r="D20" s="52">
        <v>47.46</v>
      </c>
      <c r="E20" s="52">
        <v>3.17</v>
      </c>
      <c r="F20" s="52">
        <v>11.59</v>
      </c>
      <c r="G20" s="52">
        <v>36.03</v>
      </c>
      <c r="H20" s="52">
        <v>14.03</v>
      </c>
      <c r="I20" s="52">
        <v>4.05</v>
      </c>
      <c r="J20" s="52">
        <v>2.25</v>
      </c>
      <c r="K20" s="52">
        <v>293.27</v>
      </c>
      <c r="L20" s="52">
        <v>38.229999999999997</v>
      </c>
      <c r="M20" s="52">
        <v>37.4</v>
      </c>
      <c r="N20" s="52">
        <v>870.1</v>
      </c>
      <c r="O20" s="52">
        <v>0</v>
      </c>
      <c r="P20" s="52">
        <v>0.43</v>
      </c>
      <c r="Q20" s="52">
        <v>8.66</v>
      </c>
      <c r="R20" s="43"/>
      <c r="S20" s="43"/>
      <c r="T20" s="43"/>
      <c r="U20" s="43"/>
    </row>
    <row r="21" spans="1:21" s="11" customFormat="1" x14ac:dyDescent="0.25">
      <c r="A21" s="51" t="s">
        <v>456</v>
      </c>
      <c r="B21" s="52">
        <v>1.1100000000000001</v>
      </c>
      <c r="C21" s="52">
        <v>50.11</v>
      </c>
      <c r="D21" s="52">
        <v>49</v>
      </c>
      <c r="E21" s="52">
        <v>4.2</v>
      </c>
      <c r="F21" s="52">
        <v>13.21</v>
      </c>
      <c r="G21" s="52">
        <v>38.79</v>
      </c>
      <c r="H21" s="52">
        <v>14.03</v>
      </c>
      <c r="I21" s="52">
        <v>4.05</v>
      </c>
      <c r="J21" s="52">
        <v>1.72</v>
      </c>
      <c r="K21" s="52">
        <v>272.02999999999997</v>
      </c>
      <c r="L21" s="52">
        <v>36.880000000000003</v>
      </c>
      <c r="M21" s="52">
        <v>37.26</v>
      </c>
      <c r="N21" s="52">
        <v>837.1</v>
      </c>
      <c r="O21" s="52">
        <v>0</v>
      </c>
      <c r="P21" s="52">
        <v>0.53</v>
      </c>
      <c r="Q21" s="52">
        <v>8.6</v>
      </c>
      <c r="R21" s="43"/>
      <c r="S21" s="43"/>
      <c r="T21" s="43"/>
      <c r="U21" s="43"/>
    </row>
    <row r="22" spans="1:21" s="11" customFormat="1" x14ac:dyDescent="0.25">
      <c r="A22" s="51" t="s">
        <v>457</v>
      </c>
      <c r="B22" s="52">
        <v>0.64</v>
      </c>
      <c r="C22" s="52">
        <v>46.61</v>
      </c>
      <c r="D22" s="52">
        <v>45.98</v>
      </c>
      <c r="E22" s="52">
        <v>4.3</v>
      </c>
      <c r="F22" s="52">
        <v>14.71</v>
      </c>
      <c r="G22" s="52">
        <v>42.57</v>
      </c>
      <c r="H22" s="52">
        <v>12.56</v>
      </c>
      <c r="I22" s="52">
        <v>4.08</v>
      </c>
      <c r="J22" s="52">
        <v>1.75</v>
      </c>
      <c r="K22" s="52">
        <v>266.54000000000002</v>
      </c>
      <c r="L22" s="52">
        <v>37.03</v>
      </c>
      <c r="M22" s="52">
        <v>35.11</v>
      </c>
      <c r="N22" s="52">
        <v>780.4</v>
      </c>
      <c r="O22" s="52">
        <v>0</v>
      </c>
      <c r="P22" s="52">
        <v>0.56999999999999995</v>
      </c>
      <c r="Q22" s="52">
        <v>8.58</v>
      </c>
      <c r="R22" s="43"/>
      <c r="S22" s="43"/>
      <c r="T22" s="43"/>
      <c r="U22" s="43"/>
    </row>
    <row r="23" spans="1:21" s="11" customFormat="1" x14ac:dyDescent="0.25">
      <c r="A23" s="51" t="s">
        <v>458</v>
      </c>
      <c r="B23" s="52">
        <v>0.52</v>
      </c>
      <c r="C23" s="52">
        <v>50.32</v>
      </c>
      <c r="D23" s="52">
        <v>49.79</v>
      </c>
      <c r="E23" s="52">
        <v>3.32</v>
      </c>
      <c r="F23" s="52">
        <v>15.22</v>
      </c>
      <c r="G23" s="52">
        <v>42.57</v>
      </c>
      <c r="H23" s="52">
        <v>15.06</v>
      </c>
      <c r="I23" s="52">
        <v>4.1100000000000003</v>
      </c>
      <c r="J23" s="52">
        <v>1.84</v>
      </c>
      <c r="K23" s="52">
        <v>281.89</v>
      </c>
      <c r="L23" s="52">
        <v>36.33</v>
      </c>
      <c r="M23" s="52">
        <v>34.71</v>
      </c>
      <c r="N23" s="52">
        <v>486.1</v>
      </c>
      <c r="O23" s="52">
        <v>0</v>
      </c>
      <c r="P23" s="52">
        <v>0.54</v>
      </c>
      <c r="Q23" s="52">
        <v>8.5299999999999994</v>
      </c>
      <c r="R23" s="43"/>
      <c r="S23" s="43"/>
      <c r="T23" s="43"/>
      <c r="U23" s="43"/>
    </row>
    <row r="24" spans="1:21" s="11" customFormat="1" x14ac:dyDescent="0.25">
      <c r="A24" s="51" t="s">
        <v>459</v>
      </c>
      <c r="B24" s="52">
        <v>1.35</v>
      </c>
      <c r="C24" s="52">
        <v>42.88</v>
      </c>
      <c r="D24" s="52">
        <v>41.52</v>
      </c>
      <c r="E24" s="52">
        <v>3.31</v>
      </c>
      <c r="F24" s="52">
        <v>15.55</v>
      </c>
      <c r="G24" s="52">
        <v>42.58</v>
      </c>
      <c r="H24" s="52">
        <v>15.06</v>
      </c>
      <c r="I24" s="52">
        <v>4.26</v>
      </c>
      <c r="J24" s="52">
        <v>1.57</v>
      </c>
      <c r="K24" s="52">
        <v>280.56</v>
      </c>
      <c r="L24" s="52">
        <v>35.6</v>
      </c>
      <c r="M24" s="52">
        <v>36</v>
      </c>
      <c r="N24" s="52">
        <v>167.6</v>
      </c>
      <c r="O24" s="52">
        <v>0</v>
      </c>
      <c r="P24" s="52">
        <v>0.49</v>
      </c>
      <c r="Q24" s="52">
        <v>8.5399999999999991</v>
      </c>
      <c r="R24" s="43"/>
      <c r="S24" s="43"/>
      <c r="T24" s="43"/>
      <c r="U24" s="43"/>
    </row>
    <row r="25" spans="1:21" s="11" customFormat="1" x14ac:dyDescent="0.25">
      <c r="A25" s="51" t="s">
        <v>460</v>
      </c>
      <c r="B25" s="52">
        <v>2.91</v>
      </c>
      <c r="C25" s="52">
        <v>55.84</v>
      </c>
      <c r="D25" s="52">
        <v>52.92</v>
      </c>
      <c r="E25" s="52">
        <v>5.23</v>
      </c>
      <c r="F25" s="52">
        <v>19.79</v>
      </c>
      <c r="G25" s="52">
        <v>42.58</v>
      </c>
      <c r="H25" s="52">
        <v>13.94</v>
      </c>
      <c r="I25" s="52">
        <v>4</v>
      </c>
      <c r="J25" s="52">
        <v>1.61</v>
      </c>
      <c r="K25" s="52">
        <v>277.92</v>
      </c>
      <c r="L25" s="52">
        <v>34.36</v>
      </c>
      <c r="M25" s="52">
        <v>59.51</v>
      </c>
      <c r="N25" s="52">
        <v>183.1</v>
      </c>
      <c r="O25" s="52">
        <v>1</v>
      </c>
      <c r="P25" s="52">
        <v>0.56999999999999995</v>
      </c>
      <c r="Q25" s="52">
        <v>8.58</v>
      </c>
      <c r="R25" s="43"/>
      <c r="S25" s="43"/>
      <c r="T25" s="43"/>
      <c r="U25" s="43"/>
    </row>
    <row r="26" spans="1:21" s="11" customFormat="1" x14ac:dyDescent="0.25">
      <c r="A26" s="51" t="s">
        <v>461</v>
      </c>
      <c r="B26" s="52">
        <v>5.08</v>
      </c>
      <c r="C26" s="52">
        <v>87.97</v>
      </c>
      <c r="D26" s="52">
        <v>83.12</v>
      </c>
      <c r="E26" s="52">
        <v>8.76</v>
      </c>
      <c r="F26" s="52">
        <v>18.920000000000002</v>
      </c>
      <c r="G26" s="52">
        <v>59.47</v>
      </c>
      <c r="H26" s="52">
        <v>13.63</v>
      </c>
      <c r="I26" s="52">
        <v>4.0599999999999996</v>
      </c>
      <c r="J26" s="52">
        <v>1.71</v>
      </c>
      <c r="K26" s="52">
        <v>279.67</v>
      </c>
      <c r="L26" s="52">
        <v>32.72</v>
      </c>
      <c r="M26" s="52">
        <v>36.89</v>
      </c>
      <c r="N26" s="52">
        <v>97.5</v>
      </c>
      <c r="O26" s="52">
        <v>0</v>
      </c>
      <c r="P26" s="52">
        <v>0.91</v>
      </c>
      <c r="Q26" s="52">
        <v>8.7899999999999991</v>
      </c>
      <c r="R26" s="43"/>
      <c r="S26" s="43"/>
      <c r="T26" s="43"/>
      <c r="U26" s="43"/>
    </row>
    <row r="27" spans="1:21" s="11" customFormat="1" x14ac:dyDescent="0.25">
      <c r="A27" s="51" t="s">
        <v>462</v>
      </c>
      <c r="B27" s="52">
        <v>19.04</v>
      </c>
      <c r="C27" s="52">
        <v>125.72</v>
      </c>
      <c r="D27" s="52">
        <v>109.14</v>
      </c>
      <c r="E27" s="52">
        <v>6.33</v>
      </c>
      <c r="F27" s="52">
        <v>13.18</v>
      </c>
      <c r="G27" s="52">
        <v>69.400000000000006</v>
      </c>
      <c r="H27" s="52">
        <v>16.36</v>
      </c>
      <c r="I27" s="52">
        <v>3.97</v>
      </c>
      <c r="J27" s="52">
        <v>1.95</v>
      </c>
      <c r="K27" s="52">
        <v>167.21</v>
      </c>
      <c r="L27" s="52">
        <v>32.1</v>
      </c>
      <c r="M27" s="52">
        <v>45.54</v>
      </c>
      <c r="N27" s="52">
        <v>42.8</v>
      </c>
      <c r="O27" s="52">
        <v>0</v>
      </c>
      <c r="P27" s="52">
        <v>0.99</v>
      </c>
      <c r="Q27" s="52">
        <v>8.7100000000000009</v>
      </c>
      <c r="R27" s="43"/>
      <c r="S27" s="43"/>
      <c r="T27" s="43"/>
      <c r="U27" s="43"/>
    </row>
    <row r="28" spans="1:21" s="11" customFormat="1" x14ac:dyDescent="0.25">
      <c r="A28" s="51" t="s">
        <v>463</v>
      </c>
      <c r="B28" s="52">
        <v>8.2799999999999994</v>
      </c>
      <c r="C28" s="52">
        <v>90.22</v>
      </c>
      <c r="D28" s="52">
        <v>81.94</v>
      </c>
      <c r="E28" s="52">
        <v>4.9400000000000004</v>
      </c>
      <c r="F28" s="52">
        <v>17.329999999999998</v>
      </c>
      <c r="G28" s="52">
        <v>71.25</v>
      </c>
      <c r="H28" s="52">
        <v>18.010000000000002</v>
      </c>
      <c r="I28" s="52">
        <v>4.09</v>
      </c>
      <c r="J28" s="52">
        <v>1.79</v>
      </c>
      <c r="K28" s="52">
        <v>183.99</v>
      </c>
      <c r="L28" s="52">
        <v>31.08</v>
      </c>
      <c r="M28" s="52">
        <v>46.72</v>
      </c>
      <c r="N28" s="52">
        <v>35.299999999999997</v>
      </c>
      <c r="O28" s="52">
        <v>0</v>
      </c>
      <c r="P28" s="52">
        <v>0.94</v>
      </c>
      <c r="Q28" s="52">
        <v>8.6300000000000008</v>
      </c>
      <c r="R28" s="43"/>
      <c r="S28" s="43"/>
      <c r="T28" s="43"/>
      <c r="U28" s="43"/>
    </row>
    <row r="29" spans="1:21" s="11" customFormat="1" x14ac:dyDescent="0.25">
      <c r="A29" s="51" t="s">
        <v>464</v>
      </c>
      <c r="B29" s="52">
        <v>5.94</v>
      </c>
      <c r="C29" s="52">
        <v>58.51</v>
      </c>
      <c r="D29" s="52">
        <v>54.05</v>
      </c>
      <c r="E29" s="52">
        <v>4.3099999999999996</v>
      </c>
      <c r="F29" s="52">
        <v>16.37</v>
      </c>
      <c r="G29" s="52">
        <v>71.25</v>
      </c>
      <c r="H29" s="52">
        <v>18.010000000000002</v>
      </c>
      <c r="I29" s="52">
        <v>4.09</v>
      </c>
      <c r="J29" s="52">
        <v>2.2799999999999998</v>
      </c>
      <c r="K29" s="52">
        <v>185.12</v>
      </c>
      <c r="L29" s="52">
        <v>30.77</v>
      </c>
      <c r="M29" s="52">
        <v>48.67</v>
      </c>
      <c r="N29" s="52">
        <v>35.5</v>
      </c>
      <c r="O29" s="52">
        <v>0</v>
      </c>
      <c r="P29" s="52">
        <v>0.67</v>
      </c>
      <c r="Q29" s="52">
        <v>8.8000000000000007</v>
      </c>
      <c r="R29" s="43"/>
      <c r="S29" s="43"/>
      <c r="T29" s="43"/>
      <c r="U29" s="43"/>
    </row>
    <row r="30" spans="1:21" s="11" customFormat="1" x14ac:dyDescent="0.25">
      <c r="A30" s="51" t="s">
        <v>465</v>
      </c>
      <c r="B30" s="52">
        <v>8.5299999999999994</v>
      </c>
      <c r="C30" s="52">
        <v>75.7</v>
      </c>
      <c r="D30" s="52">
        <v>67.17</v>
      </c>
      <c r="E30" s="52">
        <v>3.76</v>
      </c>
      <c r="F30" s="52">
        <v>12.4</v>
      </c>
      <c r="G30" s="52">
        <v>66.12</v>
      </c>
      <c r="H30" s="52">
        <v>18.12</v>
      </c>
      <c r="I30" s="52">
        <v>4.03</v>
      </c>
      <c r="J30" s="52">
        <v>2.0699999999999998</v>
      </c>
      <c r="K30" s="52">
        <v>226.78</v>
      </c>
      <c r="L30" s="52">
        <v>29.37</v>
      </c>
      <c r="M30" s="52">
        <v>54.7</v>
      </c>
      <c r="N30" s="52">
        <v>35.200000000000003</v>
      </c>
      <c r="O30" s="52">
        <v>0</v>
      </c>
      <c r="P30" s="52">
        <v>0.62</v>
      </c>
      <c r="Q30" s="52">
        <v>8.7899999999999991</v>
      </c>
      <c r="R30" s="43"/>
      <c r="S30" s="43"/>
      <c r="T30" s="43"/>
      <c r="U30" s="43"/>
    </row>
    <row r="31" spans="1:21" s="11" customFormat="1" x14ac:dyDescent="0.25">
      <c r="A31" s="51" t="s">
        <v>466</v>
      </c>
      <c r="B31" s="52">
        <v>5.14</v>
      </c>
      <c r="C31" s="52">
        <v>56.04</v>
      </c>
      <c r="D31" s="52">
        <v>50.9</v>
      </c>
      <c r="E31" s="52">
        <v>3.32</v>
      </c>
      <c r="F31" s="52">
        <v>13.37</v>
      </c>
      <c r="G31" s="52">
        <v>65.040000000000006</v>
      </c>
      <c r="H31" s="52">
        <v>18.12</v>
      </c>
      <c r="I31" s="52">
        <v>4.1500000000000004</v>
      </c>
      <c r="J31" s="52">
        <v>1.74</v>
      </c>
      <c r="K31" s="52">
        <v>207.82</v>
      </c>
      <c r="L31" s="52">
        <v>28.49</v>
      </c>
      <c r="M31" s="52">
        <v>61.33</v>
      </c>
      <c r="N31" s="52">
        <v>35.299999999999997</v>
      </c>
      <c r="O31" s="52">
        <v>0</v>
      </c>
      <c r="P31" s="52">
        <v>0.56000000000000005</v>
      </c>
      <c r="Q31" s="52">
        <v>8.64</v>
      </c>
      <c r="R31" s="43"/>
      <c r="S31" s="43"/>
      <c r="T31" s="43"/>
      <c r="U31" s="43"/>
    </row>
    <row r="32" spans="1:21" s="11" customFormat="1" x14ac:dyDescent="0.25">
      <c r="A32" s="51" t="s">
        <v>467</v>
      </c>
      <c r="B32" s="52">
        <v>2.2599999999999998</v>
      </c>
      <c r="C32" s="52">
        <v>43.14</v>
      </c>
      <c r="D32" s="52">
        <v>41.11</v>
      </c>
      <c r="E32" s="52">
        <v>3.37</v>
      </c>
      <c r="F32" s="52">
        <v>16.66</v>
      </c>
      <c r="G32" s="52">
        <v>65.040000000000006</v>
      </c>
      <c r="H32" s="52">
        <v>16.149999999999999</v>
      </c>
      <c r="I32" s="52">
        <v>4.1399999999999997</v>
      </c>
      <c r="J32" s="52">
        <v>1.9</v>
      </c>
      <c r="K32" s="52">
        <v>204.8</v>
      </c>
      <c r="L32" s="52">
        <v>27.57</v>
      </c>
      <c r="M32" s="52">
        <v>61.95</v>
      </c>
      <c r="N32" s="52">
        <v>35.1</v>
      </c>
      <c r="O32" s="52">
        <v>0</v>
      </c>
      <c r="P32" s="52">
        <v>0.49</v>
      </c>
      <c r="Q32" s="52">
        <v>8.7799999999999994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0.52</v>
      </c>
      <c r="C34" s="28">
        <f t="shared" si="0"/>
        <v>36.9</v>
      </c>
      <c r="D34" s="28">
        <f t="shared" si="0"/>
        <v>34.43</v>
      </c>
      <c r="E34" s="28">
        <f t="shared" si="0"/>
        <v>3.13</v>
      </c>
      <c r="F34" s="28">
        <f t="shared" si="0"/>
        <v>9.61</v>
      </c>
      <c r="G34" s="28">
        <f t="shared" si="0"/>
        <v>28.55</v>
      </c>
      <c r="H34" s="28">
        <f t="shared" si="0"/>
        <v>10.27</v>
      </c>
      <c r="I34" s="28">
        <f t="shared" si="0"/>
        <v>3.97</v>
      </c>
      <c r="J34" s="28">
        <f t="shared" si="0"/>
        <v>1.25</v>
      </c>
      <c r="K34" s="28">
        <f t="shared" si="0"/>
        <v>167.21</v>
      </c>
      <c r="L34" s="28">
        <f t="shared" si="0"/>
        <v>24.82</v>
      </c>
      <c r="M34" s="28">
        <f t="shared" si="0"/>
        <v>34.71</v>
      </c>
      <c r="N34" s="28">
        <f t="shared" si="0"/>
        <v>35.1</v>
      </c>
      <c r="O34" s="28">
        <f t="shared" si="0"/>
        <v>0</v>
      </c>
      <c r="P34" s="28">
        <f t="shared" si="0"/>
        <v>0.43</v>
      </c>
      <c r="Q34" s="28">
        <f t="shared" si="0"/>
        <v>8.5299999999999994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19.04</v>
      </c>
      <c r="C35" s="29">
        <f t="shared" si="1"/>
        <v>125.72</v>
      </c>
      <c r="D35" s="29">
        <f t="shared" si="1"/>
        <v>109.14</v>
      </c>
      <c r="E35" s="29">
        <f t="shared" si="1"/>
        <v>8.76</v>
      </c>
      <c r="F35" s="29">
        <f t="shared" si="1"/>
        <v>19.79</v>
      </c>
      <c r="G35" s="29">
        <f t="shared" si="1"/>
        <v>71.25</v>
      </c>
      <c r="H35" s="29">
        <f t="shared" si="1"/>
        <v>20.41</v>
      </c>
      <c r="I35" s="29">
        <f t="shared" si="1"/>
        <v>4.32</v>
      </c>
      <c r="J35" s="29">
        <f t="shared" si="1"/>
        <v>2.2799999999999998</v>
      </c>
      <c r="K35" s="29">
        <f t="shared" si="1"/>
        <v>293.27</v>
      </c>
      <c r="L35" s="29">
        <f t="shared" si="1"/>
        <v>38.229999999999997</v>
      </c>
      <c r="M35" s="29">
        <f t="shared" si="1"/>
        <v>63.1</v>
      </c>
      <c r="N35" s="29">
        <f t="shared" si="1"/>
        <v>870.1</v>
      </c>
      <c r="O35" s="29">
        <f t="shared" si="1"/>
        <v>1</v>
      </c>
      <c r="P35" s="29">
        <f t="shared" si="1"/>
        <v>0.99</v>
      </c>
      <c r="Q35" s="29">
        <f t="shared" si="1"/>
        <v>9.25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4.7404166666666674</v>
      </c>
      <c r="C36" s="28">
        <f t="shared" si="2"/>
        <v>58.322083333333346</v>
      </c>
      <c r="D36" s="28">
        <f t="shared" si="2"/>
        <v>53.894166666666671</v>
      </c>
      <c r="E36" s="28">
        <f t="shared" si="2"/>
        <v>4.2833333333333341</v>
      </c>
      <c r="F36" s="28">
        <f t="shared" si="2"/>
        <v>14.26</v>
      </c>
      <c r="G36" s="28">
        <f t="shared" si="2"/>
        <v>45.730833333333344</v>
      </c>
      <c r="H36" s="28">
        <f t="shared" si="2"/>
        <v>14.719999999999999</v>
      </c>
      <c r="I36" s="28">
        <f t="shared" si="2"/>
        <v>4.1074999999999999</v>
      </c>
      <c r="J36" s="28">
        <f t="shared" si="2"/>
        <v>1.7620833333333332</v>
      </c>
      <c r="K36" s="28">
        <f t="shared" si="2"/>
        <v>238.95791666666662</v>
      </c>
      <c r="L36" s="28">
        <f t="shared" si="2"/>
        <v>30.812083333333337</v>
      </c>
      <c r="M36" s="28">
        <f t="shared" si="2"/>
        <v>50.034999999999997</v>
      </c>
      <c r="N36" s="28">
        <f t="shared" si="2"/>
        <v>274.75000000000006</v>
      </c>
      <c r="O36" s="28">
        <f t="shared" si="2"/>
        <v>4.1666666666666664E-2</v>
      </c>
      <c r="P36" s="28">
        <f t="shared" si="2"/>
        <v>0.57708333333333328</v>
      </c>
      <c r="Q36" s="28">
        <f t="shared" si="2"/>
        <v>8.7091666666666665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3.8949872792856586</v>
      </c>
      <c r="C37" s="28">
        <f t="shared" ref="C37:Q37" si="3">STDEV(C9:C32)</f>
        <v>19.256670889120048</v>
      </c>
      <c r="D37" s="28">
        <f t="shared" si="3"/>
        <v>16.380253466390208</v>
      </c>
      <c r="E37" s="28">
        <f t="shared" si="3"/>
        <v>1.2204940790931527</v>
      </c>
      <c r="F37" s="28">
        <f t="shared" si="3"/>
        <v>2.6140406836260497</v>
      </c>
      <c r="G37" s="28">
        <f t="shared" si="3"/>
        <v>15.327428076793403</v>
      </c>
      <c r="H37" s="28">
        <f t="shared" si="3"/>
        <v>2.6313957281756206</v>
      </c>
      <c r="I37" s="28">
        <f t="shared" si="3"/>
        <v>8.2633291532924119E-2</v>
      </c>
      <c r="J37" s="28">
        <f t="shared" si="3"/>
        <v>0.27820822928263733</v>
      </c>
      <c r="K37" s="28">
        <f t="shared" si="3"/>
        <v>36.757776577879362</v>
      </c>
      <c r="L37" s="28">
        <f t="shared" si="3"/>
        <v>4.3985699051106089</v>
      </c>
      <c r="M37" s="28">
        <f t="shared" si="3"/>
        <v>9.8005896007199187</v>
      </c>
      <c r="N37" s="28">
        <f t="shared" si="3"/>
        <v>319.80425534869039</v>
      </c>
      <c r="O37" s="28">
        <f t="shared" si="3"/>
        <v>0.20412414523193151</v>
      </c>
      <c r="P37" s="28">
        <f t="shared" si="3"/>
        <v>0.16459381272819992</v>
      </c>
      <c r="Q37" s="28">
        <f t="shared" si="3"/>
        <v>0.14761632602847469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18/04/2025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468</v>
      </c>
      <c r="B9" s="52">
        <v>0.92</v>
      </c>
      <c r="C9" s="52">
        <v>30.03</v>
      </c>
      <c r="D9" s="52">
        <v>29.1</v>
      </c>
      <c r="E9" s="52">
        <v>3.36</v>
      </c>
      <c r="F9" s="52">
        <v>18.05</v>
      </c>
      <c r="G9" s="52">
        <v>52.23</v>
      </c>
      <c r="H9" s="52">
        <v>14.75</v>
      </c>
      <c r="I9" s="52">
        <v>4.04</v>
      </c>
      <c r="J9" s="52">
        <v>1.34</v>
      </c>
      <c r="K9" s="52">
        <v>248.13</v>
      </c>
      <c r="L9" s="52">
        <v>27.3</v>
      </c>
      <c r="M9" s="52">
        <v>66.61</v>
      </c>
      <c r="N9" s="52">
        <v>35.299999999999997</v>
      </c>
      <c r="O9" s="52">
        <v>0</v>
      </c>
      <c r="P9" s="52">
        <v>0.35</v>
      </c>
      <c r="Q9" s="52">
        <v>8.6199999999999992</v>
      </c>
      <c r="R9" s="43"/>
      <c r="S9" s="43"/>
      <c r="T9" s="43"/>
      <c r="U9" s="43"/>
    </row>
    <row r="10" spans="1:21" s="11" customFormat="1" x14ac:dyDescent="0.25">
      <c r="A10" s="51" t="s">
        <v>469</v>
      </c>
      <c r="B10" s="52">
        <v>2.84</v>
      </c>
      <c r="C10" s="52">
        <v>32.96</v>
      </c>
      <c r="D10" s="52">
        <v>30.13</v>
      </c>
      <c r="E10" s="52">
        <v>3.34</v>
      </c>
      <c r="F10" s="52">
        <v>17.27</v>
      </c>
      <c r="G10" s="52">
        <v>40.46</v>
      </c>
      <c r="H10" s="52">
        <v>11.5</v>
      </c>
      <c r="I10" s="52">
        <v>4.12</v>
      </c>
      <c r="J10" s="52">
        <v>1.18</v>
      </c>
      <c r="K10" s="52">
        <v>290.55</v>
      </c>
      <c r="L10" s="52">
        <v>26.87</v>
      </c>
      <c r="M10" s="52">
        <v>67.540000000000006</v>
      </c>
      <c r="N10" s="52">
        <v>35.4</v>
      </c>
      <c r="O10" s="52">
        <v>0</v>
      </c>
      <c r="P10" s="52">
        <v>0.46</v>
      </c>
      <c r="Q10" s="52">
        <v>8.6300000000000008</v>
      </c>
      <c r="R10" s="43"/>
      <c r="S10" s="43"/>
      <c r="T10" s="43"/>
      <c r="U10" s="43"/>
    </row>
    <row r="11" spans="1:21" s="11" customFormat="1" x14ac:dyDescent="0.25">
      <c r="A11" s="51" t="s">
        <v>470</v>
      </c>
      <c r="B11" s="52">
        <v>5.88</v>
      </c>
      <c r="C11" s="52">
        <v>51.06</v>
      </c>
      <c r="D11" s="52">
        <v>45.19</v>
      </c>
      <c r="E11" s="52">
        <v>3.14</v>
      </c>
      <c r="F11" s="52">
        <v>15.06</v>
      </c>
      <c r="G11" s="52">
        <v>36.659999999999997</v>
      </c>
      <c r="H11" s="52">
        <v>11.5</v>
      </c>
      <c r="I11" s="52">
        <v>4.03</v>
      </c>
      <c r="J11" s="52">
        <v>0.98</v>
      </c>
      <c r="K11" s="52">
        <v>309.7</v>
      </c>
      <c r="L11" s="52">
        <v>26.38</v>
      </c>
      <c r="M11" s="52">
        <v>70.290000000000006</v>
      </c>
      <c r="N11" s="52">
        <v>35.4</v>
      </c>
      <c r="O11" s="52">
        <v>0</v>
      </c>
      <c r="P11" s="52">
        <v>0.47</v>
      </c>
      <c r="Q11" s="52">
        <v>8.7899999999999991</v>
      </c>
      <c r="R11" s="43"/>
      <c r="S11" s="43"/>
      <c r="T11" s="43"/>
      <c r="U11" s="43"/>
    </row>
    <row r="12" spans="1:21" s="11" customFormat="1" x14ac:dyDescent="0.25">
      <c r="A12" s="51" t="s">
        <v>471</v>
      </c>
      <c r="B12" s="52">
        <v>8.02</v>
      </c>
      <c r="C12" s="52">
        <v>47.07</v>
      </c>
      <c r="D12" s="52">
        <v>39.049999999999997</v>
      </c>
      <c r="E12" s="52">
        <v>2.97</v>
      </c>
      <c r="F12" s="52">
        <v>13.66</v>
      </c>
      <c r="G12" s="52">
        <v>33.07</v>
      </c>
      <c r="H12" s="52">
        <v>12.51</v>
      </c>
      <c r="I12" s="52">
        <v>3.97</v>
      </c>
      <c r="J12" s="52">
        <v>1.29</v>
      </c>
      <c r="K12" s="52">
        <v>345.73</v>
      </c>
      <c r="L12" s="52">
        <v>25.65</v>
      </c>
      <c r="M12" s="52">
        <v>70.52</v>
      </c>
      <c r="N12" s="52">
        <v>35.4</v>
      </c>
      <c r="O12" s="52">
        <v>0</v>
      </c>
      <c r="P12" s="52">
        <v>0.47</v>
      </c>
      <c r="Q12" s="52">
        <v>8.6999999999999993</v>
      </c>
      <c r="R12" s="43"/>
      <c r="S12" s="43"/>
      <c r="T12" s="43"/>
      <c r="U12" s="43"/>
    </row>
    <row r="13" spans="1:21" s="11" customFormat="1" x14ac:dyDescent="0.25">
      <c r="A13" s="51" t="s">
        <v>472</v>
      </c>
      <c r="B13" s="52">
        <v>8.91</v>
      </c>
      <c r="C13" s="52">
        <v>54.09</v>
      </c>
      <c r="D13" s="52">
        <v>45.18</v>
      </c>
      <c r="E13" s="52">
        <v>2.76</v>
      </c>
      <c r="F13" s="52">
        <v>14.03</v>
      </c>
      <c r="G13" s="52">
        <v>37.72</v>
      </c>
      <c r="H13" s="52">
        <v>12.51</v>
      </c>
      <c r="I13" s="52">
        <v>4.05</v>
      </c>
      <c r="J13" s="52">
        <v>1.25</v>
      </c>
      <c r="K13" s="52">
        <v>284.05</v>
      </c>
      <c r="L13" s="52">
        <v>25.96</v>
      </c>
      <c r="M13" s="52">
        <v>69.77</v>
      </c>
      <c r="N13" s="52">
        <v>35.1</v>
      </c>
      <c r="O13" s="52">
        <v>0</v>
      </c>
      <c r="P13" s="52">
        <v>0.51</v>
      </c>
      <c r="Q13" s="52">
        <v>8.64</v>
      </c>
      <c r="R13" s="43"/>
      <c r="S13" s="43"/>
      <c r="T13" s="43"/>
      <c r="U13" s="43"/>
    </row>
    <row r="14" spans="1:21" s="11" customFormat="1" x14ac:dyDescent="0.25">
      <c r="A14" s="51" t="s">
        <v>473</v>
      </c>
      <c r="B14" s="52">
        <v>5.68</v>
      </c>
      <c r="C14" s="52">
        <v>48.2</v>
      </c>
      <c r="D14" s="52">
        <v>44.42</v>
      </c>
      <c r="E14" s="52">
        <v>2.66</v>
      </c>
      <c r="F14" s="52">
        <v>14.4</v>
      </c>
      <c r="G14" s="52">
        <v>38.869999999999997</v>
      </c>
      <c r="H14" s="52">
        <v>9.2799999999999994</v>
      </c>
      <c r="I14" s="52">
        <v>3.99</v>
      </c>
      <c r="J14" s="52">
        <v>1.58</v>
      </c>
      <c r="K14" s="52">
        <v>240.7</v>
      </c>
      <c r="L14" s="52">
        <v>26.03</v>
      </c>
      <c r="M14" s="52">
        <v>70.36</v>
      </c>
      <c r="N14" s="52">
        <v>50.4</v>
      </c>
      <c r="O14" s="52">
        <v>0</v>
      </c>
      <c r="P14" s="52">
        <v>0.5</v>
      </c>
      <c r="Q14" s="52">
        <v>8.6</v>
      </c>
      <c r="R14" s="43"/>
      <c r="S14" s="43"/>
      <c r="T14" s="43"/>
      <c r="U14" s="43"/>
    </row>
    <row r="15" spans="1:21" s="11" customFormat="1" x14ac:dyDescent="0.25">
      <c r="A15" s="51" t="s">
        <v>474</v>
      </c>
      <c r="B15" s="52">
        <v>9.84</v>
      </c>
      <c r="C15" s="52">
        <v>52.74</v>
      </c>
      <c r="D15" s="52">
        <v>42.89</v>
      </c>
      <c r="E15" s="52">
        <v>2.73</v>
      </c>
      <c r="F15" s="52">
        <v>9.34</v>
      </c>
      <c r="G15" s="52">
        <v>42.52</v>
      </c>
      <c r="H15" s="52">
        <v>13.14</v>
      </c>
      <c r="I15" s="52">
        <v>4.1900000000000004</v>
      </c>
      <c r="J15" s="52">
        <v>1.51</v>
      </c>
      <c r="K15" s="52">
        <v>247.32</v>
      </c>
      <c r="L15" s="52">
        <v>26.59</v>
      </c>
      <c r="M15" s="52">
        <v>71.319999999999993</v>
      </c>
      <c r="N15" s="52">
        <v>147.80000000000001</v>
      </c>
      <c r="O15" s="52">
        <v>0</v>
      </c>
      <c r="P15" s="52">
        <v>0.6</v>
      </c>
      <c r="Q15" s="52">
        <v>8.92</v>
      </c>
      <c r="R15" s="43"/>
      <c r="S15" s="43"/>
      <c r="T15" s="43"/>
      <c r="U15" s="43"/>
    </row>
    <row r="16" spans="1:21" s="11" customFormat="1" x14ac:dyDescent="0.25">
      <c r="A16" s="51" t="s">
        <v>475</v>
      </c>
      <c r="B16" s="52">
        <v>8.06</v>
      </c>
      <c r="C16" s="52">
        <v>54.06</v>
      </c>
      <c r="D16" s="52">
        <v>46</v>
      </c>
      <c r="E16" s="52">
        <v>2.7</v>
      </c>
      <c r="F16" s="52">
        <v>10.95</v>
      </c>
      <c r="G16" s="52">
        <v>44.32</v>
      </c>
      <c r="H16" s="52">
        <v>13.68</v>
      </c>
      <c r="I16" s="52">
        <v>4.1900000000000004</v>
      </c>
      <c r="J16" s="52">
        <v>1.55</v>
      </c>
      <c r="K16" s="52">
        <v>259.5</v>
      </c>
      <c r="L16" s="52">
        <v>29.46</v>
      </c>
      <c r="M16" s="52">
        <v>67.78</v>
      </c>
      <c r="N16" s="52">
        <v>357.7</v>
      </c>
      <c r="O16" s="52">
        <v>0</v>
      </c>
      <c r="P16" s="52">
        <v>0.56000000000000005</v>
      </c>
      <c r="Q16" s="52">
        <v>8.68</v>
      </c>
      <c r="R16" s="43"/>
      <c r="S16" s="43"/>
      <c r="T16" s="43"/>
      <c r="U16" s="43"/>
    </row>
    <row r="17" spans="1:21" s="11" customFormat="1" x14ac:dyDescent="0.25">
      <c r="A17" s="51" t="s">
        <v>476</v>
      </c>
      <c r="B17" s="52">
        <v>6.02</v>
      </c>
      <c r="C17" s="52">
        <v>47.16</v>
      </c>
      <c r="D17" s="52">
        <v>41.21</v>
      </c>
      <c r="E17" s="52">
        <v>2.82</v>
      </c>
      <c r="F17" s="52">
        <v>10.39</v>
      </c>
      <c r="G17" s="52">
        <v>46.23</v>
      </c>
      <c r="H17" s="52">
        <v>13.68</v>
      </c>
      <c r="I17" s="52">
        <v>4.03</v>
      </c>
      <c r="J17" s="52">
        <v>1.58</v>
      </c>
      <c r="K17" s="52">
        <v>259.13</v>
      </c>
      <c r="L17" s="52">
        <v>32.19</v>
      </c>
      <c r="M17" s="52">
        <v>59.76</v>
      </c>
      <c r="N17" s="52">
        <v>587</v>
      </c>
      <c r="O17" s="52">
        <v>0</v>
      </c>
      <c r="P17" s="52">
        <v>0.54</v>
      </c>
      <c r="Q17" s="52">
        <v>8.82</v>
      </c>
      <c r="R17" s="43"/>
      <c r="S17" s="43"/>
      <c r="T17" s="43"/>
      <c r="U17" s="43"/>
    </row>
    <row r="18" spans="1:21" s="11" customFormat="1" x14ac:dyDescent="0.25">
      <c r="A18" s="51" t="s">
        <v>477</v>
      </c>
      <c r="B18" s="52">
        <v>1.74</v>
      </c>
      <c r="C18" s="52">
        <v>40.53</v>
      </c>
      <c r="D18" s="52">
        <v>38.96</v>
      </c>
      <c r="E18" s="52">
        <v>2.72</v>
      </c>
      <c r="F18" s="52">
        <v>13.88</v>
      </c>
      <c r="G18" s="52">
        <v>46.4</v>
      </c>
      <c r="H18" s="52">
        <v>14.34</v>
      </c>
      <c r="I18" s="52">
        <v>4</v>
      </c>
      <c r="J18" s="52">
        <v>1.77</v>
      </c>
      <c r="K18" s="52">
        <v>270.8</v>
      </c>
      <c r="L18" s="52">
        <v>34.380000000000003</v>
      </c>
      <c r="M18" s="52">
        <v>51.26</v>
      </c>
      <c r="N18" s="52">
        <v>770.4</v>
      </c>
      <c r="O18" s="52">
        <v>0</v>
      </c>
      <c r="P18" s="52">
        <v>0.51</v>
      </c>
      <c r="Q18" s="52">
        <v>8.5</v>
      </c>
      <c r="R18" s="43"/>
      <c r="S18" s="43"/>
      <c r="T18" s="43"/>
      <c r="U18" s="43"/>
    </row>
    <row r="19" spans="1:21" s="11" customFormat="1" x14ac:dyDescent="0.25">
      <c r="A19" s="51" t="s">
        <v>478</v>
      </c>
      <c r="B19" s="52">
        <v>1.78</v>
      </c>
      <c r="C19" s="52">
        <v>40.98</v>
      </c>
      <c r="D19" s="52">
        <v>39.479999999999997</v>
      </c>
      <c r="E19" s="52">
        <v>3.38</v>
      </c>
      <c r="F19" s="52">
        <v>12.7</v>
      </c>
      <c r="G19" s="52">
        <v>46.4</v>
      </c>
      <c r="H19" s="52">
        <v>16.18</v>
      </c>
      <c r="I19" s="52">
        <v>4.1500000000000004</v>
      </c>
      <c r="J19" s="52">
        <v>1.68</v>
      </c>
      <c r="K19" s="52">
        <v>260.32</v>
      </c>
      <c r="L19" s="52">
        <v>36.1</v>
      </c>
      <c r="M19" s="52">
        <v>45.46</v>
      </c>
      <c r="N19" s="52">
        <v>909.9</v>
      </c>
      <c r="O19" s="52">
        <v>0</v>
      </c>
      <c r="P19" s="52">
        <v>0.49</v>
      </c>
      <c r="Q19" s="52">
        <v>8.4499999999999993</v>
      </c>
      <c r="R19" s="43"/>
      <c r="S19" s="43"/>
      <c r="T19" s="43"/>
      <c r="U19" s="43"/>
    </row>
    <row r="20" spans="1:21" s="11" customFormat="1" x14ac:dyDescent="0.25">
      <c r="A20" s="51" t="s">
        <v>479</v>
      </c>
      <c r="B20" s="52">
        <v>0.62</v>
      </c>
      <c r="C20" s="52">
        <v>41.44</v>
      </c>
      <c r="D20" s="52">
        <v>40.82</v>
      </c>
      <c r="E20" s="52">
        <v>3.13</v>
      </c>
      <c r="F20" s="52">
        <v>14.07</v>
      </c>
      <c r="G20" s="52">
        <v>45.02</v>
      </c>
      <c r="H20" s="52">
        <v>16.510000000000002</v>
      </c>
      <c r="I20" s="52">
        <v>4.05</v>
      </c>
      <c r="J20" s="52">
        <v>1.59</v>
      </c>
      <c r="K20" s="52">
        <v>278.52</v>
      </c>
      <c r="L20" s="52">
        <v>38.340000000000003</v>
      </c>
      <c r="M20" s="52">
        <v>38.979999999999997</v>
      </c>
      <c r="N20" s="52">
        <v>959.6</v>
      </c>
      <c r="O20" s="52">
        <v>0</v>
      </c>
      <c r="P20" s="52">
        <v>0.5</v>
      </c>
      <c r="Q20" s="52">
        <v>8.64</v>
      </c>
      <c r="R20" s="43"/>
      <c r="S20" s="43"/>
      <c r="T20" s="43"/>
      <c r="U20" s="43"/>
    </row>
    <row r="21" spans="1:21" s="11" customFormat="1" x14ac:dyDescent="0.25">
      <c r="A21" s="51" t="s">
        <v>480</v>
      </c>
      <c r="B21" s="52">
        <v>0.27</v>
      </c>
      <c r="C21" s="52">
        <v>37.130000000000003</v>
      </c>
      <c r="D21" s="52">
        <v>36.869999999999997</v>
      </c>
      <c r="E21" s="52">
        <v>3.17</v>
      </c>
      <c r="F21" s="52">
        <v>15.03</v>
      </c>
      <c r="G21" s="52">
        <v>45.02</v>
      </c>
      <c r="H21" s="52">
        <v>16.510000000000002</v>
      </c>
      <c r="I21" s="52">
        <v>4.0199999999999996</v>
      </c>
      <c r="J21" s="52">
        <v>1.71</v>
      </c>
      <c r="K21" s="52">
        <v>276.39999999999998</v>
      </c>
      <c r="L21" s="52">
        <v>38.479999999999997</v>
      </c>
      <c r="M21" s="52">
        <v>31.27</v>
      </c>
      <c r="N21" s="52">
        <v>944.7</v>
      </c>
      <c r="O21" s="52">
        <v>0</v>
      </c>
      <c r="P21" s="52">
        <v>0.47</v>
      </c>
      <c r="Q21" s="52">
        <v>8.59</v>
      </c>
      <c r="R21" s="43"/>
      <c r="S21" s="43"/>
      <c r="T21" s="43"/>
      <c r="U21" s="43"/>
    </row>
    <row r="22" spans="1:21" s="11" customFormat="1" x14ac:dyDescent="0.25">
      <c r="A22" s="51" t="s">
        <v>481</v>
      </c>
      <c r="B22" s="52">
        <v>0.54</v>
      </c>
      <c r="C22" s="52">
        <v>38.93</v>
      </c>
      <c r="D22" s="52">
        <v>38.42</v>
      </c>
      <c r="E22" s="52">
        <v>3.4</v>
      </c>
      <c r="F22" s="52">
        <v>17.46</v>
      </c>
      <c r="G22" s="52">
        <v>46.55</v>
      </c>
      <c r="H22" s="52">
        <v>16.03</v>
      </c>
      <c r="I22" s="52">
        <v>4.1100000000000003</v>
      </c>
      <c r="J22" s="52">
        <v>1.81</v>
      </c>
      <c r="K22" s="52">
        <v>282.11</v>
      </c>
      <c r="L22" s="52">
        <v>39.43</v>
      </c>
      <c r="M22" s="52">
        <v>28.33</v>
      </c>
      <c r="N22" s="52">
        <v>876</v>
      </c>
      <c r="O22" s="52">
        <v>0</v>
      </c>
      <c r="P22" s="52">
        <v>0.39</v>
      </c>
      <c r="Q22" s="52">
        <v>8.66</v>
      </c>
      <c r="R22" s="43"/>
      <c r="S22" s="43"/>
      <c r="T22" s="43"/>
      <c r="U22" s="43"/>
    </row>
    <row r="23" spans="1:21" s="11" customFormat="1" x14ac:dyDescent="0.25">
      <c r="A23" s="51" t="s">
        <v>482</v>
      </c>
      <c r="B23" s="52">
        <v>2.54</v>
      </c>
      <c r="C23" s="52">
        <v>50.78</v>
      </c>
      <c r="D23" s="52">
        <v>48.24</v>
      </c>
      <c r="E23" s="52">
        <v>3.62</v>
      </c>
      <c r="F23" s="52">
        <v>21.47</v>
      </c>
      <c r="G23" s="52">
        <v>47.57</v>
      </c>
      <c r="H23" s="52">
        <v>16.34</v>
      </c>
      <c r="I23" s="52">
        <v>4.04</v>
      </c>
      <c r="J23" s="52">
        <v>2.12</v>
      </c>
      <c r="K23" s="52">
        <v>292.05</v>
      </c>
      <c r="L23" s="52">
        <v>38.21</v>
      </c>
      <c r="M23" s="52">
        <v>28.9</v>
      </c>
      <c r="N23" s="52">
        <v>243.9</v>
      </c>
      <c r="O23" s="52">
        <v>0</v>
      </c>
      <c r="P23" s="52">
        <v>0.45</v>
      </c>
      <c r="Q23" s="52">
        <v>8.5399999999999991</v>
      </c>
      <c r="R23" s="43"/>
      <c r="S23" s="43"/>
      <c r="T23" s="43"/>
      <c r="U23" s="43"/>
    </row>
    <row r="24" spans="1:21" s="11" customFormat="1" x14ac:dyDescent="0.25">
      <c r="A24" s="51" t="s">
        <v>483</v>
      </c>
      <c r="B24" s="52">
        <v>2.74</v>
      </c>
      <c r="C24" s="52">
        <v>46.71</v>
      </c>
      <c r="D24" s="52">
        <v>45.33</v>
      </c>
      <c r="E24" s="52">
        <v>2.88</v>
      </c>
      <c r="F24" s="52">
        <v>12.57</v>
      </c>
      <c r="G24" s="52">
        <v>51.54</v>
      </c>
      <c r="H24" s="52">
        <v>16.34</v>
      </c>
      <c r="I24" s="52">
        <v>4.05</v>
      </c>
      <c r="J24" s="52">
        <v>3.54</v>
      </c>
      <c r="K24" s="52">
        <v>297.3</v>
      </c>
      <c r="L24" s="52">
        <v>36.11</v>
      </c>
      <c r="M24" s="52">
        <v>43.8</v>
      </c>
      <c r="N24" s="52">
        <v>114.6</v>
      </c>
      <c r="O24" s="52">
        <v>0</v>
      </c>
      <c r="P24" s="52">
        <v>0.45</v>
      </c>
      <c r="Q24" s="52">
        <v>8.52</v>
      </c>
      <c r="R24" s="43"/>
      <c r="S24" s="43"/>
      <c r="T24" s="43"/>
      <c r="U24" s="43"/>
    </row>
    <row r="25" spans="1:21" s="11" customFormat="1" x14ac:dyDescent="0.25">
      <c r="A25" s="51" t="s">
        <v>484</v>
      </c>
      <c r="B25" s="52">
        <v>0.92</v>
      </c>
      <c r="C25" s="52">
        <v>51.86</v>
      </c>
      <c r="D25" s="52">
        <v>50.94</v>
      </c>
      <c r="E25" s="52">
        <v>3.24</v>
      </c>
      <c r="F25" s="52">
        <v>18.420000000000002</v>
      </c>
      <c r="G25" s="52">
        <v>70.069999999999993</v>
      </c>
      <c r="H25" s="52">
        <v>16.600000000000001</v>
      </c>
      <c r="I25" s="52">
        <v>4.2</v>
      </c>
      <c r="J25" s="52">
        <v>1.99</v>
      </c>
      <c r="K25" s="52">
        <v>265.33</v>
      </c>
      <c r="L25" s="52">
        <v>31.35</v>
      </c>
      <c r="M25" s="52">
        <v>39.67</v>
      </c>
      <c r="N25" s="52">
        <v>163.6</v>
      </c>
      <c r="O25" s="52">
        <v>0</v>
      </c>
      <c r="P25" s="52">
        <v>0.35</v>
      </c>
      <c r="Q25" s="52">
        <v>8.6</v>
      </c>
      <c r="R25" s="43"/>
      <c r="S25" s="43"/>
      <c r="T25" s="43"/>
      <c r="U25" s="43"/>
    </row>
    <row r="26" spans="1:21" s="11" customFormat="1" x14ac:dyDescent="0.25">
      <c r="A26" s="51" t="s">
        <v>485</v>
      </c>
      <c r="B26" s="52">
        <v>7.61</v>
      </c>
      <c r="C26" s="52">
        <v>76.95</v>
      </c>
      <c r="D26" s="52">
        <v>69.34</v>
      </c>
      <c r="E26" s="52">
        <v>4.08</v>
      </c>
      <c r="F26" s="52">
        <v>22.98</v>
      </c>
      <c r="G26" s="52">
        <v>70.069999999999993</v>
      </c>
      <c r="H26" s="52">
        <v>16.600000000000001</v>
      </c>
      <c r="I26" s="52">
        <v>4.0199999999999996</v>
      </c>
      <c r="J26" s="52">
        <v>2.95</v>
      </c>
      <c r="K26" s="52">
        <v>184.89</v>
      </c>
      <c r="L26" s="52">
        <v>31.99</v>
      </c>
      <c r="M26" s="52">
        <v>47.77</v>
      </c>
      <c r="N26" s="52">
        <v>88.3</v>
      </c>
      <c r="O26" s="52">
        <v>0</v>
      </c>
      <c r="P26" s="52">
        <v>0.52</v>
      </c>
      <c r="Q26" s="52">
        <v>8.4600000000000009</v>
      </c>
      <c r="R26" s="43"/>
      <c r="S26" s="43"/>
      <c r="T26" s="43"/>
      <c r="U26" s="43"/>
    </row>
    <row r="27" spans="1:21" s="11" customFormat="1" x14ac:dyDescent="0.25">
      <c r="A27" s="51" t="s">
        <v>486</v>
      </c>
      <c r="B27" s="52">
        <v>2.2400000000000002</v>
      </c>
      <c r="C27" s="52">
        <v>52.88</v>
      </c>
      <c r="D27" s="52">
        <v>50.64</v>
      </c>
      <c r="E27" s="52">
        <v>3.53</v>
      </c>
      <c r="F27" s="52">
        <v>16.63</v>
      </c>
      <c r="G27" s="52">
        <v>57.35</v>
      </c>
      <c r="H27" s="52">
        <v>15.64</v>
      </c>
      <c r="I27" s="52">
        <v>4.1399999999999997</v>
      </c>
      <c r="J27" s="52">
        <v>2.12</v>
      </c>
      <c r="K27" s="52">
        <v>213.21</v>
      </c>
      <c r="L27" s="52">
        <v>28.74</v>
      </c>
      <c r="M27" s="52">
        <v>47.92</v>
      </c>
      <c r="N27" s="52">
        <v>44.3</v>
      </c>
      <c r="O27" s="52">
        <v>0</v>
      </c>
      <c r="P27" s="52">
        <v>0.38</v>
      </c>
      <c r="Q27" s="52">
        <v>8.56</v>
      </c>
      <c r="R27" s="43"/>
      <c r="S27" s="43"/>
      <c r="T27" s="43"/>
      <c r="U27" s="43"/>
    </row>
    <row r="28" spans="1:21" s="11" customFormat="1" x14ac:dyDescent="0.25">
      <c r="A28" s="51" t="s">
        <v>487</v>
      </c>
      <c r="B28" s="52">
        <v>1.51</v>
      </c>
      <c r="C28" s="52">
        <v>49.34</v>
      </c>
      <c r="D28" s="52">
        <v>47.83</v>
      </c>
      <c r="E28" s="52">
        <v>3.13</v>
      </c>
      <c r="F28" s="52">
        <v>11.82</v>
      </c>
      <c r="G28" s="52">
        <v>53.88</v>
      </c>
      <c r="H28" s="52">
        <v>15.64</v>
      </c>
      <c r="I28" s="52">
        <v>4.24</v>
      </c>
      <c r="J28" s="52">
        <v>1.78</v>
      </c>
      <c r="K28" s="52">
        <v>224.36</v>
      </c>
      <c r="L28" s="52">
        <v>27.61</v>
      </c>
      <c r="M28" s="52">
        <v>56.61</v>
      </c>
      <c r="N28" s="52">
        <v>37.700000000000003</v>
      </c>
      <c r="O28" s="52">
        <v>0</v>
      </c>
      <c r="P28" s="52">
        <v>0.43</v>
      </c>
      <c r="Q28" s="52">
        <v>8.66</v>
      </c>
      <c r="R28" s="43"/>
      <c r="S28" s="43"/>
      <c r="T28" s="43"/>
      <c r="U28" s="43"/>
    </row>
    <row r="29" spans="1:21" s="11" customFormat="1" x14ac:dyDescent="0.25">
      <c r="A29" s="51" t="s">
        <v>488</v>
      </c>
      <c r="B29" s="52">
        <v>1.38</v>
      </c>
      <c r="C29" s="52">
        <v>47.14</v>
      </c>
      <c r="D29" s="52">
        <v>45.76</v>
      </c>
      <c r="E29" s="52">
        <v>3.16</v>
      </c>
      <c r="F29" s="52">
        <v>10.86</v>
      </c>
      <c r="G29" s="52">
        <v>49.52</v>
      </c>
      <c r="H29" s="52">
        <v>12.13</v>
      </c>
      <c r="I29" s="52">
        <v>4.08</v>
      </c>
      <c r="J29" s="52">
        <v>1.76</v>
      </c>
      <c r="K29" s="52">
        <v>215.54</v>
      </c>
      <c r="L29" s="52">
        <v>27.17</v>
      </c>
      <c r="M29" s="52">
        <v>58.54</v>
      </c>
      <c r="N29" s="52">
        <v>37.5</v>
      </c>
      <c r="O29" s="52">
        <v>0</v>
      </c>
      <c r="P29" s="52">
        <v>0.46</v>
      </c>
      <c r="Q29" s="52">
        <v>8.7899999999999991</v>
      </c>
      <c r="R29" s="43"/>
      <c r="S29" s="43"/>
      <c r="T29" s="43"/>
      <c r="U29" s="43"/>
    </row>
    <row r="30" spans="1:21" s="11" customFormat="1" x14ac:dyDescent="0.25">
      <c r="A30" s="51" t="s">
        <v>489</v>
      </c>
      <c r="B30" s="52">
        <v>2.37</v>
      </c>
      <c r="C30" s="52">
        <v>48.08</v>
      </c>
      <c r="D30" s="52">
        <v>45.71</v>
      </c>
      <c r="E30" s="52">
        <v>3.09</v>
      </c>
      <c r="F30" s="52">
        <v>12.26</v>
      </c>
      <c r="G30" s="52">
        <v>41.75</v>
      </c>
      <c r="H30" s="52">
        <v>11.18</v>
      </c>
      <c r="I30" s="52">
        <v>4.1100000000000003</v>
      </c>
      <c r="J30" s="52">
        <v>2.2200000000000002</v>
      </c>
      <c r="K30" s="52">
        <v>220.43</v>
      </c>
      <c r="L30" s="52">
        <v>26.7</v>
      </c>
      <c r="M30" s="52">
        <v>57.77</v>
      </c>
      <c r="N30" s="52">
        <v>37.299999999999997</v>
      </c>
      <c r="O30" s="52">
        <v>0</v>
      </c>
      <c r="P30" s="52">
        <v>0.48</v>
      </c>
      <c r="Q30" s="52">
        <v>8.7200000000000006</v>
      </c>
      <c r="R30" s="43"/>
      <c r="S30" s="43"/>
      <c r="T30" s="43"/>
      <c r="U30" s="43"/>
    </row>
    <row r="31" spans="1:21" s="11" customFormat="1" x14ac:dyDescent="0.25">
      <c r="A31" s="51" t="s">
        <v>490</v>
      </c>
      <c r="B31" s="52">
        <v>2.5499999999999998</v>
      </c>
      <c r="C31" s="52">
        <v>45.65</v>
      </c>
      <c r="D31" s="52">
        <v>43.45</v>
      </c>
      <c r="E31" s="52">
        <v>3.18</v>
      </c>
      <c r="F31" s="52">
        <v>11.4</v>
      </c>
      <c r="G31" s="52">
        <v>32.94</v>
      </c>
      <c r="H31" s="52">
        <v>10.84</v>
      </c>
      <c r="I31" s="52">
        <v>4.0999999999999996</v>
      </c>
      <c r="J31" s="52">
        <v>2.0099999999999998</v>
      </c>
      <c r="K31" s="52">
        <v>207.08</v>
      </c>
      <c r="L31" s="52">
        <v>26.45</v>
      </c>
      <c r="M31" s="52">
        <v>59.07</v>
      </c>
      <c r="N31" s="52">
        <v>37.5</v>
      </c>
      <c r="O31" s="52">
        <v>0</v>
      </c>
      <c r="P31" s="52">
        <v>0.42</v>
      </c>
      <c r="Q31" s="52">
        <v>8.59</v>
      </c>
      <c r="R31" s="43"/>
      <c r="S31" s="43"/>
      <c r="T31" s="43"/>
      <c r="U31" s="43"/>
    </row>
    <row r="32" spans="1:21" s="11" customFormat="1" x14ac:dyDescent="0.25">
      <c r="A32" s="51" t="s">
        <v>491</v>
      </c>
      <c r="B32" s="52">
        <v>2.72</v>
      </c>
      <c r="C32" s="52">
        <v>40.729999999999997</v>
      </c>
      <c r="D32" s="52">
        <v>38.01</v>
      </c>
      <c r="E32" s="52">
        <v>2.79</v>
      </c>
      <c r="F32" s="52">
        <v>12.44</v>
      </c>
      <c r="G32" s="52">
        <v>32.5</v>
      </c>
      <c r="H32" s="52">
        <v>12.36</v>
      </c>
      <c r="I32" s="52">
        <v>4.04</v>
      </c>
      <c r="J32" s="52">
        <v>2.2799999999999998</v>
      </c>
      <c r="K32" s="52">
        <v>202.59</v>
      </c>
      <c r="L32" s="52">
        <v>26.13</v>
      </c>
      <c r="M32" s="52">
        <v>64.67</v>
      </c>
      <c r="N32" s="52">
        <v>37.6</v>
      </c>
      <c r="O32" s="52">
        <v>0</v>
      </c>
      <c r="P32" s="52">
        <v>0.41</v>
      </c>
      <c r="Q32" s="52">
        <v>8.48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0.27</v>
      </c>
      <c r="C34" s="28">
        <f t="shared" si="0"/>
        <v>30.03</v>
      </c>
      <c r="D34" s="28">
        <f t="shared" si="0"/>
        <v>29.1</v>
      </c>
      <c r="E34" s="28">
        <f t="shared" si="0"/>
        <v>2.66</v>
      </c>
      <c r="F34" s="28">
        <f t="shared" si="0"/>
        <v>9.34</v>
      </c>
      <c r="G34" s="28">
        <f t="shared" si="0"/>
        <v>32.5</v>
      </c>
      <c r="H34" s="28">
        <f t="shared" si="0"/>
        <v>9.2799999999999994</v>
      </c>
      <c r="I34" s="28">
        <f t="shared" si="0"/>
        <v>3.97</v>
      </c>
      <c r="J34" s="28">
        <f t="shared" si="0"/>
        <v>0.98</v>
      </c>
      <c r="K34" s="28">
        <f t="shared" si="0"/>
        <v>184.89</v>
      </c>
      <c r="L34" s="28">
        <f t="shared" si="0"/>
        <v>25.65</v>
      </c>
      <c r="M34" s="28">
        <f t="shared" si="0"/>
        <v>28.33</v>
      </c>
      <c r="N34" s="28">
        <f t="shared" si="0"/>
        <v>35.1</v>
      </c>
      <c r="O34" s="28">
        <f t="shared" si="0"/>
        <v>0</v>
      </c>
      <c r="P34" s="28">
        <f t="shared" si="0"/>
        <v>0.35</v>
      </c>
      <c r="Q34" s="28">
        <f t="shared" si="0"/>
        <v>8.4499999999999993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9.84</v>
      </c>
      <c r="C35" s="29">
        <f t="shared" si="1"/>
        <v>76.95</v>
      </c>
      <c r="D35" s="29">
        <f t="shared" si="1"/>
        <v>69.34</v>
      </c>
      <c r="E35" s="29">
        <f t="shared" si="1"/>
        <v>4.08</v>
      </c>
      <c r="F35" s="29">
        <f t="shared" si="1"/>
        <v>22.98</v>
      </c>
      <c r="G35" s="29">
        <f t="shared" si="1"/>
        <v>70.069999999999993</v>
      </c>
      <c r="H35" s="29">
        <f t="shared" si="1"/>
        <v>16.600000000000001</v>
      </c>
      <c r="I35" s="29">
        <f t="shared" si="1"/>
        <v>4.24</v>
      </c>
      <c r="J35" s="29">
        <f t="shared" si="1"/>
        <v>3.54</v>
      </c>
      <c r="K35" s="29">
        <f t="shared" si="1"/>
        <v>345.73</v>
      </c>
      <c r="L35" s="29">
        <f t="shared" si="1"/>
        <v>39.43</v>
      </c>
      <c r="M35" s="29">
        <f t="shared" si="1"/>
        <v>71.319999999999993</v>
      </c>
      <c r="N35" s="29">
        <f t="shared" si="1"/>
        <v>959.6</v>
      </c>
      <c r="O35" s="29">
        <f t="shared" si="1"/>
        <v>0</v>
      </c>
      <c r="P35" s="29">
        <f t="shared" si="1"/>
        <v>0.6</v>
      </c>
      <c r="Q35" s="29">
        <f t="shared" si="1"/>
        <v>8.92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3.6541666666666668</v>
      </c>
      <c r="C36" s="28">
        <f t="shared" si="2"/>
        <v>46.9375</v>
      </c>
      <c r="D36" s="28">
        <f t="shared" si="2"/>
        <v>43.457083333333344</v>
      </c>
      <c r="E36" s="28">
        <f t="shared" si="2"/>
        <v>3.1241666666666674</v>
      </c>
      <c r="F36" s="28">
        <f t="shared" si="2"/>
        <v>14.464166666666666</v>
      </c>
      <c r="G36" s="28">
        <f t="shared" si="2"/>
        <v>46.194166666666661</v>
      </c>
      <c r="H36" s="28">
        <f t="shared" si="2"/>
        <v>13.991249999999999</v>
      </c>
      <c r="I36" s="28">
        <f t="shared" si="2"/>
        <v>4.0816666666666661</v>
      </c>
      <c r="J36" s="28">
        <f t="shared" si="2"/>
        <v>1.8162499999999999</v>
      </c>
      <c r="K36" s="28">
        <f t="shared" si="2"/>
        <v>257.32250000000005</v>
      </c>
      <c r="L36" s="28">
        <f t="shared" si="2"/>
        <v>30.567500000000006</v>
      </c>
      <c r="M36" s="28">
        <f t="shared" si="2"/>
        <v>54.748749999999994</v>
      </c>
      <c r="N36" s="28">
        <f t="shared" si="2"/>
        <v>275.93333333333339</v>
      </c>
      <c r="O36" s="28">
        <f t="shared" si="2"/>
        <v>0</v>
      </c>
      <c r="P36" s="28">
        <f t="shared" si="2"/>
        <v>0.46541666666666676</v>
      </c>
      <c r="Q36" s="28">
        <f t="shared" si="2"/>
        <v>8.6316666666666659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2.9883759100404603</v>
      </c>
      <c r="C37" s="28">
        <f t="shared" ref="C37:Q37" si="3">STDEV(C9:C32)</f>
        <v>9.1484017373433257</v>
      </c>
      <c r="D37" s="28">
        <f t="shared" si="3"/>
        <v>7.7927572165588828</v>
      </c>
      <c r="E37" s="28">
        <f t="shared" si="3"/>
        <v>0.34411722808755524</v>
      </c>
      <c r="F37" s="28">
        <f t="shared" si="3"/>
        <v>3.4508309228316367</v>
      </c>
      <c r="G37" s="28">
        <f t="shared" si="3"/>
        <v>9.837846581560358</v>
      </c>
      <c r="H37" s="28">
        <f t="shared" si="3"/>
        <v>2.2485518286415083</v>
      </c>
      <c r="I37" s="28">
        <f t="shared" si="3"/>
        <v>7.3049516658619904E-2</v>
      </c>
      <c r="J37" s="28">
        <f t="shared" si="3"/>
        <v>0.55870823450558516</v>
      </c>
      <c r="K37" s="28">
        <f t="shared" si="3"/>
        <v>38.583016679452456</v>
      </c>
      <c r="L37" s="28">
        <f t="shared" si="3"/>
        <v>4.8511085689588427</v>
      </c>
      <c r="M37" s="28">
        <f t="shared" si="3"/>
        <v>14.118387736657812</v>
      </c>
      <c r="N37" s="28">
        <f t="shared" si="3"/>
        <v>348.54255141220204</v>
      </c>
      <c r="O37" s="28">
        <f t="shared" si="3"/>
        <v>0</v>
      </c>
      <c r="P37" s="28">
        <f t="shared" si="3"/>
        <v>6.2344008231094455E-2</v>
      </c>
      <c r="Q37" s="28">
        <f t="shared" si="3"/>
        <v>0.11790440736190612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19/04/2025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492</v>
      </c>
      <c r="B9" s="52">
        <v>2.72</v>
      </c>
      <c r="C9" s="52">
        <v>40.61</v>
      </c>
      <c r="D9" s="52">
        <v>38.14</v>
      </c>
      <c r="E9" s="52">
        <v>2.4500000000000002</v>
      </c>
      <c r="F9" s="52">
        <v>9.48</v>
      </c>
      <c r="G9" s="52">
        <v>28.61</v>
      </c>
      <c r="H9" s="52">
        <v>12.36</v>
      </c>
      <c r="I9" s="52">
        <v>4.05</v>
      </c>
      <c r="J9" s="52">
        <v>2.2999999999999998</v>
      </c>
      <c r="K9" s="52">
        <v>163.06</v>
      </c>
      <c r="L9" s="52">
        <v>25.94</v>
      </c>
      <c r="M9" s="52">
        <v>66.41</v>
      </c>
      <c r="N9" s="52">
        <v>37.4</v>
      </c>
      <c r="O9" s="52">
        <v>0</v>
      </c>
      <c r="P9" s="52">
        <v>0.41</v>
      </c>
      <c r="Q9" s="52">
        <v>8.69</v>
      </c>
      <c r="R9" s="43"/>
      <c r="S9" s="43"/>
      <c r="T9" s="43"/>
      <c r="U9" s="43"/>
    </row>
    <row r="10" spans="1:21" s="11" customFormat="1" x14ac:dyDescent="0.25">
      <c r="A10" s="51" t="s">
        <v>493</v>
      </c>
      <c r="B10" s="52">
        <v>2.38</v>
      </c>
      <c r="C10" s="52">
        <v>39.64</v>
      </c>
      <c r="D10" s="52">
        <v>37.26</v>
      </c>
      <c r="E10" s="52">
        <v>2.36</v>
      </c>
      <c r="F10" s="52">
        <v>13.49</v>
      </c>
      <c r="G10" s="52">
        <v>26.08</v>
      </c>
      <c r="H10" s="52">
        <v>9.74</v>
      </c>
      <c r="I10" s="52">
        <v>4.09</v>
      </c>
      <c r="J10" s="52">
        <v>2.0499999999999998</v>
      </c>
      <c r="K10" s="52">
        <v>229.93</v>
      </c>
      <c r="L10" s="52">
        <v>25.99</v>
      </c>
      <c r="M10" s="52">
        <v>67.5</v>
      </c>
      <c r="N10" s="52">
        <v>37.700000000000003</v>
      </c>
      <c r="O10" s="52">
        <v>0</v>
      </c>
      <c r="P10" s="52">
        <v>0.38</v>
      </c>
      <c r="Q10" s="52">
        <v>8.82</v>
      </c>
      <c r="R10" s="43"/>
      <c r="S10" s="43"/>
      <c r="T10" s="43"/>
      <c r="U10" s="43"/>
    </row>
    <row r="11" spans="1:21" s="11" customFormat="1" x14ac:dyDescent="0.25">
      <c r="A11" s="51" t="s">
        <v>494</v>
      </c>
      <c r="B11" s="52">
        <v>2.6</v>
      </c>
      <c r="C11" s="52">
        <v>38.909999999999997</v>
      </c>
      <c r="D11" s="52">
        <v>36.950000000000003</v>
      </c>
      <c r="E11" s="52">
        <v>2.29</v>
      </c>
      <c r="F11" s="52">
        <v>14.7</v>
      </c>
      <c r="G11" s="52">
        <v>26.08</v>
      </c>
      <c r="H11" s="52">
        <v>10.52</v>
      </c>
      <c r="I11" s="52">
        <v>4.16</v>
      </c>
      <c r="J11" s="52">
        <v>1.57</v>
      </c>
      <c r="K11" s="52">
        <v>291.42</v>
      </c>
      <c r="L11" s="52">
        <v>25.9</v>
      </c>
      <c r="M11" s="52">
        <v>71.959999999999994</v>
      </c>
      <c r="N11" s="52">
        <v>38.1</v>
      </c>
      <c r="O11" s="52">
        <v>0</v>
      </c>
      <c r="P11" s="52">
        <v>0.37</v>
      </c>
      <c r="Q11" s="52">
        <v>8.6999999999999993</v>
      </c>
      <c r="R11" s="43"/>
      <c r="S11" s="43"/>
      <c r="T11" s="43"/>
      <c r="U11" s="43"/>
    </row>
    <row r="12" spans="1:21" s="11" customFormat="1" x14ac:dyDescent="0.25">
      <c r="A12" s="51" t="s">
        <v>495</v>
      </c>
      <c r="B12" s="52">
        <v>3.67</v>
      </c>
      <c r="C12" s="52">
        <v>44.85</v>
      </c>
      <c r="D12" s="52">
        <v>41.49</v>
      </c>
      <c r="E12" s="52">
        <v>2.44</v>
      </c>
      <c r="F12" s="52">
        <v>13.58</v>
      </c>
      <c r="G12" s="52">
        <v>24.55</v>
      </c>
      <c r="H12" s="52">
        <v>11.3</v>
      </c>
      <c r="I12" s="52">
        <v>4.05</v>
      </c>
      <c r="J12" s="52">
        <v>0.8</v>
      </c>
      <c r="K12" s="52">
        <v>167.07</v>
      </c>
      <c r="L12" s="52">
        <v>25.77</v>
      </c>
      <c r="M12" s="52">
        <v>75.33</v>
      </c>
      <c r="N12" s="52">
        <v>37.799999999999997</v>
      </c>
      <c r="O12" s="52">
        <v>0</v>
      </c>
      <c r="P12" s="52">
        <v>0.34</v>
      </c>
      <c r="Q12" s="52">
        <v>8.66</v>
      </c>
      <c r="R12" s="43"/>
      <c r="S12" s="43"/>
      <c r="T12" s="43"/>
      <c r="U12" s="43"/>
    </row>
    <row r="13" spans="1:21" s="11" customFormat="1" x14ac:dyDescent="0.25">
      <c r="A13" s="51" t="s">
        <v>496</v>
      </c>
      <c r="B13" s="52">
        <v>4.55</v>
      </c>
      <c r="C13" s="52">
        <v>44.6</v>
      </c>
      <c r="D13" s="52">
        <v>40.159999999999997</v>
      </c>
      <c r="E13" s="52">
        <v>2.4300000000000002</v>
      </c>
      <c r="F13" s="52">
        <v>10.4</v>
      </c>
      <c r="G13" s="52">
        <v>30.96</v>
      </c>
      <c r="H13" s="52">
        <v>11.3</v>
      </c>
      <c r="I13" s="52">
        <v>4.16</v>
      </c>
      <c r="J13" s="52">
        <v>2.37</v>
      </c>
      <c r="K13" s="52">
        <v>119.85</v>
      </c>
      <c r="L13" s="52">
        <v>25.96</v>
      </c>
      <c r="M13" s="52">
        <v>71.739999999999995</v>
      </c>
      <c r="N13" s="52">
        <v>38</v>
      </c>
      <c r="O13" s="52">
        <v>0</v>
      </c>
      <c r="P13" s="52">
        <v>0.39</v>
      </c>
      <c r="Q13" s="52">
        <v>8.89</v>
      </c>
      <c r="R13" s="43"/>
      <c r="S13" s="43"/>
      <c r="T13" s="43"/>
      <c r="U13" s="43"/>
    </row>
    <row r="14" spans="1:21" s="11" customFormat="1" x14ac:dyDescent="0.25">
      <c r="A14" s="51" t="s">
        <v>497</v>
      </c>
      <c r="B14" s="52">
        <v>11.09</v>
      </c>
      <c r="C14" s="52">
        <v>58.47</v>
      </c>
      <c r="D14" s="52">
        <v>47.38</v>
      </c>
      <c r="E14" s="52">
        <v>2.29</v>
      </c>
      <c r="F14" s="52">
        <v>9.82</v>
      </c>
      <c r="G14" s="52">
        <v>30.96</v>
      </c>
      <c r="H14" s="52">
        <v>11.17</v>
      </c>
      <c r="I14" s="52">
        <v>4.2</v>
      </c>
      <c r="J14" s="52">
        <v>1.73</v>
      </c>
      <c r="K14" s="52">
        <v>185.91</v>
      </c>
      <c r="L14" s="52">
        <v>25.71</v>
      </c>
      <c r="M14" s="52">
        <v>72.22</v>
      </c>
      <c r="N14" s="52">
        <v>51.6</v>
      </c>
      <c r="O14" s="52">
        <v>0</v>
      </c>
      <c r="P14" s="52">
        <v>0.4</v>
      </c>
      <c r="Q14" s="52">
        <v>9.07</v>
      </c>
      <c r="R14" s="43"/>
      <c r="S14" s="43"/>
      <c r="T14" s="43"/>
      <c r="U14" s="43"/>
    </row>
    <row r="15" spans="1:21" s="11" customFormat="1" x14ac:dyDescent="0.25">
      <c r="A15" s="51" t="s">
        <v>498</v>
      </c>
      <c r="B15" s="52">
        <v>7.53</v>
      </c>
      <c r="C15" s="52">
        <v>49.58</v>
      </c>
      <c r="D15" s="52">
        <v>42.09</v>
      </c>
      <c r="E15" s="52">
        <v>1.99</v>
      </c>
      <c r="F15" s="52">
        <v>10.18</v>
      </c>
      <c r="G15" s="52">
        <v>29.61</v>
      </c>
      <c r="H15" s="52">
        <v>11.17</v>
      </c>
      <c r="I15" s="52">
        <v>4.09</v>
      </c>
      <c r="J15" s="52">
        <v>1.23</v>
      </c>
      <c r="K15" s="52">
        <v>203.95</v>
      </c>
      <c r="L15" s="52">
        <v>26.57</v>
      </c>
      <c r="M15" s="52">
        <v>71.099999999999994</v>
      </c>
      <c r="N15" s="52">
        <v>164.5</v>
      </c>
      <c r="O15" s="52">
        <v>0</v>
      </c>
      <c r="P15" s="52">
        <v>0.4</v>
      </c>
      <c r="Q15" s="52">
        <v>9.25</v>
      </c>
      <c r="R15" s="43"/>
      <c r="S15" s="43"/>
      <c r="T15" s="43"/>
      <c r="U15" s="43"/>
    </row>
    <row r="16" spans="1:21" s="11" customFormat="1" x14ac:dyDescent="0.25">
      <c r="A16" s="51" t="s">
        <v>499</v>
      </c>
      <c r="B16" s="52">
        <v>8.67</v>
      </c>
      <c r="C16" s="52">
        <v>51.42</v>
      </c>
      <c r="D16" s="52">
        <v>42.76</v>
      </c>
      <c r="E16" s="52">
        <v>2.95</v>
      </c>
      <c r="F16" s="52">
        <v>13.29</v>
      </c>
      <c r="G16" s="52">
        <v>29.61</v>
      </c>
      <c r="H16" s="52">
        <v>13.2</v>
      </c>
      <c r="I16" s="52">
        <v>4.2</v>
      </c>
      <c r="J16" s="52">
        <v>2.44</v>
      </c>
      <c r="K16" s="52">
        <v>166.11</v>
      </c>
      <c r="L16" s="52">
        <v>29.01</v>
      </c>
      <c r="M16" s="52">
        <v>66.83</v>
      </c>
      <c r="N16" s="52">
        <v>370.4</v>
      </c>
      <c r="O16" s="52">
        <v>0</v>
      </c>
      <c r="P16" s="52">
        <v>0.42</v>
      </c>
      <c r="Q16" s="52">
        <v>8.77</v>
      </c>
      <c r="R16" s="43"/>
      <c r="S16" s="43"/>
      <c r="T16" s="43"/>
      <c r="U16" s="43"/>
    </row>
    <row r="17" spans="1:21" s="11" customFormat="1" x14ac:dyDescent="0.25">
      <c r="A17" s="51" t="s">
        <v>500</v>
      </c>
      <c r="B17" s="52">
        <v>7.35</v>
      </c>
      <c r="C17" s="52">
        <v>46.71</v>
      </c>
      <c r="D17" s="52">
        <v>40.86</v>
      </c>
      <c r="E17" s="52">
        <v>2.93</v>
      </c>
      <c r="F17" s="52">
        <v>8.74</v>
      </c>
      <c r="G17" s="52">
        <v>29.23</v>
      </c>
      <c r="H17" s="52">
        <v>13.2</v>
      </c>
      <c r="I17" s="52">
        <v>4.09</v>
      </c>
      <c r="J17" s="52">
        <v>2.52</v>
      </c>
      <c r="K17" s="52">
        <v>190.39</v>
      </c>
      <c r="L17" s="52">
        <v>30.6</v>
      </c>
      <c r="M17" s="52">
        <v>63.22</v>
      </c>
      <c r="N17" s="52">
        <v>575.70000000000005</v>
      </c>
      <c r="O17" s="52">
        <v>0</v>
      </c>
      <c r="P17" s="52">
        <v>0.41</v>
      </c>
      <c r="Q17" s="52">
        <v>8.48</v>
      </c>
      <c r="R17" s="43"/>
      <c r="S17" s="43"/>
      <c r="T17" s="43"/>
      <c r="U17" s="43"/>
    </row>
    <row r="18" spans="1:21" s="11" customFormat="1" x14ac:dyDescent="0.25">
      <c r="A18" s="51" t="s">
        <v>501</v>
      </c>
      <c r="B18" s="52">
        <v>2.93</v>
      </c>
      <c r="C18" s="52">
        <v>42.75</v>
      </c>
      <c r="D18" s="52">
        <v>39.83</v>
      </c>
      <c r="E18" s="52">
        <v>2.97</v>
      </c>
      <c r="F18" s="52">
        <v>11.75</v>
      </c>
      <c r="G18" s="52">
        <v>31.33</v>
      </c>
      <c r="H18" s="52">
        <v>12.89</v>
      </c>
      <c r="I18" s="52">
        <v>4.0999999999999996</v>
      </c>
      <c r="J18" s="52">
        <v>2.4500000000000002</v>
      </c>
      <c r="K18" s="52">
        <v>197.54</v>
      </c>
      <c r="L18" s="52">
        <v>31.66</v>
      </c>
      <c r="M18" s="52">
        <v>59.33</v>
      </c>
      <c r="N18" s="52">
        <v>732.8</v>
      </c>
      <c r="O18" s="52">
        <v>0</v>
      </c>
      <c r="P18" s="52">
        <v>0.4</v>
      </c>
      <c r="Q18" s="52">
        <v>9.2899999999999991</v>
      </c>
      <c r="R18" s="43"/>
      <c r="S18" s="43"/>
      <c r="T18" s="43"/>
      <c r="U18" s="43"/>
    </row>
    <row r="19" spans="1:21" s="11" customFormat="1" x14ac:dyDescent="0.25">
      <c r="A19" s="51" t="s">
        <v>502</v>
      </c>
      <c r="B19" s="52">
        <v>0.53</v>
      </c>
      <c r="C19" s="52">
        <v>40.39</v>
      </c>
      <c r="D19" s="52">
        <v>39.86</v>
      </c>
      <c r="E19" s="52">
        <v>2.82</v>
      </c>
      <c r="F19" s="52">
        <v>11.2</v>
      </c>
      <c r="G19" s="52">
        <v>34.33</v>
      </c>
      <c r="H19" s="52">
        <v>16.86</v>
      </c>
      <c r="I19" s="52">
        <v>4.12</v>
      </c>
      <c r="J19" s="52">
        <v>1.59</v>
      </c>
      <c r="K19" s="52">
        <v>247.7</v>
      </c>
      <c r="L19" s="52">
        <v>34.840000000000003</v>
      </c>
      <c r="M19" s="52">
        <v>53.29</v>
      </c>
      <c r="N19" s="52">
        <v>858</v>
      </c>
      <c r="O19" s="52">
        <v>0</v>
      </c>
      <c r="P19" s="52">
        <v>0.42</v>
      </c>
      <c r="Q19" s="52">
        <v>8.9499999999999993</v>
      </c>
      <c r="R19" s="43"/>
      <c r="S19" s="43"/>
      <c r="T19" s="43"/>
      <c r="U19" s="43"/>
    </row>
    <row r="20" spans="1:21" s="11" customFormat="1" x14ac:dyDescent="0.25">
      <c r="A20" s="51" t="s">
        <v>503</v>
      </c>
      <c r="B20" s="52">
        <v>0.56999999999999995</v>
      </c>
      <c r="C20" s="52">
        <v>38.479999999999997</v>
      </c>
      <c r="D20" s="52">
        <v>38.06</v>
      </c>
      <c r="E20" s="52">
        <v>3.36</v>
      </c>
      <c r="F20" s="52">
        <v>15</v>
      </c>
      <c r="G20" s="52">
        <v>36.479999999999997</v>
      </c>
      <c r="H20" s="52">
        <v>18.28</v>
      </c>
      <c r="I20" s="52">
        <v>4.2</v>
      </c>
      <c r="J20" s="52">
        <v>1.86</v>
      </c>
      <c r="K20" s="52">
        <v>261.16000000000003</v>
      </c>
      <c r="L20" s="52">
        <v>36.53</v>
      </c>
      <c r="M20" s="52">
        <v>43.21</v>
      </c>
      <c r="N20" s="52">
        <v>898.5</v>
      </c>
      <c r="O20" s="52">
        <v>0</v>
      </c>
      <c r="P20" s="52">
        <v>0.41</v>
      </c>
      <c r="Q20" s="52">
        <v>9.5500000000000007</v>
      </c>
      <c r="R20" s="43"/>
      <c r="S20" s="43"/>
      <c r="T20" s="43"/>
      <c r="U20" s="43"/>
    </row>
    <row r="21" spans="1:21" s="11" customFormat="1" x14ac:dyDescent="0.25">
      <c r="A21" s="51" t="s">
        <v>504</v>
      </c>
      <c r="B21" s="52">
        <v>0.27</v>
      </c>
      <c r="C21" s="52">
        <v>31.77</v>
      </c>
      <c r="D21" s="52">
        <v>31.67</v>
      </c>
      <c r="E21" s="52">
        <v>3.27</v>
      </c>
      <c r="F21" s="52">
        <v>14.49</v>
      </c>
      <c r="G21" s="52">
        <v>39.619999999999997</v>
      </c>
      <c r="H21" s="52">
        <v>18.28</v>
      </c>
      <c r="I21" s="52">
        <v>4.18</v>
      </c>
      <c r="J21" s="52">
        <v>1.57</v>
      </c>
      <c r="K21" s="52">
        <v>254.1</v>
      </c>
      <c r="L21" s="52">
        <v>37.22</v>
      </c>
      <c r="M21" s="52">
        <v>37.75</v>
      </c>
      <c r="N21" s="52">
        <v>906.7</v>
      </c>
      <c r="O21" s="52">
        <v>0</v>
      </c>
      <c r="P21" s="52">
        <v>0.41</v>
      </c>
      <c r="Q21" s="52">
        <v>9.57</v>
      </c>
      <c r="R21" s="43"/>
      <c r="S21" s="43"/>
      <c r="T21" s="43"/>
      <c r="U21" s="43"/>
    </row>
    <row r="22" spans="1:21" s="11" customFormat="1" x14ac:dyDescent="0.25">
      <c r="A22" s="51" t="s">
        <v>505</v>
      </c>
      <c r="B22" s="52">
        <v>1.1499999999999999</v>
      </c>
      <c r="C22" s="52">
        <v>38.07</v>
      </c>
      <c r="D22" s="52">
        <v>36.92</v>
      </c>
      <c r="E22" s="52">
        <v>4.25</v>
      </c>
      <c r="F22" s="52">
        <v>21.65</v>
      </c>
      <c r="G22" s="52">
        <v>42.05</v>
      </c>
      <c r="H22" s="52">
        <v>18.75</v>
      </c>
      <c r="I22" s="52">
        <v>4.01</v>
      </c>
      <c r="J22" s="52">
        <v>1.63</v>
      </c>
      <c r="K22" s="52">
        <v>271.57</v>
      </c>
      <c r="L22" s="52">
        <v>38.380000000000003</v>
      </c>
      <c r="M22" s="52">
        <v>32.409999999999997</v>
      </c>
      <c r="N22" s="52">
        <v>841.5</v>
      </c>
      <c r="O22" s="52">
        <v>0</v>
      </c>
      <c r="P22" s="52">
        <v>0.43</v>
      </c>
      <c r="Q22" s="52">
        <v>9.58</v>
      </c>
      <c r="R22" s="43"/>
      <c r="S22" s="43"/>
      <c r="T22" s="43"/>
      <c r="U22" s="43"/>
    </row>
    <row r="23" spans="1:21" s="11" customFormat="1" x14ac:dyDescent="0.25">
      <c r="A23" s="51" t="s">
        <v>506</v>
      </c>
      <c r="B23" s="52">
        <v>1.22</v>
      </c>
      <c r="C23" s="52">
        <v>40.049999999999997</v>
      </c>
      <c r="D23" s="52">
        <v>38.97</v>
      </c>
      <c r="E23" s="52">
        <v>4.71</v>
      </c>
      <c r="F23" s="52">
        <v>24.97</v>
      </c>
      <c r="G23" s="52">
        <v>42.81</v>
      </c>
      <c r="H23" s="52">
        <v>18.75</v>
      </c>
      <c r="I23" s="52">
        <v>4.08</v>
      </c>
      <c r="J23" s="52">
        <v>1.94</v>
      </c>
      <c r="K23" s="52">
        <v>289.8</v>
      </c>
      <c r="L23" s="52">
        <v>39.31</v>
      </c>
      <c r="M23" s="52">
        <v>28.39</v>
      </c>
      <c r="N23" s="52">
        <v>539.70000000000005</v>
      </c>
      <c r="O23" s="52">
        <v>0</v>
      </c>
      <c r="P23" s="52">
        <v>0.47</v>
      </c>
      <c r="Q23" s="52">
        <v>9.58</v>
      </c>
      <c r="R23" s="43"/>
      <c r="S23" s="43"/>
      <c r="T23" s="43"/>
      <c r="U23" s="43"/>
    </row>
    <row r="24" spans="1:21" s="11" customFormat="1" x14ac:dyDescent="0.25">
      <c r="A24" s="51" t="s">
        <v>507</v>
      </c>
      <c r="B24" s="52">
        <v>1.4</v>
      </c>
      <c r="C24" s="52">
        <v>41.39</v>
      </c>
      <c r="D24" s="52">
        <v>40.35</v>
      </c>
      <c r="E24" s="52">
        <v>7.75</v>
      </c>
      <c r="F24" s="52">
        <v>30.58</v>
      </c>
      <c r="G24" s="52">
        <v>42.81</v>
      </c>
      <c r="H24" s="52">
        <v>16.809999999999999</v>
      </c>
      <c r="I24" s="52">
        <v>4.1100000000000003</v>
      </c>
      <c r="J24" s="52">
        <v>1.48</v>
      </c>
      <c r="K24" s="52">
        <v>289.82</v>
      </c>
      <c r="L24" s="52">
        <v>38.31</v>
      </c>
      <c r="M24" s="52">
        <v>27.04</v>
      </c>
      <c r="N24" s="52">
        <v>362</v>
      </c>
      <c r="O24" s="52">
        <v>0</v>
      </c>
      <c r="P24" s="52">
        <v>0.48</v>
      </c>
      <c r="Q24" s="52">
        <v>9.65</v>
      </c>
      <c r="R24" s="43"/>
      <c r="S24" s="43"/>
      <c r="T24" s="43"/>
      <c r="U24" s="43"/>
    </row>
    <row r="25" spans="1:21" s="11" customFormat="1" x14ac:dyDescent="0.25">
      <c r="A25" s="51" t="s">
        <v>508</v>
      </c>
      <c r="B25" s="52">
        <v>0.67</v>
      </c>
      <c r="C25" s="52">
        <v>41.87</v>
      </c>
      <c r="D25" s="52">
        <v>41.64</v>
      </c>
      <c r="E25" s="52">
        <v>6.02</v>
      </c>
      <c r="F25" s="52">
        <v>27.29</v>
      </c>
      <c r="G25" s="52">
        <v>47.92</v>
      </c>
      <c r="H25" s="52">
        <v>17.28</v>
      </c>
      <c r="I25" s="52">
        <v>4.12</v>
      </c>
      <c r="J25" s="52">
        <v>1.94</v>
      </c>
      <c r="K25" s="52">
        <v>234.76</v>
      </c>
      <c r="L25" s="52">
        <v>37.51</v>
      </c>
      <c r="M25" s="52">
        <v>27.86</v>
      </c>
      <c r="N25" s="52">
        <v>174.3</v>
      </c>
      <c r="O25" s="52">
        <v>0</v>
      </c>
      <c r="P25" s="52">
        <v>0.45</v>
      </c>
      <c r="Q25" s="52">
        <v>9.67</v>
      </c>
      <c r="R25" s="43"/>
      <c r="S25" s="43"/>
      <c r="T25" s="43"/>
      <c r="U25" s="43"/>
    </row>
    <row r="26" spans="1:21" s="11" customFormat="1" x14ac:dyDescent="0.25">
      <c r="A26" s="51" t="s">
        <v>509</v>
      </c>
      <c r="B26" s="52">
        <v>4.8499999999999996</v>
      </c>
      <c r="C26" s="52">
        <v>70.53</v>
      </c>
      <c r="D26" s="52">
        <v>65.680000000000007</v>
      </c>
      <c r="E26" s="52">
        <v>7.13</v>
      </c>
      <c r="F26" s="52">
        <v>32.22</v>
      </c>
      <c r="G26" s="52">
        <v>47.92</v>
      </c>
      <c r="H26" s="52">
        <v>17.28</v>
      </c>
      <c r="I26" s="52">
        <v>4.09</v>
      </c>
      <c r="J26" s="52">
        <v>1.99</v>
      </c>
      <c r="K26" s="52">
        <v>204.6</v>
      </c>
      <c r="L26" s="52">
        <v>36.26</v>
      </c>
      <c r="M26" s="52">
        <v>30.88</v>
      </c>
      <c r="N26" s="52">
        <v>108.9</v>
      </c>
      <c r="O26" s="52">
        <v>0</v>
      </c>
      <c r="P26" s="52">
        <v>0.63</v>
      </c>
      <c r="Q26" s="52">
        <v>9.67</v>
      </c>
      <c r="R26" s="43"/>
      <c r="S26" s="43"/>
      <c r="T26" s="43"/>
      <c r="U26" s="43"/>
    </row>
    <row r="27" spans="1:21" s="11" customFormat="1" x14ac:dyDescent="0.25">
      <c r="A27" s="51" t="s">
        <v>510</v>
      </c>
      <c r="B27" s="52">
        <v>4.97</v>
      </c>
      <c r="C27" s="52">
        <v>58.27</v>
      </c>
      <c r="D27" s="52">
        <v>53.3</v>
      </c>
      <c r="E27" s="52">
        <v>12.24</v>
      </c>
      <c r="F27" s="52">
        <v>17.149999999999999</v>
      </c>
      <c r="G27" s="52">
        <v>69.040000000000006</v>
      </c>
      <c r="H27" s="52">
        <v>15.68</v>
      </c>
      <c r="I27" s="52">
        <v>4.01</v>
      </c>
      <c r="J27" s="52">
        <v>4.2300000000000004</v>
      </c>
      <c r="K27" s="52">
        <v>342.63</v>
      </c>
      <c r="L27" s="52">
        <v>33.58</v>
      </c>
      <c r="M27" s="52">
        <v>39.26</v>
      </c>
      <c r="N27" s="52">
        <v>63</v>
      </c>
      <c r="O27" s="52">
        <v>0</v>
      </c>
      <c r="P27" s="52">
        <v>0.75</v>
      </c>
      <c r="Q27" s="52">
        <v>9.65</v>
      </c>
      <c r="R27" s="43"/>
      <c r="S27" s="43"/>
      <c r="T27" s="43"/>
      <c r="U27" s="43"/>
    </row>
    <row r="28" spans="1:21" s="11" customFormat="1" x14ac:dyDescent="0.25">
      <c r="A28" s="51" t="s">
        <v>511</v>
      </c>
      <c r="B28" s="52">
        <v>15.67</v>
      </c>
      <c r="C28" s="52">
        <v>100.12</v>
      </c>
      <c r="D28" s="52">
        <v>84.45</v>
      </c>
      <c r="E28" s="52">
        <v>26.4</v>
      </c>
      <c r="F28" s="52">
        <v>22.98</v>
      </c>
      <c r="G28" s="52">
        <v>83.5</v>
      </c>
      <c r="H28" s="52">
        <v>17.62</v>
      </c>
      <c r="I28" s="52">
        <v>4.25</v>
      </c>
      <c r="J28" s="52">
        <v>2.41</v>
      </c>
      <c r="K28" s="52">
        <v>347.43</v>
      </c>
      <c r="L28" s="52">
        <v>31.89</v>
      </c>
      <c r="M28" s="52">
        <v>37.5</v>
      </c>
      <c r="N28" s="52">
        <v>51.8</v>
      </c>
      <c r="O28" s="52">
        <v>0</v>
      </c>
      <c r="P28" s="52">
        <v>1.42</v>
      </c>
      <c r="Q28" s="52">
        <v>9.61</v>
      </c>
      <c r="R28" s="43"/>
      <c r="S28" s="43"/>
      <c r="T28" s="43"/>
      <c r="U28" s="43"/>
    </row>
    <row r="29" spans="1:21" s="11" customFormat="1" x14ac:dyDescent="0.25">
      <c r="A29" s="51" t="s">
        <v>512</v>
      </c>
      <c r="B29" s="52">
        <v>5.09</v>
      </c>
      <c r="C29" s="52">
        <v>71.81</v>
      </c>
      <c r="D29" s="52">
        <v>68.41</v>
      </c>
      <c r="E29" s="52">
        <v>18.63</v>
      </c>
      <c r="F29" s="52">
        <v>17.350000000000001</v>
      </c>
      <c r="G29" s="52">
        <v>83.5</v>
      </c>
      <c r="H29" s="52">
        <v>17.62</v>
      </c>
      <c r="I29" s="52">
        <v>4.07</v>
      </c>
      <c r="J29" s="52">
        <v>2.0299999999999998</v>
      </c>
      <c r="K29" s="52">
        <v>200.6</v>
      </c>
      <c r="L29" s="52">
        <v>31.76</v>
      </c>
      <c r="M29" s="52">
        <v>40.06</v>
      </c>
      <c r="N29" s="52">
        <v>52.1</v>
      </c>
      <c r="O29" s="52">
        <v>0</v>
      </c>
      <c r="P29" s="52">
        <v>1.01</v>
      </c>
      <c r="Q29" s="52">
        <v>9.6199999999999992</v>
      </c>
      <c r="R29" s="43"/>
      <c r="S29" s="43"/>
      <c r="T29" s="43"/>
      <c r="U29" s="43"/>
    </row>
    <row r="30" spans="1:21" s="11" customFormat="1" x14ac:dyDescent="0.25">
      <c r="A30" s="51" t="s">
        <v>513</v>
      </c>
      <c r="B30" s="52">
        <v>27.61</v>
      </c>
      <c r="C30" s="52">
        <v>108.67</v>
      </c>
      <c r="D30" s="52">
        <v>81.069999999999993</v>
      </c>
      <c r="E30" s="52">
        <v>9.44</v>
      </c>
      <c r="F30" s="52">
        <v>17.75</v>
      </c>
      <c r="G30" s="52">
        <v>78.150000000000006</v>
      </c>
      <c r="H30" s="52">
        <v>19.3</v>
      </c>
      <c r="I30" s="52">
        <v>4.09</v>
      </c>
      <c r="J30" s="52">
        <v>1.21</v>
      </c>
      <c r="K30" s="52">
        <v>322.81</v>
      </c>
      <c r="L30" s="52">
        <v>30.45</v>
      </c>
      <c r="M30" s="52">
        <v>51.02</v>
      </c>
      <c r="N30" s="52">
        <v>52.2</v>
      </c>
      <c r="O30" s="52">
        <v>0</v>
      </c>
      <c r="P30" s="52">
        <v>1.66</v>
      </c>
      <c r="Q30" s="52">
        <v>9.6</v>
      </c>
      <c r="R30" s="43"/>
      <c r="S30" s="43"/>
      <c r="T30" s="43"/>
      <c r="U30" s="43"/>
    </row>
    <row r="31" spans="1:21" s="11" customFormat="1" x14ac:dyDescent="0.25">
      <c r="A31" s="51" t="s">
        <v>514</v>
      </c>
      <c r="B31" s="52">
        <v>41.83</v>
      </c>
      <c r="C31" s="52">
        <v>122.28</v>
      </c>
      <c r="D31" s="52">
        <v>80.45</v>
      </c>
      <c r="E31" s="52">
        <v>5.47</v>
      </c>
      <c r="F31" s="52">
        <v>13.8</v>
      </c>
      <c r="G31" s="52">
        <v>76.900000000000006</v>
      </c>
      <c r="H31" s="52">
        <v>19.3</v>
      </c>
      <c r="I31" s="52">
        <v>4.16</v>
      </c>
      <c r="J31" s="52">
        <v>1.53</v>
      </c>
      <c r="K31" s="52">
        <v>323.69</v>
      </c>
      <c r="L31" s="52">
        <v>29.53</v>
      </c>
      <c r="M31" s="52">
        <v>52.62</v>
      </c>
      <c r="N31" s="52">
        <v>52.4</v>
      </c>
      <c r="O31" s="52">
        <v>0</v>
      </c>
      <c r="P31" s="52">
        <v>1.49</v>
      </c>
      <c r="Q31" s="52">
        <v>9.66</v>
      </c>
      <c r="R31" s="43"/>
      <c r="S31" s="43"/>
      <c r="T31" s="43"/>
      <c r="U31" s="43"/>
    </row>
    <row r="32" spans="1:21" s="11" customFormat="1" x14ac:dyDescent="0.25">
      <c r="A32" s="51" t="s">
        <v>515</v>
      </c>
      <c r="B32" s="52">
        <v>46.79</v>
      </c>
      <c r="C32" s="52">
        <v>127.33</v>
      </c>
      <c r="D32" s="52">
        <v>80.540000000000006</v>
      </c>
      <c r="E32" s="52">
        <v>4.63</v>
      </c>
      <c r="F32" s="52">
        <v>14.78</v>
      </c>
      <c r="G32" s="52">
        <v>75.47</v>
      </c>
      <c r="H32" s="52">
        <v>19.12</v>
      </c>
      <c r="I32" s="52">
        <v>4.09</v>
      </c>
      <c r="J32" s="52">
        <v>1.48</v>
      </c>
      <c r="K32" s="52">
        <v>294.13</v>
      </c>
      <c r="L32" s="52">
        <v>28.71</v>
      </c>
      <c r="M32" s="52">
        <v>57.59</v>
      </c>
      <c r="N32" s="52">
        <v>52.4</v>
      </c>
      <c r="O32" s="52">
        <v>0</v>
      </c>
      <c r="P32" s="52">
        <v>1.48</v>
      </c>
      <c r="Q32" s="52">
        <v>9.67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0.27</v>
      </c>
      <c r="C34" s="28">
        <f t="shared" si="0"/>
        <v>31.77</v>
      </c>
      <c r="D34" s="28">
        <f t="shared" si="0"/>
        <v>31.67</v>
      </c>
      <c r="E34" s="28">
        <f t="shared" si="0"/>
        <v>1.99</v>
      </c>
      <c r="F34" s="28">
        <f t="shared" si="0"/>
        <v>8.74</v>
      </c>
      <c r="G34" s="28">
        <f t="shared" si="0"/>
        <v>24.55</v>
      </c>
      <c r="H34" s="28">
        <f t="shared" si="0"/>
        <v>9.74</v>
      </c>
      <c r="I34" s="28">
        <f t="shared" si="0"/>
        <v>4.01</v>
      </c>
      <c r="J34" s="28">
        <f t="shared" si="0"/>
        <v>0.8</v>
      </c>
      <c r="K34" s="28">
        <f t="shared" si="0"/>
        <v>119.85</v>
      </c>
      <c r="L34" s="28">
        <f t="shared" si="0"/>
        <v>25.71</v>
      </c>
      <c r="M34" s="28">
        <f t="shared" si="0"/>
        <v>27.04</v>
      </c>
      <c r="N34" s="28">
        <f t="shared" si="0"/>
        <v>37.4</v>
      </c>
      <c r="O34" s="28">
        <f t="shared" si="0"/>
        <v>0</v>
      </c>
      <c r="P34" s="28">
        <f t="shared" si="0"/>
        <v>0.34</v>
      </c>
      <c r="Q34" s="28">
        <f t="shared" si="0"/>
        <v>8.48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46.79</v>
      </c>
      <c r="C35" s="29">
        <f t="shared" si="1"/>
        <v>127.33</v>
      </c>
      <c r="D35" s="29">
        <f t="shared" si="1"/>
        <v>84.45</v>
      </c>
      <c r="E35" s="29">
        <f t="shared" si="1"/>
        <v>26.4</v>
      </c>
      <c r="F35" s="29">
        <f t="shared" si="1"/>
        <v>32.22</v>
      </c>
      <c r="G35" s="29">
        <f t="shared" si="1"/>
        <v>83.5</v>
      </c>
      <c r="H35" s="29">
        <f t="shared" si="1"/>
        <v>19.3</v>
      </c>
      <c r="I35" s="29">
        <f t="shared" si="1"/>
        <v>4.25</v>
      </c>
      <c r="J35" s="29">
        <f t="shared" si="1"/>
        <v>4.2300000000000004</v>
      </c>
      <c r="K35" s="29">
        <f t="shared" si="1"/>
        <v>347.43</v>
      </c>
      <c r="L35" s="29">
        <f t="shared" si="1"/>
        <v>39.31</v>
      </c>
      <c r="M35" s="29">
        <f t="shared" si="1"/>
        <v>75.33</v>
      </c>
      <c r="N35" s="29">
        <f t="shared" si="1"/>
        <v>906.7</v>
      </c>
      <c r="O35" s="29">
        <f t="shared" si="1"/>
        <v>0</v>
      </c>
      <c r="P35" s="29">
        <f t="shared" si="1"/>
        <v>1.66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8.5879166666666666</v>
      </c>
      <c r="C36" s="28">
        <f t="shared" si="2"/>
        <v>57.857083333333328</v>
      </c>
      <c r="D36" s="28">
        <f t="shared" si="2"/>
        <v>49.512083333333329</v>
      </c>
      <c r="E36" s="28">
        <f t="shared" si="2"/>
        <v>5.8841666666666654</v>
      </c>
      <c r="F36" s="28">
        <f t="shared" si="2"/>
        <v>16.526666666666667</v>
      </c>
      <c r="G36" s="28">
        <f t="shared" si="2"/>
        <v>45.313333333333333</v>
      </c>
      <c r="H36" s="28">
        <f t="shared" si="2"/>
        <v>15.324166666666668</v>
      </c>
      <c r="I36" s="28">
        <f t="shared" si="2"/>
        <v>4.1154166666666674</v>
      </c>
      <c r="J36" s="28">
        <f t="shared" si="2"/>
        <v>1.9312499999999997</v>
      </c>
      <c r="K36" s="28">
        <f t="shared" si="2"/>
        <v>241.66791666666668</v>
      </c>
      <c r="L36" s="28">
        <f t="shared" si="2"/>
        <v>31.557916666666671</v>
      </c>
      <c r="M36" s="28">
        <f t="shared" si="2"/>
        <v>51.85499999999999</v>
      </c>
      <c r="N36" s="28">
        <f t="shared" si="2"/>
        <v>295.72916666666663</v>
      </c>
      <c r="O36" s="28">
        <f t="shared" si="2"/>
        <v>0</v>
      </c>
      <c r="P36" s="28">
        <f t="shared" si="2"/>
        <v>0.64291666666666669</v>
      </c>
      <c r="Q36" s="28">
        <f t="shared" si="2"/>
        <v>9.2770833333333318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12.560026301262502</v>
      </c>
      <c r="C37" s="28">
        <f t="shared" ref="C37:Q37" si="3">STDEV(C9:C32)</f>
        <v>28.047238642529774</v>
      </c>
      <c r="D37" s="28">
        <f t="shared" si="3"/>
        <v>16.927561774955286</v>
      </c>
      <c r="E37" s="28">
        <f t="shared" si="3"/>
        <v>5.8409066573358421</v>
      </c>
      <c r="F37" s="28">
        <f t="shared" si="3"/>
        <v>6.7060243303197495</v>
      </c>
      <c r="G37" s="28">
        <f t="shared" si="3"/>
        <v>20.36837545904385</v>
      </c>
      <c r="H37" s="28">
        <f t="shared" si="3"/>
        <v>3.3281107274988173</v>
      </c>
      <c r="I37" s="28">
        <f t="shared" si="3"/>
        <v>6.1853906886319317E-2</v>
      </c>
      <c r="J37" s="28">
        <f t="shared" si="3"/>
        <v>0.66324834682433975</v>
      </c>
      <c r="K37" s="28">
        <f t="shared" si="3"/>
        <v>62.785190512133731</v>
      </c>
      <c r="L37" s="28">
        <f t="shared" si="3"/>
        <v>4.759042632227839</v>
      </c>
      <c r="M37" s="28">
        <f t="shared" si="3"/>
        <v>16.649398474576145</v>
      </c>
      <c r="N37" s="28">
        <f t="shared" si="3"/>
        <v>329.64989528307899</v>
      </c>
      <c r="O37" s="28">
        <f t="shared" si="3"/>
        <v>0</v>
      </c>
      <c r="P37" s="28">
        <f t="shared" si="3"/>
        <v>0.42399219810978955</v>
      </c>
      <c r="Q37" s="28">
        <f t="shared" si="3"/>
        <v>0.41832460005896471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20/04/2025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516</v>
      </c>
      <c r="B9" s="52">
        <v>22.21</v>
      </c>
      <c r="C9" s="52">
        <v>84.59</v>
      </c>
      <c r="D9" s="52">
        <v>62.38</v>
      </c>
      <c r="E9" s="52">
        <v>4.59</v>
      </c>
      <c r="F9" s="52">
        <v>13.88</v>
      </c>
      <c r="G9" s="52">
        <v>72.819999999999993</v>
      </c>
      <c r="H9" s="52">
        <v>19.12</v>
      </c>
      <c r="I9" s="52">
        <v>4</v>
      </c>
      <c r="J9" s="52">
        <v>1.1100000000000001</v>
      </c>
      <c r="K9" s="52">
        <v>319.43</v>
      </c>
      <c r="L9" s="52">
        <v>28.4</v>
      </c>
      <c r="M9" s="52">
        <v>62.23</v>
      </c>
      <c r="N9" s="52">
        <v>52.8</v>
      </c>
      <c r="O9" s="52">
        <v>0</v>
      </c>
      <c r="P9" s="52">
        <v>0.77</v>
      </c>
      <c r="Q9" s="52">
        <v>9.6999999999999993</v>
      </c>
      <c r="R9" s="43"/>
      <c r="S9" s="43"/>
      <c r="T9" s="43"/>
      <c r="U9" s="43"/>
    </row>
    <row r="10" spans="1:21" s="11" customFormat="1" x14ac:dyDescent="0.25">
      <c r="A10" s="51" t="s">
        <v>517</v>
      </c>
      <c r="B10" s="52">
        <v>18.75</v>
      </c>
      <c r="C10" s="52">
        <v>83.47</v>
      </c>
      <c r="D10" s="52">
        <v>65.28</v>
      </c>
      <c r="E10" s="52">
        <v>3.56</v>
      </c>
      <c r="F10" s="52">
        <v>10.18</v>
      </c>
      <c r="G10" s="52">
        <v>71.64</v>
      </c>
      <c r="H10" s="52">
        <v>21.31</v>
      </c>
      <c r="I10" s="52">
        <v>4.0199999999999996</v>
      </c>
      <c r="J10" s="52">
        <v>1.26</v>
      </c>
      <c r="K10" s="52">
        <v>251.22</v>
      </c>
      <c r="L10" s="52">
        <v>27.59</v>
      </c>
      <c r="M10" s="52">
        <v>62.72</v>
      </c>
      <c r="N10" s="52">
        <v>52.5</v>
      </c>
      <c r="O10" s="52">
        <v>0</v>
      </c>
      <c r="P10" s="52">
        <v>0.6</v>
      </c>
      <c r="Q10" s="52">
        <v>9.66</v>
      </c>
      <c r="R10" s="43"/>
      <c r="S10" s="43"/>
      <c r="T10" s="43"/>
      <c r="U10" s="43"/>
    </row>
    <row r="11" spans="1:21" s="11" customFormat="1" x14ac:dyDescent="0.25">
      <c r="A11" s="51" t="s">
        <v>518</v>
      </c>
      <c r="B11" s="52">
        <v>17.100000000000001</v>
      </c>
      <c r="C11" s="52">
        <v>65.430000000000007</v>
      </c>
      <c r="D11" s="52">
        <v>53.44</v>
      </c>
      <c r="E11" s="52">
        <v>3.54</v>
      </c>
      <c r="F11" s="52">
        <v>10.35</v>
      </c>
      <c r="G11" s="52">
        <v>69.900000000000006</v>
      </c>
      <c r="H11" s="52">
        <v>21.31</v>
      </c>
      <c r="I11" s="52">
        <v>4.16</v>
      </c>
      <c r="J11" s="52">
        <v>1.57</v>
      </c>
      <c r="K11" s="52">
        <v>294.32</v>
      </c>
      <c r="L11" s="52">
        <v>27.42</v>
      </c>
      <c r="M11" s="52">
        <v>69.599999999999994</v>
      </c>
      <c r="N11" s="52">
        <v>53</v>
      </c>
      <c r="O11" s="52">
        <v>0</v>
      </c>
      <c r="P11" s="52">
        <v>0.62</v>
      </c>
      <c r="Q11" s="52">
        <v>9.67</v>
      </c>
      <c r="R11" s="43"/>
      <c r="S11" s="43"/>
      <c r="T11" s="43"/>
      <c r="U11" s="43"/>
    </row>
    <row r="12" spans="1:21" s="11" customFormat="1" x14ac:dyDescent="0.25">
      <c r="A12" s="51" t="s">
        <v>519</v>
      </c>
      <c r="B12" s="52">
        <v>27.83</v>
      </c>
      <c r="C12" s="52">
        <v>84.58</v>
      </c>
      <c r="D12" s="52">
        <v>56.75</v>
      </c>
      <c r="E12" s="52">
        <v>2.83</v>
      </c>
      <c r="F12" s="52">
        <v>9.41</v>
      </c>
      <c r="G12" s="52">
        <v>71.010000000000005</v>
      </c>
      <c r="H12" s="52">
        <v>19.98</v>
      </c>
      <c r="I12" s="52">
        <v>4.2</v>
      </c>
      <c r="J12" s="52">
        <v>1.44</v>
      </c>
      <c r="K12" s="52">
        <v>340.8</v>
      </c>
      <c r="L12" s="52">
        <v>26.54</v>
      </c>
      <c r="M12" s="52">
        <v>70.27</v>
      </c>
      <c r="N12" s="52">
        <v>53</v>
      </c>
      <c r="O12" s="52">
        <v>0</v>
      </c>
      <c r="P12" s="52">
        <v>0.56000000000000005</v>
      </c>
      <c r="Q12" s="52">
        <v>9.69</v>
      </c>
      <c r="R12" s="43"/>
      <c r="S12" s="43"/>
      <c r="T12" s="43"/>
      <c r="U12" s="43"/>
    </row>
    <row r="13" spans="1:21" s="11" customFormat="1" x14ac:dyDescent="0.25">
      <c r="A13" s="51" t="s">
        <v>520</v>
      </c>
      <c r="B13" s="52">
        <v>25.69</v>
      </c>
      <c r="C13" s="52">
        <v>91.19</v>
      </c>
      <c r="D13" s="52">
        <v>65.5</v>
      </c>
      <c r="E13" s="52">
        <v>2.92</v>
      </c>
      <c r="F13" s="52">
        <v>13.61</v>
      </c>
      <c r="G13" s="52">
        <v>72.260000000000005</v>
      </c>
      <c r="H13" s="52">
        <v>19.88</v>
      </c>
      <c r="I13" s="52">
        <v>4.18</v>
      </c>
      <c r="J13" s="52">
        <v>1.4</v>
      </c>
      <c r="K13" s="52">
        <v>351.05</v>
      </c>
      <c r="L13" s="52">
        <v>26.45</v>
      </c>
      <c r="M13" s="52">
        <v>67.95</v>
      </c>
      <c r="N13" s="52">
        <v>53.1</v>
      </c>
      <c r="O13" s="52">
        <v>0</v>
      </c>
      <c r="P13" s="52">
        <v>0.72</v>
      </c>
      <c r="Q13" s="52">
        <v>9.7100000000000009</v>
      </c>
      <c r="R13" s="43"/>
      <c r="S13" s="43"/>
      <c r="T13" s="43"/>
      <c r="U13" s="43"/>
    </row>
    <row r="14" spans="1:21" s="11" customFormat="1" x14ac:dyDescent="0.25">
      <c r="A14" s="51" t="s">
        <v>521</v>
      </c>
      <c r="B14" s="52">
        <v>41.01</v>
      </c>
      <c r="C14" s="52">
        <v>102.03</v>
      </c>
      <c r="D14" s="52">
        <v>61.02</v>
      </c>
      <c r="E14" s="52">
        <v>2.76</v>
      </c>
      <c r="F14" s="52">
        <v>11.82</v>
      </c>
      <c r="G14" s="52">
        <v>74.44</v>
      </c>
      <c r="H14" s="52">
        <v>19.39</v>
      </c>
      <c r="I14" s="52">
        <v>4.1500000000000004</v>
      </c>
      <c r="J14" s="52">
        <v>1.63</v>
      </c>
      <c r="K14" s="52">
        <v>309.55</v>
      </c>
      <c r="L14" s="52">
        <v>26.86</v>
      </c>
      <c r="M14" s="52">
        <v>72.16</v>
      </c>
      <c r="N14" s="52">
        <v>70.3</v>
      </c>
      <c r="O14" s="52">
        <v>0</v>
      </c>
      <c r="P14" s="52">
        <v>0.95</v>
      </c>
      <c r="Q14" s="52">
        <v>9.69</v>
      </c>
      <c r="R14" s="43"/>
      <c r="S14" s="43"/>
      <c r="T14" s="43"/>
      <c r="U14" s="43"/>
    </row>
    <row r="15" spans="1:21" s="11" customFormat="1" x14ac:dyDescent="0.25">
      <c r="A15" s="51" t="s">
        <v>522</v>
      </c>
      <c r="B15" s="52">
        <v>58.51</v>
      </c>
      <c r="C15" s="52">
        <v>129.12</v>
      </c>
      <c r="D15" s="52">
        <v>70.61</v>
      </c>
      <c r="E15" s="52">
        <v>3.82</v>
      </c>
      <c r="F15" s="52">
        <v>9.7899999999999991</v>
      </c>
      <c r="G15" s="52">
        <v>79.98</v>
      </c>
      <c r="H15" s="52">
        <v>21.34</v>
      </c>
      <c r="I15" s="52">
        <v>4.0599999999999996</v>
      </c>
      <c r="J15" s="52">
        <v>1.1399999999999999</v>
      </c>
      <c r="K15" s="52">
        <v>89.58</v>
      </c>
      <c r="L15" s="52">
        <v>29.59</v>
      </c>
      <c r="M15" s="52">
        <v>68.319999999999993</v>
      </c>
      <c r="N15" s="52">
        <v>173.4</v>
      </c>
      <c r="O15" s="52">
        <v>0</v>
      </c>
      <c r="P15" s="52">
        <v>1.6</v>
      </c>
      <c r="Q15" s="52">
        <v>9.67</v>
      </c>
      <c r="R15" s="43"/>
      <c r="S15" s="43"/>
      <c r="T15" s="43"/>
      <c r="U15" s="43"/>
    </row>
    <row r="16" spans="1:21" s="11" customFormat="1" x14ac:dyDescent="0.25">
      <c r="A16" s="51" t="s">
        <v>523</v>
      </c>
      <c r="B16" s="52">
        <v>27.71</v>
      </c>
      <c r="C16" s="52">
        <v>90.96</v>
      </c>
      <c r="D16" s="52">
        <v>63.25</v>
      </c>
      <c r="E16" s="52">
        <v>4.34</v>
      </c>
      <c r="F16" s="52">
        <v>10.130000000000001</v>
      </c>
      <c r="G16" s="52">
        <v>105.86</v>
      </c>
      <c r="H16" s="52">
        <v>28.87</v>
      </c>
      <c r="I16" s="52">
        <v>4.13</v>
      </c>
      <c r="J16" s="52">
        <v>1.56</v>
      </c>
      <c r="K16" s="52">
        <v>309.77999999999997</v>
      </c>
      <c r="L16" s="52">
        <v>32.93</v>
      </c>
      <c r="M16" s="52">
        <v>56.2</v>
      </c>
      <c r="N16" s="52">
        <v>415.9</v>
      </c>
      <c r="O16" s="52">
        <v>0</v>
      </c>
      <c r="P16" s="52">
        <v>1.1599999999999999</v>
      </c>
      <c r="Q16" s="52">
        <v>9.7100000000000009</v>
      </c>
      <c r="R16" s="43"/>
      <c r="S16" s="43"/>
      <c r="T16" s="43"/>
      <c r="U16" s="43"/>
    </row>
    <row r="17" spans="1:21" s="11" customFormat="1" x14ac:dyDescent="0.25">
      <c r="A17" s="51" t="s">
        <v>524</v>
      </c>
      <c r="B17" s="52">
        <v>15.96</v>
      </c>
      <c r="C17" s="52">
        <v>65.150000000000006</v>
      </c>
      <c r="D17" s="52">
        <v>49.19</v>
      </c>
      <c r="E17" s="52">
        <v>3.77</v>
      </c>
      <c r="F17" s="52">
        <v>13.28</v>
      </c>
      <c r="G17" s="52">
        <v>105.86</v>
      </c>
      <c r="H17" s="52">
        <v>28.87</v>
      </c>
      <c r="I17" s="52">
        <v>4.1399999999999997</v>
      </c>
      <c r="J17" s="52">
        <v>1.52</v>
      </c>
      <c r="K17" s="52">
        <v>265.02999999999997</v>
      </c>
      <c r="L17" s="52">
        <v>34.22</v>
      </c>
      <c r="M17" s="52">
        <v>55.07</v>
      </c>
      <c r="N17" s="52">
        <v>622</v>
      </c>
      <c r="O17" s="52">
        <v>0</v>
      </c>
      <c r="P17" s="52">
        <v>0.88</v>
      </c>
      <c r="Q17" s="52">
        <v>9.73</v>
      </c>
      <c r="R17" s="43"/>
      <c r="S17" s="43"/>
      <c r="T17" s="43"/>
      <c r="U17" s="43"/>
    </row>
    <row r="18" spans="1:21" s="11" customFormat="1" x14ac:dyDescent="0.25">
      <c r="A18" s="51" t="s">
        <v>525</v>
      </c>
      <c r="B18" s="52">
        <v>7.5</v>
      </c>
      <c r="C18" s="52">
        <v>53.47</v>
      </c>
      <c r="D18" s="52">
        <v>45.97</v>
      </c>
      <c r="E18" s="52">
        <v>3.65</v>
      </c>
      <c r="F18" s="52">
        <v>13.28</v>
      </c>
      <c r="G18" s="52">
        <v>90.8</v>
      </c>
      <c r="H18" s="52">
        <v>25.22</v>
      </c>
      <c r="I18" s="52">
        <v>4.1100000000000003</v>
      </c>
      <c r="J18" s="52">
        <v>1.48</v>
      </c>
      <c r="K18" s="52">
        <v>269.69</v>
      </c>
      <c r="L18" s="52">
        <v>34.950000000000003</v>
      </c>
      <c r="M18" s="52">
        <v>49.47</v>
      </c>
      <c r="N18" s="52">
        <v>819.3</v>
      </c>
      <c r="O18" s="52">
        <v>0</v>
      </c>
      <c r="P18" s="52">
        <v>0.79</v>
      </c>
      <c r="Q18" s="52">
        <v>9.67</v>
      </c>
      <c r="R18" s="43"/>
      <c r="S18" s="43"/>
      <c r="T18" s="43"/>
      <c r="U18" s="43"/>
    </row>
    <row r="19" spans="1:21" s="11" customFormat="1" x14ac:dyDescent="0.25">
      <c r="A19" s="51" t="s">
        <v>526</v>
      </c>
      <c r="B19" s="52">
        <v>0.65</v>
      </c>
      <c r="C19" s="52">
        <v>42.96</v>
      </c>
      <c r="D19" s="52">
        <v>42.93</v>
      </c>
      <c r="E19" s="52">
        <v>4.17</v>
      </c>
      <c r="F19" s="52">
        <v>14.29</v>
      </c>
      <c r="G19" s="52">
        <v>72.72</v>
      </c>
      <c r="H19" s="52">
        <v>25.22</v>
      </c>
      <c r="I19" s="52">
        <v>4.05</v>
      </c>
      <c r="J19" s="52">
        <v>1.57</v>
      </c>
      <c r="K19" s="52">
        <v>274.54000000000002</v>
      </c>
      <c r="L19" s="52">
        <v>37.89</v>
      </c>
      <c r="M19" s="52">
        <v>42.96</v>
      </c>
      <c r="N19" s="52">
        <v>908.6</v>
      </c>
      <c r="O19" s="52">
        <v>0</v>
      </c>
      <c r="P19" s="52">
        <v>0.6</v>
      </c>
      <c r="Q19" s="52">
        <v>9.6199999999999992</v>
      </c>
      <c r="R19" s="43"/>
      <c r="S19" s="43"/>
      <c r="T19" s="43"/>
      <c r="U19" s="43"/>
    </row>
    <row r="20" spans="1:21" s="11" customFormat="1" x14ac:dyDescent="0.25">
      <c r="A20" s="51" t="s">
        <v>527</v>
      </c>
      <c r="B20" s="52">
        <v>1.04</v>
      </c>
      <c r="C20" s="52">
        <v>43.22</v>
      </c>
      <c r="D20" s="52">
        <v>42.38</v>
      </c>
      <c r="E20" s="52">
        <v>7.03</v>
      </c>
      <c r="F20" s="52">
        <v>22.47</v>
      </c>
      <c r="G20" s="52">
        <v>68.34</v>
      </c>
      <c r="H20" s="52">
        <v>23.35</v>
      </c>
      <c r="I20" s="52">
        <v>4.1500000000000004</v>
      </c>
      <c r="J20" s="52">
        <v>1.74</v>
      </c>
      <c r="K20" s="52">
        <v>294.11</v>
      </c>
      <c r="L20" s="52">
        <v>39.65</v>
      </c>
      <c r="M20" s="52">
        <v>32.72</v>
      </c>
      <c r="N20" s="52">
        <v>935</v>
      </c>
      <c r="O20" s="52">
        <v>0</v>
      </c>
      <c r="P20" s="52">
        <v>0.6</v>
      </c>
      <c r="Q20" s="52">
        <v>9.65</v>
      </c>
      <c r="R20" s="43"/>
      <c r="S20" s="43"/>
      <c r="T20" s="43"/>
      <c r="U20" s="43"/>
    </row>
    <row r="21" spans="1:21" s="11" customFormat="1" x14ac:dyDescent="0.25">
      <c r="A21" s="51" t="s">
        <v>528</v>
      </c>
      <c r="B21" s="52">
        <v>0.74</v>
      </c>
      <c r="C21" s="52">
        <v>41.57</v>
      </c>
      <c r="D21" s="52">
        <v>40.880000000000003</v>
      </c>
      <c r="E21" s="52">
        <v>7.95</v>
      </c>
      <c r="F21" s="52">
        <v>28.3</v>
      </c>
      <c r="G21" s="52">
        <v>55.5</v>
      </c>
      <c r="H21" s="52">
        <v>22.07</v>
      </c>
      <c r="I21" s="52">
        <v>4.07</v>
      </c>
      <c r="J21" s="52">
        <v>1.73</v>
      </c>
      <c r="K21" s="52">
        <v>289.42</v>
      </c>
      <c r="L21" s="52">
        <v>40.1</v>
      </c>
      <c r="M21" s="52">
        <v>26.01</v>
      </c>
      <c r="N21" s="52">
        <v>947.1</v>
      </c>
      <c r="O21" s="52">
        <v>0</v>
      </c>
      <c r="P21" s="52">
        <v>0.6</v>
      </c>
      <c r="Q21" s="52">
        <v>9.65</v>
      </c>
      <c r="R21" s="43"/>
      <c r="S21" s="43"/>
      <c r="T21" s="43"/>
      <c r="U21" s="43"/>
    </row>
    <row r="22" spans="1:21" s="11" customFormat="1" x14ac:dyDescent="0.25">
      <c r="A22" s="51" t="s">
        <v>529</v>
      </c>
      <c r="B22" s="52">
        <v>1.38</v>
      </c>
      <c r="C22" s="52">
        <v>38.119999999999997</v>
      </c>
      <c r="D22" s="52">
        <v>36.97</v>
      </c>
      <c r="E22" s="52">
        <v>8.93</v>
      </c>
      <c r="F22" s="52">
        <v>35.950000000000003</v>
      </c>
      <c r="G22" s="52">
        <v>53.27</v>
      </c>
      <c r="H22" s="52">
        <v>20.45</v>
      </c>
      <c r="I22" s="52">
        <v>4.01</v>
      </c>
      <c r="J22" s="52">
        <v>1.41</v>
      </c>
      <c r="K22" s="52">
        <v>289.32</v>
      </c>
      <c r="L22" s="52">
        <v>41.84</v>
      </c>
      <c r="M22" s="52">
        <v>22.14</v>
      </c>
      <c r="N22" s="52">
        <v>884.3</v>
      </c>
      <c r="O22" s="52">
        <v>0</v>
      </c>
      <c r="P22" s="52">
        <v>0.5</v>
      </c>
      <c r="Q22" s="52">
        <v>9.59</v>
      </c>
      <c r="R22" s="43"/>
      <c r="S22" s="43"/>
      <c r="T22" s="43"/>
      <c r="U22" s="43"/>
    </row>
    <row r="23" spans="1:21" s="11" customFormat="1" x14ac:dyDescent="0.25">
      <c r="A23" s="51" t="s">
        <v>530</v>
      </c>
      <c r="B23" s="52">
        <v>1.48</v>
      </c>
      <c r="C23" s="52">
        <v>43.95</v>
      </c>
      <c r="D23" s="52">
        <v>42.47</v>
      </c>
      <c r="E23" s="52">
        <v>9.92</v>
      </c>
      <c r="F23" s="52">
        <v>39.58</v>
      </c>
      <c r="G23" s="52">
        <v>49.65</v>
      </c>
      <c r="H23" s="52">
        <v>20.45</v>
      </c>
      <c r="I23" s="52">
        <v>4.0599999999999996</v>
      </c>
      <c r="J23" s="52">
        <v>1.32</v>
      </c>
      <c r="K23" s="52">
        <v>290.48</v>
      </c>
      <c r="L23" s="52">
        <v>41.2</v>
      </c>
      <c r="M23" s="52">
        <v>22.2</v>
      </c>
      <c r="N23" s="52">
        <v>537.1</v>
      </c>
      <c r="O23" s="52">
        <v>0</v>
      </c>
      <c r="P23" s="52">
        <v>0.46</v>
      </c>
      <c r="Q23" s="52">
        <v>9.6199999999999992</v>
      </c>
      <c r="R23" s="43"/>
      <c r="S23" s="43"/>
      <c r="T23" s="43"/>
      <c r="U23" s="43"/>
    </row>
    <row r="24" spans="1:21" s="11" customFormat="1" x14ac:dyDescent="0.25">
      <c r="A24" s="51" t="s">
        <v>531</v>
      </c>
      <c r="B24" s="52">
        <v>1.62</v>
      </c>
      <c r="C24" s="52">
        <v>42.26</v>
      </c>
      <c r="D24" s="52">
        <v>40.630000000000003</v>
      </c>
      <c r="E24" s="52">
        <v>9.84</v>
      </c>
      <c r="F24" s="52">
        <v>42.21</v>
      </c>
      <c r="G24" s="52">
        <v>47.41</v>
      </c>
      <c r="H24" s="52">
        <v>19.77</v>
      </c>
      <c r="I24" s="52">
        <v>4.0599999999999996</v>
      </c>
      <c r="J24" s="52">
        <v>2.16</v>
      </c>
      <c r="K24" s="52">
        <v>290.14</v>
      </c>
      <c r="L24" s="52">
        <v>39.74</v>
      </c>
      <c r="M24" s="52">
        <v>22.24</v>
      </c>
      <c r="N24" s="52">
        <v>380.6</v>
      </c>
      <c r="O24" s="52">
        <v>0</v>
      </c>
      <c r="P24" s="52">
        <v>0.51</v>
      </c>
      <c r="Q24" s="52">
        <v>9.64</v>
      </c>
      <c r="R24" s="43"/>
      <c r="S24" s="43"/>
      <c r="T24" s="43"/>
      <c r="U24" s="43"/>
    </row>
    <row r="25" spans="1:21" s="11" customFormat="1" x14ac:dyDescent="0.25">
      <c r="A25" s="51" t="s">
        <v>532</v>
      </c>
      <c r="B25" s="52">
        <v>0.82</v>
      </c>
      <c r="C25" s="52">
        <v>44.1</v>
      </c>
      <c r="D25" s="52">
        <v>43.67</v>
      </c>
      <c r="E25" s="52">
        <v>12.05</v>
      </c>
      <c r="F25" s="52">
        <v>43.45</v>
      </c>
      <c r="G25" s="52">
        <v>46.21</v>
      </c>
      <c r="H25" s="52">
        <v>19.77</v>
      </c>
      <c r="I25" s="52">
        <v>4.04</v>
      </c>
      <c r="J25" s="52">
        <v>1.76</v>
      </c>
      <c r="K25" s="52">
        <v>265.36</v>
      </c>
      <c r="L25" s="52">
        <v>38.67</v>
      </c>
      <c r="M25" s="52">
        <v>21.31</v>
      </c>
      <c r="N25" s="52">
        <v>143</v>
      </c>
      <c r="O25" s="52">
        <v>0</v>
      </c>
      <c r="P25" s="52">
        <v>0.5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533</v>
      </c>
      <c r="B26" s="52">
        <v>0.37</v>
      </c>
      <c r="C26" s="52">
        <v>50.69</v>
      </c>
      <c r="D26" s="52">
        <v>50.36</v>
      </c>
      <c r="E26" s="52">
        <v>15.9</v>
      </c>
      <c r="F26" s="52">
        <v>40.72</v>
      </c>
      <c r="G26" s="52">
        <v>45.91</v>
      </c>
      <c r="H26" s="52">
        <v>15.43</v>
      </c>
      <c r="I26" s="52">
        <v>4.09</v>
      </c>
      <c r="J26" s="52">
        <v>1.33</v>
      </c>
      <c r="K26" s="52">
        <v>242.23</v>
      </c>
      <c r="L26" s="52">
        <v>38.020000000000003</v>
      </c>
      <c r="M26" s="52">
        <v>24.15</v>
      </c>
      <c r="N26" s="52">
        <v>103.1</v>
      </c>
      <c r="O26" s="52">
        <v>0</v>
      </c>
      <c r="P26" s="52">
        <v>0.67</v>
      </c>
      <c r="Q26" s="52">
        <v>9.57</v>
      </c>
      <c r="R26" s="43"/>
      <c r="S26" s="43"/>
      <c r="T26" s="43"/>
      <c r="U26" s="43"/>
    </row>
    <row r="27" spans="1:21" s="11" customFormat="1" x14ac:dyDescent="0.25">
      <c r="A27" s="51" t="s">
        <v>534</v>
      </c>
      <c r="B27" s="52">
        <v>18.43</v>
      </c>
      <c r="C27" s="52">
        <v>164.52</v>
      </c>
      <c r="D27" s="52">
        <v>146.09</v>
      </c>
      <c r="E27" s="52">
        <v>16.61</v>
      </c>
      <c r="F27" s="52">
        <v>37.57</v>
      </c>
      <c r="G27" s="52">
        <v>52.89</v>
      </c>
      <c r="H27" s="52">
        <v>17</v>
      </c>
      <c r="I27" s="52">
        <v>4.08</v>
      </c>
      <c r="J27" s="52">
        <v>1.57</v>
      </c>
      <c r="K27" s="52">
        <v>256.82</v>
      </c>
      <c r="L27" s="52">
        <v>36.409999999999997</v>
      </c>
      <c r="M27" s="52">
        <v>28.57</v>
      </c>
      <c r="N27" s="52">
        <v>57.3</v>
      </c>
      <c r="O27" s="52">
        <v>0</v>
      </c>
      <c r="P27" s="52">
        <v>1.1499999999999999</v>
      </c>
      <c r="Q27" s="52">
        <v>9.5500000000000007</v>
      </c>
      <c r="R27" s="43"/>
      <c r="S27" s="43"/>
      <c r="T27" s="43"/>
      <c r="U27" s="43"/>
    </row>
    <row r="28" spans="1:21" s="11" customFormat="1" x14ac:dyDescent="0.25">
      <c r="A28" s="51" t="s">
        <v>535</v>
      </c>
      <c r="B28" s="52">
        <v>9.7799999999999994</v>
      </c>
      <c r="C28" s="52">
        <v>140.31</v>
      </c>
      <c r="D28" s="52">
        <v>130.53</v>
      </c>
      <c r="E28" s="52">
        <v>10.99</v>
      </c>
      <c r="F28" s="52">
        <v>25.25</v>
      </c>
      <c r="G28" s="52">
        <v>66.84</v>
      </c>
      <c r="H28" s="52">
        <v>19.64</v>
      </c>
      <c r="I28" s="52">
        <v>4.08</v>
      </c>
      <c r="J28" s="52">
        <v>1.86</v>
      </c>
      <c r="K28" s="52">
        <v>181.26</v>
      </c>
      <c r="L28" s="52">
        <v>34.42</v>
      </c>
      <c r="M28" s="52">
        <v>30.66</v>
      </c>
      <c r="N28" s="52">
        <v>50.7</v>
      </c>
      <c r="O28" s="52">
        <v>0</v>
      </c>
      <c r="P28" s="52">
        <v>1.05</v>
      </c>
      <c r="Q28" s="52">
        <v>9.52</v>
      </c>
      <c r="R28" s="43"/>
      <c r="S28" s="43"/>
      <c r="T28" s="43"/>
      <c r="U28" s="43"/>
    </row>
    <row r="29" spans="1:21" s="11" customFormat="1" x14ac:dyDescent="0.25">
      <c r="A29" s="51" t="s">
        <v>536</v>
      </c>
      <c r="B29" s="52">
        <v>3.59</v>
      </c>
      <c r="C29" s="52">
        <v>65.14</v>
      </c>
      <c r="D29" s="52">
        <v>61.55</v>
      </c>
      <c r="E29" s="52">
        <v>3.95</v>
      </c>
      <c r="F29" s="52">
        <v>14.37</v>
      </c>
      <c r="G29" s="52">
        <v>67.260000000000005</v>
      </c>
      <c r="H29" s="52">
        <v>20.9</v>
      </c>
      <c r="I29" s="52">
        <v>4.03</v>
      </c>
      <c r="J29" s="52">
        <v>2.74</v>
      </c>
      <c r="K29" s="52">
        <v>179.83</v>
      </c>
      <c r="L29" s="52">
        <v>33.46</v>
      </c>
      <c r="M29" s="52">
        <v>41.14</v>
      </c>
      <c r="N29" s="52">
        <v>51.1</v>
      </c>
      <c r="O29" s="52">
        <v>0</v>
      </c>
      <c r="P29" s="52">
        <v>0.77</v>
      </c>
      <c r="Q29" s="52">
        <v>9.52</v>
      </c>
      <c r="R29" s="43"/>
      <c r="S29" s="43"/>
      <c r="T29" s="43"/>
      <c r="U29" s="43"/>
    </row>
    <row r="30" spans="1:21" s="11" customFormat="1" x14ac:dyDescent="0.25">
      <c r="A30" s="51" t="s">
        <v>537</v>
      </c>
      <c r="B30" s="52">
        <v>1.82</v>
      </c>
      <c r="C30" s="52">
        <v>53.53</v>
      </c>
      <c r="D30" s="52">
        <v>51.72</v>
      </c>
      <c r="E30" s="52">
        <v>3.57</v>
      </c>
      <c r="F30" s="52">
        <v>15.82</v>
      </c>
      <c r="G30" s="52">
        <v>67.260000000000005</v>
      </c>
      <c r="H30" s="52">
        <v>20.9</v>
      </c>
      <c r="I30" s="52">
        <v>4.2</v>
      </c>
      <c r="J30" s="52">
        <v>2.46</v>
      </c>
      <c r="K30" s="52">
        <v>181.24</v>
      </c>
      <c r="L30" s="52">
        <v>31.52</v>
      </c>
      <c r="M30" s="52">
        <v>44.37</v>
      </c>
      <c r="N30" s="52">
        <v>50.9</v>
      </c>
      <c r="O30" s="52">
        <v>0</v>
      </c>
      <c r="P30" s="52">
        <v>0.61</v>
      </c>
      <c r="Q30" s="52">
        <v>9.57</v>
      </c>
      <c r="R30" s="43"/>
      <c r="S30" s="43"/>
      <c r="T30" s="43"/>
      <c r="U30" s="43"/>
    </row>
    <row r="31" spans="1:21" s="11" customFormat="1" x14ac:dyDescent="0.25">
      <c r="A31" s="51" t="s">
        <v>538</v>
      </c>
      <c r="B31" s="52">
        <v>2.33</v>
      </c>
      <c r="C31" s="52">
        <v>47.89</v>
      </c>
      <c r="D31" s="52">
        <v>45.8</v>
      </c>
      <c r="E31" s="52">
        <v>3.71</v>
      </c>
      <c r="F31" s="52">
        <v>17.579999999999998</v>
      </c>
      <c r="G31" s="52">
        <v>57.57</v>
      </c>
      <c r="H31" s="52">
        <v>16.91</v>
      </c>
      <c r="I31" s="52">
        <v>4.09</v>
      </c>
      <c r="J31" s="52">
        <v>2.38</v>
      </c>
      <c r="K31" s="52">
        <v>201.86</v>
      </c>
      <c r="L31" s="52">
        <v>30.47</v>
      </c>
      <c r="M31" s="52">
        <v>46.74</v>
      </c>
      <c r="N31" s="52">
        <v>51.1</v>
      </c>
      <c r="O31" s="52">
        <v>0</v>
      </c>
      <c r="P31" s="52">
        <v>0.5</v>
      </c>
      <c r="Q31" s="52">
        <v>9.6</v>
      </c>
      <c r="R31" s="43"/>
      <c r="S31" s="43"/>
      <c r="T31" s="43"/>
      <c r="U31" s="43"/>
    </row>
    <row r="32" spans="1:21" s="11" customFormat="1" x14ac:dyDescent="0.25">
      <c r="A32" s="51" t="s">
        <v>539</v>
      </c>
      <c r="B32" s="52">
        <v>0.89</v>
      </c>
      <c r="C32" s="52">
        <v>41.09</v>
      </c>
      <c r="D32" s="52">
        <v>40.270000000000003</v>
      </c>
      <c r="E32" s="52">
        <v>3.84</v>
      </c>
      <c r="F32" s="52">
        <v>19.91</v>
      </c>
      <c r="G32" s="52">
        <v>47.45</v>
      </c>
      <c r="H32" s="52">
        <v>16.34</v>
      </c>
      <c r="I32" s="52">
        <v>4.12</v>
      </c>
      <c r="J32" s="52">
        <v>1.44</v>
      </c>
      <c r="K32" s="52">
        <v>218.99</v>
      </c>
      <c r="L32" s="52">
        <v>29.5</v>
      </c>
      <c r="M32" s="52">
        <v>48.47</v>
      </c>
      <c r="N32" s="52">
        <v>51.4</v>
      </c>
      <c r="O32" s="52">
        <v>0</v>
      </c>
      <c r="P32" s="52">
        <v>0.42</v>
      </c>
      <c r="Q32" s="52">
        <v>9.58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0.37</v>
      </c>
      <c r="C34" s="28">
        <f t="shared" si="0"/>
        <v>38.119999999999997</v>
      </c>
      <c r="D34" s="28">
        <f t="shared" si="0"/>
        <v>36.97</v>
      </c>
      <c r="E34" s="28">
        <f t="shared" si="0"/>
        <v>2.76</v>
      </c>
      <c r="F34" s="28">
        <f t="shared" si="0"/>
        <v>9.41</v>
      </c>
      <c r="G34" s="28">
        <f t="shared" si="0"/>
        <v>45.91</v>
      </c>
      <c r="H34" s="28">
        <f t="shared" si="0"/>
        <v>15.43</v>
      </c>
      <c r="I34" s="28">
        <f t="shared" si="0"/>
        <v>4</v>
      </c>
      <c r="J34" s="28">
        <f t="shared" si="0"/>
        <v>1.1100000000000001</v>
      </c>
      <c r="K34" s="28">
        <f t="shared" si="0"/>
        <v>89.58</v>
      </c>
      <c r="L34" s="28">
        <f t="shared" si="0"/>
        <v>26.45</v>
      </c>
      <c r="M34" s="28">
        <f t="shared" si="0"/>
        <v>21.31</v>
      </c>
      <c r="N34" s="28">
        <f t="shared" si="0"/>
        <v>50.7</v>
      </c>
      <c r="O34" s="28">
        <f t="shared" si="0"/>
        <v>0</v>
      </c>
      <c r="P34" s="28">
        <f t="shared" si="0"/>
        <v>0.42</v>
      </c>
      <c r="Q34" s="28">
        <f t="shared" si="0"/>
        <v>9.52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58.51</v>
      </c>
      <c r="C35" s="29">
        <f t="shared" si="1"/>
        <v>164.52</v>
      </c>
      <c r="D35" s="29">
        <f t="shared" si="1"/>
        <v>146.09</v>
      </c>
      <c r="E35" s="29">
        <f t="shared" si="1"/>
        <v>16.61</v>
      </c>
      <c r="F35" s="29">
        <f t="shared" si="1"/>
        <v>43.45</v>
      </c>
      <c r="G35" s="29">
        <f t="shared" si="1"/>
        <v>105.86</v>
      </c>
      <c r="H35" s="29">
        <f t="shared" si="1"/>
        <v>28.87</v>
      </c>
      <c r="I35" s="29">
        <f t="shared" si="1"/>
        <v>4.2</v>
      </c>
      <c r="J35" s="29">
        <f t="shared" si="1"/>
        <v>2.74</v>
      </c>
      <c r="K35" s="29">
        <f t="shared" si="1"/>
        <v>351.05</v>
      </c>
      <c r="L35" s="29">
        <f t="shared" si="1"/>
        <v>41.84</v>
      </c>
      <c r="M35" s="29">
        <f t="shared" si="1"/>
        <v>72.16</v>
      </c>
      <c r="N35" s="29">
        <f t="shared" si="1"/>
        <v>947.1</v>
      </c>
      <c r="O35" s="29">
        <f t="shared" si="1"/>
        <v>0</v>
      </c>
      <c r="P35" s="29">
        <f t="shared" si="1"/>
        <v>1.6</v>
      </c>
      <c r="Q35" s="29">
        <f t="shared" si="1"/>
        <v>9.73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12.800416666666663</v>
      </c>
      <c r="C36" s="28">
        <f t="shared" si="2"/>
        <v>71.222500000000011</v>
      </c>
      <c r="D36" s="28">
        <f t="shared" si="2"/>
        <v>58.734999999999992</v>
      </c>
      <c r="E36" s="28">
        <f t="shared" si="2"/>
        <v>6.4266666666666667</v>
      </c>
      <c r="F36" s="28">
        <f t="shared" si="2"/>
        <v>21.383333333333329</v>
      </c>
      <c r="G36" s="28">
        <f t="shared" si="2"/>
        <v>67.202083333333348</v>
      </c>
      <c r="H36" s="28">
        <f t="shared" si="2"/>
        <v>20.978749999999994</v>
      </c>
      <c r="I36" s="28">
        <f t="shared" si="2"/>
        <v>4.0950000000000006</v>
      </c>
      <c r="J36" s="28">
        <f t="shared" si="2"/>
        <v>1.6491666666666669</v>
      </c>
      <c r="K36" s="28">
        <f t="shared" si="2"/>
        <v>260.66874999999993</v>
      </c>
      <c r="L36" s="28">
        <f t="shared" si="2"/>
        <v>33.659999999999989</v>
      </c>
      <c r="M36" s="28">
        <f t="shared" si="2"/>
        <v>45.319583333333334</v>
      </c>
      <c r="N36" s="28">
        <f t="shared" si="2"/>
        <v>313.19166666666672</v>
      </c>
      <c r="O36" s="28">
        <f t="shared" si="2"/>
        <v>0</v>
      </c>
      <c r="P36" s="28">
        <f t="shared" si="2"/>
        <v>0.73291666666666677</v>
      </c>
      <c r="Q36" s="28">
        <f t="shared" si="2"/>
        <v>9.6325000000000021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15.166749237313061</v>
      </c>
      <c r="C37" s="28">
        <f t="shared" ref="C37:Q37" si="3">STDEV(C9:C32)</f>
        <v>34.615824007802146</v>
      </c>
      <c r="D37" s="28">
        <f t="shared" si="3"/>
        <v>26.461291828204313</v>
      </c>
      <c r="E37" s="28">
        <f t="shared" si="3"/>
        <v>4.1529012034717478</v>
      </c>
      <c r="F37" s="28">
        <f t="shared" si="3"/>
        <v>11.98211190888741</v>
      </c>
      <c r="G37" s="28">
        <f t="shared" si="3"/>
        <v>16.816804219787581</v>
      </c>
      <c r="H37" s="28">
        <f t="shared" si="3"/>
        <v>3.399777885967441</v>
      </c>
      <c r="I37" s="28">
        <f t="shared" si="3"/>
        <v>5.8829155741157824E-2</v>
      </c>
      <c r="J37" s="28">
        <f t="shared" si="3"/>
        <v>0.41203542129991227</v>
      </c>
      <c r="K37" s="28">
        <f t="shared" si="3"/>
        <v>60.027135263435824</v>
      </c>
      <c r="L37" s="28">
        <f t="shared" si="3"/>
        <v>5.1574016039424766</v>
      </c>
      <c r="M37" s="28">
        <f t="shared" si="3"/>
        <v>18.039896239739843</v>
      </c>
      <c r="N37" s="28">
        <f t="shared" si="3"/>
        <v>348.00352186706965</v>
      </c>
      <c r="O37" s="28">
        <f t="shared" si="3"/>
        <v>0</v>
      </c>
      <c r="P37" s="28">
        <f t="shared" si="3"/>
        <v>0.27982104788700107</v>
      </c>
      <c r="Q37" s="28">
        <f t="shared" si="3"/>
        <v>6.0881210066246604E-2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21/04/2025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540</v>
      </c>
      <c r="B9" s="52">
        <v>1.65</v>
      </c>
      <c r="C9" s="52">
        <v>36.549999999999997</v>
      </c>
      <c r="D9" s="52">
        <v>34.9</v>
      </c>
      <c r="E9" s="52">
        <v>3.83</v>
      </c>
      <c r="F9" s="52">
        <v>20.99</v>
      </c>
      <c r="G9" s="52">
        <v>42.94</v>
      </c>
      <c r="H9" s="52">
        <v>16</v>
      </c>
      <c r="I9" s="52">
        <v>4.05</v>
      </c>
      <c r="J9" s="52">
        <v>1.1200000000000001</v>
      </c>
      <c r="K9" s="52">
        <v>290.93</v>
      </c>
      <c r="L9" s="52">
        <v>28.49</v>
      </c>
      <c r="M9" s="52">
        <v>53.17</v>
      </c>
      <c r="N9" s="52">
        <v>51.5</v>
      </c>
      <c r="O9" s="52">
        <v>0</v>
      </c>
      <c r="P9" s="52">
        <v>0.44</v>
      </c>
      <c r="Q9" s="52">
        <v>9.6</v>
      </c>
      <c r="R9" s="43"/>
      <c r="S9" s="43"/>
      <c r="T9" s="43"/>
      <c r="U9" s="43"/>
    </row>
    <row r="10" spans="1:21" s="11" customFormat="1" x14ac:dyDescent="0.25">
      <c r="A10" s="51" t="s">
        <v>541</v>
      </c>
      <c r="B10" s="52">
        <v>7.83</v>
      </c>
      <c r="C10" s="52">
        <v>48.25</v>
      </c>
      <c r="D10" s="52">
        <v>40.42</v>
      </c>
      <c r="E10" s="52">
        <v>3.75</v>
      </c>
      <c r="F10" s="52">
        <v>16.68</v>
      </c>
      <c r="G10" s="52">
        <v>40.04</v>
      </c>
      <c r="H10" s="52">
        <v>13.6</v>
      </c>
      <c r="I10" s="52">
        <v>4</v>
      </c>
      <c r="J10" s="52">
        <v>1.07</v>
      </c>
      <c r="K10" s="52">
        <v>322.14999999999998</v>
      </c>
      <c r="L10" s="52">
        <v>28.36</v>
      </c>
      <c r="M10" s="52">
        <v>54.88</v>
      </c>
      <c r="N10" s="52">
        <v>51.7</v>
      </c>
      <c r="O10" s="52">
        <v>0</v>
      </c>
      <c r="P10" s="52">
        <v>0.42</v>
      </c>
      <c r="Q10" s="52">
        <v>9.6199999999999992</v>
      </c>
      <c r="R10" s="43"/>
      <c r="S10" s="43"/>
      <c r="T10" s="43"/>
      <c r="U10" s="43"/>
    </row>
    <row r="11" spans="1:21" s="11" customFormat="1" x14ac:dyDescent="0.25">
      <c r="A11" s="51" t="s">
        <v>542</v>
      </c>
      <c r="B11" s="52">
        <v>1.57</v>
      </c>
      <c r="C11" s="52">
        <v>41.3</v>
      </c>
      <c r="D11" s="52">
        <v>39.729999999999997</v>
      </c>
      <c r="E11" s="52">
        <v>3.33</v>
      </c>
      <c r="F11" s="52">
        <v>17.8</v>
      </c>
      <c r="G11" s="52">
        <v>38.97</v>
      </c>
      <c r="H11" s="52">
        <v>15.43</v>
      </c>
      <c r="I11" s="52">
        <v>4.05</v>
      </c>
      <c r="J11" s="52">
        <v>1.58</v>
      </c>
      <c r="K11" s="52">
        <v>225.08</v>
      </c>
      <c r="L11" s="52">
        <v>28.2</v>
      </c>
      <c r="M11" s="52">
        <v>53.26</v>
      </c>
      <c r="N11" s="52">
        <v>52.1</v>
      </c>
      <c r="O11" s="52">
        <v>0</v>
      </c>
      <c r="P11" s="52">
        <v>0.38</v>
      </c>
      <c r="Q11" s="52">
        <v>9.6199999999999992</v>
      </c>
      <c r="R11" s="43"/>
      <c r="S11" s="43"/>
      <c r="T11" s="43"/>
      <c r="U11" s="43"/>
    </row>
    <row r="12" spans="1:21" s="11" customFormat="1" x14ac:dyDescent="0.25">
      <c r="A12" s="51" t="s">
        <v>543</v>
      </c>
      <c r="B12" s="52">
        <v>0.99</v>
      </c>
      <c r="C12" s="52">
        <v>34.83</v>
      </c>
      <c r="D12" s="52">
        <v>33.840000000000003</v>
      </c>
      <c r="E12" s="52">
        <v>3.59</v>
      </c>
      <c r="F12" s="52">
        <v>19.46</v>
      </c>
      <c r="G12" s="52">
        <v>38.78</v>
      </c>
      <c r="H12" s="52">
        <v>15.43</v>
      </c>
      <c r="I12" s="52">
        <v>3.96</v>
      </c>
      <c r="J12" s="52">
        <v>1.18</v>
      </c>
      <c r="K12" s="52">
        <v>269.95999999999998</v>
      </c>
      <c r="L12" s="52">
        <v>28</v>
      </c>
      <c r="M12" s="52">
        <v>50.82</v>
      </c>
      <c r="N12" s="52">
        <v>52.4</v>
      </c>
      <c r="O12" s="52">
        <v>0</v>
      </c>
      <c r="P12" s="52">
        <v>0.37</v>
      </c>
      <c r="Q12" s="52">
        <v>9.61</v>
      </c>
      <c r="R12" s="43"/>
      <c r="S12" s="43"/>
      <c r="T12" s="43"/>
      <c r="U12" s="43"/>
    </row>
    <row r="13" spans="1:21" s="11" customFormat="1" x14ac:dyDescent="0.25">
      <c r="A13" s="51" t="s">
        <v>544</v>
      </c>
      <c r="B13" s="52">
        <v>1.99</v>
      </c>
      <c r="C13" s="52">
        <v>45.44</v>
      </c>
      <c r="D13" s="52">
        <v>43.71</v>
      </c>
      <c r="E13" s="52">
        <v>3.67</v>
      </c>
      <c r="F13" s="52">
        <v>18.73</v>
      </c>
      <c r="G13" s="52">
        <v>36.76</v>
      </c>
      <c r="H13" s="52">
        <v>13.94</v>
      </c>
      <c r="I13" s="52">
        <v>4.12</v>
      </c>
      <c r="J13" s="52">
        <v>1.76</v>
      </c>
      <c r="K13" s="52">
        <v>220.03</v>
      </c>
      <c r="L13" s="52">
        <v>27.35</v>
      </c>
      <c r="M13" s="52">
        <v>56.31</v>
      </c>
      <c r="N13" s="52">
        <v>52.4</v>
      </c>
      <c r="O13" s="52">
        <v>0</v>
      </c>
      <c r="P13" s="52">
        <v>0.36</v>
      </c>
      <c r="Q13" s="52">
        <v>9.61</v>
      </c>
      <c r="R13" s="43"/>
      <c r="S13" s="43"/>
      <c r="T13" s="43"/>
      <c r="U13" s="43"/>
    </row>
    <row r="14" spans="1:21" s="11" customFormat="1" x14ac:dyDescent="0.25">
      <c r="A14" s="51" t="s">
        <v>545</v>
      </c>
      <c r="B14" s="52">
        <v>1.51</v>
      </c>
      <c r="C14" s="52">
        <v>39.630000000000003</v>
      </c>
      <c r="D14" s="52">
        <v>38.15</v>
      </c>
      <c r="E14" s="52">
        <v>3.63</v>
      </c>
      <c r="F14" s="52">
        <v>15.66</v>
      </c>
      <c r="G14" s="52">
        <v>39.33</v>
      </c>
      <c r="H14" s="52">
        <v>12.44</v>
      </c>
      <c r="I14" s="52">
        <v>4.01</v>
      </c>
      <c r="J14" s="52">
        <v>1.34</v>
      </c>
      <c r="K14" s="52">
        <v>235.08</v>
      </c>
      <c r="L14" s="52">
        <v>26.84</v>
      </c>
      <c r="M14" s="52">
        <v>57.31</v>
      </c>
      <c r="N14" s="52">
        <v>65.099999999999994</v>
      </c>
      <c r="O14" s="52">
        <v>0</v>
      </c>
      <c r="P14" s="52">
        <v>0.42</v>
      </c>
      <c r="Q14" s="52">
        <v>9.61</v>
      </c>
      <c r="R14" s="43"/>
      <c r="S14" s="43"/>
      <c r="T14" s="43"/>
      <c r="U14" s="43"/>
    </row>
    <row r="15" spans="1:21" s="11" customFormat="1" x14ac:dyDescent="0.25">
      <c r="A15" s="51" t="s">
        <v>546</v>
      </c>
      <c r="B15" s="52">
        <v>6.68</v>
      </c>
      <c r="C15" s="52">
        <v>63.97</v>
      </c>
      <c r="D15" s="52">
        <v>57.3</v>
      </c>
      <c r="E15" s="52">
        <v>3.52</v>
      </c>
      <c r="F15" s="52">
        <v>15.49</v>
      </c>
      <c r="G15" s="52">
        <v>43.76</v>
      </c>
      <c r="H15" s="52">
        <v>14.16</v>
      </c>
      <c r="I15" s="52">
        <v>4.0999999999999996</v>
      </c>
      <c r="J15" s="52">
        <v>1.73</v>
      </c>
      <c r="K15" s="52">
        <v>218.75</v>
      </c>
      <c r="L15" s="52">
        <v>29.29</v>
      </c>
      <c r="M15" s="52">
        <v>57.5</v>
      </c>
      <c r="N15" s="52">
        <v>197.5</v>
      </c>
      <c r="O15" s="52">
        <v>0</v>
      </c>
      <c r="P15" s="52">
        <v>0.52</v>
      </c>
      <c r="Q15" s="52">
        <v>9.6</v>
      </c>
      <c r="R15" s="43"/>
      <c r="S15" s="43"/>
      <c r="T15" s="43"/>
      <c r="U15" s="43"/>
    </row>
    <row r="16" spans="1:21" s="11" customFormat="1" x14ac:dyDescent="0.25">
      <c r="A16" s="51" t="s">
        <v>547</v>
      </c>
      <c r="B16" s="52">
        <v>6.82</v>
      </c>
      <c r="C16" s="52">
        <v>54.45</v>
      </c>
      <c r="D16" s="52">
        <v>47.63</v>
      </c>
      <c r="E16" s="52">
        <v>3.26</v>
      </c>
      <c r="F16" s="52">
        <v>16.14</v>
      </c>
      <c r="G16" s="52">
        <v>51.74</v>
      </c>
      <c r="H16" s="52">
        <v>14.16</v>
      </c>
      <c r="I16" s="52">
        <v>4.1500000000000004</v>
      </c>
      <c r="J16" s="52">
        <v>2.4</v>
      </c>
      <c r="K16" s="52">
        <v>243.63</v>
      </c>
      <c r="L16" s="52">
        <v>31.43</v>
      </c>
      <c r="M16" s="52">
        <v>54.64</v>
      </c>
      <c r="N16" s="52">
        <v>417.6</v>
      </c>
      <c r="O16" s="52">
        <v>0</v>
      </c>
      <c r="P16" s="52">
        <v>0.46</v>
      </c>
      <c r="Q16" s="52">
        <v>9.61</v>
      </c>
      <c r="R16" s="43"/>
      <c r="S16" s="43"/>
      <c r="T16" s="43"/>
      <c r="U16" s="43"/>
    </row>
    <row r="17" spans="1:21" s="11" customFormat="1" x14ac:dyDescent="0.25">
      <c r="A17" s="51" t="s">
        <v>548</v>
      </c>
      <c r="B17" s="52">
        <v>5.52</v>
      </c>
      <c r="C17" s="52">
        <v>44.43</v>
      </c>
      <c r="D17" s="52">
        <v>40.44</v>
      </c>
      <c r="E17" s="52">
        <v>3.31</v>
      </c>
      <c r="F17" s="52">
        <v>16.11</v>
      </c>
      <c r="G17" s="52">
        <v>51.74</v>
      </c>
      <c r="H17" s="52">
        <v>15.79</v>
      </c>
      <c r="I17" s="52">
        <v>4.2</v>
      </c>
      <c r="J17" s="52">
        <v>1.54</v>
      </c>
      <c r="K17" s="52">
        <v>275.51</v>
      </c>
      <c r="L17" s="52">
        <v>34.54</v>
      </c>
      <c r="M17" s="52">
        <v>47.98</v>
      </c>
      <c r="N17" s="52">
        <v>639.5</v>
      </c>
      <c r="O17" s="52">
        <v>0</v>
      </c>
      <c r="P17" s="52">
        <v>0.51</v>
      </c>
      <c r="Q17" s="52">
        <v>9.6</v>
      </c>
      <c r="R17" s="43"/>
      <c r="S17" s="43"/>
      <c r="T17" s="43"/>
      <c r="U17" s="43"/>
    </row>
    <row r="18" spans="1:21" s="11" customFormat="1" x14ac:dyDescent="0.25">
      <c r="A18" s="51" t="s">
        <v>549</v>
      </c>
      <c r="B18" s="52">
        <v>1.25</v>
      </c>
      <c r="C18" s="52">
        <v>42.32</v>
      </c>
      <c r="D18" s="52">
        <v>41.15</v>
      </c>
      <c r="E18" s="52">
        <v>2.5099999999999998</v>
      </c>
      <c r="F18" s="52">
        <v>10.91</v>
      </c>
      <c r="G18" s="52">
        <v>50.34</v>
      </c>
      <c r="H18" s="52">
        <v>19.510000000000002</v>
      </c>
      <c r="I18" s="52">
        <v>4.0999999999999996</v>
      </c>
      <c r="J18" s="52">
        <v>1.68</v>
      </c>
      <c r="K18" s="52">
        <v>262.76</v>
      </c>
      <c r="L18" s="52">
        <v>35.72</v>
      </c>
      <c r="M18" s="52">
        <v>41.19</v>
      </c>
      <c r="N18" s="52">
        <v>821.6</v>
      </c>
      <c r="O18" s="52">
        <v>0</v>
      </c>
      <c r="P18" s="52">
        <v>0.46</v>
      </c>
      <c r="Q18" s="52">
        <v>9.6</v>
      </c>
      <c r="R18" s="43"/>
      <c r="S18" s="43"/>
      <c r="T18" s="43"/>
      <c r="U18" s="43"/>
    </row>
    <row r="19" spans="1:21" s="11" customFormat="1" x14ac:dyDescent="0.25">
      <c r="A19" s="51" t="s">
        <v>550</v>
      </c>
      <c r="B19" s="52">
        <v>0.69</v>
      </c>
      <c r="C19" s="52">
        <v>45.13</v>
      </c>
      <c r="D19" s="52">
        <v>44.78</v>
      </c>
      <c r="E19" s="52">
        <v>2.2400000000000002</v>
      </c>
      <c r="F19" s="52">
        <v>10.86</v>
      </c>
      <c r="G19" s="52">
        <v>51.9</v>
      </c>
      <c r="H19" s="52">
        <v>20.28</v>
      </c>
      <c r="I19" s="52">
        <v>4.0999999999999996</v>
      </c>
      <c r="J19" s="52">
        <v>1.93</v>
      </c>
      <c r="K19" s="52">
        <v>289.94</v>
      </c>
      <c r="L19" s="52">
        <v>39.99</v>
      </c>
      <c r="M19" s="52">
        <v>34.65</v>
      </c>
      <c r="N19" s="52">
        <v>895</v>
      </c>
      <c r="O19" s="52">
        <v>0</v>
      </c>
      <c r="P19" s="52">
        <v>0.48</v>
      </c>
      <c r="Q19" s="52">
        <v>9.6</v>
      </c>
      <c r="R19" s="43"/>
      <c r="S19" s="43"/>
      <c r="T19" s="43"/>
      <c r="U19" s="43"/>
    </row>
    <row r="20" spans="1:21" s="11" customFormat="1" x14ac:dyDescent="0.25">
      <c r="A20" s="51" t="s">
        <v>551</v>
      </c>
      <c r="B20" s="52">
        <v>0.15</v>
      </c>
      <c r="C20" s="52">
        <v>42.97</v>
      </c>
      <c r="D20" s="52">
        <v>42.82</v>
      </c>
      <c r="E20" s="52">
        <v>5.54</v>
      </c>
      <c r="F20" s="52">
        <v>19.690000000000001</v>
      </c>
      <c r="G20" s="52">
        <v>51.9</v>
      </c>
      <c r="H20" s="52">
        <v>20.28</v>
      </c>
      <c r="I20" s="52">
        <v>4.08</v>
      </c>
      <c r="J20" s="52">
        <v>1.98</v>
      </c>
      <c r="K20" s="52">
        <v>281.01</v>
      </c>
      <c r="L20" s="52">
        <v>39.85</v>
      </c>
      <c r="M20" s="52">
        <v>26.6</v>
      </c>
      <c r="N20" s="52">
        <v>935.4</v>
      </c>
      <c r="O20" s="52">
        <v>0</v>
      </c>
      <c r="P20" s="52">
        <v>0.55000000000000004</v>
      </c>
      <c r="Q20" s="52">
        <v>9.6199999999999992</v>
      </c>
      <c r="R20" s="43"/>
      <c r="S20" s="43"/>
      <c r="T20" s="43"/>
      <c r="U20" s="43"/>
    </row>
    <row r="21" spans="1:21" s="11" customFormat="1" x14ac:dyDescent="0.25">
      <c r="A21" s="51" t="s">
        <v>552</v>
      </c>
      <c r="B21" s="52">
        <v>1.1100000000000001</v>
      </c>
      <c r="C21" s="52">
        <v>48.35</v>
      </c>
      <c r="D21" s="52">
        <v>48.05</v>
      </c>
      <c r="E21" s="52">
        <v>6.57</v>
      </c>
      <c r="F21" s="52">
        <v>22.69</v>
      </c>
      <c r="G21" s="52">
        <v>48.41</v>
      </c>
      <c r="H21" s="52">
        <v>19.7</v>
      </c>
      <c r="I21" s="52">
        <v>4.03</v>
      </c>
      <c r="J21" s="52">
        <v>1.59</v>
      </c>
      <c r="K21" s="52">
        <v>282.25</v>
      </c>
      <c r="L21" s="52">
        <v>40.35</v>
      </c>
      <c r="M21" s="52">
        <v>22.92</v>
      </c>
      <c r="N21" s="52">
        <v>932.8</v>
      </c>
      <c r="O21" s="52">
        <v>0</v>
      </c>
      <c r="P21" s="52">
        <v>0.6</v>
      </c>
      <c r="Q21" s="52">
        <v>9.59</v>
      </c>
      <c r="R21" s="43"/>
      <c r="S21" s="43"/>
      <c r="T21" s="43"/>
      <c r="U21" s="43"/>
    </row>
    <row r="22" spans="1:21" s="11" customFormat="1" x14ac:dyDescent="0.25">
      <c r="A22" s="51" t="s">
        <v>553</v>
      </c>
      <c r="B22" s="52">
        <v>0.94</v>
      </c>
      <c r="C22" s="52">
        <v>51.94</v>
      </c>
      <c r="D22" s="52">
        <v>51</v>
      </c>
      <c r="E22" s="52">
        <v>12.79</v>
      </c>
      <c r="F22" s="52">
        <v>33.26</v>
      </c>
      <c r="G22" s="52">
        <v>53.09</v>
      </c>
      <c r="H22" s="52">
        <v>20.399999999999999</v>
      </c>
      <c r="I22" s="52">
        <v>4.04</v>
      </c>
      <c r="J22" s="52">
        <v>1.43</v>
      </c>
      <c r="K22" s="52">
        <v>264.51</v>
      </c>
      <c r="L22" s="52">
        <v>41.21</v>
      </c>
      <c r="M22" s="52">
        <v>21.41</v>
      </c>
      <c r="N22" s="52">
        <v>855.9</v>
      </c>
      <c r="O22" s="52">
        <v>0</v>
      </c>
      <c r="P22" s="52">
        <v>0.57999999999999996</v>
      </c>
      <c r="Q22" s="52">
        <v>9.59</v>
      </c>
      <c r="R22" s="43"/>
      <c r="S22" s="43"/>
      <c r="T22" s="43"/>
      <c r="U22" s="43"/>
    </row>
    <row r="23" spans="1:21" s="11" customFormat="1" x14ac:dyDescent="0.25">
      <c r="A23" s="51" t="s">
        <v>554</v>
      </c>
      <c r="B23" s="52">
        <v>0.48</v>
      </c>
      <c r="C23" s="52">
        <v>44.94</v>
      </c>
      <c r="D23" s="52">
        <v>44.46</v>
      </c>
      <c r="E23" s="52">
        <v>16.670000000000002</v>
      </c>
      <c r="F23" s="52">
        <v>44.79</v>
      </c>
      <c r="G23" s="52">
        <v>53.09</v>
      </c>
      <c r="H23" s="52">
        <v>20.399999999999999</v>
      </c>
      <c r="I23" s="52">
        <v>4.0199999999999996</v>
      </c>
      <c r="J23" s="52">
        <v>1.3</v>
      </c>
      <c r="K23" s="52">
        <v>224.7</v>
      </c>
      <c r="L23" s="52">
        <v>40.92</v>
      </c>
      <c r="M23" s="52">
        <v>21.16</v>
      </c>
      <c r="N23" s="52">
        <v>543.4</v>
      </c>
      <c r="O23" s="52">
        <v>0</v>
      </c>
      <c r="P23" s="52">
        <v>0.55000000000000004</v>
      </c>
      <c r="Q23" s="52">
        <v>9.57</v>
      </c>
      <c r="R23" s="43"/>
      <c r="S23" s="43"/>
      <c r="T23" s="43"/>
      <c r="U23" s="43"/>
    </row>
    <row r="24" spans="1:21" s="11" customFormat="1" x14ac:dyDescent="0.25">
      <c r="A24" s="51" t="s">
        <v>555</v>
      </c>
      <c r="B24" s="52">
        <v>2.2599999999999998</v>
      </c>
      <c r="C24" s="52">
        <v>55.12</v>
      </c>
      <c r="D24" s="52">
        <v>52.86</v>
      </c>
      <c r="E24" s="52">
        <v>16.2</v>
      </c>
      <c r="F24" s="52">
        <v>31.69</v>
      </c>
      <c r="G24" s="52">
        <v>53.6</v>
      </c>
      <c r="H24" s="52">
        <v>19.22</v>
      </c>
      <c r="I24" s="52">
        <v>4.1100000000000003</v>
      </c>
      <c r="J24" s="52">
        <v>1.97</v>
      </c>
      <c r="K24" s="52">
        <v>273.95999999999998</v>
      </c>
      <c r="L24" s="52">
        <v>40.14</v>
      </c>
      <c r="M24" s="52">
        <v>19.91</v>
      </c>
      <c r="N24" s="52">
        <v>374.9</v>
      </c>
      <c r="O24" s="52">
        <v>0</v>
      </c>
      <c r="P24" s="52">
        <v>0.56000000000000005</v>
      </c>
      <c r="Q24" s="52">
        <v>9.56</v>
      </c>
      <c r="R24" s="43"/>
      <c r="S24" s="43"/>
      <c r="T24" s="43"/>
      <c r="U24" s="43"/>
    </row>
    <row r="25" spans="1:21" s="11" customFormat="1" x14ac:dyDescent="0.25">
      <c r="A25" s="51" t="s">
        <v>556</v>
      </c>
      <c r="B25" s="52">
        <v>0.05</v>
      </c>
      <c r="C25" s="52">
        <v>43.48</v>
      </c>
      <c r="D25" s="52">
        <v>43.43</v>
      </c>
      <c r="E25" s="52">
        <v>17.82</v>
      </c>
      <c r="F25" s="52">
        <v>37.4</v>
      </c>
      <c r="G25" s="52">
        <v>53.6</v>
      </c>
      <c r="H25" s="52">
        <v>19.22</v>
      </c>
      <c r="I25" s="52">
        <v>4.24</v>
      </c>
      <c r="J25" s="52">
        <v>1.47</v>
      </c>
      <c r="K25" s="52">
        <v>233.73</v>
      </c>
      <c r="L25" s="52">
        <v>39.19</v>
      </c>
      <c r="M25" s="52">
        <v>19.2</v>
      </c>
      <c r="N25" s="52">
        <v>161.4</v>
      </c>
      <c r="O25" s="52">
        <v>0</v>
      </c>
      <c r="P25" s="52">
        <v>0.48</v>
      </c>
      <c r="Q25" s="52">
        <v>9.51</v>
      </c>
      <c r="R25" s="43"/>
      <c r="S25" s="43"/>
      <c r="T25" s="43"/>
      <c r="U25" s="43"/>
    </row>
    <row r="26" spans="1:21" s="11" customFormat="1" x14ac:dyDescent="0.25">
      <c r="A26" s="51" t="s">
        <v>557</v>
      </c>
      <c r="B26" s="52">
        <v>0.33</v>
      </c>
      <c r="C26" s="52">
        <v>72.64</v>
      </c>
      <c r="D26" s="52">
        <v>72.53</v>
      </c>
      <c r="E26" s="52">
        <v>17.96</v>
      </c>
      <c r="F26" s="52">
        <v>36.33</v>
      </c>
      <c r="G26" s="52">
        <v>55.82</v>
      </c>
      <c r="H26" s="52">
        <v>18.78</v>
      </c>
      <c r="I26" s="52">
        <v>4.01</v>
      </c>
      <c r="J26" s="52">
        <v>1.44</v>
      </c>
      <c r="K26" s="52">
        <v>229.68</v>
      </c>
      <c r="L26" s="52">
        <v>38.47</v>
      </c>
      <c r="M26" s="52">
        <v>22.82</v>
      </c>
      <c r="N26" s="52">
        <v>107.6</v>
      </c>
      <c r="O26" s="52">
        <v>0</v>
      </c>
      <c r="P26" s="52">
        <v>0.82</v>
      </c>
      <c r="Q26" s="52">
        <v>9.4600000000000009</v>
      </c>
      <c r="R26" s="43"/>
      <c r="S26" s="43"/>
      <c r="T26" s="43"/>
      <c r="U26" s="43"/>
    </row>
    <row r="27" spans="1:21" s="11" customFormat="1" x14ac:dyDescent="0.25">
      <c r="A27" s="51" t="s">
        <v>558</v>
      </c>
      <c r="B27" s="52">
        <v>1.1100000000000001</v>
      </c>
      <c r="C27" s="52">
        <v>88.06</v>
      </c>
      <c r="D27" s="52">
        <v>87.7</v>
      </c>
      <c r="E27" s="52">
        <v>14.4</v>
      </c>
      <c r="F27" s="52">
        <v>30.66</v>
      </c>
      <c r="G27" s="52">
        <v>57.12</v>
      </c>
      <c r="H27" s="52">
        <v>20.28</v>
      </c>
      <c r="I27" s="52">
        <v>4.2</v>
      </c>
      <c r="J27" s="52">
        <v>1.6</v>
      </c>
      <c r="K27" s="52">
        <v>231.21</v>
      </c>
      <c r="L27" s="52">
        <v>36.82</v>
      </c>
      <c r="M27" s="52">
        <v>26.24</v>
      </c>
      <c r="N27" s="52">
        <v>63.3</v>
      </c>
      <c r="O27" s="52">
        <v>0</v>
      </c>
      <c r="P27" s="52">
        <v>0.75</v>
      </c>
      <c r="Q27" s="52">
        <v>9.48</v>
      </c>
      <c r="R27" s="43"/>
      <c r="S27" s="43"/>
      <c r="T27" s="43"/>
      <c r="U27" s="43"/>
    </row>
    <row r="28" spans="1:21" s="11" customFormat="1" x14ac:dyDescent="0.25">
      <c r="A28" s="51" t="s">
        <v>559</v>
      </c>
      <c r="B28" s="52">
        <v>29.59</v>
      </c>
      <c r="C28" s="52">
        <v>128.77000000000001</v>
      </c>
      <c r="D28" s="52">
        <v>105.08</v>
      </c>
      <c r="E28" s="52">
        <v>11.62</v>
      </c>
      <c r="F28" s="52">
        <v>19.989999999999998</v>
      </c>
      <c r="G28" s="52">
        <v>73.150000000000006</v>
      </c>
      <c r="H28" s="52">
        <v>20.28</v>
      </c>
      <c r="I28" s="52">
        <v>4.2300000000000004</v>
      </c>
      <c r="J28" s="52">
        <v>1.3</v>
      </c>
      <c r="K28" s="52">
        <v>280.63</v>
      </c>
      <c r="L28" s="52">
        <v>35.130000000000003</v>
      </c>
      <c r="M28" s="52">
        <v>29.34</v>
      </c>
      <c r="N28" s="52">
        <v>54.6</v>
      </c>
      <c r="O28" s="52">
        <v>0</v>
      </c>
      <c r="P28" s="52">
        <v>2.0699999999999998</v>
      </c>
      <c r="Q28" s="52">
        <v>9.4700000000000006</v>
      </c>
      <c r="R28" s="43"/>
      <c r="S28" s="43"/>
      <c r="T28" s="43"/>
      <c r="U28" s="43"/>
    </row>
    <row r="29" spans="1:21" s="11" customFormat="1" x14ac:dyDescent="0.25">
      <c r="A29" s="51" t="s">
        <v>560</v>
      </c>
      <c r="B29" s="52">
        <v>160.12</v>
      </c>
      <c r="C29" s="52">
        <v>272.44</v>
      </c>
      <c r="D29" s="52">
        <v>122.59</v>
      </c>
      <c r="E29" s="52">
        <v>11.29</v>
      </c>
      <c r="F29" s="52">
        <v>10.72</v>
      </c>
      <c r="G29" s="52">
        <v>79.05</v>
      </c>
      <c r="H29" s="52">
        <v>23.6</v>
      </c>
      <c r="I29" s="52">
        <v>4.0999999999999996</v>
      </c>
      <c r="J29" s="52">
        <v>1.54</v>
      </c>
      <c r="K29" s="52">
        <v>281.2</v>
      </c>
      <c r="L29" s="52">
        <v>33.840000000000003</v>
      </c>
      <c r="M29" s="52">
        <v>32.909999999999997</v>
      </c>
      <c r="N29" s="52">
        <v>54.7</v>
      </c>
      <c r="O29" s="52">
        <v>0</v>
      </c>
      <c r="P29" s="52">
        <v>3.47</v>
      </c>
      <c r="Q29" s="52">
        <v>9.4600000000000009</v>
      </c>
      <c r="R29" s="43"/>
      <c r="S29" s="43"/>
      <c r="T29" s="43"/>
      <c r="U29" s="43"/>
    </row>
    <row r="30" spans="1:21" s="11" customFormat="1" x14ac:dyDescent="0.25">
      <c r="A30" s="51" t="s">
        <v>561</v>
      </c>
      <c r="B30" s="52">
        <v>88.23</v>
      </c>
      <c r="C30" s="52">
        <v>200.11</v>
      </c>
      <c r="D30" s="52">
        <v>111.89</v>
      </c>
      <c r="E30" s="52">
        <v>10.92</v>
      </c>
      <c r="F30" s="52">
        <v>11.83</v>
      </c>
      <c r="G30" s="52">
        <v>92.84</v>
      </c>
      <c r="H30" s="52">
        <v>25.85</v>
      </c>
      <c r="I30" s="52">
        <v>4.17</v>
      </c>
      <c r="J30" s="52">
        <v>1.64</v>
      </c>
      <c r="K30" s="52">
        <v>299.52</v>
      </c>
      <c r="L30" s="52">
        <v>31.64</v>
      </c>
      <c r="M30" s="52">
        <v>36.93</v>
      </c>
      <c r="N30" s="52">
        <v>54.6</v>
      </c>
      <c r="O30" s="52">
        <v>0</v>
      </c>
      <c r="P30" s="52">
        <v>2.68</v>
      </c>
      <c r="Q30" s="52">
        <v>9.48</v>
      </c>
      <c r="R30" s="43"/>
      <c r="S30" s="43"/>
      <c r="T30" s="43"/>
      <c r="U30" s="43"/>
    </row>
    <row r="31" spans="1:21" s="11" customFormat="1" x14ac:dyDescent="0.25">
      <c r="A31" s="51" t="s">
        <v>562</v>
      </c>
      <c r="B31" s="52">
        <v>63.9</v>
      </c>
      <c r="C31" s="52">
        <v>169.39</v>
      </c>
      <c r="D31" s="52">
        <v>105.49</v>
      </c>
      <c r="E31" s="52">
        <v>9</v>
      </c>
      <c r="F31" s="52">
        <v>12.83</v>
      </c>
      <c r="G31" s="52">
        <v>92.84</v>
      </c>
      <c r="H31" s="52">
        <v>25.85</v>
      </c>
      <c r="I31" s="52">
        <v>4.04</v>
      </c>
      <c r="J31" s="52">
        <v>1.46</v>
      </c>
      <c r="K31" s="52">
        <v>291.11</v>
      </c>
      <c r="L31" s="52">
        <v>31.72</v>
      </c>
      <c r="M31" s="52">
        <v>28.91</v>
      </c>
      <c r="N31" s="52">
        <v>54.9</v>
      </c>
      <c r="O31" s="52">
        <v>0</v>
      </c>
      <c r="P31" s="52">
        <v>1.6</v>
      </c>
      <c r="Q31" s="52">
        <v>9.5299999999999994</v>
      </c>
      <c r="R31" s="43"/>
      <c r="S31" s="43"/>
      <c r="T31" s="43"/>
      <c r="U31" s="43"/>
    </row>
    <row r="32" spans="1:21" s="11" customFormat="1" x14ac:dyDescent="0.25">
      <c r="A32" s="51" t="s">
        <v>563</v>
      </c>
      <c r="B32" s="52">
        <v>59.01</v>
      </c>
      <c r="C32" s="52">
        <v>140.72</v>
      </c>
      <c r="D32" s="52">
        <v>81.709999999999994</v>
      </c>
      <c r="E32" s="52">
        <v>6.81</v>
      </c>
      <c r="F32" s="52">
        <v>9.4499999999999993</v>
      </c>
      <c r="G32" s="52">
        <v>91.43</v>
      </c>
      <c r="H32" s="52">
        <v>24.94</v>
      </c>
      <c r="I32" s="52">
        <v>4.03</v>
      </c>
      <c r="J32" s="52">
        <v>1.67</v>
      </c>
      <c r="K32" s="52">
        <v>343.9</v>
      </c>
      <c r="L32" s="52">
        <v>30.51</v>
      </c>
      <c r="M32" s="52">
        <v>39.619999999999997</v>
      </c>
      <c r="N32" s="52">
        <v>55</v>
      </c>
      <c r="O32" s="52">
        <v>0</v>
      </c>
      <c r="P32" s="52">
        <v>1.32</v>
      </c>
      <c r="Q32" s="52">
        <v>9.6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0.05</v>
      </c>
      <c r="C34" s="28">
        <f t="shared" si="0"/>
        <v>34.83</v>
      </c>
      <c r="D34" s="28">
        <f t="shared" si="0"/>
        <v>33.840000000000003</v>
      </c>
      <c r="E34" s="28">
        <f t="shared" si="0"/>
        <v>2.2400000000000002</v>
      </c>
      <c r="F34" s="28">
        <f t="shared" si="0"/>
        <v>9.4499999999999993</v>
      </c>
      <c r="G34" s="28">
        <f t="shared" si="0"/>
        <v>36.76</v>
      </c>
      <c r="H34" s="28">
        <f t="shared" si="0"/>
        <v>12.44</v>
      </c>
      <c r="I34" s="28">
        <f t="shared" si="0"/>
        <v>3.96</v>
      </c>
      <c r="J34" s="28">
        <f t="shared" si="0"/>
        <v>1.07</v>
      </c>
      <c r="K34" s="28">
        <f t="shared" si="0"/>
        <v>218.75</v>
      </c>
      <c r="L34" s="28">
        <f t="shared" si="0"/>
        <v>26.84</v>
      </c>
      <c r="M34" s="28">
        <f t="shared" si="0"/>
        <v>19.2</v>
      </c>
      <c r="N34" s="28">
        <f t="shared" si="0"/>
        <v>51.5</v>
      </c>
      <c r="O34" s="28">
        <f t="shared" si="0"/>
        <v>0</v>
      </c>
      <c r="P34" s="28">
        <f t="shared" si="0"/>
        <v>0.36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160.12</v>
      </c>
      <c r="C35" s="29">
        <f t="shared" si="1"/>
        <v>272.44</v>
      </c>
      <c r="D35" s="29">
        <f t="shared" si="1"/>
        <v>122.59</v>
      </c>
      <c r="E35" s="29">
        <f t="shared" si="1"/>
        <v>17.96</v>
      </c>
      <c r="F35" s="29">
        <f t="shared" si="1"/>
        <v>44.79</v>
      </c>
      <c r="G35" s="29">
        <f t="shared" si="1"/>
        <v>92.84</v>
      </c>
      <c r="H35" s="29">
        <f t="shared" si="1"/>
        <v>25.85</v>
      </c>
      <c r="I35" s="29">
        <f t="shared" si="1"/>
        <v>4.24</v>
      </c>
      <c r="J35" s="29">
        <f t="shared" si="1"/>
        <v>2.4</v>
      </c>
      <c r="K35" s="29">
        <f t="shared" si="1"/>
        <v>343.9</v>
      </c>
      <c r="L35" s="29">
        <f t="shared" si="1"/>
        <v>41.21</v>
      </c>
      <c r="M35" s="29">
        <f t="shared" si="1"/>
        <v>57.5</v>
      </c>
      <c r="N35" s="29">
        <f t="shared" si="1"/>
        <v>935.4</v>
      </c>
      <c r="O35" s="29">
        <f t="shared" si="1"/>
        <v>0</v>
      </c>
      <c r="P35" s="29">
        <f t="shared" si="1"/>
        <v>3.47</v>
      </c>
      <c r="Q35" s="29">
        <f t="shared" si="1"/>
        <v>9.6199999999999992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18.490833333333331</v>
      </c>
      <c r="C36" s="28">
        <f t="shared" si="2"/>
        <v>77.301249999999996</v>
      </c>
      <c r="D36" s="28">
        <f t="shared" si="2"/>
        <v>59.652500000000003</v>
      </c>
      <c r="E36" s="28">
        <f t="shared" si="2"/>
        <v>8.0929166666666674</v>
      </c>
      <c r="F36" s="28">
        <f t="shared" si="2"/>
        <v>20.84</v>
      </c>
      <c r="G36" s="28">
        <f t="shared" si="2"/>
        <v>55.926666666666669</v>
      </c>
      <c r="H36" s="28">
        <f t="shared" si="2"/>
        <v>18.730833333333333</v>
      </c>
      <c r="I36" s="28">
        <f t="shared" si="2"/>
        <v>4.0891666666666673</v>
      </c>
      <c r="J36" s="28">
        <f t="shared" si="2"/>
        <v>1.571666666666667</v>
      </c>
      <c r="K36" s="28">
        <f t="shared" si="2"/>
        <v>265.46791666666661</v>
      </c>
      <c r="L36" s="28">
        <f t="shared" si="2"/>
        <v>34.083333333333343</v>
      </c>
      <c r="M36" s="28">
        <f t="shared" si="2"/>
        <v>37.903333333333329</v>
      </c>
      <c r="N36" s="28">
        <f t="shared" si="2"/>
        <v>314.37083333333334</v>
      </c>
      <c r="O36" s="28">
        <f t="shared" si="2"/>
        <v>0</v>
      </c>
      <c r="P36" s="28">
        <f t="shared" si="2"/>
        <v>0.86875000000000024</v>
      </c>
      <c r="Q36" s="28">
        <f t="shared" si="2"/>
        <v>9.5666666666666647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38.37131151135506</v>
      </c>
      <c r="C37" s="28">
        <f t="shared" ref="C37:Q37" si="3">STDEV(C9:C32)</f>
        <v>61.102530248078878</v>
      </c>
      <c r="D37" s="28">
        <f t="shared" si="3"/>
        <v>27.323820989719959</v>
      </c>
      <c r="E37" s="28">
        <f t="shared" si="3"/>
        <v>5.4657562261034283</v>
      </c>
      <c r="F37" s="28">
        <f t="shared" si="3"/>
        <v>9.7137083770711712</v>
      </c>
      <c r="G37" s="28">
        <f t="shared" si="3"/>
        <v>17.186916830686286</v>
      </c>
      <c r="H37" s="28">
        <f t="shared" si="3"/>
        <v>3.8973847604534146</v>
      </c>
      <c r="I37" s="28">
        <f t="shared" si="3"/>
        <v>7.6948128585129602E-2</v>
      </c>
      <c r="J37" s="28">
        <f t="shared" si="3"/>
        <v>0.30219007359559119</v>
      </c>
      <c r="K37" s="28">
        <f t="shared" si="3"/>
        <v>33.643302709605855</v>
      </c>
      <c r="L37" s="28">
        <f t="shared" si="3"/>
        <v>5.0488282468971146</v>
      </c>
      <c r="M37" s="28">
        <f t="shared" si="3"/>
        <v>14.066965825515901</v>
      </c>
      <c r="N37" s="28">
        <f t="shared" si="3"/>
        <v>343.53632866455155</v>
      </c>
      <c r="O37" s="28">
        <f t="shared" si="3"/>
        <v>0</v>
      </c>
      <c r="P37" s="28">
        <f t="shared" si="3"/>
        <v>0.80538574338770974</v>
      </c>
      <c r="Q37" s="28">
        <f t="shared" si="3"/>
        <v>5.7306700925933977E-2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20" sqref="G20:H2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22/04/2025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564</v>
      </c>
      <c r="B9" s="52">
        <v>80.209999999999994</v>
      </c>
      <c r="C9" s="52">
        <v>172.61</v>
      </c>
      <c r="D9" s="52">
        <v>92.4</v>
      </c>
      <c r="E9" s="52">
        <v>7.16</v>
      </c>
      <c r="F9" s="52">
        <v>10.37</v>
      </c>
      <c r="G9" s="52">
        <v>95.37</v>
      </c>
      <c r="H9" s="52">
        <v>23.32</v>
      </c>
      <c r="I9" s="52">
        <v>4</v>
      </c>
      <c r="J9" s="52">
        <v>1.19</v>
      </c>
      <c r="K9" s="52">
        <v>298.10000000000002</v>
      </c>
      <c r="L9" s="52">
        <v>28.53</v>
      </c>
      <c r="M9" s="52">
        <v>45.43</v>
      </c>
      <c r="N9" s="52">
        <v>54.9</v>
      </c>
      <c r="O9" s="52">
        <v>0</v>
      </c>
      <c r="P9" s="52">
        <v>1.27</v>
      </c>
      <c r="Q9" s="52">
        <v>9.6199999999999992</v>
      </c>
      <c r="R9" s="43"/>
      <c r="S9" s="43"/>
      <c r="T9" s="43"/>
      <c r="U9" s="43"/>
    </row>
    <row r="10" spans="1:21" s="11" customFormat="1" x14ac:dyDescent="0.25">
      <c r="A10" s="51" t="s">
        <v>565</v>
      </c>
      <c r="B10" s="52">
        <v>19.010000000000002</v>
      </c>
      <c r="C10" s="52">
        <v>98</v>
      </c>
      <c r="D10" s="52">
        <v>79.81</v>
      </c>
      <c r="E10" s="52">
        <v>6.39</v>
      </c>
      <c r="F10" s="52">
        <v>14.78</v>
      </c>
      <c r="G10" s="52">
        <v>95.37</v>
      </c>
      <c r="H10" s="52">
        <v>22.75</v>
      </c>
      <c r="I10" s="52">
        <v>3.98</v>
      </c>
      <c r="J10" s="52">
        <v>1.1200000000000001</v>
      </c>
      <c r="K10" s="52">
        <v>282.56</v>
      </c>
      <c r="L10" s="52">
        <v>28.14</v>
      </c>
      <c r="M10" s="52">
        <v>40.86</v>
      </c>
      <c r="N10" s="52">
        <v>55</v>
      </c>
      <c r="O10" s="52">
        <v>0</v>
      </c>
      <c r="P10" s="52">
        <v>0.86</v>
      </c>
      <c r="Q10" s="52">
        <v>9.64</v>
      </c>
      <c r="R10" s="43"/>
      <c r="S10" s="43"/>
      <c r="T10" s="43"/>
      <c r="U10" s="43"/>
    </row>
    <row r="11" spans="1:21" s="11" customFormat="1" x14ac:dyDescent="0.25">
      <c r="A11" s="51" t="s">
        <v>566</v>
      </c>
      <c r="B11" s="52">
        <v>11.27</v>
      </c>
      <c r="C11" s="52">
        <v>59.91</v>
      </c>
      <c r="D11" s="52">
        <v>50.57</v>
      </c>
      <c r="E11" s="52">
        <v>7.19</v>
      </c>
      <c r="F11" s="52">
        <v>17.309999999999999</v>
      </c>
      <c r="G11" s="52">
        <v>91.09</v>
      </c>
      <c r="H11" s="52">
        <v>22.81</v>
      </c>
      <c r="I11" s="52">
        <v>4.12</v>
      </c>
      <c r="J11" s="52">
        <v>1.38</v>
      </c>
      <c r="K11" s="52">
        <v>270.89</v>
      </c>
      <c r="L11" s="52">
        <v>28.49</v>
      </c>
      <c r="M11" s="52">
        <v>38.24</v>
      </c>
      <c r="N11" s="52">
        <v>54.5</v>
      </c>
      <c r="O11" s="52">
        <v>0</v>
      </c>
      <c r="P11" s="52">
        <v>0.56999999999999995</v>
      </c>
      <c r="Q11" s="52">
        <v>9.6</v>
      </c>
      <c r="R11" s="43"/>
      <c r="S11" s="43"/>
      <c r="T11" s="43"/>
      <c r="U11" s="43"/>
    </row>
    <row r="12" spans="1:21" s="11" customFormat="1" x14ac:dyDescent="0.25">
      <c r="A12" s="51" t="s">
        <v>567</v>
      </c>
      <c r="B12" s="52">
        <v>13.95</v>
      </c>
      <c r="C12" s="52">
        <v>66.25</v>
      </c>
      <c r="D12" s="52">
        <v>52.3</v>
      </c>
      <c r="E12" s="52">
        <v>6.54</v>
      </c>
      <c r="F12" s="52">
        <v>16.57</v>
      </c>
      <c r="G12" s="52">
        <v>83.28</v>
      </c>
      <c r="H12" s="52">
        <v>22.81</v>
      </c>
      <c r="I12" s="52">
        <v>4.1500000000000004</v>
      </c>
      <c r="J12" s="52">
        <v>1.4</v>
      </c>
      <c r="K12" s="52">
        <v>313.63</v>
      </c>
      <c r="L12" s="52">
        <v>28.4</v>
      </c>
      <c r="M12" s="52">
        <v>41.08</v>
      </c>
      <c r="N12" s="52">
        <v>55</v>
      </c>
      <c r="O12" s="52">
        <v>0</v>
      </c>
      <c r="P12" s="52">
        <v>0.41</v>
      </c>
      <c r="Q12" s="52">
        <v>9.58</v>
      </c>
      <c r="R12" s="43"/>
      <c r="S12" s="43"/>
      <c r="T12" s="43"/>
      <c r="U12" s="43"/>
    </row>
    <row r="13" spans="1:21" s="11" customFormat="1" x14ac:dyDescent="0.25">
      <c r="A13" s="51" t="s">
        <v>568</v>
      </c>
      <c r="B13" s="52">
        <v>7.58</v>
      </c>
      <c r="C13" s="52">
        <v>63.12</v>
      </c>
      <c r="D13" s="52">
        <v>55.54</v>
      </c>
      <c r="E13" s="52">
        <v>5.55</v>
      </c>
      <c r="F13" s="52">
        <v>19.7</v>
      </c>
      <c r="G13" s="52">
        <v>77.31</v>
      </c>
      <c r="H13" s="52">
        <v>20.61</v>
      </c>
      <c r="I13" s="52">
        <v>4.05</v>
      </c>
      <c r="J13" s="52">
        <v>1.52</v>
      </c>
      <c r="K13" s="52">
        <v>273.57</v>
      </c>
      <c r="L13" s="52">
        <v>28.21</v>
      </c>
      <c r="M13" s="52">
        <v>49.48</v>
      </c>
      <c r="N13" s="52">
        <v>55.3</v>
      </c>
      <c r="O13" s="52">
        <v>0</v>
      </c>
      <c r="P13" s="52">
        <v>0.48</v>
      </c>
      <c r="Q13" s="52">
        <v>9.56</v>
      </c>
      <c r="R13" s="43"/>
      <c r="S13" s="43"/>
      <c r="T13" s="43"/>
      <c r="U13" s="43"/>
    </row>
    <row r="14" spans="1:21" s="11" customFormat="1" x14ac:dyDescent="0.25">
      <c r="A14" s="51" t="s">
        <v>569</v>
      </c>
      <c r="B14" s="52">
        <v>5.27</v>
      </c>
      <c r="C14" s="52">
        <v>53.58</v>
      </c>
      <c r="D14" s="52">
        <v>49.55</v>
      </c>
      <c r="E14" s="52">
        <v>4.99</v>
      </c>
      <c r="F14" s="52">
        <v>18.63</v>
      </c>
      <c r="G14" s="52">
        <v>64.010000000000005</v>
      </c>
      <c r="H14" s="52">
        <v>19.11</v>
      </c>
      <c r="I14" s="52">
        <v>4.0999999999999996</v>
      </c>
      <c r="J14" s="52">
        <v>1.4</v>
      </c>
      <c r="K14" s="52">
        <v>241.92</v>
      </c>
      <c r="L14" s="52">
        <v>28.4</v>
      </c>
      <c r="M14" s="52">
        <v>46.88</v>
      </c>
      <c r="N14" s="52">
        <v>73.7</v>
      </c>
      <c r="O14" s="52">
        <v>0</v>
      </c>
      <c r="P14" s="52">
        <v>0.44</v>
      </c>
      <c r="Q14" s="52">
        <v>9.5399999999999991</v>
      </c>
      <c r="R14" s="43"/>
      <c r="S14" s="43"/>
      <c r="T14" s="43"/>
      <c r="U14" s="43"/>
    </row>
    <row r="15" spans="1:21" s="11" customFormat="1" x14ac:dyDescent="0.25">
      <c r="A15" s="51" t="s">
        <v>570</v>
      </c>
      <c r="B15" s="52">
        <v>6.41</v>
      </c>
      <c r="C15" s="52">
        <v>63.97</v>
      </c>
      <c r="D15" s="52">
        <v>57.67</v>
      </c>
      <c r="E15" s="52">
        <v>5.39</v>
      </c>
      <c r="F15" s="52">
        <v>16.399999999999999</v>
      </c>
      <c r="G15" s="52">
        <v>65.16</v>
      </c>
      <c r="H15" s="52">
        <v>17.72</v>
      </c>
      <c r="I15" s="52">
        <v>4.2</v>
      </c>
      <c r="J15" s="52">
        <v>1.48</v>
      </c>
      <c r="K15" s="52">
        <v>262.89</v>
      </c>
      <c r="L15" s="52">
        <v>29.49</v>
      </c>
      <c r="M15" s="52">
        <v>45.73</v>
      </c>
      <c r="N15" s="52">
        <v>222.4</v>
      </c>
      <c r="O15" s="52">
        <v>0</v>
      </c>
      <c r="P15" s="52">
        <v>0.54</v>
      </c>
      <c r="Q15" s="52">
        <v>9.49</v>
      </c>
      <c r="R15" s="43"/>
      <c r="S15" s="43"/>
      <c r="T15" s="43"/>
      <c r="U15" s="43"/>
    </row>
    <row r="16" spans="1:21" s="11" customFormat="1" x14ac:dyDescent="0.25">
      <c r="A16" s="51" t="s">
        <v>571</v>
      </c>
      <c r="B16" s="52">
        <v>6.14</v>
      </c>
      <c r="C16" s="52">
        <v>59.3</v>
      </c>
      <c r="D16" s="52">
        <v>54.2</v>
      </c>
      <c r="E16" s="52">
        <v>4.24</v>
      </c>
      <c r="F16" s="52">
        <v>11.86</v>
      </c>
      <c r="G16" s="52">
        <v>65.16</v>
      </c>
      <c r="H16" s="52">
        <v>19.59</v>
      </c>
      <c r="I16" s="52">
        <v>4.04</v>
      </c>
      <c r="J16" s="52">
        <v>1.58</v>
      </c>
      <c r="K16" s="52">
        <v>253.94</v>
      </c>
      <c r="L16" s="52">
        <v>31.86</v>
      </c>
      <c r="M16" s="52">
        <v>46.48</v>
      </c>
      <c r="N16" s="52">
        <v>459.8</v>
      </c>
      <c r="O16" s="52">
        <v>0</v>
      </c>
      <c r="P16" s="52">
        <v>0.63</v>
      </c>
      <c r="Q16" s="52">
        <v>9.49</v>
      </c>
      <c r="R16" s="43"/>
      <c r="S16" s="43"/>
      <c r="T16" s="43"/>
      <c r="U16" s="43"/>
    </row>
    <row r="17" spans="1:21" s="11" customFormat="1" x14ac:dyDescent="0.25">
      <c r="A17" s="51" t="s">
        <v>572</v>
      </c>
      <c r="B17" s="52">
        <v>1.77</v>
      </c>
      <c r="C17" s="52">
        <v>54.67</v>
      </c>
      <c r="D17" s="52">
        <v>54.49</v>
      </c>
      <c r="E17" s="52">
        <v>3.49</v>
      </c>
      <c r="F17" s="52">
        <v>9.52</v>
      </c>
      <c r="G17" s="52">
        <v>62.37</v>
      </c>
      <c r="H17" s="52">
        <v>19.59</v>
      </c>
      <c r="I17" s="52">
        <v>4.13</v>
      </c>
      <c r="J17" s="52">
        <v>1.54</v>
      </c>
      <c r="K17" s="52">
        <v>264.66000000000003</v>
      </c>
      <c r="L17" s="52">
        <v>34.29</v>
      </c>
      <c r="M17" s="52">
        <v>45.27</v>
      </c>
      <c r="N17" s="52">
        <v>655</v>
      </c>
      <c r="O17" s="52">
        <v>0</v>
      </c>
      <c r="P17" s="52">
        <v>0.6</v>
      </c>
      <c r="Q17" s="52">
        <v>9.5</v>
      </c>
      <c r="R17" s="43"/>
      <c r="S17" s="43"/>
      <c r="T17" s="43"/>
      <c r="U17" s="43"/>
    </row>
    <row r="18" spans="1:21" s="11" customFormat="1" x14ac:dyDescent="0.25">
      <c r="A18" s="51" t="s">
        <v>573</v>
      </c>
      <c r="B18" s="52">
        <v>0.65</v>
      </c>
      <c r="C18" s="52">
        <v>57.04</v>
      </c>
      <c r="D18" s="52">
        <v>56.86</v>
      </c>
      <c r="E18" s="52">
        <v>4.5599999999999996</v>
      </c>
      <c r="F18" s="52">
        <v>11.57</v>
      </c>
      <c r="G18" s="52">
        <v>60.25</v>
      </c>
      <c r="H18" s="52">
        <v>20.61</v>
      </c>
      <c r="I18" s="52">
        <v>4.0999999999999996</v>
      </c>
      <c r="J18" s="52">
        <v>1.75</v>
      </c>
      <c r="K18" s="52">
        <v>276.67</v>
      </c>
      <c r="L18" s="52">
        <v>39.130000000000003</v>
      </c>
      <c r="M18" s="52">
        <v>39.19</v>
      </c>
      <c r="N18" s="52">
        <v>808.1</v>
      </c>
      <c r="O18" s="52">
        <v>0</v>
      </c>
      <c r="P18" s="52">
        <v>0.69</v>
      </c>
      <c r="Q18" s="52">
        <v>9.5299999999999994</v>
      </c>
      <c r="R18" s="43"/>
      <c r="S18" s="43"/>
      <c r="T18" s="43"/>
      <c r="U18" s="43"/>
    </row>
    <row r="19" spans="1:21" s="11" customFormat="1" x14ac:dyDescent="0.25">
      <c r="A19" s="51" t="s">
        <v>574</v>
      </c>
      <c r="B19" s="52">
        <v>0.66</v>
      </c>
      <c r="C19" s="52">
        <v>55.74</v>
      </c>
      <c r="D19" s="52">
        <v>55.54</v>
      </c>
      <c r="E19" s="52">
        <v>4.9000000000000004</v>
      </c>
      <c r="F19" s="52">
        <v>17.03</v>
      </c>
      <c r="G19" s="52">
        <v>65.739999999999995</v>
      </c>
      <c r="H19" s="52">
        <v>21.49</v>
      </c>
      <c r="I19" s="52">
        <v>4.09</v>
      </c>
      <c r="J19" s="52">
        <v>2.0499999999999998</v>
      </c>
      <c r="K19" s="52">
        <v>276.98</v>
      </c>
      <c r="L19" s="52">
        <v>41.67</v>
      </c>
      <c r="M19" s="52">
        <v>25.99</v>
      </c>
      <c r="N19" s="52">
        <v>927.9</v>
      </c>
      <c r="O19" s="52">
        <v>0</v>
      </c>
      <c r="P19" s="52">
        <v>0.65</v>
      </c>
      <c r="Q19" s="52">
        <v>9.5500000000000007</v>
      </c>
      <c r="R19" s="43"/>
      <c r="S19" s="43"/>
      <c r="T19" s="43"/>
      <c r="U19" s="43"/>
    </row>
    <row r="20" spans="1:21" s="11" customFormat="1" x14ac:dyDescent="0.25">
      <c r="A20" s="51" t="s">
        <v>575</v>
      </c>
      <c r="B20" s="52">
        <v>1.1399999999999999</v>
      </c>
      <c r="C20" s="52">
        <v>64.900000000000006</v>
      </c>
      <c r="D20" s="52">
        <v>63.76</v>
      </c>
      <c r="E20" s="52">
        <v>4.72</v>
      </c>
      <c r="F20" s="52">
        <v>14.92</v>
      </c>
      <c r="G20" s="57" t="s">
        <v>12</v>
      </c>
      <c r="H20" s="57" t="s">
        <v>12</v>
      </c>
      <c r="I20" s="52">
        <v>4.0199999999999996</v>
      </c>
      <c r="J20" s="52">
        <v>2.0099999999999998</v>
      </c>
      <c r="K20" s="52">
        <v>288.58</v>
      </c>
      <c r="L20" s="52">
        <v>42.56</v>
      </c>
      <c r="M20" s="52">
        <v>17.309999999999999</v>
      </c>
      <c r="N20" s="52">
        <v>998.8</v>
      </c>
      <c r="O20" s="52">
        <v>0</v>
      </c>
      <c r="P20" s="52">
        <v>0.53</v>
      </c>
      <c r="Q20" s="52">
        <v>9.49</v>
      </c>
      <c r="R20" s="43"/>
      <c r="S20" s="43"/>
      <c r="T20" s="43"/>
      <c r="U20" s="43"/>
    </row>
    <row r="21" spans="1:21" s="11" customFormat="1" x14ac:dyDescent="0.25">
      <c r="A21" s="51" t="s">
        <v>576</v>
      </c>
      <c r="B21" s="52">
        <v>3.38</v>
      </c>
      <c r="C21" s="52">
        <v>63.18</v>
      </c>
      <c r="D21" s="52">
        <v>62.63</v>
      </c>
      <c r="E21" s="52">
        <v>6.97</v>
      </c>
      <c r="F21" s="52">
        <v>19.96</v>
      </c>
      <c r="G21" s="52">
        <v>70.47</v>
      </c>
      <c r="H21" s="52">
        <v>9.01</v>
      </c>
      <c r="I21" s="52">
        <v>4.13</v>
      </c>
      <c r="J21" s="52">
        <v>1.66</v>
      </c>
      <c r="K21" s="52">
        <v>283.57</v>
      </c>
      <c r="L21" s="52">
        <v>42.45</v>
      </c>
      <c r="M21" s="52">
        <v>14.56</v>
      </c>
      <c r="N21" s="52">
        <v>985.8</v>
      </c>
      <c r="O21" s="52">
        <v>0</v>
      </c>
      <c r="P21" s="52">
        <v>0.47</v>
      </c>
      <c r="Q21" s="52">
        <v>9.48</v>
      </c>
      <c r="R21" s="43"/>
      <c r="S21" s="43"/>
      <c r="T21" s="43"/>
      <c r="U21" s="43"/>
    </row>
    <row r="22" spans="1:21" s="11" customFormat="1" x14ac:dyDescent="0.25">
      <c r="A22" s="51" t="s">
        <v>577</v>
      </c>
      <c r="B22" s="52">
        <v>2.0699999999999998</v>
      </c>
      <c r="C22" s="52">
        <v>62.65</v>
      </c>
      <c r="D22" s="52">
        <v>61.25</v>
      </c>
      <c r="E22" s="52">
        <v>3.54</v>
      </c>
      <c r="F22" s="52">
        <v>15.39</v>
      </c>
      <c r="G22" s="52">
        <v>90.6</v>
      </c>
      <c r="H22" s="52">
        <v>13.33</v>
      </c>
      <c r="I22" s="52">
        <v>4.13</v>
      </c>
      <c r="J22" s="52">
        <v>2.54</v>
      </c>
      <c r="K22" s="52">
        <v>310.17</v>
      </c>
      <c r="L22" s="52">
        <v>43.86</v>
      </c>
      <c r="M22" s="52">
        <v>10.83</v>
      </c>
      <c r="N22" s="52">
        <v>806.2</v>
      </c>
      <c r="O22" s="52">
        <v>0</v>
      </c>
      <c r="P22" s="52">
        <v>0.44</v>
      </c>
      <c r="Q22" s="52">
        <v>9.33</v>
      </c>
      <c r="R22" s="43"/>
      <c r="S22" s="43"/>
      <c r="T22" s="43"/>
      <c r="U22" s="43"/>
    </row>
    <row r="23" spans="1:21" s="11" customFormat="1" x14ac:dyDescent="0.25">
      <c r="A23" s="51" t="s">
        <v>578</v>
      </c>
      <c r="B23" s="52">
        <v>4.6100000000000003</v>
      </c>
      <c r="C23" s="52">
        <v>58.46</v>
      </c>
      <c r="D23" s="52">
        <v>57.06</v>
      </c>
      <c r="E23" s="52">
        <v>4.47</v>
      </c>
      <c r="F23" s="52">
        <v>24.75</v>
      </c>
      <c r="G23" s="52">
        <v>77.099999999999994</v>
      </c>
      <c r="H23" s="52">
        <v>15.16</v>
      </c>
      <c r="I23" s="52">
        <v>4.0599999999999996</v>
      </c>
      <c r="J23" s="52">
        <v>2.44</v>
      </c>
      <c r="K23" s="52">
        <v>293.31</v>
      </c>
      <c r="L23" s="52">
        <v>42.74</v>
      </c>
      <c r="M23" s="52">
        <v>10.119999999999999</v>
      </c>
      <c r="N23" s="52">
        <v>448.8</v>
      </c>
      <c r="O23" s="52">
        <v>0</v>
      </c>
      <c r="P23" s="52">
        <v>0.43</v>
      </c>
      <c r="Q23" s="52">
        <v>9.27</v>
      </c>
      <c r="R23" s="43"/>
      <c r="S23" s="43"/>
      <c r="T23" s="43"/>
      <c r="U23" s="43"/>
    </row>
    <row r="24" spans="1:21" s="11" customFormat="1" x14ac:dyDescent="0.25">
      <c r="A24" s="51" t="s">
        <v>579</v>
      </c>
      <c r="B24" s="52">
        <v>3.45</v>
      </c>
      <c r="C24" s="52">
        <v>55.87</v>
      </c>
      <c r="D24" s="52">
        <v>53.01</v>
      </c>
      <c r="E24" s="52">
        <v>4.4800000000000004</v>
      </c>
      <c r="F24" s="52">
        <v>34.119999999999997</v>
      </c>
      <c r="G24" s="52">
        <v>67.319999999999993</v>
      </c>
      <c r="H24" s="52">
        <v>15.55</v>
      </c>
      <c r="I24" s="52">
        <v>4.0199999999999996</v>
      </c>
      <c r="J24" s="52">
        <v>2.71</v>
      </c>
      <c r="K24" s="52">
        <v>295.01</v>
      </c>
      <c r="L24" s="52">
        <v>41.58</v>
      </c>
      <c r="M24" s="52">
        <v>10.17</v>
      </c>
      <c r="N24" s="52">
        <v>379.2</v>
      </c>
      <c r="O24" s="52">
        <v>0</v>
      </c>
      <c r="P24" s="52">
        <v>0.39</v>
      </c>
      <c r="Q24" s="52">
        <v>9.2799999999999994</v>
      </c>
      <c r="R24" s="43"/>
      <c r="S24" s="43"/>
      <c r="T24" s="43"/>
      <c r="U24" s="43"/>
    </row>
    <row r="25" spans="1:21" s="11" customFormat="1" x14ac:dyDescent="0.25">
      <c r="A25" s="51" t="s">
        <v>580</v>
      </c>
      <c r="B25" s="52">
        <v>9.0500000000000007</v>
      </c>
      <c r="C25" s="52">
        <v>71.510000000000005</v>
      </c>
      <c r="D25" s="52">
        <v>65.239999999999995</v>
      </c>
      <c r="E25" s="52">
        <v>6.19</v>
      </c>
      <c r="F25" s="52">
        <v>25.67</v>
      </c>
      <c r="G25" s="52">
        <v>48.12</v>
      </c>
      <c r="H25" s="52">
        <v>13.98</v>
      </c>
      <c r="I25" s="52">
        <v>4.12</v>
      </c>
      <c r="J25" s="52">
        <v>1.95</v>
      </c>
      <c r="K25" s="52">
        <v>290.70999999999998</v>
      </c>
      <c r="L25" s="52">
        <v>43.72</v>
      </c>
      <c r="M25" s="52">
        <v>11.32</v>
      </c>
      <c r="N25" s="52">
        <v>178.6</v>
      </c>
      <c r="O25" s="52">
        <v>0</v>
      </c>
      <c r="P25" s="52">
        <v>0.49</v>
      </c>
      <c r="Q25" s="52">
        <v>9.34</v>
      </c>
      <c r="R25" s="43"/>
      <c r="S25" s="43"/>
      <c r="T25" s="43"/>
      <c r="U25" s="43"/>
    </row>
    <row r="26" spans="1:21" s="11" customFormat="1" x14ac:dyDescent="0.25">
      <c r="A26" s="51" t="s">
        <v>581</v>
      </c>
      <c r="B26" s="52">
        <v>6.69</v>
      </c>
      <c r="C26" s="52">
        <v>59.38</v>
      </c>
      <c r="D26" s="52">
        <v>103.38</v>
      </c>
      <c r="E26" s="52">
        <v>16.93</v>
      </c>
      <c r="F26" s="52">
        <v>34.380000000000003</v>
      </c>
      <c r="G26" s="52">
        <v>62.99</v>
      </c>
      <c r="H26" s="52">
        <v>15.06</v>
      </c>
      <c r="I26" s="52">
        <v>4.13</v>
      </c>
      <c r="J26" s="52">
        <v>1.48</v>
      </c>
      <c r="K26" s="52">
        <v>271.52999999999997</v>
      </c>
      <c r="L26" s="52">
        <v>43.07</v>
      </c>
      <c r="M26" s="52">
        <v>14.13</v>
      </c>
      <c r="N26" s="52">
        <v>128.1</v>
      </c>
      <c r="O26" s="52">
        <v>0</v>
      </c>
      <c r="P26" s="52">
        <v>0.93</v>
      </c>
      <c r="Q26" s="52">
        <v>9.3699999999999992</v>
      </c>
      <c r="R26" s="43"/>
      <c r="S26" s="43"/>
      <c r="T26" s="43"/>
      <c r="U26" s="43"/>
    </row>
    <row r="27" spans="1:21" s="11" customFormat="1" x14ac:dyDescent="0.25">
      <c r="A27" s="51" t="s">
        <v>582</v>
      </c>
      <c r="B27" s="52">
        <v>31.57</v>
      </c>
      <c r="C27" s="52">
        <v>89.78</v>
      </c>
      <c r="D27" s="52">
        <v>129.71</v>
      </c>
      <c r="E27" s="52">
        <v>8.74</v>
      </c>
      <c r="F27" s="52">
        <v>23.37</v>
      </c>
      <c r="G27" s="52">
        <v>69.69</v>
      </c>
      <c r="H27" s="52">
        <v>17.3</v>
      </c>
      <c r="I27" s="52">
        <v>4.0599999999999996</v>
      </c>
      <c r="J27" s="52">
        <v>1.4</v>
      </c>
      <c r="K27" s="52">
        <v>289.55</v>
      </c>
      <c r="L27" s="52">
        <v>41.38</v>
      </c>
      <c r="M27" s="52">
        <v>23.14</v>
      </c>
      <c r="N27" s="52">
        <v>80.900000000000006</v>
      </c>
      <c r="O27" s="52">
        <v>0</v>
      </c>
      <c r="P27" s="52">
        <v>1.72</v>
      </c>
      <c r="Q27" s="52">
        <v>9.36</v>
      </c>
      <c r="R27" s="43"/>
      <c r="S27" s="43"/>
      <c r="T27" s="43"/>
      <c r="U27" s="43"/>
    </row>
    <row r="28" spans="1:21" s="11" customFormat="1" x14ac:dyDescent="0.25">
      <c r="A28" s="51" t="s">
        <v>583</v>
      </c>
      <c r="B28" s="52">
        <v>56.93</v>
      </c>
      <c r="C28" s="52">
        <v>105.27</v>
      </c>
      <c r="D28" s="52">
        <v>114.1</v>
      </c>
      <c r="E28" s="52">
        <v>9.32</v>
      </c>
      <c r="F28" s="52">
        <v>12.35</v>
      </c>
      <c r="G28" s="52">
        <v>75.08</v>
      </c>
      <c r="H28" s="52">
        <v>17.899999999999999</v>
      </c>
      <c r="I28" s="52">
        <v>4.09</v>
      </c>
      <c r="J28" s="52">
        <v>1.76</v>
      </c>
      <c r="K28" s="52">
        <v>307.33</v>
      </c>
      <c r="L28" s="52">
        <v>37.79</v>
      </c>
      <c r="M28" s="52">
        <v>21.09</v>
      </c>
      <c r="N28" s="52">
        <v>71.599999999999994</v>
      </c>
      <c r="O28" s="52">
        <v>0</v>
      </c>
      <c r="P28" s="52">
        <v>2.19</v>
      </c>
      <c r="Q28" s="52">
        <v>9.41</v>
      </c>
      <c r="R28" s="43"/>
      <c r="S28" s="43"/>
      <c r="T28" s="43"/>
      <c r="U28" s="43"/>
    </row>
    <row r="29" spans="1:21" s="11" customFormat="1" x14ac:dyDescent="0.25">
      <c r="A29" s="51" t="s">
        <v>584</v>
      </c>
      <c r="B29" s="52">
        <v>64.19</v>
      </c>
      <c r="C29" s="52">
        <v>114.57</v>
      </c>
      <c r="D29" s="52">
        <v>120.76</v>
      </c>
      <c r="E29" s="52">
        <v>13.89</v>
      </c>
      <c r="F29" s="52">
        <v>12.14</v>
      </c>
      <c r="G29" s="52">
        <v>76.42</v>
      </c>
      <c r="H29" s="52">
        <v>18.25</v>
      </c>
      <c r="I29" s="52">
        <v>4.0999999999999996</v>
      </c>
      <c r="J29" s="52">
        <v>1.6</v>
      </c>
      <c r="K29" s="52">
        <v>294.79000000000002</v>
      </c>
      <c r="L29" s="52">
        <v>36.729999999999997</v>
      </c>
      <c r="M29" s="52">
        <v>20.78</v>
      </c>
      <c r="N29" s="52">
        <v>74.400000000000006</v>
      </c>
      <c r="O29" s="52">
        <v>0</v>
      </c>
      <c r="P29" s="52">
        <v>2.5099999999999998</v>
      </c>
      <c r="Q29" s="52">
        <v>9.4600000000000009</v>
      </c>
      <c r="R29" s="43"/>
      <c r="S29" s="43"/>
      <c r="T29" s="43"/>
      <c r="U29" s="43"/>
    </row>
    <row r="30" spans="1:21" s="11" customFormat="1" x14ac:dyDescent="0.25">
      <c r="A30" s="51" t="s">
        <v>585</v>
      </c>
      <c r="B30" s="52">
        <v>53.86</v>
      </c>
      <c r="C30" s="52">
        <v>90.77</v>
      </c>
      <c r="D30" s="52">
        <v>100.2</v>
      </c>
      <c r="E30" s="52">
        <v>15.08</v>
      </c>
      <c r="F30" s="52">
        <v>12.44</v>
      </c>
      <c r="G30" s="52">
        <v>79.319999999999993</v>
      </c>
      <c r="H30" s="52">
        <v>19.309999999999999</v>
      </c>
      <c r="I30" s="52">
        <v>4.21</v>
      </c>
      <c r="J30" s="52">
        <v>1.72</v>
      </c>
      <c r="K30" s="52">
        <v>324.68</v>
      </c>
      <c r="L30" s="52">
        <v>36.64</v>
      </c>
      <c r="M30" s="52">
        <v>23.3</v>
      </c>
      <c r="N30" s="52">
        <v>85.7</v>
      </c>
      <c r="O30" s="52">
        <v>0</v>
      </c>
      <c r="P30" s="52">
        <v>1.73</v>
      </c>
      <c r="Q30" s="52">
        <v>9.51</v>
      </c>
      <c r="R30" s="43"/>
      <c r="S30" s="43"/>
      <c r="T30" s="43"/>
      <c r="U30" s="43"/>
    </row>
    <row r="31" spans="1:21" s="11" customFormat="1" x14ac:dyDescent="0.25">
      <c r="A31" s="51" t="s">
        <v>586</v>
      </c>
      <c r="B31" s="52">
        <v>55.88</v>
      </c>
      <c r="C31" s="52">
        <v>100.84</v>
      </c>
      <c r="D31" s="52">
        <v>107.24</v>
      </c>
      <c r="E31" s="52">
        <v>17.850000000000001</v>
      </c>
      <c r="F31" s="52">
        <v>12.48</v>
      </c>
      <c r="G31" s="52">
        <v>81.849999999999994</v>
      </c>
      <c r="H31" s="52">
        <v>20.46</v>
      </c>
      <c r="I31" s="52">
        <v>4.01</v>
      </c>
      <c r="J31" s="52">
        <v>1.58</v>
      </c>
      <c r="K31" s="52">
        <v>355.5</v>
      </c>
      <c r="L31" s="52">
        <v>34.89</v>
      </c>
      <c r="M31" s="52">
        <v>22.82</v>
      </c>
      <c r="N31" s="52">
        <v>85.8</v>
      </c>
      <c r="O31" s="52">
        <v>0</v>
      </c>
      <c r="P31" s="52">
        <v>1.37</v>
      </c>
      <c r="Q31" s="52">
        <v>9.5299999999999994</v>
      </c>
      <c r="R31" s="43"/>
      <c r="S31" s="43"/>
      <c r="T31" s="43"/>
      <c r="U31" s="43"/>
    </row>
    <row r="32" spans="1:21" s="11" customFormat="1" x14ac:dyDescent="0.25">
      <c r="A32" s="51" t="s">
        <v>587</v>
      </c>
      <c r="B32" s="52">
        <v>27.49</v>
      </c>
      <c r="C32" s="52">
        <v>65.680000000000007</v>
      </c>
      <c r="D32" s="52">
        <v>95.31</v>
      </c>
      <c r="E32" s="52">
        <v>9.74</v>
      </c>
      <c r="F32" s="52">
        <v>14.27</v>
      </c>
      <c r="G32" s="52">
        <v>82.24</v>
      </c>
      <c r="H32" s="52">
        <v>22.2</v>
      </c>
      <c r="I32" s="52">
        <v>4.12</v>
      </c>
      <c r="J32" s="52">
        <v>1.47</v>
      </c>
      <c r="K32" s="52">
        <v>330.08</v>
      </c>
      <c r="L32" s="52">
        <v>34.31</v>
      </c>
      <c r="M32" s="52">
        <v>23.91</v>
      </c>
      <c r="N32" s="52">
        <v>83.5</v>
      </c>
      <c r="O32" s="52">
        <v>0</v>
      </c>
      <c r="P32" s="52">
        <v>0.87</v>
      </c>
      <c r="Q32" s="52">
        <v>9.56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0.65</v>
      </c>
      <c r="C34" s="28">
        <f t="shared" si="0"/>
        <v>53.58</v>
      </c>
      <c r="D34" s="28">
        <f t="shared" si="0"/>
        <v>49.55</v>
      </c>
      <c r="E34" s="28">
        <f t="shared" si="0"/>
        <v>3.49</v>
      </c>
      <c r="F34" s="28">
        <f t="shared" si="0"/>
        <v>9.52</v>
      </c>
      <c r="G34" s="28">
        <f t="shared" si="0"/>
        <v>48.12</v>
      </c>
      <c r="H34" s="28">
        <f t="shared" si="0"/>
        <v>9.01</v>
      </c>
      <c r="I34" s="28">
        <f t="shared" si="0"/>
        <v>3.98</v>
      </c>
      <c r="J34" s="28">
        <f t="shared" si="0"/>
        <v>1.1200000000000001</v>
      </c>
      <c r="K34" s="28">
        <f t="shared" si="0"/>
        <v>241.92</v>
      </c>
      <c r="L34" s="28">
        <f t="shared" si="0"/>
        <v>28.14</v>
      </c>
      <c r="M34" s="28">
        <f t="shared" si="0"/>
        <v>10.119999999999999</v>
      </c>
      <c r="N34" s="28">
        <f t="shared" si="0"/>
        <v>54.5</v>
      </c>
      <c r="O34" s="28">
        <f t="shared" si="0"/>
        <v>0</v>
      </c>
      <c r="P34" s="28">
        <f t="shared" si="0"/>
        <v>0.39</v>
      </c>
      <c r="Q34" s="28">
        <f t="shared" si="0"/>
        <v>9.27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80.209999999999994</v>
      </c>
      <c r="C35" s="29">
        <f t="shared" si="1"/>
        <v>172.61</v>
      </c>
      <c r="D35" s="29">
        <f t="shared" si="1"/>
        <v>129.71</v>
      </c>
      <c r="E35" s="29">
        <f t="shared" si="1"/>
        <v>17.850000000000001</v>
      </c>
      <c r="F35" s="29">
        <f t="shared" si="1"/>
        <v>34.380000000000003</v>
      </c>
      <c r="G35" s="29">
        <f t="shared" si="1"/>
        <v>95.37</v>
      </c>
      <c r="H35" s="29">
        <f t="shared" si="1"/>
        <v>23.32</v>
      </c>
      <c r="I35" s="29">
        <f t="shared" si="1"/>
        <v>4.21</v>
      </c>
      <c r="J35" s="29">
        <f t="shared" si="1"/>
        <v>2.71</v>
      </c>
      <c r="K35" s="29">
        <f t="shared" si="1"/>
        <v>355.5</v>
      </c>
      <c r="L35" s="29">
        <f t="shared" si="1"/>
        <v>43.86</v>
      </c>
      <c r="M35" s="29">
        <f t="shared" si="1"/>
        <v>49.48</v>
      </c>
      <c r="N35" s="29">
        <f t="shared" si="1"/>
        <v>998.8</v>
      </c>
      <c r="O35" s="29">
        <f t="shared" si="1"/>
        <v>0</v>
      </c>
      <c r="P35" s="29">
        <f t="shared" si="1"/>
        <v>2.5099999999999998</v>
      </c>
      <c r="Q35" s="29">
        <f t="shared" si="1"/>
        <v>9.64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19.717916666666667</v>
      </c>
      <c r="C36" s="28">
        <f t="shared" si="2"/>
        <v>75.293749999999989</v>
      </c>
      <c r="D36" s="28">
        <f t="shared" si="2"/>
        <v>74.690833333333316</v>
      </c>
      <c r="E36" s="28">
        <f t="shared" si="2"/>
        <v>7.5966666666666685</v>
      </c>
      <c r="F36" s="28">
        <f t="shared" si="2"/>
        <v>17.499166666666667</v>
      </c>
      <c r="G36" s="28">
        <f t="shared" si="2"/>
        <v>74.187391304347813</v>
      </c>
      <c r="H36" s="28">
        <f t="shared" si="2"/>
        <v>18.605217391304347</v>
      </c>
      <c r="I36" s="28">
        <f t="shared" si="2"/>
        <v>4.0900000000000007</v>
      </c>
      <c r="J36" s="28">
        <f t="shared" si="2"/>
        <v>1.6970833333333333</v>
      </c>
      <c r="K36" s="28">
        <f t="shared" si="2"/>
        <v>289.60916666666668</v>
      </c>
      <c r="L36" s="28">
        <f t="shared" si="2"/>
        <v>36.180416666666673</v>
      </c>
      <c r="M36" s="28">
        <f t="shared" si="2"/>
        <v>28.671250000000001</v>
      </c>
      <c r="N36" s="28">
        <f t="shared" si="2"/>
        <v>326.20833333333331</v>
      </c>
      <c r="O36" s="28">
        <f t="shared" si="2"/>
        <v>0</v>
      </c>
      <c r="P36" s="28">
        <f t="shared" si="2"/>
        <v>0.88375000000000015</v>
      </c>
      <c r="Q36" s="28">
        <f t="shared" si="2"/>
        <v>9.4787500000000016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24.017728955225277</v>
      </c>
      <c r="C37" s="28">
        <f t="shared" ref="C37:Q37" si="3">STDEV(C9:C32)</f>
        <v>27.526695787512587</v>
      </c>
      <c r="D37" s="28">
        <f t="shared" si="3"/>
        <v>25.708160930058728</v>
      </c>
      <c r="E37" s="28">
        <f t="shared" si="3"/>
        <v>4.2051672837186809</v>
      </c>
      <c r="F37" s="28">
        <f t="shared" si="3"/>
        <v>6.7434837575548299</v>
      </c>
      <c r="G37" s="28">
        <f t="shared" si="3"/>
        <v>12.186050600954109</v>
      </c>
      <c r="H37" s="28">
        <f t="shared" si="3"/>
        <v>3.6203639565471337</v>
      </c>
      <c r="I37" s="28">
        <f t="shared" si="3"/>
        <v>5.9636580545252976E-2</v>
      </c>
      <c r="J37" s="28">
        <f t="shared" si="3"/>
        <v>0.40527477706802317</v>
      </c>
      <c r="K37" s="28">
        <f t="shared" si="3"/>
        <v>25.450569467732624</v>
      </c>
      <c r="L37" s="28">
        <f t="shared" si="3"/>
        <v>5.9838016701371375</v>
      </c>
      <c r="M37" s="28">
        <f t="shared" si="3"/>
        <v>14.022651957985079</v>
      </c>
      <c r="N37" s="28">
        <f t="shared" si="3"/>
        <v>344.03830034089128</v>
      </c>
      <c r="O37" s="28">
        <f t="shared" si="3"/>
        <v>0</v>
      </c>
      <c r="P37" s="28">
        <f t="shared" si="3"/>
        <v>0.60039706064802012</v>
      </c>
      <c r="Q37" s="28">
        <f t="shared" si="3"/>
        <v>0.10539006223260014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 t="shared" si="4"/>
        <v>23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9" sqref="G49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23/04/2025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588</v>
      </c>
      <c r="B9" s="52">
        <v>14.22</v>
      </c>
      <c r="C9" s="52">
        <v>54.75</v>
      </c>
      <c r="D9" s="52">
        <v>83.32</v>
      </c>
      <c r="E9" s="52">
        <v>7.57</v>
      </c>
      <c r="F9" s="52">
        <v>15.5</v>
      </c>
      <c r="G9" s="52">
        <v>81.2</v>
      </c>
      <c r="H9" s="52">
        <v>22.62</v>
      </c>
      <c r="I9" s="52">
        <v>4.1399999999999997</v>
      </c>
      <c r="J9" s="52">
        <v>1.99</v>
      </c>
      <c r="K9" s="52">
        <v>264.02999999999997</v>
      </c>
      <c r="L9" s="52">
        <v>33.21</v>
      </c>
      <c r="M9" s="52">
        <v>28.26</v>
      </c>
      <c r="N9" s="52">
        <v>56.1</v>
      </c>
      <c r="O9" s="52">
        <v>0</v>
      </c>
      <c r="P9" s="52">
        <v>0.84</v>
      </c>
      <c r="Q9" s="52">
        <v>9.57</v>
      </c>
      <c r="R9" s="43"/>
      <c r="S9" s="43"/>
      <c r="T9" s="43"/>
      <c r="U9" s="43"/>
    </row>
    <row r="10" spans="1:21" s="11" customFormat="1" x14ac:dyDescent="0.25">
      <c r="A10" s="51" t="s">
        <v>589</v>
      </c>
      <c r="B10" s="52">
        <v>23.91</v>
      </c>
      <c r="C10" s="52">
        <v>51.21</v>
      </c>
      <c r="D10" s="52">
        <v>67.87</v>
      </c>
      <c r="E10" s="52">
        <v>8.8000000000000007</v>
      </c>
      <c r="F10" s="52">
        <v>10.67</v>
      </c>
      <c r="G10" s="52">
        <v>78.36</v>
      </c>
      <c r="H10" s="52">
        <v>21.71</v>
      </c>
      <c r="I10" s="52">
        <v>4.18</v>
      </c>
      <c r="J10" s="52">
        <v>1.72</v>
      </c>
      <c r="K10" s="52">
        <v>325.75</v>
      </c>
      <c r="L10" s="52">
        <v>32.56</v>
      </c>
      <c r="M10" s="52">
        <v>36.18</v>
      </c>
      <c r="N10" s="52">
        <v>61.1</v>
      </c>
      <c r="O10" s="52">
        <v>0</v>
      </c>
      <c r="P10" s="52">
        <v>0.9</v>
      </c>
      <c r="Q10" s="52">
        <v>9.57</v>
      </c>
      <c r="R10" s="43"/>
      <c r="S10" s="43"/>
      <c r="T10" s="43"/>
      <c r="U10" s="43"/>
    </row>
    <row r="11" spans="1:21" s="11" customFormat="1" x14ac:dyDescent="0.25">
      <c r="A11" s="51" t="s">
        <v>590</v>
      </c>
      <c r="B11" s="52">
        <v>14.43</v>
      </c>
      <c r="C11" s="52">
        <v>43.14</v>
      </c>
      <c r="D11" s="52">
        <v>60.42</v>
      </c>
      <c r="E11" s="52">
        <v>10.5</v>
      </c>
      <c r="F11" s="52">
        <v>15.84</v>
      </c>
      <c r="G11" s="52">
        <v>75.59</v>
      </c>
      <c r="H11" s="52">
        <v>20.72</v>
      </c>
      <c r="I11" s="52">
        <v>4.1500000000000004</v>
      </c>
      <c r="J11" s="52">
        <v>1.72</v>
      </c>
      <c r="K11" s="52">
        <v>316.41000000000003</v>
      </c>
      <c r="L11" s="52">
        <v>31.32</v>
      </c>
      <c r="M11" s="52">
        <v>33.380000000000003</v>
      </c>
      <c r="N11" s="52">
        <v>61.1</v>
      </c>
      <c r="O11" s="52">
        <v>0</v>
      </c>
      <c r="P11" s="52">
        <v>0.77</v>
      </c>
      <c r="Q11" s="52">
        <v>9.5399999999999991</v>
      </c>
      <c r="R11" s="43"/>
      <c r="S11" s="43"/>
      <c r="T11" s="43"/>
      <c r="U11" s="43"/>
    </row>
    <row r="12" spans="1:21" s="11" customFormat="1" x14ac:dyDescent="0.25">
      <c r="A12" s="51" t="s">
        <v>591</v>
      </c>
      <c r="B12" s="52">
        <v>13.84</v>
      </c>
      <c r="C12" s="52">
        <v>43.48</v>
      </c>
      <c r="D12" s="52">
        <v>61.99</v>
      </c>
      <c r="E12" s="52">
        <v>7.54</v>
      </c>
      <c r="F12" s="52">
        <v>14.3</v>
      </c>
      <c r="G12" s="52">
        <v>75.3</v>
      </c>
      <c r="H12" s="52">
        <v>21.06</v>
      </c>
      <c r="I12" s="52">
        <v>4.21</v>
      </c>
      <c r="J12" s="52">
        <v>1.55</v>
      </c>
      <c r="K12" s="52">
        <v>241.22</v>
      </c>
      <c r="L12" s="52">
        <v>31.61</v>
      </c>
      <c r="M12" s="52">
        <v>32.71</v>
      </c>
      <c r="N12" s="52">
        <v>61.9</v>
      </c>
      <c r="O12" s="52">
        <v>0</v>
      </c>
      <c r="P12" s="52">
        <v>0.62</v>
      </c>
      <c r="Q12" s="52">
        <v>9.5500000000000007</v>
      </c>
      <c r="R12" s="43"/>
      <c r="S12" s="43"/>
      <c r="T12" s="43"/>
      <c r="U12" s="43"/>
    </row>
    <row r="13" spans="1:21" s="11" customFormat="1" x14ac:dyDescent="0.25">
      <c r="A13" s="51" t="s">
        <v>592</v>
      </c>
      <c r="B13" s="52">
        <v>8.52</v>
      </c>
      <c r="C13" s="52">
        <v>36.99</v>
      </c>
      <c r="D13" s="52">
        <v>62.13</v>
      </c>
      <c r="E13" s="52">
        <v>5.82</v>
      </c>
      <c r="F13" s="52">
        <v>14.26</v>
      </c>
      <c r="G13" s="52">
        <v>72.55</v>
      </c>
      <c r="H13" s="52">
        <v>20.97</v>
      </c>
      <c r="I13" s="52">
        <v>4.13</v>
      </c>
      <c r="J13" s="52">
        <v>2.06</v>
      </c>
      <c r="K13" s="52">
        <v>224.09</v>
      </c>
      <c r="L13" s="52">
        <v>31.16</v>
      </c>
      <c r="M13" s="52">
        <v>38.46</v>
      </c>
      <c r="N13" s="52">
        <v>63.2</v>
      </c>
      <c r="O13" s="52">
        <v>0</v>
      </c>
      <c r="P13" s="52">
        <v>0.55000000000000004</v>
      </c>
      <c r="Q13" s="52">
        <v>9.5500000000000007</v>
      </c>
      <c r="R13" s="43"/>
      <c r="S13" s="43"/>
      <c r="T13" s="43"/>
      <c r="U13" s="43"/>
    </row>
    <row r="14" spans="1:21" s="11" customFormat="1" x14ac:dyDescent="0.25">
      <c r="A14" s="51" t="s">
        <v>593</v>
      </c>
      <c r="B14" s="52">
        <v>44.4</v>
      </c>
      <c r="C14" s="52">
        <v>79.099999999999994</v>
      </c>
      <c r="D14" s="52">
        <v>83.25</v>
      </c>
      <c r="E14" s="52">
        <v>4.18</v>
      </c>
      <c r="F14" s="52">
        <v>13.45</v>
      </c>
      <c r="G14" s="52">
        <v>66.930000000000007</v>
      </c>
      <c r="H14" s="52">
        <v>18.82</v>
      </c>
      <c r="I14" s="52">
        <v>4.03</v>
      </c>
      <c r="J14" s="52">
        <v>1.52</v>
      </c>
      <c r="K14" s="52">
        <v>314.7</v>
      </c>
      <c r="L14" s="52">
        <v>31.06</v>
      </c>
      <c r="M14" s="52">
        <v>48.79</v>
      </c>
      <c r="N14" s="52">
        <v>85.7</v>
      </c>
      <c r="O14" s="52">
        <v>0</v>
      </c>
      <c r="P14" s="52">
        <v>0.86</v>
      </c>
      <c r="Q14" s="52">
        <v>9.5299999999999994</v>
      </c>
      <c r="R14" s="43"/>
      <c r="S14" s="43"/>
      <c r="T14" s="43"/>
      <c r="U14" s="43"/>
    </row>
    <row r="15" spans="1:21" s="11" customFormat="1" x14ac:dyDescent="0.25">
      <c r="A15" s="51" t="s">
        <v>594</v>
      </c>
      <c r="B15" s="52">
        <v>50.66</v>
      </c>
      <c r="C15" s="52">
        <v>83.13</v>
      </c>
      <c r="D15" s="52">
        <v>81.349999999999994</v>
      </c>
      <c r="E15" s="52">
        <v>4.05</v>
      </c>
      <c r="F15" s="52">
        <v>10.33</v>
      </c>
      <c r="G15" s="52">
        <v>68.48</v>
      </c>
      <c r="H15" s="52">
        <v>19.39</v>
      </c>
      <c r="I15" s="52">
        <v>4.01</v>
      </c>
      <c r="J15" s="52">
        <v>1.84</v>
      </c>
      <c r="K15" s="52">
        <v>304.58999999999997</v>
      </c>
      <c r="L15" s="52">
        <v>32.659999999999997</v>
      </c>
      <c r="M15" s="52">
        <v>49.53</v>
      </c>
      <c r="N15" s="52">
        <v>230.3</v>
      </c>
      <c r="O15" s="52">
        <v>0</v>
      </c>
      <c r="P15" s="52">
        <v>0.93</v>
      </c>
      <c r="Q15" s="52">
        <v>9.5299999999999994</v>
      </c>
      <c r="R15" s="43"/>
      <c r="S15" s="43"/>
      <c r="T15" s="43"/>
      <c r="U15" s="43"/>
    </row>
    <row r="16" spans="1:21" s="11" customFormat="1" x14ac:dyDescent="0.25">
      <c r="A16" s="51" t="s">
        <v>595</v>
      </c>
      <c r="B16" s="52">
        <v>14.47</v>
      </c>
      <c r="C16" s="52">
        <v>39.28</v>
      </c>
      <c r="D16" s="52">
        <v>55</v>
      </c>
      <c r="E16" s="52">
        <v>4.24</v>
      </c>
      <c r="F16" s="52">
        <v>11.36</v>
      </c>
      <c r="G16" s="52">
        <v>69.63</v>
      </c>
      <c r="H16" s="52">
        <v>19.79</v>
      </c>
      <c r="I16" s="52">
        <v>4.08</v>
      </c>
      <c r="J16" s="52">
        <v>1.89</v>
      </c>
      <c r="K16" s="52">
        <v>216.46</v>
      </c>
      <c r="L16" s="52">
        <v>35.14</v>
      </c>
      <c r="M16" s="52">
        <v>39.979999999999997</v>
      </c>
      <c r="N16" s="52">
        <v>458.2</v>
      </c>
      <c r="O16" s="52">
        <v>0</v>
      </c>
      <c r="P16" s="52">
        <v>0.65</v>
      </c>
      <c r="Q16" s="52">
        <v>9.57</v>
      </c>
      <c r="R16" s="43"/>
      <c r="S16" s="43"/>
      <c r="T16" s="43"/>
      <c r="U16" s="43"/>
    </row>
    <row r="17" spans="1:21" s="11" customFormat="1" x14ac:dyDescent="0.25">
      <c r="A17" s="51" t="s">
        <v>596</v>
      </c>
      <c r="B17" s="52">
        <v>8.6199999999999992</v>
      </c>
      <c r="C17" s="52">
        <v>36.44</v>
      </c>
      <c r="D17" s="52">
        <v>59.18</v>
      </c>
      <c r="E17" s="52">
        <v>6.15</v>
      </c>
      <c r="F17" s="52">
        <v>12.44</v>
      </c>
      <c r="G17" s="52">
        <v>67.180000000000007</v>
      </c>
      <c r="H17" s="52">
        <v>19.89</v>
      </c>
      <c r="I17" s="52">
        <v>4.1500000000000004</v>
      </c>
      <c r="J17" s="52">
        <v>1.66</v>
      </c>
      <c r="K17" s="52">
        <v>263.47000000000003</v>
      </c>
      <c r="L17" s="52">
        <v>37.78</v>
      </c>
      <c r="M17" s="52">
        <v>38.479999999999997</v>
      </c>
      <c r="N17" s="52">
        <v>657.8</v>
      </c>
      <c r="O17" s="52">
        <v>0</v>
      </c>
      <c r="P17" s="52">
        <v>0.65</v>
      </c>
      <c r="Q17" s="52">
        <v>9.56</v>
      </c>
      <c r="R17" s="43"/>
      <c r="S17" s="43"/>
      <c r="T17" s="43"/>
      <c r="U17" s="43"/>
    </row>
    <row r="18" spans="1:21" s="11" customFormat="1" x14ac:dyDescent="0.25">
      <c r="A18" s="51" t="s">
        <v>597</v>
      </c>
      <c r="B18" s="52">
        <v>3.08</v>
      </c>
      <c r="C18" s="52">
        <v>34.090000000000003</v>
      </c>
      <c r="D18" s="52">
        <v>60.52</v>
      </c>
      <c r="E18" s="52">
        <v>4.28</v>
      </c>
      <c r="F18" s="52">
        <v>11.31</v>
      </c>
      <c r="G18" s="52">
        <v>61.67</v>
      </c>
      <c r="H18" s="52">
        <v>20.99</v>
      </c>
      <c r="I18" s="52">
        <v>4.1100000000000003</v>
      </c>
      <c r="J18" s="52">
        <v>1.77</v>
      </c>
      <c r="K18" s="52">
        <v>258.72000000000003</v>
      </c>
      <c r="L18" s="52">
        <v>39.57</v>
      </c>
      <c r="M18" s="52">
        <v>35.590000000000003</v>
      </c>
      <c r="N18" s="52">
        <v>823.6</v>
      </c>
      <c r="O18" s="52">
        <v>0</v>
      </c>
      <c r="P18" s="52">
        <v>0.56000000000000005</v>
      </c>
      <c r="Q18" s="52">
        <v>9.51</v>
      </c>
      <c r="R18" s="43"/>
      <c r="S18" s="43"/>
      <c r="T18" s="43"/>
      <c r="U18" s="43"/>
    </row>
    <row r="19" spans="1:21" s="11" customFormat="1" x14ac:dyDescent="0.25">
      <c r="A19" s="51" t="s">
        <v>598</v>
      </c>
      <c r="B19" s="52">
        <v>1.83</v>
      </c>
      <c r="C19" s="52">
        <v>31.94</v>
      </c>
      <c r="D19" s="52">
        <v>58.52</v>
      </c>
      <c r="E19" s="52">
        <v>4.2699999999999996</v>
      </c>
      <c r="F19" s="52">
        <v>10.6</v>
      </c>
      <c r="G19" s="52">
        <v>60.68</v>
      </c>
      <c r="H19" s="52">
        <v>21.34</v>
      </c>
      <c r="I19" s="52">
        <v>4.1900000000000004</v>
      </c>
      <c r="J19" s="52">
        <v>1.63</v>
      </c>
      <c r="K19" s="52">
        <v>254.08</v>
      </c>
      <c r="L19" s="52">
        <v>41.73</v>
      </c>
      <c r="M19" s="52">
        <v>34.119999999999997</v>
      </c>
      <c r="N19" s="52">
        <v>904</v>
      </c>
      <c r="O19" s="52">
        <v>0</v>
      </c>
      <c r="P19" s="52">
        <v>0.5</v>
      </c>
      <c r="Q19" s="52">
        <v>9.5500000000000007</v>
      </c>
      <c r="R19" s="43"/>
      <c r="S19" s="43"/>
      <c r="T19" s="43"/>
      <c r="U19" s="43"/>
    </row>
    <row r="20" spans="1:21" s="11" customFormat="1" x14ac:dyDescent="0.25">
      <c r="A20" s="51" t="s">
        <v>599</v>
      </c>
      <c r="B20" s="52">
        <v>2.83</v>
      </c>
      <c r="C20" s="52">
        <v>28.87</v>
      </c>
      <c r="D20" s="52">
        <v>53.27</v>
      </c>
      <c r="E20" s="52">
        <v>6.44</v>
      </c>
      <c r="F20" s="52">
        <v>16.59</v>
      </c>
      <c r="G20" s="52">
        <v>57.93</v>
      </c>
      <c r="H20" s="52">
        <v>21.31</v>
      </c>
      <c r="I20" s="52">
        <v>4.05</v>
      </c>
      <c r="J20" s="52">
        <v>2.0699999999999998</v>
      </c>
      <c r="K20" s="52">
        <v>278.72000000000003</v>
      </c>
      <c r="L20" s="52">
        <v>44.8</v>
      </c>
      <c r="M20" s="52">
        <v>28.22</v>
      </c>
      <c r="N20" s="52">
        <v>939.2</v>
      </c>
      <c r="O20" s="52">
        <v>0</v>
      </c>
      <c r="P20" s="52">
        <v>0.46</v>
      </c>
      <c r="Q20" s="52">
        <v>9.59</v>
      </c>
      <c r="R20" s="43"/>
      <c r="S20" s="43"/>
      <c r="T20" s="43"/>
      <c r="U20" s="43"/>
    </row>
    <row r="21" spans="1:21" s="11" customFormat="1" x14ac:dyDescent="0.25">
      <c r="A21" s="51" t="s">
        <v>600</v>
      </c>
      <c r="B21" s="52">
        <v>2.5499999999999998</v>
      </c>
      <c r="C21" s="52">
        <v>30.13</v>
      </c>
      <c r="D21" s="52">
        <v>54.74</v>
      </c>
      <c r="E21" s="52">
        <v>10.06</v>
      </c>
      <c r="F21" s="52">
        <v>23.38</v>
      </c>
      <c r="G21" s="52">
        <v>57.56</v>
      </c>
      <c r="H21" s="52">
        <v>20.64</v>
      </c>
      <c r="I21" s="52">
        <v>4.09</v>
      </c>
      <c r="J21" s="52">
        <v>2.6</v>
      </c>
      <c r="K21" s="52">
        <v>291.98</v>
      </c>
      <c r="L21" s="52">
        <v>46.87</v>
      </c>
      <c r="M21" s="52">
        <v>20.49</v>
      </c>
      <c r="N21" s="52">
        <v>922</v>
      </c>
      <c r="O21" s="52">
        <v>0</v>
      </c>
      <c r="P21" s="52">
        <v>0.45</v>
      </c>
      <c r="Q21" s="52">
        <v>9.59</v>
      </c>
      <c r="R21" s="43"/>
      <c r="S21" s="43"/>
      <c r="T21" s="43"/>
      <c r="U21" s="43"/>
    </row>
    <row r="22" spans="1:21" s="11" customFormat="1" x14ac:dyDescent="0.25">
      <c r="A22" s="51" t="s">
        <v>601</v>
      </c>
      <c r="B22" s="52">
        <v>2.06</v>
      </c>
      <c r="C22" s="52">
        <v>27.55</v>
      </c>
      <c r="D22" s="52">
        <v>50.11</v>
      </c>
      <c r="E22" s="52">
        <v>9.35</v>
      </c>
      <c r="F22" s="52">
        <v>23.61</v>
      </c>
      <c r="G22" s="52">
        <v>51.73</v>
      </c>
      <c r="H22" s="52">
        <v>17.82</v>
      </c>
      <c r="I22" s="52">
        <v>4.0999999999999996</v>
      </c>
      <c r="J22" s="52">
        <v>2.2000000000000002</v>
      </c>
      <c r="K22" s="52">
        <v>284.7</v>
      </c>
      <c r="L22" s="52">
        <v>45.96</v>
      </c>
      <c r="M22" s="52">
        <v>21.61</v>
      </c>
      <c r="N22" s="52">
        <v>717.1</v>
      </c>
      <c r="O22" s="52">
        <v>0</v>
      </c>
      <c r="P22" s="52">
        <v>0.52</v>
      </c>
      <c r="Q22" s="52">
        <v>9.56</v>
      </c>
      <c r="R22" s="43"/>
      <c r="S22" s="43"/>
      <c r="T22" s="43"/>
      <c r="U22" s="43"/>
    </row>
    <row r="23" spans="1:21" s="11" customFormat="1" x14ac:dyDescent="0.25">
      <c r="A23" s="51" t="s">
        <v>602</v>
      </c>
      <c r="B23" s="52">
        <v>1.96</v>
      </c>
      <c r="C23" s="52">
        <v>28.58</v>
      </c>
      <c r="D23" s="52">
        <v>52.22</v>
      </c>
      <c r="E23" s="52">
        <v>8.49</v>
      </c>
      <c r="F23" s="52">
        <v>23.06</v>
      </c>
      <c r="G23" s="52">
        <v>52.03</v>
      </c>
      <c r="H23" s="52">
        <v>17.95</v>
      </c>
      <c r="I23" s="52">
        <v>3.98</v>
      </c>
      <c r="J23" s="52">
        <v>2.2400000000000002</v>
      </c>
      <c r="K23" s="52">
        <v>286.24</v>
      </c>
      <c r="L23" s="52">
        <v>45.69</v>
      </c>
      <c r="M23" s="52">
        <v>21.62</v>
      </c>
      <c r="N23" s="52">
        <v>402.6</v>
      </c>
      <c r="O23" s="52">
        <v>0</v>
      </c>
      <c r="P23" s="52">
        <v>0.51</v>
      </c>
      <c r="Q23" s="52">
        <v>9.52</v>
      </c>
      <c r="R23" s="43"/>
      <c r="S23" s="43"/>
      <c r="T23" s="43"/>
      <c r="U23" s="43"/>
    </row>
    <row r="24" spans="1:21" s="11" customFormat="1" x14ac:dyDescent="0.25">
      <c r="A24" s="51" t="s">
        <v>603</v>
      </c>
      <c r="B24" s="52">
        <v>2.27</v>
      </c>
      <c r="C24" s="52">
        <v>27.95</v>
      </c>
      <c r="D24" s="52">
        <v>50.94</v>
      </c>
      <c r="E24" s="52">
        <v>7.07</v>
      </c>
      <c r="F24" s="52">
        <v>21.26</v>
      </c>
      <c r="G24" s="52">
        <v>52.15</v>
      </c>
      <c r="H24" s="52">
        <v>17.670000000000002</v>
      </c>
      <c r="I24" s="52">
        <v>4.1399999999999997</v>
      </c>
      <c r="J24" s="52">
        <v>1.81</v>
      </c>
      <c r="K24" s="52">
        <v>277.85000000000002</v>
      </c>
      <c r="L24" s="52">
        <v>44.25</v>
      </c>
      <c r="M24" s="52">
        <v>22.17</v>
      </c>
      <c r="N24" s="52">
        <v>364</v>
      </c>
      <c r="O24" s="52">
        <v>0</v>
      </c>
      <c r="P24" s="52">
        <v>0.47</v>
      </c>
      <c r="Q24" s="52">
        <v>9.5299999999999994</v>
      </c>
      <c r="R24" s="43"/>
      <c r="S24" s="43"/>
      <c r="T24" s="43"/>
      <c r="U24" s="43"/>
    </row>
    <row r="25" spans="1:21" s="11" customFormat="1" x14ac:dyDescent="0.25">
      <c r="A25" s="51" t="s">
        <v>604</v>
      </c>
      <c r="B25" s="52">
        <v>1.85</v>
      </c>
      <c r="C25" s="52">
        <v>29.88</v>
      </c>
      <c r="D25" s="52">
        <v>55.27</v>
      </c>
      <c r="E25" s="52">
        <v>7.9</v>
      </c>
      <c r="F25" s="52">
        <v>23.47</v>
      </c>
      <c r="G25" s="52">
        <v>52.42</v>
      </c>
      <c r="H25" s="52">
        <v>17.690000000000001</v>
      </c>
      <c r="I25" s="52">
        <v>4.17</v>
      </c>
      <c r="J25" s="52">
        <v>2.2599999999999998</v>
      </c>
      <c r="K25" s="52">
        <v>275.01</v>
      </c>
      <c r="L25" s="52">
        <v>43.34</v>
      </c>
      <c r="M25" s="52">
        <v>21.81</v>
      </c>
      <c r="N25" s="52">
        <v>163.69999999999999</v>
      </c>
      <c r="O25" s="52">
        <v>0</v>
      </c>
      <c r="P25" s="52">
        <v>0.46</v>
      </c>
      <c r="Q25" s="52">
        <v>9.52</v>
      </c>
      <c r="R25" s="43"/>
      <c r="S25" s="43"/>
      <c r="T25" s="43"/>
      <c r="U25" s="43"/>
    </row>
    <row r="26" spans="1:21" s="11" customFormat="1" x14ac:dyDescent="0.25">
      <c r="A26" s="51" t="s">
        <v>605</v>
      </c>
      <c r="B26" s="52">
        <v>3.7</v>
      </c>
      <c r="C26" s="52">
        <v>31.88</v>
      </c>
      <c r="D26" s="52">
        <v>55.66</v>
      </c>
      <c r="E26" s="52">
        <v>13.55</v>
      </c>
      <c r="F26" s="52">
        <v>29.71</v>
      </c>
      <c r="G26" s="52">
        <v>52.7</v>
      </c>
      <c r="H26" s="52">
        <v>16.420000000000002</v>
      </c>
      <c r="I26" s="52">
        <v>4.1500000000000004</v>
      </c>
      <c r="J26" s="52">
        <v>1.57</v>
      </c>
      <c r="K26" s="52">
        <v>262.99</v>
      </c>
      <c r="L26" s="52">
        <v>42.53</v>
      </c>
      <c r="M26" s="52">
        <v>22.5</v>
      </c>
      <c r="N26" s="52">
        <v>103.9</v>
      </c>
      <c r="O26" s="52">
        <v>0</v>
      </c>
      <c r="P26" s="52">
        <v>0.56000000000000005</v>
      </c>
      <c r="Q26" s="52">
        <v>9.49</v>
      </c>
      <c r="R26" s="43"/>
      <c r="S26" s="43"/>
      <c r="T26" s="43"/>
      <c r="U26" s="43"/>
    </row>
    <row r="27" spans="1:21" s="11" customFormat="1" x14ac:dyDescent="0.25">
      <c r="A27" s="51" t="s">
        <v>606</v>
      </c>
      <c r="B27" s="52">
        <v>10.98</v>
      </c>
      <c r="C27" s="52">
        <v>63.34</v>
      </c>
      <c r="D27" s="52">
        <v>104.37</v>
      </c>
      <c r="E27" s="52">
        <v>12.56</v>
      </c>
      <c r="F27" s="52">
        <v>27.33</v>
      </c>
      <c r="G27" s="52">
        <v>59.45</v>
      </c>
      <c r="H27" s="52">
        <v>18.66</v>
      </c>
      <c r="I27" s="52">
        <v>4.03</v>
      </c>
      <c r="J27" s="52">
        <v>1.41</v>
      </c>
      <c r="K27" s="52">
        <v>272.2</v>
      </c>
      <c r="L27" s="52">
        <v>40.880000000000003</v>
      </c>
      <c r="M27" s="52">
        <v>23.42</v>
      </c>
      <c r="N27" s="52">
        <v>57</v>
      </c>
      <c r="O27" s="52">
        <v>0</v>
      </c>
      <c r="P27" s="52">
        <v>1.34</v>
      </c>
      <c r="Q27" s="52">
        <v>9.48</v>
      </c>
      <c r="R27" s="43"/>
      <c r="S27" s="43"/>
      <c r="T27" s="43"/>
      <c r="U27" s="43"/>
    </row>
    <row r="28" spans="1:21" s="11" customFormat="1" x14ac:dyDescent="0.25">
      <c r="A28" s="51" t="s">
        <v>607</v>
      </c>
      <c r="B28" s="52">
        <v>52.25</v>
      </c>
      <c r="C28" s="52">
        <v>110.98</v>
      </c>
      <c r="D28" s="52">
        <v>132.22</v>
      </c>
      <c r="E28" s="52">
        <v>12.79</v>
      </c>
      <c r="F28" s="52">
        <v>12.99</v>
      </c>
      <c r="G28" s="52">
        <v>66.22</v>
      </c>
      <c r="H28" s="52">
        <v>21.43</v>
      </c>
      <c r="I28" s="52">
        <v>4.03</v>
      </c>
      <c r="J28" s="52">
        <v>1.07</v>
      </c>
      <c r="K28" s="52">
        <v>326.33</v>
      </c>
      <c r="L28" s="52">
        <v>38.89</v>
      </c>
      <c r="M28" s="52">
        <v>29.55</v>
      </c>
      <c r="N28" s="52">
        <v>49.2</v>
      </c>
      <c r="O28" s="52">
        <v>0</v>
      </c>
      <c r="P28" s="52">
        <v>2.4700000000000002</v>
      </c>
      <c r="Q28" s="52">
        <v>9.4499999999999993</v>
      </c>
      <c r="R28" s="43"/>
      <c r="S28" s="43"/>
      <c r="T28" s="43"/>
      <c r="U28" s="43"/>
    </row>
    <row r="29" spans="1:21" s="11" customFormat="1" x14ac:dyDescent="0.25">
      <c r="A29" s="51" t="s">
        <v>608</v>
      </c>
      <c r="B29" s="52">
        <v>232.23</v>
      </c>
      <c r="C29" s="52">
        <v>256.63</v>
      </c>
      <c r="D29" s="52">
        <v>134.75</v>
      </c>
      <c r="E29" s="52">
        <v>17.2</v>
      </c>
      <c r="F29" s="52">
        <v>9.98</v>
      </c>
      <c r="G29" s="52">
        <v>81.709999999999994</v>
      </c>
      <c r="H29" s="52">
        <v>23.97</v>
      </c>
      <c r="I29" s="52">
        <v>4.13</v>
      </c>
      <c r="J29" s="52">
        <v>1.29</v>
      </c>
      <c r="K29" s="52">
        <v>339.68</v>
      </c>
      <c r="L29" s="52">
        <v>36.799999999999997</v>
      </c>
      <c r="M29" s="52">
        <v>32.86</v>
      </c>
      <c r="N29" s="52">
        <v>49.5</v>
      </c>
      <c r="O29" s="52">
        <v>0</v>
      </c>
      <c r="P29" s="52">
        <v>4.54</v>
      </c>
      <c r="Q29" s="52">
        <v>9.4499999999999993</v>
      </c>
      <c r="R29" s="43"/>
      <c r="S29" s="43"/>
      <c r="T29" s="43"/>
      <c r="U29" s="43"/>
    </row>
    <row r="30" spans="1:21" s="11" customFormat="1" x14ac:dyDescent="0.25">
      <c r="A30" s="51" t="s">
        <v>609</v>
      </c>
      <c r="B30" s="52">
        <v>187.95</v>
      </c>
      <c r="C30" s="52">
        <v>219.41</v>
      </c>
      <c r="D30" s="52">
        <v>131.47</v>
      </c>
      <c r="E30" s="52">
        <v>12.36</v>
      </c>
      <c r="F30" s="52">
        <v>5.96</v>
      </c>
      <c r="G30" s="52">
        <v>105.19</v>
      </c>
      <c r="H30" s="52">
        <v>27.69</v>
      </c>
      <c r="I30" s="52">
        <v>4.03</v>
      </c>
      <c r="J30" s="52">
        <v>1.72</v>
      </c>
      <c r="K30" s="52">
        <v>288.98</v>
      </c>
      <c r="L30" s="52">
        <v>35.81</v>
      </c>
      <c r="M30" s="52">
        <v>39.9</v>
      </c>
      <c r="N30" s="52">
        <v>50.1</v>
      </c>
      <c r="O30" s="52">
        <v>0</v>
      </c>
      <c r="P30" s="52">
        <v>3.7</v>
      </c>
      <c r="Q30" s="52">
        <v>9.6199999999999992</v>
      </c>
      <c r="R30" s="43"/>
      <c r="S30" s="43"/>
      <c r="T30" s="43"/>
      <c r="U30" s="43"/>
    </row>
    <row r="31" spans="1:21" s="11" customFormat="1" x14ac:dyDescent="0.25">
      <c r="A31" s="51" t="s">
        <v>610</v>
      </c>
      <c r="B31" s="52">
        <v>195.56</v>
      </c>
      <c r="C31" s="52">
        <v>221.87</v>
      </c>
      <c r="D31" s="52">
        <v>125.66</v>
      </c>
      <c r="E31" s="52">
        <v>10.11</v>
      </c>
      <c r="F31" s="52">
        <v>5.81</v>
      </c>
      <c r="G31" s="52">
        <v>122.47</v>
      </c>
      <c r="H31" s="52">
        <v>31.59</v>
      </c>
      <c r="I31" s="52">
        <v>4.09</v>
      </c>
      <c r="J31" s="52">
        <v>1.87</v>
      </c>
      <c r="K31" s="52">
        <v>343.14</v>
      </c>
      <c r="L31" s="52">
        <v>33.67</v>
      </c>
      <c r="M31" s="52">
        <v>42.84</v>
      </c>
      <c r="N31" s="52">
        <v>49.9</v>
      </c>
      <c r="O31" s="52">
        <v>0</v>
      </c>
      <c r="P31" s="52">
        <v>3.25</v>
      </c>
      <c r="Q31" s="52">
        <v>9.7100000000000009</v>
      </c>
      <c r="R31" s="43"/>
      <c r="S31" s="43"/>
      <c r="T31" s="43"/>
      <c r="U31" s="43"/>
    </row>
    <row r="32" spans="1:21" s="11" customFormat="1" x14ac:dyDescent="0.25">
      <c r="A32" s="51" t="s">
        <v>611</v>
      </c>
      <c r="B32" s="52">
        <v>107.88</v>
      </c>
      <c r="C32" s="52">
        <v>136.80000000000001</v>
      </c>
      <c r="D32" s="52">
        <v>116.91</v>
      </c>
      <c r="E32" s="52">
        <v>10.02</v>
      </c>
      <c r="F32" s="52">
        <v>11.01</v>
      </c>
      <c r="G32" s="52">
        <v>125.82</v>
      </c>
      <c r="H32" s="52">
        <v>32.46</v>
      </c>
      <c r="I32" s="52">
        <v>4.16</v>
      </c>
      <c r="J32" s="52">
        <v>2.16</v>
      </c>
      <c r="K32" s="52">
        <v>212.25</v>
      </c>
      <c r="L32" s="52">
        <v>33.880000000000003</v>
      </c>
      <c r="M32" s="52">
        <v>43.56</v>
      </c>
      <c r="N32" s="52">
        <v>49.7</v>
      </c>
      <c r="O32" s="52">
        <v>0</v>
      </c>
      <c r="P32" s="52">
        <v>1.92</v>
      </c>
      <c r="Q32" s="52">
        <v>9.81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1.83</v>
      </c>
      <c r="C34" s="28">
        <f t="shared" si="0"/>
        <v>27.55</v>
      </c>
      <c r="D34" s="28">
        <f t="shared" si="0"/>
        <v>50.11</v>
      </c>
      <c r="E34" s="28">
        <f t="shared" si="0"/>
        <v>4.05</v>
      </c>
      <c r="F34" s="28">
        <f t="shared" si="0"/>
        <v>5.81</v>
      </c>
      <c r="G34" s="28">
        <f t="shared" si="0"/>
        <v>51.73</v>
      </c>
      <c r="H34" s="28">
        <f t="shared" si="0"/>
        <v>16.420000000000002</v>
      </c>
      <c r="I34" s="28">
        <f t="shared" si="0"/>
        <v>3.98</v>
      </c>
      <c r="J34" s="28">
        <f t="shared" si="0"/>
        <v>1.07</v>
      </c>
      <c r="K34" s="28">
        <f t="shared" si="0"/>
        <v>212.25</v>
      </c>
      <c r="L34" s="28">
        <f t="shared" si="0"/>
        <v>31.06</v>
      </c>
      <c r="M34" s="28">
        <f t="shared" si="0"/>
        <v>20.49</v>
      </c>
      <c r="N34" s="28">
        <f t="shared" si="0"/>
        <v>49.2</v>
      </c>
      <c r="O34" s="28">
        <f t="shared" si="0"/>
        <v>0</v>
      </c>
      <c r="P34" s="28">
        <f t="shared" si="0"/>
        <v>0.45</v>
      </c>
      <c r="Q34" s="28">
        <f t="shared" si="0"/>
        <v>9.4499999999999993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232.23</v>
      </c>
      <c r="C35" s="29">
        <f t="shared" si="1"/>
        <v>256.63</v>
      </c>
      <c r="D35" s="29">
        <f t="shared" si="1"/>
        <v>134.75</v>
      </c>
      <c r="E35" s="29">
        <f t="shared" si="1"/>
        <v>17.2</v>
      </c>
      <c r="F35" s="29">
        <f t="shared" si="1"/>
        <v>29.71</v>
      </c>
      <c r="G35" s="29">
        <f t="shared" si="1"/>
        <v>125.82</v>
      </c>
      <c r="H35" s="29">
        <f t="shared" si="1"/>
        <v>32.46</v>
      </c>
      <c r="I35" s="29">
        <f t="shared" si="1"/>
        <v>4.21</v>
      </c>
      <c r="J35" s="29">
        <f t="shared" si="1"/>
        <v>2.6</v>
      </c>
      <c r="K35" s="29">
        <f t="shared" si="1"/>
        <v>343.14</v>
      </c>
      <c r="L35" s="29">
        <f t="shared" si="1"/>
        <v>46.87</v>
      </c>
      <c r="M35" s="29">
        <f t="shared" si="1"/>
        <v>49.53</v>
      </c>
      <c r="N35" s="29">
        <f t="shared" si="1"/>
        <v>939.2</v>
      </c>
      <c r="O35" s="29">
        <f t="shared" si="1"/>
        <v>0</v>
      </c>
      <c r="P35" s="29">
        <f t="shared" si="1"/>
        <v>4.54</v>
      </c>
      <c r="Q35" s="29">
        <f t="shared" si="1"/>
        <v>9.81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41.752083333333339</v>
      </c>
      <c r="C36" s="28">
        <f t="shared" si="2"/>
        <v>72.809166666666684</v>
      </c>
      <c r="D36" s="28">
        <f t="shared" si="2"/>
        <v>77.130833333333342</v>
      </c>
      <c r="E36" s="28">
        <f t="shared" si="2"/>
        <v>8.5541666666666689</v>
      </c>
      <c r="F36" s="28">
        <f t="shared" si="2"/>
        <v>15.592499999999996</v>
      </c>
      <c r="G36" s="28">
        <f t="shared" si="2"/>
        <v>71.456250000000011</v>
      </c>
      <c r="H36" s="28">
        <f t="shared" si="2"/>
        <v>21.358333333333338</v>
      </c>
      <c r="I36" s="28">
        <f t="shared" si="2"/>
        <v>4.1054166666666667</v>
      </c>
      <c r="J36" s="28">
        <f t="shared" si="2"/>
        <v>1.8174999999999997</v>
      </c>
      <c r="K36" s="28">
        <f t="shared" si="2"/>
        <v>280.1495833333334</v>
      </c>
      <c r="L36" s="28">
        <f t="shared" si="2"/>
        <v>37.96541666666667</v>
      </c>
      <c r="M36" s="28">
        <f t="shared" si="2"/>
        <v>32.751249999999999</v>
      </c>
      <c r="N36" s="28">
        <f t="shared" si="2"/>
        <v>307.53749999999997</v>
      </c>
      <c r="O36" s="28">
        <f t="shared" si="2"/>
        <v>0</v>
      </c>
      <c r="P36" s="28">
        <f t="shared" si="2"/>
        <v>1.1866666666666668</v>
      </c>
      <c r="Q36" s="28">
        <f t="shared" si="2"/>
        <v>9.5562500000000004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67.975752325124489</v>
      </c>
      <c r="C37" s="28">
        <f t="shared" ref="C37:Q37" si="3">STDEV(C9:C32)</f>
        <v>67.890056639980131</v>
      </c>
      <c r="D37" s="28">
        <f t="shared" si="3"/>
        <v>29.767435945234215</v>
      </c>
      <c r="E37" s="28">
        <f t="shared" si="3"/>
        <v>3.4673118477107496</v>
      </c>
      <c r="F37" s="28">
        <f t="shared" si="3"/>
        <v>6.5668318415186135</v>
      </c>
      <c r="G37" s="28">
        <f t="shared" si="3"/>
        <v>20.47320174457116</v>
      </c>
      <c r="H37" s="28">
        <f t="shared" si="3"/>
        <v>4.0414447122679586</v>
      </c>
      <c r="I37" s="28">
        <f t="shared" si="3"/>
        <v>6.3312830396007588E-2</v>
      </c>
      <c r="J37" s="28">
        <f t="shared" si="3"/>
        <v>0.34428564985438231</v>
      </c>
      <c r="K37" s="28">
        <f t="shared" si="3"/>
        <v>36.414586957661484</v>
      </c>
      <c r="L37" s="28">
        <f t="shared" si="3"/>
        <v>5.4076981996816107</v>
      </c>
      <c r="M37" s="28">
        <f t="shared" si="3"/>
        <v>8.8989522160464833</v>
      </c>
      <c r="N37" s="28">
        <f t="shared" si="3"/>
        <v>332.40090228059927</v>
      </c>
      <c r="O37" s="28">
        <f t="shared" si="3"/>
        <v>0</v>
      </c>
      <c r="P37" s="28">
        <f t="shared" si="3"/>
        <v>1.1449308567187217</v>
      </c>
      <c r="Q37" s="28">
        <f t="shared" si="3"/>
        <v>7.6602446322612511E-2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0" sqref="G50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24/04/2025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612</v>
      </c>
      <c r="B9" s="52">
        <v>28.07</v>
      </c>
      <c r="C9" s="52">
        <v>53.41</v>
      </c>
      <c r="D9" s="52">
        <v>64.86</v>
      </c>
      <c r="E9" s="52">
        <v>11.65</v>
      </c>
      <c r="F9" s="52">
        <v>16.86</v>
      </c>
      <c r="G9" s="52">
        <v>123.87</v>
      </c>
      <c r="H9" s="52">
        <v>42.57</v>
      </c>
      <c r="I9" s="52">
        <v>4.0999999999999996</v>
      </c>
      <c r="J9" s="52">
        <v>1.32</v>
      </c>
      <c r="K9" s="52">
        <v>318.16000000000003</v>
      </c>
      <c r="L9" s="52">
        <v>33.549999999999997</v>
      </c>
      <c r="M9" s="52">
        <v>35.9</v>
      </c>
      <c r="N9" s="52">
        <v>50.1</v>
      </c>
      <c r="O9" s="52">
        <v>0</v>
      </c>
      <c r="P9" s="52">
        <v>1.1000000000000001</v>
      </c>
      <c r="Q9" s="52">
        <v>9.84</v>
      </c>
      <c r="R9" s="43"/>
      <c r="S9" s="43"/>
      <c r="T9" s="43"/>
      <c r="U9" s="43"/>
    </row>
    <row r="10" spans="1:21" s="11" customFormat="1" x14ac:dyDescent="0.25">
      <c r="A10" s="51" t="s">
        <v>613</v>
      </c>
      <c r="B10" s="52">
        <v>32.520000000000003</v>
      </c>
      <c r="C10" s="52">
        <v>54.22</v>
      </c>
      <c r="D10" s="52">
        <v>53.86</v>
      </c>
      <c r="E10" s="52">
        <v>16.04</v>
      </c>
      <c r="F10" s="52">
        <v>20.39</v>
      </c>
      <c r="G10" s="52">
        <v>95.96</v>
      </c>
      <c r="H10" s="52">
        <v>46.18</v>
      </c>
      <c r="I10" s="52">
        <v>4.05</v>
      </c>
      <c r="J10" s="52">
        <v>1.81</v>
      </c>
      <c r="K10" s="52">
        <v>276.19</v>
      </c>
      <c r="L10" s="52">
        <v>34.630000000000003</v>
      </c>
      <c r="M10" s="52">
        <v>36.380000000000003</v>
      </c>
      <c r="N10" s="52">
        <v>50</v>
      </c>
      <c r="O10" s="52">
        <v>0</v>
      </c>
      <c r="P10" s="52">
        <v>0.99</v>
      </c>
      <c r="Q10" s="52">
        <v>9.7899999999999991</v>
      </c>
      <c r="R10" s="43"/>
      <c r="S10" s="43"/>
      <c r="T10" s="43"/>
      <c r="U10" s="43"/>
    </row>
    <row r="11" spans="1:21" s="11" customFormat="1" x14ac:dyDescent="0.25">
      <c r="A11" s="51" t="s">
        <v>614</v>
      </c>
      <c r="B11" s="52">
        <v>19.68</v>
      </c>
      <c r="C11" s="52">
        <v>39.229999999999997</v>
      </c>
      <c r="D11" s="52">
        <v>44.87</v>
      </c>
      <c r="E11" s="52">
        <v>7.82</v>
      </c>
      <c r="F11" s="52">
        <v>23.78</v>
      </c>
      <c r="G11" s="52">
        <v>80.14</v>
      </c>
      <c r="H11" s="52">
        <v>32.979999999999997</v>
      </c>
      <c r="I11" s="52">
        <v>4.03</v>
      </c>
      <c r="J11" s="52">
        <v>2.56</v>
      </c>
      <c r="K11" s="52">
        <v>278.88</v>
      </c>
      <c r="L11" s="52">
        <v>34.869999999999997</v>
      </c>
      <c r="M11" s="52">
        <v>38.590000000000003</v>
      </c>
      <c r="N11" s="52">
        <v>51.1</v>
      </c>
      <c r="O11" s="52">
        <v>0</v>
      </c>
      <c r="P11" s="52">
        <v>0.63</v>
      </c>
      <c r="Q11" s="52">
        <v>9.68</v>
      </c>
      <c r="R11" s="43"/>
      <c r="S11" s="43"/>
      <c r="T11" s="43"/>
      <c r="U11" s="43"/>
    </row>
    <row r="12" spans="1:21" s="11" customFormat="1" x14ac:dyDescent="0.25">
      <c r="A12" s="51" t="s">
        <v>615</v>
      </c>
      <c r="B12" s="52">
        <v>8.84</v>
      </c>
      <c r="C12" s="52">
        <v>31.48</v>
      </c>
      <c r="D12" s="52">
        <v>46.67</v>
      </c>
      <c r="E12" s="52">
        <v>7.7</v>
      </c>
      <c r="F12" s="52">
        <v>22.26</v>
      </c>
      <c r="G12" s="52">
        <v>57.64</v>
      </c>
      <c r="H12" s="52">
        <v>22.53</v>
      </c>
      <c r="I12" s="52">
        <v>4.09</v>
      </c>
      <c r="J12" s="52">
        <v>3.11</v>
      </c>
      <c r="K12" s="52">
        <v>275.98</v>
      </c>
      <c r="L12" s="52">
        <v>34.520000000000003</v>
      </c>
      <c r="M12" s="52">
        <v>38.03</v>
      </c>
      <c r="N12" s="52">
        <v>52.4</v>
      </c>
      <c r="O12" s="52">
        <v>0</v>
      </c>
      <c r="P12" s="52">
        <v>0.47</v>
      </c>
      <c r="Q12" s="52">
        <v>9.59</v>
      </c>
      <c r="R12" s="43"/>
      <c r="S12" s="43"/>
      <c r="T12" s="43"/>
      <c r="U12" s="43"/>
    </row>
    <row r="13" spans="1:21" s="11" customFormat="1" x14ac:dyDescent="0.25">
      <c r="A13" s="51" t="s">
        <v>616</v>
      </c>
      <c r="B13" s="52">
        <v>6.45</v>
      </c>
      <c r="C13" s="52">
        <v>27.94</v>
      </c>
      <c r="D13" s="52">
        <v>47.81</v>
      </c>
      <c r="E13" s="52">
        <v>6.85</v>
      </c>
      <c r="F13" s="52">
        <v>17.350000000000001</v>
      </c>
      <c r="G13" s="52">
        <v>45.88</v>
      </c>
      <c r="H13" s="52">
        <v>30.31</v>
      </c>
      <c r="I13" s="52">
        <v>4.03</v>
      </c>
      <c r="J13" s="52">
        <v>3.52</v>
      </c>
      <c r="K13" s="52">
        <v>273.36</v>
      </c>
      <c r="L13" s="52">
        <v>34.15</v>
      </c>
      <c r="M13" s="52">
        <v>43.79</v>
      </c>
      <c r="N13" s="52">
        <v>53</v>
      </c>
      <c r="O13" s="52">
        <v>0</v>
      </c>
      <c r="P13" s="52">
        <v>0.41</v>
      </c>
      <c r="Q13" s="52">
        <v>9.56</v>
      </c>
      <c r="R13" s="43"/>
      <c r="S13" s="43"/>
      <c r="T13" s="43"/>
      <c r="U13" s="43"/>
    </row>
    <row r="14" spans="1:21" s="11" customFormat="1" x14ac:dyDescent="0.25">
      <c r="A14" s="51" t="s">
        <v>617</v>
      </c>
      <c r="B14" s="52">
        <v>9.4</v>
      </c>
      <c r="C14" s="52">
        <v>42.29</v>
      </c>
      <c r="D14" s="52">
        <v>66.510000000000005</v>
      </c>
      <c r="E14" s="52">
        <v>6.72</v>
      </c>
      <c r="F14" s="52">
        <v>13.93</v>
      </c>
      <c r="G14" s="52">
        <v>46.36</v>
      </c>
      <c r="H14" s="52">
        <v>32.18</v>
      </c>
      <c r="I14" s="52">
        <v>4.08</v>
      </c>
      <c r="J14" s="52">
        <v>2.98</v>
      </c>
      <c r="K14" s="52">
        <v>260.16000000000003</v>
      </c>
      <c r="L14" s="52">
        <v>32.72</v>
      </c>
      <c r="M14" s="52">
        <v>44.7</v>
      </c>
      <c r="N14" s="52">
        <v>70.7</v>
      </c>
      <c r="O14" s="52">
        <v>0</v>
      </c>
      <c r="P14" s="52">
        <v>0.36</v>
      </c>
      <c r="Q14" s="52">
        <v>9.5500000000000007</v>
      </c>
      <c r="R14" s="43"/>
      <c r="S14" s="43"/>
      <c r="T14" s="43"/>
      <c r="U14" s="43"/>
    </row>
    <row r="15" spans="1:21" s="11" customFormat="1" x14ac:dyDescent="0.25">
      <c r="A15" s="51" t="s">
        <v>618</v>
      </c>
      <c r="B15" s="52">
        <v>15.43</v>
      </c>
      <c r="C15" s="52">
        <v>43.76</v>
      </c>
      <c r="D15" s="52">
        <v>70.55</v>
      </c>
      <c r="E15" s="52">
        <v>7.02</v>
      </c>
      <c r="F15" s="52">
        <v>14.53</v>
      </c>
      <c r="G15" s="52">
        <v>51.32</v>
      </c>
      <c r="H15" s="52">
        <v>23.51</v>
      </c>
      <c r="I15" s="52">
        <v>4.05</v>
      </c>
      <c r="J15" s="52">
        <v>2.85</v>
      </c>
      <c r="K15" s="52">
        <v>240.13</v>
      </c>
      <c r="L15" s="52">
        <v>34.18</v>
      </c>
      <c r="M15" s="52">
        <v>43.46</v>
      </c>
      <c r="N15" s="52">
        <v>209.5</v>
      </c>
      <c r="O15" s="52">
        <v>0</v>
      </c>
      <c r="P15" s="52">
        <v>0.38</v>
      </c>
      <c r="Q15" s="52">
        <v>9.5500000000000007</v>
      </c>
      <c r="R15" s="43"/>
      <c r="S15" s="43"/>
      <c r="T15" s="43"/>
      <c r="U15" s="43"/>
    </row>
    <row r="16" spans="1:21" s="11" customFormat="1" x14ac:dyDescent="0.25">
      <c r="A16" s="51" t="s">
        <v>619</v>
      </c>
      <c r="B16" s="52">
        <v>8.86</v>
      </c>
      <c r="C16" s="52">
        <v>34.950000000000003</v>
      </c>
      <c r="D16" s="52">
        <v>53.29</v>
      </c>
      <c r="E16" s="52">
        <v>7.75</v>
      </c>
      <c r="F16" s="52">
        <v>15.76</v>
      </c>
      <c r="G16" s="52">
        <v>52.91</v>
      </c>
      <c r="H16" s="52">
        <v>21.54</v>
      </c>
      <c r="I16" s="52">
        <v>4.03</v>
      </c>
      <c r="J16" s="52">
        <v>2.4500000000000002</v>
      </c>
      <c r="K16" s="52">
        <v>271.49</v>
      </c>
      <c r="L16" s="52">
        <v>37.619999999999997</v>
      </c>
      <c r="M16" s="52">
        <v>41.43</v>
      </c>
      <c r="N16" s="52">
        <v>428.5</v>
      </c>
      <c r="O16" s="52">
        <v>0</v>
      </c>
      <c r="P16" s="52">
        <v>0.64</v>
      </c>
      <c r="Q16" s="52">
        <v>9.5500000000000007</v>
      </c>
      <c r="R16" s="43"/>
      <c r="S16" s="43"/>
      <c r="T16" s="43"/>
      <c r="U16" s="43"/>
    </row>
    <row r="17" spans="1:21" s="11" customFormat="1" x14ac:dyDescent="0.25">
      <c r="A17" s="51" t="s">
        <v>620</v>
      </c>
      <c r="B17" s="52">
        <v>5.81</v>
      </c>
      <c r="C17" s="52">
        <v>32.93</v>
      </c>
      <c r="D17" s="52">
        <v>57.19</v>
      </c>
      <c r="E17" s="52">
        <v>3.74</v>
      </c>
      <c r="F17" s="52">
        <v>9.1</v>
      </c>
      <c r="G17" s="52">
        <v>50.95</v>
      </c>
      <c r="H17" s="52">
        <v>18.89</v>
      </c>
      <c r="I17" s="52">
        <v>4.17</v>
      </c>
      <c r="J17" s="52">
        <v>1.93</v>
      </c>
      <c r="K17" s="52">
        <v>258.2</v>
      </c>
      <c r="L17" s="52">
        <v>38.270000000000003</v>
      </c>
      <c r="M17" s="52">
        <v>38.97</v>
      </c>
      <c r="N17" s="52">
        <v>629.5</v>
      </c>
      <c r="O17" s="52">
        <v>0</v>
      </c>
      <c r="P17" s="52">
        <v>0.56000000000000005</v>
      </c>
      <c r="Q17" s="52">
        <v>9.5500000000000007</v>
      </c>
      <c r="R17" s="43"/>
      <c r="S17" s="43"/>
      <c r="T17" s="43"/>
      <c r="U17" s="43"/>
    </row>
    <row r="18" spans="1:21" s="11" customFormat="1" x14ac:dyDescent="0.25">
      <c r="A18" s="51" t="s">
        <v>621</v>
      </c>
      <c r="B18" s="52">
        <v>1.31</v>
      </c>
      <c r="C18" s="52">
        <v>29.18</v>
      </c>
      <c r="D18" s="52">
        <v>53.84</v>
      </c>
      <c r="E18" s="52">
        <v>3.59</v>
      </c>
      <c r="F18" s="52">
        <v>9.6300000000000008</v>
      </c>
      <c r="G18" s="52">
        <v>49.34</v>
      </c>
      <c r="H18" s="52">
        <v>19.21</v>
      </c>
      <c r="I18" s="52">
        <v>4.04</v>
      </c>
      <c r="J18" s="52">
        <v>1.87</v>
      </c>
      <c r="K18" s="52">
        <v>259.39</v>
      </c>
      <c r="L18" s="52">
        <v>40.93</v>
      </c>
      <c r="M18" s="52">
        <v>35.630000000000003</v>
      </c>
      <c r="N18" s="52">
        <v>807.5</v>
      </c>
      <c r="O18" s="52">
        <v>0</v>
      </c>
      <c r="P18" s="52">
        <v>0.46</v>
      </c>
      <c r="Q18" s="52">
        <v>9.6199999999999992</v>
      </c>
      <c r="R18" s="43"/>
      <c r="S18" s="43"/>
      <c r="T18" s="43"/>
      <c r="U18" s="43"/>
    </row>
    <row r="19" spans="1:21" s="11" customFormat="1" x14ac:dyDescent="0.25">
      <c r="A19" s="51" t="s">
        <v>622</v>
      </c>
      <c r="B19" s="52">
        <v>2.54</v>
      </c>
      <c r="C19" s="52">
        <v>27.51</v>
      </c>
      <c r="D19" s="52">
        <v>49.82</v>
      </c>
      <c r="E19" s="52">
        <v>6.66</v>
      </c>
      <c r="F19" s="52">
        <v>16.97</v>
      </c>
      <c r="G19" s="52">
        <v>52.53</v>
      </c>
      <c r="H19" s="52">
        <v>18.59</v>
      </c>
      <c r="I19" s="52">
        <v>4.13</v>
      </c>
      <c r="J19" s="52">
        <v>1.75</v>
      </c>
      <c r="K19" s="52">
        <v>252</v>
      </c>
      <c r="L19" s="52">
        <v>42.41</v>
      </c>
      <c r="M19" s="52">
        <v>29.48</v>
      </c>
      <c r="N19" s="52">
        <v>943.5</v>
      </c>
      <c r="O19" s="52">
        <v>0</v>
      </c>
      <c r="P19" s="52">
        <v>0.48</v>
      </c>
      <c r="Q19" s="52">
        <v>9.61</v>
      </c>
      <c r="R19" s="43"/>
      <c r="S19" s="43"/>
      <c r="T19" s="43"/>
      <c r="U19" s="43"/>
    </row>
    <row r="20" spans="1:21" s="11" customFormat="1" x14ac:dyDescent="0.25">
      <c r="A20" s="51" t="s">
        <v>623</v>
      </c>
      <c r="B20" s="52">
        <v>3.42</v>
      </c>
      <c r="C20" s="52">
        <v>29.32</v>
      </c>
      <c r="D20" s="52">
        <v>50.9</v>
      </c>
      <c r="E20" s="52">
        <v>6.94</v>
      </c>
      <c r="F20" s="52">
        <v>21</v>
      </c>
      <c r="G20" s="52">
        <v>53.25</v>
      </c>
      <c r="H20" s="52">
        <v>18.809999999999999</v>
      </c>
      <c r="I20" s="52">
        <v>4.05</v>
      </c>
      <c r="J20" s="52">
        <v>2.0099999999999998</v>
      </c>
      <c r="K20" s="52">
        <v>292.20999999999998</v>
      </c>
      <c r="L20" s="52">
        <v>45.84</v>
      </c>
      <c r="M20" s="52">
        <v>21.6</v>
      </c>
      <c r="N20" s="52">
        <v>1007.7</v>
      </c>
      <c r="O20" s="52">
        <v>0</v>
      </c>
      <c r="P20" s="52">
        <v>0.51</v>
      </c>
      <c r="Q20" s="52">
        <v>9.6</v>
      </c>
      <c r="R20" s="43"/>
      <c r="S20" s="43"/>
      <c r="T20" s="43"/>
      <c r="U20" s="43"/>
    </row>
    <row r="21" spans="1:21" s="11" customFormat="1" x14ac:dyDescent="0.25">
      <c r="A21" s="51" t="s">
        <v>624</v>
      </c>
      <c r="B21" s="52">
        <v>3.59</v>
      </c>
      <c r="C21" s="52">
        <v>31.84</v>
      </c>
      <c r="D21" s="52">
        <v>57.57</v>
      </c>
      <c r="E21" s="52">
        <v>9.1199999999999992</v>
      </c>
      <c r="F21" s="52">
        <v>22.72</v>
      </c>
      <c r="G21" s="52">
        <v>48.5</v>
      </c>
      <c r="H21" s="52">
        <v>18.579999999999998</v>
      </c>
      <c r="I21" s="52">
        <v>4.12</v>
      </c>
      <c r="J21" s="52">
        <v>1.74</v>
      </c>
      <c r="K21" s="52">
        <v>286.32</v>
      </c>
      <c r="L21" s="52">
        <v>46.46</v>
      </c>
      <c r="M21" s="52">
        <v>16.02</v>
      </c>
      <c r="N21" s="52">
        <v>995.6</v>
      </c>
      <c r="O21" s="52">
        <v>0</v>
      </c>
      <c r="P21" s="52">
        <v>0.57999999999999996</v>
      </c>
      <c r="Q21" s="52">
        <v>9.6</v>
      </c>
      <c r="R21" s="43"/>
      <c r="S21" s="43"/>
      <c r="T21" s="43"/>
      <c r="U21" s="43"/>
    </row>
    <row r="22" spans="1:21" s="11" customFormat="1" x14ac:dyDescent="0.25">
      <c r="A22" s="51" t="s">
        <v>625</v>
      </c>
      <c r="B22" s="52">
        <v>2</v>
      </c>
      <c r="C22" s="52">
        <v>31.87</v>
      </c>
      <c r="D22" s="52">
        <v>58.36</v>
      </c>
      <c r="E22" s="52">
        <v>14.39</v>
      </c>
      <c r="F22" s="52">
        <v>26.07</v>
      </c>
      <c r="G22" s="52">
        <v>49.18</v>
      </c>
      <c r="H22" s="52">
        <v>18.8</v>
      </c>
      <c r="I22" s="52">
        <v>4</v>
      </c>
      <c r="J22" s="52">
        <v>1.58</v>
      </c>
      <c r="K22" s="52">
        <v>272.97000000000003</v>
      </c>
      <c r="L22" s="52">
        <v>45.89</v>
      </c>
      <c r="M22" s="52">
        <v>13.54</v>
      </c>
      <c r="N22" s="52">
        <v>764.2</v>
      </c>
      <c r="O22" s="52">
        <v>0</v>
      </c>
      <c r="P22" s="52">
        <v>0.59</v>
      </c>
      <c r="Q22" s="52">
        <v>9.5399999999999991</v>
      </c>
      <c r="R22" s="43"/>
      <c r="S22" s="43"/>
      <c r="T22" s="43"/>
      <c r="U22" s="43"/>
    </row>
    <row r="23" spans="1:21" s="11" customFormat="1" x14ac:dyDescent="0.25">
      <c r="A23" s="51" t="s">
        <v>626</v>
      </c>
      <c r="B23" s="52">
        <v>3.62</v>
      </c>
      <c r="C23" s="52">
        <v>29.6</v>
      </c>
      <c r="D23" s="52">
        <v>53.57</v>
      </c>
      <c r="E23" s="52">
        <v>7.55</v>
      </c>
      <c r="F23" s="52">
        <v>19.21</v>
      </c>
      <c r="G23" s="52">
        <v>49.2</v>
      </c>
      <c r="H23" s="52">
        <v>16.690000000000001</v>
      </c>
      <c r="I23" s="52">
        <v>4.12</v>
      </c>
      <c r="J23" s="52">
        <v>1.97</v>
      </c>
      <c r="K23" s="52">
        <v>296.13</v>
      </c>
      <c r="L23" s="52">
        <v>46.32</v>
      </c>
      <c r="M23" s="52">
        <v>12.7</v>
      </c>
      <c r="N23" s="52">
        <v>455.7</v>
      </c>
      <c r="O23" s="52">
        <v>0</v>
      </c>
      <c r="P23" s="52">
        <v>0.57999999999999996</v>
      </c>
      <c r="Q23" s="52">
        <v>9.51</v>
      </c>
      <c r="R23" s="43"/>
      <c r="S23" s="43"/>
      <c r="T23" s="43"/>
      <c r="U23" s="43"/>
    </row>
    <row r="24" spans="1:21" s="11" customFormat="1" x14ac:dyDescent="0.25">
      <c r="A24" s="51" t="s">
        <v>627</v>
      </c>
      <c r="B24" s="52">
        <v>3.12</v>
      </c>
      <c r="C24" s="52">
        <v>30.27</v>
      </c>
      <c r="D24" s="52">
        <v>53.15</v>
      </c>
      <c r="E24" s="52">
        <v>10.210000000000001</v>
      </c>
      <c r="F24" s="52">
        <v>27.43</v>
      </c>
      <c r="G24" s="52">
        <v>46.8</v>
      </c>
      <c r="H24" s="52">
        <v>17.07</v>
      </c>
      <c r="I24" s="52">
        <v>4.07</v>
      </c>
      <c r="J24" s="52">
        <v>1.77</v>
      </c>
      <c r="K24" s="52">
        <v>287.64999999999998</v>
      </c>
      <c r="L24" s="52">
        <v>44.99</v>
      </c>
      <c r="M24" s="52">
        <v>13.51</v>
      </c>
      <c r="N24" s="52">
        <v>389.8</v>
      </c>
      <c r="O24" s="52">
        <v>0</v>
      </c>
      <c r="P24" s="52">
        <v>0.53</v>
      </c>
      <c r="Q24" s="52">
        <v>9.42</v>
      </c>
      <c r="R24" s="43"/>
      <c r="S24" s="43"/>
      <c r="T24" s="43"/>
      <c r="U24" s="43"/>
    </row>
    <row r="25" spans="1:21" s="11" customFormat="1" x14ac:dyDescent="0.25">
      <c r="A25" s="51" t="s">
        <v>628</v>
      </c>
      <c r="B25" s="52">
        <v>2.12</v>
      </c>
      <c r="C25" s="52">
        <v>27.92</v>
      </c>
      <c r="D25" s="52">
        <v>50.8</v>
      </c>
      <c r="E25" s="52">
        <v>12.49</v>
      </c>
      <c r="F25" s="52">
        <v>28.6</v>
      </c>
      <c r="G25" s="52">
        <v>46.59</v>
      </c>
      <c r="H25" s="52">
        <v>17.420000000000002</v>
      </c>
      <c r="I25" s="52">
        <v>4.03</v>
      </c>
      <c r="J25" s="52">
        <v>1.42</v>
      </c>
      <c r="K25" s="52">
        <v>253.93</v>
      </c>
      <c r="L25" s="52">
        <v>43.27</v>
      </c>
      <c r="M25" s="52">
        <v>14.11</v>
      </c>
      <c r="N25" s="52">
        <v>173.1</v>
      </c>
      <c r="O25" s="52">
        <v>0</v>
      </c>
      <c r="P25" s="52">
        <v>0.5</v>
      </c>
      <c r="Q25" s="52">
        <v>9.4</v>
      </c>
      <c r="R25" s="43"/>
      <c r="S25" s="43"/>
      <c r="T25" s="43"/>
      <c r="U25" s="43"/>
    </row>
    <row r="26" spans="1:21" s="11" customFormat="1" x14ac:dyDescent="0.25">
      <c r="A26" s="51" t="s">
        <v>629</v>
      </c>
      <c r="B26" s="52">
        <v>7.37</v>
      </c>
      <c r="C26" s="52">
        <v>40.25</v>
      </c>
      <c r="D26" s="52">
        <v>65.73</v>
      </c>
      <c r="E26" s="52">
        <v>8.26</v>
      </c>
      <c r="F26" s="52">
        <v>23.92</v>
      </c>
      <c r="G26" s="52">
        <v>43.96</v>
      </c>
      <c r="H26" s="52">
        <v>15.69</v>
      </c>
      <c r="I26" s="52">
        <v>4</v>
      </c>
      <c r="J26" s="52">
        <v>1.73</v>
      </c>
      <c r="K26" s="52">
        <v>283.83999999999997</v>
      </c>
      <c r="L26" s="52">
        <v>42.78</v>
      </c>
      <c r="M26" s="52">
        <v>14.05</v>
      </c>
      <c r="N26" s="52">
        <v>124.6</v>
      </c>
      <c r="O26" s="52">
        <v>0</v>
      </c>
      <c r="P26" s="52">
        <v>0.64</v>
      </c>
      <c r="Q26" s="52">
        <v>9.4</v>
      </c>
      <c r="R26" s="43"/>
      <c r="S26" s="43"/>
      <c r="T26" s="43"/>
      <c r="U26" s="43"/>
    </row>
    <row r="27" spans="1:21" s="11" customFormat="1" x14ac:dyDescent="0.25">
      <c r="A27" s="51" t="s">
        <v>630</v>
      </c>
      <c r="B27" s="52">
        <v>8.77</v>
      </c>
      <c r="C27" s="52">
        <v>42.21</v>
      </c>
      <c r="D27" s="52">
        <v>70.540000000000006</v>
      </c>
      <c r="E27" s="52">
        <v>5.09</v>
      </c>
      <c r="F27" s="52">
        <v>14.8</v>
      </c>
      <c r="G27" s="52">
        <v>43.68</v>
      </c>
      <c r="H27" s="52">
        <v>14.94</v>
      </c>
      <c r="I27" s="52">
        <v>4.07</v>
      </c>
      <c r="J27" s="52">
        <v>2.1</v>
      </c>
      <c r="K27" s="52">
        <v>290.42</v>
      </c>
      <c r="L27" s="52">
        <v>40.69</v>
      </c>
      <c r="M27" s="52">
        <v>13.84</v>
      </c>
      <c r="N27" s="52">
        <v>75.7</v>
      </c>
      <c r="O27" s="52">
        <v>0</v>
      </c>
      <c r="P27" s="52">
        <v>0.73</v>
      </c>
      <c r="Q27" s="52">
        <v>9.4499999999999993</v>
      </c>
      <c r="R27" s="43"/>
      <c r="S27" s="43"/>
      <c r="T27" s="43"/>
      <c r="U27" s="43"/>
    </row>
    <row r="28" spans="1:21" s="11" customFormat="1" x14ac:dyDescent="0.25">
      <c r="A28" s="51" t="s">
        <v>631</v>
      </c>
      <c r="B28" s="52">
        <v>77.52</v>
      </c>
      <c r="C28" s="52">
        <v>125.67</v>
      </c>
      <c r="D28" s="52">
        <v>121.54</v>
      </c>
      <c r="E28" s="52">
        <v>10.77</v>
      </c>
      <c r="F28" s="52">
        <v>13.2</v>
      </c>
      <c r="G28" s="52">
        <v>50.09</v>
      </c>
      <c r="H28" s="52">
        <v>15.27</v>
      </c>
      <c r="I28" s="52">
        <v>4.05</v>
      </c>
      <c r="J28" s="52">
        <v>2.0699999999999998</v>
      </c>
      <c r="K28" s="52">
        <v>312.54000000000002</v>
      </c>
      <c r="L28" s="52">
        <v>38.65</v>
      </c>
      <c r="M28" s="52">
        <v>19.829999999999998</v>
      </c>
      <c r="N28" s="52">
        <v>73</v>
      </c>
      <c r="O28" s="52">
        <v>0</v>
      </c>
      <c r="P28" s="52">
        <v>2.91</v>
      </c>
      <c r="Q28" s="52">
        <v>9.49</v>
      </c>
      <c r="R28" s="43"/>
      <c r="S28" s="43"/>
      <c r="T28" s="43"/>
      <c r="U28" s="43"/>
    </row>
    <row r="29" spans="1:21" s="11" customFormat="1" x14ac:dyDescent="0.25">
      <c r="A29" s="51" t="s">
        <v>632</v>
      </c>
      <c r="B29" s="52">
        <v>77.94</v>
      </c>
      <c r="C29" s="52">
        <v>127.86</v>
      </c>
      <c r="D29" s="52">
        <v>129.85</v>
      </c>
      <c r="E29" s="52">
        <v>10.28</v>
      </c>
      <c r="F29" s="52">
        <v>11.64</v>
      </c>
      <c r="G29" s="52">
        <v>60.88</v>
      </c>
      <c r="H29" s="52">
        <v>15.49</v>
      </c>
      <c r="I29" s="52">
        <v>4.0599999999999996</v>
      </c>
      <c r="J29" s="52">
        <v>1.94</v>
      </c>
      <c r="K29" s="52">
        <v>333.37</v>
      </c>
      <c r="L29" s="52">
        <v>36.200000000000003</v>
      </c>
      <c r="M29" s="52">
        <v>19.809999999999999</v>
      </c>
      <c r="N29" s="52">
        <v>73.3</v>
      </c>
      <c r="O29" s="52">
        <v>0</v>
      </c>
      <c r="P29" s="52">
        <v>2.54</v>
      </c>
      <c r="Q29" s="52">
        <v>9.7100000000000009</v>
      </c>
      <c r="R29" s="43"/>
      <c r="S29" s="43"/>
      <c r="T29" s="43"/>
      <c r="U29" s="43"/>
    </row>
    <row r="30" spans="1:21" s="11" customFormat="1" x14ac:dyDescent="0.25">
      <c r="A30" s="51" t="s">
        <v>633</v>
      </c>
      <c r="B30" s="52">
        <v>164.73</v>
      </c>
      <c r="C30" s="52">
        <v>205.92</v>
      </c>
      <c r="D30" s="52">
        <v>149.58000000000001</v>
      </c>
      <c r="E30" s="52">
        <v>8.9600000000000009</v>
      </c>
      <c r="F30" s="52">
        <v>8.73</v>
      </c>
      <c r="G30" s="52">
        <v>68.34</v>
      </c>
      <c r="H30" s="52">
        <v>19.28</v>
      </c>
      <c r="I30" s="52">
        <v>4.09</v>
      </c>
      <c r="J30" s="52">
        <v>1.66</v>
      </c>
      <c r="K30" s="52">
        <v>339.39</v>
      </c>
      <c r="L30" s="52">
        <v>35.72</v>
      </c>
      <c r="M30" s="52">
        <v>27</v>
      </c>
      <c r="N30" s="52">
        <v>73.400000000000006</v>
      </c>
      <c r="O30" s="52">
        <v>0</v>
      </c>
      <c r="P30" s="52">
        <v>2.67</v>
      </c>
      <c r="Q30" s="52">
        <v>9.76</v>
      </c>
      <c r="R30" s="43"/>
      <c r="S30" s="43"/>
      <c r="T30" s="43"/>
      <c r="U30" s="43"/>
    </row>
    <row r="31" spans="1:21" s="11" customFormat="1" x14ac:dyDescent="0.25">
      <c r="A31" s="51" t="s">
        <v>634</v>
      </c>
      <c r="B31" s="52">
        <v>28</v>
      </c>
      <c r="C31" s="52">
        <v>61.44</v>
      </c>
      <c r="D31" s="52">
        <v>74.61</v>
      </c>
      <c r="E31" s="52">
        <v>24.55</v>
      </c>
      <c r="F31" s="52">
        <v>19.760000000000002</v>
      </c>
      <c r="G31" s="52">
        <v>74.06</v>
      </c>
      <c r="H31" s="52">
        <v>21.56</v>
      </c>
      <c r="I31" s="52">
        <v>4</v>
      </c>
      <c r="J31" s="52">
        <v>2.4900000000000002</v>
      </c>
      <c r="K31" s="52">
        <v>306.94</v>
      </c>
      <c r="L31" s="52">
        <v>35.04</v>
      </c>
      <c r="M31" s="52">
        <v>23.66</v>
      </c>
      <c r="N31" s="52">
        <v>73.5</v>
      </c>
      <c r="O31" s="52">
        <v>0</v>
      </c>
      <c r="P31" s="52">
        <v>1.47</v>
      </c>
      <c r="Q31" s="52">
        <v>9.85</v>
      </c>
      <c r="R31" s="43"/>
      <c r="S31" s="43"/>
      <c r="T31" s="43"/>
      <c r="U31" s="43"/>
    </row>
    <row r="32" spans="1:21" s="11" customFormat="1" x14ac:dyDescent="0.25">
      <c r="A32" s="51" t="s">
        <v>635</v>
      </c>
      <c r="B32" s="52">
        <v>47.31</v>
      </c>
      <c r="C32" s="52">
        <v>94.65</v>
      </c>
      <c r="D32" s="52">
        <v>113.68</v>
      </c>
      <c r="E32" s="52">
        <v>23.73</v>
      </c>
      <c r="F32" s="52">
        <v>14.26</v>
      </c>
      <c r="G32" s="52">
        <v>82.37</v>
      </c>
      <c r="H32" s="52">
        <v>28.36</v>
      </c>
      <c r="I32" s="52">
        <v>4.0599999999999996</v>
      </c>
      <c r="J32" s="52">
        <v>1.43</v>
      </c>
      <c r="K32" s="52">
        <v>338.22</v>
      </c>
      <c r="L32" s="52">
        <v>34.520000000000003</v>
      </c>
      <c r="M32" s="52">
        <v>24.83</v>
      </c>
      <c r="N32" s="52">
        <v>76.5</v>
      </c>
      <c r="O32" s="52">
        <v>0</v>
      </c>
      <c r="P32" s="52">
        <v>1.54</v>
      </c>
      <c r="Q32" s="52">
        <v>9.84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1.31</v>
      </c>
      <c r="C34" s="28">
        <f t="shared" si="0"/>
        <v>27.51</v>
      </c>
      <c r="D34" s="28">
        <f t="shared" si="0"/>
        <v>44.87</v>
      </c>
      <c r="E34" s="28">
        <f t="shared" si="0"/>
        <v>3.59</v>
      </c>
      <c r="F34" s="28">
        <f t="shared" si="0"/>
        <v>8.73</v>
      </c>
      <c r="G34" s="28">
        <f t="shared" si="0"/>
        <v>43.68</v>
      </c>
      <c r="H34" s="28">
        <f t="shared" si="0"/>
        <v>14.94</v>
      </c>
      <c r="I34" s="28">
        <f t="shared" si="0"/>
        <v>4</v>
      </c>
      <c r="J34" s="28">
        <f t="shared" si="0"/>
        <v>1.32</v>
      </c>
      <c r="K34" s="28">
        <f t="shared" si="0"/>
        <v>240.13</v>
      </c>
      <c r="L34" s="28">
        <f t="shared" si="0"/>
        <v>32.72</v>
      </c>
      <c r="M34" s="28">
        <f t="shared" si="0"/>
        <v>12.7</v>
      </c>
      <c r="N34" s="28">
        <f t="shared" si="0"/>
        <v>50</v>
      </c>
      <c r="O34" s="28">
        <f t="shared" si="0"/>
        <v>0</v>
      </c>
      <c r="P34" s="28">
        <f t="shared" si="0"/>
        <v>0.36</v>
      </c>
      <c r="Q34" s="28">
        <f t="shared" si="0"/>
        <v>9.4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164.73</v>
      </c>
      <c r="C35" s="29">
        <f t="shared" si="1"/>
        <v>205.92</v>
      </c>
      <c r="D35" s="29">
        <f t="shared" si="1"/>
        <v>149.58000000000001</v>
      </c>
      <c r="E35" s="29">
        <f t="shared" si="1"/>
        <v>24.55</v>
      </c>
      <c r="F35" s="29">
        <f t="shared" si="1"/>
        <v>28.6</v>
      </c>
      <c r="G35" s="29">
        <f t="shared" si="1"/>
        <v>123.87</v>
      </c>
      <c r="H35" s="29">
        <f t="shared" si="1"/>
        <v>46.18</v>
      </c>
      <c r="I35" s="29">
        <f t="shared" si="1"/>
        <v>4.17</v>
      </c>
      <c r="J35" s="29">
        <f t="shared" si="1"/>
        <v>3.52</v>
      </c>
      <c r="K35" s="29">
        <f t="shared" si="1"/>
        <v>339.39</v>
      </c>
      <c r="L35" s="29">
        <f t="shared" si="1"/>
        <v>46.46</v>
      </c>
      <c r="M35" s="29">
        <f t="shared" si="1"/>
        <v>44.7</v>
      </c>
      <c r="N35" s="29">
        <f t="shared" si="1"/>
        <v>1007.7</v>
      </c>
      <c r="O35" s="29">
        <f t="shared" si="1"/>
        <v>0</v>
      </c>
      <c r="P35" s="29">
        <f t="shared" si="1"/>
        <v>2.91</v>
      </c>
      <c r="Q35" s="29">
        <f t="shared" si="1"/>
        <v>9.85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23.68416666666667</v>
      </c>
      <c r="C36" s="28">
        <f t="shared" si="2"/>
        <v>53.988333333333337</v>
      </c>
      <c r="D36" s="28">
        <f t="shared" si="2"/>
        <v>69.131249999999994</v>
      </c>
      <c r="E36" s="28">
        <f t="shared" si="2"/>
        <v>9.9116666666666671</v>
      </c>
      <c r="F36" s="28">
        <f t="shared" si="2"/>
        <v>17.995833333333334</v>
      </c>
      <c r="G36" s="28">
        <f t="shared" si="2"/>
        <v>59.324999999999989</v>
      </c>
      <c r="H36" s="28">
        <f t="shared" si="2"/>
        <v>22.768749999999997</v>
      </c>
      <c r="I36" s="28">
        <f t="shared" si="2"/>
        <v>4.0633333333333335</v>
      </c>
      <c r="J36" s="28">
        <f t="shared" si="2"/>
        <v>2.085833333333333</v>
      </c>
      <c r="K36" s="28">
        <f t="shared" si="2"/>
        <v>285.74458333333337</v>
      </c>
      <c r="L36" s="28">
        <f t="shared" si="2"/>
        <v>38.925833333333337</v>
      </c>
      <c r="M36" s="28">
        <f t="shared" si="2"/>
        <v>27.535833333333333</v>
      </c>
      <c r="N36" s="28">
        <f t="shared" si="2"/>
        <v>320.91250000000002</v>
      </c>
      <c r="O36" s="28">
        <f t="shared" si="2"/>
        <v>0</v>
      </c>
      <c r="P36" s="28">
        <f t="shared" si="2"/>
        <v>0.9279166666666665</v>
      </c>
      <c r="Q36" s="28">
        <f t="shared" si="2"/>
        <v>9.6024999999999991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37.163674751220348</v>
      </c>
      <c r="C37" s="28">
        <f t="shared" ref="C37:Q37" si="3">STDEV(C9:C32)</f>
        <v>43.191868967752903</v>
      </c>
      <c r="D37" s="28">
        <f t="shared" si="3"/>
        <v>28.860677221332054</v>
      </c>
      <c r="E37" s="28">
        <f t="shared" si="3"/>
        <v>5.2992006506860889</v>
      </c>
      <c r="F37" s="28">
        <f t="shared" si="3"/>
        <v>5.7251822956863618</v>
      </c>
      <c r="G37" s="28">
        <f t="shared" si="3"/>
        <v>19.438847031473991</v>
      </c>
      <c r="H37" s="28">
        <f t="shared" si="3"/>
        <v>8.469084090153272</v>
      </c>
      <c r="I37" s="28">
        <f t="shared" si="3"/>
        <v>4.3305453684733243E-2</v>
      </c>
      <c r="J37" s="28">
        <f t="shared" si="3"/>
        <v>0.57308407962430929</v>
      </c>
      <c r="K37" s="28">
        <f t="shared" si="3"/>
        <v>27.496799336138817</v>
      </c>
      <c r="L37" s="28">
        <f t="shared" si="3"/>
        <v>4.7502877868578288</v>
      </c>
      <c r="M37" s="28">
        <f t="shared" si="3"/>
        <v>11.5305325932525</v>
      </c>
      <c r="N37" s="28">
        <f t="shared" si="3"/>
        <v>345.24155162348478</v>
      </c>
      <c r="O37" s="28">
        <f t="shared" si="3"/>
        <v>0</v>
      </c>
      <c r="P37" s="28">
        <f t="shared" si="3"/>
        <v>0.75429194651653986</v>
      </c>
      <c r="Q37" s="28">
        <f t="shared" si="3"/>
        <v>0.13651723891779782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25/04/2025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636</v>
      </c>
      <c r="B9" s="52">
        <v>26.01</v>
      </c>
      <c r="C9" s="52">
        <v>69.64</v>
      </c>
      <c r="D9" s="52">
        <v>93.37</v>
      </c>
      <c r="E9" s="52">
        <v>9.09</v>
      </c>
      <c r="F9" s="52">
        <v>11.77</v>
      </c>
      <c r="G9" s="52">
        <v>84.32</v>
      </c>
      <c r="H9" s="52">
        <v>30.24</v>
      </c>
      <c r="I9" s="52">
        <v>4.07</v>
      </c>
      <c r="J9" s="52">
        <v>2.38</v>
      </c>
      <c r="K9" s="52">
        <v>266.86</v>
      </c>
      <c r="L9" s="52">
        <v>32.6</v>
      </c>
      <c r="M9" s="52">
        <v>34.049999999999997</v>
      </c>
      <c r="N9" s="52">
        <v>123.9</v>
      </c>
      <c r="O9" s="52">
        <v>0</v>
      </c>
      <c r="P9" s="52">
        <v>1.26</v>
      </c>
      <c r="Q9" s="52">
        <v>9.92</v>
      </c>
      <c r="R9" s="43"/>
      <c r="S9" s="43"/>
      <c r="T9" s="43"/>
      <c r="U9" s="43"/>
    </row>
    <row r="10" spans="1:21" s="11" customFormat="1" x14ac:dyDescent="0.25">
      <c r="A10" s="51" t="s">
        <v>637</v>
      </c>
      <c r="B10" s="52">
        <v>17.84</v>
      </c>
      <c r="C10" s="52">
        <v>42.16</v>
      </c>
      <c r="D10" s="52">
        <v>56.46</v>
      </c>
      <c r="E10" s="52">
        <v>11.51</v>
      </c>
      <c r="F10" s="52">
        <v>18.38</v>
      </c>
      <c r="G10" s="52">
        <v>84.34</v>
      </c>
      <c r="H10" s="52">
        <v>28.46</v>
      </c>
      <c r="I10" s="52">
        <v>4.12</v>
      </c>
      <c r="J10" s="52">
        <v>1.35</v>
      </c>
      <c r="K10" s="52">
        <v>279.27</v>
      </c>
      <c r="L10" s="52">
        <v>33.28</v>
      </c>
      <c r="M10" s="52">
        <v>34.200000000000003</v>
      </c>
      <c r="N10" s="52">
        <v>123.4</v>
      </c>
      <c r="O10" s="52">
        <v>0</v>
      </c>
      <c r="P10" s="52">
        <v>0.89</v>
      </c>
      <c r="Q10" s="52">
        <v>9.93</v>
      </c>
      <c r="R10" s="43"/>
      <c r="S10" s="43"/>
      <c r="T10" s="43"/>
      <c r="U10" s="43"/>
    </row>
    <row r="11" spans="1:21" s="11" customFormat="1" x14ac:dyDescent="0.25">
      <c r="A11" s="51" t="s">
        <v>638</v>
      </c>
      <c r="B11" s="52">
        <v>14.99</v>
      </c>
      <c r="C11" s="52">
        <v>38.700000000000003</v>
      </c>
      <c r="D11" s="52">
        <v>51.06</v>
      </c>
      <c r="E11" s="52">
        <v>6.8</v>
      </c>
      <c r="F11" s="52">
        <v>18.64</v>
      </c>
      <c r="G11" s="52">
        <v>84.26</v>
      </c>
      <c r="H11" s="52">
        <v>27.48</v>
      </c>
      <c r="I11" s="52">
        <v>4.0999999999999996</v>
      </c>
      <c r="J11" s="52">
        <v>1.63</v>
      </c>
      <c r="K11" s="52">
        <v>276.98</v>
      </c>
      <c r="L11" s="52">
        <v>33.43</v>
      </c>
      <c r="M11" s="52">
        <v>36.79</v>
      </c>
      <c r="N11" s="52">
        <v>148.1</v>
      </c>
      <c r="O11" s="52">
        <v>0</v>
      </c>
      <c r="P11" s="52">
        <v>0.79</v>
      </c>
      <c r="Q11" s="52">
        <v>9.93</v>
      </c>
      <c r="R11" s="43"/>
      <c r="S11" s="43"/>
      <c r="T11" s="43"/>
      <c r="U11" s="43"/>
    </row>
    <row r="12" spans="1:21" s="11" customFormat="1" x14ac:dyDescent="0.25">
      <c r="A12" s="51" t="s">
        <v>639</v>
      </c>
      <c r="B12" s="52">
        <v>4.68</v>
      </c>
      <c r="C12" s="52">
        <v>25.84</v>
      </c>
      <c r="D12" s="52">
        <v>42.78</v>
      </c>
      <c r="E12" s="52">
        <v>6.7</v>
      </c>
      <c r="F12" s="52">
        <v>17.16</v>
      </c>
      <c r="G12" s="52">
        <v>70.17</v>
      </c>
      <c r="H12" s="52">
        <v>23.86</v>
      </c>
      <c r="I12" s="52">
        <v>4.09</v>
      </c>
      <c r="J12" s="52">
        <v>1.68</v>
      </c>
      <c r="K12" s="52">
        <v>251.55</v>
      </c>
      <c r="L12" s="52">
        <v>33.090000000000003</v>
      </c>
      <c r="M12" s="52">
        <v>40.31</v>
      </c>
      <c r="N12" s="52">
        <v>122.4</v>
      </c>
      <c r="O12" s="52">
        <v>0</v>
      </c>
      <c r="P12" s="52">
        <v>0.49</v>
      </c>
      <c r="Q12" s="52">
        <v>9.9600000000000009</v>
      </c>
      <c r="R12" s="43"/>
      <c r="S12" s="43"/>
      <c r="T12" s="43"/>
      <c r="U12" s="43"/>
    </row>
    <row r="13" spans="1:21" s="11" customFormat="1" x14ac:dyDescent="0.25">
      <c r="A13" s="51" t="s">
        <v>640</v>
      </c>
      <c r="B13" s="52">
        <v>10.33</v>
      </c>
      <c r="C13" s="52">
        <v>41.02</v>
      </c>
      <c r="D13" s="52">
        <v>62.65</v>
      </c>
      <c r="E13" s="52">
        <v>6.26</v>
      </c>
      <c r="F13" s="52">
        <v>16.28</v>
      </c>
      <c r="G13" s="52">
        <v>58.3</v>
      </c>
      <c r="H13" s="52">
        <v>20.82</v>
      </c>
      <c r="I13" s="52">
        <v>4.08</v>
      </c>
      <c r="J13" s="52">
        <v>1.4</v>
      </c>
      <c r="K13" s="52">
        <v>309.44</v>
      </c>
      <c r="L13" s="52">
        <v>31.9</v>
      </c>
      <c r="M13" s="52">
        <v>45.52</v>
      </c>
      <c r="N13" s="52">
        <v>106.4</v>
      </c>
      <c r="O13" s="52">
        <v>0</v>
      </c>
      <c r="P13" s="52">
        <v>0.44</v>
      </c>
      <c r="Q13" s="52">
        <v>10.029999999999999</v>
      </c>
      <c r="R13" s="43"/>
      <c r="S13" s="43"/>
      <c r="T13" s="43"/>
      <c r="U13" s="43"/>
    </row>
    <row r="14" spans="1:21" s="11" customFormat="1" x14ac:dyDescent="0.25">
      <c r="A14" s="51" t="s">
        <v>641</v>
      </c>
      <c r="B14" s="52">
        <v>51.99</v>
      </c>
      <c r="C14" s="52">
        <v>88.58</v>
      </c>
      <c r="D14" s="52">
        <v>89.74</v>
      </c>
      <c r="E14" s="52">
        <v>6.58</v>
      </c>
      <c r="F14" s="52">
        <v>13.82</v>
      </c>
      <c r="G14" s="52">
        <v>56.21</v>
      </c>
      <c r="H14" s="52">
        <v>18.3</v>
      </c>
      <c r="I14" s="52">
        <v>4.1399999999999997</v>
      </c>
      <c r="J14" s="52">
        <v>2.08</v>
      </c>
      <c r="K14" s="52">
        <v>332.99</v>
      </c>
      <c r="L14" s="52">
        <v>30.8</v>
      </c>
      <c r="M14" s="52">
        <v>49.2</v>
      </c>
      <c r="N14" s="52">
        <v>128.19999999999999</v>
      </c>
      <c r="O14" s="52">
        <v>0</v>
      </c>
      <c r="P14" s="52">
        <v>0.74</v>
      </c>
      <c r="Q14" s="52">
        <v>10.039999999999999</v>
      </c>
      <c r="R14" s="43"/>
      <c r="S14" s="43"/>
      <c r="T14" s="43"/>
      <c r="U14" s="43"/>
    </row>
    <row r="15" spans="1:21" s="11" customFormat="1" x14ac:dyDescent="0.25">
      <c r="A15" s="51" t="s">
        <v>642</v>
      </c>
      <c r="B15" s="52">
        <v>14.42</v>
      </c>
      <c r="C15" s="52">
        <v>43.02</v>
      </c>
      <c r="D15" s="52">
        <v>60.2</v>
      </c>
      <c r="E15" s="52">
        <v>6.64</v>
      </c>
      <c r="F15" s="52">
        <v>13.74</v>
      </c>
      <c r="G15" s="52">
        <v>57.72</v>
      </c>
      <c r="H15" s="52">
        <v>17.64</v>
      </c>
      <c r="I15" s="52">
        <v>4.08</v>
      </c>
      <c r="J15" s="52">
        <v>2.2999999999999998</v>
      </c>
      <c r="K15" s="52">
        <v>281.70999999999998</v>
      </c>
      <c r="L15" s="52">
        <v>35.520000000000003</v>
      </c>
      <c r="M15" s="52">
        <v>43.12</v>
      </c>
      <c r="N15" s="52">
        <v>284.39999999999998</v>
      </c>
      <c r="O15" s="52">
        <v>0</v>
      </c>
      <c r="P15" s="52">
        <v>0.59</v>
      </c>
      <c r="Q15" s="52">
        <v>10.039999999999999</v>
      </c>
      <c r="R15" s="43"/>
      <c r="S15" s="43"/>
      <c r="T15" s="43"/>
      <c r="U15" s="43"/>
    </row>
    <row r="16" spans="1:21" s="11" customFormat="1" x14ac:dyDescent="0.25">
      <c r="A16" s="51" t="s">
        <v>643</v>
      </c>
      <c r="B16" s="52">
        <v>13.51</v>
      </c>
      <c r="C16" s="52">
        <v>43.25</v>
      </c>
      <c r="D16" s="52">
        <v>62.04</v>
      </c>
      <c r="E16" s="52">
        <v>7.66</v>
      </c>
      <c r="F16" s="52">
        <v>14.14</v>
      </c>
      <c r="G16" s="52">
        <v>54.88</v>
      </c>
      <c r="H16" s="52">
        <v>17.670000000000002</v>
      </c>
      <c r="I16" s="52">
        <v>4.01</v>
      </c>
      <c r="J16" s="52">
        <v>1.93</v>
      </c>
      <c r="K16" s="52">
        <v>284.85000000000002</v>
      </c>
      <c r="L16" s="52">
        <v>38.700000000000003</v>
      </c>
      <c r="M16" s="52">
        <v>35.93</v>
      </c>
      <c r="N16" s="52">
        <v>506.9</v>
      </c>
      <c r="O16" s="52">
        <v>0</v>
      </c>
      <c r="P16" s="52">
        <v>0.81</v>
      </c>
      <c r="Q16" s="52">
        <v>10.11</v>
      </c>
      <c r="R16" s="43"/>
      <c r="S16" s="43"/>
      <c r="T16" s="43"/>
      <c r="U16" s="43"/>
    </row>
    <row r="17" spans="1:21" s="11" customFormat="1" x14ac:dyDescent="0.25">
      <c r="A17" s="51" t="s">
        <v>644</v>
      </c>
      <c r="B17" s="52">
        <v>7.85</v>
      </c>
      <c r="C17" s="52">
        <v>38.36</v>
      </c>
      <c r="D17" s="52">
        <v>61.37</v>
      </c>
      <c r="E17" s="52">
        <v>4.54</v>
      </c>
      <c r="F17" s="52">
        <v>9.89</v>
      </c>
      <c r="G17" s="52">
        <v>53.82</v>
      </c>
      <c r="H17" s="52">
        <v>17.899999999999999</v>
      </c>
      <c r="I17" s="52">
        <v>4.16</v>
      </c>
      <c r="J17" s="52">
        <v>2.21</v>
      </c>
      <c r="K17" s="52">
        <v>269.06</v>
      </c>
      <c r="L17" s="52">
        <v>39.520000000000003</v>
      </c>
      <c r="M17" s="52">
        <v>34.53</v>
      </c>
      <c r="N17" s="52">
        <v>711.3</v>
      </c>
      <c r="O17" s="52">
        <v>0</v>
      </c>
      <c r="P17" s="52">
        <v>0.7</v>
      </c>
      <c r="Q17" s="52">
        <v>10.119999999999999</v>
      </c>
      <c r="R17" s="43"/>
      <c r="S17" s="43"/>
      <c r="T17" s="43"/>
      <c r="U17" s="43"/>
    </row>
    <row r="18" spans="1:21" s="11" customFormat="1" x14ac:dyDescent="0.25">
      <c r="A18" s="51" t="s">
        <v>645</v>
      </c>
      <c r="B18" s="52">
        <v>7.73</v>
      </c>
      <c r="C18" s="52">
        <v>37.08</v>
      </c>
      <c r="D18" s="52">
        <v>59.1</v>
      </c>
      <c r="E18" s="52">
        <v>4.6900000000000004</v>
      </c>
      <c r="F18" s="52">
        <v>15.8</v>
      </c>
      <c r="G18" s="52">
        <v>53.37</v>
      </c>
      <c r="H18" s="52">
        <v>17.239999999999998</v>
      </c>
      <c r="I18" s="52">
        <v>4.1399999999999997</v>
      </c>
      <c r="J18" s="52">
        <v>1.93</v>
      </c>
      <c r="K18" s="52">
        <v>256.58999999999997</v>
      </c>
      <c r="L18" s="52">
        <v>40.98</v>
      </c>
      <c r="M18" s="52">
        <v>30.35</v>
      </c>
      <c r="N18" s="52">
        <v>851.5</v>
      </c>
      <c r="O18" s="52">
        <v>0</v>
      </c>
      <c r="P18" s="52">
        <v>0.61</v>
      </c>
      <c r="Q18" s="52">
        <v>10.050000000000001</v>
      </c>
      <c r="R18" s="43"/>
      <c r="S18" s="43"/>
      <c r="T18" s="43"/>
      <c r="U18" s="43"/>
    </row>
    <row r="19" spans="1:21" s="11" customFormat="1" x14ac:dyDescent="0.25">
      <c r="A19" s="51" t="s">
        <v>646</v>
      </c>
      <c r="B19" s="52">
        <v>2.5299999999999998</v>
      </c>
      <c r="C19" s="52">
        <v>32.36</v>
      </c>
      <c r="D19" s="52">
        <v>58.05</v>
      </c>
      <c r="E19" s="52">
        <v>5.1100000000000003</v>
      </c>
      <c r="F19" s="52">
        <v>14.95</v>
      </c>
      <c r="G19" s="52">
        <v>51.64</v>
      </c>
      <c r="H19" s="52">
        <v>17.21</v>
      </c>
      <c r="I19" s="52">
        <v>4.17</v>
      </c>
      <c r="J19" s="52">
        <v>2.0699999999999998</v>
      </c>
      <c r="K19" s="52">
        <v>261.89999999999998</v>
      </c>
      <c r="L19" s="52">
        <v>43.53</v>
      </c>
      <c r="M19" s="52">
        <v>27.14</v>
      </c>
      <c r="N19" s="52">
        <v>962.2</v>
      </c>
      <c r="O19" s="52">
        <v>0</v>
      </c>
      <c r="P19" s="52">
        <v>0.59</v>
      </c>
      <c r="Q19" s="52">
        <v>9.9499999999999993</v>
      </c>
      <c r="R19" s="43"/>
      <c r="S19" s="43"/>
      <c r="T19" s="43"/>
      <c r="U19" s="43"/>
    </row>
    <row r="20" spans="1:21" s="11" customFormat="1" x14ac:dyDescent="0.25">
      <c r="A20" s="51" t="s">
        <v>647</v>
      </c>
      <c r="B20" s="52">
        <v>2.94</v>
      </c>
      <c r="C20" s="52">
        <v>28.7</v>
      </c>
      <c r="D20" s="52">
        <v>52.58</v>
      </c>
      <c r="E20" s="52">
        <v>6.96</v>
      </c>
      <c r="F20" s="52">
        <v>17.07</v>
      </c>
      <c r="G20" s="52">
        <v>40.76</v>
      </c>
      <c r="H20" s="52">
        <v>16.8</v>
      </c>
      <c r="I20" s="52">
        <v>4.13</v>
      </c>
      <c r="J20" s="52">
        <v>2.06</v>
      </c>
      <c r="K20" s="52">
        <v>263.79000000000002</v>
      </c>
      <c r="L20" s="52">
        <v>44.43</v>
      </c>
      <c r="M20" s="52">
        <v>21.09</v>
      </c>
      <c r="N20" s="52">
        <v>992.5</v>
      </c>
      <c r="O20" s="52">
        <v>0</v>
      </c>
      <c r="P20" s="52">
        <v>0.54</v>
      </c>
      <c r="Q20" s="52">
        <v>9.9700000000000006</v>
      </c>
      <c r="R20" s="43"/>
      <c r="S20" s="43"/>
      <c r="T20" s="43"/>
      <c r="U20" s="43"/>
    </row>
    <row r="21" spans="1:21" s="11" customFormat="1" x14ac:dyDescent="0.25">
      <c r="A21" s="51" t="s">
        <v>648</v>
      </c>
      <c r="B21" s="52">
        <v>2.4900000000000002</v>
      </c>
      <c r="C21" s="52">
        <v>28.6</v>
      </c>
      <c r="D21" s="52">
        <v>51.58</v>
      </c>
      <c r="E21" s="52">
        <v>18.03</v>
      </c>
      <c r="F21" s="52">
        <v>24.01</v>
      </c>
      <c r="G21" s="52">
        <v>44.79</v>
      </c>
      <c r="H21" s="52">
        <v>16.03</v>
      </c>
      <c r="I21" s="52">
        <v>4.0599999999999996</v>
      </c>
      <c r="J21" s="52">
        <v>2.5499999999999998</v>
      </c>
      <c r="K21" s="52">
        <v>292.63</v>
      </c>
      <c r="L21" s="52">
        <v>46.97</v>
      </c>
      <c r="M21" s="52">
        <v>18.559999999999999</v>
      </c>
      <c r="N21" s="52">
        <v>981.7</v>
      </c>
      <c r="O21" s="52">
        <v>0</v>
      </c>
      <c r="P21" s="52">
        <v>0.55000000000000004</v>
      </c>
      <c r="Q21" s="52">
        <v>9.93</v>
      </c>
      <c r="R21" s="43"/>
      <c r="S21" s="43"/>
      <c r="T21" s="43"/>
      <c r="U21" s="43"/>
    </row>
    <row r="22" spans="1:21" s="11" customFormat="1" x14ac:dyDescent="0.25">
      <c r="A22" s="51" t="s">
        <v>649</v>
      </c>
      <c r="B22" s="52">
        <v>3.62</v>
      </c>
      <c r="C22" s="52">
        <v>30.97</v>
      </c>
      <c r="D22" s="52">
        <v>53.72</v>
      </c>
      <c r="E22" s="52">
        <v>19.04</v>
      </c>
      <c r="F22" s="52">
        <v>38.54</v>
      </c>
      <c r="G22" s="52">
        <v>44.79</v>
      </c>
      <c r="H22" s="52">
        <v>16.07</v>
      </c>
      <c r="I22" s="52">
        <v>4.1100000000000003</v>
      </c>
      <c r="J22" s="52">
        <v>2.63</v>
      </c>
      <c r="K22" s="52">
        <v>299.52</v>
      </c>
      <c r="L22" s="52">
        <v>45.73</v>
      </c>
      <c r="M22" s="52">
        <v>15.67</v>
      </c>
      <c r="N22" s="52">
        <v>784.9</v>
      </c>
      <c r="O22" s="52">
        <v>0</v>
      </c>
      <c r="P22" s="52">
        <v>0.59</v>
      </c>
      <c r="Q22" s="52">
        <v>9.77</v>
      </c>
      <c r="R22" s="43"/>
      <c r="S22" s="43"/>
      <c r="T22" s="43"/>
      <c r="U22" s="43"/>
    </row>
    <row r="23" spans="1:21" s="11" customFormat="1" x14ac:dyDescent="0.25">
      <c r="A23" s="51" t="s">
        <v>650</v>
      </c>
      <c r="B23" s="52">
        <v>3</v>
      </c>
      <c r="C23" s="52">
        <v>31.43</v>
      </c>
      <c r="D23" s="52">
        <v>55.91</v>
      </c>
      <c r="E23" s="52">
        <v>21</v>
      </c>
      <c r="F23" s="52">
        <v>37.94</v>
      </c>
      <c r="G23" s="52">
        <v>52</v>
      </c>
      <c r="H23" s="52">
        <v>17.77</v>
      </c>
      <c r="I23" s="52">
        <v>4.0599999999999996</v>
      </c>
      <c r="J23" s="52">
        <v>3.36</v>
      </c>
      <c r="K23" s="52">
        <v>289.95999999999998</v>
      </c>
      <c r="L23" s="52">
        <v>46.03</v>
      </c>
      <c r="M23" s="52">
        <v>13.3</v>
      </c>
      <c r="N23" s="52">
        <v>490.4</v>
      </c>
      <c r="O23" s="52">
        <v>0</v>
      </c>
      <c r="P23" s="52">
        <v>0.54</v>
      </c>
      <c r="Q23" s="52">
        <v>9.6999999999999993</v>
      </c>
      <c r="R23" s="43"/>
      <c r="S23" s="43"/>
      <c r="T23" s="43"/>
      <c r="U23" s="43"/>
    </row>
    <row r="24" spans="1:21" s="11" customFormat="1" x14ac:dyDescent="0.25">
      <c r="A24" s="51" t="s">
        <v>651</v>
      </c>
      <c r="B24" s="52">
        <v>1.78</v>
      </c>
      <c r="C24" s="52">
        <v>26.9</v>
      </c>
      <c r="D24" s="52">
        <v>49.81</v>
      </c>
      <c r="E24" s="52">
        <v>8.52</v>
      </c>
      <c r="F24" s="52">
        <v>26.29</v>
      </c>
      <c r="G24" s="52">
        <v>54.56</v>
      </c>
      <c r="H24" s="52">
        <v>18.100000000000001</v>
      </c>
      <c r="I24" s="52">
        <v>3.92</v>
      </c>
      <c r="J24" s="52">
        <v>2.06</v>
      </c>
      <c r="K24" s="52">
        <v>266.20999999999998</v>
      </c>
      <c r="L24" s="52">
        <v>43.97</v>
      </c>
      <c r="M24" s="52">
        <v>13.96</v>
      </c>
      <c r="N24" s="52">
        <v>440.5</v>
      </c>
      <c r="O24" s="52">
        <v>0</v>
      </c>
      <c r="P24" s="52">
        <v>0.42</v>
      </c>
      <c r="Q24" s="52">
        <v>9.61</v>
      </c>
      <c r="R24" s="43"/>
      <c r="S24" s="43"/>
      <c r="T24" s="43"/>
      <c r="U24" s="43"/>
    </row>
    <row r="25" spans="1:21" s="11" customFormat="1" x14ac:dyDescent="0.25">
      <c r="A25" s="51" t="s">
        <v>652</v>
      </c>
      <c r="B25" s="52">
        <v>2.41</v>
      </c>
      <c r="C25" s="52">
        <v>31.76</v>
      </c>
      <c r="D25" s="52">
        <v>57.09</v>
      </c>
      <c r="E25" s="52">
        <v>13.22</v>
      </c>
      <c r="F25" s="52">
        <v>28.04</v>
      </c>
      <c r="G25" s="52">
        <v>53.47</v>
      </c>
      <c r="H25" s="52">
        <v>17.95</v>
      </c>
      <c r="I25" s="52">
        <v>4.01</v>
      </c>
      <c r="J25" s="52">
        <v>2.59</v>
      </c>
      <c r="K25" s="52">
        <v>277.68</v>
      </c>
      <c r="L25" s="52">
        <v>43.11</v>
      </c>
      <c r="M25" s="52">
        <v>14.55</v>
      </c>
      <c r="N25" s="52">
        <v>206.9</v>
      </c>
      <c r="O25" s="52">
        <v>0</v>
      </c>
      <c r="P25" s="52">
        <v>0.45</v>
      </c>
      <c r="Q25" s="52">
        <v>9.61</v>
      </c>
      <c r="R25" s="43"/>
      <c r="S25" s="43"/>
      <c r="T25" s="43"/>
      <c r="U25" s="43"/>
    </row>
    <row r="26" spans="1:21" s="11" customFormat="1" x14ac:dyDescent="0.25">
      <c r="A26" s="51" t="s">
        <v>653</v>
      </c>
      <c r="B26" s="52">
        <v>2.89</v>
      </c>
      <c r="C26" s="52">
        <v>61.7</v>
      </c>
      <c r="D26" s="52">
        <v>114.31</v>
      </c>
      <c r="E26" s="52">
        <v>12.75</v>
      </c>
      <c r="F26" s="52">
        <v>23.9</v>
      </c>
      <c r="G26" s="52">
        <v>54.59</v>
      </c>
      <c r="H26" s="52">
        <v>15.68</v>
      </c>
      <c r="I26" s="52">
        <v>4.17</v>
      </c>
      <c r="J26" s="52">
        <v>3.06</v>
      </c>
      <c r="K26" s="52">
        <v>177.94</v>
      </c>
      <c r="L26" s="52">
        <v>42.3</v>
      </c>
      <c r="M26" s="52">
        <v>16.89</v>
      </c>
      <c r="N26" s="52">
        <v>139.4</v>
      </c>
      <c r="O26" s="52">
        <v>0</v>
      </c>
      <c r="P26" s="52">
        <v>0.61</v>
      </c>
      <c r="Q26" s="52">
        <v>9.5399999999999991</v>
      </c>
      <c r="R26" s="43"/>
      <c r="S26" s="43"/>
      <c r="T26" s="43"/>
      <c r="U26" s="43"/>
    </row>
    <row r="27" spans="1:21" s="11" customFormat="1" x14ac:dyDescent="0.25">
      <c r="A27" s="51" t="s">
        <v>654</v>
      </c>
      <c r="B27" s="52">
        <v>55.56</v>
      </c>
      <c r="C27" s="52">
        <v>125.5</v>
      </c>
      <c r="D27" s="52">
        <v>154.93</v>
      </c>
      <c r="E27" s="52">
        <v>12.49</v>
      </c>
      <c r="F27" s="52">
        <v>22.24</v>
      </c>
      <c r="G27" s="52">
        <v>56.43</v>
      </c>
      <c r="H27" s="52">
        <v>16.47</v>
      </c>
      <c r="I27" s="52">
        <v>4.04</v>
      </c>
      <c r="J27" s="52">
        <v>1.99</v>
      </c>
      <c r="K27" s="52">
        <v>287.11</v>
      </c>
      <c r="L27" s="52">
        <v>40.89</v>
      </c>
      <c r="M27" s="52">
        <v>26.01</v>
      </c>
      <c r="N27" s="52">
        <v>88.7</v>
      </c>
      <c r="O27" s="52">
        <v>0</v>
      </c>
      <c r="P27" s="52">
        <v>2.2799999999999998</v>
      </c>
      <c r="Q27" s="52">
        <v>9.48</v>
      </c>
      <c r="R27" s="43"/>
      <c r="S27" s="43"/>
      <c r="T27" s="43"/>
      <c r="U27" s="43"/>
    </row>
    <row r="28" spans="1:21" s="11" customFormat="1" x14ac:dyDescent="0.25">
      <c r="A28" s="51" t="s">
        <v>655</v>
      </c>
      <c r="B28" s="52">
        <v>115.73</v>
      </c>
      <c r="C28" s="52">
        <v>180.26</v>
      </c>
      <c r="D28" s="52">
        <v>174.14</v>
      </c>
      <c r="E28" s="52">
        <v>11.92</v>
      </c>
      <c r="F28" s="52">
        <v>13.03</v>
      </c>
      <c r="G28" s="52">
        <v>121.04</v>
      </c>
      <c r="H28" s="52">
        <v>16.66</v>
      </c>
      <c r="I28" s="52">
        <v>4.16</v>
      </c>
      <c r="J28" s="52">
        <v>2.38</v>
      </c>
      <c r="K28" s="52">
        <v>264.58999999999997</v>
      </c>
      <c r="L28" s="52">
        <v>38.700000000000003</v>
      </c>
      <c r="M28" s="52">
        <v>26.36</v>
      </c>
      <c r="N28" s="52">
        <v>82.3</v>
      </c>
      <c r="O28" s="52">
        <v>0</v>
      </c>
      <c r="P28" s="52">
        <v>2.39</v>
      </c>
      <c r="Q28" s="52">
        <v>9.4700000000000006</v>
      </c>
      <c r="R28" s="43"/>
      <c r="S28" s="43"/>
      <c r="T28" s="43"/>
      <c r="U28" s="43"/>
    </row>
    <row r="29" spans="1:21" s="11" customFormat="1" x14ac:dyDescent="0.25">
      <c r="A29" s="51" t="s">
        <v>656</v>
      </c>
      <c r="B29" s="52">
        <v>56.13</v>
      </c>
      <c r="C29" s="52">
        <v>102.14</v>
      </c>
      <c r="D29" s="52">
        <v>109.35</v>
      </c>
      <c r="E29" s="52">
        <v>11.23</v>
      </c>
      <c r="F29" s="52">
        <v>14.08</v>
      </c>
      <c r="G29" s="52">
        <v>139.29</v>
      </c>
      <c r="H29" s="52">
        <v>11.01</v>
      </c>
      <c r="I29" s="52">
        <v>4.24</v>
      </c>
      <c r="J29" s="52">
        <v>2.8</v>
      </c>
      <c r="K29" s="52">
        <v>312.29000000000002</v>
      </c>
      <c r="L29" s="52">
        <v>38.130000000000003</v>
      </c>
      <c r="M29" s="52">
        <v>25.49</v>
      </c>
      <c r="N29" s="52">
        <v>83</v>
      </c>
      <c r="O29" s="52">
        <v>0</v>
      </c>
      <c r="P29" s="52">
        <v>1.91</v>
      </c>
      <c r="Q29" s="52">
        <v>9.49</v>
      </c>
      <c r="R29" s="43"/>
      <c r="S29" s="43"/>
      <c r="T29" s="43"/>
      <c r="U29" s="43"/>
    </row>
    <row r="30" spans="1:21" s="11" customFormat="1" x14ac:dyDescent="0.25">
      <c r="A30" s="51" t="s">
        <v>657</v>
      </c>
      <c r="B30" s="52">
        <v>135.27000000000001</v>
      </c>
      <c r="C30" s="52">
        <v>169.69</v>
      </c>
      <c r="D30" s="52">
        <v>123.38</v>
      </c>
      <c r="E30" s="52">
        <v>10.45</v>
      </c>
      <c r="F30" s="52">
        <v>7.07</v>
      </c>
      <c r="G30" s="52">
        <v>105.89</v>
      </c>
      <c r="H30" s="52">
        <v>7.37</v>
      </c>
      <c r="I30" s="52">
        <v>3.98</v>
      </c>
      <c r="J30" s="52">
        <v>1.84</v>
      </c>
      <c r="K30" s="52">
        <v>295.69</v>
      </c>
      <c r="L30" s="52">
        <v>36.53</v>
      </c>
      <c r="M30" s="52">
        <v>31.36</v>
      </c>
      <c r="N30" s="52">
        <v>83.2</v>
      </c>
      <c r="O30" s="52">
        <v>0</v>
      </c>
      <c r="P30" s="52">
        <v>2.93</v>
      </c>
      <c r="Q30" s="52">
        <v>9.49</v>
      </c>
      <c r="R30" s="43"/>
      <c r="S30" s="43"/>
      <c r="T30" s="43"/>
      <c r="U30" s="43"/>
    </row>
    <row r="31" spans="1:21" s="11" customFormat="1" x14ac:dyDescent="0.25">
      <c r="A31" s="51" t="s">
        <v>658</v>
      </c>
      <c r="B31" s="52">
        <v>126.63</v>
      </c>
      <c r="C31" s="52">
        <v>161.72999999999999</v>
      </c>
      <c r="D31" s="52">
        <v>115.2</v>
      </c>
      <c r="E31" s="52">
        <v>9.23</v>
      </c>
      <c r="F31" s="52">
        <v>11.73</v>
      </c>
      <c r="G31" s="52">
        <v>116.4</v>
      </c>
      <c r="H31" s="52">
        <v>5.09</v>
      </c>
      <c r="I31" s="52">
        <v>4.04</v>
      </c>
      <c r="J31" s="52">
        <v>2.75</v>
      </c>
      <c r="K31" s="52">
        <v>270.11</v>
      </c>
      <c r="L31" s="52">
        <v>34.94</v>
      </c>
      <c r="M31" s="52">
        <v>32</v>
      </c>
      <c r="N31" s="52">
        <v>85.7</v>
      </c>
      <c r="O31" s="52">
        <v>0</v>
      </c>
      <c r="P31" s="52">
        <v>1.86</v>
      </c>
      <c r="Q31" s="52">
        <v>9.5500000000000007</v>
      </c>
      <c r="R31" s="43"/>
      <c r="S31" s="43"/>
      <c r="T31" s="43"/>
      <c r="U31" s="43"/>
    </row>
    <row r="32" spans="1:21" s="11" customFormat="1" x14ac:dyDescent="0.25">
      <c r="A32" s="51" t="s">
        <v>659</v>
      </c>
      <c r="B32" s="52">
        <v>14.12</v>
      </c>
      <c r="C32" s="52">
        <v>50.03</v>
      </c>
      <c r="D32" s="52">
        <v>74.08</v>
      </c>
      <c r="E32" s="52">
        <v>11.23</v>
      </c>
      <c r="F32" s="52">
        <v>13.7</v>
      </c>
      <c r="G32" s="52">
        <v>117.26</v>
      </c>
      <c r="H32" s="52">
        <v>3.56</v>
      </c>
      <c r="I32" s="52">
        <v>3.91</v>
      </c>
      <c r="J32" s="52">
        <v>1.63</v>
      </c>
      <c r="K32" s="52">
        <v>289.8</v>
      </c>
      <c r="L32" s="52">
        <v>34.58</v>
      </c>
      <c r="M32" s="52">
        <v>29.82</v>
      </c>
      <c r="N32" s="52">
        <v>90.4</v>
      </c>
      <c r="O32" s="52">
        <v>0</v>
      </c>
      <c r="P32" s="52">
        <v>0.9</v>
      </c>
      <c r="Q32" s="52">
        <v>9.6199999999999992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1.78</v>
      </c>
      <c r="C34" s="28">
        <f t="shared" si="0"/>
        <v>25.84</v>
      </c>
      <c r="D34" s="28">
        <f t="shared" si="0"/>
        <v>42.78</v>
      </c>
      <c r="E34" s="28">
        <f t="shared" si="0"/>
        <v>4.54</v>
      </c>
      <c r="F34" s="28">
        <f t="shared" si="0"/>
        <v>7.07</v>
      </c>
      <c r="G34" s="28">
        <f t="shared" si="0"/>
        <v>40.76</v>
      </c>
      <c r="H34" s="28">
        <f t="shared" si="0"/>
        <v>3.56</v>
      </c>
      <c r="I34" s="28">
        <f t="shared" si="0"/>
        <v>3.91</v>
      </c>
      <c r="J34" s="28">
        <f t="shared" si="0"/>
        <v>1.35</v>
      </c>
      <c r="K34" s="28">
        <f t="shared" si="0"/>
        <v>177.94</v>
      </c>
      <c r="L34" s="28">
        <f t="shared" si="0"/>
        <v>30.8</v>
      </c>
      <c r="M34" s="28">
        <f t="shared" si="0"/>
        <v>13.3</v>
      </c>
      <c r="N34" s="28">
        <f t="shared" si="0"/>
        <v>82.3</v>
      </c>
      <c r="O34" s="28">
        <f t="shared" si="0"/>
        <v>0</v>
      </c>
      <c r="P34" s="28">
        <f t="shared" si="0"/>
        <v>0.42</v>
      </c>
      <c r="Q34" s="28">
        <f t="shared" si="0"/>
        <v>9.4700000000000006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135.27000000000001</v>
      </c>
      <c r="C35" s="29">
        <f t="shared" si="1"/>
        <v>180.26</v>
      </c>
      <c r="D35" s="29">
        <f t="shared" si="1"/>
        <v>174.14</v>
      </c>
      <c r="E35" s="29">
        <f t="shared" si="1"/>
        <v>21</v>
      </c>
      <c r="F35" s="29">
        <f t="shared" si="1"/>
        <v>38.54</v>
      </c>
      <c r="G35" s="29">
        <f t="shared" si="1"/>
        <v>139.29</v>
      </c>
      <c r="H35" s="29">
        <f t="shared" si="1"/>
        <v>30.24</v>
      </c>
      <c r="I35" s="29">
        <f t="shared" si="1"/>
        <v>4.24</v>
      </c>
      <c r="J35" s="29">
        <f t="shared" si="1"/>
        <v>3.36</v>
      </c>
      <c r="K35" s="29">
        <f t="shared" si="1"/>
        <v>332.99</v>
      </c>
      <c r="L35" s="29">
        <f t="shared" si="1"/>
        <v>46.97</v>
      </c>
      <c r="M35" s="29">
        <f t="shared" si="1"/>
        <v>49.2</v>
      </c>
      <c r="N35" s="29">
        <f t="shared" si="1"/>
        <v>992.5</v>
      </c>
      <c r="O35" s="29">
        <f t="shared" si="1"/>
        <v>0</v>
      </c>
      <c r="P35" s="29">
        <f t="shared" si="1"/>
        <v>2.93</v>
      </c>
      <c r="Q35" s="29">
        <f t="shared" si="1"/>
        <v>10.119999999999999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28.935416666666665</v>
      </c>
      <c r="C36" s="28">
        <f t="shared" si="2"/>
        <v>63.725833333333334</v>
      </c>
      <c r="D36" s="28">
        <f t="shared" si="2"/>
        <v>78.45416666666668</v>
      </c>
      <c r="E36" s="28">
        <f t="shared" si="2"/>
        <v>10.068749999999998</v>
      </c>
      <c r="F36" s="28">
        <f t="shared" si="2"/>
        <v>18.425416666666667</v>
      </c>
      <c r="G36" s="28">
        <f t="shared" si="2"/>
        <v>71.262500000000003</v>
      </c>
      <c r="H36" s="28">
        <f t="shared" si="2"/>
        <v>17.307500000000001</v>
      </c>
      <c r="I36" s="28">
        <f t="shared" si="2"/>
        <v>4.0829166666666667</v>
      </c>
      <c r="J36" s="28">
        <f t="shared" si="2"/>
        <v>2.1941666666666668</v>
      </c>
      <c r="K36" s="28">
        <f t="shared" si="2"/>
        <v>277.43833333333333</v>
      </c>
      <c r="L36" s="28">
        <f t="shared" si="2"/>
        <v>38.735833333333332</v>
      </c>
      <c r="M36" s="28">
        <f t="shared" si="2"/>
        <v>29.008333333333336</v>
      </c>
      <c r="N36" s="28">
        <f t="shared" si="2"/>
        <v>359.0958333333333</v>
      </c>
      <c r="O36" s="28">
        <f t="shared" si="2"/>
        <v>0</v>
      </c>
      <c r="P36" s="28">
        <f t="shared" si="2"/>
        <v>0.99499999999999977</v>
      </c>
      <c r="Q36" s="28">
        <f t="shared" si="2"/>
        <v>9.8045833333333352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41.015794516488903</v>
      </c>
      <c r="C37" s="28">
        <f t="shared" ref="C37:Q37" si="3">STDEV(C9:C32)</f>
        <v>48.33379076495185</v>
      </c>
      <c r="D37" s="28">
        <f t="shared" si="3"/>
        <v>35.638735999235237</v>
      </c>
      <c r="E37" s="28">
        <f t="shared" si="3"/>
        <v>4.4661376295505066</v>
      </c>
      <c r="F37" s="28">
        <f t="shared" si="3"/>
        <v>7.981637066017421</v>
      </c>
      <c r="G37" s="28">
        <f t="shared" si="3"/>
        <v>28.454223534591836</v>
      </c>
      <c r="H37" s="28">
        <f t="shared" si="3"/>
        <v>6.3830320245230521</v>
      </c>
      <c r="I37" s="28">
        <f t="shared" si="3"/>
        <v>7.9535563096651635E-2</v>
      </c>
      <c r="J37" s="28">
        <f t="shared" si="3"/>
        <v>0.50879154924164038</v>
      </c>
      <c r="K37" s="28">
        <f t="shared" si="3"/>
        <v>28.60194713144843</v>
      </c>
      <c r="L37" s="28">
        <f t="shared" si="3"/>
        <v>5.0184926861140102</v>
      </c>
      <c r="M37" s="28">
        <f t="shared" si="3"/>
        <v>10.270731596932704</v>
      </c>
      <c r="N37" s="28">
        <f t="shared" si="3"/>
        <v>336.26560862969853</v>
      </c>
      <c r="O37" s="28">
        <f t="shared" si="3"/>
        <v>0</v>
      </c>
      <c r="P37" s="28">
        <f t="shared" si="3"/>
        <v>0.71738656124914257</v>
      </c>
      <c r="Q37" s="28">
        <f t="shared" si="3"/>
        <v>0.230292425948565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26/04/2025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49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60"/>
      <c r="B8" s="61" t="s">
        <v>22</v>
      </c>
      <c r="C8" s="61" t="s">
        <v>22</v>
      </c>
      <c r="D8" s="29" t="s">
        <v>42</v>
      </c>
      <c r="E8" s="61" t="s">
        <v>22</v>
      </c>
      <c r="F8" s="61" t="s">
        <v>22</v>
      </c>
      <c r="G8" s="61" t="s">
        <v>23</v>
      </c>
      <c r="H8" s="61" t="s">
        <v>22</v>
      </c>
      <c r="I8" s="61" t="s">
        <v>22</v>
      </c>
      <c r="J8" s="61" t="s">
        <v>24</v>
      </c>
      <c r="K8" s="61" t="s">
        <v>25</v>
      </c>
      <c r="L8" s="60" t="s">
        <v>27</v>
      </c>
      <c r="M8" s="61" t="s">
        <v>26</v>
      </c>
      <c r="N8" s="61" t="s">
        <v>28</v>
      </c>
      <c r="O8" s="60" t="s">
        <v>29</v>
      </c>
      <c r="P8" s="61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660</v>
      </c>
      <c r="B9" s="52">
        <v>21.92</v>
      </c>
      <c r="C9" s="52">
        <v>46.86</v>
      </c>
      <c r="D9" s="52">
        <v>56.04</v>
      </c>
      <c r="E9" s="52">
        <v>8.44</v>
      </c>
      <c r="F9" s="52">
        <v>16.22</v>
      </c>
      <c r="G9" s="52">
        <v>63.87</v>
      </c>
      <c r="H9" s="52">
        <v>115.46</v>
      </c>
      <c r="I9" s="52">
        <v>4.01</v>
      </c>
      <c r="J9" s="52">
        <v>1.57</v>
      </c>
      <c r="K9" s="52">
        <v>278.39999999999998</v>
      </c>
      <c r="L9" s="52">
        <v>35.130000000000003</v>
      </c>
      <c r="M9" s="52">
        <v>32.659999999999997</v>
      </c>
      <c r="N9" s="52">
        <v>96</v>
      </c>
      <c r="O9" s="52">
        <v>0</v>
      </c>
      <c r="P9" s="52">
        <v>0.9</v>
      </c>
      <c r="Q9" s="52">
        <v>9.61</v>
      </c>
      <c r="R9" s="43"/>
      <c r="S9" s="43"/>
      <c r="T9" s="43"/>
      <c r="U9" s="43"/>
    </row>
    <row r="10" spans="1:21" s="11" customFormat="1" x14ac:dyDescent="0.25">
      <c r="A10" s="51" t="s">
        <v>661</v>
      </c>
      <c r="B10" s="52">
        <v>9.8000000000000007</v>
      </c>
      <c r="C10" s="52">
        <v>31.55</v>
      </c>
      <c r="D10" s="52">
        <v>45.34</v>
      </c>
      <c r="E10" s="52">
        <v>6.55</v>
      </c>
      <c r="F10" s="52">
        <v>18.48</v>
      </c>
      <c r="G10" s="52">
        <v>65.06</v>
      </c>
      <c r="H10" s="52">
        <v>147.74</v>
      </c>
      <c r="I10" s="52">
        <v>4.0199999999999996</v>
      </c>
      <c r="J10" s="52">
        <v>1.96</v>
      </c>
      <c r="K10" s="52">
        <v>256.38</v>
      </c>
      <c r="L10" s="52">
        <v>34.6</v>
      </c>
      <c r="M10" s="52">
        <v>38.659999999999997</v>
      </c>
      <c r="N10" s="52">
        <v>97.4</v>
      </c>
      <c r="O10" s="52">
        <v>0</v>
      </c>
      <c r="P10" s="52">
        <v>0.51</v>
      </c>
      <c r="Q10" s="52">
        <v>9.59</v>
      </c>
      <c r="R10" s="43"/>
      <c r="S10" s="43"/>
      <c r="T10" s="43"/>
      <c r="U10" s="43"/>
    </row>
    <row r="11" spans="1:21" s="11" customFormat="1" x14ac:dyDescent="0.25">
      <c r="A11" s="51" t="s">
        <v>662</v>
      </c>
      <c r="B11" s="52">
        <v>4.84</v>
      </c>
      <c r="C11" s="52">
        <v>24.8</v>
      </c>
      <c r="D11" s="52">
        <v>40.04</v>
      </c>
      <c r="E11" s="52">
        <v>5.96</v>
      </c>
      <c r="F11" s="52">
        <v>16.84</v>
      </c>
      <c r="G11" s="52">
        <v>53.07</v>
      </c>
      <c r="H11" s="52">
        <v>14.17</v>
      </c>
      <c r="I11" s="52">
        <v>4.1399999999999997</v>
      </c>
      <c r="J11" s="52">
        <v>2.12</v>
      </c>
      <c r="K11" s="52">
        <v>267.17</v>
      </c>
      <c r="L11" s="52">
        <v>33.46</v>
      </c>
      <c r="M11" s="52">
        <v>41.5</v>
      </c>
      <c r="N11" s="52">
        <v>92.2</v>
      </c>
      <c r="O11" s="52">
        <v>0</v>
      </c>
      <c r="P11" s="52">
        <v>0.43</v>
      </c>
      <c r="Q11" s="52">
        <v>9.5299999999999994</v>
      </c>
      <c r="R11" s="43"/>
      <c r="S11" s="43"/>
      <c r="T11" s="43"/>
      <c r="U11" s="43"/>
    </row>
    <row r="12" spans="1:21" s="11" customFormat="1" x14ac:dyDescent="0.25">
      <c r="A12" s="51" t="s">
        <v>663</v>
      </c>
      <c r="B12" s="52">
        <v>3.7</v>
      </c>
      <c r="C12" s="52">
        <v>24.53</v>
      </c>
      <c r="D12" s="52">
        <v>41.51</v>
      </c>
      <c r="E12" s="52">
        <v>5.09</v>
      </c>
      <c r="F12" s="52">
        <v>15.61</v>
      </c>
      <c r="G12" s="52">
        <v>37.299999999999997</v>
      </c>
      <c r="H12" s="52">
        <v>15.68</v>
      </c>
      <c r="I12" s="52">
        <v>4.0999999999999996</v>
      </c>
      <c r="J12" s="52">
        <v>1.94</v>
      </c>
      <c r="K12" s="52">
        <v>272.06</v>
      </c>
      <c r="L12" s="52">
        <v>33.36</v>
      </c>
      <c r="M12" s="52">
        <v>41.83</v>
      </c>
      <c r="N12" s="52">
        <v>98.8</v>
      </c>
      <c r="O12" s="52">
        <v>0</v>
      </c>
      <c r="P12" s="52">
        <v>0.46</v>
      </c>
      <c r="Q12" s="52">
        <v>9.51</v>
      </c>
      <c r="R12" s="43"/>
      <c r="S12" s="43"/>
      <c r="T12" s="43"/>
      <c r="U12" s="43"/>
    </row>
    <row r="13" spans="1:21" s="11" customFormat="1" x14ac:dyDescent="0.25">
      <c r="A13" s="51" t="s">
        <v>664</v>
      </c>
      <c r="B13" s="52">
        <v>2.82</v>
      </c>
      <c r="C13" s="52">
        <v>27.87</v>
      </c>
      <c r="D13" s="52">
        <v>49.01</v>
      </c>
      <c r="E13" s="52">
        <v>5.08</v>
      </c>
      <c r="F13" s="52">
        <v>11.06</v>
      </c>
      <c r="G13" s="52">
        <v>43.85</v>
      </c>
      <c r="H13" s="52">
        <v>15.71</v>
      </c>
      <c r="I13" s="52">
        <v>4.21</v>
      </c>
      <c r="J13" s="52">
        <v>2.1</v>
      </c>
      <c r="K13" s="52">
        <v>272.42</v>
      </c>
      <c r="L13" s="52">
        <v>32.56</v>
      </c>
      <c r="M13" s="52">
        <v>45.42</v>
      </c>
      <c r="N13" s="52">
        <v>103.7</v>
      </c>
      <c r="O13" s="52">
        <v>0</v>
      </c>
      <c r="P13" s="52">
        <v>0.52</v>
      </c>
      <c r="Q13" s="52">
        <v>9.5</v>
      </c>
      <c r="R13" s="43"/>
      <c r="S13" s="43"/>
      <c r="T13" s="43"/>
      <c r="U13" s="43"/>
    </row>
    <row r="14" spans="1:21" s="11" customFormat="1" x14ac:dyDescent="0.25">
      <c r="A14" s="51" t="s">
        <v>665</v>
      </c>
      <c r="B14" s="52">
        <v>2.54</v>
      </c>
      <c r="C14" s="52">
        <v>24.9</v>
      </c>
      <c r="D14" s="52">
        <v>44.31</v>
      </c>
      <c r="E14" s="52">
        <v>5.0999999999999996</v>
      </c>
      <c r="F14" s="52">
        <v>10.78</v>
      </c>
      <c r="G14" s="52">
        <v>48.35</v>
      </c>
      <c r="H14" s="52">
        <v>9.23</v>
      </c>
      <c r="I14" s="52">
        <v>4.0999999999999996</v>
      </c>
      <c r="J14" s="52">
        <v>2.17</v>
      </c>
      <c r="K14" s="52">
        <v>270.33</v>
      </c>
      <c r="L14" s="52">
        <v>32.31</v>
      </c>
      <c r="M14" s="52">
        <v>50.53</v>
      </c>
      <c r="N14" s="52">
        <v>126.5</v>
      </c>
      <c r="O14" s="52">
        <v>0</v>
      </c>
      <c r="P14" s="52">
        <v>0.42</v>
      </c>
      <c r="Q14" s="52">
        <v>9.5299999999999994</v>
      </c>
      <c r="R14" s="43"/>
      <c r="S14" s="43"/>
      <c r="T14" s="43"/>
      <c r="U14" s="43"/>
    </row>
    <row r="15" spans="1:21" s="11" customFormat="1" x14ac:dyDescent="0.25">
      <c r="A15" s="51" t="s">
        <v>666</v>
      </c>
      <c r="B15" s="52">
        <v>7.6</v>
      </c>
      <c r="C15" s="52">
        <v>34.11</v>
      </c>
      <c r="D15" s="52">
        <v>53.62</v>
      </c>
      <c r="E15" s="52">
        <v>4.79</v>
      </c>
      <c r="F15" s="52">
        <v>9.48</v>
      </c>
      <c r="G15" s="52">
        <v>49.13</v>
      </c>
      <c r="H15" s="52">
        <v>13.4</v>
      </c>
      <c r="I15" s="52">
        <v>4.21</v>
      </c>
      <c r="J15" s="52">
        <v>2.2000000000000002</v>
      </c>
      <c r="K15" s="52">
        <v>263.77</v>
      </c>
      <c r="L15" s="52">
        <v>33.39</v>
      </c>
      <c r="M15" s="52">
        <v>52.16</v>
      </c>
      <c r="N15" s="52">
        <v>237.7</v>
      </c>
      <c r="O15" s="52">
        <v>0</v>
      </c>
      <c r="P15" s="52">
        <v>0.51</v>
      </c>
      <c r="Q15" s="52">
        <v>9.5399999999999991</v>
      </c>
      <c r="R15" s="43"/>
      <c r="S15" s="43"/>
      <c r="T15" s="43"/>
      <c r="U15" s="43"/>
    </row>
    <row r="16" spans="1:21" s="11" customFormat="1" x14ac:dyDescent="0.25">
      <c r="A16" s="51" t="s">
        <v>667</v>
      </c>
      <c r="B16" s="52">
        <v>5</v>
      </c>
      <c r="C16" s="52">
        <v>30.41</v>
      </c>
      <c r="D16" s="52">
        <v>52.27</v>
      </c>
      <c r="E16" s="52">
        <v>5.35</v>
      </c>
      <c r="F16" s="52">
        <v>11.39</v>
      </c>
      <c r="G16" s="52">
        <v>48.65</v>
      </c>
      <c r="H16" s="52">
        <v>19.420000000000002</v>
      </c>
      <c r="I16" s="52">
        <v>4.09</v>
      </c>
      <c r="J16" s="52">
        <v>2.39</v>
      </c>
      <c r="K16" s="52">
        <v>267.33999999999997</v>
      </c>
      <c r="L16" s="52">
        <v>36.53</v>
      </c>
      <c r="M16" s="52">
        <v>49.88</v>
      </c>
      <c r="N16" s="52">
        <v>484.7</v>
      </c>
      <c r="O16" s="52">
        <v>0</v>
      </c>
      <c r="P16" s="52">
        <v>0.53</v>
      </c>
      <c r="Q16" s="52">
        <v>9.5500000000000007</v>
      </c>
      <c r="R16" s="43"/>
      <c r="S16" s="43"/>
      <c r="T16" s="43"/>
      <c r="U16" s="43"/>
    </row>
    <row r="17" spans="1:21" s="11" customFormat="1" x14ac:dyDescent="0.25">
      <c r="A17" s="51" t="s">
        <v>668</v>
      </c>
      <c r="B17" s="52">
        <v>2.75</v>
      </c>
      <c r="C17" s="52">
        <v>29.14</v>
      </c>
      <c r="D17" s="52">
        <v>51.63</v>
      </c>
      <c r="E17" s="52">
        <v>3.98</v>
      </c>
      <c r="F17" s="52">
        <v>9.2100000000000009</v>
      </c>
      <c r="G17" s="52">
        <v>56.93</v>
      </c>
      <c r="H17" s="52">
        <v>20.89</v>
      </c>
      <c r="I17" s="52">
        <v>4.13</v>
      </c>
      <c r="J17" s="52">
        <v>2.7</v>
      </c>
      <c r="K17" s="52">
        <v>260.73</v>
      </c>
      <c r="L17" s="52">
        <v>37.94</v>
      </c>
      <c r="M17" s="52">
        <v>37.409999999999997</v>
      </c>
      <c r="N17" s="52">
        <v>637</v>
      </c>
      <c r="O17" s="52">
        <v>0</v>
      </c>
      <c r="P17" s="52">
        <v>0.51</v>
      </c>
      <c r="Q17" s="52">
        <v>9.52</v>
      </c>
      <c r="R17" s="43"/>
      <c r="S17" s="43"/>
      <c r="T17" s="43"/>
      <c r="U17" s="43"/>
    </row>
    <row r="18" spans="1:21" s="11" customFormat="1" x14ac:dyDescent="0.25">
      <c r="A18" s="51" t="s">
        <v>669</v>
      </c>
      <c r="B18" s="52">
        <v>1.21</v>
      </c>
      <c r="C18" s="52">
        <v>26.8</v>
      </c>
      <c r="D18" s="52">
        <v>49.51</v>
      </c>
      <c r="E18" s="52">
        <v>3.84</v>
      </c>
      <c r="F18" s="52">
        <v>8.4</v>
      </c>
      <c r="G18" s="52">
        <v>58.8</v>
      </c>
      <c r="H18" s="52">
        <v>16.010000000000002</v>
      </c>
      <c r="I18" s="52">
        <v>4.0199999999999996</v>
      </c>
      <c r="J18" s="52">
        <v>2.86</v>
      </c>
      <c r="K18" s="52">
        <v>275.02999999999997</v>
      </c>
      <c r="L18" s="52">
        <v>40.840000000000003</v>
      </c>
      <c r="M18" s="52">
        <v>32.590000000000003</v>
      </c>
      <c r="N18" s="52">
        <v>718.9</v>
      </c>
      <c r="O18" s="52">
        <v>0</v>
      </c>
      <c r="P18" s="52">
        <v>0.46</v>
      </c>
      <c r="Q18" s="52">
        <v>9.56</v>
      </c>
      <c r="R18" s="43"/>
      <c r="S18" s="43"/>
      <c r="T18" s="43"/>
      <c r="U18" s="43"/>
    </row>
    <row r="19" spans="1:21" s="11" customFormat="1" x14ac:dyDescent="0.25">
      <c r="A19" s="51" t="s">
        <v>670</v>
      </c>
      <c r="B19" s="52">
        <v>1.28</v>
      </c>
      <c r="C19" s="52">
        <v>26.91</v>
      </c>
      <c r="D19" s="52">
        <v>49.74</v>
      </c>
      <c r="E19" s="52">
        <v>3.84</v>
      </c>
      <c r="F19" s="52">
        <v>9.08</v>
      </c>
      <c r="G19" s="52">
        <v>56.34</v>
      </c>
      <c r="H19" s="52">
        <v>16.38</v>
      </c>
      <c r="I19" s="52">
        <v>4.0999999999999996</v>
      </c>
      <c r="J19" s="52">
        <v>3.67</v>
      </c>
      <c r="K19" s="52">
        <v>278.66000000000003</v>
      </c>
      <c r="L19" s="52">
        <v>42</v>
      </c>
      <c r="M19" s="52">
        <v>27.42</v>
      </c>
      <c r="N19" s="52">
        <v>862.9</v>
      </c>
      <c r="O19" s="52">
        <v>0</v>
      </c>
      <c r="P19" s="52">
        <v>0.47</v>
      </c>
      <c r="Q19" s="52">
        <v>9.56</v>
      </c>
      <c r="R19" s="43"/>
      <c r="S19" s="43"/>
      <c r="T19" s="43"/>
      <c r="U19" s="43"/>
    </row>
    <row r="20" spans="1:21" s="11" customFormat="1" x14ac:dyDescent="0.25">
      <c r="A20" s="51" t="s">
        <v>671</v>
      </c>
      <c r="B20" s="52">
        <v>1.1200000000000001</v>
      </c>
      <c r="C20" s="52">
        <v>26.82</v>
      </c>
      <c r="D20" s="52">
        <v>49.61</v>
      </c>
      <c r="E20" s="52">
        <v>6.21</v>
      </c>
      <c r="F20" s="52">
        <v>13.45</v>
      </c>
      <c r="G20" s="52">
        <v>54.78</v>
      </c>
      <c r="H20" s="52">
        <v>17.600000000000001</v>
      </c>
      <c r="I20" s="52">
        <v>4.13</v>
      </c>
      <c r="J20" s="52">
        <v>2.6</v>
      </c>
      <c r="K20" s="52">
        <v>269.14999999999998</v>
      </c>
      <c r="L20" s="52">
        <v>42.03</v>
      </c>
      <c r="M20" s="52">
        <v>25.15</v>
      </c>
      <c r="N20" s="52">
        <v>887.1</v>
      </c>
      <c r="O20" s="52">
        <v>0</v>
      </c>
      <c r="P20" s="52">
        <v>0.53</v>
      </c>
      <c r="Q20" s="52">
        <v>9.5299999999999994</v>
      </c>
      <c r="R20" s="43"/>
      <c r="S20" s="43"/>
      <c r="T20" s="43"/>
      <c r="U20" s="43"/>
    </row>
    <row r="21" spans="1:21" s="11" customFormat="1" x14ac:dyDescent="0.25">
      <c r="A21" s="51" t="s">
        <v>672</v>
      </c>
      <c r="B21" s="52">
        <v>2.2999999999999998</v>
      </c>
      <c r="C21" s="52">
        <v>27.38</v>
      </c>
      <c r="D21" s="52">
        <v>50.56</v>
      </c>
      <c r="E21" s="52">
        <v>9.14</v>
      </c>
      <c r="F21" s="52">
        <v>20.94</v>
      </c>
      <c r="G21" s="52">
        <v>57</v>
      </c>
      <c r="H21" s="52">
        <v>19.7</v>
      </c>
      <c r="I21" s="52">
        <v>4.0999999999999996</v>
      </c>
      <c r="J21" s="52">
        <v>2.67</v>
      </c>
      <c r="K21" s="52">
        <v>253.33</v>
      </c>
      <c r="L21" s="52">
        <v>44.69</v>
      </c>
      <c r="M21" s="52">
        <v>22.6</v>
      </c>
      <c r="N21" s="52">
        <v>884.2</v>
      </c>
      <c r="O21" s="52">
        <v>0</v>
      </c>
      <c r="P21" s="52">
        <v>0.56000000000000005</v>
      </c>
      <c r="Q21" s="52">
        <v>9.49</v>
      </c>
      <c r="R21" s="43"/>
      <c r="S21" s="43"/>
      <c r="T21" s="43"/>
      <c r="U21" s="43"/>
    </row>
    <row r="22" spans="1:21" s="11" customFormat="1" x14ac:dyDescent="0.25">
      <c r="A22" s="51" t="s">
        <v>673</v>
      </c>
      <c r="B22" s="52">
        <v>3.05</v>
      </c>
      <c r="C22" s="52">
        <v>29.16</v>
      </c>
      <c r="D22" s="52">
        <v>51.8</v>
      </c>
      <c r="E22" s="52">
        <v>8.39</v>
      </c>
      <c r="F22" s="52">
        <v>23.09</v>
      </c>
      <c r="G22" s="52">
        <v>54.99</v>
      </c>
      <c r="H22" s="52">
        <v>20.2</v>
      </c>
      <c r="I22" s="52">
        <v>4.13</v>
      </c>
      <c r="J22" s="52">
        <v>2.5</v>
      </c>
      <c r="K22" s="52">
        <v>319.41000000000003</v>
      </c>
      <c r="L22" s="52">
        <v>45.34</v>
      </c>
      <c r="M22" s="52">
        <v>18.43</v>
      </c>
      <c r="N22" s="52">
        <v>737.6</v>
      </c>
      <c r="O22" s="52">
        <v>0</v>
      </c>
      <c r="P22" s="52">
        <v>0.53</v>
      </c>
      <c r="Q22" s="52">
        <v>9.48</v>
      </c>
      <c r="R22" s="43"/>
      <c r="S22" s="43"/>
      <c r="T22" s="43"/>
      <c r="U22" s="43"/>
    </row>
    <row r="23" spans="1:21" s="11" customFormat="1" x14ac:dyDescent="0.25">
      <c r="A23" s="51" t="s">
        <v>674</v>
      </c>
      <c r="B23" s="52">
        <v>1.68</v>
      </c>
      <c r="C23" s="52">
        <v>27.46</v>
      </c>
      <c r="D23" s="52">
        <v>50.02</v>
      </c>
      <c r="E23" s="52">
        <v>8.52</v>
      </c>
      <c r="F23" s="52">
        <v>19.399999999999999</v>
      </c>
      <c r="G23" s="52">
        <v>48.53</v>
      </c>
      <c r="H23" s="52">
        <v>13.25</v>
      </c>
      <c r="I23" s="52">
        <v>4.1399999999999997</v>
      </c>
      <c r="J23" s="52">
        <v>2.81</v>
      </c>
      <c r="K23" s="52">
        <v>257.07</v>
      </c>
      <c r="L23" s="52">
        <v>44.43</v>
      </c>
      <c r="M23" s="52">
        <v>16.649999999999999</v>
      </c>
      <c r="N23" s="52">
        <v>480.1</v>
      </c>
      <c r="O23" s="52">
        <v>0</v>
      </c>
      <c r="P23" s="52">
        <v>0.51</v>
      </c>
      <c r="Q23" s="52">
        <v>9.49</v>
      </c>
      <c r="R23" s="43"/>
      <c r="S23" s="43"/>
      <c r="T23" s="43"/>
      <c r="U23" s="43"/>
    </row>
    <row r="24" spans="1:21" s="11" customFormat="1" x14ac:dyDescent="0.25">
      <c r="A24" s="51" t="s">
        <v>675</v>
      </c>
      <c r="B24" s="52">
        <v>5.15</v>
      </c>
      <c r="C24" s="52">
        <v>32.299999999999997</v>
      </c>
      <c r="D24" s="52">
        <v>53.93</v>
      </c>
      <c r="E24" s="52">
        <v>7</v>
      </c>
      <c r="F24" s="52">
        <v>18.63</v>
      </c>
      <c r="G24" s="52">
        <v>43.56</v>
      </c>
      <c r="H24" s="52">
        <v>17.670000000000002</v>
      </c>
      <c r="I24" s="52">
        <v>4.12</v>
      </c>
      <c r="J24" s="52">
        <v>1.61</v>
      </c>
      <c r="K24" s="52">
        <v>256.77</v>
      </c>
      <c r="L24" s="52">
        <v>43.42</v>
      </c>
      <c r="M24" s="52">
        <v>16.55</v>
      </c>
      <c r="N24" s="52">
        <v>366.5</v>
      </c>
      <c r="O24" s="52">
        <v>0</v>
      </c>
      <c r="P24" s="52">
        <v>0.48</v>
      </c>
      <c r="Q24" s="52">
        <v>9.43</v>
      </c>
      <c r="R24" s="43"/>
      <c r="S24" s="43"/>
      <c r="T24" s="43"/>
      <c r="U24" s="43"/>
    </row>
    <row r="25" spans="1:21" s="11" customFormat="1" x14ac:dyDescent="0.25">
      <c r="A25" s="51" t="s">
        <v>676</v>
      </c>
      <c r="B25" s="52">
        <v>4.12</v>
      </c>
      <c r="C25" s="52">
        <v>36.56</v>
      </c>
      <c r="D25" s="52">
        <v>63.64</v>
      </c>
      <c r="E25" s="52">
        <v>13.75</v>
      </c>
      <c r="F25" s="52">
        <v>24.2</v>
      </c>
      <c r="G25" s="52">
        <v>42</v>
      </c>
      <c r="H25" s="52">
        <v>19.010000000000002</v>
      </c>
      <c r="I25" s="52">
        <v>4.07</v>
      </c>
      <c r="J25" s="52">
        <v>1.61</v>
      </c>
      <c r="K25" s="52">
        <v>274.47000000000003</v>
      </c>
      <c r="L25" s="52">
        <v>42.76</v>
      </c>
      <c r="M25" s="52">
        <v>18.91</v>
      </c>
      <c r="N25" s="52">
        <v>171.5</v>
      </c>
      <c r="O25" s="52">
        <v>0</v>
      </c>
      <c r="P25" s="52">
        <v>0.64</v>
      </c>
      <c r="Q25" s="52">
        <v>9.3800000000000008</v>
      </c>
      <c r="R25" s="43"/>
      <c r="S25" s="43"/>
      <c r="T25" s="43"/>
      <c r="U25" s="43"/>
    </row>
    <row r="26" spans="1:21" s="11" customFormat="1" x14ac:dyDescent="0.25">
      <c r="A26" s="51" t="s">
        <v>677</v>
      </c>
      <c r="B26" s="52">
        <v>10.01</v>
      </c>
      <c r="C26" s="52">
        <v>39.799999999999997</v>
      </c>
      <c r="D26" s="52">
        <v>62.26</v>
      </c>
      <c r="E26" s="52">
        <v>13.81</v>
      </c>
      <c r="F26" s="52">
        <v>19</v>
      </c>
      <c r="G26" s="52">
        <v>49.64</v>
      </c>
      <c r="H26" s="52">
        <v>17.7</v>
      </c>
      <c r="I26" s="52">
        <v>4.0999999999999996</v>
      </c>
      <c r="J26" s="52">
        <v>3.6</v>
      </c>
      <c r="K26" s="52">
        <v>283.8</v>
      </c>
      <c r="L26" s="52">
        <v>41.72</v>
      </c>
      <c r="M26" s="52">
        <v>19.55</v>
      </c>
      <c r="N26" s="52">
        <v>117.7</v>
      </c>
      <c r="O26" s="52">
        <v>0</v>
      </c>
      <c r="P26" s="52">
        <v>0.78</v>
      </c>
      <c r="Q26" s="52">
        <v>9.41</v>
      </c>
      <c r="R26" s="43"/>
      <c r="S26" s="43"/>
      <c r="T26" s="43"/>
      <c r="U26" s="43"/>
    </row>
    <row r="27" spans="1:21" s="11" customFormat="1" x14ac:dyDescent="0.25">
      <c r="A27" s="51" t="s">
        <v>678</v>
      </c>
      <c r="B27" s="52">
        <v>19.690000000000001</v>
      </c>
      <c r="C27" s="52">
        <v>52.11</v>
      </c>
      <c r="D27" s="52">
        <v>69.52</v>
      </c>
      <c r="E27" s="52">
        <v>12.85</v>
      </c>
      <c r="F27" s="52">
        <v>16.02</v>
      </c>
      <c r="G27" s="52">
        <v>70.180000000000007</v>
      </c>
      <c r="H27" s="52">
        <v>24.75</v>
      </c>
      <c r="I27" s="52">
        <v>4.2300000000000004</v>
      </c>
      <c r="J27" s="52">
        <v>4.68</v>
      </c>
      <c r="K27" s="52">
        <v>310.77999999999997</v>
      </c>
      <c r="L27" s="52">
        <v>39.119999999999997</v>
      </c>
      <c r="M27" s="52">
        <v>23.15</v>
      </c>
      <c r="N27" s="52">
        <v>63.6</v>
      </c>
      <c r="O27" s="52">
        <v>0</v>
      </c>
      <c r="P27" s="52">
        <v>0.95</v>
      </c>
      <c r="Q27" s="52">
        <v>9.48</v>
      </c>
      <c r="R27" s="43"/>
      <c r="S27" s="43"/>
      <c r="T27" s="43"/>
      <c r="U27" s="43"/>
    </row>
    <row r="28" spans="1:21" s="11" customFormat="1" x14ac:dyDescent="0.25">
      <c r="A28" s="51" t="s">
        <v>679</v>
      </c>
      <c r="B28" s="52">
        <v>30.92</v>
      </c>
      <c r="C28" s="52">
        <v>74.819999999999993</v>
      </c>
      <c r="D28" s="52">
        <v>95.75</v>
      </c>
      <c r="E28" s="52">
        <v>73.260000000000005</v>
      </c>
      <c r="F28" s="52">
        <v>17</v>
      </c>
      <c r="G28" s="52">
        <v>97.99</v>
      </c>
      <c r="H28" s="52">
        <v>26.84</v>
      </c>
      <c r="I28" s="52">
        <v>4.09</v>
      </c>
      <c r="J28" s="52">
        <v>2.92</v>
      </c>
      <c r="K28" s="52">
        <v>358.78</v>
      </c>
      <c r="L28" s="52">
        <v>37.68</v>
      </c>
      <c r="M28" s="52">
        <v>24.29</v>
      </c>
      <c r="N28" s="52">
        <v>58.5</v>
      </c>
      <c r="O28" s="52">
        <v>0</v>
      </c>
      <c r="P28" s="52">
        <v>1.48</v>
      </c>
      <c r="Q28" s="52">
        <v>9.4600000000000009</v>
      </c>
      <c r="R28" s="43"/>
      <c r="S28" s="43"/>
      <c r="T28" s="43"/>
      <c r="U28" s="43"/>
    </row>
    <row r="29" spans="1:21" s="11" customFormat="1" x14ac:dyDescent="0.25">
      <c r="A29" s="51" t="s">
        <v>680</v>
      </c>
      <c r="B29" s="52">
        <v>27.93</v>
      </c>
      <c r="C29" s="52">
        <v>76.73</v>
      </c>
      <c r="D29" s="52">
        <v>103.98</v>
      </c>
      <c r="E29" s="52">
        <v>68.13</v>
      </c>
      <c r="F29" s="52">
        <v>19.62</v>
      </c>
      <c r="G29" s="52">
        <v>104.41</v>
      </c>
      <c r="H29" s="52">
        <v>26.97</v>
      </c>
      <c r="I29" s="52">
        <v>4.04</v>
      </c>
      <c r="J29" s="52">
        <v>2.23</v>
      </c>
      <c r="K29" s="52">
        <v>96.91</v>
      </c>
      <c r="L29" s="52">
        <v>37.19</v>
      </c>
      <c r="M29" s="52">
        <v>24.97</v>
      </c>
      <c r="N29" s="52">
        <v>82.3</v>
      </c>
      <c r="O29" s="52">
        <v>0</v>
      </c>
      <c r="P29" s="52">
        <v>1.45</v>
      </c>
      <c r="Q29" s="52">
        <v>9.4600000000000009</v>
      </c>
      <c r="R29" s="43"/>
      <c r="S29" s="43"/>
      <c r="T29" s="43"/>
      <c r="U29" s="43"/>
    </row>
    <row r="30" spans="1:21" s="11" customFormat="1" x14ac:dyDescent="0.25">
      <c r="A30" s="51" t="s">
        <v>681</v>
      </c>
      <c r="B30" s="52">
        <v>22.55</v>
      </c>
      <c r="C30" s="52">
        <v>61.47</v>
      </c>
      <c r="D30" s="52">
        <v>83.05</v>
      </c>
      <c r="E30" s="52">
        <v>12.7</v>
      </c>
      <c r="F30" s="52">
        <v>17.02</v>
      </c>
      <c r="G30" s="52">
        <v>83.17</v>
      </c>
      <c r="H30" s="52">
        <v>23.16</v>
      </c>
      <c r="I30" s="52">
        <v>4.05</v>
      </c>
      <c r="J30" s="52">
        <v>2.54</v>
      </c>
      <c r="K30" s="52">
        <v>160.12</v>
      </c>
      <c r="L30" s="52">
        <v>36.799999999999997</v>
      </c>
      <c r="M30" s="52">
        <v>31.69</v>
      </c>
      <c r="N30" s="52">
        <v>83.3</v>
      </c>
      <c r="O30" s="52">
        <v>0</v>
      </c>
      <c r="P30" s="52">
        <v>1.01</v>
      </c>
      <c r="Q30" s="52">
        <v>9.4700000000000006</v>
      </c>
      <c r="R30" s="43"/>
      <c r="S30" s="43"/>
      <c r="T30" s="43"/>
      <c r="U30" s="43"/>
    </row>
    <row r="31" spans="1:21" s="11" customFormat="1" x14ac:dyDescent="0.25">
      <c r="A31" s="51" t="s">
        <v>682</v>
      </c>
      <c r="B31" s="52">
        <v>4.91</v>
      </c>
      <c r="C31" s="52">
        <v>33.25</v>
      </c>
      <c r="D31" s="52">
        <v>58</v>
      </c>
      <c r="E31" s="52">
        <v>5.4</v>
      </c>
      <c r="F31" s="52">
        <v>13.47</v>
      </c>
      <c r="G31" s="52">
        <v>66.69</v>
      </c>
      <c r="H31" s="52">
        <v>21.59</v>
      </c>
      <c r="I31" s="52">
        <v>4.07</v>
      </c>
      <c r="J31" s="52">
        <v>3.58</v>
      </c>
      <c r="K31" s="52">
        <v>164.51</v>
      </c>
      <c r="L31" s="52">
        <v>34.659999999999997</v>
      </c>
      <c r="M31" s="52">
        <v>43.59</v>
      </c>
      <c r="N31" s="52">
        <v>83.1</v>
      </c>
      <c r="O31" s="52">
        <v>0</v>
      </c>
      <c r="P31" s="52">
        <v>0.7</v>
      </c>
      <c r="Q31" s="52">
        <v>9.4700000000000006</v>
      </c>
      <c r="R31" s="43"/>
      <c r="S31" s="43"/>
      <c r="T31" s="43"/>
      <c r="U31" s="43"/>
    </row>
    <row r="32" spans="1:21" s="11" customFormat="1" x14ac:dyDescent="0.25">
      <c r="A32" s="51" t="s">
        <v>683</v>
      </c>
      <c r="B32" s="52">
        <v>2.77</v>
      </c>
      <c r="C32" s="52">
        <v>31.85</v>
      </c>
      <c r="D32" s="52">
        <v>56.7</v>
      </c>
      <c r="E32" s="52">
        <v>3.93</v>
      </c>
      <c r="F32" s="52">
        <v>8.81</v>
      </c>
      <c r="G32" s="52">
        <v>60.09</v>
      </c>
      <c r="H32" s="52">
        <v>22.52</v>
      </c>
      <c r="I32" s="52">
        <v>4.18</v>
      </c>
      <c r="J32" s="52">
        <v>3.25</v>
      </c>
      <c r="K32" s="52">
        <v>206.37</v>
      </c>
      <c r="L32" s="52">
        <v>32.56</v>
      </c>
      <c r="M32" s="52">
        <v>51.25</v>
      </c>
      <c r="N32" s="52">
        <v>79.5</v>
      </c>
      <c r="O32" s="52">
        <v>0</v>
      </c>
      <c r="P32" s="52">
        <v>0.66</v>
      </c>
      <c r="Q32" s="52">
        <v>9.48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1.1200000000000001</v>
      </c>
      <c r="C34" s="28">
        <f t="shared" si="0"/>
        <v>24.53</v>
      </c>
      <c r="D34" s="28">
        <f t="shared" si="0"/>
        <v>40.04</v>
      </c>
      <c r="E34" s="28">
        <f t="shared" si="0"/>
        <v>3.84</v>
      </c>
      <c r="F34" s="28">
        <f t="shared" si="0"/>
        <v>8.4</v>
      </c>
      <c r="G34" s="28">
        <f t="shared" si="0"/>
        <v>37.299999999999997</v>
      </c>
      <c r="H34" s="28">
        <f t="shared" si="0"/>
        <v>9.23</v>
      </c>
      <c r="I34" s="28">
        <f t="shared" si="0"/>
        <v>4.01</v>
      </c>
      <c r="J34" s="28">
        <f t="shared" si="0"/>
        <v>1.57</v>
      </c>
      <c r="K34" s="28">
        <f t="shared" si="0"/>
        <v>96.91</v>
      </c>
      <c r="L34" s="28">
        <f t="shared" si="0"/>
        <v>32.31</v>
      </c>
      <c r="M34" s="28">
        <f t="shared" si="0"/>
        <v>16.55</v>
      </c>
      <c r="N34" s="28">
        <f t="shared" si="0"/>
        <v>58.5</v>
      </c>
      <c r="O34" s="28">
        <f t="shared" si="0"/>
        <v>0</v>
      </c>
      <c r="P34" s="28">
        <f t="shared" si="0"/>
        <v>0.42</v>
      </c>
      <c r="Q34" s="28">
        <f t="shared" si="0"/>
        <v>9.3800000000000008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30.92</v>
      </c>
      <c r="C35" s="29">
        <f t="shared" si="1"/>
        <v>76.73</v>
      </c>
      <c r="D35" s="29">
        <f t="shared" si="1"/>
        <v>103.98</v>
      </c>
      <c r="E35" s="29">
        <f t="shared" si="1"/>
        <v>73.260000000000005</v>
      </c>
      <c r="F35" s="29">
        <f t="shared" si="1"/>
        <v>24.2</v>
      </c>
      <c r="G35" s="29">
        <f t="shared" si="1"/>
        <v>104.41</v>
      </c>
      <c r="H35" s="29">
        <f t="shared" si="1"/>
        <v>147.74</v>
      </c>
      <c r="I35" s="29">
        <f t="shared" si="1"/>
        <v>4.2300000000000004</v>
      </c>
      <c r="J35" s="29">
        <f t="shared" si="1"/>
        <v>4.68</v>
      </c>
      <c r="K35" s="29">
        <f t="shared" si="1"/>
        <v>358.78</v>
      </c>
      <c r="L35" s="29">
        <f t="shared" si="1"/>
        <v>45.34</v>
      </c>
      <c r="M35" s="29">
        <f t="shared" si="1"/>
        <v>52.16</v>
      </c>
      <c r="N35" s="29">
        <f t="shared" si="1"/>
        <v>887.1</v>
      </c>
      <c r="O35" s="29">
        <f t="shared" si="1"/>
        <v>0</v>
      </c>
      <c r="P35" s="29">
        <f t="shared" si="1"/>
        <v>1.48</v>
      </c>
      <c r="Q35" s="29">
        <f t="shared" si="1"/>
        <v>9.61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8.3191666666666695</v>
      </c>
      <c r="C36" s="28">
        <f t="shared" si="2"/>
        <v>36.566250000000004</v>
      </c>
      <c r="D36" s="28">
        <f t="shared" si="2"/>
        <v>57.576666666666661</v>
      </c>
      <c r="E36" s="28">
        <f t="shared" si="2"/>
        <v>12.546249999999999</v>
      </c>
      <c r="F36" s="28">
        <f t="shared" si="2"/>
        <v>15.300000000000002</v>
      </c>
      <c r="G36" s="28">
        <f t="shared" si="2"/>
        <v>58.932500000000005</v>
      </c>
      <c r="H36" s="28">
        <f t="shared" si="2"/>
        <v>28.127083333333335</v>
      </c>
      <c r="I36" s="28">
        <f t="shared" si="2"/>
        <v>4.1075000000000017</v>
      </c>
      <c r="J36" s="28">
        <f t="shared" si="2"/>
        <v>2.5950000000000002</v>
      </c>
      <c r="K36" s="28">
        <f t="shared" si="2"/>
        <v>257.24</v>
      </c>
      <c r="L36" s="28">
        <f t="shared" si="2"/>
        <v>38.10499999999999</v>
      </c>
      <c r="M36" s="28">
        <f t="shared" si="2"/>
        <v>32.784999999999997</v>
      </c>
      <c r="N36" s="28">
        <f t="shared" si="2"/>
        <v>318.78333333333342</v>
      </c>
      <c r="O36" s="28">
        <f t="shared" si="2"/>
        <v>0</v>
      </c>
      <c r="P36" s="28">
        <f t="shared" si="2"/>
        <v>0.66666666666666663</v>
      </c>
      <c r="Q36" s="28">
        <f t="shared" si="2"/>
        <v>9.5012500000000006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9.057649621544579</v>
      </c>
      <c r="C37" s="28">
        <f t="shared" ref="C37:Q37" si="3">STDEV(C9:C32)</f>
        <v>15.081234182139131</v>
      </c>
      <c r="D37" s="28">
        <f t="shared" si="3"/>
        <v>15.949580794999996</v>
      </c>
      <c r="E37" s="28">
        <f t="shared" si="3"/>
        <v>18.201870141016688</v>
      </c>
      <c r="F37" s="28">
        <f t="shared" si="3"/>
        <v>4.7162752436550006</v>
      </c>
      <c r="G37" s="28">
        <f t="shared" si="3"/>
        <v>16.470760983977147</v>
      </c>
      <c r="H37" s="28">
        <f t="shared" si="3"/>
        <v>32.507950529753906</v>
      </c>
      <c r="I37" s="28">
        <f t="shared" si="3"/>
        <v>5.9508859406193423E-2</v>
      </c>
      <c r="J37" s="28">
        <f t="shared" si="3"/>
        <v>0.75090669830892975</v>
      </c>
      <c r="K37" s="28">
        <f t="shared" si="3"/>
        <v>53.822151654273625</v>
      </c>
      <c r="L37" s="28">
        <f t="shared" si="3"/>
        <v>4.360980145115068</v>
      </c>
      <c r="M37" s="28">
        <f t="shared" si="3"/>
        <v>12.031349991114704</v>
      </c>
      <c r="N37" s="28">
        <f t="shared" si="3"/>
        <v>304.93693669727645</v>
      </c>
      <c r="O37" s="28">
        <f t="shared" si="3"/>
        <v>0</v>
      </c>
      <c r="P37" s="28">
        <f t="shared" si="3"/>
        <v>0.29527682908941849</v>
      </c>
      <c r="Q37" s="28">
        <f t="shared" si="3"/>
        <v>5.4558504697091732E-2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53" sqref="G53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27/04/2025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58"/>
      <c r="B8" s="59" t="s">
        <v>22</v>
      </c>
      <c r="C8" s="59" t="s">
        <v>22</v>
      </c>
      <c r="D8" s="29" t="s">
        <v>42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x14ac:dyDescent="0.25">
      <c r="A9" s="51" t="s">
        <v>684</v>
      </c>
      <c r="B9" s="52">
        <v>1.64</v>
      </c>
      <c r="C9" s="52">
        <v>25.98</v>
      </c>
      <c r="D9" s="52">
        <v>47.2</v>
      </c>
      <c r="E9" s="52">
        <v>2.98</v>
      </c>
      <c r="F9" s="52">
        <v>8.32</v>
      </c>
      <c r="G9" s="52">
        <v>50.96</v>
      </c>
      <c r="H9" s="52">
        <v>18.399999999999999</v>
      </c>
      <c r="I9" s="52">
        <v>4.09</v>
      </c>
      <c r="J9" s="52">
        <v>3.89</v>
      </c>
      <c r="K9" s="52">
        <v>190.48</v>
      </c>
      <c r="L9" s="52">
        <v>31.07</v>
      </c>
      <c r="M9" s="52">
        <v>63.07</v>
      </c>
      <c r="N9" s="52">
        <v>82.2</v>
      </c>
      <c r="O9" s="52">
        <v>0</v>
      </c>
      <c r="P9" s="52">
        <v>0.5</v>
      </c>
      <c r="Q9" s="52">
        <v>9.5</v>
      </c>
      <c r="R9" s="43"/>
      <c r="S9" s="43"/>
      <c r="T9" s="43"/>
      <c r="U9" s="43"/>
    </row>
    <row r="10" spans="1:21" s="11" customFormat="1" x14ac:dyDescent="0.25">
      <c r="A10" s="51" t="s">
        <v>685</v>
      </c>
      <c r="B10" s="52">
        <v>1.68</v>
      </c>
      <c r="C10" s="52">
        <v>23.07</v>
      </c>
      <c r="D10" s="52">
        <v>41.77</v>
      </c>
      <c r="E10" s="52">
        <v>3.01</v>
      </c>
      <c r="F10" s="52">
        <v>7.84</v>
      </c>
      <c r="G10" s="52">
        <v>46.52</v>
      </c>
      <c r="H10" s="52">
        <v>14.3</v>
      </c>
      <c r="I10" s="52">
        <v>4.1500000000000004</v>
      </c>
      <c r="J10" s="52">
        <v>4.5199999999999996</v>
      </c>
      <c r="K10" s="52">
        <v>164.79</v>
      </c>
      <c r="L10" s="52">
        <v>29.02</v>
      </c>
      <c r="M10" s="52">
        <v>72.540000000000006</v>
      </c>
      <c r="N10" s="52">
        <v>99.8</v>
      </c>
      <c r="O10" s="52">
        <v>0</v>
      </c>
      <c r="P10" s="52">
        <v>0.38</v>
      </c>
      <c r="Q10" s="52">
        <v>9.4700000000000006</v>
      </c>
      <c r="R10" s="43"/>
      <c r="S10" s="43"/>
      <c r="T10" s="43"/>
      <c r="U10" s="43"/>
    </row>
    <row r="11" spans="1:21" s="11" customFormat="1" x14ac:dyDescent="0.25">
      <c r="A11" s="51" t="s">
        <v>686</v>
      </c>
      <c r="B11" s="52">
        <v>2.02</v>
      </c>
      <c r="C11" s="52">
        <v>23.3</v>
      </c>
      <c r="D11" s="52">
        <v>41.5</v>
      </c>
      <c r="E11" s="52">
        <v>3.1</v>
      </c>
      <c r="F11" s="52">
        <v>7.5</v>
      </c>
      <c r="G11" s="52">
        <v>38.6</v>
      </c>
      <c r="H11" s="52">
        <v>14.46</v>
      </c>
      <c r="I11" s="52">
        <v>4.2</v>
      </c>
      <c r="J11" s="52">
        <v>3.8</v>
      </c>
      <c r="K11" s="52">
        <v>205.82</v>
      </c>
      <c r="L11" s="52">
        <v>28.34</v>
      </c>
      <c r="M11" s="52">
        <v>79.150000000000006</v>
      </c>
      <c r="N11" s="52">
        <v>115.2</v>
      </c>
      <c r="O11" s="52">
        <v>0</v>
      </c>
      <c r="P11" s="52">
        <v>0.35</v>
      </c>
      <c r="Q11" s="52">
        <v>9.4700000000000006</v>
      </c>
      <c r="R11" s="43"/>
      <c r="S11" s="43"/>
      <c r="T11" s="43"/>
      <c r="U11" s="43"/>
    </row>
    <row r="12" spans="1:21" s="11" customFormat="1" x14ac:dyDescent="0.25">
      <c r="A12" s="51" t="s">
        <v>687</v>
      </c>
      <c r="B12" s="52">
        <v>1.83</v>
      </c>
      <c r="C12" s="52">
        <v>22.29</v>
      </c>
      <c r="D12" s="52">
        <v>39.85</v>
      </c>
      <c r="E12" s="52">
        <v>2.9</v>
      </c>
      <c r="F12" s="52">
        <v>7.62</v>
      </c>
      <c r="G12" s="52">
        <v>34.950000000000003</v>
      </c>
      <c r="H12" s="52">
        <v>11.83</v>
      </c>
      <c r="I12" s="52">
        <v>4.1100000000000003</v>
      </c>
      <c r="J12" s="52">
        <v>1.43</v>
      </c>
      <c r="K12" s="52">
        <v>268.07</v>
      </c>
      <c r="L12" s="52">
        <v>27.49</v>
      </c>
      <c r="M12" s="52">
        <v>81.709999999999994</v>
      </c>
      <c r="N12" s="52">
        <v>121.7</v>
      </c>
      <c r="O12" s="52">
        <v>0.2</v>
      </c>
      <c r="P12" s="52">
        <v>0.33</v>
      </c>
      <c r="Q12" s="52">
        <v>9.4499999999999993</v>
      </c>
      <c r="R12" s="43"/>
      <c r="S12" s="43"/>
      <c r="T12" s="43"/>
      <c r="U12" s="43"/>
    </row>
    <row r="13" spans="1:21" s="11" customFormat="1" x14ac:dyDescent="0.25">
      <c r="A13" s="51" t="s">
        <v>688</v>
      </c>
      <c r="B13" s="52">
        <v>1.71</v>
      </c>
      <c r="C13" s="52">
        <v>21.75</v>
      </c>
      <c r="D13" s="52">
        <v>39.020000000000003</v>
      </c>
      <c r="E13" s="52">
        <v>2.73</v>
      </c>
      <c r="F13" s="52">
        <v>6.64</v>
      </c>
      <c r="G13" s="52">
        <v>31.34</v>
      </c>
      <c r="H13" s="52">
        <v>12.21</v>
      </c>
      <c r="I13" s="52">
        <v>4.1100000000000003</v>
      </c>
      <c r="J13" s="52">
        <v>4.2</v>
      </c>
      <c r="K13" s="52">
        <v>163.72</v>
      </c>
      <c r="L13" s="52">
        <v>26.75</v>
      </c>
      <c r="M13" s="52">
        <v>87.51</v>
      </c>
      <c r="N13" s="52">
        <v>123.7</v>
      </c>
      <c r="O13" s="52">
        <v>0.2</v>
      </c>
      <c r="P13" s="52">
        <v>0.31</v>
      </c>
      <c r="Q13" s="52">
        <v>9.4700000000000006</v>
      </c>
      <c r="R13" s="43"/>
      <c r="S13" s="43"/>
      <c r="T13" s="43"/>
      <c r="U13" s="43"/>
    </row>
    <row r="14" spans="1:21" s="11" customFormat="1" x14ac:dyDescent="0.25">
      <c r="A14" s="51" t="s">
        <v>689</v>
      </c>
      <c r="B14" s="52">
        <v>1.84</v>
      </c>
      <c r="C14" s="52">
        <v>22.07</v>
      </c>
      <c r="D14" s="52">
        <v>39.409999999999997</v>
      </c>
      <c r="E14" s="52">
        <v>2.62</v>
      </c>
      <c r="F14" s="52">
        <v>7.03</v>
      </c>
      <c r="G14" s="52">
        <v>28.99</v>
      </c>
      <c r="H14" s="52">
        <v>7.82</v>
      </c>
      <c r="I14" s="52">
        <v>4.04</v>
      </c>
      <c r="J14" s="52">
        <v>3.38</v>
      </c>
      <c r="K14" s="52">
        <v>167.36</v>
      </c>
      <c r="L14" s="52">
        <v>27.29</v>
      </c>
      <c r="M14" s="52">
        <v>76.77</v>
      </c>
      <c r="N14" s="52">
        <v>136.4</v>
      </c>
      <c r="O14" s="52">
        <v>0</v>
      </c>
      <c r="P14" s="52">
        <v>0.3</v>
      </c>
      <c r="Q14" s="52">
        <v>9.4499999999999993</v>
      </c>
      <c r="R14" s="43"/>
      <c r="S14" s="43"/>
      <c r="T14" s="43"/>
      <c r="U14" s="43"/>
    </row>
    <row r="15" spans="1:21" s="11" customFormat="1" x14ac:dyDescent="0.25">
      <c r="A15" s="51" t="s">
        <v>690</v>
      </c>
      <c r="B15" s="52">
        <v>2.21</v>
      </c>
      <c r="C15" s="52">
        <v>23.66</v>
      </c>
      <c r="D15" s="52">
        <v>41.88</v>
      </c>
      <c r="E15" s="52">
        <v>2.83</v>
      </c>
      <c r="F15" s="52">
        <v>7.35</v>
      </c>
      <c r="G15" s="52">
        <v>23.15</v>
      </c>
      <c r="H15" s="52">
        <v>9.92</v>
      </c>
      <c r="I15" s="52">
        <v>3.97</v>
      </c>
      <c r="J15" s="52">
        <v>3.16</v>
      </c>
      <c r="K15" s="52">
        <v>162.13999999999999</v>
      </c>
      <c r="L15" s="52">
        <v>27.23</v>
      </c>
      <c r="M15" s="52">
        <v>75.69</v>
      </c>
      <c r="N15" s="52">
        <v>149.69999999999999</v>
      </c>
      <c r="O15" s="52">
        <v>0</v>
      </c>
      <c r="P15" s="52">
        <v>0.28000000000000003</v>
      </c>
      <c r="Q15" s="52">
        <v>9.43</v>
      </c>
      <c r="R15" s="43"/>
      <c r="S15" s="43"/>
      <c r="T15" s="43"/>
      <c r="U15" s="43"/>
    </row>
    <row r="16" spans="1:21" s="11" customFormat="1" x14ac:dyDescent="0.25">
      <c r="A16" s="51" t="s">
        <v>691</v>
      </c>
      <c r="B16" s="52">
        <v>2.82</v>
      </c>
      <c r="C16" s="52">
        <v>25.64</v>
      </c>
      <c r="D16" s="52">
        <v>45.15</v>
      </c>
      <c r="E16" s="52">
        <v>3.04</v>
      </c>
      <c r="F16" s="52">
        <v>6.41</v>
      </c>
      <c r="G16" s="52">
        <v>20.55</v>
      </c>
      <c r="H16" s="52">
        <v>10.5</v>
      </c>
      <c r="I16" s="52">
        <v>4.13</v>
      </c>
      <c r="J16" s="52">
        <v>2.5099999999999998</v>
      </c>
      <c r="K16" s="52">
        <v>289</v>
      </c>
      <c r="L16" s="52">
        <v>28.56</v>
      </c>
      <c r="M16" s="52">
        <v>75.77</v>
      </c>
      <c r="N16" s="52">
        <v>410.6</v>
      </c>
      <c r="O16" s="52">
        <v>0</v>
      </c>
      <c r="P16" s="52">
        <v>0.34</v>
      </c>
      <c r="Q16" s="52">
        <v>9.4600000000000009</v>
      </c>
      <c r="R16" s="43"/>
      <c r="S16" s="43"/>
      <c r="T16" s="43"/>
      <c r="U16" s="43"/>
    </row>
    <row r="17" spans="1:21" s="11" customFormat="1" x14ac:dyDescent="0.25">
      <c r="A17" s="51" t="s">
        <v>692</v>
      </c>
      <c r="B17" s="52">
        <v>4</v>
      </c>
      <c r="C17" s="52">
        <v>26.82</v>
      </c>
      <c r="D17" s="52">
        <v>45.26</v>
      </c>
      <c r="E17" s="52">
        <v>2</v>
      </c>
      <c r="F17" s="52">
        <v>6.27</v>
      </c>
      <c r="G17" s="52">
        <v>21.22</v>
      </c>
      <c r="H17" s="52">
        <v>19.489999999999998</v>
      </c>
      <c r="I17" s="52">
        <v>4.0999999999999996</v>
      </c>
      <c r="J17" s="52">
        <v>2.04</v>
      </c>
      <c r="K17" s="52">
        <v>225.4</v>
      </c>
      <c r="L17" s="52">
        <v>31.25</v>
      </c>
      <c r="M17" s="52">
        <v>64.64</v>
      </c>
      <c r="N17" s="52">
        <v>436</v>
      </c>
      <c r="O17" s="52">
        <v>0</v>
      </c>
      <c r="P17" s="52">
        <v>0.36</v>
      </c>
      <c r="Q17" s="52">
        <v>9.52</v>
      </c>
      <c r="R17" s="43"/>
      <c r="S17" s="43"/>
      <c r="T17" s="43"/>
      <c r="U17" s="43"/>
    </row>
    <row r="18" spans="1:21" s="11" customFormat="1" x14ac:dyDescent="0.25">
      <c r="A18" s="51" t="s">
        <v>693</v>
      </c>
      <c r="B18" s="52">
        <v>5.13</v>
      </c>
      <c r="C18" s="52">
        <v>26.33</v>
      </c>
      <c r="D18" s="52">
        <v>44.69</v>
      </c>
      <c r="E18" s="52">
        <v>2.21</v>
      </c>
      <c r="F18" s="52">
        <v>12.67</v>
      </c>
      <c r="G18" s="52">
        <v>21.69</v>
      </c>
      <c r="H18" s="52">
        <v>22.52</v>
      </c>
      <c r="I18" s="52">
        <v>4.09</v>
      </c>
      <c r="J18" s="52">
        <v>1.41</v>
      </c>
      <c r="K18" s="52">
        <v>257.76</v>
      </c>
      <c r="L18" s="52">
        <v>31.95</v>
      </c>
      <c r="M18" s="52">
        <v>61.15</v>
      </c>
      <c r="N18" s="52">
        <v>699.2</v>
      </c>
      <c r="O18" s="52">
        <v>0</v>
      </c>
      <c r="P18" s="52">
        <v>0.38</v>
      </c>
      <c r="Q18" s="52">
        <v>9.51</v>
      </c>
      <c r="R18" s="43"/>
      <c r="S18" s="43"/>
      <c r="T18" s="43"/>
      <c r="U18" s="43"/>
    </row>
    <row r="19" spans="1:21" s="11" customFormat="1" x14ac:dyDescent="0.25">
      <c r="A19" s="51" t="s">
        <v>694</v>
      </c>
      <c r="B19" s="52">
        <v>5.66</v>
      </c>
      <c r="C19" s="52">
        <v>29.71</v>
      </c>
      <c r="D19" s="52">
        <v>48.72</v>
      </c>
      <c r="E19" s="52">
        <v>2.65</v>
      </c>
      <c r="F19" s="52">
        <v>10.43</v>
      </c>
      <c r="G19" s="52">
        <v>22.96</v>
      </c>
      <c r="H19" s="52">
        <v>18.87</v>
      </c>
      <c r="I19" s="52">
        <v>4.1399999999999997</v>
      </c>
      <c r="J19" s="52">
        <v>1.76</v>
      </c>
      <c r="K19" s="52">
        <v>290.92</v>
      </c>
      <c r="L19" s="52">
        <v>37.799999999999997</v>
      </c>
      <c r="M19" s="52">
        <v>45.43</v>
      </c>
      <c r="N19" s="52">
        <v>1003.2</v>
      </c>
      <c r="O19" s="52">
        <v>0</v>
      </c>
      <c r="P19" s="52">
        <v>0.44</v>
      </c>
      <c r="Q19" s="52">
        <v>9.49</v>
      </c>
      <c r="R19" s="43"/>
      <c r="S19" s="43"/>
      <c r="T19" s="43"/>
      <c r="U19" s="43"/>
    </row>
    <row r="20" spans="1:21" s="11" customFormat="1" x14ac:dyDescent="0.25">
      <c r="A20" s="51" t="s">
        <v>695</v>
      </c>
      <c r="B20" s="52">
        <v>3.91</v>
      </c>
      <c r="C20" s="52">
        <v>28.38</v>
      </c>
      <c r="D20" s="52">
        <v>49.18</v>
      </c>
      <c r="E20" s="52">
        <v>2.79</v>
      </c>
      <c r="F20" s="52">
        <v>8.74</v>
      </c>
      <c r="G20" s="52">
        <v>24.65</v>
      </c>
      <c r="H20" s="52">
        <v>17.850000000000001</v>
      </c>
      <c r="I20" s="52">
        <v>4.07</v>
      </c>
      <c r="J20" s="52">
        <v>2.13</v>
      </c>
      <c r="K20" s="52">
        <v>280.22000000000003</v>
      </c>
      <c r="L20" s="52">
        <v>39.58</v>
      </c>
      <c r="M20" s="52">
        <v>36.53</v>
      </c>
      <c r="N20" s="52">
        <v>1035.4000000000001</v>
      </c>
      <c r="O20" s="52">
        <v>0</v>
      </c>
      <c r="P20" s="52">
        <v>0.44</v>
      </c>
      <c r="Q20" s="52">
        <v>9.51</v>
      </c>
      <c r="R20" s="43"/>
      <c r="S20" s="43"/>
      <c r="T20" s="43"/>
      <c r="U20" s="43"/>
    </row>
    <row r="21" spans="1:21" s="11" customFormat="1" x14ac:dyDescent="0.25">
      <c r="A21" s="51" t="s">
        <v>696</v>
      </c>
      <c r="B21" s="52">
        <v>2.4500000000000002</v>
      </c>
      <c r="C21" s="52">
        <v>29</v>
      </c>
      <c r="D21" s="52">
        <v>52.28</v>
      </c>
      <c r="E21" s="52">
        <v>3.17</v>
      </c>
      <c r="F21" s="52">
        <v>9.35</v>
      </c>
      <c r="G21" s="52">
        <v>22.48</v>
      </c>
      <c r="H21" s="52">
        <v>14.21</v>
      </c>
      <c r="I21" s="52">
        <v>4.08</v>
      </c>
      <c r="J21" s="52">
        <v>2.31</v>
      </c>
      <c r="K21" s="52">
        <v>267.48</v>
      </c>
      <c r="L21" s="52">
        <v>40.04</v>
      </c>
      <c r="M21" s="52">
        <v>32.75</v>
      </c>
      <c r="N21" s="52">
        <v>1031.2</v>
      </c>
      <c r="O21" s="52">
        <v>0</v>
      </c>
      <c r="P21" s="52">
        <v>0.5</v>
      </c>
      <c r="Q21" s="52">
        <v>9.5500000000000007</v>
      </c>
      <c r="R21" s="43"/>
      <c r="S21" s="43"/>
      <c r="T21" s="43"/>
      <c r="U21" s="43"/>
    </row>
    <row r="22" spans="1:21" s="11" customFormat="1" x14ac:dyDescent="0.25">
      <c r="A22" s="51" t="s">
        <v>697</v>
      </c>
      <c r="B22" s="52">
        <v>2.31</v>
      </c>
      <c r="C22" s="52">
        <v>28.82</v>
      </c>
      <c r="D22" s="52">
        <v>52.35</v>
      </c>
      <c r="E22" s="52">
        <v>3</v>
      </c>
      <c r="F22" s="52">
        <v>12.02</v>
      </c>
      <c r="G22" s="52">
        <v>24.2</v>
      </c>
      <c r="H22" s="52">
        <v>12.4</v>
      </c>
      <c r="I22" s="52">
        <v>4.05</v>
      </c>
      <c r="J22" s="52">
        <v>1.97</v>
      </c>
      <c r="K22" s="52">
        <v>266.48</v>
      </c>
      <c r="L22" s="52">
        <v>41.11</v>
      </c>
      <c r="M22" s="52">
        <v>32.18</v>
      </c>
      <c r="N22" s="52">
        <v>847.4</v>
      </c>
      <c r="O22" s="52">
        <v>0</v>
      </c>
      <c r="P22" s="52">
        <v>0.56000000000000005</v>
      </c>
      <c r="Q22" s="52">
        <v>9.5399999999999991</v>
      </c>
      <c r="R22" s="43"/>
      <c r="S22" s="43"/>
      <c r="T22" s="43"/>
      <c r="U22" s="43"/>
    </row>
    <row r="23" spans="1:21" s="11" customFormat="1" x14ac:dyDescent="0.25">
      <c r="A23" s="51" t="s">
        <v>698</v>
      </c>
      <c r="B23" s="52">
        <v>2.86</v>
      </c>
      <c r="C23" s="52">
        <v>25.02</v>
      </c>
      <c r="D23" s="52">
        <v>44.82</v>
      </c>
      <c r="E23" s="52">
        <v>3.1</v>
      </c>
      <c r="F23" s="52">
        <v>22.85</v>
      </c>
      <c r="G23" s="52">
        <v>24.51</v>
      </c>
      <c r="H23" s="52">
        <v>12.99</v>
      </c>
      <c r="I23" s="52">
        <v>4.09</v>
      </c>
      <c r="J23" s="52">
        <v>1.49</v>
      </c>
      <c r="K23" s="52">
        <v>244.83</v>
      </c>
      <c r="L23" s="52">
        <v>40.51</v>
      </c>
      <c r="M23" s="52">
        <v>26.66</v>
      </c>
      <c r="N23" s="52">
        <v>613.5</v>
      </c>
      <c r="O23" s="52">
        <v>0</v>
      </c>
      <c r="P23" s="52">
        <v>0.54</v>
      </c>
      <c r="Q23" s="52">
        <v>9.49</v>
      </c>
      <c r="R23" s="43"/>
      <c r="S23" s="43"/>
      <c r="T23" s="43"/>
      <c r="U23" s="43"/>
    </row>
    <row r="24" spans="1:21" s="11" customFormat="1" x14ac:dyDescent="0.25">
      <c r="A24" s="51" t="s">
        <v>699</v>
      </c>
      <c r="B24" s="52">
        <v>2.19</v>
      </c>
      <c r="C24" s="52">
        <v>23.46</v>
      </c>
      <c r="D24" s="52">
        <v>41.57</v>
      </c>
      <c r="E24" s="52">
        <v>2.96</v>
      </c>
      <c r="F24" s="52">
        <v>21.69</v>
      </c>
      <c r="G24" s="52">
        <v>24.99</v>
      </c>
      <c r="H24" s="52">
        <v>11.85</v>
      </c>
      <c r="I24" s="52">
        <v>4.07</v>
      </c>
      <c r="J24" s="52">
        <v>2.58</v>
      </c>
      <c r="K24" s="52">
        <v>172.03</v>
      </c>
      <c r="L24" s="52">
        <v>38.93</v>
      </c>
      <c r="M24" s="52">
        <v>26.94</v>
      </c>
      <c r="N24" s="52">
        <v>408.8</v>
      </c>
      <c r="O24" s="52">
        <v>0</v>
      </c>
      <c r="P24" s="52">
        <v>0.44</v>
      </c>
      <c r="Q24" s="52">
        <v>9.43</v>
      </c>
      <c r="R24" s="43"/>
      <c r="S24" s="43"/>
      <c r="T24" s="43"/>
      <c r="U24" s="43"/>
    </row>
    <row r="25" spans="1:21" s="11" customFormat="1" x14ac:dyDescent="0.25">
      <c r="A25" s="51" t="s">
        <v>700</v>
      </c>
      <c r="B25" s="52">
        <v>2.34</v>
      </c>
      <c r="C25" s="52">
        <v>23.06</v>
      </c>
      <c r="D25" s="52">
        <v>40.56</v>
      </c>
      <c r="E25" s="52">
        <v>3.22</v>
      </c>
      <c r="F25" s="52">
        <v>21.35</v>
      </c>
      <c r="G25" s="52">
        <v>25.19</v>
      </c>
      <c r="H25" s="52">
        <v>11.97</v>
      </c>
      <c r="I25" s="52">
        <v>4.09</v>
      </c>
      <c r="J25" s="52">
        <v>2.5499999999999998</v>
      </c>
      <c r="K25" s="52">
        <v>194.44</v>
      </c>
      <c r="L25" s="52">
        <v>38.76</v>
      </c>
      <c r="M25" s="52">
        <v>25.04</v>
      </c>
      <c r="N25" s="52">
        <v>167.9</v>
      </c>
      <c r="O25" s="52">
        <v>0</v>
      </c>
      <c r="P25" s="52">
        <v>0.39</v>
      </c>
      <c r="Q25" s="52">
        <v>9.4499999999999993</v>
      </c>
      <c r="R25" s="43"/>
      <c r="S25" s="43"/>
      <c r="T25" s="43"/>
      <c r="U25" s="43"/>
    </row>
    <row r="26" spans="1:21" s="11" customFormat="1" x14ac:dyDescent="0.25">
      <c r="A26" s="51" t="s">
        <v>701</v>
      </c>
      <c r="B26" s="52">
        <v>15.16</v>
      </c>
      <c r="C26" s="52">
        <v>49.87</v>
      </c>
      <c r="D26" s="52">
        <v>72.180000000000007</v>
      </c>
      <c r="E26" s="52">
        <v>3.71</v>
      </c>
      <c r="F26" s="52">
        <v>24.44</v>
      </c>
      <c r="G26" s="52">
        <v>22.04</v>
      </c>
      <c r="H26" s="52">
        <v>15.12</v>
      </c>
      <c r="I26" s="52">
        <v>4.0599999999999996</v>
      </c>
      <c r="J26" s="52">
        <v>2.85</v>
      </c>
      <c r="K26" s="52">
        <v>273.27999999999997</v>
      </c>
      <c r="L26" s="52">
        <v>38.369999999999997</v>
      </c>
      <c r="M26" s="52">
        <v>26.65</v>
      </c>
      <c r="N26" s="52">
        <v>115.7</v>
      </c>
      <c r="O26" s="52">
        <v>0</v>
      </c>
      <c r="P26" s="52">
        <v>0.69</v>
      </c>
      <c r="Q26" s="52">
        <v>9.42</v>
      </c>
      <c r="R26" s="43"/>
      <c r="S26" s="43"/>
      <c r="T26" s="43"/>
      <c r="U26" s="43"/>
    </row>
    <row r="27" spans="1:21" s="11" customFormat="1" x14ac:dyDescent="0.25">
      <c r="A27" s="51" t="s">
        <v>702</v>
      </c>
      <c r="B27" s="52">
        <v>33.630000000000003</v>
      </c>
      <c r="C27" s="52">
        <v>79.38</v>
      </c>
      <c r="D27" s="52">
        <v>100.33</v>
      </c>
      <c r="E27" s="52">
        <v>4.59</v>
      </c>
      <c r="F27" s="52">
        <v>18</v>
      </c>
      <c r="G27" s="52">
        <v>28.03</v>
      </c>
      <c r="H27" s="52">
        <v>15.77</v>
      </c>
      <c r="I27" s="52">
        <v>4.0599999999999996</v>
      </c>
      <c r="J27" s="52">
        <v>2.2799999999999998</v>
      </c>
      <c r="K27" s="52">
        <v>282.81</v>
      </c>
      <c r="L27" s="52">
        <v>37.56</v>
      </c>
      <c r="M27" s="52">
        <v>31.76</v>
      </c>
      <c r="N27" s="52">
        <v>64</v>
      </c>
      <c r="O27" s="52">
        <v>0</v>
      </c>
      <c r="P27" s="52">
        <v>1.58</v>
      </c>
      <c r="Q27" s="52">
        <v>9.4700000000000006</v>
      </c>
      <c r="R27" s="43"/>
      <c r="S27" s="43"/>
      <c r="T27" s="43"/>
      <c r="U27" s="43"/>
    </row>
    <row r="28" spans="1:21" s="11" customFormat="1" x14ac:dyDescent="0.25">
      <c r="A28" s="51" t="s">
        <v>703</v>
      </c>
      <c r="B28" s="52">
        <v>32.71</v>
      </c>
      <c r="C28" s="52">
        <v>80.8</v>
      </c>
      <c r="D28" s="52">
        <v>104.44</v>
      </c>
      <c r="E28" s="52">
        <v>6.25</v>
      </c>
      <c r="F28" s="52">
        <v>10.31</v>
      </c>
      <c r="G28" s="52">
        <v>136.58000000000001</v>
      </c>
      <c r="H28" s="52">
        <v>12.99</v>
      </c>
      <c r="I28" s="52">
        <v>4.07</v>
      </c>
      <c r="J28" s="52">
        <v>4.5</v>
      </c>
      <c r="K28" s="52">
        <v>349.15</v>
      </c>
      <c r="L28" s="52">
        <v>35.42</v>
      </c>
      <c r="M28" s="52">
        <v>37.6</v>
      </c>
      <c r="N28" s="52">
        <v>60.5</v>
      </c>
      <c r="O28" s="52">
        <v>0</v>
      </c>
      <c r="P28" s="52">
        <v>1.73</v>
      </c>
      <c r="Q28" s="52">
        <v>9.51</v>
      </c>
      <c r="R28" s="43"/>
      <c r="S28" s="43"/>
      <c r="T28" s="43"/>
      <c r="U28" s="43"/>
    </row>
    <row r="29" spans="1:21" s="11" customFormat="1" x14ac:dyDescent="0.25">
      <c r="A29" s="51" t="s">
        <v>704</v>
      </c>
      <c r="B29" s="52">
        <v>5.59</v>
      </c>
      <c r="C29" s="52">
        <v>35.4</v>
      </c>
      <c r="D29" s="52">
        <v>60.51</v>
      </c>
      <c r="E29" s="52">
        <v>6.46</v>
      </c>
      <c r="F29" s="52">
        <v>9.98</v>
      </c>
      <c r="G29" s="52">
        <v>167.1</v>
      </c>
      <c r="H29" s="52">
        <v>9.49</v>
      </c>
      <c r="I29" s="52">
        <v>4.28</v>
      </c>
      <c r="J29" s="52">
        <v>4.13</v>
      </c>
      <c r="K29" s="52">
        <v>332.86</v>
      </c>
      <c r="L29" s="52">
        <v>32.26</v>
      </c>
      <c r="M29" s="52">
        <v>98.52</v>
      </c>
      <c r="N29" s="52">
        <v>75.5</v>
      </c>
      <c r="O29" s="52">
        <v>3.8</v>
      </c>
      <c r="P29" s="52">
        <v>0.65</v>
      </c>
      <c r="Q29" s="52">
        <v>9.5</v>
      </c>
      <c r="R29" s="43"/>
      <c r="S29" s="43"/>
      <c r="T29" s="43"/>
      <c r="U29" s="43"/>
    </row>
    <row r="30" spans="1:21" s="11" customFormat="1" x14ac:dyDescent="0.25">
      <c r="A30" s="51" t="s">
        <v>705</v>
      </c>
      <c r="B30" s="52">
        <v>2.78</v>
      </c>
      <c r="C30" s="52">
        <v>29.71</v>
      </c>
      <c r="D30" s="52">
        <v>53.48</v>
      </c>
      <c r="E30" s="52">
        <v>2.7</v>
      </c>
      <c r="F30" s="52">
        <v>7.28</v>
      </c>
      <c r="G30" s="52">
        <v>107.63</v>
      </c>
      <c r="H30" s="52">
        <v>9.61</v>
      </c>
      <c r="I30" s="52">
        <v>4.17</v>
      </c>
      <c r="J30" s="52">
        <v>4.84</v>
      </c>
      <c r="K30" s="52">
        <v>293.75</v>
      </c>
      <c r="L30" s="52">
        <v>25.06</v>
      </c>
      <c r="M30" s="52">
        <v>99.62</v>
      </c>
      <c r="N30" s="52">
        <v>75.099999999999994</v>
      </c>
      <c r="O30" s="52">
        <v>3.8</v>
      </c>
      <c r="P30" s="52">
        <v>0.53</v>
      </c>
      <c r="Q30" s="52">
        <v>9.5299999999999994</v>
      </c>
      <c r="R30" s="43"/>
      <c r="S30" s="43"/>
      <c r="T30" s="43"/>
      <c r="U30" s="43"/>
    </row>
    <row r="31" spans="1:21" s="11" customFormat="1" x14ac:dyDescent="0.25">
      <c r="A31" s="51" t="s">
        <v>706</v>
      </c>
      <c r="B31" s="52">
        <v>4.3899999999999997</v>
      </c>
      <c r="C31" s="52">
        <v>30.21</v>
      </c>
      <c r="D31" s="52">
        <v>51.11</v>
      </c>
      <c r="E31" s="52">
        <v>2.44</v>
      </c>
      <c r="F31" s="52">
        <v>6.29</v>
      </c>
      <c r="G31" s="52">
        <v>52.53</v>
      </c>
      <c r="H31" s="52">
        <v>9.1199999999999992</v>
      </c>
      <c r="I31" s="52">
        <v>4.07</v>
      </c>
      <c r="J31" s="52">
        <v>4.21</v>
      </c>
      <c r="K31" s="52">
        <v>328.71</v>
      </c>
      <c r="L31" s="52">
        <v>26.94</v>
      </c>
      <c r="M31" s="52">
        <v>89.33</v>
      </c>
      <c r="N31" s="52">
        <v>71.7</v>
      </c>
      <c r="O31" s="52">
        <v>0</v>
      </c>
      <c r="P31" s="52">
        <v>0.51</v>
      </c>
      <c r="Q31" s="52">
        <v>9.56</v>
      </c>
      <c r="R31" s="43"/>
      <c r="S31" s="43"/>
      <c r="T31" s="43"/>
      <c r="U31" s="43"/>
    </row>
    <row r="32" spans="1:21" s="11" customFormat="1" x14ac:dyDescent="0.25">
      <c r="A32" s="51" t="s">
        <v>707</v>
      </c>
      <c r="B32" s="52">
        <v>3.81</v>
      </c>
      <c r="C32" s="52">
        <v>26.94</v>
      </c>
      <c r="D32" s="52">
        <v>45.94</v>
      </c>
      <c r="E32" s="52">
        <v>3.32</v>
      </c>
      <c r="F32" s="52">
        <v>8.4700000000000006</v>
      </c>
      <c r="G32" s="52">
        <v>34.07</v>
      </c>
      <c r="H32" s="52">
        <v>10.48</v>
      </c>
      <c r="I32" s="52">
        <v>4.18</v>
      </c>
      <c r="J32" s="52">
        <v>2.36</v>
      </c>
      <c r="K32" s="52">
        <v>189.91</v>
      </c>
      <c r="L32" s="52">
        <v>26.52</v>
      </c>
      <c r="M32" s="52">
        <v>86.72</v>
      </c>
      <c r="N32" s="52">
        <v>71.599999999999994</v>
      </c>
      <c r="O32" s="52">
        <v>0</v>
      </c>
      <c r="P32" s="52">
        <v>0.44</v>
      </c>
      <c r="Q32" s="52">
        <v>9.6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1.64</v>
      </c>
      <c r="C34" s="28">
        <f t="shared" si="0"/>
        <v>21.75</v>
      </c>
      <c r="D34" s="28">
        <f t="shared" si="0"/>
        <v>39.020000000000003</v>
      </c>
      <c r="E34" s="28">
        <f t="shared" si="0"/>
        <v>2</v>
      </c>
      <c r="F34" s="28">
        <f t="shared" si="0"/>
        <v>6.27</v>
      </c>
      <c r="G34" s="28">
        <f t="shared" si="0"/>
        <v>20.55</v>
      </c>
      <c r="H34" s="28">
        <f t="shared" si="0"/>
        <v>7.82</v>
      </c>
      <c r="I34" s="28">
        <f t="shared" si="0"/>
        <v>3.97</v>
      </c>
      <c r="J34" s="28">
        <f t="shared" si="0"/>
        <v>1.41</v>
      </c>
      <c r="K34" s="28">
        <f t="shared" si="0"/>
        <v>162.13999999999999</v>
      </c>
      <c r="L34" s="28">
        <f t="shared" si="0"/>
        <v>25.06</v>
      </c>
      <c r="M34" s="28">
        <f t="shared" si="0"/>
        <v>25.04</v>
      </c>
      <c r="N34" s="28">
        <f t="shared" si="0"/>
        <v>60.5</v>
      </c>
      <c r="O34" s="28">
        <f t="shared" si="0"/>
        <v>0</v>
      </c>
      <c r="P34" s="28">
        <f t="shared" si="0"/>
        <v>0.28000000000000003</v>
      </c>
      <c r="Q34" s="28">
        <f t="shared" si="0"/>
        <v>9.42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33.630000000000003</v>
      </c>
      <c r="C35" s="29">
        <f t="shared" si="1"/>
        <v>80.8</v>
      </c>
      <c r="D35" s="29">
        <f t="shared" si="1"/>
        <v>104.44</v>
      </c>
      <c r="E35" s="29">
        <f t="shared" si="1"/>
        <v>6.46</v>
      </c>
      <c r="F35" s="29">
        <f t="shared" si="1"/>
        <v>24.44</v>
      </c>
      <c r="G35" s="29">
        <f t="shared" si="1"/>
        <v>167.1</v>
      </c>
      <c r="H35" s="29">
        <f t="shared" si="1"/>
        <v>22.52</v>
      </c>
      <c r="I35" s="29">
        <f t="shared" si="1"/>
        <v>4.28</v>
      </c>
      <c r="J35" s="29">
        <f t="shared" si="1"/>
        <v>4.84</v>
      </c>
      <c r="K35" s="29">
        <f t="shared" si="1"/>
        <v>349.15</v>
      </c>
      <c r="L35" s="29">
        <f t="shared" si="1"/>
        <v>41.11</v>
      </c>
      <c r="M35" s="29">
        <f t="shared" si="1"/>
        <v>99.62</v>
      </c>
      <c r="N35" s="29">
        <f t="shared" si="1"/>
        <v>1035.4000000000001</v>
      </c>
      <c r="O35" s="29">
        <f t="shared" si="1"/>
        <v>3.8</v>
      </c>
      <c r="P35" s="29">
        <f t="shared" si="1"/>
        <v>1.73</v>
      </c>
      <c r="Q35" s="29">
        <f t="shared" si="1"/>
        <v>9.6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6.027916666666667</v>
      </c>
      <c r="C36" s="28">
        <f t="shared" si="2"/>
        <v>31.69458333333333</v>
      </c>
      <c r="D36" s="28">
        <f t="shared" si="2"/>
        <v>51.800000000000004</v>
      </c>
      <c r="E36" s="28">
        <f t="shared" si="2"/>
        <v>3.2408333333333328</v>
      </c>
      <c r="F36" s="28">
        <f t="shared" si="2"/>
        <v>11.202083333333334</v>
      </c>
      <c r="G36" s="28">
        <f t="shared" si="2"/>
        <v>43.122083333333336</v>
      </c>
      <c r="H36" s="28">
        <f t="shared" si="2"/>
        <v>13.507083333333336</v>
      </c>
      <c r="I36" s="28">
        <f t="shared" si="2"/>
        <v>4.1029166666666663</v>
      </c>
      <c r="J36" s="28">
        <f t="shared" si="2"/>
        <v>2.9291666666666667</v>
      </c>
      <c r="K36" s="28">
        <f t="shared" si="2"/>
        <v>244.22541666666666</v>
      </c>
      <c r="L36" s="28">
        <f t="shared" si="2"/>
        <v>32.825416666666662</v>
      </c>
      <c r="M36" s="28">
        <f t="shared" si="2"/>
        <v>59.738749999999989</v>
      </c>
      <c r="N36" s="28">
        <f t="shared" si="2"/>
        <v>334</v>
      </c>
      <c r="O36" s="28">
        <f t="shared" si="2"/>
        <v>0.33333333333333331</v>
      </c>
      <c r="P36" s="28">
        <f t="shared" si="2"/>
        <v>0.54041666666666666</v>
      </c>
      <c r="Q36" s="28">
        <f t="shared" si="2"/>
        <v>9.4908333333333328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8.8045704431508636</v>
      </c>
      <c r="C37" s="28">
        <f t="shared" ref="C37:Q37" si="3">STDEV(C9:C32)</f>
        <v>15.998184945735904</v>
      </c>
      <c r="D37" s="28">
        <f t="shared" si="3"/>
        <v>17.289124754671889</v>
      </c>
      <c r="E37" s="28">
        <f t="shared" si="3"/>
        <v>1.0800197931626951</v>
      </c>
      <c r="F37" s="28">
        <f t="shared" si="3"/>
        <v>5.8189166623340096</v>
      </c>
      <c r="G37" s="28">
        <f t="shared" si="3"/>
        <v>38.438898095228502</v>
      </c>
      <c r="H37" s="28">
        <f t="shared" si="3"/>
        <v>3.7514872171686253</v>
      </c>
      <c r="I37" s="28">
        <f t="shared" si="3"/>
        <v>6.2309128835443421E-2</v>
      </c>
      <c r="J37" s="28">
        <f t="shared" si="3"/>
        <v>1.0875657567992483</v>
      </c>
      <c r="K37" s="28">
        <f t="shared" si="3"/>
        <v>58.55273646589837</v>
      </c>
      <c r="L37" s="28">
        <f t="shared" si="3"/>
        <v>5.5323255422830639</v>
      </c>
      <c r="M37" s="28">
        <f t="shared" si="3"/>
        <v>25.795536235440299</v>
      </c>
      <c r="N37" s="28">
        <f t="shared" si="3"/>
        <v>345.5118886773526</v>
      </c>
      <c r="O37" s="28">
        <f t="shared" si="3"/>
        <v>1.0691998904775015</v>
      </c>
      <c r="P37" s="28">
        <f t="shared" si="3"/>
        <v>0.3600299403813722</v>
      </c>
      <c r="Q37" s="28">
        <f t="shared" si="3"/>
        <v>4.4907311951024917E-2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66929133858267698" right="2.63779527559055" top="0.196850393700787" bottom="2.0866141732283499" header="0.31496062992126" footer="0.15748031496063"/>
  <pageSetup paperSize="9"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xSplit="1" ySplit="8" topLeftCell="B9" activePane="bottomRight" state="frozen"/>
      <selection activeCell="B38" sqref="B38:U38"/>
      <selection pane="topRight" activeCell="B38" sqref="B38:U38"/>
      <selection pane="bottomLeft" activeCell="B38" sqref="B38:U38"/>
      <selection pane="bottomRight"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28/04/2025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708</v>
      </c>
      <c r="B9" s="52">
        <v>4.59</v>
      </c>
      <c r="C9" s="52">
        <v>25.78</v>
      </c>
      <c r="D9" s="52">
        <v>42.29</v>
      </c>
      <c r="E9" s="52">
        <v>3.72</v>
      </c>
      <c r="F9" s="52">
        <v>8.49</v>
      </c>
      <c r="G9" s="52">
        <v>20.71</v>
      </c>
      <c r="H9" s="52">
        <v>10.9</v>
      </c>
      <c r="I9" s="52">
        <v>4.09</v>
      </c>
      <c r="J9" s="52">
        <v>2.2799999999999998</v>
      </c>
      <c r="K9" s="52">
        <v>181.31</v>
      </c>
      <c r="L9" s="52">
        <v>26.07</v>
      </c>
      <c r="M9" s="52">
        <v>89.46</v>
      </c>
      <c r="N9" s="52">
        <v>71.099999999999994</v>
      </c>
      <c r="O9" s="52">
        <v>0</v>
      </c>
      <c r="P9" s="52">
        <v>0.39</v>
      </c>
      <c r="Q9" s="52">
        <v>9.56</v>
      </c>
      <c r="R9" s="43"/>
      <c r="S9" s="43"/>
      <c r="T9" s="43"/>
      <c r="U9" s="43"/>
    </row>
    <row r="10" spans="1:21" s="11" customFormat="1" x14ac:dyDescent="0.25">
      <c r="A10" s="51" t="s">
        <v>709</v>
      </c>
      <c r="B10" s="52">
        <v>5.07</v>
      </c>
      <c r="C10" s="52">
        <v>27.9</v>
      </c>
      <c r="D10" s="52">
        <v>45.62</v>
      </c>
      <c r="E10" s="52">
        <v>3.61</v>
      </c>
      <c r="F10" s="52">
        <v>6.84</v>
      </c>
      <c r="G10" s="52">
        <v>18.059999999999999</v>
      </c>
      <c r="H10" s="52">
        <v>8.65</v>
      </c>
      <c r="I10" s="52">
        <v>3.98</v>
      </c>
      <c r="J10" s="52">
        <v>2.36</v>
      </c>
      <c r="K10" s="52">
        <v>206.94</v>
      </c>
      <c r="L10" s="52">
        <v>25.9</v>
      </c>
      <c r="M10" s="52">
        <v>86.88</v>
      </c>
      <c r="N10" s="52">
        <v>82.5</v>
      </c>
      <c r="O10" s="52">
        <v>0</v>
      </c>
      <c r="P10" s="52">
        <v>0.38</v>
      </c>
      <c r="Q10" s="52">
        <v>9.58</v>
      </c>
      <c r="R10" s="43"/>
      <c r="S10" s="43"/>
      <c r="T10" s="43"/>
      <c r="U10" s="43"/>
    </row>
    <row r="11" spans="1:21" s="11" customFormat="1" x14ac:dyDescent="0.25">
      <c r="A11" s="51" t="s">
        <v>710</v>
      </c>
      <c r="B11" s="52">
        <v>4.8600000000000003</v>
      </c>
      <c r="C11" s="52">
        <v>27.03</v>
      </c>
      <c r="D11" s="52">
        <v>44.3</v>
      </c>
      <c r="E11" s="52">
        <v>3.85</v>
      </c>
      <c r="F11" s="52">
        <v>5.98</v>
      </c>
      <c r="G11" s="52">
        <v>20.92</v>
      </c>
      <c r="H11" s="52">
        <v>8.4499999999999993</v>
      </c>
      <c r="I11" s="52">
        <v>4.04</v>
      </c>
      <c r="J11" s="52">
        <v>2.5099999999999998</v>
      </c>
      <c r="K11" s="52">
        <v>270.95999999999998</v>
      </c>
      <c r="L11" s="52">
        <v>25.77</v>
      </c>
      <c r="M11" s="52">
        <v>86.96</v>
      </c>
      <c r="N11" s="52">
        <v>73.7</v>
      </c>
      <c r="O11" s="52">
        <v>0</v>
      </c>
      <c r="P11" s="52">
        <v>0.36</v>
      </c>
      <c r="Q11" s="52">
        <v>9.58</v>
      </c>
      <c r="R11" s="43"/>
      <c r="S11" s="43"/>
      <c r="T11" s="43"/>
      <c r="U11" s="43"/>
    </row>
    <row r="12" spans="1:21" s="11" customFormat="1" x14ac:dyDescent="0.25">
      <c r="A12" s="51" t="s">
        <v>711</v>
      </c>
      <c r="B12" s="52">
        <v>3.12</v>
      </c>
      <c r="C12" s="52">
        <v>26.01</v>
      </c>
      <c r="D12" s="52">
        <v>44.98</v>
      </c>
      <c r="E12" s="52">
        <v>3.65</v>
      </c>
      <c r="F12" s="52">
        <v>12.08</v>
      </c>
      <c r="G12" s="52">
        <v>11.33</v>
      </c>
      <c r="H12" s="52">
        <v>8.49</v>
      </c>
      <c r="I12" s="52">
        <v>3.99</v>
      </c>
      <c r="J12" s="52">
        <v>3.67</v>
      </c>
      <c r="K12" s="52">
        <v>277.64</v>
      </c>
      <c r="L12" s="52">
        <v>26.6</v>
      </c>
      <c r="M12" s="52">
        <v>76.64</v>
      </c>
      <c r="N12" s="52">
        <v>74.2</v>
      </c>
      <c r="O12" s="52">
        <v>0.2</v>
      </c>
      <c r="P12" s="52">
        <v>0.37</v>
      </c>
      <c r="Q12" s="52">
        <v>9.5500000000000007</v>
      </c>
      <c r="R12" s="43"/>
      <c r="S12" s="43"/>
      <c r="T12" s="43"/>
      <c r="U12" s="43"/>
    </row>
    <row r="13" spans="1:21" s="11" customFormat="1" x14ac:dyDescent="0.25">
      <c r="A13" s="51" t="s">
        <v>712</v>
      </c>
      <c r="B13" s="52">
        <v>3.88</v>
      </c>
      <c r="C13" s="52">
        <v>28.22</v>
      </c>
      <c r="D13" s="52">
        <v>50.27</v>
      </c>
      <c r="E13" s="52">
        <v>4.04</v>
      </c>
      <c r="F13" s="52">
        <v>13.37</v>
      </c>
      <c r="G13" s="52">
        <v>11.62</v>
      </c>
      <c r="H13" s="52">
        <v>5.94</v>
      </c>
      <c r="I13" s="52">
        <v>4.04</v>
      </c>
      <c r="J13" s="52">
        <v>1.61</v>
      </c>
      <c r="K13" s="52">
        <v>271</v>
      </c>
      <c r="L13" s="52">
        <v>28.37</v>
      </c>
      <c r="M13" s="52">
        <v>53.22</v>
      </c>
      <c r="N13" s="52">
        <v>76.8</v>
      </c>
      <c r="O13" s="52">
        <v>0</v>
      </c>
      <c r="P13" s="52">
        <v>0.3</v>
      </c>
      <c r="Q13" s="52">
        <v>9.4600000000000009</v>
      </c>
      <c r="R13" s="43"/>
      <c r="S13" s="43"/>
      <c r="T13" s="43"/>
      <c r="U13" s="43"/>
    </row>
    <row r="14" spans="1:21" s="11" customFormat="1" x14ac:dyDescent="0.25">
      <c r="A14" s="51" t="s">
        <v>713</v>
      </c>
      <c r="B14" s="52">
        <v>5.68</v>
      </c>
      <c r="C14" s="52">
        <v>30.87</v>
      </c>
      <c r="D14" s="52">
        <v>50.36</v>
      </c>
      <c r="E14" s="52">
        <v>3.91</v>
      </c>
      <c r="F14" s="52">
        <v>9.52</v>
      </c>
      <c r="G14" s="52">
        <v>12.34</v>
      </c>
      <c r="H14" s="52">
        <v>4.16</v>
      </c>
      <c r="I14" s="52">
        <v>4.18</v>
      </c>
      <c r="J14" s="52">
        <v>2.5499999999999998</v>
      </c>
      <c r="K14" s="52">
        <v>277.56</v>
      </c>
      <c r="L14" s="52">
        <v>27.79</v>
      </c>
      <c r="M14" s="52">
        <v>57.69</v>
      </c>
      <c r="N14" s="52">
        <v>93.7</v>
      </c>
      <c r="O14" s="52">
        <v>0</v>
      </c>
      <c r="P14" s="52">
        <v>0.31</v>
      </c>
      <c r="Q14" s="52">
        <v>9.49</v>
      </c>
      <c r="R14" s="43"/>
      <c r="S14" s="43"/>
      <c r="T14" s="43"/>
      <c r="U14" s="43"/>
    </row>
    <row r="15" spans="1:21" s="11" customFormat="1" x14ac:dyDescent="0.25">
      <c r="A15" s="51" t="s">
        <v>714</v>
      </c>
      <c r="B15" s="52">
        <v>10.72</v>
      </c>
      <c r="C15" s="52">
        <v>35.15</v>
      </c>
      <c r="D15" s="52">
        <v>52.12</v>
      </c>
      <c r="E15" s="52">
        <v>3.79</v>
      </c>
      <c r="F15" s="52">
        <v>7</v>
      </c>
      <c r="G15" s="52">
        <v>41.84</v>
      </c>
      <c r="H15" s="52">
        <v>2.91</v>
      </c>
      <c r="I15" s="52">
        <v>3.9</v>
      </c>
      <c r="J15" s="52">
        <v>1.46</v>
      </c>
      <c r="K15" s="52">
        <v>318.77999999999997</v>
      </c>
      <c r="L15" s="52">
        <v>29.66</v>
      </c>
      <c r="M15" s="52">
        <v>65.28</v>
      </c>
      <c r="N15" s="52">
        <v>231.6</v>
      </c>
      <c r="O15" s="52">
        <v>0</v>
      </c>
      <c r="P15" s="52">
        <v>0.42</v>
      </c>
      <c r="Q15" s="52">
        <v>9.57</v>
      </c>
      <c r="R15" s="43"/>
      <c r="S15" s="43"/>
      <c r="T15" s="43"/>
      <c r="U15" s="43"/>
    </row>
    <row r="16" spans="1:21" s="11" customFormat="1" x14ac:dyDescent="0.25">
      <c r="A16" s="51" t="s">
        <v>715</v>
      </c>
      <c r="B16" s="52">
        <v>16.86</v>
      </c>
      <c r="C16" s="52">
        <v>44.09</v>
      </c>
      <c r="D16" s="52">
        <v>58.52</v>
      </c>
      <c r="E16" s="52">
        <v>3.71</v>
      </c>
      <c r="F16" s="52">
        <v>7.66</v>
      </c>
      <c r="G16" s="52">
        <v>58.97</v>
      </c>
      <c r="H16" s="52">
        <v>2.04</v>
      </c>
      <c r="I16" s="52">
        <v>4.09</v>
      </c>
      <c r="J16" s="52">
        <v>2.79</v>
      </c>
      <c r="K16" s="52">
        <v>310.82</v>
      </c>
      <c r="L16" s="52">
        <v>32.700000000000003</v>
      </c>
      <c r="M16" s="52">
        <v>51.32</v>
      </c>
      <c r="N16" s="52">
        <v>508.6</v>
      </c>
      <c r="O16" s="52">
        <v>0</v>
      </c>
      <c r="P16" s="52">
        <v>0.56999999999999995</v>
      </c>
      <c r="Q16" s="52">
        <v>9.59</v>
      </c>
      <c r="R16" s="43"/>
      <c r="S16" s="43"/>
      <c r="T16" s="43"/>
      <c r="U16" s="43"/>
    </row>
    <row r="17" spans="1:21" s="11" customFormat="1" x14ac:dyDescent="0.25">
      <c r="A17" s="51" t="s">
        <v>716</v>
      </c>
      <c r="B17" s="52">
        <v>15.75</v>
      </c>
      <c r="C17" s="52">
        <v>43.26</v>
      </c>
      <c r="D17" s="52">
        <v>58.96</v>
      </c>
      <c r="E17" s="52">
        <v>6.45</v>
      </c>
      <c r="F17" s="52">
        <v>11.24</v>
      </c>
      <c r="G17" s="52">
        <v>80.03</v>
      </c>
      <c r="H17" s="52">
        <v>1.43</v>
      </c>
      <c r="I17" s="52">
        <v>4.25</v>
      </c>
      <c r="J17" s="52">
        <v>2.17</v>
      </c>
      <c r="K17" s="52">
        <v>318.12</v>
      </c>
      <c r="L17" s="52">
        <v>34.67</v>
      </c>
      <c r="M17" s="52">
        <v>44.31</v>
      </c>
      <c r="N17" s="52">
        <v>671.1</v>
      </c>
      <c r="O17" s="52">
        <v>0</v>
      </c>
      <c r="P17" s="52">
        <v>0.66</v>
      </c>
      <c r="Q17" s="52">
        <v>9.58</v>
      </c>
      <c r="R17" s="43"/>
      <c r="S17" s="43"/>
      <c r="T17" s="43"/>
      <c r="U17" s="43"/>
    </row>
    <row r="18" spans="1:21" s="11" customFormat="1" x14ac:dyDescent="0.25">
      <c r="A18" s="51" t="s">
        <v>717</v>
      </c>
      <c r="B18" s="52">
        <v>20.420000000000002</v>
      </c>
      <c r="C18" s="52">
        <v>50.91</v>
      </c>
      <c r="D18" s="52">
        <v>66.09</v>
      </c>
      <c r="E18" s="52">
        <v>5.19</v>
      </c>
      <c r="F18" s="52">
        <v>10.19</v>
      </c>
      <c r="G18" s="52">
        <v>85.32</v>
      </c>
      <c r="H18" s="52">
        <v>17.29</v>
      </c>
      <c r="I18" s="52">
        <v>4.07</v>
      </c>
      <c r="J18" s="52">
        <v>1.91</v>
      </c>
      <c r="K18" s="52">
        <v>281.01</v>
      </c>
      <c r="L18" s="52">
        <v>36.369999999999997</v>
      </c>
      <c r="M18" s="52">
        <v>42.6</v>
      </c>
      <c r="N18" s="52">
        <v>842.8</v>
      </c>
      <c r="O18" s="52">
        <v>0</v>
      </c>
      <c r="P18" s="52">
        <v>0.68</v>
      </c>
      <c r="Q18" s="52">
        <v>9.56</v>
      </c>
      <c r="R18" s="43"/>
      <c r="S18" s="43"/>
      <c r="T18" s="43"/>
      <c r="U18" s="43"/>
    </row>
    <row r="19" spans="1:21" s="11" customFormat="1" x14ac:dyDescent="0.25">
      <c r="A19" s="51" t="s">
        <v>718</v>
      </c>
      <c r="B19" s="52">
        <v>14.8</v>
      </c>
      <c r="C19" s="52">
        <v>43.34</v>
      </c>
      <c r="D19" s="52">
        <v>63.54</v>
      </c>
      <c r="E19" s="52">
        <v>2.78</v>
      </c>
      <c r="F19" s="52">
        <v>10.66</v>
      </c>
      <c r="G19" s="52">
        <v>68.28</v>
      </c>
      <c r="H19" s="52">
        <v>21.94</v>
      </c>
      <c r="I19" s="52">
        <v>4.13</v>
      </c>
      <c r="J19" s="52">
        <v>1.77</v>
      </c>
      <c r="K19" s="52">
        <v>285.64</v>
      </c>
      <c r="L19" s="52">
        <v>38.93</v>
      </c>
      <c r="M19" s="52">
        <v>39.93</v>
      </c>
      <c r="N19" s="52">
        <v>971.5</v>
      </c>
      <c r="O19" s="52">
        <v>0</v>
      </c>
      <c r="P19" s="52">
        <v>0.64</v>
      </c>
      <c r="Q19" s="52">
        <v>9.58</v>
      </c>
      <c r="R19" s="43"/>
      <c r="S19" s="43"/>
      <c r="T19" s="43"/>
      <c r="U19" s="43"/>
    </row>
    <row r="20" spans="1:21" s="11" customFormat="1" x14ac:dyDescent="0.25">
      <c r="A20" s="51" t="s">
        <v>719</v>
      </c>
      <c r="B20" s="52">
        <v>2.69</v>
      </c>
      <c r="C20" s="52">
        <v>34.28</v>
      </c>
      <c r="D20" s="52">
        <v>61.47</v>
      </c>
      <c r="E20" s="52">
        <v>3.65</v>
      </c>
      <c r="F20" s="52">
        <v>19.309999999999999</v>
      </c>
      <c r="G20" s="52">
        <v>32.47</v>
      </c>
      <c r="H20" s="52">
        <v>23.51</v>
      </c>
      <c r="I20" s="52">
        <v>4.07</v>
      </c>
      <c r="J20" s="52">
        <v>2.4</v>
      </c>
      <c r="K20" s="52">
        <v>249.21</v>
      </c>
      <c r="L20" s="52">
        <v>37.69</v>
      </c>
      <c r="M20" s="52">
        <v>41.27</v>
      </c>
      <c r="N20" s="52">
        <v>1018.5</v>
      </c>
      <c r="O20" s="52">
        <v>0</v>
      </c>
      <c r="P20" s="52">
        <v>0.56999999999999995</v>
      </c>
      <c r="Q20" s="52">
        <v>9.6</v>
      </c>
      <c r="R20" s="43"/>
      <c r="S20" s="43"/>
      <c r="T20" s="43"/>
      <c r="U20" s="43"/>
    </row>
    <row r="21" spans="1:21" s="11" customFormat="1" x14ac:dyDescent="0.25">
      <c r="A21" s="51" t="s">
        <v>720</v>
      </c>
      <c r="B21" s="52">
        <v>1.42</v>
      </c>
      <c r="C21" s="52">
        <v>21.7</v>
      </c>
      <c r="D21" s="52">
        <v>39.369999999999997</v>
      </c>
      <c r="E21" s="52">
        <v>2.27</v>
      </c>
      <c r="F21" s="52">
        <v>11.96</v>
      </c>
      <c r="G21" s="52">
        <v>32.869999999999997</v>
      </c>
      <c r="H21" s="52">
        <v>26.22</v>
      </c>
      <c r="I21" s="52">
        <v>4.07</v>
      </c>
      <c r="J21" s="52">
        <v>2.35</v>
      </c>
      <c r="K21" s="52">
        <v>270.68</v>
      </c>
      <c r="L21" s="52">
        <v>38.57</v>
      </c>
      <c r="M21" s="52">
        <v>39.159999999999997</v>
      </c>
      <c r="N21" s="52">
        <v>1010.6</v>
      </c>
      <c r="O21" s="52">
        <v>0</v>
      </c>
      <c r="P21" s="52">
        <v>0.41</v>
      </c>
      <c r="Q21" s="52">
        <v>9.61</v>
      </c>
      <c r="R21" s="43"/>
      <c r="S21" s="43"/>
      <c r="T21" s="43"/>
      <c r="U21" s="43"/>
    </row>
    <row r="22" spans="1:21" s="11" customFormat="1" x14ac:dyDescent="0.25">
      <c r="A22" s="51" t="s">
        <v>721</v>
      </c>
      <c r="B22" s="52">
        <v>2.84</v>
      </c>
      <c r="C22" s="52">
        <v>22.45</v>
      </c>
      <c r="D22" s="52">
        <v>38.6</v>
      </c>
      <c r="E22" s="52">
        <v>2.7</v>
      </c>
      <c r="F22" s="52">
        <v>13.16</v>
      </c>
      <c r="G22" s="52">
        <v>41.24</v>
      </c>
      <c r="H22" s="52">
        <v>14.99</v>
      </c>
      <c r="I22" s="52">
        <v>4.05</v>
      </c>
      <c r="J22" s="52">
        <v>3.49</v>
      </c>
      <c r="K22" s="52">
        <v>261.19</v>
      </c>
      <c r="L22" s="52">
        <v>38.619999999999997</v>
      </c>
      <c r="M22" s="52">
        <v>38.909999999999997</v>
      </c>
      <c r="N22" s="52">
        <v>733.6</v>
      </c>
      <c r="O22" s="52">
        <v>0</v>
      </c>
      <c r="P22" s="52">
        <v>0.28999999999999998</v>
      </c>
      <c r="Q22" s="52">
        <v>9.52</v>
      </c>
      <c r="R22" s="43"/>
      <c r="S22" s="43"/>
      <c r="T22" s="43"/>
      <c r="U22" s="43"/>
    </row>
    <row r="23" spans="1:21" s="11" customFormat="1" x14ac:dyDescent="0.25">
      <c r="A23" s="51" t="s">
        <v>722</v>
      </c>
      <c r="B23" s="52">
        <v>1.86</v>
      </c>
      <c r="C23" s="52">
        <v>24.64</v>
      </c>
      <c r="D23" s="52">
        <v>44.66</v>
      </c>
      <c r="E23" s="52">
        <v>2.4900000000000002</v>
      </c>
      <c r="F23" s="52">
        <v>19.100000000000001</v>
      </c>
      <c r="G23" s="52">
        <v>46.3</v>
      </c>
      <c r="H23" s="52">
        <v>15.14</v>
      </c>
      <c r="I23" s="52">
        <v>4.0999999999999996</v>
      </c>
      <c r="J23" s="52">
        <v>2.15</v>
      </c>
      <c r="K23" s="52">
        <v>268.60000000000002</v>
      </c>
      <c r="L23" s="52">
        <v>39.020000000000003</v>
      </c>
      <c r="M23" s="52">
        <v>37.07</v>
      </c>
      <c r="N23" s="52">
        <v>501.1</v>
      </c>
      <c r="O23" s="52">
        <v>0</v>
      </c>
      <c r="P23" s="52">
        <v>0.31</v>
      </c>
      <c r="Q23" s="52">
        <v>9.5399999999999991</v>
      </c>
      <c r="R23" s="43"/>
      <c r="S23" s="43"/>
      <c r="T23" s="43"/>
      <c r="U23" s="43"/>
    </row>
    <row r="24" spans="1:21" s="11" customFormat="1" x14ac:dyDescent="0.25">
      <c r="A24" s="51" t="s">
        <v>723</v>
      </c>
      <c r="B24" s="52">
        <v>6.67</v>
      </c>
      <c r="C24" s="52">
        <v>26.82</v>
      </c>
      <c r="D24" s="52">
        <v>41.09</v>
      </c>
      <c r="E24" s="52">
        <v>4.2</v>
      </c>
      <c r="F24" s="52">
        <v>17.16</v>
      </c>
      <c r="G24" s="52">
        <v>48.87</v>
      </c>
      <c r="H24" s="52">
        <v>10.130000000000001</v>
      </c>
      <c r="I24" s="52">
        <v>4.08</v>
      </c>
      <c r="J24" s="52">
        <v>3.65</v>
      </c>
      <c r="K24" s="52">
        <v>357.03</v>
      </c>
      <c r="L24" s="52">
        <v>39.08</v>
      </c>
      <c r="M24" s="52">
        <v>49.93</v>
      </c>
      <c r="N24" s="52">
        <v>405.1</v>
      </c>
      <c r="O24" s="52">
        <v>0</v>
      </c>
      <c r="P24" s="52">
        <v>0.37</v>
      </c>
      <c r="Q24" s="52">
        <v>9.5500000000000007</v>
      </c>
      <c r="R24" s="43"/>
      <c r="S24" s="43"/>
      <c r="T24" s="43"/>
      <c r="U24" s="43"/>
    </row>
    <row r="25" spans="1:21" s="11" customFormat="1" x14ac:dyDescent="0.25">
      <c r="A25" s="51" t="s">
        <v>724</v>
      </c>
      <c r="B25" s="52">
        <v>7.68</v>
      </c>
      <c r="C25" s="52">
        <v>31.46</v>
      </c>
      <c r="D25" s="52">
        <v>48.42</v>
      </c>
      <c r="E25" s="52">
        <v>3.71</v>
      </c>
      <c r="F25" s="52">
        <v>15.48</v>
      </c>
      <c r="G25" s="52">
        <v>57.8</v>
      </c>
      <c r="H25" s="52">
        <v>10.68</v>
      </c>
      <c r="I25" s="52">
        <v>4.04</v>
      </c>
      <c r="J25" s="52">
        <v>3.61</v>
      </c>
      <c r="K25" s="52">
        <v>103.42</v>
      </c>
      <c r="L25" s="52">
        <v>29.35</v>
      </c>
      <c r="M25" s="52">
        <v>59.29</v>
      </c>
      <c r="N25" s="52">
        <v>216.3</v>
      </c>
      <c r="O25" s="52">
        <v>0.4</v>
      </c>
      <c r="P25" s="52">
        <v>0.33</v>
      </c>
      <c r="Q25" s="52">
        <v>9.6</v>
      </c>
      <c r="R25" s="43"/>
      <c r="S25" s="43"/>
      <c r="T25" s="43"/>
      <c r="U25" s="43"/>
    </row>
    <row r="26" spans="1:21" s="11" customFormat="1" x14ac:dyDescent="0.25">
      <c r="A26" s="51" t="s">
        <v>725</v>
      </c>
      <c r="B26" s="52">
        <v>3.08</v>
      </c>
      <c r="C26" s="52">
        <v>21.76</v>
      </c>
      <c r="D26" s="52">
        <v>38.24</v>
      </c>
      <c r="E26" s="52">
        <v>3.94</v>
      </c>
      <c r="F26" s="52">
        <v>13.49</v>
      </c>
      <c r="G26" s="52">
        <v>47.51</v>
      </c>
      <c r="H26" s="52">
        <v>9.48</v>
      </c>
      <c r="I26" s="52">
        <v>4.0199999999999996</v>
      </c>
      <c r="J26" s="52">
        <v>4.4400000000000004</v>
      </c>
      <c r="K26" s="52">
        <v>100.69</v>
      </c>
      <c r="L26" s="52">
        <v>29.16</v>
      </c>
      <c r="M26" s="52">
        <v>70.3</v>
      </c>
      <c r="N26" s="52">
        <v>192.4</v>
      </c>
      <c r="O26" s="52">
        <v>0</v>
      </c>
      <c r="P26" s="52">
        <v>0.33</v>
      </c>
      <c r="Q26" s="52">
        <v>9.6</v>
      </c>
      <c r="R26" s="43"/>
      <c r="S26" s="43"/>
      <c r="T26" s="43"/>
      <c r="U26" s="43"/>
    </row>
    <row r="27" spans="1:21" s="11" customFormat="1" x14ac:dyDescent="0.25">
      <c r="A27" s="51" t="s">
        <v>726</v>
      </c>
      <c r="B27" s="52">
        <v>1.96</v>
      </c>
      <c r="C27" s="52">
        <v>23.05</v>
      </c>
      <c r="D27" s="52">
        <v>41.77</v>
      </c>
      <c r="E27" s="52">
        <v>4.01</v>
      </c>
      <c r="F27" s="52">
        <v>12.81</v>
      </c>
      <c r="G27" s="52">
        <v>34.79</v>
      </c>
      <c r="H27" s="52">
        <v>7.11</v>
      </c>
      <c r="I27" s="52">
        <v>4.07</v>
      </c>
      <c r="J27" s="52">
        <v>5.14</v>
      </c>
      <c r="K27" s="52">
        <v>102.86</v>
      </c>
      <c r="L27" s="52">
        <v>28.6</v>
      </c>
      <c r="M27" s="52">
        <v>65.3</v>
      </c>
      <c r="N27" s="52">
        <v>119.7</v>
      </c>
      <c r="O27" s="52">
        <v>0</v>
      </c>
      <c r="P27" s="52">
        <v>0.31</v>
      </c>
      <c r="Q27" s="52">
        <v>9.52</v>
      </c>
      <c r="R27" s="43"/>
      <c r="S27" s="43"/>
      <c r="T27" s="43"/>
      <c r="U27" s="43"/>
    </row>
    <row r="28" spans="1:21" s="11" customFormat="1" x14ac:dyDescent="0.25">
      <c r="A28" s="51" t="s">
        <v>727</v>
      </c>
      <c r="B28" s="52">
        <v>2.5</v>
      </c>
      <c r="C28" s="52">
        <v>24.33</v>
      </c>
      <c r="D28" s="52">
        <v>43.5</v>
      </c>
      <c r="E28" s="52">
        <v>3.62</v>
      </c>
      <c r="F28" s="52">
        <v>6.86</v>
      </c>
      <c r="G28" s="52">
        <v>37.29</v>
      </c>
      <c r="H28" s="52">
        <v>8.7899999999999991</v>
      </c>
      <c r="I28" s="52">
        <v>4.08</v>
      </c>
      <c r="J28" s="52">
        <v>4.26</v>
      </c>
      <c r="K28" s="52">
        <v>104.09</v>
      </c>
      <c r="L28" s="52">
        <v>27.6</v>
      </c>
      <c r="M28" s="52">
        <v>61.46</v>
      </c>
      <c r="N28" s="52">
        <v>105.7</v>
      </c>
      <c r="O28" s="52">
        <v>0</v>
      </c>
      <c r="P28" s="52">
        <v>0.28000000000000003</v>
      </c>
      <c r="Q28" s="52">
        <v>9.59</v>
      </c>
      <c r="R28" s="43"/>
      <c r="S28" s="43"/>
      <c r="T28" s="43"/>
      <c r="U28" s="43"/>
    </row>
    <row r="29" spans="1:21" s="11" customFormat="1" x14ac:dyDescent="0.25">
      <c r="A29" s="51" t="s">
        <v>728</v>
      </c>
      <c r="B29" s="52">
        <v>3.02</v>
      </c>
      <c r="C29" s="52">
        <v>25.79</v>
      </c>
      <c r="D29" s="52">
        <v>44.72</v>
      </c>
      <c r="E29" s="52">
        <v>3.33</v>
      </c>
      <c r="F29" s="52">
        <v>6.71</v>
      </c>
      <c r="G29" s="52">
        <v>27.49</v>
      </c>
      <c r="H29" s="52">
        <v>9.65</v>
      </c>
      <c r="I29" s="52">
        <v>4.1100000000000003</v>
      </c>
      <c r="J29" s="52">
        <v>4.47</v>
      </c>
      <c r="K29" s="52">
        <v>159.47999999999999</v>
      </c>
      <c r="L29" s="52">
        <v>27.18</v>
      </c>
      <c r="M29" s="52">
        <v>65.55</v>
      </c>
      <c r="N29" s="52">
        <v>104.6</v>
      </c>
      <c r="O29" s="52">
        <v>0</v>
      </c>
      <c r="P29" s="52">
        <v>0.28000000000000003</v>
      </c>
      <c r="Q29" s="52">
        <v>9.6</v>
      </c>
      <c r="R29" s="43"/>
      <c r="S29" s="43"/>
      <c r="T29" s="43"/>
      <c r="U29" s="43"/>
    </row>
    <row r="30" spans="1:21" s="11" customFormat="1" x14ac:dyDescent="0.25">
      <c r="A30" s="51" t="s">
        <v>729</v>
      </c>
      <c r="B30" s="52">
        <v>4.58</v>
      </c>
      <c r="C30" s="52">
        <v>24.4</v>
      </c>
      <c r="D30" s="52">
        <v>41.46</v>
      </c>
      <c r="E30" s="52">
        <v>3.55</v>
      </c>
      <c r="F30" s="52">
        <v>6.83</v>
      </c>
      <c r="G30" s="52">
        <v>27.82</v>
      </c>
      <c r="H30" s="52">
        <v>9.33</v>
      </c>
      <c r="I30" s="52">
        <v>4.09</v>
      </c>
      <c r="J30" s="52">
        <v>3</v>
      </c>
      <c r="K30" s="52">
        <v>146.21</v>
      </c>
      <c r="L30" s="52">
        <v>26.77</v>
      </c>
      <c r="M30" s="52">
        <v>75.11</v>
      </c>
      <c r="N30" s="52">
        <v>104.8</v>
      </c>
      <c r="O30" s="52">
        <v>0</v>
      </c>
      <c r="P30" s="52">
        <v>0.3</v>
      </c>
      <c r="Q30" s="52">
        <v>9.56</v>
      </c>
      <c r="R30" s="43"/>
      <c r="S30" s="43"/>
      <c r="T30" s="43"/>
      <c r="U30" s="43"/>
    </row>
    <row r="31" spans="1:21" s="11" customFormat="1" x14ac:dyDescent="0.25">
      <c r="A31" s="51" t="s">
        <v>730</v>
      </c>
      <c r="B31" s="52">
        <v>5.4</v>
      </c>
      <c r="C31" s="52">
        <v>23.77</v>
      </c>
      <c r="D31" s="52">
        <v>38.18</v>
      </c>
      <c r="E31" s="52">
        <v>3.56</v>
      </c>
      <c r="F31" s="52">
        <v>7.01</v>
      </c>
      <c r="G31" s="52">
        <v>20.7</v>
      </c>
      <c r="H31" s="52">
        <v>7.07</v>
      </c>
      <c r="I31" s="52">
        <v>4.05</v>
      </c>
      <c r="J31" s="52">
        <v>3.05</v>
      </c>
      <c r="K31" s="52">
        <v>105.38</v>
      </c>
      <c r="L31" s="52">
        <v>26.74</v>
      </c>
      <c r="M31" s="52">
        <v>73.78</v>
      </c>
      <c r="N31" s="52">
        <v>108.9</v>
      </c>
      <c r="O31" s="52">
        <v>0</v>
      </c>
      <c r="P31" s="52">
        <v>0.31</v>
      </c>
      <c r="Q31" s="52">
        <v>9.57</v>
      </c>
      <c r="R31" s="43"/>
      <c r="S31" s="43"/>
      <c r="T31" s="43"/>
      <c r="U31" s="43"/>
    </row>
    <row r="32" spans="1:21" s="11" customFormat="1" x14ac:dyDescent="0.25">
      <c r="A32" s="51" t="s">
        <v>731</v>
      </c>
      <c r="B32" s="52">
        <v>5.85</v>
      </c>
      <c r="C32" s="52">
        <v>24.77</v>
      </c>
      <c r="D32" s="52">
        <v>38.43</v>
      </c>
      <c r="E32" s="52">
        <v>3.72</v>
      </c>
      <c r="F32" s="52">
        <v>5.88</v>
      </c>
      <c r="G32" s="52">
        <v>23.19</v>
      </c>
      <c r="H32" s="52">
        <v>7.24</v>
      </c>
      <c r="I32" s="52">
        <v>4.17</v>
      </c>
      <c r="J32" s="52">
        <v>1.5</v>
      </c>
      <c r="K32" s="52">
        <v>192.09</v>
      </c>
      <c r="L32" s="52">
        <v>26.58</v>
      </c>
      <c r="M32" s="52">
        <v>81.25</v>
      </c>
      <c r="N32" s="52">
        <v>105.9</v>
      </c>
      <c r="O32" s="52">
        <v>0</v>
      </c>
      <c r="P32" s="52">
        <v>0.31</v>
      </c>
      <c r="Q32" s="52">
        <v>9.57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1.42</v>
      </c>
      <c r="C34" s="28">
        <f t="shared" si="0"/>
        <v>21.7</v>
      </c>
      <c r="D34" s="28">
        <f t="shared" si="0"/>
        <v>38.18</v>
      </c>
      <c r="E34" s="28">
        <f t="shared" si="0"/>
        <v>2.27</v>
      </c>
      <c r="F34" s="28">
        <f t="shared" si="0"/>
        <v>5.88</v>
      </c>
      <c r="G34" s="28">
        <f t="shared" si="0"/>
        <v>11.33</v>
      </c>
      <c r="H34" s="28">
        <f t="shared" si="0"/>
        <v>1.43</v>
      </c>
      <c r="I34" s="28">
        <f t="shared" si="0"/>
        <v>3.9</v>
      </c>
      <c r="J34" s="28">
        <f t="shared" si="0"/>
        <v>1.46</v>
      </c>
      <c r="K34" s="28">
        <f t="shared" si="0"/>
        <v>100.69</v>
      </c>
      <c r="L34" s="28">
        <f t="shared" si="0"/>
        <v>25.77</v>
      </c>
      <c r="M34" s="28">
        <f t="shared" si="0"/>
        <v>37.07</v>
      </c>
      <c r="N34" s="28">
        <f t="shared" si="0"/>
        <v>71.099999999999994</v>
      </c>
      <c r="O34" s="28">
        <f t="shared" si="0"/>
        <v>0</v>
      </c>
      <c r="P34" s="28">
        <f t="shared" si="0"/>
        <v>0.28000000000000003</v>
      </c>
      <c r="Q34" s="28">
        <f t="shared" si="0"/>
        <v>9.4600000000000009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20.420000000000002</v>
      </c>
      <c r="C35" s="29">
        <f t="shared" si="1"/>
        <v>50.91</v>
      </c>
      <c r="D35" s="29">
        <f t="shared" si="1"/>
        <v>66.09</v>
      </c>
      <c r="E35" s="29">
        <f t="shared" si="1"/>
        <v>6.45</v>
      </c>
      <c r="F35" s="29">
        <f t="shared" si="1"/>
        <v>19.309999999999999</v>
      </c>
      <c r="G35" s="29">
        <f t="shared" si="1"/>
        <v>85.32</v>
      </c>
      <c r="H35" s="29">
        <f t="shared" si="1"/>
        <v>26.22</v>
      </c>
      <c r="I35" s="29">
        <f t="shared" si="1"/>
        <v>4.25</v>
      </c>
      <c r="J35" s="29">
        <f t="shared" si="1"/>
        <v>5.14</v>
      </c>
      <c r="K35" s="29">
        <f t="shared" si="1"/>
        <v>357.03</v>
      </c>
      <c r="L35" s="29">
        <f t="shared" si="1"/>
        <v>39.08</v>
      </c>
      <c r="M35" s="29">
        <f t="shared" si="1"/>
        <v>89.46</v>
      </c>
      <c r="N35" s="29">
        <f t="shared" si="1"/>
        <v>1018.5</v>
      </c>
      <c r="O35" s="29">
        <f t="shared" si="1"/>
        <v>0.4</v>
      </c>
      <c r="P35" s="29">
        <f t="shared" si="1"/>
        <v>0.68</v>
      </c>
      <c r="Q35" s="29">
        <f t="shared" si="1"/>
        <v>9.61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6.470833333333335</v>
      </c>
      <c r="C36" s="28">
        <f t="shared" si="2"/>
        <v>29.657499999999999</v>
      </c>
      <c r="D36" s="28">
        <f t="shared" si="2"/>
        <v>47.373333333333335</v>
      </c>
      <c r="E36" s="28">
        <f t="shared" si="2"/>
        <v>3.7270833333333342</v>
      </c>
      <c r="F36" s="28">
        <f t="shared" si="2"/>
        <v>10.782916666666667</v>
      </c>
      <c r="G36" s="28">
        <f t="shared" si="2"/>
        <v>37.823333333333331</v>
      </c>
      <c r="H36" s="28">
        <f t="shared" si="2"/>
        <v>10.480833333333335</v>
      </c>
      <c r="I36" s="28">
        <f t="shared" si="2"/>
        <v>4.0733333333333341</v>
      </c>
      <c r="J36" s="28">
        <f t="shared" si="2"/>
        <v>2.8579166666666662</v>
      </c>
      <c r="K36" s="28">
        <f t="shared" si="2"/>
        <v>225.86291666666659</v>
      </c>
      <c r="L36" s="28">
        <f t="shared" si="2"/>
        <v>31.157916666666669</v>
      </c>
      <c r="M36" s="28">
        <f t="shared" si="2"/>
        <v>60.527916666666648</v>
      </c>
      <c r="N36" s="28">
        <f t="shared" si="2"/>
        <v>351.03333333333336</v>
      </c>
      <c r="O36" s="28">
        <f t="shared" si="2"/>
        <v>2.5000000000000005E-2</v>
      </c>
      <c r="P36" s="28">
        <f t="shared" si="2"/>
        <v>0.39500000000000002</v>
      </c>
      <c r="Q36" s="28">
        <f t="shared" si="2"/>
        <v>9.5637499999999989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5.2877486922020083</v>
      </c>
      <c r="C37" s="28">
        <f t="shared" ref="C37:Q37" si="3">STDEV(C9:C32)</f>
        <v>8.1104190906566025</v>
      </c>
      <c r="D37" s="28">
        <f t="shared" si="3"/>
        <v>8.5417342026315453</v>
      </c>
      <c r="E37" s="28">
        <f t="shared" si="3"/>
        <v>0.8318103837370312</v>
      </c>
      <c r="F37" s="28">
        <f t="shared" si="3"/>
        <v>4.1043259036275863</v>
      </c>
      <c r="G37" s="28">
        <f t="shared" si="3"/>
        <v>20.758100915622997</v>
      </c>
      <c r="H37" s="28">
        <f t="shared" si="3"/>
        <v>6.4585830433258486</v>
      </c>
      <c r="I37" s="28">
        <f t="shared" si="3"/>
        <v>6.9511754818670862E-2</v>
      </c>
      <c r="J37" s="28">
        <f t="shared" si="3"/>
        <v>1.0271657042843547</v>
      </c>
      <c r="K37" s="28">
        <f t="shared" si="3"/>
        <v>81.455399665101794</v>
      </c>
      <c r="L37" s="28">
        <f t="shared" si="3"/>
        <v>5.1366381995185657</v>
      </c>
      <c r="M37" s="28">
        <f t="shared" si="3"/>
        <v>16.924657078066517</v>
      </c>
      <c r="N37" s="28">
        <f t="shared" si="3"/>
        <v>340.28351052649003</v>
      </c>
      <c r="O37" s="28">
        <f t="shared" si="3"/>
        <v>8.9685440629288141E-2</v>
      </c>
      <c r="P37" s="28">
        <f t="shared" si="3"/>
        <v>0.12792660939501335</v>
      </c>
      <c r="Q37" s="28">
        <f t="shared" si="3"/>
        <v>3.6690539000863699E-2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51" sqref="G51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29/04/2025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732</v>
      </c>
      <c r="B9" s="52">
        <v>5.97</v>
      </c>
      <c r="C9" s="52">
        <v>25.13</v>
      </c>
      <c r="D9" s="52">
        <v>39.19</v>
      </c>
      <c r="E9" s="52">
        <v>3.51</v>
      </c>
      <c r="F9" s="52">
        <v>6.93</v>
      </c>
      <c r="G9" s="52">
        <v>23.87</v>
      </c>
      <c r="H9" s="52">
        <v>7.26</v>
      </c>
      <c r="I9" s="52">
        <v>4.1100000000000003</v>
      </c>
      <c r="J9" s="52">
        <v>2.1800000000000002</v>
      </c>
      <c r="K9" s="52">
        <v>283.82</v>
      </c>
      <c r="L9" s="52">
        <v>26.04</v>
      </c>
      <c r="M9" s="52">
        <v>86.3</v>
      </c>
      <c r="N9" s="52">
        <v>107.1</v>
      </c>
      <c r="O9" s="52">
        <v>0</v>
      </c>
      <c r="P9" s="52">
        <v>0.3</v>
      </c>
      <c r="Q9" s="52">
        <v>9.57</v>
      </c>
      <c r="R9" s="43"/>
      <c r="S9" s="43"/>
      <c r="T9" s="43"/>
      <c r="U9" s="43"/>
    </row>
    <row r="10" spans="1:21" s="11" customFormat="1" x14ac:dyDescent="0.25">
      <c r="A10" s="51" t="s">
        <v>733</v>
      </c>
      <c r="B10" s="52">
        <v>6.5</v>
      </c>
      <c r="C10" s="52">
        <v>25.53</v>
      </c>
      <c r="D10" s="52">
        <v>38.89</v>
      </c>
      <c r="E10" s="52">
        <v>3.17</v>
      </c>
      <c r="F10" s="52">
        <v>6.54</v>
      </c>
      <c r="G10" s="52">
        <v>20.440000000000001</v>
      </c>
      <c r="H10" s="52">
        <v>5.53</v>
      </c>
      <c r="I10" s="52">
        <v>4.1500000000000004</v>
      </c>
      <c r="J10" s="52">
        <v>1.66</v>
      </c>
      <c r="K10" s="52">
        <v>274.20999999999998</v>
      </c>
      <c r="L10" s="52">
        <v>25.66</v>
      </c>
      <c r="M10" s="52">
        <v>89.85</v>
      </c>
      <c r="N10" s="52">
        <v>109.6</v>
      </c>
      <c r="O10" s="52">
        <v>0</v>
      </c>
      <c r="P10" s="52">
        <v>0.3</v>
      </c>
      <c r="Q10" s="52">
        <v>9.61</v>
      </c>
      <c r="R10" s="43"/>
      <c r="S10" s="43"/>
      <c r="T10" s="43"/>
      <c r="U10" s="43"/>
    </row>
    <row r="11" spans="1:21" s="11" customFormat="1" x14ac:dyDescent="0.25">
      <c r="A11" s="51" t="s">
        <v>734</v>
      </c>
      <c r="B11" s="52">
        <v>8.01</v>
      </c>
      <c r="C11" s="52">
        <v>23.03</v>
      </c>
      <c r="D11" s="52">
        <v>33</v>
      </c>
      <c r="E11" s="52">
        <v>3.44</v>
      </c>
      <c r="F11" s="52">
        <v>6.59</v>
      </c>
      <c r="G11" s="52">
        <v>20.9</v>
      </c>
      <c r="H11" s="52">
        <v>6.73</v>
      </c>
      <c r="I11" s="52">
        <v>4.0999999999999996</v>
      </c>
      <c r="J11" s="52">
        <v>2.71</v>
      </c>
      <c r="K11" s="52">
        <v>146.13999999999999</v>
      </c>
      <c r="L11" s="52">
        <v>25.8</v>
      </c>
      <c r="M11" s="52">
        <v>89.07</v>
      </c>
      <c r="N11" s="52">
        <v>109.2</v>
      </c>
      <c r="O11" s="52">
        <v>0</v>
      </c>
      <c r="P11" s="52">
        <v>0.3</v>
      </c>
      <c r="Q11" s="52">
        <v>9.6300000000000008</v>
      </c>
      <c r="R11" s="43"/>
      <c r="S11" s="43"/>
      <c r="T11" s="43"/>
      <c r="U11" s="43"/>
    </row>
    <row r="12" spans="1:21" s="11" customFormat="1" x14ac:dyDescent="0.25">
      <c r="A12" s="51" t="s">
        <v>735</v>
      </c>
      <c r="B12" s="52">
        <v>9.8000000000000007</v>
      </c>
      <c r="C12" s="52">
        <v>25.84</v>
      </c>
      <c r="D12" s="52">
        <v>34.409999999999997</v>
      </c>
      <c r="E12" s="52">
        <v>3.37</v>
      </c>
      <c r="F12" s="52">
        <v>6.21</v>
      </c>
      <c r="G12" s="52">
        <v>21.61</v>
      </c>
      <c r="H12" s="52">
        <v>7.7</v>
      </c>
      <c r="I12" s="52">
        <v>4.07</v>
      </c>
      <c r="J12" s="52">
        <v>1.5</v>
      </c>
      <c r="K12" s="52">
        <v>169.2</v>
      </c>
      <c r="L12" s="52">
        <v>25.45</v>
      </c>
      <c r="M12" s="52">
        <v>93.19</v>
      </c>
      <c r="N12" s="52">
        <v>113</v>
      </c>
      <c r="O12" s="52">
        <v>0</v>
      </c>
      <c r="P12" s="52">
        <v>0.28999999999999998</v>
      </c>
      <c r="Q12" s="52">
        <v>9.65</v>
      </c>
      <c r="R12" s="43"/>
      <c r="S12" s="43"/>
      <c r="T12" s="43"/>
      <c r="U12" s="43"/>
    </row>
    <row r="13" spans="1:21" s="11" customFormat="1" x14ac:dyDescent="0.25">
      <c r="A13" s="51" t="s">
        <v>736</v>
      </c>
      <c r="B13" s="52">
        <v>10.26</v>
      </c>
      <c r="C13" s="52">
        <v>26.49</v>
      </c>
      <c r="D13" s="52">
        <v>35.020000000000003</v>
      </c>
      <c r="E13" s="52">
        <v>3.22</v>
      </c>
      <c r="F13" s="52">
        <v>5.61</v>
      </c>
      <c r="G13" s="52">
        <v>20.79</v>
      </c>
      <c r="H13" s="52">
        <v>8.39</v>
      </c>
      <c r="I13" s="52">
        <v>4.05</v>
      </c>
      <c r="J13" s="52">
        <v>1.72</v>
      </c>
      <c r="K13" s="52">
        <v>221.7</v>
      </c>
      <c r="L13" s="52">
        <v>25.06</v>
      </c>
      <c r="M13" s="52">
        <v>96.69</v>
      </c>
      <c r="N13" s="52">
        <v>113.6</v>
      </c>
      <c r="O13" s="52">
        <v>0</v>
      </c>
      <c r="P13" s="52">
        <v>0.28999999999999998</v>
      </c>
      <c r="Q13" s="52">
        <v>9.6300000000000008</v>
      </c>
      <c r="R13" s="43"/>
      <c r="S13" s="43"/>
      <c r="T13" s="43"/>
      <c r="U13" s="43"/>
    </row>
    <row r="14" spans="1:21" s="11" customFormat="1" x14ac:dyDescent="0.25">
      <c r="A14" s="51" t="s">
        <v>737</v>
      </c>
      <c r="B14" s="52">
        <v>12.32</v>
      </c>
      <c r="C14" s="52">
        <v>29.32</v>
      </c>
      <c r="D14" s="52">
        <v>37.200000000000003</v>
      </c>
      <c r="E14" s="52">
        <v>3.22</v>
      </c>
      <c r="F14" s="52">
        <v>5.41</v>
      </c>
      <c r="G14" s="52">
        <v>24.9</v>
      </c>
      <c r="H14" s="52">
        <v>8.5399999999999991</v>
      </c>
      <c r="I14" s="52">
        <v>4.0599999999999996</v>
      </c>
      <c r="J14" s="52">
        <v>2.0099999999999998</v>
      </c>
      <c r="K14" s="52">
        <v>270.75</v>
      </c>
      <c r="L14" s="52">
        <v>25.14</v>
      </c>
      <c r="M14" s="52">
        <v>97.6</v>
      </c>
      <c r="N14" s="52">
        <v>176.1</v>
      </c>
      <c r="O14" s="52">
        <v>0</v>
      </c>
      <c r="P14" s="52">
        <v>0.31</v>
      </c>
      <c r="Q14" s="52">
        <v>9.68</v>
      </c>
      <c r="R14" s="43"/>
      <c r="S14" s="43"/>
      <c r="T14" s="43"/>
      <c r="U14" s="43"/>
    </row>
    <row r="15" spans="1:21" s="11" customFormat="1" x14ac:dyDescent="0.25">
      <c r="A15" s="51" t="s">
        <v>738</v>
      </c>
      <c r="B15" s="52">
        <v>12.82</v>
      </c>
      <c r="C15" s="52">
        <v>29.7</v>
      </c>
      <c r="D15" s="52">
        <v>38.869999999999997</v>
      </c>
      <c r="E15" s="52">
        <v>3.19</v>
      </c>
      <c r="F15" s="52">
        <v>6.18</v>
      </c>
      <c r="G15" s="52">
        <v>25.83</v>
      </c>
      <c r="H15" s="52">
        <v>7.81</v>
      </c>
      <c r="I15" s="52">
        <v>4.12</v>
      </c>
      <c r="J15" s="52">
        <v>1.62</v>
      </c>
      <c r="K15" s="52">
        <v>275.83</v>
      </c>
      <c r="L15" s="52">
        <v>27.14</v>
      </c>
      <c r="M15" s="52">
        <v>89.52</v>
      </c>
      <c r="N15" s="52">
        <v>338.3</v>
      </c>
      <c r="O15" s="52">
        <v>0</v>
      </c>
      <c r="P15" s="52">
        <v>0.34</v>
      </c>
      <c r="Q15" s="52">
        <v>9.7100000000000009</v>
      </c>
      <c r="R15" s="43"/>
      <c r="S15" s="43"/>
      <c r="T15" s="43"/>
      <c r="U15" s="43"/>
    </row>
    <row r="16" spans="1:21" s="11" customFormat="1" x14ac:dyDescent="0.25">
      <c r="A16" s="51" t="s">
        <v>739</v>
      </c>
      <c r="B16" s="52">
        <v>12.58</v>
      </c>
      <c r="C16" s="52">
        <v>30.85</v>
      </c>
      <c r="D16" s="52">
        <v>41.39</v>
      </c>
      <c r="E16" s="52">
        <v>3.45</v>
      </c>
      <c r="F16" s="52">
        <v>6.79</v>
      </c>
      <c r="G16" s="52">
        <v>24.66</v>
      </c>
      <c r="H16" s="52">
        <v>8.31</v>
      </c>
      <c r="I16" s="52">
        <v>4.04</v>
      </c>
      <c r="J16" s="52">
        <v>1.96</v>
      </c>
      <c r="K16" s="52">
        <v>209.99</v>
      </c>
      <c r="L16" s="52">
        <v>29.83</v>
      </c>
      <c r="M16" s="52">
        <v>77.680000000000007</v>
      </c>
      <c r="N16" s="52">
        <v>531</v>
      </c>
      <c r="O16" s="52">
        <v>0</v>
      </c>
      <c r="P16" s="52">
        <v>0.34</v>
      </c>
      <c r="Q16" s="52">
        <v>9.66</v>
      </c>
      <c r="R16" s="43"/>
      <c r="S16" s="43"/>
      <c r="T16" s="43"/>
      <c r="U16" s="43"/>
    </row>
    <row r="17" spans="1:21" s="11" customFormat="1" x14ac:dyDescent="0.25">
      <c r="A17" s="51" t="s">
        <v>740</v>
      </c>
      <c r="B17" s="52">
        <v>11.6</v>
      </c>
      <c r="C17" s="52">
        <v>31.77</v>
      </c>
      <c r="D17" s="52">
        <v>44.57</v>
      </c>
      <c r="E17" s="52">
        <v>2.88</v>
      </c>
      <c r="F17" s="52">
        <v>7.49</v>
      </c>
      <c r="G17" s="52">
        <v>23.22</v>
      </c>
      <c r="H17" s="52">
        <v>8.31</v>
      </c>
      <c r="I17" s="52">
        <v>4.07</v>
      </c>
      <c r="J17" s="52">
        <v>2.33</v>
      </c>
      <c r="K17" s="52">
        <v>263.14999999999998</v>
      </c>
      <c r="L17" s="52">
        <v>32.89</v>
      </c>
      <c r="M17" s="52">
        <v>66.709999999999994</v>
      </c>
      <c r="N17" s="52">
        <v>656.8</v>
      </c>
      <c r="O17" s="52">
        <v>0</v>
      </c>
      <c r="P17" s="52">
        <v>0.34</v>
      </c>
      <c r="Q17" s="52">
        <v>9.6999999999999993</v>
      </c>
      <c r="R17" s="43"/>
      <c r="S17" s="43"/>
      <c r="T17" s="43"/>
      <c r="U17" s="43"/>
    </row>
    <row r="18" spans="1:21" s="11" customFormat="1" x14ac:dyDescent="0.25">
      <c r="A18" s="51" t="s">
        <v>741</v>
      </c>
      <c r="B18" s="52">
        <v>7.59</v>
      </c>
      <c r="C18" s="52">
        <v>29.12</v>
      </c>
      <c r="D18" s="52">
        <v>45.31</v>
      </c>
      <c r="E18" s="52">
        <v>2.65</v>
      </c>
      <c r="F18" s="52">
        <v>7.54</v>
      </c>
      <c r="G18" s="52">
        <v>23.55</v>
      </c>
      <c r="H18" s="52">
        <v>6.66</v>
      </c>
      <c r="I18" s="52">
        <v>4.07</v>
      </c>
      <c r="J18" s="52">
        <v>2.82</v>
      </c>
      <c r="K18" s="52">
        <v>240.74</v>
      </c>
      <c r="L18" s="52">
        <v>33.14</v>
      </c>
      <c r="M18" s="52">
        <v>53.18</v>
      </c>
      <c r="N18" s="52">
        <v>830.3</v>
      </c>
      <c r="O18" s="52">
        <v>0</v>
      </c>
      <c r="P18" s="52">
        <v>0.36</v>
      </c>
      <c r="Q18" s="52">
        <v>9.66</v>
      </c>
      <c r="R18" s="43"/>
      <c r="S18" s="43"/>
      <c r="T18" s="43"/>
      <c r="U18" s="43"/>
    </row>
    <row r="19" spans="1:21" s="11" customFormat="1" x14ac:dyDescent="0.25">
      <c r="A19" s="51" t="s">
        <v>742</v>
      </c>
      <c r="B19" s="52">
        <v>4.51</v>
      </c>
      <c r="C19" s="52">
        <v>26.41</v>
      </c>
      <c r="D19" s="52">
        <v>45.16</v>
      </c>
      <c r="E19" s="52">
        <v>2.83</v>
      </c>
      <c r="F19" s="52">
        <v>7.1</v>
      </c>
      <c r="G19" s="52">
        <v>22.06</v>
      </c>
      <c r="H19" s="52">
        <v>7.19</v>
      </c>
      <c r="I19" s="52">
        <v>4.03</v>
      </c>
      <c r="J19" s="52">
        <v>2.82</v>
      </c>
      <c r="K19" s="52">
        <v>186.07</v>
      </c>
      <c r="L19" s="52">
        <v>35.15</v>
      </c>
      <c r="M19" s="52">
        <v>51.05</v>
      </c>
      <c r="N19" s="52">
        <v>994.7</v>
      </c>
      <c r="O19" s="52">
        <v>0</v>
      </c>
      <c r="P19" s="52">
        <v>0.35</v>
      </c>
      <c r="Q19" s="52">
        <v>9.5399999999999991</v>
      </c>
      <c r="R19" s="43"/>
      <c r="S19" s="43"/>
      <c r="T19" s="43"/>
      <c r="U19" s="43"/>
    </row>
    <row r="20" spans="1:21" s="11" customFormat="1" x14ac:dyDescent="0.25">
      <c r="A20" s="51" t="s">
        <v>743</v>
      </c>
      <c r="B20" s="52">
        <v>4.3</v>
      </c>
      <c r="C20" s="52">
        <v>24.47</v>
      </c>
      <c r="D20" s="52">
        <v>40.24</v>
      </c>
      <c r="E20" s="52">
        <v>2.97</v>
      </c>
      <c r="F20" s="52">
        <v>13.52</v>
      </c>
      <c r="G20" s="52">
        <v>22.62</v>
      </c>
      <c r="H20" s="52">
        <v>8.8000000000000007</v>
      </c>
      <c r="I20" s="52">
        <v>4.03</v>
      </c>
      <c r="J20" s="52">
        <v>2.2000000000000002</v>
      </c>
      <c r="K20" s="52">
        <v>192.1</v>
      </c>
      <c r="L20" s="52">
        <v>36.950000000000003</v>
      </c>
      <c r="M20" s="52">
        <v>42.96</v>
      </c>
      <c r="N20" s="52">
        <v>1031.5</v>
      </c>
      <c r="O20" s="52">
        <v>0</v>
      </c>
      <c r="P20" s="52">
        <v>0.35</v>
      </c>
      <c r="Q20" s="52">
        <v>9.4499999999999993</v>
      </c>
      <c r="R20" s="43"/>
      <c r="S20" s="43"/>
      <c r="T20" s="43"/>
      <c r="U20" s="43"/>
    </row>
    <row r="21" spans="1:21" s="11" customFormat="1" x14ac:dyDescent="0.25">
      <c r="A21" s="51" t="s">
        <v>744</v>
      </c>
      <c r="B21" s="52">
        <v>3.07</v>
      </c>
      <c r="C21" s="52">
        <v>22.96</v>
      </c>
      <c r="D21" s="52">
        <v>40.549999999999997</v>
      </c>
      <c r="E21" s="52">
        <v>2.9</v>
      </c>
      <c r="F21" s="52">
        <v>14.29</v>
      </c>
      <c r="G21" s="52">
        <v>22.75</v>
      </c>
      <c r="H21" s="52">
        <v>9.23</v>
      </c>
      <c r="I21" s="52">
        <v>4.12</v>
      </c>
      <c r="J21" s="52">
        <v>3.28</v>
      </c>
      <c r="K21" s="52">
        <v>169.39</v>
      </c>
      <c r="L21" s="52">
        <v>38.520000000000003</v>
      </c>
      <c r="M21" s="52">
        <v>36.6</v>
      </c>
      <c r="N21" s="52">
        <v>1045.8</v>
      </c>
      <c r="O21" s="52">
        <v>0</v>
      </c>
      <c r="P21" s="52">
        <v>0.31</v>
      </c>
      <c r="Q21" s="52">
        <v>9.39</v>
      </c>
      <c r="R21" s="43"/>
      <c r="S21" s="43"/>
      <c r="T21" s="43"/>
      <c r="U21" s="43"/>
    </row>
    <row r="22" spans="1:21" s="11" customFormat="1" x14ac:dyDescent="0.25">
      <c r="A22" s="51" t="s">
        <v>745</v>
      </c>
      <c r="B22" s="52">
        <v>1.96</v>
      </c>
      <c r="C22" s="52">
        <v>23.33</v>
      </c>
      <c r="D22" s="52">
        <v>41.66</v>
      </c>
      <c r="E22" s="52">
        <v>2.4900000000000002</v>
      </c>
      <c r="F22" s="52">
        <v>10.47</v>
      </c>
      <c r="G22" s="52">
        <v>22.78</v>
      </c>
      <c r="H22" s="52">
        <v>8.76</v>
      </c>
      <c r="I22" s="52">
        <v>4.04</v>
      </c>
      <c r="J22" s="52">
        <v>3.18</v>
      </c>
      <c r="K22" s="52">
        <v>215.39</v>
      </c>
      <c r="L22" s="52">
        <v>38.9</v>
      </c>
      <c r="M22" s="52">
        <v>27.86</v>
      </c>
      <c r="N22" s="52">
        <v>793.4</v>
      </c>
      <c r="O22" s="52">
        <v>0</v>
      </c>
      <c r="P22" s="52">
        <v>0.31</v>
      </c>
      <c r="Q22" s="52">
        <v>9.34</v>
      </c>
      <c r="R22" s="43"/>
      <c r="S22" s="43"/>
      <c r="T22" s="43"/>
      <c r="U22" s="43"/>
    </row>
    <row r="23" spans="1:21" s="11" customFormat="1" x14ac:dyDescent="0.25">
      <c r="A23" s="51" t="s">
        <v>746</v>
      </c>
      <c r="B23" s="52">
        <v>2.39</v>
      </c>
      <c r="C23" s="52">
        <v>24.9</v>
      </c>
      <c r="D23" s="52">
        <v>43.99</v>
      </c>
      <c r="E23" s="52">
        <v>2.82</v>
      </c>
      <c r="F23" s="52">
        <v>12.02</v>
      </c>
      <c r="G23" s="52">
        <v>18.91</v>
      </c>
      <c r="H23" s="52">
        <v>7.73</v>
      </c>
      <c r="I23" s="52">
        <v>4.09</v>
      </c>
      <c r="J23" s="52">
        <v>3.14</v>
      </c>
      <c r="K23" s="52">
        <v>224.54</v>
      </c>
      <c r="L23" s="52">
        <v>38.39</v>
      </c>
      <c r="M23" s="52">
        <v>35.840000000000003</v>
      </c>
      <c r="N23" s="52">
        <v>486.4</v>
      </c>
      <c r="O23" s="52">
        <v>0</v>
      </c>
      <c r="P23" s="52">
        <v>0.28000000000000003</v>
      </c>
      <c r="Q23" s="52">
        <v>9.34</v>
      </c>
      <c r="R23" s="43"/>
      <c r="S23" s="43"/>
      <c r="T23" s="43"/>
      <c r="U23" s="43"/>
    </row>
    <row r="24" spans="1:21" s="11" customFormat="1" x14ac:dyDescent="0.25">
      <c r="A24" s="51" t="s">
        <v>747</v>
      </c>
      <c r="B24" s="52">
        <v>2.42</v>
      </c>
      <c r="C24" s="52">
        <v>23.21</v>
      </c>
      <c r="D24" s="52">
        <v>41.38</v>
      </c>
      <c r="E24" s="52">
        <v>2.71</v>
      </c>
      <c r="F24" s="52">
        <v>16.149999999999999</v>
      </c>
      <c r="G24" s="52">
        <v>24.93</v>
      </c>
      <c r="H24" s="52">
        <v>7.8</v>
      </c>
      <c r="I24" s="52">
        <v>4.03</v>
      </c>
      <c r="J24" s="52">
        <v>1.94</v>
      </c>
      <c r="K24" s="52">
        <v>255.74</v>
      </c>
      <c r="L24" s="52">
        <v>37.94</v>
      </c>
      <c r="M24" s="52">
        <v>41.23</v>
      </c>
      <c r="N24" s="52">
        <v>343.4</v>
      </c>
      <c r="O24" s="52">
        <v>0</v>
      </c>
      <c r="P24" s="52">
        <v>0.28999999999999998</v>
      </c>
      <c r="Q24" s="52">
        <v>9.39</v>
      </c>
      <c r="R24" s="43"/>
      <c r="S24" s="43"/>
      <c r="T24" s="43"/>
      <c r="U24" s="43"/>
    </row>
    <row r="25" spans="1:21" s="11" customFormat="1" x14ac:dyDescent="0.25">
      <c r="A25" s="51" t="s">
        <v>748</v>
      </c>
      <c r="B25" s="52">
        <v>2.88</v>
      </c>
      <c r="C25" s="52">
        <v>24.72</v>
      </c>
      <c r="D25" s="52">
        <v>42.89</v>
      </c>
      <c r="E25" s="52">
        <v>3.22</v>
      </c>
      <c r="F25" s="52">
        <v>14.93</v>
      </c>
      <c r="G25" s="52">
        <v>26.59</v>
      </c>
      <c r="H25" s="52">
        <v>6.83</v>
      </c>
      <c r="I25" s="52">
        <v>4.21</v>
      </c>
      <c r="J25" s="52">
        <v>3.23</v>
      </c>
      <c r="K25" s="52">
        <v>208.85</v>
      </c>
      <c r="L25" s="52">
        <v>37.549999999999997</v>
      </c>
      <c r="M25" s="52">
        <v>42.23</v>
      </c>
      <c r="N25" s="52">
        <v>232.8</v>
      </c>
      <c r="O25" s="52">
        <v>0</v>
      </c>
      <c r="P25" s="52">
        <v>0.28999999999999998</v>
      </c>
      <c r="Q25" s="52">
        <v>9.4</v>
      </c>
      <c r="R25" s="43"/>
      <c r="S25" s="43"/>
      <c r="T25" s="43"/>
      <c r="U25" s="43"/>
    </row>
    <row r="26" spans="1:21" s="11" customFormat="1" x14ac:dyDescent="0.25">
      <c r="A26" s="51" t="s">
        <v>749</v>
      </c>
      <c r="B26" s="52">
        <v>2.94</v>
      </c>
      <c r="C26" s="52">
        <v>23.7</v>
      </c>
      <c r="D26" s="52">
        <v>40.85</v>
      </c>
      <c r="E26" s="52">
        <v>3.02</v>
      </c>
      <c r="F26" s="52">
        <v>12.53</v>
      </c>
      <c r="G26" s="52">
        <v>23.96</v>
      </c>
      <c r="H26" s="52">
        <v>7.01</v>
      </c>
      <c r="I26" s="52">
        <v>4.05</v>
      </c>
      <c r="J26" s="52">
        <v>3.27</v>
      </c>
      <c r="K26" s="52">
        <v>171.56</v>
      </c>
      <c r="L26" s="52">
        <v>36.26</v>
      </c>
      <c r="M26" s="52">
        <v>44.11</v>
      </c>
      <c r="N26" s="52">
        <v>132.69999999999999</v>
      </c>
      <c r="O26" s="52">
        <v>0</v>
      </c>
      <c r="P26" s="52">
        <v>0.28999999999999998</v>
      </c>
      <c r="Q26" s="52">
        <v>9.41</v>
      </c>
      <c r="R26" s="43"/>
      <c r="S26" s="43"/>
      <c r="T26" s="43"/>
      <c r="U26" s="43"/>
    </row>
    <row r="27" spans="1:21" s="11" customFormat="1" x14ac:dyDescent="0.25">
      <c r="A27" s="51" t="s">
        <v>750</v>
      </c>
      <c r="B27" s="52">
        <v>3.81</v>
      </c>
      <c r="C27" s="52">
        <v>27.86</v>
      </c>
      <c r="D27" s="52">
        <v>47.47</v>
      </c>
      <c r="E27" s="52">
        <v>2.89</v>
      </c>
      <c r="F27" s="52">
        <v>13.59</v>
      </c>
      <c r="G27" s="52">
        <v>24.34</v>
      </c>
      <c r="H27" s="52">
        <v>7.67</v>
      </c>
      <c r="I27" s="52">
        <v>4.2</v>
      </c>
      <c r="J27" s="52">
        <v>3.44</v>
      </c>
      <c r="K27" s="52">
        <v>228.04</v>
      </c>
      <c r="L27" s="52">
        <v>35.01</v>
      </c>
      <c r="M27" s="52">
        <v>49.66</v>
      </c>
      <c r="N27" s="52">
        <v>86.4</v>
      </c>
      <c r="O27" s="52">
        <v>0</v>
      </c>
      <c r="P27" s="52">
        <v>0.33</v>
      </c>
      <c r="Q27" s="52">
        <v>9.4499999999999993</v>
      </c>
      <c r="R27" s="43"/>
      <c r="S27" s="43"/>
      <c r="T27" s="43"/>
      <c r="U27" s="43"/>
    </row>
    <row r="28" spans="1:21" s="11" customFormat="1" x14ac:dyDescent="0.25">
      <c r="A28" s="51" t="s">
        <v>751</v>
      </c>
      <c r="B28" s="52">
        <v>4.84</v>
      </c>
      <c r="C28" s="52">
        <v>25.68</v>
      </c>
      <c r="D28" s="52">
        <v>43.91</v>
      </c>
      <c r="E28" s="52">
        <v>2.98</v>
      </c>
      <c r="F28" s="52">
        <v>10.029999999999999</v>
      </c>
      <c r="G28" s="52">
        <v>28.63</v>
      </c>
      <c r="H28" s="52">
        <v>7.79</v>
      </c>
      <c r="I28" s="52">
        <v>4.05</v>
      </c>
      <c r="J28" s="52">
        <v>5.32</v>
      </c>
      <c r="K28" s="52">
        <v>103.97</v>
      </c>
      <c r="L28" s="52">
        <v>32.29</v>
      </c>
      <c r="M28" s="52">
        <v>78.34</v>
      </c>
      <c r="N28" s="52">
        <v>89.3</v>
      </c>
      <c r="O28" s="52">
        <v>0</v>
      </c>
      <c r="P28" s="52">
        <v>0.36</v>
      </c>
      <c r="Q28" s="52">
        <v>9.4700000000000006</v>
      </c>
      <c r="R28" s="43"/>
      <c r="S28" s="43"/>
      <c r="T28" s="43"/>
      <c r="U28" s="43"/>
    </row>
    <row r="29" spans="1:21" s="11" customFormat="1" x14ac:dyDescent="0.25">
      <c r="A29" s="51" t="s">
        <v>752</v>
      </c>
      <c r="B29" s="52">
        <v>6.06</v>
      </c>
      <c r="C29" s="52">
        <v>24.27</v>
      </c>
      <c r="D29" s="52">
        <v>38.97</v>
      </c>
      <c r="E29" s="52">
        <v>3.35</v>
      </c>
      <c r="F29" s="52">
        <v>9.64</v>
      </c>
      <c r="G29" s="52">
        <v>30.37</v>
      </c>
      <c r="H29" s="52">
        <v>7.34</v>
      </c>
      <c r="I29" s="52">
        <v>4.03</v>
      </c>
      <c r="J29" s="52">
        <v>4.6500000000000004</v>
      </c>
      <c r="K29" s="52">
        <v>101.05</v>
      </c>
      <c r="L29" s="52">
        <v>27.24</v>
      </c>
      <c r="M29" s="52">
        <v>81.77</v>
      </c>
      <c r="N29" s="52">
        <v>91.7</v>
      </c>
      <c r="O29" s="52">
        <v>0</v>
      </c>
      <c r="P29" s="52">
        <v>0.36</v>
      </c>
      <c r="Q29" s="52">
        <v>9.48</v>
      </c>
      <c r="R29" s="43"/>
      <c r="S29" s="43"/>
      <c r="T29" s="43"/>
      <c r="U29" s="43"/>
    </row>
    <row r="30" spans="1:21" s="11" customFormat="1" x14ac:dyDescent="0.25">
      <c r="A30" s="51" t="s">
        <v>753</v>
      </c>
      <c r="B30" s="52">
        <v>5</v>
      </c>
      <c r="C30" s="52">
        <v>25.15</v>
      </c>
      <c r="D30" s="52">
        <v>40.47</v>
      </c>
      <c r="E30" s="52">
        <v>3.23</v>
      </c>
      <c r="F30" s="52">
        <v>7.04</v>
      </c>
      <c r="G30" s="52">
        <v>26.58</v>
      </c>
      <c r="H30" s="52">
        <v>5.76</v>
      </c>
      <c r="I30" s="52">
        <v>4.13</v>
      </c>
      <c r="J30" s="52">
        <v>3.69</v>
      </c>
      <c r="K30" s="52">
        <v>105.65</v>
      </c>
      <c r="L30" s="52">
        <v>26.25</v>
      </c>
      <c r="M30" s="52">
        <v>84.22</v>
      </c>
      <c r="N30" s="52">
        <v>88.9</v>
      </c>
      <c r="O30" s="52">
        <v>0</v>
      </c>
      <c r="P30" s="52">
        <v>0.37</v>
      </c>
      <c r="Q30" s="52">
        <v>9.5</v>
      </c>
      <c r="R30" s="43"/>
      <c r="S30" s="43"/>
      <c r="T30" s="43"/>
      <c r="U30" s="43"/>
    </row>
    <row r="31" spans="1:21" s="11" customFormat="1" x14ac:dyDescent="0.25">
      <c r="A31" s="51" t="s">
        <v>754</v>
      </c>
      <c r="B31" s="52">
        <v>5.13</v>
      </c>
      <c r="C31" s="52">
        <v>24.69</v>
      </c>
      <c r="D31" s="52">
        <v>39.65</v>
      </c>
      <c r="E31" s="52">
        <v>3.09</v>
      </c>
      <c r="F31" s="52">
        <v>6.86</v>
      </c>
      <c r="G31" s="52">
        <v>25.66</v>
      </c>
      <c r="H31" s="52">
        <v>6.67</v>
      </c>
      <c r="I31" s="52">
        <v>4.1500000000000004</v>
      </c>
      <c r="J31" s="52">
        <v>4.4000000000000004</v>
      </c>
      <c r="K31" s="52">
        <v>124.03</v>
      </c>
      <c r="L31" s="52">
        <v>26.33</v>
      </c>
      <c r="M31" s="52">
        <v>86.94</v>
      </c>
      <c r="N31" s="52">
        <v>89.4</v>
      </c>
      <c r="O31" s="52">
        <v>0</v>
      </c>
      <c r="P31" s="52">
        <v>0.36</v>
      </c>
      <c r="Q31" s="52">
        <v>9.49</v>
      </c>
      <c r="R31" s="43"/>
      <c r="S31" s="43"/>
      <c r="T31" s="43"/>
      <c r="U31" s="43"/>
    </row>
    <row r="32" spans="1:21" s="11" customFormat="1" x14ac:dyDescent="0.25">
      <c r="A32" s="51" t="s">
        <v>755</v>
      </c>
      <c r="B32" s="52">
        <v>4.38</v>
      </c>
      <c r="C32" s="52">
        <v>23.55</v>
      </c>
      <c r="D32" s="52">
        <v>38.82</v>
      </c>
      <c r="E32" s="52">
        <v>3</v>
      </c>
      <c r="F32" s="52">
        <v>7.28</v>
      </c>
      <c r="G32" s="52">
        <v>24.05</v>
      </c>
      <c r="H32" s="52">
        <v>6.88</v>
      </c>
      <c r="I32" s="52">
        <v>4.13</v>
      </c>
      <c r="J32" s="52">
        <v>4.59</v>
      </c>
      <c r="K32" s="52">
        <v>134.4</v>
      </c>
      <c r="L32" s="52">
        <v>25.95</v>
      </c>
      <c r="M32" s="52">
        <v>86.58</v>
      </c>
      <c r="N32" s="52">
        <v>89.6</v>
      </c>
      <c r="O32" s="52">
        <v>0</v>
      </c>
      <c r="P32" s="52">
        <v>0.34</v>
      </c>
      <c r="Q32" s="52">
        <v>9.49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1.96</v>
      </c>
      <c r="C34" s="28">
        <f t="shared" si="0"/>
        <v>22.96</v>
      </c>
      <c r="D34" s="28">
        <f t="shared" si="0"/>
        <v>33</v>
      </c>
      <c r="E34" s="28">
        <f t="shared" si="0"/>
        <v>2.4900000000000002</v>
      </c>
      <c r="F34" s="28">
        <f t="shared" si="0"/>
        <v>5.41</v>
      </c>
      <c r="G34" s="28">
        <f t="shared" si="0"/>
        <v>18.91</v>
      </c>
      <c r="H34" s="28">
        <f t="shared" si="0"/>
        <v>5.53</v>
      </c>
      <c r="I34" s="28">
        <f t="shared" si="0"/>
        <v>4.03</v>
      </c>
      <c r="J34" s="28">
        <f t="shared" si="0"/>
        <v>1.5</v>
      </c>
      <c r="K34" s="28">
        <f t="shared" si="0"/>
        <v>101.05</v>
      </c>
      <c r="L34" s="28">
        <f t="shared" si="0"/>
        <v>25.06</v>
      </c>
      <c r="M34" s="28">
        <f t="shared" si="0"/>
        <v>27.86</v>
      </c>
      <c r="N34" s="28">
        <f t="shared" si="0"/>
        <v>86.4</v>
      </c>
      <c r="O34" s="28">
        <f t="shared" si="0"/>
        <v>0</v>
      </c>
      <c r="P34" s="28">
        <f t="shared" si="0"/>
        <v>0.28000000000000003</v>
      </c>
      <c r="Q34" s="28">
        <f t="shared" si="0"/>
        <v>9.34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12.82</v>
      </c>
      <c r="C35" s="29">
        <f t="shared" si="1"/>
        <v>31.77</v>
      </c>
      <c r="D35" s="29">
        <f t="shared" si="1"/>
        <v>47.47</v>
      </c>
      <c r="E35" s="29">
        <f t="shared" si="1"/>
        <v>3.51</v>
      </c>
      <c r="F35" s="29">
        <f t="shared" si="1"/>
        <v>16.149999999999999</v>
      </c>
      <c r="G35" s="29">
        <f t="shared" si="1"/>
        <v>30.37</v>
      </c>
      <c r="H35" s="29">
        <f t="shared" si="1"/>
        <v>9.23</v>
      </c>
      <c r="I35" s="29">
        <f t="shared" si="1"/>
        <v>4.21</v>
      </c>
      <c r="J35" s="29">
        <f t="shared" si="1"/>
        <v>5.32</v>
      </c>
      <c r="K35" s="29">
        <f t="shared" si="1"/>
        <v>283.82</v>
      </c>
      <c r="L35" s="29">
        <f t="shared" si="1"/>
        <v>38.9</v>
      </c>
      <c r="M35" s="29">
        <f t="shared" si="1"/>
        <v>97.6</v>
      </c>
      <c r="N35" s="29">
        <f t="shared" si="1"/>
        <v>1045.8</v>
      </c>
      <c r="O35" s="29">
        <f t="shared" si="1"/>
        <v>0</v>
      </c>
      <c r="P35" s="29">
        <f t="shared" si="1"/>
        <v>0.37</v>
      </c>
      <c r="Q35" s="29">
        <f t="shared" si="1"/>
        <v>9.7100000000000009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6.2974999999999994</v>
      </c>
      <c r="C36" s="28">
        <f t="shared" si="2"/>
        <v>25.903333333333325</v>
      </c>
      <c r="D36" s="28">
        <f t="shared" si="2"/>
        <v>40.577500000000001</v>
      </c>
      <c r="E36" s="28">
        <f t="shared" si="2"/>
        <v>3.0666666666666664</v>
      </c>
      <c r="F36" s="28">
        <f t="shared" si="2"/>
        <v>9.1974999999999998</v>
      </c>
      <c r="G36" s="28">
        <f t="shared" si="2"/>
        <v>23.916666666666661</v>
      </c>
      <c r="H36" s="28">
        <f t="shared" si="2"/>
        <v>7.529166666666665</v>
      </c>
      <c r="I36" s="28">
        <f t="shared" si="2"/>
        <v>4.0887500000000001</v>
      </c>
      <c r="J36" s="28">
        <f t="shared" si="2"/>
        <v>2.9024999999999999</v>
      </c>
      <c r="K36" s="28">
        <f t="shared" si="2"/>
        <v>199.0129166666666</v>
      </c>
      <c r="L36" s="28">
        <f t="shared" si="2"/>
        <v>31.20333333333333</v>
      </c>
      <c r="M36" s="28">
        <f t="shared" si="2"/>
        <v>67.882499999999993</v>
      </c>
      <c r="N36" s="28">
        <f t="shared" si="2"/>
        <v>361.70833333333326</v>
      </c>
      <c r="O36" s="28">
        <f t="shared" si="2"/>
        <v>0</v>
      </c>
      <c r="P36" s="28">
        <f t="shared" si="2"/>
        <v>0.32333333333333336</v>
      </c>
      <c r="Q36" s="28">
        <f t="shared" si="2"/>
        <v>9.5266666666666655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3.5132262517025841</v>
      </c>
      <c r="C37" s="28">
        <f t="shared" ref="C37:Q37" si="3">STDEV(C9:C32)</f>
        <v>2.5614222724828122</v>
      </c>
      <c r="D37" s="28">
        <f t="shared" si="3"/>
        <v>3.5483532616645168</v>
      </c>
      <c r="E37" s="28">
        <f t="shared" si="3"/>
        <v>0.26754384714458962</v>
      </c>
      <c r="F37" s="28">
        <f t="shared" si="3"/>
        <v>3.3660275257858219</v>
      </c>
      <c r="G37" s="28">
        <f t="shared" si="3"/>
        <v>2.6151808760567472</v>
      </c>
      <c r="H37" s="28">
        <f t="shared" si="3"/>
        <v>0.93195874449961857</v>
      </c>
      <c r="I37" s="28">
        <f t="shared" si="3"/>
        <v>5.3349748379668237E-2</v>
      </c>
      <c r="J37" s="28">
        <f t="shared" si="3"/>
        <v>1.0627006204456888</v>
      </c>
      <c r="K37" s="28">
        <f t="shared" si="3"/>
        <v>58.28550662409625</v>
      </c>
      <c r="L37" s="28">
        <f t="shared" si="3"/>
        <v>5.3189478092101536</v>
      </c>
      <c r="M37" s="28">
        <f t="shared" si="3"/>
        <v>23.279929076912733</v>
      </c>
      <c r="N37" s="28">
        <f t="shared" si="3"/>
        <v>343.88963208851038</v>
      </c>
      <c r="O37" s="28">
        <f t="shared" si="3"/>
        <v>0</v>
      </c>
      <c r="P37" s="28">
        <f t="shared" si="3"/>
        <v>2.9291142253124128E-2</v>
      </c>
      <c r="Q37" s="28">
        <f t="shared" si="3"/>
        <v>0.11896900095573554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selection activeCell="G47" sqref="G47"/>
    </sheetView>
  </sheetViews>
  <sheetFormatPr defaultColWidth="8.85546875" defaultRowHeight="15" x14ac:dyDescent="0.25"/>
  <cols>
    <col min="1" max="1" width="18.28515625" style="26" customWidth="1"/>
    <col min="2" max="2" width="12.7109375" style="20" customWidth="1"/>
    <col min="3" max="12" width="9.140625" style="20" customWidth="1"/>
    <col min="13" max="13" width="10" style="20" customWidth="1"/>
    <col min="14" max="16" width="9.140625" style="20" customWidth="1"/>
    <col min="17" max="17" width="16.42578125" style="20" customWidth="1"/>
    <col min="18" max="19" width="9.140625" style="20" customWidth="1"/>
    <col min="20" max="20" width="11.42578125" style="20" customWidth="1"/>
    <col min="21" max="16384" width="8.85546875" style="20"/>
  </cols>
  <sheetData>
    <row r="1" spans="1:21" s="21" customFormat="1" ht="26.25" x14ac:dyDescent="0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30/04/2025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14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14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x14ac:dyDescent="0.25">
      <c r="A9" s="51" t="s">
        <v>756</v>
      </c>
      <c r="B9" s="52">
        <v>3.8</v>
      </c>
      <c r="C9" s="52">
        <v>20.92</v>
      </c>
      <c r="D9" s="52">
        <v>34.93</v>
      </c>
      <c r="E9" s="52">
        <v>2.36</v>
      </c>
      <c r="F9" s="52">
        <v>8.0399999999999991</v>
      </c>
      <c r="G9" s="52">
        <v>21.94</v>
      </c>
      <c r="H9" s="52">
        <v>6.56</v>
      </c>
      <c r="I9" s="52">
        <v>4.03</v>
      </c>
      <c r="J9" s="52">
        <v>3.1</v>
      </c>
      <c r="K9" s="52">
        <v>101.11</v>
      </c>
      <c r="L9" s="52">
        <v>25.56</v>
      </c>
      <c r="M9" s="52">
        <v>83.39</v>
      </c>
      <c r="N9" s="52">
        <v>89.8</v>
      </c>
      <c r="O9" s="52">
        <v>0</v>
      </c>
      <c r="P9" s="52">
        <v>0.31</v>
      </c>
      <c r="Q9" s="52">
        <v>9.44</v>
      </c>
      <c r="R9" s="43"/>
      <c r="S9" s="43"/>
      <c r="T9" s="43"/>
      <c r="U9" s="43"/>
    </row>
    <row r="10" spans="1:21" s="11" customFormat="1" x14ac:dyDescent="0.25">
      <c r="A10" s="51" t="s">
        <v>757</v>
      </c>
      <c r="B10" s="52">
        <v>5.41</v>
      </c>
      <c r="C10" s="52">
        <v>23.04</v>
      </c>
      <c r="D10" s="52">
        <v>35.799999999999997</v>
      </c>
      <c r="E10" s="52">
        <v>2.4500000000000002</v>
      </c>
      <c r="F10" s="52">
        <v>8.91</v>
      </c>
      <c r="G10" s="52">
        <v>20.059999999999999</v>
      </c>
      <c r="H10" s="52">
        <v>4.9000000000000004</v>
      </c>
      <c r="I10" s="52">
        <v>4.05</v>
      </c>
      <c r="J10" s="52">
        <v>1.61</v>
      </c>
      <c r="K10" s="52">
        <v>267.36</v>
      </c>
      <c r="L10" s="52">
        <v>25.55</v>
      </c>
      <c r="M10" s="52">
        <v>78.02</v>
      </c>
      <c r="N10" s="52">
        <v>90.1</v>
      </c>
      <c r="O10" s="52">
        <v>0</v>
      </c>
      <c r="P10" s="52">
        <v>0.3</v>
      </c>
      <c r="Q10" s="52">
        <v>9.4499999999999993</v>
      </c>
      <c r="R10" s="43"/>
      <c r="S10" s="43"/>
      <c r="T10" s="43"/>
      <c r="U10" s="43"/>
    </row>
    <row r="11" spans="1:21" s="11" customFormat="1" x14ac:dyDescent="0.25">
      <c r="A11" s="51" t="s">
        <v>758</v>
      </c>
      <c r="B11" s="52">
        <v>5.62</v>
      </c>
      <c r="C11" s="52">
        <v>23.31</v>
      </c>
      <c r="D11" s="52">
        <v>36.92</v>
      </c>
      <c r="E11" s="52">
        <v>2.23</v>
      </c>
      <c r="F11" s="52">
        <v>6.3</v>
      </c>
      <c r="G11" s="52">
        <v>18.59</v>
      </c>
      <c r="H11" s="52">
        <v>7.41</v>
      </c>
      <c r="I11" s="52">
        <v>4.01</v>
      </c>
      <c r="J11" s="52">
        <v>2.0099999999999998</v>
      </c>
      <c r="K11" s="52">
        <v>187.7</v>
      </c>
      <c r="L11" s="52">
        <v>25.71</v>
      </c>
      <c r="M11" s="52">
        <v>76.3</v>
      </c>
      <c r="N11" s="52">
        <v>90</v>
      </c>
      <c r="O11" s="52">
        <v>0</v>
      </c>
      <c r="P11" s="52">
        <v>0.3</v>
      </c>
      <c r="Q11" s="52">
        <v>9.4600000000000009</v>
      </c>
      <c r="R11" s="43"/>
      <c r="S11" s="43"/>
      <c r="T11" s="43"/>
      <c r="U11" s="43"/>
    </row>
    <row r="12" spans="1:21" s="11" customFormat="1" x14ac:dyDescent="0.25">
      <c r="A12" s="51" t="s">
        <v>759</v>
      </c>
      <c r="B12" s="52">
        <v>4.16</v>
      </c>
      <c r="C12" s="52">
        <v>22.51</v>
      </c>
      <c r="D12" s="52">
        <v>36.69</v>
      </c>
      <c r="E12" s="52">
        <v>2.23</v>
      </c>
      <c r="F12" s="52">
        <v>7.26</v>
      </c>
      <c r="G12" s="52">
        <v>15</v>
      </c>
      <c r="H12" s="52">
        <v>8.1199999999999992</v>
      </c>
      <c r="I12" s="52">
        <v>4.05</v>
      </c>
      <c r="J12" s="52">
        <v>1.59</v>
      </c>
      <c r="K12" s="52">
        <v>136.69</v>
      </c>
      <c r="L12" s="52">
        <v>25.43</v>
      </c>
      <c r="M12" s="52">
        <v>81.52</v>
      </c>
      <c r="N12" s="52">
        <v>84.9</v>
      </c>
      <c r="O12" s="52">
        <v>0</v>
      </c>
      <c r="P12" s="52">
        <v>0.28999999999999998</v>
      </c>
      <c r="Q12" s="52">
        <v>9.42</v>
      </c>
      <c r="R12" s="43"/>
      <c r="S12" s="43"/>
      <c r="T12" s="43"/>
      <c r="U12" s="43"/>
    </row>
    <row r="13" spans="1:21" s="11" customFormat="1" x14ac:dyDescent="0.25">
      <c r="A13" s="51" t="s">
        <v>760</v>
      </c>
      <c r="B13" s="52">
        <v>4.7300000000000004</v>
      </c>
      <c r="C13" s="52">
        <v>22.47</v>
      </c>
      <c r="D13" s="52">
        <v>36.630000000000003</v>
      </c>
      <c r="E13" s="52">
        <v>1.8</v>
      </c>
      <c r="F13" s="52">
        <v>7.79</v>
      </c>
      <c r="G13" s="52">
        <v>16.32</v>
      </c>
      <c r="H13" s="52">
        <v>5.75</v>
      </c>
      <c r="I13" s="52">
        <v>4.09</v>
      </c>
      <c r="J13" s="52">
        <v>2.08</v>
      </c>
      <c r="K13" s="52">
        <v>116.24</v>
      </c>
      <c r="L13" s="52">
        <v>25.18</v>
      </c>
      <c r="M13" s="52">
        <v>85.62</v>
      </c>
      <c r="N13" s="52">
        <v>84.7</v>
      </c>
      <c r="O13" s="52">
        <v>0</v>
      </c>
      <c r="P13" s="52">
        <v>0.28000000000000003</v>
      </c>
      <c r="Q13" s="52">
        <v>9.44</v>
      </c>
      <c r="R13" s="43"/>
      <c r="S13" s="43"/>
      <c r="T13" s="43"/>
      <c r="U13" s="43"/>
    </row>
    <row r="14" spans="1:21" s="11" customFormat="1" x14ac:dyDescent="0.25">
      <c r="A14" s="51" t="s">
        <v>761</v>
      </c>
      <c r="B14" s="52">
        <v>6.63</v>
      </c>
      <c r="C14" s="52">
        <v>22.46</v>
      </c>
      <c r="D14" s="52">
        <v>35.42</v>
      </c>
      <c r="E14" s="52">
        <v>2.19</v>
      </c>
      <c r="F14" s="52">
        <v>7.88</v>
      </c>
      <c r="G14" s="52">
        <v>17.22</v>
      </c>
      <c r="H14" s="52">
        <v>5.74</v>
      </c>
      <c r="I14" s="52">
        <v>4.08</v>
      </c>
      <c r="J14" s="52">
        <v>1.55</v>
      </c>
      <c r="K14" s="52">
        <v>100.05</v>
      </c>
      <c r="L14" s="52">
        <v>24.91</v>
      </c>
      <c r="M14" s="52">
        <v>90.82</v>
      </c>
      <c r="N14" s="52">
        <v>114.5</v>
      </c>
      <c r="O14" s="52">
        <v>0</v>
      </c>
      <c r="P14" s="52">
        <v>0.32</v>
      </c>
      <c r="Q14" s="52">
        <v>9.5</v>
      </c>
      <c r="R14" s="43"/>
      <c r="S14" s="43"/>
      <c r="T14" s="43"/>
      <c r="U14" s="43"/>
    </row>
    <row r="15" spans="1:21" s="11" customFormat="1" x14ac:dyDescent="0.25">
      <c r="A15" s="51" t="s">
        <v>762</v>
      </c>
      <c r="B15" s="52">
        <v>11.08</v>
      </c>
      <c r="C15" s="52">
        <v>28.47</v>
      </c>
      <c r="D15" s="52">
        <v>37.49</v>
      </c>
      <c r="E15" s="52">
        <v>2.2999999999999998</v>
      </c>
      <c r="F15" s="52">
        <v>6.13</v>
      </c>
      <c r="G15" s="52">
        <v>19.989999999999998</v>
      </c>
      <c r="H15" s="52">
        <v>7.29</v>
      </c>
      <c r="I15" s="52">
        <v>4.12</v>
      </c>
      <c r="J15" s="52">
        <v>0.77</v>
      </c>
      <c r="K15" s="52">
        <v>342</v>
      </c>
      <c r="L15" s="52">
        <v>26.93</v>
      </c>
      <c r="M15" s="52">
        <v>87.78</v>
      </c>
      <c r="N15" s="52">
        <v>273.89999999999998</v>
      </c>
      <c r="O15" s="52">
        <v>0</v>
      </c>
      <c r="P15" s="52">
        <v>0.33</v>
      </c>
      <c r="Q15" s="52">
        <v>9.64</v>
      </c>
      <c r="R15" s="43"/>
      <c r="S15" s="43"/>
      <c r="T15" s="43"/>
      <c r="U15" s="43"/>
    </row>
    <row r="16" spans="1:21" s="11" customFormat="1" x14ac:dyDescent="0.25">
      <c r="A16" s="51" t="s">
        <v>763</v>
      </c>
      <c r="B16" s="52">
        <v>13.94</v>
      </c>
      <c r="C16" s="52">
        <v>31.81</v>
      </c>
      <c r="D16" s="52">
        <v>39.49</v>
      </c>
      <c r="E16" s="52">
        <v>2.13</v>
      </c>
      <c r="F16" s="52">
        <v>6.37</v>
      </c>
      <c r="G16" s="52">
        <v>24.3</v>
      </c>
      <c r="H16" s="52">
        <v>7.99</v>
      </c>
      <c r="I16" s="52">
        <v>4.16</v>
      </c>
      <c r="J16" s="52">
        <v>2.4900000000000002</v>
      </c>
      <c r="K16" s="52">
        <v>104.4</v>
      </c>
      <c r="L16" s="52">
        <v>28.23</v>
      </c>
      <c r="M16" s="52">
        <v>78.94</v>
      </c>
      <c r="N16" s="52">
        <v>499.5</v>
      </c>
      <c r="O16" s="52">
        <v>0</v>
      </c>
      <c r="P16" s="52">
        <v>0.38</v>
      </c>
      <c r="Q16" s="52">
        <v>9.67</v>
      </c>
      <c r="R16" s="43"/>
      <c r="S16" s="43"/>
      <c r="T16" s="43"/>
      <c r="U16" s="43"/>
    </row>
    <row r="17" spans="1:21" s="11" customFormat="1" x14ac:dyDescent="0.25">
      <c r="A17" s="51" t="s">
        <v>764</v>
      </c>
      <c r="B17" s="52">
        <v>14.06</v>
      </c>
      <c r="C17" s="52">
        <v>35.4</v>
      </c>
      <c r="D17" s="52">
        <v>46.17</v>
      </c>
      <c r="E17" s="52">
        <v>2.52</v>
      </c>
      <c r="F17" s="52">
        <v>9.61</v>
      </c>
      <c r="G17" s="52">
        <v>25.48</v>
      </c>
      <c r="H17" s="52">
        <v>8.1</v>
      </c>
      <c r="I17" s="52">
        <v>3.99</v>
      </c>
      <c r="J17" s="52">
        <v>1.52</v>
      </c>
      <c r="K17" s="52">
        <v>332.45</v>
      </c>
      <c r="L17" s="52">
        <v>31.8</v>
      </c>
      <c r="M17" s="52">
        <v>71.209999999999994</v>
      </c>
      <c r="N17" s="52">
        <v>733.5</v>
      </c>
      <c r="O17" s="52">
        <v>0</v>
      </c>
      <c r="P17" s="52">
        <v>0.41</v>
      </c>
      <c r="Q17" s="52">
        <v>9.66</v>
      </c>
      <c r="R17" s="43"/>
      <c r="S17" s="43"/>
      <c r="T17" s="43"/>
      <c r="U17" s="43"/>
    </row>
    <row r="18" spans="1:21" s="11" customFormat="1" x14ac:dyDescent="0.25">
      <c r="A18" s="51" t="s">
        <v>765</v>
      </c>
      <c r="B18" s="52">
        <v>13.37</v>
      </c>
      <c r="C18" s="52">
        <v>33.75</v>
      </c>
      <c r="D18" s="52">
        <v>45.57</v>
      </c>
      <c r="E18" s="52">
        <v>3.05</v>
      </c>
      <c r="F18" s="52">
        <v>13.09</v>
      </c>
      <c r="G18" s="52">
        <v>25.53</v>
      </c>
      <c r="H18" s="52">
        <v>8.16</v>
      </c>
      <c r="I18" s="52">
        <v>4.13</v>
      </c>
      <c r="J18" s="52">
        <v>1.56</v>
      </c>
      <c r="K18" s="52">
        <v>92.06</v>
      </c>
      <c r="L18" s="52">
        <v>33.31</v>
      </c>
      <c r="M18" s="52">
        <v>58.35</v>
      </c>
      <c r="N18" s="52">
        <v>908.3</v>
      </c>
      <c r="O18" s="52">
        <v>0</v>
      </c>
      <c r="P18" s="52">
        <v>0.46</v>
      </c>
      <c r="Q18" s="52">
        <v>9.6300000000000008</v>
      </c>
      <c r="R18" s="43"/>
      <c r="S18" s="43"/>
      <c r="T18" s="43"/>
      <c r="U18" s="43"/>
    </row>
    <row r="19" spans="1:21" s="11" customFormat="1" x14ac:dyDescent="0.25">
      <c r="A19" s="51" t="s">
        <v>766</v>
      </c>
      <c r="B19" s="52">
        <v>11.73</v>
      </c>
      <c r="C19" s="52">
        <v>33.56</v>
      </c>
      <c r="D19" s="52">
        <v>46.23</v>
      </c>
      <c r="E19" s="52">
        <v>3.64</v>
      </c>
      <c r="F19" s="52">
        <v>13.94</v>
      </c>
      <c r="G19" s="52">
        <v>26.61</v>
      </c>
      <c r="H19" s="52">
        <v>8.43</v>
      </c>
      <c r="I19" s="52">
        <v>4.05</v>
      </c>
      <c r="J19" s="52">
        <v>3.32</v>
      </c>
      <c r="K19" s="52">
        <v>100.47</v>
      </c>
      <c r="L19" s="52">
        <v>32.85</v>
      </c>
      <c r="M19" s="52">
        <v>54.14</v>
      </c>
      <c r="N19" s="52">
        <v>1009.1</v>
      </c>
      <c r="O19" s="52">
        <v>0</v>
      </c>
      <c r="P19" s="52">
        <v>0.43</v>
      </c>
      <c r="Q19" s="52">
        <v>9.6</v>
      </c>
      <c r="R19" s="43"/>
      <c r="S19" s="43"/>
      <c r="T19" s="43"/>
      <c r="U19" s="43"/>
    </row>
    <row r="20" spans="1:21" s="11" customFormat="1" x14ac:dyDescent="0.25">
      <c r="A20" s="51" t="s">
        <v>767</v>
      </c>
      <c r="B20" s="52">
        <v>5.84</v>
      </c>
      <c r="C20" s="52">
        <v>25.52</v>
      </c>
      <c r="D20" s="52">
        <v>43.13</v>
      </c>
      <c r="E20" s="52">
        <v>2.94</v>
      </c>
      <c r="F20" s="52">
        <v>13.18</v>
      </c>
      <c r="G20" s="52">
        <v>27.11</v>
      </c>
      <c r="H20" s="52">
        <v>8.6199999999999992</v>
      </c>
      <c r="I20" s="52">
        <v>3.98</v>
      </c>
      <c r="J20" s="52">
        <v>3.4</v>
      </c>
      <c r="K20" s="52">
        <v>135.71</v>
      </c>
      <c r="L20" s="52">
        <v>34.200000000000003</v>
      </c>
      <c r="M20" s="52">
        <v>50.78</v>
      </c>
      <c r="N20" s="52">
        <v>1067.9000000000001</v>
      </c>
      <c r="O20" s="52">
        <v>0</v>
      </c>
      <c r="P20" s="52">
        <v>0.4</v>
      </c>
      <c r="Q20" s="52">
        <v>9.56</v>
      </c>
      <c r="R20" s="43"/>
      <c r="S20" s="43"/>
      <c r="T20" s="43"/>
      <c r="U20" s="43"/>
    </row>
    <row r="21" spans="1:21" s="11" customFormat="1" x14ac:dyDescent="0.25">
      <c r="A21" s="51" t="s">
        <v>768</v>
      </c>
      <c r="B21" s="52">
        <v>2.8</v>
      </c>
      <c r="C21" s="52">
        <v>23.35</v>
      </c>
      <c r="D21" s="52">
        <v>40.590000000000003</v>
      </c>
      <c r="E21" s="52">
        <v>2.65</v>
      </c>
      <c r="F21" s="52">
        <v>11.99</v>
      </c>
      <c r="G21" s="52">
        <v>25.88</v>
      </c>
      <c r="H21" s="52">
        <v>8.91</v>
      </c>
      <c r="I21" s="52">
        <v>4.16</v>
      </c>
      <c r="J21" s="52">
        <v>3.16</v>
      </c>
      <c r="K21" s="52">
        <v>156.4</v>
      </c>
      <c r="L21" s="52">
        <v>35.17</v>
      </c>
      <c r="M21" s="52">
        <v>50.92</v>
      </c>
      <c r="N21" s="52">
        <v>1059.9000000000001</v>
      </c>
      <c r="O21" s="52">
        <v>0</v>
      </c>
      <c r="P21" s="52">
        <v>0.37</v>
      </c>
      <c r="Q21" s="52">
        <v>9.44</v>
      </c>
      <c r="R21" s="43"/>
      <c r="S21" s="43"/>
      <c r="T21" s="43"/>
      <c r="U21" s="43"/>
    </row>
    <row r="22" spans="1:21" s="11" customFormat="1" x14ac:dyDescent="0.25">
      <c r="A22" s="51" t="s">
        <v>769</v>
      </c>
      <c r="B22" s="52">
        <v>2.4</v>
      </c>
      <c r="C22" s="52">
        <v>24.21</v>
      </c>
      <c r="D22" s="52">
        <v>42.88</v>
      </c>
      <c r="E22" s="52">
        <v>3.19</v>
      </c>
      <c r="F22" s="52">
        <v>16.34</v>
      </c>
      <c r="G22" s="52">
        <v>21.69</v>
      </c>
      <c r="H22" s="52">
        <v>6.25</v>
      </c>
      <c r="I22" s="52">
        <v>4.1500000000000004</v>
      </c>
      <c r="J22" s="52">
        <v>3.41</v>
      </c>
      <c r="K22" s="52">
        <v>157.87</v>
      </c>
      <c r="L22" s="52">
        <v>36.06</v>
      </c>
      <c r="M22" s="52">
        <v>41.4</v>
      </c>
      <c r="N22" s="52">
        <v>933.1</v>
      </c>
      <c r="O22" s="52">
        <v>0</v>
      </c>
      <c r="P22" s="52">
        <v>0.32</v>
      </c>
      <c r="Q22" s="52">
        <v>9.41</v>
      </c>
      <c r="R22" s="43"/>
      <c r="S22" s="43"/>
      <c r="T22" s="43"/>
      <c r="U22" s="43"/>
    </row>
    <row r="23" spans="1:21" s="11" customFormat="1" x14ac:dyDescent="0.25">
      <c r="A23" s="51" t="s">
        <v>770</v>
      </c>
      <c r="B23" s="52">
        <v>2.59</v>
      </c>
      <c r="C23" s="52">
        <v>19.190000000000001</v>
      </c>
      <c r="D23" s="52">
        <v>33</v>
      </c>
      <c r="E23" s="52">
        <v>3.43</v>
      </c>
      <c r="F23" s="52">
        <v>23.67</v>
      </c>
      <c r="G23" s="52">
        <v>21.78</v>
      </c>
      <c r="H23" s="52">
        <v>7.7</v>
      </c>
      <c r="I23" s="52">
        <v>4.13</v>
      </c>
      <c r="J23" s="52">
        <v>2.87</v>
      </c>
      <c r="K23" s="52">
        <v>159.43</v>
      </c>
      <c r="L23" s="52">
        <v>36.340000000000003</v>
      </c>
      <c r="M23" s="52">
        <v>39.659999999999997</v>
      </c>
      <c r="N23" s="52">
        <v>494.6</v>
      </c>
      <c r="O23" s="52">
        <v>0</v>
      </c>
      <c r="P23" s="52">
        <v>0.3</v>
      </c>
      <c r="Q23" s="52">
        <v>9.32</v>
      </c>
      <c r="R23" s="43"/>
      <c r="S23" s="43"/>
      <c r="T23" s="43"/>
      <c r="U23" s="43"/>
    </row>
    <row r="24" spans="1:21" s="11" customFormat="1" x14ac:dyDescent="0.25">
      <c r="A24" s="51" t="s">
        <v>771</v>
      </c>
      <c r="B24" s="52">
        <v>2.81</v>
      </c>
      <c r="C24" s="52">
        <v>21.17</v>
      </c>
      <c r="D24" s="52">
        <v>36.51</v>
      </c>
      <c r="E24" s="52">
        <v>3.12</v>
      </c>
      <c r="F24" s="52">
        <v>18.309999999999999</v>
      </c>
      <c r="G24" s="52">
        <v>19.48</v>
      </c>
      <c r="H24" s="52">
        <v>8.1300000000000008</v>
      </c>
      <c r="I24" s="52">
        <v>4.07</v>
      </c>
      <c r="J24" s="52">
        <v>2.78</v>
      </c>
      <c r="K24" s="52">
        <v>165.77</v>
      </c>
      <c r="L24" s="52">
        <v>36.35</v>
      </c>
      <c r="M24" s="52">
        <v>39.79</v>
      </c>
      <c r="N24" s="52">
        <v>293.89999999999998</v>
      </c>
      <c r="O24" s="52">
        <v>0</v>
      </c>
      <c r="P24" s="52">
        <v>0.28000000000000003</v>
      </c>
      <c r="Q24" s="52">
        <v>9.35</v>
      </c>
      <c r="R24" s="43"/>
      <c r="S24" s="43"/>
      <c r="T24" s="43"/>
      <c r="U24" s="43"/>
    </row>
    <row r="25" spans="1:21" s="11" customFormat="1" x14ac:dyDescent="0.25">
      <c r="A25" s="51" t="s">
        <v>772</v>
      </c>
      <c r="B25" s="52">
        <v>4.53</v>
      </c>
      <c r="C25" s="52">
        <v>22.25</v>
      </c>
      <c r="D25" s="52">
        <v>37.99</v>
      </c>
      <c r="E25" s="52">
        <v>3.34</v>
      </c>
      <c r="F25" s="52">
        <v>23.97</v>
      </c>
      <c r="G25" s="52">
        <v>19.54</v>
      </c>
      <c r="H25" s="52">
        <v>8.14</v>
      </c>
      <c r="I25" s="52">
        <v>4.09</v>
      </c>
      <c r="J25" s="52">
        <v>1.97</v>
      </c>
      <c r="K25" s="52">
        <v>168.15</v>
      </c>
      <c r="L25" s="52">
        <v>36.28</v>
      </c>
      <c r="M25" s="52">
        <v>39.9</v>
      </c>
      <c r="N25" s="52">
        <v>193.3</v>
      </c>
      <c r="O25" s="52">
        <v>0</v>
      </c>
      <c r="P25" s="52">
        <v>0.28000000000000003</v>
      </c>
      <c r="Q25" s="52">
        <v>9.36</v>
      </c>
      <c r="R25" s="43"/>
      <c r="S25" s="43"/>
      <c r="T25" s="43"/>
      <c r="U25" s="43"/>
    </row>
    <row r="26" spans="1:21" s="11" customFormat="1" x14ac:dyDescent="0.25">
      <c r="A26" s="51" t="s">
        <v>773</v>
      </c>
      <c r="B26" s="52">
        <v>2.44</v>
      </c>
      <c r="C26" s="52">
        <v>21.9</v>
      </c>
      <c r="D26" s="52">
        <v>38.200000000000003</v>
      </c>
      <c r="E26" s="52">
        <v>3.4</v>
      </c>
      <c r="F26" s="52">
        <v>20.8</v>
      </c>
      <c r="G26" s="52">
        <v>19.87</v>
      </c>
      <c r="H26" s="52">
        <v>6.39</v>
      </c>
      <c r="I26" s="52">
        <v>4</v>
      </c>
      <c r="J26" s="52">
        <v>3.79</v>
      </c>
      <c r="K26" s="52">
        <v>105.01</v>
      </c>
      <c r="L26" s="52">
        <v>35.700000000000003</v>
      </c>
      <c r="M26" s="52">
        <v>40.92</v>
      </c>
      <c r="N26" s="52">
        <v>163.19999999999999</v>
      </c>
      <c r="O26" s="52">
        <v>0</v>
      </c>
      <c r="P26" s="52">
        <v>0.28999999999999998</v>
      </c>
      <c r="Q26" s="52">
        <v>9.3699999999999992</v>
      </c>
      <c r="R26" s="43"/>
      <c r="S26" s="43"/>
      <c r="T26" s="43"/>
      <c r="U26" s="43"/>
    </row>
    <row r="27" spans="1:21" s="11" customFormat="1" x14ac:dyDescent="0.25">
      <c r="A27" s="51" t="s">
        <v>774</v>
      </c>
      <c r="B27" s="52">
        <v>3.57</v>
      </c>
      <c r="C27" s="52">
        <v>21.15</v>
      </c>
      <c r="D27" s="52">
        <v>35.54</v>
      </c>
      <c r="E27" s="52">
        <v>3.59</v>
      </c>
      <c r="F27" s="52">
        <v>19.36</v>
      </c>
      <c r="G27" s="52">
        <v>20.2</v>
      </c>
      <c r="H27" s="52">
        <v>7.19</v>
      </c>
      <c r="I27" s="52">
        <v>4.03</v>
      </c>
      <c r="J27" s="52">
        <v>3.96</v>
      </c>
      <c r="K27" s="52">
        <v>108.54</v>
      </c>
      <c r="L27" s="52">
        <v>34.79</v>
      </c>
      <c r="M27" s="52">
        <v>40.549999999999997</v>
      </c>
      <c r="N27" s="52">
        <v>129.69999999999999</v>
      </c>
      <c r="O27" s="52">
        <v>0</v>
      </c>
      <c r="P27" s="52">
        <v>0.33</v>
      </c>
      <c r="Q27" s="52">
        <v>9.35</v>
      </c>
      <c r="R27" s="43"/>
      <c r="S27" s="43"/>
      <c r="T27" s="43"/>
      <c r="U27" s="43"/>
    </row>
    <row r="28" spans="1:21" s="11" customFormat="1" x14ac:dyDescent="0.25">
      <c r="A28" s="51" t="s">
        <v>775</v>
      </c>
      <c r="B28" s="52">
        <v>3.74</v>
      </c>
      <c r="C28" s="52">
        <v>26.91</v>
      </c>
      <c r="D28" s="52">
        <v>45.76</v>
      </c>
      <c r="E28" s="52">
        <v>3.53</v>
      </c>
      <c r="F28" s="52">
        <v>15.96</v>
      </c>
      <c r="G28" s="52">
        <v>20.36</v>
      </c>
      <c r="H28" s="52">
        <v>7.36</v>
      </c>
      <c r="I28" s="52">
        <v>4.16</v>
      </c>
      <c r="J28" s="52">
        <v>4.0199999999999996</v>
      </c>
      <c r="K28" s="52">
        <v>159.13</v>
      </c>
      <c r="L28" s="52">
        <v>33.659999999999997</v>
      </c>
      <c r="M28" s="52">
        <v>45.48</v>
      </c>
      <c r="N28" s="52">
        <v>132.19999999999999</v>
      </c>
      <c r="O28" s="52">
        <v>0</v>
      </c>
      <c r="P28" s="52">
        <v>0.37</v>
      </c>
      <c r="Q28" s="52">
        <v>9.36</v>
      </c>
      <c r="R28" s="43"/>
      <c r="S28" s="43"/>
      <c r="T28" s="43"/>
      <c r="U28" s="43"/>
    </row>
    <row r="29" spans="1:21" s="11" customFormat="1" x14ac:dyDescent="0.25">
      <c r="A29" s="51" t="s">
        <v>776</v>
      </c>
      <c r="B29" s="52">
        <v>3.25</v>
      </c>
      <c r="C29" s="52">
        <v>24.95</v>
      </c>
      <c r="D29" s="52">
        <v>42.93</v>
      </c>
      <c r="E29" s="52">
        <v>3.33</v>
      </c>
      <c r="F29" s="52">
        <v>12.58</v>
      </c>
      <c r="G29" s="52">
        <v>20.9</v>
      </c>
      <c r="H29" s="52">
        <v>5.96</v>
      </c>
      <c r="I29" s="52">
        <v>4.0999999999999996</v>
      </c>
      <c r="J29" s="52">
        <v>2.76</v>
      </c>
      <c r="K29" s="52">
        <v>160.47</v>
      </c>
      <c r="L29" s="52">
        <v>32.26</v>
      </c>
      <c r="M29" s="52">
        <v>49.51</v>
      </c>
      <c r="N29" s="52">
        <v>119.1</v>
      </c>
      <c r="O29" s="52">
        <v>0</v>
      </c>
      <c r="P29" s="52">
        <v>0.36</v>
      </c>
      <c r="Q29" s="52">
        <v>9.4</v>
      </c>
      <c r="R29" s="43"/>
      <c r="S29" s="43"/>
      <c r="T29" s="43"/>
      <c r="U29" s="43"/>
    </row>
    <row r="30" spans="1:21" s="11" customFormat="1" x14ac:dyDescent="0.25">
      <c r="A30" s="51" t="s">
        <v>777</v>
      </c>
      <c r="B30" s="52">
        <v>4.9400000000000004</v>
      </c>
      <c r="C30" s="52">
        <v>30.62</v>
      </c>
      <c r="D30" s="52">
        <v>51.29</v>
      </c>
      <c r="E30" s="52">
        <v>3.01</v>
      </c>
      <c r="F30" s="52">
        <v>13.63</v>
      </c>
      <c r="G30" s="52">
        <v>23.71</v>
      </c>
      <c r="H30" s="52">
        <v>6.15</v>
      </c>
      <c r="I30" s="52">
        <v>4.04</v>
      </c>
      <c r="J30" s="52">
        <v>2.2799999999999998</v>
      </c>
      <c r="K30" s="52">
        <v>161.43</v>
      </c>
      <c r="L30" s="52">
        <v>31.6</v>
      </c>
      <c r="M30" s="52">
        <v>49.59</v>
      </c>
      <c r="N30" s="52">
        <v>113.2</v>
      </c>
      <c r="O30" s="52">
        <v>0</v>
      </c>
      <c r="P30" s="52">
        <v>0.39</v>
      </c>
      <c r="Q30" s="52">
        <v>9.44</v>
      </c>
      <c r="R30" s="43"/>
      <c r="S30" s="43"/>
      <c r="T30" s="43"/>
      <c r="U30" s="43"/>
    </row>
    <row r="31" spans="1:21" s="11" customFormat="1" x14ac:dyDescent="0.25">
      <c r="A31" s="51" t="s">
        <v>778</v>
      </c>
      <c r="B31" s="52">
        <v>4.53</v>
      </c>
      <c r="C31" s="52">
        <v>28.74</v>
      </c>
      <c r="D31" s="52">
        <v>48.15</v>
      </c>
      <c r="E31" s="52">
        <v>3.24</v>
      </c>
      <c r="F31" s="52">
        <v>14.16</v>
      </c>
      <c r="G31" s="52">
        <v>24.57</v>
      </c>
      <c r="H31" s="52">
        <v>6.58</v>
      </c>
      <c r="I31" s="52">
        <v>4.13</v>
      </c>
      <c r="J31" s="52">
        <v>3.57</v>
      </c>
      <c r="K31" s="52">
        <v>102.22</v>
      </c>
      <c r="L31" s="52">
        <v>31.19</v>
      </c>
      <c r="M31" s="52">
        <v>52.57</v>
      </c>
      <c r="N31" s="52">
        <v>141.1</v>
      </c>
      <c r="O31" s="52">
        <v>0</v>
      </c>
      <c r="P31" s="52">
        <v>0.37</v>
      </c>
      <c r="Q31" s="52">
        <v>9.4600000000000009</v>
      </c>
      <c r="R31" s="43"/>
      <c r="S31" s="43"/>
      <c r="T31" s="43"/>
      <c r="U31" s="43"/>
    </row>
    <row r="32" spans="1:21" s="11" customFormat="1" x14ac:dyDescent="0.25">
      <c r="A32" s="51" t="s">
        <v>779</v>
      </c>
      <c r="B32" s="52">
        <v>4.67</v>
      </c>
      <c r="C32" s="52">
        <v>25.73</v>
      </c>
      <c r="D32" s="52">
        <v>42.53</v>
      </c>
      <c r="E32" s="52">
        <v>3.29</v>
      </c>
      <c r="F32" s="52">
        <v>11.37</v>
      </c>
      <c r="G32" s="52">
        <v>21.42</v>
      </c>
      <c r="H32" s="52">
        <v>7.69</v>
      </c>
      <c r="I32" s="52">
        <v>4.0999999999999996</v>
      </c>
      <c r="J32" s="52">
        <v>3.28</v>
      </c>
      <c r="K32" s="52">
        <v>95.98</v>
      </c>
      <c r="L32" s="52">
        <v>29.95</v>
      </c>
      <c r="M32" s="52">
        <v>62.06</v>
      </c>
      <c r="N32" s="52">
        <v>146.1</v>
      </c>
      <c r="O32" s="52">
        <v>0</v>
      </c>
      <c r="P32" s="52">
        <v>0.38</v>
      </c>
      <c r="Q32" s="52">
        <v>9.48</v>
      </c>
      <c r="R32" s="43"/>
      <c r="S32" s="43"/>
      <c r="T32" s="43"/>
      <c r="U32" s="43"/>
    </row>
    <row r="33" spans="1:21" s="21" customFormat="1" x14ac:dyDescent="0.2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x14ac:dyDescent="0.25">
      <c r="A34" s="27" t="s">
        <v>30</v>
      </c>
      <c r="B34" s="28">
        <f t="shared" ref="B34:Q34" si="0">MIN(B9:B32)</f>
        <v>2.4</v>
      </c>
      <c r="C34" s="28">
        <f t="shared" si="0"/>
        <v>19.190000000000001</v>
      </c>
      <c r="D34" s="28">
        <f t="shared" si="0"/>
        <v>33</v>
      </c>
      <c r="E34" s="28">
        <f t="shared" si="0"/>
        <v>1.8</v>
      </c>
      <c r="F34" s="28">
        <f t="shared" si="0"/>
        <v>6.13</v>
      </c>
      <c r="G34" s="28">
        <f t="shared" si="0"/>
        <v>15</v>
      </c>
      <c r="H34" s="28">
        <f t="shared" si="0"/>
        <v>4.9000000000000004</v>
      </c>
      <c r="I34" s="28">
        <f t="shared" si="0"/>
        <v>3.98</v>
      </c>
      <c r="J34" s="28">
        <f t="shared" si="0"/>
        <v>0.77</v>
      </c>
      <c r="K34" s="28">
        <f t="shared" si="0"/>
        <v>92.06</v>
      </c>
      <c r="L34" s="28">
        <f t="shared" si="0"/>
        <v>24.91</v>
      </c>
      <c r="M34" s="28">
        <f t="shared" si="0"/>
        <v>39.659999999999997</v>
      </c>
      <c r="N34" s="28">
        <f t="shared" si="0"/>
        <v>84.7</v>
      </c>
      <c r="O34" s="28">
        <f t="shared" si="0"/>
        <v>0</v>
      </c>
      <c r="P34" s="28">
        <f t="shared" si="0"/>
        <v>0.28000000000000003</v>
      </c>
      <c r="Q34" s="28">
        <f t="shared" si="0"/>
        <v>9.32</v>
      </c>
      <c r="R34" s="28"/>
      <c r="S34" s="28"/>
      <c r="T34" s="28"/>
      <c r="U34" s="28"/>
    </row>
    <row r="35" spans="1:21" s="21" customFormat="1" x14ac:dyDescent="0.25">
      <c r="A35" s="27" t="s">
        <v>31</v>
      </c>
      <c r="B35" s="29">
        <f t="shared" ref="B35:Q35" si="1">MAX(B9:B32)</f>
        <v>14.06</v>
      </c>
      <c r="C35" s="29">
        <f t="shared" si="1"/>
        <v>35.4</v>
      </c>
      <c r="D35" s="29">
        <f t="shared" si="1"/>
        <v>51.29</v>
      </c>
      <c r="E35" s="29">
        <f t="shared" si="1"/>
        <v>3.64</v>
      </c>
      <c r="F35" s="29">
        <f t="shared" si="1"/>
        <v>23.97</v>
      </c>
      <c r="G35" s="29">
        <f t="shared" si="1"/>
        <v>27.11</v>
      </c>
      <c r="H35" s="29">
        <f t="shared" si="1"/>
        <v>8.91</v>
      </c>
      <c r="I35" s="29">
        <f t="shared" si="1"/>
        <v>4.16</v>
      </c>
      <c r="J35" s="29">
        <f t="shared" si="1"/>
        <v>4.0199999999999996</v>
      </c>
      <c r="K35" s="29">
        <f t="shared" si="1"/>
        <v>342</v>
      </c>
      <c r="L35" s="29">
        <f t="shared" si="1"/>
        <v>36.35</v>
      </c>
      <c r="M35" s="29">
        <f t="shared" si="1"/>
        <v>90.82</v>
      </c>
      <c r="N35" s="29">
        <f t="shared" si="1"/>
        <v>1067.9000000000001</v>
      </c>
      <c r="O35" s="29">
        <f t="shared" si="1"/>
        <v>0</v>
      </c>
      <c r="P35" s="29">
        <f t="shared" si="1"/>
        <v>0.46</v>
      </c>
      <c r="Q35" s="29">
        <f t="shared" si="1"/>
        <v>9.67</v>
      </c>
      <c r="R35" s="29"/>
      <c r="S35" s="29"/>
      <c r="T35" s="29"/>
      <c r="U35" s="29"/>
    </row>
    <row r="36" spans="1:21" s="21" customFormat="1" x14ac:dyDescent="0.25">
      <c r="A36" s="27" t="s">
        <v>32</v>
      </c>
      <c r="B36" s="28">
        <f t="shared" ref="B36:Q36" si="2">AVERAGE(B9:B32)</f>
        <v>5.9433333333333325</v>
      </c>
      <c r="C36" s="28">
        <f t="shared" si="2"/>
        <v>25.557916666666667</v>
      </c>
      <c r="D36" s="28">
        <f t="shared" si="2"/>
        <v>40.409999999999997</v>
      </c>
      <c r="E36" s="28">
        <f t="shared" si="2"/>
        <v>2.8733333333333331</v>
      </c>
      <c r="F36" s="28">
        <f t="shared" si="2"/>
        <v>12.943333333333333</v>
      </c>
      <c r="G36" s="28">
        <f t="shared" si="2"/>
        <v>21.564583333333331</v>
      </c>
      <c r="H36" s="28">
        <f t="shared" si="2"/>
        <v>7.2300000000000013</v>
      </c>
      <c r="I36" s="28">
        <f t="shared" si="2"/>
        <v>4.0791666666666666</v>
      </c>
      <c r="J36" s="28">
        <f t="shared" si="2"/>
        <v>2.6187499999999999</v>
      </c>
      <c r="K36" s="28">
        <f t="shared" si="2"/>
        <v>154.85999999999999</v>
      </c>
      <c r="L36" s="28">
        <f t="shared" si="2"/>
        <v>31.208750000000006</v>
      </c>
      <c r="M36" s="28">
        <f t="shared" si="2"/>
        <v>60.384166666666658</v>
      </c>
      <c r="N36" s="28">
        <f t="shared" si="2"/>
        <v>373.56666666666683</v>
      </c>
      <c r="O36" s="28">
        <f t="shared" si="2"/>
        <v>0</v>
      </c>
      <c r="P36" s="28">
        <f t="shared" si="2"/>
        <v>0.34375000000000006</v>
      </c>
      <c r="Q36" s="28">
        <f t="shared" si="2"/>
        <v>9.4670833333333313</v>
      </c>
      <c r="R36" s="28"/>
      <c r="S36" s="28"/>
      <c r="T36" s="28"/>
      <c r="U36" s="28"/>
    </row>
    <row r="37" spans="1:21" s="21" customFormat="1" x14ac:dyDescent="0.25">
      <c r="A37" s="27" t="s">
        <v>38</v>
      </c>
      <c r="B37" s="28">
        <f>STDEV(B9:B32)</f>
        <v>3.817049471341269</v>
      </c>
      <c r="C37" s="28">
        <f t="shared" ref="C37:Q37" si="3">STDEV(C9:C32)</f>
        <v>4.5926775170223282</v>
      </c>
      <c r="D37" s="28">
        <f t="shared" si="3"/>
        <v>4.9140189874171396</v>
      </c>
      <c r="E37" s="28">
        <f t="shared" si="3"/>
        <v>0.55227329928347191</v>
      </c>
      <c r="F37" s="28">
        <f t="shared" si="3"/>
        <v>5.3779232024095052</v>
      </c>
      <c r="G37" s="28">
        <f t="shared" si="3"/>
        <v>3.2661930760665574</v>
      </c>
      <c r="H37" s="28">
        <f t="shared" si="3"/>
        <v>1.0727291485211581</v>
      </c>
      <c r="I37" s="28">
        <f t="shared" si="3"/>
        <v>5.6331060755120725E-2</v>
      </c>
      <c r="J37" s="28">
        <f t="shared" si="3"/>
        <v>0.90926301977504653</v>
      </c>
      <c r="K37" s="28">
        <f t="shared" si="3"/>
        <v>68.877152455910817</v>
      </c>
      <c r="L37" s="28">
        <f t="shared" si="3"/>
        <v>4.2051782906936648</v>
      </c>
      <c r="M37" s="28">
        <f t="shared" si="3"/>
        <v>18.018259317719359</v>
      </c>
      <c r="N37" s="28">
        <f t="shared" si="3"/>
        <v>363.58076869152296</v>
      </c>
      <c r="O37" s="28">
        <f t="shared" si="3"/>
        <v>0</v>
      </c>
      <c r="P37" s="28">
        <f t="shared" si="3"/>
        <v>5.190396650671656E-2</v>
      </c>
      <c r="Q37" s="28">
        <f t="shared" si="3"/>
        <v>0.10572643808501719</v>
      </c>
      <c r="R37" s="28"/>
      <c r="S37" s="28"/>
      <c r="T37" s="28"/>
      <c r="U37" s="28"/>
    </row>
    <row r="38" spans="1:21" s="21" customFormat="1" x14ac:dyDescent="0.25">
      <c r="A38" s="31" t="s">
        <v>33</v>
      </c>
      <c r="B38" s="32">
        <f t="shared" ref="B38:Q38" si="4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x14ac:dyDescent="0.25">
      <c r="A39" s="27" t="s">
        <v>34</v>
      </c>
      <c r="B39" s="29" t="str">
        <f>IF(B38&gt;=22,"&gt;90%",IF(B38&lt;=22,"&lt;90%"))</f>
        <v>&gt;90%</v>
      </c>
      <c r="C39" s="29" t="str">
        <f t="shared" ref="C39:P39" si="5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x14ac:dyDescent="0.25">
      <c r="A40" s="27" t="s">
        <v>1</v>
      </c>
      <c r="B40" s="29" t="str">
        <f>IF(B38&gt;=22,"OK",IF(B38&lt;=22,"LESS"))</f>
        <v>OK</v>
      </c>
      <c r="C40" s="29" t="str">
        <f t="shared" ref="C40:Q40" si="6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x14ac:dyDescent="0.2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21" s="21" customFormat="1" x14ac:dyDescent="0.25">
      <c r="A42" s="13"/>
    </row>
    <row r="43" spans="1:21" s="21" customFormat="1" x14ac:dyDescent="0.25">
      <c r="A43" s="14" t="s">
        <v>35</v>
      </c>
      <c r="B43" s="40" t="s">
        <v>40</v>
      </c>
      <c r="C43" s="42"/>
    </row>
    <row r="44" spans="1:21" s="21" customFormat="1" x14ac:dyDescent="0.25">
      <c r="A44" s="13"/>
      <c r="D44" s="1"/>
      <c r="E44" s="1"/>
      <c r="F44" s="1"/>
      <c r="G44" s="1"/>
      <c r="H44" s="1"/>
      <c r="I44" s="1"/>
    </row>
    <row r="45" spans="1:21" s="21" customFormat="1" ht="15.75" x14ac:dyDescent="0.2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pans="1:21" s="21" customFormat="1" x14ac:dyDescent="0.25"/>
    <row r="47" spans="1:21" s="21" customFormat="1" x14ac:dyDescent="0.25"/>
    <row r="48" spans="1:21" s="21" customFormat="1" x14ac:dyDescent="0.25"/>
    <row r="49" s="21" customFormat="1" x14ac:dyDescent="0.25"/>
    <row r="50" s="21" customFormat="1" x14ac:dyDescent="0.25"/>
    <row r="51" s="21" customFormat="1" x14ac:dyDescent="0.25"/>
    <row r="52" s="21" customFormat="1" x14ac:dyDescent="0.25"/>
    <row r="53" s="21" customFormat="1" x14ac:dyDescent="0.25"/>
    <row r="54" s="21" customFormat="1" x14ac:dyDescent="0.25"/>
    <row r="55" s="21" customFormat="1" x14ac:dyDescent="0.25"/>
    <row r="56" s="21" customFormat="1" x14ac:dyDescent="0.25"/>
    <row r="57" s="21" customFormat="1" x14ac:dyDescent="0.25"/>
    <row r="58" s="21" customFormat="1" x14ac:dyDescent="0.25"/>
    <row r="59" s="21" customFormat="1" x14ac:dyDescent="0.25"/>
    <row r="60" s="21" customFormat="1" x14ac:dyDescent="0.25"/>
    <row r="61" s="21" customFormat="1" x14ac:dyDescent="0.25"/>
    <row r="62" s="21" customFormat="1" x14ac:dyDescent="0.25"/>
    <row r="63" s="21" customFormat="1" x14ac:dyDescent="0.25"/>
    <row r="64" s="21" customFormat="1" x14ac:dyDescent="0.25"/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  <row r="74" s="21" customFormat="1" x14ac:dyDescent="0.25"/>
    <row r="75" s="21" customFormat="1" x14ac:dyDescent="0.25"/>
    <row r="76" s="21" customFormat="1" x14ac:dyDescent="0.25"/>
    <row r="77" s="21" customFormat="1" x14ac:dyDescent="0.25"/>
    <row r="78" s="21" customFormat="1" x14ac:dyDescent="0.25"/>
    <row r="79" s="21" customFormat="1" x14ac:dyDescent="0.25"/>
    <row r="80" s="21" customFormat="1" x14ac:dyDescent="0.25"/>
    <row r="81" s="21" customFormat="1" x14ac:dyDescent="0.25"/>
    <row r="82" s="21" customFormat="1" x14ac:dyDescent="0.25"/>
    <row r="83" s="21" customFormat="1" x14ac:dyDescent="0.25"/>
    <row r="84" s="21" customFormat="1" x14ac:dyDescent="0.25"/>
    <row r="85" s="21" customFormat="1" x14ac:dyDescent="0.25"/>
    <row r="86" s="21" customFormat="1" x14ac:dyDescent="0.25"/>
    <row r="87" s="21" customFormat="1" x14ac:dyDescent="0.25"/>
    <row r="88" s="21" customFormat="1" x14ac:dyDescent="0.25"/>
    <row r="89" s="21" customFormat="1" x14ac:dyDescent="0.25"/>
    <row r="90" s="21" customFormat="1" x14ac:dyDescent="0.25"/>
    <row r="91" s="21" customFormat="1" x14ac:dyDescent="0.25"/>
    <row r="92" s="21" customFormat="1" x14ac:dyDescent="0.25"/>
    <row r="93" s="21" customFormat="1" x14ac:dyDescent="0.25"/>
    <row r="94" s="21" customFormat="1" x14ac:dyDescent="0.25"/>
    <row r="95" s="21" customFormat="1" x14ac:dyDescent="0.25"/>
    <row r="96" s="21" customFormat="1" x14ac:dyDescent="0.25"/>
    <row r="97" spans="1:1" s="21" customFormat="1" x14ac:dyDescent="0.25"/>
    <row r="98" spans="1:1" s="21" customFormat="1" x14ac:dyDescent="0.25"/>
    <row r="99" spans="1:1" s="21" customFormat="1" x14ac:dyDescent="0.25"/>
    <row r="100" spans="1:1" s="21" customFormat="1" x14ac:dyDescent="0.25"/>
    <row r="101" spans="1:1" s="21" customFormat="1" x14ac:dyDescent="0.25"/>
    <row r="102" spans="1:1" s="21" customFormat="1" x14ac:dyDescent="0.25"/>
    <row r="103" spans="1:1" s="21" customFormat="1" x14ac:dyDescent="0.25"/>
    <row r="104" spans="1:1" s="21" customFormat="1" x14ac:dyDescent="0.25"/>
    <row r="105" spans="1:1" s="21" customFormat="1" x14ac:dyDescent="0.25"/>
    <row r="106" spans="1:1" x14ac:dyDescent="0.25">
      <c r="A106" s="20"/>
    </row>
    <row r="107" spans="1:1" s="21" customFormat="1" x14ac:dyDescent="0.25"/>
    <row r="108" spans="1:1" s="21" customFormat="1" x14ac:dyDescent="0.25"/>
    <row r="109" spans="1:1" s="21" customFormat="1" x14ac:dyDescent="0.25"/>
    <row r="110" spans="1:1" s="21" customFormat="1" x14ac:dyDescent="0.25"/>
    <row r="111" spans="1:1" s="21" customFormat="1" x14ac:dyDescent="0.25"/>
    <row r="112" spans="1:1" s="21" customFormat="1" x14ac:dyDescent="0.25"/>
    <row r="113" spans="1:1" s="21" customFormat="1" x14ac:dyDescent="0.25"/>
    <row r="114" spans="1:1" s="21" customFormat="1" x14ac:dyDescent="0.25"/>
    <row r="115" spans="1:1" s="21" customFormat="1" x14ac:dyDescent="0.25"/>
    <row r="116" spans="1:1" s="21" customFormat="1" x14ac:dyDescent="0.25"/>
    <row r="117" spans="1:1" s="21" customFormat="1" x14ac:dyDescent="0.25"/>
    <row r="118" spans="1:1" x14ac:dyDescent="0.25">
      <c r="A118" s="20"/>
    </row>
    <row r="119" spans="1:1" x14ac:dyDescent="0.25">
      <c r="A119" s="20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90" zoomScaleNormal="90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G57" sqref="G57"/>
    </sheetView>
  </sheetViews>
  <sheetFormatPr defaultColWidth="8.85546875" defaultRowHeight="15" x14ac:dyDescent="0.25"/>
  <cols>
    <col min="1" max="1" width="17.42578125" style="11" customWidth="1"/>
    <col min="2" max="2" width="17.85546875" style="11" customWidth="1"/>
    <col min="3" max="3" width="9.85546875" style="11" customWidth="1"/>
    <col min="4" max="4" width="12.5703125" style="11" customWidth="1"/>
    <col min="5" max="5" width="9.7109375" style="11" customWidth="1"/>
    <col min="6" max="6" width="8.85546875" style="11"/>
    <col min="7" max="7" width="11.28515625" style="11" customWidth="1"/>
    <col min="8" max="8" width="12.42578125" style="11" customWidth="1"/>
    <col min="9" max="9" width="13" style="11" customWidth="1"/>
    <col min="10" max="10" width="8.85546875" style="11"/>
    <col min="11" max="11" width="9.7109375" style="11" customWidth="1"/>
    <col min="12" max="12" width="11" style="11" customWidth="1"/>
    <col min="13" max="13" width="10" style="11" customWidth="1"/>
    <col min="14" max="15" width="8.85546875" style="11"/>
    <col min="16" max="16" width="11" style="11" customWidth="1"/>
    <col min="17" max="17" width="15.85546875" style="11" customWidth="1"/>
    <col min="18" max="18" width="8.85546875" style="11"/>
    <col min="19" max="19" width="12.140625" style="11" customWidth="1"/>
    <col min="20" max="20" width="12.7109375" style="11" customWidth="1"/>
    <col min="21" max="16384" width="8.85546875" style="11"/>
  </cols>
  <sheetData>
    <row r="1" spans="1:21" s="21" customFormat="1" ht="27.75" customHeight="1" x14ac:dyDescent="0.25">
      <c r="A1" s="14" t="s">
        <v>2</v>
      </c>
      <c r="B1" s="23" t="s">
        <v>59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x14ac:dyDescent="0.25">
      <c r="A2" s="14" t="s">
        <v>0</v>
      </c>
      <c r="B2" s="38" t="str">
        <f>$A$9</f>
        <v>01/04/2025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x14ac:dyDescent="0.2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x14ac:dyDescent="0.2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x14ac:dyDescent="0.2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x14ac:dyDescent="0.2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x14ac:dyDescent="0.25">
      <c r="A7" s="25" t="s">
        <v>21</v>
      </c>
      <c r="B7" s="43" t="s">
        <v>43</v>
      </c>
      <c r="C7" s="43" t="s">
        <v>44</v>
      </c>
      <c r="D7" s="43" t="s">
        <v>45</v>
      </c>
      <c r="E7" s="43" t="s">
        <v>46</v>
      </c>
      <c r="F7" s="43" t="s">
        <v>47</v>
      </c>
      <c r="G7" s="43" t="s">
        <v>48</v>
      </c>
      <c r="H7" s="43" t="s">
        <v>49</v>
      </c>
      <c r="I7" s="43" t="s">
        <v>50</v>
      </c>
      <c r="J7" s="43" t="s">
        <v>51</v>
      </c>
      <c r="K7" s="43" t="s">
        <v>52</v>
      </c>
      <c r="L7" s="43" t="s">
        <v>53</v>
      </c>
      <c r="M7" s="43" t="s">
        <v>54</v>
      </c>
      <c r="N7" s="43" t="s">
        <v>55</v>
      </c>
      <c r="O7" s="43" t="s">
        <v>56</v>
      </c>
      <c r="P7" s="43" t="s">
        <v>57</v>
      </c>
      <c r="Q7" s="43" t="s">
        <v>58</v>
      </c>
      <c r="R7" s="27"/>
      <c r="S7" s="29"/>
      <c r="T7" s="27"/>
      <c r="U7" s="27"/>
    </row>
    <row r="8" spans="1:21" s="21" customFormat="1" x14ac:dyDescent="0.25">
      <c r="A8" s="25"/>
      <c r="B8" s="29" t="s">
        <v>22</v>
      </c>
      <c r="C8" s="29" t="s">
        <v>22</v>
      </c>
      <c r="D8" s="29" t="s">
        <v>42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x14ac:dyDescent="0.25">
      <c r="A9" s="36" t="str">
        <f>'01'!$B$2</f>
        <v>01/04/2025 01:00</v>
      </c>
      <c r="B9" s="53" t="s">
        <v>15</v>
      </c>
      <c r="C9" s="53" t="s">
        <v>15</v>
      </c>
      <c r="D9" s="53" t="s">
        <v>15</v>
      </c>
      <c r="E9" s="24">
        <f>'01'!E36</f>
        <v>46.451250000000009</v>
      </c>
      <c r="F9" s="24">
        <f>'01'!F36</f>
        <v>18.889583333333327</v>
      </c>
      <c r="G9" s="24">
        <f>'01'!G36</f>
        <v>131.43749999999997</v>
      </c>
      <c r="H9" s="24">
        <f>'01'!H36</f>
        <v>42.416666666666657</v>
      </c>
      <c r="I9" s="24">
        <f>'01'!I36</f>
        <v>4.0925000000000002</v>
      </c>
      <c r="J9" s="24">
        <f>'01'!J36</f>
        <v>2.4508333333333332</v>
      </c>
      <c r="K9" s="24">
        <f>'01'!K36</f>
        <v>327.73208333333332</v>
      </c>
      <c r="L9" s="24">
        <f>'01'!L36</f>
        <v>27.647500000000004</v>
      </c>
      <c r="M9" s="24">
        <f>'01'!M36</f>
        <v>26.470000000000002</v>
      </c>
      <c r="N9" s="24">
        <f>'01'!N36</f>
        <v>208.06249999999997</v>
      </c>
      <c r="O9" s="24">
        <f>'01'!O36</f>
        <v>0</v>
      </c>
      <c r="P9" s="30">
        <f>'01'!$P$36</f>
        <v>1.5274999999999999</v>
      </c>
      <c r="Q9" s="24">
        <f>'01'!Q36</f>
        <v>9.8266666666666644</v>
      </c>
      <c r="R9" s="44"/>
      <c r="S9" s="44"/>
      <c r="T9" s="44"/>
      <c r="U9" s="45"/>
    </row>
    <row r="10" spans="1:21" s="34" customFormat="1" x14ac:dyDescent="0.25">
      <c r="A10" s="36" t="str">
        <f>'02'!$B$2</f>
        <v>02/04/2025 01:00</v>
      </c>
      <c r="B10" s="53" t="s">
        <v>15</v>
      </c>
      <c r="C10" s="53" t="s">
        <v>15</v>
      </c>
      <c r="D10" s="53" t="s">
        <v>15</v>
      </c>
      <c r="E10" s="33">
        <f>'02'!E36</f>
        <v>40.030833333333327</v>
      </c>
      <c r="F10" s="33">
        <f>'02'!F36</f>
        <v>18.896666666666665</v>
      </c>
      <c r="G10" s="33">
        <f>'02'!G36</f>
        <v>119.69500000000002</v>
      </c>
      <c r="H10" s="33">
        <f>'02'!H36</f>
        <v>92.58</v>
      </c>
      <c r="I10" s="33">
        <f>'02'!I36</f>
        <v>4.0804166666666664</v>
      </c>
      <c r="J10" s="33">
        <f>'02'!J36</f>
        <v>2.5791666666666662</v>
      </c>
      <c r="K10" s="33">
        <f>'02'!K36</f>
        <v>240.74416666666673</v>
      </c>
      <c r="L10" s="33">
        <f>'02'!L36</f>
        <v>26.27</v>
      </c>
      <c r="M10" s="33">
        <f>'02'!M36</f>
        <v>28.885000000000002</v>
      </c>
      <c r="N10" s="33">
        <f>'02'!N36</f>
        <v>152.42916666666667</v>
      </c>
      <c r="O10" s="33">
        <f>'02'!O36</f>
        <v>0</v>
      </c>
      <c r="P10" s="30">
        <f>'02'!$P$36</f>
        <v>1.4349999999999998</v>
      </c>
      <c r="Q10" s="33">
        <f>'02'!Q36</f>
        <v>9.6954166666666648</v>
      </c>
      <c r="R10" s="46"/>
      <c r="S10" s="46"/>
      <c r="T10" s="46"/>
      <c r="U10" s="46"/>
    </row>
    <row r="11" spans="1:21" s="34" customFormat="1" x14ac:dyDescent="0.25">
      <c r="A11" s="36" t="str">
        <f>'03'!$B$2</f>
        <v>03/04/2025 01:00</v>
      </c>
      <c r="B11" s="53" t="s">
        <v>15</v>
      </c>
      <c r="C11" s="53" t="s">
        <v>15</v>
      </c>
      <c r="D11" s="53" t="s">
        <v>15</v>
      </c>
      <c r="E11" s="33">
        <f>'03'!E36</f>
        <v>7.4562499999999998</v>
      </c>
      <c r="F11" s="33">
        <f>'03'!F36</f>
        <v>12.6225</v>
      </c>
      <c r="G11" s="33">
        <f>'03'!G36</f>
        <v>77.252083333333346</v>
      </c>
      <c r="H11" s="33">
        <f>'03'!H36</f>
        <v>29.61</v>
      </c>
      <c r="I11" s="33">
        <f>'03'!I36</f>
        <v>4.076249999999999</v>
      </c>
      <c r="J11" s="33">
        <f>'03'!J36</f>
        <v>2.945416666666667</v>
      </c>
      <c r="K11" s="33">
        <f>'03'!K36</f>
        <v>252.00208333333333</v>
      </c>
      <c r="L11" s="33">
        <f>'03'!L36</f>
        <v>24.179166666666664</v>
      </c>
      <c r="M11" s="33">
        <f>'03'!M36</f>
        <v>59.950416666666655</v>
      </c>
      <c r="N11" s="33">
        <f>'03'!N36</f>
        <v>167.22499999999999</v>
      </c>
      <c r="O11" s="33">
        <f>'03'!O36</f>
        <v>5.8333333333333327E-2</v>
      </c>
      <c r="P11" s="30">
        <f>'03'!$P$36</f>
        <v>0.83208333333333329</v>
      </c>
      <c r="Q11" s="33">
        <f>'03'!Q36</f>
        <v>9.6162499999999991</v>
      </c>
      <c r="R11" s="46"/>
      <c r="S11" s="46"/>
      <c r="T11" s="46"/>
      <c r="U11" s="46"/>
    </row>
    <row r="12" spans="1:21" s="34" customFormat="1" x14ac:dyDescent="0.25">
      <c r="A12" s="36" t="str">
        <f>'04'!$B$2</f>
        <v>04/04/2025 01:00</v>
      </c>
      <c r="B12" s="53" t="s">
        <v>15</v>
      </c>
      <c r="C12" s="53" t="s">
        <v>15</v>
      </c>
      <c r="D12" s="53" t="s">
        <v>15</v>
      </c>
      <c r="E12" s="33">
        <f>'04'!E36</f>
        <v>4.1737499999999992</v>
      </c>
      <c r="F12" s="33">
        <f>'04'!F36</f>
        <v>13.868333333333334</v>
      </c>
      <c r="G12" s="33">
        <f>'04'!G36</f>
        <v>49.98416666666666</v>
      </c>
      <c r="H12" s="33">
        <f>'04'!H36</f>
        <v>22.118124999999999</v>
      </c>
      <c r="I12" s="33">
        <f>'04'!I36</f>
        <v>4.0695833333333331</v>
      </c>
      <c r="J12" s="33">
        <f>'04'!J36</f>
        <v>2.1116666666666664</v>
      </c>
      <c r="K12" s="33">
        <f>'04'!K36</f>
        <v>245.8125</v>
      </c>
      <c r="L12" s="33">
        <f>'04'!L36</f>
        <v>24.670000000000005</v>
      </c>
      <c r="M12" s="33">
        <f>'04'!M36</f>
        <v>65.998333333333335</v>
      </c>
      <c r="N12" s="33">
        <f>'04'!N36</f>
        <v>240.59166666666667</v>
      </c>
      <c r="O12" s="33">
        <f>'04'!O36</f>
        <v>0</v>
      </c>
      <c r="P12" s="30">
        <f>'04'!$P$36</f>
        <v>0.64124999999999999</v>
      </c>
      <c r="Q12" s="33">
        <f>'04'!Q36</f>
        <v>9.5516666666666676</v>
      </c>
      <c r="R12" s="46"/>
      <c r="S12" s="46"/>
      <c r="T12" s="46"/>
      <c r="U12" s="46"/>
    </row>
    <row r="13" spans="1:21" s="34" customFormat="1" x14ac:dyDescent="0.25">
      <c r="A13" s="36" t="str">
        <f>'05'!$B$2</f>
        <v>05/04/2025 01:00</v>
      </c>
      <c r="B13" s="33">
        <f>'05'!B36</f>
        <v>52.845555555555549</v>
      </c>
      <c r="C13" s="33">
        <f>'05'!C36</f>
        <v>120.64555555555555</v>
      </c>
      <c r="D13" s="33">
        <f>'05'!D36</f>
        <v>154.11111111111111</v>
      </c>
      <c r="E13" s="33">
        <f>'05'!E36</f>
        <v>4.925416666666667</v>
      </c>
      <c r="F13" s="33">
        <f>'05'!F36</f>
        <v>16.127500000000001</v>
      </c>
      <c r="G13" s="33">
        <f>'05'!G36</f>
        <v>50.099999999999994</v>
      </c>
      <c r="H13" s="33">
        <f>'05'!H36</f>
        <v>20.657083333333333</v>
      </c>
      <c r="I13" s="33">
        <f>'05'!I36</f>
        <v>4.0999999999999996</v>
      </c>
      <c r="J13" s="33">
        <f>'05'!J36</f>
        <v>1.3912500000000003</v>
      </c>
      <c r="K13" s="33">
        <f>'05'!K36</f>
        <v>277.88291666666663</v>
      </c>
      <c r="L13" s="33">
        <f>'05'!L36</f>
        <v>27.285</v>
      </c>
      <c r="M13" s="33">
        <f>'05'!M36</f>
        <v>49.937083333333341</v>
      </c>
      <c r="N13" s="33">
        <f>'05'!N36</f>
        <v>328.55416666666662</v>
      </c>
      <c r="O13" s="33">
        <f>'05'!O36</f>
        <v>0</v>
      </c>
      <c r="P13" s="30">
        <f>'05'!$P$36</f>
        <v>0.75041666666666673</v>
      </c>
      <c r="Q13" s="33">
        <f>'05'!Q36</f>
        <v>9.6</v>
      </c>
      <c r="R13" s="46"/>
      <c r="S13" s="46"/>
      <c r="T13" s="46"/>
      <c r="U13" s="46"/>
    </row>
    <row r="14" spans="1:21" s="34" customFormat="1" x14ac:dyDescent="0.25">
      <c r="A14" s="36" t="str">
        <f>'06'!$B$2</f>
        <v>06/04/2025 01:00</v>
      </c>
      <c r="B14" s="33">
        <f>'06'!B36</f>
        <v>29.816666666666674</v>
      </c>
      <c r="C14" s="33">
        <f>'06'!C36</f>
        <v>80.809166666666655</v>
      </c>
      <c r="D14" s="33">
        <f>'06'!D36</f>
        <v>110.23333333333335</v>
      </c>
      <c r="E14" s="33">
        <f>'06'!E36</f>
        <v>7.0254166666666658</v>
      </c>
      <c r="F14" s="33">
        <f>'06'!F36</f>
        <v>18.510000000000002</v>
      </c>
      <c r="G14" s="33">
        <f>'06'!G36</f>
        <v>68.922083333333333</v>
      </c>
      <c r="H14" s="33">
        <f>'06'!H36</f>
        <v>25.065416666666668</v>
      </c>
      <c r="I14" s="33">
        <f>'06'!I36</f>
        <v>4.1066666666666665</v>
      </c>
      <c r="J14" s="33">
        <f>'06'!J36</f>
        <v>0.81333333333333335</v>
      </c>
      <c r="K14" s="33">
        <f>'06'!K36</f>
        <v>294.93166666666667</v>
      </c>
      <c r="L14" s="33">
        <f>'06'!L36</f>
        <v>28.567083333333333</v>
      </c>
      <c r="M14" s="33">
        <f>'06'!M36</f>
        <v>34.72208333333333</v>
      </c>
      <c r="N14" s="33">
        <f>'06'!N36</f>
        <v>281.57083333333327</v>
      </c>
      <c r="O14" s="33">
        <f>'06'!O36</f>
        <v>0</v>
      </c>
      <c r="P14" s="30">
        <f>'06'!$P$36</f>
        <v>0.94687500000000002</v>
      </c>
      <c r="Q14" s="55" t="s">
        <v>8</v>
      </c>
      <c r="R14" s="46"/>
      <c r="S14" s="46"/>
      <c r="T14" s="46"/>
      <c r="U14" s="46"/>
    </row>
    <row r="15" spans="1:21" s="34" customFormat="1" x14ac:dyDescent="0.25">
      <c r="A15" s="36" t="str">
        <f>'07'!$B$2</f>
        <v>07/04/2025 01:00</v>
      </c>
      <c r="B15" s="33">
        <f>'07'!B36</f>
        <v>83.764166666666668</v>
      </c>
      <c r="C15" s="33">
        <f>'07'!C36</f>
        <v>133.61958333333334</v>
      </c>
      <c r="D15" s="33">
        <f>'07'!D36</f>
        <v>129.73916666666665</v>
      </c>
      <c r="E15" s="33">
        <f>'07'!E36</f>
        <v>8.1249999999999982</v>
      </c>
      <c r="F15" s="33">
        <f>'07'!F36</f>
        <v>15.056249999999997</v>
      </c>
      <c r="G15" s="33">
        <f>'07'!G36</f>
        <v>93.636666666666656</v>
      </c>
      <c r="H15" s="33">
        <f>'07'!H36</f>
        <v>29.93416666666667</v>
      </c>
      <c r="I15" s="33">
        <f>'07'!I36</f>
        <v>4.1154166666666674</v>
      </c>
      <c r="J15" s="33">
        <f>'07'!J36</f>
        <v>0.87666666666666648</v>
      </c>
      <c r="K15" s="33">
        <f>'07'!K36</f>
        <v>295.16958333333343</v>
      </c>
      <c r="L15" s="33">
        <f>'07'!L36</f>
        <v>41.406666666666673</v>
      </c>
      <c r="M15" s="33">
        <f>'07'!M36</f>
        <v>34.466249999999995</v>
      </c>
      <c r="N15" s="33">
        <f>'07'!N36</f>
        <v>307.50833333333327</v>
      </c>
      <c r="O15" s="33">
        <f>'07'!O36</f>
        <v>0</v>
      </c>
      <c r="P15" s="33">
        <f>'07'!P36</f>
        <v>1.4566666666666668</v>
      </c>
      <c r="Q15" s="55" t="s">
        <v>8</v>
      </c>
      <c r="R15" s="46"/>
      <c r="S15" s="46"/>
      <c r="T15" s="46"/>
      <c r="U15" s="46"/>
    </row>
    <row r="16" spans="1:21" s="34" customFormat="1" x14ac:dyDescent="0.25">
      <c r="A16" s="36" t="str">
        <f>'08'!$B$2</f>
        <v>08/04/2025 01:00</v>
      </c>
      <c r="B16" s="33">
        <f>'08'!B36</f>
        <v>43.432499999999997</v>
      </c>
      <c r="C16" s="33">
        <f>'08'!C36</f>
        <v>89.270833333333329</v>
      </c>
      <c r="D16" s="33">
        <f>'08'!D36</f>
        <v>108.21</v>
      </c>
      <c r="E16" s="33">
        <f>'08'!E36</f>
        <v>5.8883333333333328</v>
      </c>
      <c r="F16" s="33">
        <f>'08'!F36</f>
        <v>17.664583333333329</v>
      </c>
      <c r="G16" s="33">
        <f>'08'!G36</f>
        <v>65.171666666666667</v>
      </c>
      <c r="H16" s="33">
        <f>'08'!H36</f>
        <v>21.080833333333327</v>
      </c>
      <c r="I16" s="33">
        <f>'08'!I36</f>
        <v>4.104166666666667</v>
      </c>
      <c r="J16" s="33">
        <f>'08'!J36</f>
        <v>0.97958333333333325</v>
      </c>
      <c r="K16" s="33">
        <f>'08'!K36</f>
        <v>242.17916666666667</v>
      </c>
      <c r="L16" s="33">
        <f>'08'!L36</f>
        <v>30.107499999999998</v>
      </c>
      <c r="M16" s="33">
        <f>'08'!M36</f>
        <v>39.487083333333338</v>
      </c>
      <c r="N16" s="33">
        <f>'08'!N36</f>
        <v>308.57083333333338</v>
      </c>
      <c r="O16" s="33">
        <f>'08'!O36</f>
        <v>0</v>
      </c>
      <c r="P16" s="30">
        <f>'08'!$P$36</f>
        <v>1.165416666666667</v>
      </c>
      <c r="Q16" s="55" t="s">
        <v>8</v>
      </c>
      <c r="R16" s="46"/>
      <c r="S16" s="46"/>
      <c r="T16" s="46"/>
      <c r="U16" s="46"/>
    </row>
    <row r="17" spans="1:24" s="34" customFormat="1" x14ac:dyDescent="0.25">
      <c r="A17" s="36" t="str">
        <f>'09'!$B$2</f>
        <v>09/04/2025 01:00</v>
      </c>
      <c r="B17" s="33">
        <f>'09'!B36</f>
        <v>3.4554166666666668</v>
      </c>
      <c r="C17" s="33">
        <f>'09'!C36</f>
        <v>43.415833333333332</v>
      </c>
      <c r="D17" s="33">
        <f>'09'!D36</f>
        <v>78.030416666666667</v>
      </c>
      <c r="E17" s="33">
        <f>'09'!E36</f>
        <v>6.135416666666667</v>
      </c>
      <c r="F17" s="33">
        <f>'09'!F36</f>
        <v>15.91041666666667</v>
      </c>
      <c r="G17" s="33">
        <f>'09'!G36</f>
        <v>46.895000000000003</v>
      </c>
      <c r="H17" s="33">
        <f>'09'!H36</f>
        <v>14.139999999999999</v>
      </c>
      <c r="I17" s="33">
        <f>'09'!I36</f>
        <v>4.0845833333333337</v>
      </c>
      <c r="J17" s="33">
        <f>'09'!J36</f>
        <v>1.5904166666666668</v>
      </c>
      <c r="K17" s="33">
        <f>'09'!K36</f>
        <v>241.18624999999997</v>
      </c>
      <c r="L17" s="33">
        <f>'09'!L36</f>
        <v>30.973333333333333</v>
      </c>
      <c r="M17" s="33">
        <f>'09'!M36</f>
        <v>37.823333333333331</v>
      </c>
      <c r="N17" s="33">
        <f>'09'!N36</f>
        <v>316.4874999999999</v>
      </c>
      <c r="O17" s="33">
        <f>'09'!O36</f>
        <v>0</v>
      </c>
      <c r="P17" s="33">
        <f>'09'!P36</f>
        <v>0.55875000000000008</v>
      </c>
      <c r="Q17" s="53" t="s">
        <v>15</v>
      </c>
      <c r="R17" s="46"/>
      <c r="S17" s="46"/>
      <c r="T17" s="46"/>
      <c r="U17" s="46"/>
      <c r="V17" s="35"/>
      <c r="W17" s="35"/>
      <c r="X17" s="35"/>
    </row>
    <row r="18" spans="1:24" s="34" customFormat="1" x14ac:dyDescent="0.25">
      <c r="A18" s="36" t="str">
        <f>'10'!$B$2</f>
        <v>10/04/2025 01:00</v>
      </c>
      <c r="B18" s="33">
        <f>'10'!B36</f>
        <v>11.958750000000002</v>
      </c>
      <c r="C18" s="33">
        <f>'10'!C36</f>
        <v>60.241250000000001</v>
      </c>
      <c r="D18" s="33">
        <f>'10'!D36</f>
        <v>98.571666666666673</v>
      </c>
      <c r="E18" s="33">
        <f>'10'!E36</f>
        <v>9.0762499999999999</v>
      </c>
      <c r="F18" s="33">
        <f>'10'!F36</f>
        <v>17.921666666666667</v>
      </c>
      <c r="G18" s="33">
        <f>'10'!G36</f>
        <v>49.880833333333328</v>
      </c>
      <c r="H18" s="33">
        <f>'10'!H36</f>
        <v>13.561249999999996</v>
      </c>
      <c r="I18" s="33">
        <f>'10'!I36</f>
        <v>4.1020833333333337</v>
      </c>
      <c r="J18" s="33">
        <f>'10'!J36</f>
        <v>1.1454166666666665</v>
      </c>
      <c r="K18" s="33">
        <f>'10'!K36</f>
        <v>262.50666666666672</v>
      </c>
      <c r="L18" s="33">
        <f>'10'!L36</f>
        <v>31.918333333333333</v>
      </c>
      <c r="M18" s="33">
        <f>'10'!M36</f>
        <v>34.972499999999997</v>
      </c>
      <c r="N18" s="33">
        <f>'10'!N36</f>
        <v>325.92083333333335</v>
      </c>
      <c r="O18" s="33">
        <f>'10'!O36</f>
        <v>0</v>
      </c>
      <c r="P18" s="30">
        <f>'10'!$P$36</f>
        <v>0.67291666666666672</v>
      </c>
      <c r="Q18" s="53" t="s">
        <v>15</v>
      </c>
      <c r="R18" s="46"/>
      <c r="S18" s="46"/>
      <c r="T18" s="46"/>
      <c r="U18" s="46"/>
    </row>
    <row r="19" spans="1:24" s="34" customFormat="1" x14ac:dyDescent="0.25">
      <c r="A19" s="36" t="str">
        <f>'11'!$B$2</f>
        <v>11/04/2025 01:00</v>
      </c>
      <c r="B19" s="33">
        <f>'11'!B36</f>
        <v>11.3225</v>
      </c>
      <c r="C19" s="33">
        <f>'11'!C36</f>
        <v>61.170416666666675</v>
      </c>
      <c r="D19" s="33">
        <f>'11'!D36</f>
        <v>100.46958333333335</v>
      </c>
      <c r="E19" s="33">
        <f>'11'!E36</f>
        <v>9.19</v>
      </c>
      <c r="F19" s="33">
        <f>'11'!F36</f>
        <v>17.930833333333332</v>
      </c>
      <c r="G19" s="33">
        <f>'11'!G36</f>
        <v>73.204999999999998</v>
      </c>
      <c r="H19" s="33">
        <f>'11'!H36</f>
        <v>17.732777777777777</v>
      </c>
      <c r="I19" s="33">
        <f>'11'!I36</f>
        <v>4.085</v>
      </c>
      <c r="J19" s="33">
        <f>'11'!J36</f>
        <v>1.3166666666666667</v>
      </c>
      <c r="K19" s="33">
        <f>'11'!K36</f>
        <v>214.68833333333336</v>
      </c>
      <c r="L19" s="33">
        <f>'11'!L36</f>
        <v>31.76</v>
      </c>
      <c r="M19" s="33">
        <f>'11'!M36</f>
        <v>37.762916666666676</v>
      </c>
      <c r="N19" s="33">
        <f>'11'!N36</f>
        <v>295.59583333333336</v>
      </c>
      <c r="O19" s="33">
        <f>'11'!O36</f>
        <v>0</v>
      </c>
      <c r="P19" s="33">
        <f>'11'!P36</f>
        <v>0.79208333333333325</v>
      </c>
      <c r="Q19" s="53" t="s">
        <v>15</v>
      </c>
      <c r="R19" s="46"/>
      <c r="S19" s="46"/>
      <c r="T19" s="46"/>
      <c r="U19" s="46"/>
    </row>
    <row r="20" spans="1:24" s="34" customFormat="1" x14ac:dyDescent="0.25">
      <c r="A20" s="36" t="str">
        <f>'12'!$B$2</f>
        <v>12/04/2025 01:00</v>
      </c>
      <c r="B20" s="33">
        <f>'12'!B36</f>
        <v>29.01125</v>
      </c>
      <c r="C20" s="33">
        <f>'12'!C36</f>
        <v>76.317083333333343</v>
      </c>
      <c r="D20" s="33">
        <f>'12'!D36</f>
        <v>104.56416666666667</v>
      </c>
      <c r="E20" s="33">
        <f>'12'!E36</f>
        <v>8.3429166666666692</v>
      </c>
      <c r="F20" s="33">
        <f>'12'!F36</f>
        <v>15.409999999999997</v>
      </c>
      <c r="G20" s="33">
        <f>'12'!G36</f>
        <v>73.147083333333342</v>
      </c>
      <c r="H20" s="33">
        <f>'12'!H36</f>
        <v>25.224999999999998</v>
      </c>
      <c r="I20" s="33">
        <f>'12'!I36</f>
        <v>4.1045833333333333</v>
      </c>
      <c r="J20" s="33">
        <f>'12'!J36</f>
        <v>0.99291666666666678</v>
      </c>
      <c r="K20" s="33">
        <f>'12'!K36</f>
        <v>280.88124999999997</v>
      </c>
      <c r="L20" s="33">
        <f>'12'!L36</f>
        <v>32.189583333333339</v>
      </c>
      <c r="M20" s="33">
        <f>'12'!M36</f>
        <v>33.350833333333341</v>
      </c>
      <c r="N20" s="33">
        <f>'12'!N36</f>
        <v>274.94166666666666</v>
      </c>
      <c r="O20" s="33">
        <f>'12'!O36</f>
        <v>0</v>
      </c>
      <c r="P20" s="33">
        <f>'12'!P36</f>
        <v>1.0662499999999999</v>
      </c>
      <c r="Q20" s="53" t="s">
        <v>15</v>
      </c>
      <c r="R20" s="46"/>
      <c r="S20" s="46"/>
      <c r="T20" s="46"/>
      <c r="U20" s="46"/>
    </row>
    <row r="21" spans="1:24" s="34" customFormat="1" x14ac:dyDescent="0.25">
      <c r="A21" s="36" t="str">
        <f>'13'!$B$2</f>
        <v>13/04/2025 01:00</v>
      </c>
      <c r="B21" s="33">
        <f>'13'!B36</f>
        <v>15.04541666666667</v>
      </c>
      <c r="C21" s="33">
        <f>'13'!C36</f>
        <v>61.841666666666669</v>
      </c>
      <c r="D21" s="33">
        <f>'13'!D36</f>
        <v>96.394999999999996</v>
      </c>
      <c r="E21" s="33">
        <f>'13'!E36</f>
        <v>11.288333333333334</v>
      </c>
      <c r="F21" s="33">
        <f>'13'!F36</f>
        <v>16.147916666666664</v>
      </c>
      <c r="G21" s="33">
        <f>'13'!G36</f>
        <v>78.395416666666662</v>
      </c>
      <c r="H21" s="33">
        <f>'13'!H36</f>
        <v>19.838333333333335</v>
      </c>
      <c r="I21" s="33">
        <f>'13'!I36</f>
        <v>4.1104166666666666</v>
      </c>
      <c r="J21" s="33">
        <f>'13'!J36</f>
        <v>1.2891666666666666</v>
      </c>
      <c r="K21" s="33">
        <f>'13'!K36</f>
        <v>289.66000000000003</v>
      </c>
      <c r="L21" s="33">
        <f>'13'!L36</f>
        <v>31.169166666666669</v>
      </c>
      <c r="M21" s="33">
        <f>'13'!M36</f>
        <v>32.200416666666662</v>
      </c>
      <c r="N21" s="33">
        <f>'13'!N36</f>
        <v>296.88749999999993</v>
      </c>
      <c r="O21" s="33">
        <f>'13'!O36</f>
        <v>0</v>
      </c>
      <c r="P21" s="33">
        <f>'13'!P36</f>
        <v>0.71375</v>
      </c>
      <c r="Q21" s="53" t="s">
        <v>15</v>
      </c>
      <c r="R21" s="46"/>
      <c r="S21" s="46"/>
      <c r="T21" s="46"/>
      <c r="U21" s="46"/>
    </row>
    <row r="22" spans="1:24" s="34" customFormat="1" x14ac:dyDescent="0.25">
      <c r="A22" s="36" t="str">
        <f>'14'!$B$2</f>
        <v>14/04/2025 01:00</v>
      </c>
      <c r="B22" s="30">
        <f>'14'!B36</f>
        <v>19.641739130434779</v>
      </c>
      <c r="C22" s="30">
        <f>'14'!C36</f>
        <v>89.392608695652186</v>
      </c>
      <c r="D22" s="30">
        <f>'14'!D36</f>
        <v>90.134347826086966</v>
      </c>
      <c r="E22" s="30">
        <f>'14'!E36</f>
        <v>12.64130434782609</v>
      </c>
      <c r="F22" s="30">
        <f>'14'!F36</f>
        <v>15.454583333333337</v>
      </c>
      <c r="G22" s="30">
        <f>'14'!G36</f>
        <v>90.565652173913051</v>
      </c>
      <c r="H22" s="30">
        <f>'14'!H36</f>
        <v>23.460434782608687</v>
      </c>
      <c r="I22" s="30">
        <f>'14'!I36</f>
        <v>4.0704166666666666</v>
      </c>
      <c r="J22" s="30">
        <f>'14'!J36</f>
        <v>1.11375</v>
      </c>
      <c r="K22" s="30">
        <f>'14'!K36</f>
        <v>275.38625000000002</v>
      </c>
      <c r="L22" s="30">
        <f>'14'!L36</f>
        <v>30.01916666666666</v>
      </c>
      <c r="M22" s="30">
        <f>'14'!M36</f>
        <v>37.399583333333332</v>
      </c>
      <c r="N22" s="30">
        <f>'14'!N36</f>
        <v>263.38333333333333</v>
      </c>
      <c r="O22" s="30">
        <f>'14'!O36</f>
        <v>0</v>
      </c>
      <c r="P22" s="30">
        <f>'14'!P36</f>
        <v>0.97666666666666657</v>
      </c>
      <c r="Q22" s="53" t="s">
        <v>15</v>
      </c>
      <c r="R22" s="47"/>
      <c r="S22" s="47"/>
      <c r="T22" s="47"/>
      <c r="U22" s="47"/>
    </row>
    <row r="23" spans="1:24" s="34" customFormat="1" x14ac:dyDescent="0.25">
      <c r="A23" s="36" t="str">
        <f>'15'!$B$2</f>
        <v>15/04/2025 01:00</v>
      </c>
      <c r="B23" s="33">
        <f>'15'!B36</f>
        <v>2.8870833333333343</v>
      </c>
      <c r="C23" s="33">
        <f>'15'!C36</f>
        <v>51.183333333333337</v>
      </c>
      <c r="D23" s="33">
        <f>'15'!D36</f>
        <v>48.650833333333331</v>
      </c>
      <c r="E23" s="33">
        <f>'15'!E36</f>
        <v>4.970416666666666</v>
      </c>
      <c r="F23" s="33">
        <f>'15'!F36</f>
        <v>15.237083333333333</v>
      </c>
      <c r="G23" s="33">
        <f>'15'!G36</f>
        <v>53.078749999999992</v>
      </c>
      <c r="H23" s="33">
        <f>'15'!H36</f>
        <v>14.324999999999998</v>
      </c>
      <c r="I23" s="33">
        <f>'15'!I36</f>
        <v>4.0699999999999994</v>
      </c>
      <c r="J23" s="33">
        <f>'15'!J36</f>
        <v>1.7849999999999999</v>
      </c>
      <c r="K23" s="33">
        <f>'15'!K36</f>
        <v>213.06625</v>
      </c>
      <c r="L23" s="33">
        <f>'15'!L36</f>
        <v>29.030416666666664</v>
      </c>
      <c r="M23" s="33">
        <f>'15'!M36</f>
        <v>45.323749999999997</v>
      </c>
      <c r="N23" s="33">
        <f>'15'!N36</f>
        <v>288.95</v>
      </c>
      <c r="O23" s="33">
        <f>'15'!O36</f>
        <v>0</v>
      </c>
      <c r="P23" s="30">
        <f>'15'!P36</f>
        <v>0.43916666666666687</v>
      </c>
      <c r="Q23" s="30">
        <f>'15'!Q36</f>
        <v>8.8822222222222216</v>
      </c>
      <c r="R23" s="47"/>
      <c r="S23" s="47"/>
      <c r="T23" s="47"/>
      <c r="U23" s="46"/>
    </row>
    <row r="24" spans="1:24" s="34" customFormat="1" x14ac:dyDescent="0.25">
      <c r="A24" s="36" t="str">
        <f>'16'!$B$2</f>
        <v>16/04/2025 01:00</v>
      </c>
      <c r="B24" s="33">
        <f>'16'!B36</f>
        <v>20.543333333333333</v>
      </c>
      <c r="C24" s="33">
        <f>'16'!C36</f>
        <v>88.284166666666678</v>
      </c>
      <c r="D24" s="33">
        <f>'16'!D36</f>
        <v>67.910416666666677</v>
      </c>
      <c r="E24" s="33">
        <f>'16'!E36</f>
        <v>4.784583333333333</v>
      </c>
      <c r="F24" s="33">
        <f>'16'!F36</f>
        <v>16.858750000000001</v>
      </c>
      <c r="G24" s="33">
        <f>'16'!G36</f>
        <v>44.484999999999992</v>
      </c>
      <c r="H24" s="33">
        <f>'16'!H36</f>
        <v>14.050416666666663</v>
      </c>
      <c r="I24" s="33">
        <f>'16'!I36</f>
        <v>4.0837500000000002</v>
      </c>
      <c r="J24" s="33">
        <f>'16'!J36</f>
        <v>1.834583333333333</v>
      </c>
      <c r="K24" s="33">
        <f>'16'!K36</f>
        <v>241.75833333333324</v>
      </c>
      <c r="L24" s="33">
        <f>'16'!L36</f>
        <v>30.34416666666667</v>
      </c>
      <c r="M24" s="33">
        <f>'16'!M36</f>
        <v>45.872083333333329</v>
      </c>
      <c r="N24" s="33">
        <f>'16'!N36</f>
        <v>310.00416666666666</v>
      </c>
      <c r="O24" s="33">
        <f>'16'!O36</f>
        <v>0</v>
      </c>
      <c r="P24" s="30">
        <f>'16'!P36</f>
        <v>0.90666666666666662</v>
      </c>
      <c r="Q24" s="30">
        <f>'16'!Q36</f>
        <v>8.8608333333333302</v>
      </c>
      <c r="R24" s="47"/>
      <c r="S24" s="47"/>
      <c r="T24" s="47"/>
      <c r="U24" s="46"/>
    </row>
    <row r="25" spans="1:24" s="34" customFormat="1" x14ac:dyDescent="0.25">
      <c r="A25" s="36" t="str">
        <f>'17'!$B$2</f>
        <v>17/04/2025 01:00</v>
      </c>
      <c r="B25" s="33">
        <f>'17'!B36</f>
        <v>4.7404166666666674</v>
      </c>
      <c r="C25" s="33">
        <f>'17'!C36</f>
        <v>58.322083333333346</v>
      </c>
      <c r="D25" s="33">
        <f>'17'!D36</f>
        <v>53.894166666666671</v>
      </c>
      <c r="E25" s="33">
        <f>'17'!E36</f>
        <v>4.2833333333333341</v>
      </c>
      <c r="F25" s="33">
        <f>'17'!F36</f>
        <v>14.26</v>
      </c>
      <c r="G25" s="33">
        <f>'17'!G36</f>
        <v>45.730833333333344</v>
      </c>
      <c r="H25" s="33">
        <f>'17'!H36</f>
        <v>14.719999999999999</v>
      </c>
      <c r="I25" s="33">
        <f>'17'!I36</f>
        <v>4.1074999999999999</v>
      </c>
      <c r="J25" s="33">
        <f>'17'!J36</f>
        <v>1.7620833333333332</v>
      </c>
      <c r="K25" s="33">
        <f>'17'!K36</f>
        <v>238.95791666666662</v>
      </c>
      <c r="L25" s="33">
        <f>'17'!L36</f>
        <v>30.812083333333337</v>
      </c>
      <c r="M25" s="33">
        <f>'17'!M36</f>
        <v>50.034999999999997</v>
      </c>
      <c r="N25" s="33">
        <f>'17'!N36</f>
        <v>274.75000000000006</v>
      </c>
      <c r="O25" s="33">
        <f>'17'!O36</f>
        <v>4.1666666666666664E-2</v>
      </c>
      <c r="P25" s="30">
        <f>'17'!P36</f>
        <v>0.57708333333333328</v>
      </c>
      <c r="Q25" s="30">
        <f>'17'!Q36</f>
        <v>8.7091666666666665</v>
      </c>
      <c r="R25" s="47"/>
      <c r="S25" s="47"/>
      <c r="T25" s="47"/>
      <c r="U25" s="46"/>
    </row>
    <row r="26" spans="1:24" s="34" customFormat="1" x14ac:dyDescent="0.25">
      <c r="A26" s="36" t="str">
        <f>'18'!$B$2</f>
        <v>18/04/2025 01:00</v>
      </c>
      <c r="B26" s="33">
        <f>'18'!B36</f>
        <v>3.6541666666666668</v>
      </c>
      <c r="C26" s="33">
        <f>'18'!C36</f>
        <v>46.9375</v>
      </c>
      <c r="D26" s="33">
        <f>'18'!D36</f>
        <v>43.457083333333344</v>
      </c>
      <c r="E26" s="33">
        <f>'18'!E36</f>
        <v>3.1241666666666674</v>
      </c>
      <c r="F26" s="33">
        <f>'18'!F36</f>
        <v>14.464166666666666</v>
      </c>
      <c r="G26" s="33">
        <f>'18'!G36</f>
        <v>46.194166666666661</v>
      </c>
      <c r="H26" s="33">
        <f>'18'!H36</f>
        <v>13.991249999999999</v>
      </c>
      <c r="I26" s="33">
        <f>'18'!I36</f>
        <v>4.0816666666666661</v>
      </c>
      <c r="J26" s="33">
        <f>'18'!J36</f>
        <v>1.8162499999999999</v>
      </c>
      <c r="K26" s="33">
        <f>'18'!K36</f>
        <v>257.32250000000005</v>
      </c>
      <c r="L26" s="33">
        <f>'18'!L36</f>
        <v>30.567500000000006</v>
      </c>
      <c r="M26" s="33">
        <f>'18'!M36</f>
        <v>54.748749999999994</v>
      </c>
      <c r="N26" s="33">
        <f>'18'!N36</f>
        <v>275.93333333333339</v>
      </c>
      <c r="O26" s="33">
        <f>'18'!O36</f>
        <v>0</v>
      </c>
      <c r="P26" s="30">
        <f>'18'!P36</f>
        <v>0.46541666666666676</v>
      </c>
      <c r="Q26" s="30">
        <f>'18'!Q36</f>
        <v>8.6316666666666659</v>
      </c>
      <c r="R26" s="47"/>
      <c r="S26" s="47"/>
      <c r="T26" s="47"/>
      <c r="U26" s="46"/>
    </row>
    <row r="27" spans="1:24" s="34" customFormat="1" x14ac:dyDescent="0.25">
      <c r="A27" s="36" t="str">
        <f>'19'!$B$2</f>
        <v>19/04/2025 01:00</v>
      </c>
      <c r="B27" s="33">
        <f>'19'!B36</f>
        <v>8.5879166666666666</v>
      </c>
      <c r="C27" s="33">
        <f>'19'!C36</f>
        <v>57.857083333333328</v>
      </c>
      <c r="D27" s="33">
        <f>'19'!D36</f>
        <v>49.512083333333329</v>
      </c>
      <c r="E27" s="33">
        <f>'19'!E36</f>
        <v>5.8841666666666654</v>
      </c>
      <c r="F27" s="33">
        <f>'19'!F36</f>
        <v>16.526666666666667</v>
      </c>
      <c r="G27" s="33">
        <f>'19'!G36</f>
        <v>45.313333333333333</v>
      </c>
      <c r="H27" s="33">
        <f>'19'!H36</f>
        <v>15.324166666666668</v>
      </c>
      <c r="I27" s="33">
        <f>'19'!I36</f>
        <v>4.1154166666666674</v>
      </c>
      <c r="J27" s="33">
        <f>'19'!J36</f>
        <v>1.9312499999999997</v>
      </c>
      <c r="K27" s="33">
        <f>'19'!K36</f>
        <v>241.66791666666668</v>
      </c>
      <c r="L27" s="33">
        <f>'19'!L36</f>
        <v>31.557916666666671</v>
      </c>
      <c r="M27" s="33">
        <f>'19'!M36</f>
        <v>51.85499999999999</v>
      </c>
      <c r="N27" s="33">
        <f>'19'!N36</f>
        <v>295.72916666666663</v>
      </c>
      <c r="O27" s="33">
        <f>'19'!O36</f>
        <v>0</v>
      </c>
      <c r="P27" s="30">
        <f>'19'!P36</f>
        <v>0.64291666666666669</v>
      </c>
      <c r="Q27" s="30">
        <f>'19'!Q36</f>
        <v>9.2770833333333318</v>
      </c>
      <c r="R27" s="47"/>
      <c r="S27" s="47"/>
      <c r="T27" s="47"/>
      <c r="U27" s="46"/>
    </row>
    <row r="28" spans="1:24" s="34" customFormat="1" x14ac:dyDescent="0.25">
      <c r="A28" s="36" t="str">
        <f>'20'!$B$2</f>
        <v>20/04/2025 01:00</v>
      </c>
      <c r="B28" s="33">
        <f>'20'!B36</f>
        <v>12.800416666666663</v>
      </c>
      <c r="C28" s="33">
        <f>'20'!C36</f>
        <v>71.222500000000011</v>
      </c>
      <c r="D28" s="33">
        <f>'20'!D36</f>
        <v>58.734999999999992</v>
      </c>
      <c r="E28" s="33">
        <f>'20'!E36</f>
        <v>6.4266666666666667</v>
      </c>
      <c r="F28" s="33">
        <f>'20'!F36</f>
        <v>21.383333333333329</v>
      </c>
      <c r="G28" s="33">
        <f>'20'!G36</f>
        <v>67.202083333333348</v>
      </c>
      <c r="H28" s="33">
        <f>'20'!H36</f>
        <v>20.978749999999994</v>
      </c>
      <c r="I28" s="33">
        <f>'20'!I36</f>
        <v>4.0950000000000006</v>
      </c>
      <c r="J28" s="33">
        <f>'20'!J36</f>
        <v>1.6491666666666669</v>
      </c>
      <c r="K28" s="33">
        <f>'20'!K36</f>
        <v>260.66874999999993</v>
      </c>
      <c r="L28" s="33">
        <f>'20'!L36</f>
        <v>33.659999999999989</v>
      </c>
      <c r="M28" s="33">
        <f>'20'!M36</f>
        <v>45.319583333333334</v>
      </c>
      <c r="N28" s="33">
        <f>'20'!N36</f>
        <v>313.19166666666672</v>
      </c>
      <c r="O28" s="33">
        <f>'20'!O36</f>
        <v>0</v>
      </c>
      <c r="P28" s="30">
        <f>'20'!P36</f>
        <v>0.73291666666666677</v>
      </c>
      <c r="Q28" s="30">
        <f>'20'!Q36</f>
        <v>9.6325000000000021</v>
      </c>
      <c r="R28" s="47"/>
      <c r="S28" s="47"/>
      <c r="T28" s="47"/>
      <c r="U28" s="46"/>
    </row>
    <row r="29" spans="1:24" s="34" customFormat="1" x14ac:dyDescent="0.25">
      <c r="A29" s="36" t="str">
        <f>'21'!$B$2</f>
        <v>21/04/2025 01:00</v>
      </c>
      <c r="B29" s="33">
        <f>'21'!B36</f>
        <v>18.490833333333331</v>
      </c>
      <c r="C29" s="33">
        <f>'21'!C36</f>
        <v>77.301249999999996</v>
      </c>
      <c r="D29" s="33">
        <f>'21'!D36</f>
        <v>59.652500000000003</v>
      </c>
      <c r="E29" s="33">
        <f>'21'!E36</f>
        <v>8.0929166666666674</v>
      </c>
      <c r="F29" s="33">
        <f>'21'!F36</f>
        <v>20.84</v>
      </c>
      <c r="G29" s="33">
        <f>'21'!G36</f>
        <v>55.926666666666669</v>
      </c>
      <c r="H29" s="33">
        <f>'21'!H36</f>
        <v>18.730833333333333</v>
      </c>
      <c r="I29" s="33">
        <f>'21'!I36</f>
        <v>4.0891666666666673</v>
      </c>
      <c r="J29" s="33">
        <f>'21'!J36</f>
        <v>1.571666666666667</v>
      </c>
      <c r="K29" s="33">
        <f>'21'!K36</f>
        <v>265.46791666666661</v>
      </c>
      <c r="L29" s="33">
        <f>'21'!L36</f>
        <v>34.083333333333343</v>
      </c>
      <c r="M29" s="33">
        <f>'21'!M36</f>
        <v>37.903333333333329</v>
      </c>
      <c r="N29" s="33">
        <f>'21'!N36</f>
        <v>314.37083333333334</v>
      </c>
      <c r="O29" s="33">
        <f>'21'!O36</f>
        <v>0</v>
      </c>
      <c r="P29" s="30">
        <f>'21'!P36</f>
        <v>0.86875000000000024</v>
      </c>
      <c r="Q29" s="30">
        <f>'21'!Q36</f>
        <v>9.5666666666666647</v>
      </c>
      <c r="R29" s="47"/>
      <c r="S29" s="47"/>
      <c r="T29" s="47"/>
      <c r="U29" s="46"/>
    </row>
    <row r="30" spans="1:24" s="34" customFormat="1" x14ac:dyDescent="0.25">
      <c r="A30" s="36" t="str">
        <f>'22'!$B$2</f>
        <v>22/04/2025 01:00</v>
      </c>
      <c r="B30" s="33">
        <f>'22'!B36</f>
        <v>19.717916666666667</v>
      </c>
      <c r="C30" s="33">
        <f>'22'!C36</f>
        <v>75.293749999999989</v>
      </c>
      <c r="D30" s="33">
        <f>'22'!D36</f>
        <v>74.690833333333316</v>
      </c>
      <c r="E30" s="33">
        <f>'22'!E36</f>
        <v>7.5966666666666685</v>
      </c>
      <c r="F30" s="33">
        <f>'22'!F36</f>
        <v>17.499166666666667</v>
      </c>
      <c r="G30" s="33">
        <f>'22'!G36</f>
        <v>74.187391304347813</v>
      </c>
      <c r="H30" s="33">
        <f>'22'!H36</f>
        <v>18.605217391304347</v>
      </c>
      <c r="I30" s="33">
        <f>'22'!I36</f>
        <v>4.0900000000000007</v>
      </c>
      <c r="J30" s="33">
        <f>'22'!J36</f>
        <v>1.6970833333333333</v>
      </c>
      <c r="K30" s="33">
        <f>'22'!K36</f>
        <v>289.60916666666668</v>
      </c>
      <c r="L30" s="33">
        <f>'22'!L36</f>
        <v>36.180416666666673</v>
      </c>
      <c r="M30" s="33">
        <f>'22'!M36</f>
        <v>28.671250000000001</v>
      </c>
      <c r="N30" s="33">
        <f>'22'!N36</f>
        <v>326.20833333333331</v>
      </c>
      <c r="O30" s="33">
        <f>'22'!O36</f>
        <v>0</v>
      </c>
      <c r="P30" s="30">
        <f>'22'!P36</f>
        <v>0.88375000000000015</v>
      </c>
      <c r="Q30" s="30">
        <f>'22'!Q36</f>
        <v>9.4787500000000016</v>
      </c>
      <c r="R30" s="47"/>
      <c r="S30" s="46"/>
      <c r="T30" s="46"/>
      <c r="U30" s="46"/>
    </row>
    <row r="31" spans="1:24" s="34" customFormat="1" x14ac:dyDescent="0.25">
      <c r="A31" s="36" t="str">
        <f>'23'!$B$2</f>
        <v>23/04/2025 01:00</v>
      </c>
      <c r="B31" s="33">
        <f>'23'!B36</f>
        <v>41.752083333333339</v>
      </c>
      <c r="C31" s="33">
        <f>'23'!C36</f>
        <v>72.809166666666684</v>
      </c>
      <c r="D31" s="33">
        <f>'23'!D36</f>
        <v>77.130833333333342</v>
      </c>
      <c r="E31" s="33">
        <f>'23'!E36</f>
        <v>8.5541666666666689</v>
      </c>
      <c r="F31" s="33">
        <f>'23'!F36</f>
        <v>15.592499999999996</v>
      </c>
      <c r="G31" s="33">
        <f>'23'!G36</f>
        <v>71.456250000000011</v>
      </c>
      <c r="H31" s="33">
        <f>'23'!H36</f>
        <v>21.358333333333338</v>
      </c>
      <c r="I31" s="33">
        <f>'23'!I36</f>
        <v>4.1054166666666667</v>
      </c>
      <c r="J31" s="33">
        <f>'23'!J36</f>
        <v>1.8174999999999997</v>
      </c>
      <c r="K31" s="33">
        <f>'23'!K36</f>
        <v>280.1495833333334</v>
      </c>
      <c r="L31" s="33">
        <f>'23'!L36</f>
        <v>37.96541666666667</v>
      </c>
      <c r="M31" s="33">
        <f>'23'!M36</f>
        <v>32.751249999999999</v>
      </c>
      <c r="N31" s="33">
        <f>'23'!N36</f>
        <v>307.53749999999997</v>
      </c>
      <c r="O31" s="33">
        <f>'23'!O36</f>
        <v>0</v>
      </c>
      <c r="P31" s="33">
        <f>'23'!P36</f>
        <v>1.1866666666666668</v>
      </c>
      <c r="Q31" s="33">
        <f>'23'!Q36</f>
        <v>9.5562500000000004</v>
      </c>
      <c r="R31" s="46"/>
      <c r="S31" s="46"/>
      <c r="T31" s="46"/>
      <c r="U31" s="46"/>
    </row>
    <row r="32" spans="1:24" s="34" customFormat="1" x14ac:dyDescent="0.25">
      <c r="A32" s="36" t="str">
        <f>'24'!$B$2</f>
        <v>24/04/2025 01:00</v>
      </c>
      <c r="B32" s="33">
        <f>'24'!B36</f>
        <v>23.68416666666667</v>
      </c>
      <c r="C32" s="33">
        <f>'24'!C36</f>
        <v>53.988333333333337</v>
      </c>
      <c r="D32" s="33">
        <f>'24'!D36</f>
        <v>69.131249999999994</v>
      </c>
      <c r="E32" s="33">
        <f>'24'!E36</f>
        <v>9.9116666666666671</v>
      </c>
      <c r="F32" s="33">
        <f>'24'!F36</f>
        <v>17.995833333333334</v>
      </c>
      <c r="G32" s="33">
        <f>'24'!G36</f>
        <v>59.324999999999989</v>
      </c>
      <c r="H32" s="33">
        <f>'24'!H36</f>
        <v>22.768749999999997</v>
      </c>
      <c r="I32" s="33">
        <f>'24'!I36</f>
        <v>4.0633333333333335</v>
      </c>
      <c r="J32" s="33">
        <f>'24'!J36</f>
        <v>2.085833333333333</v>
      </c>
      <c r="K32" s="33">
        <f>'24'!K36</f>
        <v>285.74458333333337</v>
      </c>
      <c r="L32" s="33">
        <f>'24'!L36</f>
        <v>38.925833333333337</v>
      </c>
      <c r="M32" s="33">
        <f>'24'!M36</f>
        <v>27.535833333333333</v>
      </c>
      <c r="N32" s="33">
        <f>'24'!N36</f>
        <v>320.91250000000002</v>
      </c>
      <c r="O32" s="33">
        <f>'24'!O36</f>
        <v>0</v>
      </c>
      <c r="P32" s="33">
        <f>'24'!P36</f>
        <v>0.9279166666666665</v>
      </c>
      <c r="Q32" s="33">
        <f>'24'!Q36</f>
        <v>9.6024999999999991</v>
      </c>
      <c r="R32" s="46"/>
      <c r="S32" s="46"/>
      <c r="T32" s="46"/>
      <c r="U32" s="46"/>
    </row>
    <row r="33" spans="1:21" s="34" customFormat="1" x14ac:dyDescent="0.25">
      <c r="A33" s="36" t="str">
        <f>'25'!$B$2</f>
        <v>25/04/2025 01:00</v>
      </c>
      <c r="B33" s="33">
        <f>'25'!B36</f>
        <v>28.935416666666665</v>
      </c>
      <c r="C33" s="33">
        <f>'25'!C36</f>
        <v>63.725833333333334</v>
      </c>
      <c r="D33" s="33">
        <f>'25'!D36</f>
        <v>78.45416666666668</v>
      </c>
      <c r="E33" s="33">
        <f>'25'!E36</f>
        <v>10.068749999999998</v>
      </c>
      <c r="F33" s="33">
        <f>'25'!F36</f>
        <v>18.425416666666667</v>
      </c>
      <c r="G33" s="33">
        <f>'25'!G36</f>
        <v>71.262500000000003</v>
      </c>
      <c r="H33" s="33">
        <f>'25'!H36</f>
        <v>17.307500000000001</v>
      </c>
      <c r="I33" s="33">
        <f>'25'!I36</f>
        <v>4.0829166666666667</v>
      </c>
      <c r="J33" s="33">
        <f>'25'!J36</f>
        <v>2.1941666666666668</v>
      </c>
      <c r="K33" s="33">
        <f>'25'!K36</f>
        <v>277.43833333333333</v>
      </c>
      <c r="L33" s="33">
        <f>'25'!L36</f>
        <v>38.735833333333332</v>
      </c>
      <c r="M33" s="33">
        <f>'25'!M36</f>
        <v>29.008333333333336</v>
      </c>
      <c r="N33" s="33">
        <f>'25'!N36</f>
        <v>359.0958333333333</v>
      </c>
      <c r="O33" s="33">
        <f>'25'!O36</f>
        <v>0</v>
      </c>
      <c r="P33" s="33">
        <f>'25'!P36</f>
        <v>0.99499999999999977</v>
      </c>
      <c r="Q33" s="33">
        <f>'25'!Q36</f>
        <v>9.8045833333333352</v>
      </c>
      <c r="R33" s="46"/>
      <c r="S33" s="46"/>
      <c r="T33" s="46"/>
      <c r="U33" s="46"/>
    </row>
    <row r="34" spans="1:21" s="34" customFormat="1" x14ac:dyDescent="0.25">
      <c r="A34" s="36" t="str">
        <f>'26'!$B$2</f>
        <v>26/04/2025 01:00</v>
      </c>
      <c r="B34" s="33">
        <f>'26'!B36</f>
        <v>8.3191666666666695</v>
      </c>
      <c r="C34" s="33">
        <f>'26'!C36</f>
        <v>36.566250000000004</v>
      </c>
      <c r="D34" s="33">
        <f>'26'!D36</f>
        <v>57.576666666666661</v>
      </c>
      <c r="E34" s="33">
        <f>'26'!E36</f>
        <v>12.546249999999999</v>
      </c>
      <c r="F34" s="33">
        <f>'26'!F36</f>
        <v>15.300000000000002</v>
      </c>
      <c r="G34" s="33">
        <f>'26'!G36</f>
        <v>58.932500000000005</v>
      </c>
      <c r="H34" s="33">
        <f>'26'!H36</f>
        <v>28.127083333333335</v>
      </c>
      <c r="I34" s="33">
        <f>'26'!I36</f>
        <v>4.1075000000000017</v>
      </c>
      <c r="J34" s="33">
        <f>'26'!J36</f>
        <v>2.5950000000000002</v>
      </c>
      <c r="K34" s="33">
        <f>'26'!K36</f>
        <v>257.24</v>
      </c>
      <c r="L34" s="33">
        <f>'26'!L36</f>
        <v>38.10499999999999</v>
      </c>
      <c r="M34" s="33">
        <f>'26'!M36</f>
        <v>32.784999999999997</v>
      </c>
      <c r="N34" s="33">
        <f>'26'!N36</f>
        <v>318.78333333333342</v>
      </c>
      <c r="O34" s="33">
        <f>'26'!O36</f>
        <v>0</v>
      </c>
      <c r="P34" s="33">
        <f>'26'!P36</f>
        <v>0.66666666666666663</v>
      </c>
      <c r="Q34" s="33">
        <f>'26'!Q36</f>
        <v>9.5012500000000006</v>
      </c>
      <c r="R34" s="46"/>
      <c r="S34" s="46"/>
      <c r="T34" s="46"/>
      <c r="U34" s="46"/>
    </row>
    <row r="35" spans="1:21" s="34" customFormat="1" x14ac:dyDescent="0.25">
      <c r="A35" s="36" t="str">
        <f>'27'!$B$2</f>
        <v>27/04/2025 01:00</v>
      </c>
      <c r="B35" s="33">
        <f>'27'!B36</f>
        <v>6.027916666666667</v>
      </c>
      <c r="C35" s="33">
        <f>'27'!C36</f>
        <v>31.69458333333333</v>
      </c>
      <c r="D35" s="33">
        <f>'27'!D36</f>
        <v>51.800000000000004</v>
      </c>
      <c r="E35" s="33">
        <f>'27'!E36</f>
        <v>3.2408333333333328</v>
      </c>
      <c r="F35" s="33">
        <f>'27'!F36</f>
        <v>11.202083333333334</v>
      </c>
      <c r="G35" s="33">
        <f>'27'!G36</f>
        <v>43.122083333333336</v>
      </c>
      <c r="H35" s="33">
        <f>'27'!H36</f>
        <v>13.507083333333336</v>
      </c>
      <c r="I35" s="33">
        <f>'27'!I36</f>
        <v>4.1029166666666663</v>
      </c>
      <c r="J35" s="33">
        <f>'27'!J36</f>
        <v>2.9291666666666667</v>
      </c>
      <c r="K35" s="33">
        <f>'27'!K36</f>
        <v>244.22541666666666</v>
      </c>
      <c r="L35" s="33">
        <f>'27'!L36</f>
        <v>32.825416666666662</v>
      </c>
      <c r="M35" s="33">
        <f>'27'!M36</f>
        <v>59.738749999999989</v>
      </c>
      <c r="N35" s="33">
        <f>'27'!N36</f>
        <v>334</v>
      </c>
      <c r="O35" s="33">
        <f>'27'!O36</f>
        <v>0.33333333333333331</v>
      </c>
      <c r="P35" s="30">
        <f>'27'!P36</f>
        <v>0.54041666666666666</v>
      </c>
      <c r="Q35" s="33">
        <f>'27'!Q36</f>
        <v>9.4908333333333328</v>
      </c>
      <c r="R35" s="46"/>
      <c r="S35" s="46"/>
      <c r="T35" s="46"/>
      <c r="U35" s="46"/>
    </row>
    <row r="36" spans="1:21" s="34" customFormat="1" x14ac:dyDescent="0.25">
      <c r="A36" s="36" t="str">
        <f>'28'!$B$2</f>
        <v>28/04/2025 01:00</v>
      </c>
      <c r="B36" s="33">
        <f>'28'!B36</f>
        <v>6.470833333333335</v>
      </c>
      <c r="C36" s="33">
        <f>'28'!C36</f>
        <v>29.657499999999999</v>
      </c>
      <c r="D36" s="33">
        <f>'28'!D36</f>
        <v>47.373333333333335</v>
      </c>
      <c r="E36" s="33">
        <f>'28'!E36</f>
        <v>3.7270833333333342</v>
      </c>
      <c r="F36" s="33">
        <f>'28'!F36</f>
        <v>10.782916666666667</v>
      </c>
      <c r="G36" s="33">
        <f>'28'!G36</f>
        <v>37.823333333333331</v>
      </c>
      <c r="H36" s="33">
        <f>'28'!H36</f>
        <v>10.480833333333335</v>
      </c>
      <c r="I36" s="33">
        <f>'28'!I36</f>
        <v>4.0733333333333341</v>
      </c>
      <c r="J36" s="33">
        <f>'28'!J36</f>
        <v>2.8579166666666662</v>
      </c>
      <c r="K36" s="33">
        <f>'28'!K36</f>
        <v>225.86291666666659</v>
      </c>
      <c r="L36" s="33">
        <f>'28'!L36</f>
        <v>31.157916666666669</v>
      </c>
      <c r="M36" s="33">
        <f>'28'!M36</f>
        <v>60.527916666666648</v>
      </c>
      <c r="N36" s="33">
        <f>'28'!N36</f>
        <v>351.03333333333336</v>
      </c>
      <c r="O36" s="33">
        <f>'28'!O36</f>
        <v>2.5000000000000005E-2</v>
      </c>
      <c r="P36" s="30">
        <f>'28'!P36</f>
        <v>0.39500000000000002</v>
      </c>
      <c r="Q36" s="33">
        <f>'28'!Q36</f>
        <v>9.5637499999999989</v>
      </c>
      <c r="R36" s="46"/>
      <c r="S36" s="46"/>
      <c r="T36" s="46"/>
      <c r="U36" s="46"/>
    </row>
    <row r="37" spans="1:21" s="34" customFormat="1" x14ac:dyDescent="0.25">
      <c r="A37" s="36" t="str">
        <f>'29'!$B$2</f>
        <v>29/04/2025 01:00</v>
      </c>
      <c r="B37" s="33">
        <f>'29'!B36</f>
        <v>6.2974999999999994</v>
      </c>
      <c r="C37" s="33">
        <f>'29'!C36</f>
        <v>25.903333333333325</v>
      </c>
      <c r="D37" s="33">
        <f>'29'!D36</f>
        <v>40.577500000000001</v>
      </c>
      <c r="E37" s="33">
        <f>'29'!E36</f>
        <v>3.0666666666666664</v>
      </c>
      <c r="F37" s="33">
        <f>'29'!F36</f>
        <v>9.1974999999999998</v>
      </c>
      <c r="G37" s="33">
        <f>'29'!G36</f>
        <v>23.916666666666661</v>
      </c>
      <c r="H37" s="33">
        <f>'29'!H36</f>
        <v>7.529166666666665</v>
      </c>
      <c r="I37" s="33">
        <f>'29'!I36</f>
        <v>4.0887500000000001</v>
      </c>
      <c r="J37" s="33">
        <f>'29'!J36</f>
        <v>2.9024999999999999</v>
      </c>
      <c r="K37" s="33">
        <f>'29'!K36</f>
        <v>199.0129166666666</v>
      </c>
      <c r="L37" s="33">
        <f>'29'!L36</f>
        <v>31.20333333333333</v>
      </c>
      <c r="M37" s="33">
        <f>'29'!M36</f>
        <v>67.882499999999993</v>
      </c>
      <c r="N37" s="33">
        <f>'29'!N36</f>
        <v>361.70833333333326</v>
      </c>
      <c r="O37" s="33">
        <f>'29'!O36</f>
        <v>0</v>
      </c>
      <c r="P37" s="33">
        <f>'29'!P36</f>
        <v>0.32333333333333336</v>
      </c>
      <c r="Q37" s="33">
        <f>'29'!Q36</f>
        <v>9.5266666666666655</v>
      </c>
      <c r="R37" s="46"/>
      <c r="S37" s="46"/>
      <c r="T37" s="46"/>
      <c r="U37" s="46"/>
    </row>
    <row r="38" spans="1:21" s="34" customFormat="1" x14ac:dyDescent="0.25">
      <c r="A38" s="36" t="str">
        <f>'30'!$B$2</f>
        <v>30/04/2025 01:00</v>
      </c>
      <c r="B38" s="33">
        <f>'30'!B36</f>
        <v>5.9433333333333325</v>
      </c>
      <c r="C38" s="33">
        <f>'30'!C36</f>
        <v>25.557916666666667</v>
      </c>
      <c r="D38" s="33">
        <f>'30'!D36</f>
        <v>40.409999999999997</v>
      </c>
      <c r="E38" s="33">
        <f>'30'!E36</f>
        <v>2.8733333333333331</v>
      </c>
      <c r="F38" s="33">
        <f>'30'!F36</f>
        <v>12.943333333333333</v>
      </c>
      <c r="G38" s="33">
        <f>'30'!G36</f>
        <v>21.564583333333331</v>
      </c>
      <c r="H38" s="33">
        <f>'30'!H36</f>
        <v>7.2300000000000013</v>
      </c>
      <c r="I38" s="33">
        <f>'30'!I36</f>
        <v>4.0791666666666666</v>
      </c>
      <c r="J38" s="33">
        <f>'30'!J36</f>
        <v>2.6187499999999999</v>
      </c>
      <c r="K38" s="33">
        <f>'30'!K36</f>
        <v>154.85999999999999</v>
      </c>
      <c r="L38" s="33">
        <f>'30'!L36</f>
        <v>31.208750000000006</v>
      </c>
      <c r="M38" s="33">
        <f>'30'!M36</f>
        <v>60.384166666666658</v>
      </c>
      <c r="N38" s="33">
        <f>'30'!N36</f>
        <v>373.56666666666683</v>
      </c>
      <c r="O38" s="33">
        <f>'30'!O36</f>
        <v>0</v>
      </c>
      <c r="P38" s="33">
        <f>'30'!P36</f>
        <v>0.34375000000000006</v>
      </c>
      <c r="Q38" s="33">
        <f>'30'!Q36</f>
        <v>9.4670833333333313</v>
      </c>
      <c r="R38" s="46"/>
      <c r="S38" s="46"/>
      <c r="T38" s="46"/>
      <c r="U38" s="46"/>
    </row>
    <row r="39" spans="1:21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8"/>
    </row>
    <row r="40" spans="1:21" s="21" customFormat="1" x14ac:dyDescent="0.25">
      <c r="A40" s="14" t="s">
        <v>30</v>
      </c>
      <c r="B40" s="15">
        <f t="shared" ref="B40:Q40" si="0">MIN(B9:B38)</f>
        <v>2.8870833333333343</v>
      </c>
      <c r="C40" s="15">
        <f t="shared" si="0"/>
        <v>25.557916666666667</v>
      </c>
      <c r="D40" s="15">
        <f t="shared" si="0"/>
        <v>40.409999999999997</v>
      </c>
      <c r="E40" s="15">
        <f t="shared" si="0"/>
        <v>2.8733333333333331</v>
      </c>
      <c r="F40" s="15">
        <f t="shared" si="0"/>
        <v>9.1974999999999998</v>
      </c>
      <c r="G40" s="15">
        <f t="shared" si="0"/>
        <v>21.564583333333331</v>
      </c>
      <c r="H40" s="15">
        <f t="shared" si="0"/>
        <v>7.2300000000000013</v>
      </c>
      <c r="I40" s="15">
        <f t="shared" si="0"/>
        <v>4.0633333333333335</v>
      </c>
      <c r="J40" s="15">
        <f t="shared" si="0"/>
        <v>0.81333333333333335</v>
      </c>
      <c r="K40" s="15">
        <f t="shared" si="0"/>
        <v>154.85999999999999</v>
      </c>
      <c r="L40" s="15">
        <f t="shared" si="0"/>
        <v>24.179166666666664</v>
      </c>
      <c r="M40" s="15">
        <f t="shared" si="0"/>
        <v>26.470000000000002</v>
      </c>
      <c r="N40" s="15">
        <f t="shared" si="0"/>
        <v>152.42916666666667</v>
      </c>
      <c r="O40" s="15">
        <f t="shared" si="0"/>
        <v>0</v>
      </c>
      <c r="P40" s="15">
        <f t="shared" si="0"/>
        <v>0.32333333333333336</v>
      </c>
      <c r="Q40" s="15">
        <f t="shared" si="0"/>
        <v>8.6316666666666659</v>
      </c>
      <c r="R40" s="28"/>
      <c r="S40" s="28"/>
      <c r="T40" s="28"/>
      <c r="U40" s="28"/>
    </row>
    <row r="41" spans="1:21" s="21" customFormat="1" x14ac:dyDescent="0.25">
      <c r="A41" s="14" t="s">
        <v>31</v>
      </c>
      <c r="B41" s="15">
        <f t="shared" ref="B41:Q41" si="1">MAX(B9:B38)</f>
        <v>83.764166666666668</v>
      </c>
      <c r="C41" s="15">
        <f t="shared" si="1"/>
        <v>133.61958333333334</v>
      </c>
      <c r="D41" s="15">
        <f t="shared" si="1"/>
        <v>154.11111111111111</v>
      </c>
      <c r="E41" s="15">
        <f t="shared" si="1"/>
        <v>46.451250000000009</v>
      </c>
      <c r="F41" s="15">
        <f t="shared" si="1"/>
        <v>21.383333333333329</v>
      </c>
      <c r="G41" s="15">
        <f t="shared" si="1"/>
        <v>131.43749999999997</v>
      </c>
      <c r="H41" s="15">
        <f t="shared" si="1"/>
        <v>92.58</v>
      </c>
      <c r="I41" s="15">
        <f t="shared" si="1"/>
        <v>4.1154166666666674</v>
      </c>
      <c r="J41" s="15">
        <f t="shared" si="1"/>
        <v>2.945416666666667</v>
      </c>
      <c r="K41" s="15">
        <f t="shared" si="1"/>
        <v>327.73208333333332</v>
      </c>
      <c r="L41" s="15">
        <f t="shared" si="1"/>
        <v>41.406666666666673</v>
      </c>
      <c r="M41" s="15">
        <f t="shared" si="1"/>
        <v>67.882499999999993</v>
      </c>
      <c r="N41" s="15">
        <f t="shared" si="1"/>
        <v>373.56666666666683</v>
      </c>
      <c r="O41" s="15">
        <f t="shared" si="1"/>
        <v>0.33333333333333331</v>
      </c>
      <c r="P41" s="15">
        <f t="shared" si="1"/>
        <v>1.5274999999999999</v>
      </c>
      <c r="Q41" s="15">
        <f t="shared" si="1"/>
        <v>9.8266666666666644</v>
      </c>
      <c r="R41" s="28"/>
      <c r="S41" s="28"/>
      <c r="T41" s="28"/>
      <c r="U41" s="28"/>
    </row>
    <row r="42" spans="1:21" s="21" customFormat="1" x14ac:dyDescent="0.25">
      <c r="A42" s="14" t="s">
        <v>32</v>
      </c>
      <c r="B42" s="15">
        <f t="shared" ref="B42:Q42" si="2">AVERAGE(B9:B38)</f>
        <v>19.96717159048681</v>
      </c>
      <c r="C42" s="15">
        <f t="shared" si="2"/>
        <v>64.731868496841329</v>
      </c>
      <c r="D42" s="15">
        <f t="shared" si="2"/>
        <v>76.515979189892221</v>
      </c>
      <c r="E42" s="15">
        <f t="shared" si="2"/>
        <v>9.3300712560386465</v>
      </c>
      <c r="F42" s="15">
        <f t="shared" si="2"/>
        <v>15.963986111111106</v>
      </c>
      <c r="G42" s="15">
        <f t="shared" si="2"/>
        <v>62.926976449275358</v>
      </c>
      <c r="H42" s="15">
        <f t="shared" si="2"/>
        <v>21.881815720611907</v>
      </c>
      <c r="I42" s="15">
        <f t="shared" si="2"/>
        <v>4.0912638888888893</v>
      </c>
      <c r="J42" s="15">
        <f t="shared" si="2"/>
        <v>1.8548055555555552</v>
      </c>
      <c r="K42" s="15">
        <f t="shared" si="2"/>
        <v>255.79384722222224</v>
      </c>
      <c r="L42" s="15">
        <f t="shared" si="2"/>
        <v>31.817527777777784</v>
      </c>
      <c r="M42" s="15">
        <f t="shared" si="2"/>
        <v>42.792277777777777</v>
      </c>
      <c r="N42" s="15">
        <f t="shared" si="2"/>
        <v>296.450138888889</v>
      </c>
      <c r="O42" s="15">
        <f t="shared" si="2"/>
        <v>1.5277777777777777E-2</v>
      </c>
      <c r="P42" s="15">
        <f t="shared" si="2"/>
        <v>0.81436805555555547</v>
      </c>
      <c r="Q42" s="15">
        <f t="shared" si="2"/>
        <v>9.4210383597883602</v>
      </c>
      <c r="R42" s="28"/>
      <c r="S42" s="28"/>
      <c r="T42" s="28"/>
      <c r="U42" s="28"/>
    </row>
    <row r="43" spans="1:21" s="21" customFormat="1" x14ac:dyDescent="0.25">
      <c r="A43" s="14" t="s">
        <v>38</v>
      </c>
      <c r="B43" s="15">
        <f t="shared" ref="B43:Q43" si="3">STDEV(B9:B38)</f>
        <v>18.712470653442434</v>
      </c>
      <c r="C43" s="15">
        <f t="shared" si="3"/>
        <v>26.656543849980014</v>
      </c>
      <c r="D43" s="15">
        <f t="shared" si="3"/>
        <v>29.452292268401035</v>
      </c>
      <c r="E43" s="15">
        <f t="shared" si="3"/>
        <v>9.6568770792524408</v>
      </c>
      <c r="F43" s="15">
        <f t="shared" si="3"/>
        <v>2.8084914189520647</v>
      </c>
      <c r="G43" s="15">
        <f t="shared" si="3"/>
        <v>24.226979702154082</v>
      </c>
      <c r="H43" s="15">
        <f t="shared" si="3"/>
        <v>15.199014500767747</v>
      </c>
      <c r="I43" s="15">
        <f t="shared" si="3"/>
        <v>1.4912533674740215E-2</v>
      </c>
      <c r="J43" s="15">
        <f t="shared" si="3"/>
        <v>0.6528580487859702</v>
      </c>
      <c r="K43" s="15">
        <f t="shared" si="3"/>
        <v>34.013385758024427</v>
      </c>
      <c r="L43" s="15">
        <f t="shared" si="3"/>
        <v>4.1777800740802409</v>
      </c>
      <c r="M43" s="15">
        <f t="shared" si="3"/>
        <v>12.482132692889429</v>
      </c>
      <c r="N43" s="15">
        <f t="shared" si="3"/>
        <v>50.882129837826476</v>
      </c>
      <c r="O43" s="15">
        <f t="shared" si="3"/>
        <v>6.155252458061948E-2</v>
      </c>
      <c r="P43" s="15">
        <f t="shared" si="3"/>
        <v>0.31936555245103221</v>
      </c>
      <c r="Q43" s="15">
        <f t="shared" si="3"/>
        <v>0.34599723809780797</v>
      </c>
      <c r="R43" s="28"/>
      <c r="S43" s="28"/>
      <c r="T43" s="28"/>
      <c r="U43" s="28"/>
    </row>
    <row r="44" spans="1:21" s="21" customFormat="1" x14ac:dyDescent="0.25">
      <c r="A44" s="14" t="s">
        <v>33</v>
      </c>
      <c r="B44" s="12">
        <f t="shared" ref="B44:Q44" si="4">COUNT(B9:B38)</f>
        <v>26</v>
      </c>
      <c r="C44" s="12">
        <f t="shared" si="4"/>
        <v>26</v>
      </c>
      <c r="D44" s="12">
        <f t="shared" si="4"/>
        <v>26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5">
        <f>COUNT(Q9:Q38)+3</f>
        <v>24</v>
      </c>
      <c r="R44" s="29"/>
      <c r="S44" s="29"/>
      <c r="T44" s="29"/>
      <c r="U44" s="29"/>
    </row>
    <row r="45" spans="1:21" s="21" customFormat="1" x14ac:dyDescent="0.25">
      <c r="A45" s="14" t="s">
        <v>34</v>
      </c>
      <c r="B45" s="12" t="str">
        <f>IF(B44&gt;=28,"&gt;90%",IF(B44&lt;=28,"&lt;90%"))</f>
        <v>&lt;90%</v>
      </c>
      <c r="C45" s="12" t="str">
        <f t="shared" ref="C45:Q45" si="5">IF(C44&gt;=28,"&gt;90%",IF(C44&lt;=28,"&lt;90%"))</f>
        <v>&lt;90%</v>
      </c>
      <c r="D45" s="12" t="str">
        <f t="shared" si="5"/>
        <v>&lt;90%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&lt;90%</v>
      </c>
      <c r="R45" s="29"/>
      <c r="S45" s="29"/>
      <c r="T45" s="29"/>
      <c r="U45" s="29"/>
    </row>
    <row r="46" spans="1:21" s="21" customFormat="1" x14ac:dyDescent="0.25">
      <c r="A46" s="14" t="s">
        <v>1</v>
      </c>
      <c r="B46" s="12" t="str">
        <f>IF(B44&gt;=28,"OK",IF(B44&lt;=28,"LESS"))</f>
        <v>LESS</v>
      </c>
      <c r="C46" s="12" t="str">
        <f t="shared" ref="C46:Q46" si="6">IF(C44&gt;=28,"OK",IF(C44&lt;=28,"LESS"))</f>
        <v>LESS</v>
      </c>
      <c r="D46" s="12" t="str">
        <f t="shared" si="6"/>
        <v>LESS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LESS</v>
      </c>
      <c r="R46" s="29"/>
      <c r="S46" s="29"/>
      <c r="T46" s="29"/>
      <c r="U46" s="29"/>
    </row>
    <row r="47" spans="1:21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x14ac:dyDescent="0.25">
      <c r="A49" s="14" t="s">
        <v>35</v>
      </c>
      <c r="B49" s="40" t="s">
        <v>41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x14ac:dyDescent="0.2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 x14ac:dyDescent="0.25">
      <c r="A51" s="17" t="s">
        <v>36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</row>
    <row r="52" spans="1:16" x14ac:dyDescent="0.2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x14ac:dyDescent="0.2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x14ac:dyDescent="0.2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mergeCells count="1">
    <mergeCell ref="B51:P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Manager/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2025-05-05T14:54:24Z</dcterms:modified>
  <cp:category/>
</cp:coreProperties>
</file>