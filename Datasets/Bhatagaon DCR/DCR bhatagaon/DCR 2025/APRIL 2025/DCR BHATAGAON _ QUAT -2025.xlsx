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Q44" i="39" l="1"/>
  <c r="I110" i="41"/>
  <c r="I110" i="40"/>
  <c r="J110" i="33"/>
  <c r="G110" i="33"/>
  <c r="H110" i="33"/>
  <c r="I110" i="32"/>
  <c r="Q110" i="31"/>
  <c r="I110" i="31"/>
  <c r="G110" i="31"/>
  <c r="I110" i="30"/>
  <c r="J110" i="29"/>
  <c r="J110" i="28"/>
  <c r="P110" i="27"/>
  <c r="I110" i="27"/>
  <c r="H110" i="27"/>
  <c r="G110" i="27"/>
  <c r="E110" i="27"/>
  <c r="C110" i="27"/>
  <c r="D110" i="27"/>
  <c r="B110" i="27"/>
  <c r="B110" i="25"/>
  <c r="G110" i="22"/>
  <c r="H110" i="22"/>
  <c r="Q110" i="19"/>
  <c r="P110" i="19"/>
  <c r="H110" i="19"/>
  <c r="G110" i="19"/>
  <c r="E110" i="19"/>
  <c r="C110" i="19"/>
  <c r="D110" i="19"/>
  <c r="B110" i="19"/>
  <c r="Q110" i="17"/>
  <c r="Q110" i="16"/>
  <c r="H110" i="16"/>
  <c r="Q110" i="15"/>
  <c r="Q110" i="12"/>
  <c r="F110" i="12"/>
  <c r="G110" i="12"/>
  <c r="H110" i="12"/>
  <c r="I110" i="12"/>
  <c r="Q110" i="11"/>
  <c r="P110" i="11"/>
  <c r="C110" i="11"/>
  <c r="D110" i="11"/>
  <c r="E110" i="11"/>
  <c r="F110" i="11"/>
  <c r="G110" i="11"/>
  <c r="H110" i="11"/>
  <c r="I110" i="11"/>
  <c r="B110" i="11"/>
  <c r="Q110" i="10"/>
  <c r="H110" i="9"/>
  <c r="H110" i="8"/>
  <c r="C110" i="8"/>
  <c r="D110" i="8"/>
  <c r="E110" i="8"/>
  <c r="F110" i="8"/>
  <c r="G110" i="8"/>
  <c r="I110" i="8"/>
  <c r="J110" i="8"/>
  <c r="K110" i="8"/>
  <c r="L110" i="8"/>
  <c r="M110" i="8"/>
  <c r="N110" i="8"/>
  <c r="O110" i="8"/>
  <c r="P110" i="8"/>
  <c r="Q110" i="8"/>
  <c r="B110" i="8"/>
  <c r="I110" i="3"/>
  <c r="H110" i="3"/>
  <c r="G110" i="3"/>
  <c r="I110" i="2"/>
  <c r="H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L111" i="26" s="1"/>
  <c r="M110" i="26"/>
  <c r="M112" i="26" s="1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/>
  <c r="I110" i="25"/>
  <c r="J110" i="25"/>
  <c r="J112" i="25" s="1"/>
  <c r="K110" i="25"/>
  <c r="K111" i="25" s="1"/>
  <c r="L110" i="25"/>
  <c r="L112" i="25" s="1"/>
  <c r="M110" i="25"/>
  <c r="M111" i="25"/>
  <c r="N110" i="25"/>
  <c r="O110" i="25"/>
  <c r="O112" i="25" s="1"/>
  <c r="P110" i="25"/>
  <c r="P111" i="25" s="1"/>
  <c r="Q110" i="25"/>
  <c r="Q111" i="25" s="1"/>
  <c r="B112" i="25"/>
  <c r="Q110" i="14"/>
  <c r="Q112" i="14" s="1"/>
  <c r="I110" i="14"/>
  <c r="I111" i="14" s="1"/>
  <c r="I110" i="13"/>
  <c r="I111" i="13" s="1"/>
  <c r="I112" i="41"/>
  <c r="J110" i="41"/>
  <c r="J112" i="41" s="1"/>
  <c r="H110" i="41"/>
  <c r="H112" i="41"/>
  <c r="J110" i="40"/>
  <c r="J111" i="40" s="1"/>
  <c r="H110" i="40"/>
  <c r="H111" i="40" s="1"/>
  <c r="I111" i="40"/>
  <c r="G112" i="33"/>
  <c r="H111" i="33"/>
  <c r="I110" i="33"/>
  <c r="I111" i="33" s="1"/>
  <c r="J112" i="33"/>
  <c r="J110" i="32"/>
  <c r="J111" i="32" s="1"/>
  <c r="I112" i="32"/>
  <c r="H110" i="32"/>
  <c r="H111" i="32" s="1"/>
  <c r="H110" i="31"/>
  <c r="H112" i="31" s="1"/>
  <c r="I111" i="31"/>
  <c r="J110" i="31"/>
  <c r="J111" i="31" s="1"/>
  <c r="G112" i="31"/>
  <c r="J110" i="30"/>
  <c r="J112" i="30" s="1"/>
  <c r="J111" i="30"/>
  <c r="I112" i="30"/>
  <c r="H110" i="30"/>
  <c r="H112" i="30" s="1"/>
  <c r="J112" i="29"/>
  <c r="I110" i="29"/>
  <c r="I112" i="29" s="1"/>
  <c r="H110" i="29"/>
  <c r="H112" i="29" s="1"/>
  <c r="J111" i="28"/>
  <c r="I110" i="28"/>
  <c r="I112" i="28" s="1"/>
  <c r="H110" i="28"/>
  <c r="H111" i="28"/>
  <c r="I112" i="27"/>
  <c r="C111" i="27"/>
  <c r="D111" i="27"/>
  <c r="E112" i="27"/>
  <c r="F110" i="27"/>
  <c r="F112" i="27" s="1"/>
  <c r="G112" i="27"/>
  <c r="H111" i="27"/>
  <c r="J110" i="27"/>
  <c r="K110" i="27"/>
  <c r="L110" i="27"/>
  <c r="L112" i="27" s="1"/>
  <c r="M110" i="27"/>
  <c r="M111" i="27" s="1"/>
  <c r="N110" i="27"/>
  <c r="N111" i="27" s="1"/>
  <c r="O110" i="27"/>
  <c r="Q110" i="27"/>
  <c r="Q111" i="26"/>
  <c r="N111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0" i="17"/>
  <c r="H112" i="17" s="1"/>
  <c r="H111" i="16"/>
  <c r="I110" i="16"/>
  <c r="I111" i="16" s="1"/>
  <c r="J110" i="16"/>
  <c r="J111" i="16" s="1"/>
  <c r="H110" i="15"/>
  <c r="H111" i="15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0" i="12"/>
  <c r="J112" i="12"/>
  <c r="H111" i="12"/>
  <c r="I112" i="12"/>
  <c r="J110" i="11"/>
  <c r="J111" i="11"/>
  <c r="I111" i="11"/>
  <c r="H111" i="11"/>
  <c r="G112" i="11"/>
  <c r="J110" i="10"/>
  <c r="J112" i="10" s="1"/>
  <c r="I110" i="10"/>
  <c r="I111" i="10" s="1"/>
  <c r="H110" i="10"/>
  <c r="H112" i="10" s="1"/>
  <c r="J110" i="9"/>
  <c r="J111" i="9" s="1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/>
  <c r="F110" i="2"/>
  <c r="F111" i="2" s="1"/>
  <c r="G110" i="2"/>
  <c r="G112" i="2" s="1"/>
  <c r="H112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2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/>
  <c r="L110" i="41"/>
  <c r="L111" i="41" s="1"/>
  <c r="K110" i="41"/>
  <c r="K112" i="4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O38" i="39" s="1"/>
  <c r="N108" i="41"/>
  <c r="N38" i="39" s="1"/>
  <c r="M108" i="41"/>
  <c r="L108" i="41"/>
  <c r="K108" i="41"/>
  <c r="K38" i="39" s="1"/>
  <c r="J108" i="41"/>
  <c r="J38" i="39" s="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I37" i="39" s="1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N36" i="39" s="1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/>
  <c r="E110" i="32"/>
  <c r="E112" i="32" s="1"/>
  <c r="E111" i="32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1" i="31" s="1"/>
  <c r="N112" i="3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H34" i="39" s="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/>
  <c r="O110" i="30"/>
  <c r="O112" i="30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L33" i="39" s="1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/>
  <c r="M110" i="29"/>
  <c r="M112" i="29" s="1"/>
  <c r="L110" i="29"/>
  <c r="L111" i="29" s="1"/>
  <c r="K110" i="29"/>
  <c r="K112" i="29" s="1"/>
  <c r="G110" i="29"/>
  <c r="G111" i="29"/>
  <c r="F110" i="29"/>
  <c r="F111" i="29" s="1"/>
  <c r="E110" i="29"/>
  <c r="E112" i="29" s="1"/>
  <c r="D110" i="29"/>
  <c r="D111" i="29" s="1"/>
  <c r="D112" i="29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H32" i="39" s="1"/>
  <c r="G108" i="29"/>
  <c r="G32" i="39" s="1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1" i="28"/>
  <c r="G110" i="28"/>
  <c r="G112" i="28" s="1"/>
  <c r="F110" i="28"/>
  <c r="F111" i="28" s="1"/>
  <c r="E110" i="28"/>
  <c r="E112" i="28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K112" i="27"/>
  <c r="J112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C30" i="39" s="1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D29" i="39" s="1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I28" i="39" s="1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1" i="24" s="1"/>
  <c r="P112" i="24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/>
  <c r="D110" i="24"/>
  <c r="D111" i="24" s="1"/>
  <c r="D112" i="24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/>
  <c r="J108" i="24"/>
  <c r="J27" i="39" s="1"/>
  <c r="I108" i="24"/>
  <c r="I27" i="39" s="1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1" i="23" s="1"/>
  <c r="P112" i="23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H25" i="39" s="1"/>
  <c r="G108" i="22"/>
  <c r="G25" i="39" s="1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/>
  <c r="P110" i="21"/>
  <c r="P111" i="21" s="1"/>
  <c r="O110" i="21"/>
  <c r="O112" i="2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 s="1"/>
  <c r="E110" i="21"/>
  <c r="E112" i="21" s="1"/>
  <c r="D110" i="2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2" i="20" s="1"/>
  <c r="N111" i="20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1" i="20" s="1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 s="1"/>
  <c r="H108" i="20"/>
  <c r="G108" i="20"/>
  <c r="F108" i="20"/>
  <c r="F23" i="39" s="1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2" i="19"/>
  <c r="O110" i="19"/>
  <c r="O112" i="19" s="1"/>
  <c r="N110" i="19"/>
  <c r="N112" i="19" s="1"/>
  <c r="M110" i="19"/>
  <c r="M111" i="19"/>
  <c r="L110" i="19"/>
  <c r="L112" i="19" s="1"/>
  <c r="K110" i="19"/>
  <c r="K111" i="19"/>
  <c r="G112" i="19"/>
  <c r="F110" i="19"/>
  <c r="F112" i="19"/>
  <c r="E111" i="19"/>
  <c r="D112" i="19"/>
  <c r="C111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L22" i="39" s="1"/>
  <c r="K108" i="19"/>
  <c r="K22" i="39" s="1"/>
  <c r="J108" i="19"/>
  <c r="I108" i="19"/>
  <c r="I22" i="39" s="1"/>
  <c r="H108" i="19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0" i="18"/>
  <c r="J111" i="18" s="1"/>
  <c r="I110" i="18"/>
  <c r="I112" i="18" s="1"/>
  <c r="H110" i="18"/>
  <c r="H111" i="18" s="1"/>
  <c r="G110" i="18"/>
  <c r="G112" i="18" s="1"/>
  <c r="G111" i="18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/>
  <c r="I108" i="17"/>
  <c r="I20" i="39" s="1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1" i="15" s="1"/>
  <c r="M110" i="15"/>
  <c r="M112" i="15" s="1"/>
  <c r="L110" i="15"/>
  <c r="L112" i="15" s="1"/>
  <c r="L111" i="15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G18" i="39" s="1"/>
  <c r="F108" i="15"/>
  <c r="F18" i="39" s="1"/>
  <c r="E108" i="15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2" i="13" s="1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2" i="12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2" i="12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 s="1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1" i="11"/>
  <c r="P112" i="11"/>
  <c r="O110" i="11"/>
  <c r="O112" i="11" s="1"/>
  <c r="N110" i="11"/>
  <c r="N112" i="11" s="1"/>
  <c r="M110" i="11"/>
  <c r="M112" i="11" s="1"/>
  <c r="L110" i="11"/>
  <c r="L112" i="11" s="1"/>
  <c r="K110" i="11"/>
  <c r="K112" i="11" s="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P108" i="11"/>
  <c r="P14" i="39" s="1"/>
  <c r="O108" i="11"/>
  <c r="O14" i="39"/>
  <c r="N108" i="11"/>
  <c r="N14" i="39" s="1"/>
  <c r="M108" i="11"/>
  <c r="M14" i="39" s="1"/>
  <c r="L108" i="11"/>
  <c r="K108" i="11"/>
  <c r="K14" i="39" s="1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1" i="10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/>
  <c r="N108" i="9"/>
  <c r="N12" i="39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/>
  <c r="L108" i="8"/>
  <c r="L11" i="39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C108" i="8"/>
  <c r="B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C108" i="3"/>
  <c r="B108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M38" i="39"/>
  <c r="L38" i="39"/>
  <c r="H38" i="39"/>
  <c r="G38" i="39"/>
  <c r="F38" i="39"/>
  <c r="E38" i="39"/>
  <c r="D38" i="39"/>
  <c r="C38" i="39"/>
  <c r="O37" i="39"/>
  <c r="N37" i="39"/>
  <c r="M37" i="39"/>
  <c r="L37" i="39"/>
  <c r="J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N22" i="39"/>
  <c r="M22" i="39"/>
  <c r="P21" i="39"/>
  <c r="K21" i="39"/>
  <c r="J21" i="39"/>
  <c r="G21" i="39"/>
  <c r="F21" i="39"/>
  <c r="C21" i="39"/>
  <c r="B21" i="39"/>
  <c r="M20" i="39"/>
  <c r="E20" i="39"/>
  <c r="A20" i="39"/>
  <c r="L19" i="39"/>
  <c r="K19" i="39"/>
  <c r="G19" i="39"/>
  <c r="B19" i="39"/>
  <c r="L18" i="39"/>
  <c r="I18" i="39"/>
  <c r="H18" i="39"/>
  <c r="E18" i="39"/>
  <c r="P17" i="39"/>
  <c r="M17" i="39"/>
  <c r="L17" i="39"/>
  <c r="A17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C108" i="2"/>
  <c r="D108" i="2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K36" i="39"/>
  <c r="H36" i="39"/>
  <c r="E36" i="39"/>
  <c r="D36" i="39"/>
  <c r="C36" i="39"/>
  <c r="P35" i="39"/>
  <c r="G35" i="39"/>
  <c r="C35" i="39"/>
  <c r="M34" i="39"/>
  <c r="K34" i="39"/>
  <c r="J34" i="39"/>
  <c r="I34" i="39"/>
  <c r="F34" i="39"/>
  <c r="J33" i="39"/>
  <c r="I33" i="39"/>
  <c r="H33" i="39"/>
  <c r="F33" i="39"/>
  <c r="B33" i="39"/>
  <c r="Q32" i="39"/>
  <c r="O32" i="39"/>
  <c r="N32" i="39"/>
  <c r="K32" i="39"/>
  <c r="I32" i="39"/>
  <c r="F32" i="39"/>
  <c r="E32" i="39"/>
  <c r="B32" i="39"/>
  <c r="Q31" i="39"/>
  <c r="J31" i="39"/>
  <c r="I31" i="39"/>
  <c r="F31" i="39"/>
  <c r="P30" i="39"/>
  <c r="M30" i="39"/>
  <c r="L30" i="39"/>
  <c r="I30" i="39"/>
  <c r="F30" i="39"/>
  <c r="B30" i="39"/>
  <c r="M29" i="39"/>
  <c r="K29" i="39"/>
  <c r="I29" i="39"/>
  <c r="H29" i="39"/>
  <c r="G29" i="39"/>
  <c r="F29" i="39"/>
  <c r="E29" i="39"/>
  <c r="P28" i="39"/>
  <c r="N28" i="39"/>
  <c r="M28" i="39"/>
  <c r="L28" i="39"/>
  <c r="K28" i="39"/>
  <c r="H28" i="39"/>
  <c r="G28" i="39"/>
  <c r="O27" i="39"/>
  <c r="M27" i="39"/>
  <c r="L27" i="39"/>
  <c r="G27" i="39"/>
  <c r="B27" i="39"/>
  <c r="O26" i="39"/>
  <c r="I25" i="39"/>
  <c r="P24" i="39"/>
  <c r="H24" i="39"/>
  <c r="N23" i="39"/>
  <c r="C23" i="39"/>
  <c r="O22" i="39"/>
  <c r="P20" i="39"/>
  <c r="D20" i="39"/>
  <c r="E17" i="39"/>
  <c r="M16" i="39"/>
  <c r="K16" i="39"/>
  <c r="Q12" i="39"/>
  <c r="P10" i="39"/>
  <c r="P36" i="39"/>
  <c r="E34" i="39"/>
  <c r="E26" i="39"/>
  <c r="P23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G31" i="39"/>
  <c r="J22" i="39"/>
  <c r="N19" i="39"/>
  <c r="F19" i="39"/>
  <c r="O18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B111" i="40"/>
  <c r="P111" i="33"/>
  <c r="O111" i="33"/>
  <c r="L111" i="33"/>
  <c r="F111" i="33"/>
  <c r="D111" i="33"/>
  <c r="C111" i="33"/>
  <c r="Q111" i="32"/>
  <c r="O111" i="32"/>
  <c r="M111" i="32"/>
  <c r="K111" i="32"/>
  <c r="F111" i="32"/>
  <c r="D111" i="32"/>
  <c r="O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C111" i="29"/>
  <c r="B111" i="29"/>
  <c r="O111" i="28"/>
  <c r="N111" i="28"/>
  <c r="M111" i="28"/>
  <c r="G111" i="28"/>
  <c r="E111" i="28"/>
  <c r="D111" i="28"/>
  <c r="C111" i="28"/>
  <c r="P111" i="27"/>
  <c r="K111" i="26"/>
  <c r="M111" i="24"/>
  <c r="L111" i="24"/>
  <c r="Q111" i="24"/>
  <c r="F111" i="24"/>
  <c r="E111" i="24"/>
  <c r="B111" i="24"/>
  <c r="M111" i="23"/>
  <c r="K111" i="23"/>
  <c r="H111" i="23"/>
  <c r="E111" i="23"/>
  <c r="P111" i="22"/>
  <c r="M111" i="22"/>
  <c r="E111" i="22"/>
  <c r="D111" i="22"/>
  <c r="C111" i="22"/>
  <c r="Q111" i="21"/>
  <c r="N111" i="21"/>
  <c r="L111" i="21"/>
  <c r="G111" i="21"/>
  <c r="E111" i="21"/>
  <c r="O111" i="20"/>
  <c r="Q112" i="20"/>
  <c r="M111" i="20"/>
  <c r="L111" i="20"/>
  <c r="K111" i="20"/>
  <c r="G111" i="20"/>
  <c r="F111" i="20"/>
  <c r="D111" i="20"/>
  <c r="P111" i="19"/>
  <c r="N111" i="19"/>
  <c r="L111" i="19"/>
  <c r="H111" i="19"/>
  <c r="F111" i="19"/>
  <c r="B111" i="19"/>
  <c r="N111" i="18"/>
  <c r="L111" i="18"/>
  <c r="I111" i="18"/>
  <c r="F111" i="18"/>
  <c r="E111" i="18"/>
  <c r="D111" i="18"/>
  <c r="O111" i="17"/>
  <c r="B111" i="17"/>
  <c r="O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N111" i="12"/>
  <c r="L111" i="12"/>
  <c r="E111" i="12"/>
  <c r="C111" i="12"/>
  <c r="B111" i="12"/>
  <c r="O111" i="11"/>
  <c r="N111" i="11"/>
  <c r="M111" i="11"/>
  <c r="L111" i="11"/>
  <c r="K111" i="11"/>
  <c r="N111" i="10"/>
  <c r="K111" i="10"/>
  <c r="G111" i="10"/>
  <c r="C111" i="10"/>
  <c r="B111" i="10"/>
  <c r="P111" i="9"/>
  <c r="N111" i="9"/>
  <c r="M111" i="9"/>
  <c r="K111" i="9"/>
  <c r="M111" i="8"/>
  <c r="E111" i="8"/>
  <c r="D111" i="8"/>
  <c r="C111" i="8"/>
  <c r="Q111" i="3"/>
  <c r="P111" i="3"/>
  <c r="O111" i="3"/>
  <c r="G111" i="3"/>
  <c r="C112" i="30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I112" i="8"/>
  <c r="H112" i="8"/>
  <c r="G112" i="8"/>
  <c r="F112" i="8"/>
  <c r="N111" i="8"/>
  <c r="I112" i="13"/>
  <c r="F112" i="12"/>
  <c r="H112" i="12"/>
  <c r="O112" i="12"/>
  <c r="J112" i="11"/>
  <c r="Q112" i="11"/>
  <c r="G111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Q112" i="25"/>
  <c r="D111" i="25"/>
  <c r="K112" i="25"/>
  <c r="I112" i="25"/>
  <c r="I111" i="24"/>
  <c r="J111" i="23"/>
  <c r="Q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Q112" i="9"/>
  <c r="O111" i="9"/>
  <c r="D111" i="10"/>
  <c r="O112" i="10"/>
  <c r="H111" i="10"/>
  <c r="M112" i="12"/>
  <c r="K112" i="12"/>
  <c r="D112" i="13"/>
  <c r="B112" i="13"/>
  <c r="M112" i="13"/>
  <c r="D111" i="14"/>
  <c r="O112" i="14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F111" i="21"/>
  <c r="D112" i="21"/>
  <c r="O111" i="21"/>
  <c r="I112" i="21"/>
  <c r="L112" i="22"/>
  <c r="G112" i="22"/>
  <c r="F112" i="23"/>
  <c r="G111" i="24"/>
  <c r="O112" i="26"/>
  <c r="F111" i="27"/>
  <c r="P112" i="28"/>
  <c r="F112" i="29"/>
  <c r="K111" i="30"/>
  <c r="M112" i="31"/>
  <c r="H111" i="31"/>
  <c r="K112" i="31"/>
  <c r="J112" i="31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K112" i="14"/>
  <c r="C112" i="24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G111" i="30"/>
  <c r="L112" i="32"/>
  <c r="B112" i="33"/>
  <c r="N112" i="41"/>
  <c r="I112" i="10"/>
  <c r="J111" i="12"/>
  <c r="H111" i="14"/>
  <c r="H111" i="24"/>
  <c r="G111" i="25"/>
  <c r="O111" i="25"/>
  <c r="H111" i="26"/>
  <c r="J112" i="28"/>
  <c r="F112" i="10"/>
  <c r="G112" i="16"/>
  <c r="O112" i="18"/>
  <c r="N112" i="24"/>
  <c r="F111" i="15"/>
  <c r="E111" i="17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O112" i="8"/>
  <c r="J112" i="9"/>
  <c r="I111" i="12"/>
  <c r="I111" i="23"/>
  <c r="E111" i="25"/>
  <c r="M112" i="25"/>
  <c r="F112" i="26"/>
  <c r="L112" i="41" l="1"/>
  <c r="F111" i="40"/>
  <c r="N112" i="33"/>
  <c r="M111" i="33"/>
  <c r="H112" i="33"/>
  <c r="Q112" i="29"/>
  <c r="L111" i="28"/>
  <c r="E111" i="27"/>
  <c r="M112" i="27"/>
  <c r="B111" i="27"/>
  <c r="N112" i="27"/>
  <c r="M111" i="26"/>
  <c r="N112" i="26"/>
  <c r="B111" i="25"/>
  <c r="O111" i="24"/>
  <c r="J112" i="24"/>
  <c r="O111" i="23"/>
  <c r="B111" i="23"/>
  <c r="C111" i="23"/>
  <c r="D111" i="23"/>
  <c r="F112" i="22"/>
  <c r="K111" i="22"/>
  <c r="C111" i="21"/>
  <c r="I112" i="20"/>
  <c r="H22" i="39"/>
  <c r="H44" i="39" s="1"/>
  <c r="G111" i="19"/>
  <c r="Q111" i="18"/>
  <c r="P112" i="17"/>
  <c r="C112" i="17"/>
  <c r="N111" i="16"/>
  <c r="I112" i="15"/>
  <c r="F112" i="14"/>
  <c r="J111" i="13"/>
  <c r="H111" i="13"/>
  <c r="Q111" i="12"/>
  <c r="P111" i="11"/>
  <c r="E111" i="11"/>
  <c r="B112" i="11"/>
  <c r="I112" i="11"/>
  <c r="F112" i="11"/>
  <c r="H112" i="11"/>
  <c r="P111" i="10"/>
  <c r="C111" i="9"/>
  <c r="F112" i="9"/>
  <c r="E111" i="9"/>
  <c r="J42" i="39"/>
  <c r="D112" i="9"/>
  <c r="B111" i="8"/>
  <c r="H111" i="3"/>
  <c r="B111" i="3"/>
  <c r="K42" i="39"/>
  <c r="K41" i="39"/>
  <c r="K40" i="39"/>
  <c r="J41" i="39"/>
  <c r="K43" i="39"/>
  <c r="H111" i="2"/>
  <c r="K44" i="39"/>
  <c r="K46" i="39" s="1"/>
  <c r="E44" i="39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H40" i="39" l="1"/>
  <c r="H42" i="39"/>
  <c r="H43" i="39"/>
  <c r="H41" i="39"/>
  <c r="K45" i="39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<sst xmlns="http://schemas.openxmlformats.org/spreadsheetml/2006/main" count="8203" uniqueCount="3127">
  <si>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</si>
  <si>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</si>
  <si>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</si>
  <si>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</si>
  <si>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</si>
  <si>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</si>
  <si>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</si>
  <si>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</si>
  <si>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</si>
  <si>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</si>
  <si>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</si>
  <si>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</si>
  <si>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</si>
  <si>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</si>
  <si>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</si>
  <si>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</si>
  <si>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</si>
  <si>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</si>
  <si>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</si>
  <si>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</si>
  <si>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</si>
  <si>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</si>
  <si>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</si>
  <si>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</si>
  <si>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</si>
  <si>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</si>
  <si>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</si>
  <si>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</si>
  <si>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</si>
  <si>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</si>
  <si>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</si>
  <si>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</si>
  <si>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</si>
  <si>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</si>
  <si>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</si>
  <si>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</si>
  <si>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</si>
  <si>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</si>
  <si>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</si>
  <si>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</si>
  <si>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</si>
  <si>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</si>
  <si>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</si>
  <si>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</si>
  <si>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</si>
  <si>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</si>
  <si>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</si>
  <si>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</si>
  <si>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</si>
  <si>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</si>
  <si>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</si>
  <si>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</si>
  <si>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</si>
  <si>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</si>
  <si>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</si>
  <si>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</si>
  <si>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</si>
  <si>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</si>
  <si>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</si>
  <si>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</si>
  <si>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</si>
  <si>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</si>
  <si>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</si>
  <si>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</si>
  <si>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</si>
  <si>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</si>
  <si>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</si>
  <si>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</si>
  <si>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</si>
  <si>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</si>
  <si>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</si>
  <si>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</si>
  <si>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</si>
  <si>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</si>
  <si>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</si>
  <si>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</si>
  <si>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</si>
  <si>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</si>
  <si>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</si>
  <si>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</si>
  <si>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</si>
  <si>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</si>
  <si>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</si>
  <si>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</si>
  <si>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</si>
  <si>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</si>
  <si>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</si>
  <si>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</si>
  <si>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</si>
  <si>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</si>
  <si>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</si>
  <si>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</si>
  <si>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</si>
  <si>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</si>
  <si>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</si>
  <si>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</si>
  <si>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</si>
  <si>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</si>
  <si>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</si>
  <si>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</si>
  <si>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</si>
  <si>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</si>
  <si>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</si>
  <si>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</si>
  <si>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</si>
  <si>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</si>
  <si>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</si>
  <si>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</si>
  <si>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</si>
  <si>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</si>
  <si>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</si>
  <si>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</si>
  <si>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</si>
  <si>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</si>
  <si>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</si>
  <si>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</si>
  <si>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</si>
  <si>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</si>
  <si>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</si>
  <si>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</si>
  <si>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</si>
  <si>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</si>
  <si>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</si>
  <si>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</si>
  <si>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</si>
  <si>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</si>
  <si>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</si>
  <si>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</si>
  <si>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</si>
  <si>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</si>
  <si>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</si>
  <si>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</si>
  <si>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</si>
  <si>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</si>
  <si>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</si>
  <si>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</si>
  <si>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</si>
  <si>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</si>
  <si>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</si>
  <si>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</si>
  <si>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</si>
  <si>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</si>
  <si>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</si>
  <si>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</si>
  <si>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</si>
  <si>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</si>
  <si>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</si>
  <si>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</si>
  <si>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</si>
  <si>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</si>
  <si>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</si>
  <si>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</si>
  <si>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</si>
  <si>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</si>
  <si>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</si>
  <si>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</si>
  <si>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</si>
  <si>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</si>
  <si>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</si>
  <si>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</si>
  <si>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</si>
  <si>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</si>
  <si>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</si>
  <si>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</si>
  <si>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</si>
  <si>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</si>
  <si>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</si>
  <si>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</si>
  <si>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</si>
  <si>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</si>
  <si>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</si>
  <si>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</si>
  <si>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</si>
  <si>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</si>
  <si>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</si>
  <si>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</si>
  <si>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</si>
  <si>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</si>
  <si>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</si>
  <si>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</si>
  <si>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</si>
  <si>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</si>
  <si>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</si>
  <si>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</si>
  <si>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</si>
  <si>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</si>
  <si>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</si>
  <si>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</si>
  <si>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</si>
  <si>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</si>
  <si>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</si>
  <si>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</si>
  <si>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</si>
  <si>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</si>
  <si>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</si>
  <si>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</si>
  <si>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</si>
  <si>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</si>
  <si>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</si>
  <si>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</si>
  <si>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</si>
  <si>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</si>
  <si>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</si>
  <si>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</si>
  <si>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</si>
  <si>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</si>
  <si>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</si>
  <si>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</si>
  <si>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</si>
  <si>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</si>
  <si>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</si>
  <si>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</si>
  <si>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</si>
  <si>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</si>
  <si>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</si>
  <si>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</si>
  <si>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</si>
  <si>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</si>
  <si>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</si>
  <si>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</si>
  <si>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</si>
  <si>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</si>
  <si>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</si>
  <si>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</si>
  <si>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</si>
  <si>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</si>
  <si>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</si>
  <si>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</si>
  <si>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</si>
  <si>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</si>
  <si>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</si>
  <si>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</si>
  <si>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</si>
  <si>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</si>
  <si>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</si>
  <si>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</si>
  <si>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</si>
  <si>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</si>
  <si>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</si>
  <si>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</si>
  <si>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</si>
  <si>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</si>
  <si>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</si>
  <si>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</si>
  <si>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835 ug/cm2</t>
  </si>
  <si>
    <t>847 ug/cm2</t>
  </si>
  <si>
    <t>01/04/2025 00:15</t>
  </si>
  <si>
    <t>01/04/2025 00:30</t>
  </si>
  <si>
    <t>01/04/2025 00:45</t>
  </si>
  <si>
    <t>01/04/2025 01:00</t>
  </si>
  <si>
    <t>01/04/2025 01:15</t>
  </si>
  <si>
    <t>01/04/2025 01:30</t>
  </si>
  <si>
    <t>01/04/2025 01:45</t>
  </si>
  <si>
    <t>01/04/2025 02:00</t>
  </si>
  <si>
    <t>01/04/2025 02:15</t>
  </si>
  <si>
    <t>01/04/2025 02:30</t>
  </si>
  <si>
    <t>01/04/2025 02:45</t>
  </si>
  <si>
    <t>01/04/2025 03:00</t>
  </si>
  <si>
    <t>01/04/2025 03:15</t>
  </si>
  <si>
    <t>01/04/2025 03:30</t>
  </si>
  <si>
    <t>01/04/2025 03:45</t>
  </si>
  <si>
    <t>01/04/2025 04:00</t>
  </si>
  <si>
    <t>01/04/2025 04:15</t>
  </si>
  <si>
    <t>01/04/2025 04:30</t>
  </si>
  <si>
    <t>01/04/2025 04:45</t>
  </si>
  <si>
    <t>01/04/2025 05:00</t>
  </si>
  <si>
    <t>01/04/2025 05:15</t>
  </si>
  <si>
    <t>01/04/2025 05:30</t>
  </si>
  <si>
    <t>01/04/2025 05:45</t>
  </si>
  <si>
    <t>01/04/2025 06:00</t>
  </si>
  <si>
    <t>01/04/2025 06:15</t>
  </si>
  <si>
    <t>01/04/2025 06:30</t>
  </si>
  <si>
    <t>01/04/2025 06:45</t>
  </si>
  <si>
    <t>01/04/2025 07:00</t>
  </si>
  <si>
    <t>01/04/2025 07:15</t>
  </si>
  <si>
    <t>01/04/2025 07:30</t>
  </si>
  <si>
    <t>01/04/2025 07:45</t>
  </si>
  <si>
    <t>01/04/2025 08:00</t>
  </si>
  <si>
    <t>01/04/2025 08:15</t>
  </si>
  <si>
    <t>01/04/2025 08:30</t>
  </si>
  <si>
    <t>01/04/2025 08:45</t>
  </si>
  <si>
    <t>01/04/2025 09:00</t>
  </si>
  <si>
    <t>01/04/2025 09:15</t>
  </si>
  <si>
    <t>01/04/2025 09:30</t>
  </si>
  <si>
    <t>01/04/2025 09:45</t>
  </si>
  <si>
    <t>01/04/2025 10:00</t>
  </si>
  <si>
    <t>01/04/2025 10:15</t>
  </si>
  <si>
    <t>01/04/2025 10:30</t>
  </si>
  <si>
    <t>01/04/2025 10:45</t>
  </si>
  <si>
    <t>01/04/2025 11:00</t>
  </si>
  <si>
    <t>01/04/2025 11:15</t>
  </si>
  <si>
    <t>01/04/2025 11:30</t>
  </si>
  <si>
    <t>01/04/2025 11:45</t>
  </si>
  <si>
    <t>01/04/2025 12:00</t>
  </si>
  <si>
    <t>01/04/2025 12:15</t>
  </si>
  <si>
    <t>01/04/2025 12:30</t>
  </si>
  <si>
    <t>01/04/2025 12:45</t>
  </si>
  <si>
    <t>01/04/2025 13:00</t>
  </si>
  <si>
    <t>01/04/2025 13:15</t>
  </si>
  <si>
    <t>01/04/2025 13:30</t>
  </si>
  <si>
    <t>01/04/2025 13:45</t>
  </si>
  <si>
    <t>01/04/2025 14:00</t>
  </si>
  <si>
    <t>01/04/2025 14:15</t>
  </si>
  <si>
    <t>01/04/2025 14:30</t>
  </si>
  <si>
    <t>01/04/2025 14:45</t>
  </si>
  <si>
    <t>01/04/2025 15:00</t>
  </si>
  <si>
    <t>01/04/2025 15:15</t>
  </si>
  <si>
    <t>01/04/2025 15:30</t>
  </si>
  <si>
    <t>01/04/2025 15:45</t>
  </si>
  <si>
    <t>01/04/2025 16:00</t>
  </si>
  <si>
    <t>01/04/2025 16:15</t>
  </si>
  <si>
    <t>01/04/2025 16:30</t>
  </si>
  <si>
    <t>01/04/2025 16:45</t>
  </si>
  <si>
    <t>01/04/2025 17:00</t>
  </si>
  <si>
    <t>01/04/2025 17:15</t>
  </si>
  <si>
    <t>01/04/2025 17:30</t>
  </si>
  <si>
    <t>01/04/2025 17:45</t>
  </si>
  <si>
    <t>01/04/2025 18:00</t>
  </si>
  <si>
    <t>01/04/2025 18:15</t>
  </si>
  <si>
    <t>01/04/2025 18:30</t>
  </si>
  <si>
    <t>01/04/2025 18:45</t>
  </si>
  <si>
    <t>01/04/2025 19:00</t>
  </si>
  <si>
    <t>01/04/2025 19:15</t>
  </si>
  <si>
    <t>01/04/2025 19:30</t>
  </si>
  <si>
    <t>01/04/2025 19:45</t>
  </si>
  <si>
    <t>01/04/2025 20:00</t>
  </si>
  <si>
    <t>01/04/2025 20:15</t>
  </si>
  <si>
    <t>01/04/2025 20:30</t>
  </si>
  <si>
    <t>01/04/2025 20:45</t>
  </si>
  <si>
    <t>01/04/2025 21:00</t>
  </si>
  <si>
    <t>01/04/2025 21:15</t>
  </si>
  <si>
    <t>01/04/2025 21:30</t>
  </si>
  <si>
    <t>01/04/2025 21:45</t>
  </si>
  <si>
    <t>01/04/2025 22:00</t>
  </si>
  <si>
    <t>01/04/2025 22:15</t>
  </si>
  <si>
    <t>01/04/2025 22:30</t>
  </si>
  <si>
    <t>01/04/2025 22:45</t>
  </si>
  <si>
    <t>01/04/2025 23:00</t>
  </si>
  <si>
    <t>01/04/2025 23:15</t>
  </si>
  <si>
    <t>01/04/2025 23:30</t>
  </si>
  <si>
    <t>01/04/2025 23:45</t>
  </si>
  <si>
    <t>01/04/2025 24:00</t>
  </si>
  <si>
    <t>02/04/2025 00:15</t>
  </si>
  <si>
    <t>02/04/2025 00:30</t>
  </si>
  <si>
    <t>02/04/2025 00:45</t>
  </si>
  <si>
    <t>02/04/2025 01:00</t>
  </si>
  <si>
    <t>02/04/2025 01:15</t>
  </si>
  <si>
    <t>02/04/2025 01:30</t>
  </si>
  <si>
    <t>02/04/2025 01:45</t>
  </si>
  <si>
    <t>02/04/2025 02:00</t>
  </si>
  <si>
    <t>02/04/2025 02:15</t>
  </si>
  <si>
    <t>02/04/2025 02:30</t>
  </si>
  <si>
    <t>02/04/2025 02:45</t>
  </si>
  <si>
    <t>02/04/2025 03:00</t>
  </si>
  <si>
    <t>02/04/2025 03:15</t>
  </si>
  <si>
    <t>02/04/2025 03:30</t>
  </si>
  <si>
    <t>02/04/2025 03:45</t>
  </si>
  <si>
    <t>02/04/2025 04:00</t>
  </si>
  <si>
    <t>02/04/2025 04:15</t>
  </si>
  <si>
    <t>02/04/2025 04:30</t>
  </si>
  <si>
    <t>02/04/2025 04:45</t>
  </si>
  <si>
    <t>02/04/2025 05:00</t>
  </si>
  <si>
    <t>02/04/2025 05:15</t>
  </si>
  <si>
    <t>02/04/2025 05:30</t>
  </si>
  <si>
    <t>02/04/2025 05:45</t>
  </si>
  <si>
    <t>02/04/2025 06:00</t>
  </si>
  <si>
    <t>02/04/2025 06:15</t>
  </si>
  <si>
    <t>02/04/2025 06:30</t>
  </si>
  <si>
    <t>02/04/2025 06:45</t>
  </si>
  <si>
    <t>02/04/2025 07:00</t>
  </si>
  <si>
    <t>02/04/2025 07:15</t>
  </si>
  <si>
    <t>02/04/2025 07:30</t>
  </si>
  <si>
    <t>02/04/2025 07:45</t>
  </si>
  <si>
    <t>02/04/2025 08:00</t>
  </si>
  <si>
    <t>02/04/2025 08:15</t>
  </si>
  <si>
    <t>02/04/2025 08:30</t>
  </si>
  <si>
    <t>02/04/2025 08:45</t>
  </si>
  <si>
    <t>02/04/2025 09:00</t>
  </si>
  <si>
    <t>02/04/2025 09:15</t>
  </si>
  <si>
    <t>02/04/2025 09:30</t>
  </si>
  <si>
    <t>02/04/2025 09:45</t>
  </si>
  <si>
    <t>02/04/2025 10:00</t>
  </si>
  <si>
    <t>02/04/2025 10:15</t>
  </si>
  <si>
    <t>02/04/2025 10:30</t>
  </si>
  <si>
    <t>02/04/2025 10:45</t>
  </si>
  <si>
    <t>02/04/2025 11:00</t>
  </si>
  <si>
    <t>02/04/2025 11:15</t>
  </si>
  <si>
    <t>02/04/2025 11:30</t>
  </si>
  <si>
    <t>02/04/2025 11:45</t>
  </si>
  <si>
    <t>02/04/2025 12:00</t>
  </si>
  <si>
    <t>02/04/2025 12:15</t>
  </si>
  <si>
    <t>02/04/2025 12:30</t>
  </si>
  <si>
    <t>02/04/2025 12:45</t>
  </si>
  <si>
    <t>02/04/2025 13:00</t>
  </si>
  <si>
    <t>02/04/2025 13:15</t>
  </si>
  <si>
    <t>02/04/2025 13:30</t>
  </si>
  <si>
    <t>02/04/2025 13:45</t>
  </si>
  <si>
    <t>02/04/2025 14:00</t>
  </si>
  <si>
    <t>02/04/2025 14:15</t>
  </si>
  <si>
    <t>02/04/2025 14:30</t>
  </si>
  <si>
    <t>02/04/2025 14:45</t>
  </si>
  <si>
    <t>02/04/2025 15:00</t>
  </si>
  <si>
    <t>02/04/2025 15:15</t>
  </si>
  <si>
    <t>02/04/2025 15:30</t>
  </si>
  <si>
    <t>02/04/2025 15:45</t>
  </si>
  <si>
    <t>02/04/2025 16:00</t>
  </si>
  <si>
    <t>02/04/2025 16:15</t>
  </si>
  <si>
    <t>02/04/2025 16:30</t>
  </si>
  <si>
    <t>02/04/2025 16:45</t>
  </si>
  <si>
    <t>02/04/2025 17:00</t>
  </si>
  <si>
    <t>02/04/2025 17:15</t>
  </si>
  <si>
    <t>02/04/2025 17:30</t>
  </si>
  <si>
    <t>02/04/2025 17:45</t>
  </si>
  <si>
    <t>02/04/2025 18:00</t>
  </si>
  <si>
    <t>02/04/2025 18:15</t>
  </si>
  <si>
    <t>02/04/2025 18:30</t>
  </si>
  <si>
    <t>02/04/2025 18:45</t>
  </si>
  <si>
    <t>02/04/2025 19:00</t>
  </si>
  <si>
    <t>02/04/2025 19:15</t>
  </si>
  <si>
    <t>02/04/2025 19:30</t>
  </si>
  <si>
    <t>02/04/2025 19:45</t>
  </si>
  <si>
    <t>02/04/2025 20:00</t>
  </si>
  <si>
    <t>02/04/2025 20:15</t>
  </si>
  <si>
    <t>02/04/2025 20:30</t>
  </si>
  <si>
    <t>02/04/2025 20:45</t>
  </si>
  <si>
    <t>02/04/2025 21:00</t>
  </si>
  <si>
    <t>02/04/2025 21:15</t>
  </si>
  <si>
    <t>02/04/2025 21:30</t>
  </si>
  <si>
    <t>02/04/2025 21:45</t>
  </si>
  <si>
    <t>02/04/2025 22:00</t>
  </si>
  <si>
    <t>02/04/2025 22:15</t>
  </si>
  <si>
    <t>02/04/2025 22:30</t>
  </si>
  <si>
    <t>02/04/2025 22:45</t>
  </si>
  <si>
    <t>02/04/2025 23:00</t>
  </si>
  <si>
    <t>02/04/2025 23:15</t>
  </si>
  <si>
    <t>02/04/2025 23:30</t>
  </si>
  <si>
    <t>02/04/2025 23:45</t>
  </si>
  <si>
    <t>02/04/2025 24:00</t>
  </si>
  <si>
    <t>03/04/2025 00:15</t>
  </si>
  <si>
    <t>03/04/2025 00:30</t>
  </si>
  <si>
    <t>03/04/2025 00:45</t>
  </si>
  <si>
    <t>03/04/2025 01:00</t>
  </si>
  <si>
    <t>03/04/2025 01:15</t>
  </si>
  <si>
    <t>03/04/2025 01:30</t>
  </si>
  <si>
    <t>03/04/2025 01:45</t>
  </si>
  <si>
    <t>03/04/2025 02:00</t>
  </si>
  <si>
    <t>03/04/2025 02:15</t>
  </si>
  <si>
    <t>03/04/2025 02:30</t>
  </si>
  <si>
    <t>03/04/2025 02:45</t>
  </si>
  <si>
    <t>03/04/2025 03:00</t>
  </si>
  <si>
    <t>03/04/2025 03:15</t>
  </si>
  <si>
    <t>03/04/2025 03:30</t>
  </si>
  <si>
    <t>03/04/2025 03:45</t>
  </si>
  <si>
    <t>03/04/2025 04:00</t>
  </si>
  <si>
    <t>03/04/2025 04:15</t>
  </si>
  <si>
    <t>03/04/2025 04:30</t>
  </si>
  <si>
    <t>03/04/2025 04:45</t>
  </si>
  <si>
    <t>03/04/2025 05:00</t>
  </si>
  <si>
    <t>03/04/2025 05:15</t>
  </si>
  <si>
    <t>03/04/2025 05:30</t>
  </si>
  <si>
    <t>03/04/2025 05:45</t>
  </si>
  <si>
    <t>03/04/2025 06:00</t>
  </si>
  <si>
    <t>03/04/2025 06:15</t>
  </si>
  <si>
    <t>03/04/2025 06:30</t>
  </si>
  <si>
    <t>03/04/2025 06:45</t>
  </si>
  <si>
    <t>03/04/2025 07:00</t>
  </si>
  <si>
    <t>03/04/2025 07:15</t>
  </si>
  <si>
    <t>03/04/2025 07:30</t>
  </si>
  <si>
    <t>03/04/2025 07:45</t>
  </si>
  <si>
    <t>03/04/2025 08:00</t>
  </si>
  <si>
    <t>03/04/2025 08:15</t>
  </si>
  <si>
    <t>03/04/2025 08:30</t>
  </si>
  <si>
    <t>03/04/2025 08:45</t>
  </si>
  <si>
    <t>03/04/2025 09:00</t>
  </si>
  <si>
    <t>03/04/2025 09:15</t>
  </si>
  <si>
    <t>03/04/2025 09:30</t>
  </si>
  <si>
    <t>03/04/2025 09:45</t>
  </si>
  <si>
    <t>03/04/2025 10:00</t>
  </si>
  <si>
    <t>03/04/2025 10:15</t>
  </si>
  <si>
    <t>03/04/2025 10:30</t>
  </si>
  <si>
    <t>03/04/2025 10:45</t>
  </si>
  <si>
    <t>03/04/2025 11:00</t>
  </si>
  <si>
    <t>03/04/2025 11:15</t>
  </si>
  <si>
    <t>03/04/2025 11:30</t>
  </si>
  <si>
    <t>03/04/2025 11:45</t>
  </si>
  <si>
    <t>03/04/2025 12:00</t>
  </si>
  <si>
    <t>03/04/2025 12:15</t>
  </si>
  <si>
    <t>03/04/2025 12:30</t>
  </si>
  <si>
    <t>03/04/2025 12:45</t>
  </si>
  <si>
    <t>03/04/2025 13:00</t>
  </si>
  <si>
    <t>03/04/2025 13:15</t>
  </si>
  <si>
    <t>03/04/2025 13:30</t>
  </si>
  <si>
    <t>03/04/2025 13:45</t>
  </si>
  <si>
    <t>03/04/2025 14:00</t>
  </si>
  <si>
    <t>03/04/2025 14:15</t>
  </si>
  <si>
    <t>03/04/2025 14:30</t>
  </si>
  <si>
    <t>03/04/2025 14:45</t>
  </si>
  <si>
    <t>03/04/2025 15:00</t>
  </si>
  <si>
    <t>03/04/2025 15:15</t>
  </si>
  <si>
    <t>03/04/2025 15:30</t>
  </si>
  <si>
    <t>03/04/2025 15:45</t>
  </si>
  <si>
    <t>03/04/2025 16:00</t>
  </si>
  <si>
    <t>03/04/2025 16:15</t>
  </si>
  <si>
    <t>03/04/2025 16:30</t>
  </si>
  <si>
    <t>03/04/2025 16:45</t>
  </si>
  <si>
    <t>03/04/2025 17:00</t>
  </si>
  <si>
    <t>03/04/2025 17:15</t>
  </si>
  <si>
    <t>03/04/2025 17:30</t>
  </si>
  <si>
    <t>03/04/2025 17:45</t>
  </si>
  <si>
    <t>03/04/2025 18:00</t>
  </si>
  <si>
    <t>03/04/2025 18:15</t>
  </si>
  <si>
    <t>03/04/2025 18:30</t>
  </si>
  <si>
    <t>03/04/2025 18:45</t>
  </si>
  <si>
    <t>03/04/2025 19:00</t>
  </si>
  <si>
    <t>03/04/2025 19:15</t>
  </si>
  <si>
    <t>03/04/2025 19:30</t>
  </si>
  <si>
    <t>03/04/2025 19:45</t>
  </si>
  <si>
    <t>03/04/2025 20:00</t>
  </si>
  <si>
    <t>03/04/2025 20:15</t>
  </si>
  <si>
    <t>03/04/2025 20:30</t>
  </si>
  <si>
    <t>03/04/2025 20:45</t>
  </si>
  <si>
    <t>03/04/2025 21:00</t>
  </si>
  <si>
    <t>03/04/2025 21:15</t>
  </si>
  <si>
    <t>03/04/2025 21:30</t>
  </si>
  <si>
    <t>03/04/2025 21:45</t>
  </si>
  <si>
    <t>03/04/2025 22:00</t>
  </si>
  <si>
    <t>03/04/2025 22:15</t>
  </si>
  <si>
    <t>03/04/2025 22:30</t>
  </si>
  <si>
    <t>03/04/2025 22:45</t>
  </si>
  <si>
    <t>03/04/2025 23:00</t>
  </si>
  <si>
    <t>03/04/2025 23:15</t>
  </si>
  <si>
    <t>03/04/2025 23:30</t>
  </si>
  <si>
    <t>03/04/2025 23:45</t>
  </si>
  <si>
    <t>03/04/2025 24:00</t>
  </si>
  <si>
    <t>04/04/2025 00:15</t>
  </si>
  <si>
    <t>04/04/2025 00:30</t>
  </si>
  <si>
    <t>04/04/2025 00:45</t>
  </si>
  <si>
    <t>04/04/2025 01:00</t>
  </si>
  <si>
    <t>04/04/2025 01:15</t>
  </si>
  <si>
    <t>04/04/2025 01:30</t>
  </si>
  <si>
    <t>04/04/2025 01:45</t>
  </si>
  <si>
    <t>04/04/2025 02:00</t>
  </si>
  <si>
    <t>04/04/2025 02:15</t>
  </si>
  <si>
    <t>04/04/2025 02:30</t>
  </si>
  <si>
    <t>04/04/2025 02:45</t>
  </si>
  <si>
    <t>04/04/2025 03:00</t>
  </si>
  <si>
    <t>04/04/2025 03:15</t>
  </si>
  <si>
    <t>04/04/2025 03:30</t>
  </si>
  <si>
    <t>04/04/2025 03:45</t>
  </si>
  <si>
    <t>04/04/2025 04:00</t>
  </si>
  <si>
    <t>04/04/2025 04:15</t>
  </si>
  <si>
    <t>04/04/2025 04:30</t>
  </si>
  <si>
    <t>04/04/2025 04:45</t>
  </si>
  <si>
    <t>04/04/2025 05:00</t>
  </si>
  <si>
    <t>04/04/2025 05:15</t>
  </si>
  <si>
    <t>04/04/2025 05:30</t>
  </si>
  <si>
    <t>04/04/2025 05:45</t>
  </si>
  <si>
    <t>04/04/2025 06:00</t>
  </si>
  <si>
    <t>04/04/2025 06:15</t>
  </si>
  <si>
    <t>04/04/2025 06:30</t>
  </si>
  <si>
    <t>04/04/2025 06:45</t>
  </si>
  <si>
    <t>04/04/2025 07:00</t>
  </si>
  <si>
    <t>04/04/2025 07:15</t>
  </si>
  <si>
    <t>04/04/2025 07:30</t>
  </si>
  <si>
    <t>04/04/2025 07:45</t>
  </si>
  <si>
    <t>04/04/2025 08:00</t>
  </si>
  <si>
    <t>04/04/2025 08:15</t>
  </si>
  <si>
    <t>04/04/2025 08:30</t>
  </si>
  <si>
    <t>04/04/2025 08:45</t>
  </si>
  <si>
    <t>04/04/2025 09:00</t>
  </si>
  <si>
    <t>04/04/2025 09:15</t>
  </si>
  <si>
    <t>04/04/2025 09:30</t>
  </si>
  <si>
    <t>04/04/2025 09:45</t>
  </si>
  <si>
    <t>04/04/2025 10:00</t>
  </si>
  <si>
    <t>04/04/2025 10:15</t>
  </si>
  <si>
    <t>04/04/2025 10:30</t>
  </si>
  <si>
    <t>04/04/2025 10:45</t>
  </si>
  <si>
    <t>04/04/2025 11:00</t>
  </si>
  <si>
    <t>04/04/2025 11:15</t>
  </si>
  <si>
    <t>04/04/2025 11:30</t>
  </si>
  <si>
    <t>04/04/2025 11:45</t>
  </si>
  <si>
    <t>04/04/2025 12:00</t>
  </si>
  <si>
    <t>04/04/2025 12:15</t>
  </si>
  <si>
    <t>04/04/2025 12:30</t>
  </si>
  <si>
    <t>04/04/2025 12:45</t>
  </si>
  <si>
    <t>04/04/2025 13:00</t>
  </si>
  <si>
    <t>04/04/2025 13:15</t>
  </si>
  <si>
    <t>04/04/2025 13:30</t>
  </si>
  <si>
    <t>04/04/2025 13:45</t>
  </si>
  <si>
    <t>04/04/2025 14:00</t>
  </si>
  <si>
    <t>04/04/2025 14:15</t>
  </si>
  <si>
    <t>04/04/2025 14:30</t>
  </si>
  <si>
    <t>04/04/2025 14:45</t>
  </si>
  <si>
    <t>04/04/2025 15:00</t>
  </si>
  <si>
    <t>04/04/2025 15:15</t>
  </si>
  <si>
    <t>04/04/2025 15:30</t>
  </si>
  <si>
    <t>04/04/2025 15:45</t>
  </si>
  <si>
    <t>04/04/2025 16:00</t>
  </si>
  <si>
    <t>04/04/2025 16:15</t>
  </si>
  <si>
    <t>04/04/2025 16:30</t>
  </si>
  <si>
    <t>04/04/2025 16:45</t>
  </si>
  <si>
    <t>04/04/2025 17:00</t>
  </si>
  <si>
    <t>04/04/2025 17:15</t>
  </si>
  <si>
    <t>04/04/2025 17:30</t>
  </si>
  <si>
    <t>04/04/2025 17:45</t>
  </si>
  <si>
    <t>04/04/2025 18:00</t>
  </si>
  <si>
    <t>04/04/2025 18:15</t>
  </si>
  <si>
    <t>04/04/2025 18:30</t>
  </si>
  <si>
    <t>04/04/2025 18:45</t>
  </si>
  <si>
    <t>04/04/2025 19:00</t>
  </si>
  <si>
    <t>04/04/2025 19:15</t>
  </si>
  <si>
    <t>04/04/2025 19:30</t>
  </si>
  <si>
    <t>04/04/2025 19:45</t>
  </si>
  <si>
    <t>04/04/2025 20:00</t>
  </si>
  <si>
    <t>04/04/2025 20:15</t>
  </si>
  <si>
    <t>04/04/2025 20:30</t>
  </si>
  <si>
    <t>04/04/2025 20:45</t>
  </si>
  <si>
    <t>04/04/2025 21:00</t>
  </si>
  <si>
    <t>04/04/2025 21:15</t>
  </si>
  <si>
    <t>04/04/2025 21:30</t>
  </si>
  <si>
    <t>04/04/2025 21:45</t>
  </si>
  <si>
    <t>04/04/2025 22:00</t>
  </si>
  <si>
    <t>04/04/2025 22:15</t>
  </si>
  <si>
    <t>04/04/2025 22:30</t>
  </si>
  <si>
    <t>04/04/2025 22:45</t>
  </si>
  <si>
    <t>04/04/2025 23:00</t>
  </si>
  <si>
    <t>04/04/2025 23:15</t>
  </si>
  <si>
    <t>04/04/2025 23:30</t>
  </si>
  <si>
    <t>04/04/2025 23:45</t>
  </si>
  <si>
    <t>04/04/2025 24:00</t>
  </si>
  <si>
    <t>05/04/2025 00:15</t>
  </si>
  <si>
    <t>05/04/2025 00:30</t>
  </si>
  <si>
    <t>05/04/2025 00:45</t>
  </si>
  <si>
    <t>05/04/2025 01:00</t>
  </si>
  <si>
    <t>05/04/2025 01:15</t>
  </si>
  <si>
    <t>05/04/2025 01:30</t>
  </si>
  <si>
    <t>05/04/2025 01:45</t>
  </si>
  <si>
    <t>05/04/2025 02:00</t>
  </si>
  <si>
    <t>05/04/2025 02:15</t>
  </si>
  <si>
    <t>05/04/2025 02:30</t>
  </si>
  <si>
    <t>05/04/2025 02:45</t>
  </si>
  <si>
    <t>05/04/2025 03:00</t>
  </si>
  <si>
    <t>05/04/2025 03:15</t>
  </si>
  <si>
    <t>05/04/2025 03:30</t>
  </si>
  <si>
    <t>05/04/2025 03:45</t>
  </si>
  <si>
    <t>05/04/2025 04:00</t>
  </si>
  <si>
    <t>05/04/2025 04:15</t>
  </si>
  <si>
    <t>05/04/2025 04:30</t>
  </si>
  <si>
    <t>05/04/2025 04:45</t>
  </si>
  <si>
    <t>05/04/2025 05:00</t>
  </si>
  <si>
    <t>05/04/2025 05:15</t>
  </si>
  <si>
    <t>05/04/2025 05:30</t>
  </si>
  <si>
    <t>05/04/2025 05:45</t>
  </si>
  <si>
    <t>05/04/2025 06:00</t>
  </si>
  <si>
    <t>05/04/2025 06:15</t>
  </si>
  <si>
    <t>05/04/2025 06:30</t>
  </si>
  <si>
    <t>05/04/2025 06:45</t>
  </si>
  <si>
    <t>05/04/2025 07:00</t>
  </si>
  <si>
    <t>05/04/2025 07:15</t>
  </si>
  <si>
    <t>05/04/2025 07:30</t>
  </si>
  <si>
    <t>05/04/2025 07:45</t>
  </si>
  <si>
    <t>05/04/2025 08:00</t>
  </si>
  <si>
    <t>05/04/2025 08:15</t>
  </si>
  <si>
    <t>05/04/2025 08:30</t>
  </si>
  <si>
    <t>05/04/2025 08:45</t>
  </si>
  <si>
    <t>05/04/2025 09:00</t>
  </si>
  <si>
    <t>05/04/2025 09:15</t>
  </si>
  <si>
    <t>05/04/2025 09:30</t>
  </si>
  <si>
    <t>05/04/2025 09:45</t>
  </si>
  <si>
    <t>05/04/2025 10:00</t>
  </si>
  <si>
    <t>05/04/2025 10:15</t>
  </si>
  <si>
    <t>05/04/2025 10:30</t>
  </si>
  <si>
    <t>05/04/2025 10:45</t>
  </si>
  <si>
    <t>05/04/2025 11:00</t>
  </si>
  <si>
    <t>05/04/2025 11:15</t>
  </si>
  <si>
    <t>05/04/2025 11:30</t>
  </si>
  <si>
    <t>05/04/2025 11:45</t>
  </si>
  <si>
    <t>05/04/2025 12:00</t>
  </si>
  <si>
    <t>05/04/2025 12:15</t>
  </si>
  <si>
    <t>05/04/2025 12:30</t>
  </si>
  <si>
    <t>05/04/2025 12:45</t>
  </si>
  <si>
    <t>05/04/2025 13:00</t>
  </si>
  <si>
    <t>05/04/2025 13:15</t>
  </si>
  <si>
    <t>05/04/2025 13:30</t>
  </si>
  <si>
    <t>05/04/2025 13:45</t>
  </si>
  <si>
    <t>05/04/2025 14:00</t>
  </si>
  <si>
    <t>05/04/2025 14:15</t>
  </si>
  <si>
    <t>05/04/2025 14:30</t>
  </si>
  <si>
    <t>05/04/2025 14:45</t>
  </si>
  <si>
    <t>05/04/2025 15:00</t>
  </si>
  <si>
    <t>05/04/2025 15:15</t>
  </si>
  <si>
    <t>05/04/2025 15:30</t>
  </si>
  <si>
    <t>05/04/2025 15:45</t>
  </si>
  <si>
    <t>05/04/2025 16:00</t>
  </si>
  <si>
    <t>05/04/2025 16:15</t>
  </si>
  <si>
    <t>05/04/2025 16:30</t>
  </si>
  <si>
    <t>05/04/2025 16:45</t>
  </si>
  <si>
    <t>05/04/2025 17:00</t>
  </si>
  <si>
    <t>05/04/2025 17:15</t>
  </si>
  <si>
    <t>05/04/2025 17:30</t>
  </si>
  <si>
    <t>05/04/2025 17:45</t>
  </si>
  <si>
    <t>05/04/2025 18:00</t>
  </si>
  <si>
    <t>05/04/2025 18:15</t>
  </si>
  <si>
    <t>05/04/2025 18:30</t>
  </si>
  <si>
    <t>05/04/2025 18:45</t>
  </si>
  <si>
    <t>05/04/2025 19:00</t>
  </si>
  <si>
    <t>05/04/2025 19:15</t>
  </si>
  <si>
    <t>05/04/2025 19:30</t>
  </si>
  <si>
    <t>05/04/2025 19:45</t>
  </si>
  <si>
    <t>05/04/2025 20:00</t>
  </si>
  <si>
    <t>05/04/2025 20:15</t>
  </si>
  <si>
    <t>05/04/2025 20:30</t>
  </si>
  <si>
    <t>05/04/2025 20:45</t>
  </si>
  <si>
    <t>05/04/2025 21:00</t>
  </si>
  <si>
    <t>05/04/2025 21:15</t>
  </si>
  <si>
    <t>05/04/2025 21:30</t>
  </si>
  <si>
    <t>05/04/2025 21:45</t>
  </si>
  <si>
    <t>05/04/2025 22:00</t>
  </si>
  <si>
    <t>05/04/2025 22:15</t>
  </si>
  <si>
    <t>05/04/2025 22:30</t>
  </si>
  <si>
    <t>05/04/2025 22:45</t>
  </si>
  <si>
    <t>05/04/2025 23:00</t>
  </si>
  <si>
    <t>05/04/2025 23:15</t>
  </si>
  <si>
    <t>05/04/2025 23:30</t>
  </si>
  <si>
    <t>05/04/2025 23:45</t>
  </si>
  <si>
    <t>05/04/2025 24:00</t>
  </si>
  <si>
    <t>06/04/2025 00:15</t>
  </si>
  <si>
    <t>06/04/2025 00:30</t>
  </si>
  <si>
    <t>06/04/2025 00:45</t>
  </si>
  <si>
    <t>06/04/2025 01:00</t>
  </si>
  <si>
    <t>06/04/2025 01:15</t>
  </si>
  <si>
    <t>06/04/2025 01:30</t>
  </si>
  <si>
    <t>06/04/2025 01:45</t>
  </si>
  <si>
    <t>06/04/2025 02:00</t>
  </si>
  <si>
    <t>06/04/2025 02:15</t>
  </si>
  <si>
    <t>06/04/2025 02:30</t>
  </si>
  <si>
    <t>06/04/2025 02:45</t>
  </si>
  <si>
    <t>06/04/2025 03:00</t>
  </si>
  <si>
    <t>06/04/2025 03:15</t>
  </si>
  <si>
    <t>06/04/2025 03:30</t>
  </si>
  <si>
    <t>06/04/2025 03:45</t>
  </si>
  <si>
    <t>06/04/2025 04:00</t>
  </si>
  <si>
    <t>06/04/2025 04:15</t>
  </si>
  <si>
    <t>06/04/2025 04:30</t>
  </si>
  <si>
    <t>06/04/2025 04:45</t>
  </si>
  <si>
    <t>06/04/2025 05:00</t>
  </si>
  <si>
    <t>06/04/2025 05:15</t>
  </si>
  <si>
    <t>06/04/2025 05:30</t>
  </si>
  <si>
    <t>06/04/2025 05:45</t>
  </si>
  <si>
    <t>06/04/2025 06:00</t>
  </si>
  <si>
    <t>06/04/2025 06:15</t>
  </si>
  <si>
    <t>06/04/2025 06:30</t>
  </si>
  <si>
    <t>06/04/2025 06:45</t>
  </si>
  <si>
    <t>06/04/2025 07:00</t>
  </si>
  <si>
    <t>06/04/2025 07:15</t>
  </si>
  <si>
    <t>06/04/2025 07:30</t>
  </si>
  <si>
    <t>06/04/2025 07:45</t>
  </si>
  <si>
    <t>06/04/2025 08:00</t>
  </si>
  <si>
    <t>06/04/2025 08:15</t>
  </si>
  <si>
    <t>06/04/2025 08:30</t>
  </si>
  <si>
    <t>06/04/2025 08:45</t>
  </si>
  <si>
    <t>06/04/2025 09:00</t>
  </si>
  <si>
    <t>06/04/2025 09:15</t>
  </si>
  <si>
    <t>06/04/2025 09:30</t>
  </si>
  <si>
    <t>06/04/2025 09:45</t>
  </si>
  <si>
    <t>06/04/2025 10:00</t>
  </si>
  <si>
    <t>06/04/2025 10:15</t>
  </si>
  <si>
    <t>06/04/2025 10:30</t>
  </si>
  <si>
    <t>06/04/2025 10:45</t>
  </si>
  <si>
    <t>06/04/2025 11:00</t>
  </si>
  <si>
    <t>06/04/2025 11:15</t>
  </si>
  <si>
    <t>06/04/2025 11:30</t>
  </si>
  <si>
    <t>06/04/2025 11:45</t>
  </si>
  <si>
    <t>06/04/2025 12:00</t>
  </si>
  <si>
    <t>06/04/2025 12:15</t>
  </si>
  <si>
    <t>06/04/2025 12:30</t>
  </si>
  <si>
    <t>06/04/2025 12:45</t>
  </si>
  <si>
    <t>06/04/2025 13:00</t>
  </si>
  <si>
    <t>06/04/2025 13:15</t>
  </si>
  <si>
    <t>06/04/2025 13:30</t>
  </si>
  <si>
    <t>06/04/2025 13:45</t>
  </si>
  <si>
    <t>06/04/2025 14:00</t>
  </si>
  <si>
    <t>06/04/2025 14:15</t>
  </si>
  <si>
    <t>06/04/2025 14:30</t>
  </si>
  <si>
    <t>06/04/2025 14:45</t>
  </si>
  <si>
    <t>06/04/2025 15:00</t>
  </si>
  <si>
    <t>06/04/2025 15:15</t>
  </si>
  <si>
    <t>06/04/2025 15:30</t>
  </si>
  <si>
    <t>06/04/2025 15:45</t>
  </si>
  <si>
    <t>06/04/2025 16:00</t>
  </si>
  <si>
    <t>06/04/2025 16:15</t>
  </si>
  <si>
    <t>06/04/2025 16:30</t>
  </si>
  <si>
    <t>06/04/2025 16:45</t>
  </si>
  <si>
    <t>06/04/2025 17:00</t>
  </si>
  <si>
    <t>06/04/2025 17:15</t>
  </si>
  <si>
    <t>06/04/2025 17:30</t>
  </si>
  <si>
    <t>06/04/2025 17:45</t>
  </si>
  <si>
    <t>06/04/2025 18:00</t>
  </si>
  <si>
    <t>06/04/2025 18:15</t>
  </si>
  <si>
    <t>06/04/2025 18:30</t>
  </si>
  <si>
    <t>06/04/2025 18:45</t>
  </si>
  <si>
    <t>06/04/2025 19:00</t>
  </si>
  <si>
    <t>06/04/2025 19:15</t>
  </si>
  <si>
    <t>06/04/2025 19:30</t>
  </si>
  <si>
    <t>06/04/2025 19:45</t>
  </si>
  <si>
    <t>06/04/2025 20:00</t>
  </si>
  <si>
    <t>06/04/2025 20:15</t>
  </si>
  <si>
    <t>06/04/2025 20:30</t>
  </si>
  <si>
    <t>06/04/2025 20:45</t>
  </si>
  <si>
    <t>06/04/2025 21:00</t>
  </si>
  <si>
    <t>06/04/2025 21:15</t>
  </si>
  <si>
    <t>06/04/2025 21:30</t>
  </si>
  <si>
    <t>06/04/2025 21:45</t>
  </si>
  <si>
    <t>06/04/2025 22:00</t>
  </si>
  <si>
    <t>06/04/2025 22:15</t>
  </si>
  <si>
    <t>06/04/2025 22:30</t>
  </si>
  <si>
    <t>06/04/2025 22:45</t>
  </si>
  <si>
    <t>06/04/2025 23:00</t>
  </si>
  <si>
    <t>06/04/2025 23:15</t>
  </si>
  <si>
    <t>06/04/2025 23:30</t>
  </si>
  <si>
    <t>06/04/2025 23:45</t>
  </si>
  <si>
    <t>06/04/2025 24:00</t>
  </si>
  <si>
    <t>07/04/2025 00:15</t>
  </si>
  <si>
    <t>07/04/2025 00:30</t>
  </si>
  <si>
    <t>07/04/2025 00:45</t>
  </si>
  <si>
    <t>07/04/2025 01:00</t>
  </si>
  <si>
    <t>07/04/2025 01:15</t>
  </si>
  <si>
    <t>07/04/2025 01:30</t>
  </si>
  <si>
    <t>07/04/2025 01:45</t>
  </si>
  <si>
    <t>07/04/2025 02:00</t>
  </si>
  <si>
    <t>07/04/2025 02:15</t>
  </si>
  <si>
    <t>07/04/2025 02:30</t>
  </si>
  <si>
    <t>07/04/2025 02:45</t>
  </si>
  <si>
    <t>07/04/2025 03:00</t>
  </si>
  <si>
    <t>07/04/2025 03:15</t>
  </si>
  <si>
    <t>07/04/2025 03:30</t>
  </si>
  <si>
    <t>07/04/2025 03:45</t>
  </si>
  <si>
    <t>07/04/2025 04:00</t>
  </si>
  <si>
    <t>07/04/2025 04:15</t>
  </si>
  <si>
    <t>07/04/2025 04:30</t>
  </si>
  <si>
    <t>07/04/2025 04:45</t>
  </si>
  <si>
    <t>07/04/2025 05:00</t>
  </si>
  <si>
    <t>07/04/2025 05:15</t>
  </si>
  <si>
    <t>07/04/2025 05:30</t>
  </si>
  <si>
    <t>07/04/2025 05:45</t>
  </si>
  <si>
    <t>07/04/2025 06:00</t>
  </si>
  <si>
    <t>07/04/2025 06:15</t>
  </si>
  <si>
    <t>07/04/2025 06:30</t>
  </si>
  <si>
    <t>07/04/2025 06:45</t>
  </si>
  <si>
    <t>07/04/2025 07:00</t>
  </si>
  <si>
    <t>07/04/2025 07:15</t>
  </si>
  <si>
    <t>07/04/2025 07:30</t>
  </si>
  <si>
    <t>07/04/2025 07:45</t>
  </si>
  <si>
    <t>07/04/2025 08:00</t>
  </si>
  <si>
    <t>07/04/2025 08:15</t>
  </si>
  <si>
    <t>07/04/2025 08:30</t>
  </si>
  <si>
    <t>07/04/2025 08:45</t>
  </si>
  <si>
    <t>07/04/2025 09:00</t>
  </si>
  <si>
    <t>07/04/2025 09:15</t>
  </si>
  <si>
    <t>07/04/2025 09:30</t>
  </si>
  <si>
    <t>07/04/2025 09:45</t>
  </si>
  <si>
    <t>07/04/2025 10:00</t>
  </si>
  <si>
    <t>07/04/2025 10:15</t>
  </si>
  <si>
    <t>07/04/2025 10:30</t>
  </si>
  <si>
    <t>07/04/2025 10:45</t>
  </si>
  <si>
    <t>07/04/2025 11:00</t>
  </si>
  <si>
    <t>07/04/2025 11:15</t>
  </si>
  <si>
    <t>07/04/2025 11:30</t>
  </si>
  <si>
    <t>07/04/2025 11:45</t>
  </si>
  <si>
    <t>07/04/2025 12:00</t>
  </si>
  <si>
    <t>07/04/2025 12:15</t>
  </si>
  <si>
    <t>07/04/2025 12:30</t>
  </si>
  <si>
    <t>07/04/2025 12:45</t>
  </si>
  <si>
    <t>07/04/2025 13:00</t>
  </si>
  <si>
    <t>07/04/2025 13:15</t>
  </si>
  <si>
    <t>07/04/2025 13:30</t>
  </si>
  <si>
    <t>07/04/2025 13:45</t>
  </si>
  <si>
    <t>07/04/2025 14:00</t>
  </si>
  <si>
    <t>07/04/2025 14:15</t>
  </si>
  <si>
    <t>07/04/2025 14:30</t>
  </si>
  <si>
    <t>07/04/2025 14:45</t>
  </si>
  <si>
    <t>07/04/2025 15:00</t>
  </si>
  <si>
    <t>07/04/2025 15:15</t>
  </si>
  <si>
    <t>07/04/2025 15:30</t>
  </si>
  <si>
    <t>07/04/2025 15:45</t>
  </si>
  <si>
    <t>07/04/2025 16:00</t>
  </si>
  <si>
    <t>07/04/2025 16:15</t>
  </si>
  <si>
    <t>07/04/2025 16:30</t>
  </si>
  <si>
    <t>07/04/2025 16:45</t>
  </si>
  <si>
    <t>07/04/2025 17:00</t>
  </si>
  <si>
    <t>07/04/2025 17:15</t>
  </si>
  <si>
    <t>07/04/2025 17:30</t>
  </si>
  <si>
    <t>07/04/2025 17:45</t>
  </si>
  <si>
    <t>07/04/2025 18:00</t>
  </si>
  <si>
    <t>07/04/2025 18:15</t>
  </si>
  <si>
    <t>07/04/2025 18:30</t>
  </si>
  <si>
    <t>07/04/2025 18:45</t>
  </si>
  <si>
    <t>07/04/2025 19:00</t>
  </si>
  <si>
    <t>07/04/2025 19:15</t>
  </si>
  <si>
    <t>07/04/2025 19:30</t>
  </si>
  <si>
    <t>07/04/2025 19:45</t>
  </si>
  <si>
    <t>07/04/2025 20:00</t>
  </si>
  <si>
    <t>07/04/2025 20:15</t>
  </si>
  <si>
    <t>07/04/2025 20:30</t>
  </si>
  <si>
    <t>07/04/2025 20:45</t>
  </si>
  <si>
    <t>07/04/2025 21:00</t>
  </si>
  <si>
    <t>07/04/2025 21:15</t>
  </si>
  <si>
    <t>07/04/2025 21:30</t>
  </si>
  <si>
    <t>07/04/2025 21:45</t>
  </si>
  <si>
    <t>07/04/2025 22:00</t>
  </si>
  <si>
    <t>07/04/2025 22:15</t>
  </si>
  <si>
    <t>07/04/2025 22:30</t>
  </si>
  <si>
    <t>07/04/2025 22:45</t>
  </si>
  <si>
    <t>07/04/2025 23:00</t>
  </si>
  <si>
    <t>07/04/2025 23:15</t>
  </si>
  <si>
    <t>07/04/2025 23:30</t>
  </si>
  <si>
    <t>07/04/2025 23:45</t>
  </si>
  <si>
    <t>07/04/2025 24:00</t>
  </si>
  <si>
    <t>08/04/2025 00:15</t>
  </si>
  <si>
    <t>08/04/2025 00:30</t>
  </si>
  <si>
    <t>08/04/2025 00:45</t>
  </si>
  <si>
    <t>08/04/2025 01:00</t>
  </si>
  <si>
    <t>08/04/2025 01:15</t>
  </si>
  <si>
    <t>08/04/2025 01:30</t>
  </si>
  <si>
    <t>08/04/2025 01:45</t>
  </si>
  <si>
    <t>08/04/2025 02:00</t>
  </si>
  <si>
    <t>08/04/2025 02:15</t>
  </si>
  <si>
    <t>08/04/2025 02:30</t>
  </si>
  <si>
    <t>08/04/2025 02:45</t>
  </si>
  <si>
    <t>08/04/2025 03:00</t>
  </si>
  <si>
    <t>08/04/2025 03:15</t>
  </si>
  <si>
    <t>08/04/2025 03:30</t>
  </si>
  <si>
    <t>08/04/2025 03:45</t>
  </si>
  <si>
    <t>08/04/2025 04:00</t>
  </si>
  <si>
    <t>08/04/2025 04:15</t>
  </si>
  <si>
    <t>08/04/2025 04:30</t>
  </si>
  <si>
    <t>08/04/2025 04:45</t>
  </si>
  <si>
    <t>08/04/2025 05:00</t>
  </si>
  <si>
    <t>08/04/2025 05:15</t>
  </si>
  <si>
    <t>08/04/2025 05:30</t>
  </si>
  <si>
    <t>08/04/2025 05:45</t>
  </si>
  <si>
    <t>08/04/2025 06:00</t>
  </si>
  <si>
    <t>08/04/2025 06:15</t>
  </si>
  <si>
    <t>08/04/2025 06:30</t>
  </si>
  <si>
    <t>08/04/2025 06:45</t>
  </si>
  <si>
    <t>08/04/2025 07:00</t>
  </si>
  <si>
    <t>08/04/2025 07:15</t>
  </si>
  <si>
    <t>08/04/2025 07:30</t>
  </si>
  <si>
    <t>08/04/2025 07:45</t>
  </si>
  <si>
    <t>08/04/2025 08:00</t>
  </si>
  <si>
    <t>08/04/2025 08:15</t>
  </si>
  <si>
    <t>08/04/2025 08:30</t>
  </si>
  <si>
    <t>08/04/2025 08:45</t>
  </si>
  <si>
    <t>08/04/2025 09:00</t>
  </si>
  <si>
    <t>08/04/2025 09:15</t>
  </si>
  <si>
    <t>08/04/2025 09:30</t>
  </si>
  <si>
    <t>08/04/2025 09:45</t>
  </si>
  <si>
    <t>08/04/2025 10:00</t>
  </si>
  <si>
    <t>08/04/2025 10:15</t>
  </si>
  <si>
    <t>08/04/2025 10:30</t>
  </si>
  <si>
    <t>08/04/2025 10:45</t>
  </si>
  <si>
    <t>08/04/2025 11:00</t>
  </si>
  <si>
    <t>08/04/2025 11:15</t>
  </si>
  <si>
    <t>08/04/2025 11:30</t>
  </si>
  <si>
    <t>08/04/2025 11:45</t>
  </si>
  <si>
    <t>08/04/2025 12:00</t>
  </si>
  <si>
    <t>08/04/2025 12:15</t>
  </si>
  <si>
    <t>08/04/2025 12:30</t>
  </si>
  <si>
    <t>08/04/2025 12:45</t>
  </si>
  <si>
    <t>08/04/2025 13:00</t>
  </si>
  <si>
    <t>08/04/2025 13:15</t>
  </si>
  <si>
    <t>08/04/2025 13:30</t>
  </si>
  <si>
    <t>08/04/2025 13:45</t>
  </si>
  <si>
    <t>08/04/2025 14:00</t>
  </si>
  <si>
    <t>08/04/2025 14:15</t>
  </si>
  <si>
    <t>08/04/2025 14:30</t>
  </si>
  <si>
    <t>08/04/2025 14:45</t>
  </si>
  <si>
    <t>08/04/2025 15:00</t>
  </si>
  <si>
    <t>08/04/2025 15:15</t>
  </si>
  <si>
    <t>08/04/2025 15:30</t>
  </si>
  <si>
    <t>08/04/2025 15:45</t>
  </si>
  <si>
    <t>08/04/2025 16:00</t>
  </si>
  <si>
    <t>08/04/2025 16:15</t>
  </si>
  <si>
    <t>08/04/2025 16:30</t>
  </si>
  <si>
    <t>08/04/2025 16:45</t>
  </si>
  <si>
    <t>08/04/2025 17:00</t>
  </si>
  <si>
    <t>08/04/2025 17:15</t>
  </si>
  <si>
    <t>08/04/2025 17:30</t>
  </si>
  <si>
    <t>08/04/2025 17:45</t>
  </si>
  <si>
    <t>08/04/2025 18:00</t>
  </si>
  <si>
    <t>08/04/2025 18:15</t>
  </si>
  <si>
    <t>08/04/2025 18:30</t>
  </si>
  <si>
    <t>08/04/2025 18:45</t>
  </si>
  <si>
    <t>08/04/2025 19:00</t>
  </si>
  <si>
    <t>08/04/2025 19:15</t>
  </si>
  <si>
    <t>08/04/2025 19:30</t>
  </si>
  <si>
    <t>08/04/2025 19:45</t>
  </si>
  <si>
    <t>08/04/2025 20:00</t>
  </si>
  <si>
    <t>08/04/2025 20:15</t>
  </si>
  <si>
    <t>08/04/2025 20:30</t>
  </si>
  <si>
    <t>08/04/2025 20:45</t>
  </si>
  <si>
    <t>08/04/2025 21:00</t>
  </si>
  <si>
    <t>08/04/2025 21:15</t>
  </si>
  <si>
    <t>08/04/2025 21:30</t>
  </si>
  <si>
    <t>08/04/2025 21:45</t>
  </si>
  <si>
    <t>08/04/2025 22:00</t>
  </si>
  <si>
    <t>08/04/2025 22:15</t>
  </si>
  <si>
    <t>08/04/2025 22:30</t>
  </si>
  <si>
    <t>08/04/2025 22:45</t>
  </si>
  <si>
    <t>08/04/2025 23:00</t>
  </si>
  <si>
    <t>08/04/2025 23:15</t>
  </si>
  <si>
    <t>08/04/2025 23:30</t>
  </si>
  <si>
    <t>08/04/2025 23:45</t>
  </si>
  <si>
    <t>08/04/2025 24:00</t>
  </si>
  <si>
    <t>09/04/2025 00:15</t>
  </si>
  <si>
    <t>09/04/2025 00:30</t>
  </si>
  <si>
    <t>09/04/2025 00:45</t>
  </si>
  <si>
    <t>09/04/2025 01:00</t>
  </si>
  <si>
    <t>09/04/2025 01:15</t>
  </si>
  <si>
    <t>09/04/2025 01:30</t>
  </si>
  <si>
    <t>09/04/2025 01:45</t>
  </si>
  <si>
    <t>09/04/2025 02:00</t>
  </si>
  <si>
    <t>09/04/2025 02:15</t>
  </si>
  <si>
    <t>09/04/2025 02:30</t>
  </si>
  <si>
    <t>09/04/2025 02:45</t>
  </si>
  <si>
    <t>09/04/2025 03:00</t>
  </si>
  <si>
    <t>09/04/2025 03:15</t>
  </si>
  <si>
    <t>09/04/2025 03:30</t>
  </si>
  <si>
    <t>09/04/2025 03:45</t>
  </si>
  <si>
    <t>09/04/2025 04:00</t>
  </si>
  <si>
    <t>09/04/2025 04:15</t>
  </si>
  <si>
    <t>09/04/2025 04:30</t>
  </si>
  <si>
    <t>09/04/2025 04:45</t>
  </si>
  <si>
    <t>09/04/2025 05:00</t>
  </si>
  <si>
    <t>09/04/2025 05:15</t>
  </si>
  <si>
    <t>09/04/2025 05:30</t>
  </si>
  <si>
    <t>09/04/2025 05:45</t>
  </si>
  <si>
    <t>09/04/2025 06:00</t>
  </si>
  <si>
    <t>09/04/2025 06:15</t>
  </si>
  <si>
    <t>09/04/2025 06:30</t>
  </si>
  <si>
    <t>09/04/2025 06:45</t>
  </si>
  <si>
    <t>09/04/2025 07:00</t>
  </si>
  <si>
    <t>09/04/2025 07:15</t>
  </si>
  <si>
    <t>09/04/2025 07:30</t>
  </si>
  <si>
    <t>09/04/2025 07:45</t>
  </si>
  <si>
    <t>09/04/2025 08:00</t>
  </si>
  <si>
    <t>09/04/2025 08:15</t>
  </si>
  <si>
    <t>09/04/2025 08:30</t>
  </si>
  <si>
    <t>09/04/2025 08:45</t>
  </si>
  <si>
    <t>09/04/2025 09:00</t>
  </si>
  <si>
    <t>09/04/2025 09:15</t>
  </si>
  <si>
    <t>09/04/2025 09:30</t>
  </si>
  <si>
    <t>09/04/2025 09:45</t>
  </si>
  <si>
    <t>09/04/2025 10:00</t>
  </si>
  <si>
    <t>09/04/2025 10:15</t>
  </si>
  <si>
    <t>09/04/2025 10:30</t>
  </si>
  <si>
    <t>09/04/2025 10:45</t>
  </si>
  <si>
    <t>09/04/2025 11:00</t>
  </si>
  <si>
    <t>09/04/2025 11:15</t>
  </si>
  <si>
    <t>09/04/2025 11:30</t>
  </si>
  <si>
    <t>09/04/2025 11:45</t>
  </si>
  <si>
    <t>09/04/2025 12:00</t>
  </si>
  <si>
    <t>09/04/2025 12:15</t>
  </si>
  <si>
    <t>09/04/2025 12:30</t>
  </si>
  <si>
    <t>09/04/2025 12:45</t>
  </si>
  <si>
    <t>09/04/2025 13:00</t>
  </si>
  <si>
    <t>09/04/2025 13:15</t>
  </si>
  <si>
    <t>09/04/2025 13:30</t>
  </si>
  <si>
    <t>09/04/2025 13:45</t>
  </si>
  <si>
    <t>09/04/2025 14:00</t>
  </si>
  <si>
    <t>09/04/2025 14:15</t>
  </si>
  <si>
    <t>09/04/2025 14:30</t>
  </si>
  <si>
    <t>09/04/2025 14:45</t>
  </si>
  <si>
    <t>09/04/2025 15:00</t>
  </si>
  <si>
    <t>09/04/2025 15:15</t>
  </si>
  <si>
    <t>09/04/2025 15:30</t>
  </si>
  <si>
    <t>09/04/2025 15:45</t>
  </si>
  <si>
    <t>09/04/2025 16:00</t>
  </si>
  <si>
    <t>09/04/2025 16:15</t>
  </si>
  <si>
    <t>09/04/2025 16:30</t>
  </si>
  <si>
    <t>09/04/2025 16:45</t>
  </si>
  <si>
    <t>09/04/2025 17:00</t>
  </si>
  <si>
    <t>09/04/2025 17:15</t>
  </si>
  <si>
    <t>09/04/2025 17:30</t>
  </si>
  <si>
    <t>09/04/2025 17:45</t>
  </si>
  <si>
    <t>09/04/2025 18:00</t>
  </si>
  <si>
    <t>09/04/2025 18:15</t>
  </si>
  <si>
    <t>09/04/2025 18:30</t>
  </si>
  <si>
    <t>09/04/2025 18:45</t>
  </si>
  <si>
    <t>09/04/2025 19:00</t>
  </si>
  <si>
    <t>09/04/2025 19:15</t>
  </si>
  <si>
    <t>09/04/2025 19:30</t>
  </si>
  <si>
    <t>09/04/2025 19:45</t>
  </si>
  <si>
    <t>09/04/2025 20:00</t>
  </si>
  <si>
    <t>09/04/2025 20:15</t>
  </si>
  <si>
    <t>09/04/2025 20:30</t>
  </si>
  <si>
    <t>09/04/2025 20:45</t>
  </si>
  <si>
    <t>09/04/2025 21:00</t>
  </si>
  <si>
    <t>09/04/2025 21:15</t>
  </si>
  <si>
    <t>09/04/2025 21:30</t>
  </si>
  <si>
    <t>09/04/2025 21:45</t>
  </si>
  <si>
    <t>09/04/2025 22:00</t>
  </si>
  <si>
    <t>09/04/2025 22:15</t>
  </si>
  <si>
    <t>09/04/2025 22:30</t>
  </si>
  <si>
    <t>09/04/2025 22:45</t>
  </si>
  <si>
    <t>09/04/2025 23:00</t>
  </si>
  <si>
    <t>09/04/2025 23:15</t>
  </si>
  <si>
    <t>09/04/2025 23:30</t>
  </si>
  <si>
    <t>09/04/2025 23:45</t>
  </si>
  <si>
    <t>09/04/2025 24:00</t>
  </si>
  <si>
    <t>10/04/2025 00:15</t>
  </si>
  <si>
    <t>10/04/2025 00:30</t>
  </si>
  <si>
    <t>10/04/2025 00:45</t>
  </si>
  <si>
    <t>10/04/2025 01:00</t>
  </si>
  <si>
    <t>10/04/2025 01:15</t>
  </si>
  <si>
    <t>10/04/2025 01:30</t>
  </si>
  <si>
    <t>10/04/2025 01:45</t>
  </si>
  <si>
    <t>10/04/2025 02:00</t>
  </si>
  <si>
    <t>10/04/2025 02:15</t>
  </si>
  <si>
    <t>10/04/2025 02:30</t>
  </si>
  <si>
    <t>10/04/2025 02:45</t>
  </si>
  <si>
    <t>10/04/2025 03:00</t>
  </si>
  <si>
    <t>10/04/2025 03:15</t>
  </si>
  <si>
    <t>10/04/2025 03:30</t>
  </si>
  <si>
    <t>10/04/2025 03:45</t>
  </si>
  <si>
    <t>10/04/2025 04:00</t>
  </si>
  <si>
    <t>10/04/2025 04:15</t>
  </si>
  <si>
    <t>10/04/2025 04:30</t>
  </si>
  <si>
    <t>10/04/2025 04:45</t>
  </si>
  <si>
    <t>10/04/2025 05:00</t>
  </si>
  <si>
    <t>10/04/2025 05:15</t>
  </si>
  <si>
    <t>10/04/2025 05:30</t>
  </si>
  <si>
    <t>10/04/2025 05:45</t>
  </si>
  <si>
    <t>10/04/2025 06:00</t>
  </si>
  <si>
    <t>10/04/2025 06:15</t>
  </si>
  <si>
    <t>10/04/2025 06:30</t>
  </si>
  <si>
    <t>10/04/2025 06:45</t>
  </si>
  <si>
    <t>10/04/2025 07:00</t>
  </si>
  <si>
    <t>10/04/2025 07:15</t>
  </si>
  <si>
    <t>10/04/2025 07:30</t>
  </si>
  <si>
    <t>10/04/2025 07:45</t>
  </si>
  <si>
    <t>10/04/2025 08:00</t>
  </si>
  <si>
    <t>10/04/2025 08:15</t>
  </si>
  <si>
    <t>10/04/2025 08:30</t>
  </si>
  <si>
    <t>10/04/2025 08:45</t>
  </si>
  <si>
    <t>10/04/2025 09:00</t>
  </si>
  <si>
    <t>10/04/2025 09:15</t>
  </si>
  <si>
    <t>10/04/2025 09:30</t>
  </si>
  <si>
    <t>10/04/2025 09:45</t>
  </si>
  <si>
    <t>10/04/2025 10:00</t>
  </si>
  <si>
    <t>10/04/2025 10:15</t>
  </si>
  <si>
    <t>10/04/2025 10:30</t>
  </si>
  <si>
    <t>10/04/2025 10:45</t>
  </si>
  <si>
    <t>10/04/2025 11:00</t>
  </si>
  <si>
    <t>10/04/2025 11:15</t>
  </si>
  <si>
    <t>10/04/2025 11:30</t>
  </si>
  <si>
    <t>10/04/2025 11:45</t>
  </si>
  <si>
    <t>10/04/2025 12:00</t>
  </si>
  <si>
    <t>10/04/2025 12:15</t>
  </si>
  <si>
    <t>10/04/2025 12:30</t>
  </si>
  <si>
    <t>10/04/2025 12:45</t>
  </si>
  <si>
    <t>10/04/2025 13:00</t>
  </si>
  <si>
    <t>10/04/2025 13:15</t>
  </si>
  <si>
    <t>10/04/2025 13:30</t>
  </si>
  <si>
    <t>10/04/2025 13:45</t>
  </si>
  <si>
    <t>10/04/2025 14:00</t>
  </si>
  <si>
    <t>10/04/2025 14:15</t>
  </si>
  <si>
    <t>10/04/2025 14:30</t>
  </si>
  <si>
    <t>10/04/2025 14:45</t>
  </si>
  <si>
    <t>10/04/2025 15:00</t>
  </si>
  <si>
    <t>10/04/2025 15:15</t>
  </si>
  <si>
    <t>10/04/2025 15:30</t>
  </si>
  <si>
    <t>10/04/2025 15:45</t>
  </si>
  <si>
    <t>10/04/2025 16:00</t>
  </si>
  <si>
    <t>10/04/2025 16:15</t>
  </si>
  <si>
    <t>10/04/2025 16:30</t>
  </si>
  <si>
    <t>10/04/2025 16:45</t>
  </si>
  <si>
    <t>10/04/2025 17:00</t>
  </si>
  <si>
    <t>10/04/2025 17:15</t>
  </si>
  <si>
    <t>10/04/2025 17:30</t>
  </si>
  <si>
    <t>10/04/2025 17:45</t>
  </si>
  <si>
    <t>10/04/2025 18:00</t>
  </si>
  <si>
    <t>10/04/2025 18:15</t>
  </si>
  <si>
    <t>10/04/2025 18:30</t>
  </si>
  <si>
    <t>10/04/2025 18:45</t>
  </si>
  <si>
    <t>10/04/2025 19:00</t>
  </si>
  <si>
    <t>10/04/2025 19:15</t>
  </si>
  <si>
    <t>10/04/2025 19:30</t>
  </si>
  <si>
    <t>10/04/2025 19:45</t>
  </si>
  <si>
    <t>10/04/2025 20:00</t>
  </si>
  <si>
    <t>10/04/2025 20:15</t>
  </si>
  <si>
    <t>10/04/2025 20:30</t>
  </si>
  <si>
    <t>10/04/2025 20:45</t>
  </si>
  <si>
    <t>10/04/2025 21:00</t>
  </si>
  <si>
    <t>10/04/2025 21:15</t>
  </si>
  <si>
    <t>10/04/2025 21:30</t>
  </si>
  <si>
    <t>10/04/2025 21:45</t>
  </si>
  <si>
    <t>10/04/2025 22:00</t>
  </si>
  <si>
    <t>10/04/2025 22:15</t>
  </si>
  <si>
    <t>10/04/2025 22:30</t>
  </si>
  <si>
    <t>10/04/2025 22:45</t>
  </si>
  <si>
    <t>10/04/2025 23:00</t>
  </si>
  <si>
    <t>10/04/2025 23:15</t>
  </si>
  <si>
    <t>10/04/2025 23:30</t>
  </si>
  <si>
    <t>10/04/2025 23:45</t>
  </si>
  <si>
    <t>10/04/2025 24:00</t>
  </si>
  <si>
    <t>11/04/2025 00:15</t>
  </si>
  <si>
    <t>11/04/2025 00:30</t>
  </si>
  <si>
    <t>11/04/2025 00:45</t>
  </si>
  <si>
    <t>11/04/2025 01:00</t>
  </si>
  <si>
    <t>11/04/2025 01:15</t>
  </si>
  <si>
    <t>11/04/2025 01:30</t>
  </si>
  <si>
    <t>11/04/2025 01:45</t>
  </si>
  <si>
    <t>11/04/2025 02:00</t>
  </si>
  <si>
    <t>11/04/2025 02:15</t>
  </si>
  <si>
    <t>11/04/2025 02:30</t>
  </si>
  <si>
    <t>11/04/2025 02:45</t>
  </si>
  <si>
    <t>11/04/2025 03:00</t>
  </si>
  <si>
    <t>11/04/2025 03:15</t>
  </si>
  <si>
    <t>11/04/2025 03:30</t>
  </si>
  <si>
    <t>11/04/2025 03:45</t>
  </si>
  <si>
    <t>11/04/2025 04:00</t>
  </si>
  <si>
    <t>11/04/2025 04:15</t>
  </si>
  <si>
    <t>11/04/2025 04:30</t>
  </si>
  <si>
    <t>11/04/2025 04:45</t>
  </si>
  <si>
    <t>11/04/2025 05:00</t>
  </si>
  <si>
    <t>11/04/2025 05:15</t>
  </si>
  <si>
    <t>11/04/2025 05:30</t>
  </si>
  <si>
    <t>11/04/2025 05:45</t>
  </si>
  <si>
    <t>11/04/2025 06:00</t>
  </si>
  <si>
    <t>11/04/2025 06:15</t>
  </si>
  <si>
    <t>11/04/2025 06:30</t>
  </si>
  <si>
    <t>11/04/2025 06:45</t>
  </si>
  <si>
    <t>11/04/2025 07:00</t>
  </si>
  <si>
    <t>11/04/2025 07:15</t>
  </si>
  <si>
    <t>11/04/2025 07:30</t>
  </si>
  <si>
    <t>11/04/2025 07:45</t>
  </si>
  <si>
    <t>11/04/2025 08:00</t>
  </si>
  <si>
    <t>11/04/2025 08:15</t>
  </si>
  <si>
    <t>11/04/2025 08:30</t>
  </si>
  <si>
    <t>11/04/2025 08:45</t>
  </si>
  <si>
    <t>11/04/2025 09:00</t>
  </si>
  <si>
    <t>11/04/2025 09:15</t>
  </si>
  <si>
    <t>11/04/2025 09:30</t>
  </si>
  <si>
    <t>11/04/2025 09:45</t>
  </si>
  <si>
    <t>11/04/2025 10:00</t>
  </si>
  <si>
    <t>11/04/2025 10:15</t>
  </si>
  <si>
    <t>11/04/2025 10:30</t>
  </si>
  <si>
    <t>11/04/2025 10:45</t>
  </si>
  <si>
    <t>11/04/2025 11:00</t>
  </si>
  <si>
    <t>11/04/2025 11:15</t>
  </si>
  <si>
    <t>11/04/2025 11:30</t>
  </si>
  <si>
    <t>11/04/2025 11:45</t>
  </si>
  <si>
    <t>11/04/2025 12:00</t>
  </si>
  <si>
    <t>11/04/2025 12:15</t>
  </si>
  <si>
    <t>11/04/2025 12:30</t>
  </si>
  <si>
    <t>11/04/2025 12:45</t>
  </si>
  <si>
    <t>11/04/2025 13:00</t>
  </si>
  <si>
    <t>11/04/2025 13:15</t>
  </si>
  <si>
    <t>11/04/2025 13:30</t>
  </si>
  <si>
    <t>11/04/2025 13:45</t>
  </si>
  <si>
    <t>11/04/2025 14:00</t>
  </si>
  <si>
    <t>11/04/2025 14:15</t>
  </si>
  <si>
    <t>11/04/2025 14:30</t>
  </si>
  <si>
    <t>11/04/2025 14:45</t>
  </si>
  <si>
    <t>11/04/2025 15:00</t>
  </si>
  <si>
    <t>11/04/2025 15:15</t>
  </si>
  <si>
    <t>11/04/2025 15:30</t>
  </si>
  <si>
    <t>11/04/2025 15:45</t>
  </si>
  <si>
    <t>11/04/2025 16:00</t>
  </si>
  <si>
    <t>11/04/2025 16:15</t>
  </si>
  <si>
    <t>11/04/2025 16:30</t>
  </si>
  <si>
    <t>11/04/2025 16:45</t>
  </si>
  <si>
    <t>11/04/2025 17:00</t>
  </si>
  <si>
    <t>11/04/2025 17:15</t>
  </si>
  <si>
    <t>11/04/2025 17:30</t>
  </si>
  <si>
    <t>11/04/2025 17:45</t>
  </si>
  <si>
    <t>11/04/2025 18:00</t>
  </si>
  <si>
    <t>11/04/2025 18:15</t>
  </si>
  <si>
    <t>11/04/2025 18:30</t>
  </si>
  <si>
    <t>11/04/2025 18:45</t>
  </si>
  <si>
    <t>11/04/2025 19:00</t>
  </si>
  <si>
    <t>11/04/2025 19:15</t>
  </si>
  <si>
    <t>11/04/2025 19:30</t>
  </si>
  <si>
    <t>11/04/2025 19:45</t>
  </si>
  <si>
    <t>11/04/2025 20:00</t>
  </si>
  <si>
    <t>11/04/2025 20:15</t>
  </si>
  <si>
    <t>11/04/2025 20:30</t>
  </si>
  <si>
    <t>11/04/2025 20:45</t>
  </si>
  <si>
    <t>11/04/2025 21:00</t>
  </si>
  <si>
    <t>11/04/2025 21:15</t>
  </si>
  <si>
    <t>11/04/2025 21:30</t>
  </si>
  <si>
    <t>11/04/2025 21:45</t>
  </si>
  <si>
    <t>11/04/2025 22:00</t>
  </si>
  <si>
    <t>11/04/2025 22:15</t>
  </si>
  <si>
    <t>11/04/2025 22:30</t>
  </si>
  <si>
    <t>11/04/2025 22:45</t>
  </si>
  <si>
    <t>11/04/2025 23:00</t>
  </si>
  <si>
    <t>11/04/2025 23:15</t>
  </si>
  <si>
    <t>11/04/2025 23:30</t>
  </si>
  <si>
    <t>11/04/2025 23:45</t>
  </si>
  <si>
    <t>11/04/2025 24:00</t>
  </si>
  <si>
    <t>12/04/2025 00:15</t>
  </si>
  <si>
    <t>12/04/2025 00:30</t>
  </si>
  <si>
    <t>12/04/2025 00:45</t>
  </si>
  <si>
    <t>12/04/2025 01:00</t>
  </si>
  <si>
    <t>12/04/2025 01:15</t>
  </si>
  <si>
    <t>12/04/2025 01:30</t>
  </si>
  <si>
    <t>12/04/2025 01:45</t>
  </si>
  <si>
    <t>12/04/2025 02:00</t>
  </si>
  <si>
    <t>12/04/2025 02:15</t>
  </si>
  <si>
    <t>12/04/2025 02:30</t>
  </si>
  <si>
    <t>12/04/2025 02:45</t>
  </si>
  <si>
    <t>12/04/2025 03:00</t>
  </si>
  <si>
    <t>12/04/2025 03:15</t>
  </si>
  <si>
    <t>12/04/2025 03:30</t>
  </si>
  <si>
    <t>12/04/2025 03:45</t>
  </si>
  <si>
    <t>12/04/2025 04:00</t>
  </si>
  <si>
    <t>12/04/2025 04:15</t>
  </si>
  <si>
    <t>12/04/2025 04:30</t>
  </si>
  <si>
    <t>12/04/2025 04:45</t>
  </si>
  <si>
    <t>12/04/2025 05:00</t>
  </si>
  <si>
    <t>12/04/2025 05:15</t>
  </si>
  <si>
    <t>12/04/2025 05:30</t>
  </si>
  <si>
    <t>12/04/2025 05:45</t>
  </si>
  <si>
    <t>12/04/2025 06:00</t>
  </si>
  <si>
    <t>12/04/2025 06:15</t>
  </si>
  <si>
    <t>12/04/2025 06:30</t>
  </si>
  <si>
    <t>12/04/2025 06:45</t>
  </si>
  <si>
    <t>12/04/2025 07:00</t>
  </si>
  <si>
    <t>12/04/2025 07:15</t>
  </si>
  <si>
    <t>12/04/2025 07:30</t>
  </si>
  <si>
    <t>12/04/2025 07:45</t>
  </si>
  <si>
    <t>12/04/2025 08:00</t>
  </si>
  <si>
    <t>12/04/2025 08:15</t>
  </si>
  <si>
    <t>12/04/2025 08:30</t>
  </si>
  <si>
    <t>12/04/2025 08:45</t>
  </si>
  <si>
    <t>12/04/2025 09:00</t>
  </si>
  <si>
    <t>12/04/2025 09:15</t>
  </si>
  <si>
    <t>12/04/2025 09:30</t>
  </si>
  <si>
    <t>12/04/2025 09:45</t>
  </si>
  <si>
    <t>12/04/2025 10:00</t>
  </si>
  <si>
    <t>12/04/2025 10:15</t>
  </si>
  <si>
    <t>12/04/2025 10:30</t>
  </si>
  <si>
    <t>12/04/2025 10:45</t>
  </si>
  <si>
    <t>12/04/2025 11:00</t>
  </si>
  <si>
    <t>12/04/2025 11:15</t>
  </si>
  <si>
    <t>12/04/2025 11:30</t>
  </si>
  <si>
    <t>12/04/2025 11:45</t>
  </si>
  <si>
    <t>12/04/2025 12:00</t>
  </si>
  <si>
    <t>12/04/2025 12:15</t>
  </si>
  <si>
    <t>12/04/2025 12:30</t>
  </si>
  <si>
    <t>12/04/2025 12:45</t>
  </si>
  <si>
    <t>12/04/2025 13:00</t>
  </si>
  <si>
    <t>12/04/2025 13:15</t>
  </si>
  <si>
    <t>12/04/2025 13:30</t>
  </si>
  <si>
    <t>12/04/2025 13:45</t>
  </si>
  <si>
    <t>12/04/2025 14:00</t>
  </si>
  <si>
    <t>12/04/2025 14:15</t>
  </si>
  <si>
    <t>12/04/2025 14:30</t>
  </si>
  <si>
    <t>12/04/2025 14:45</t>
  </si>
  <si>
    <t>12/04/2025 15:00</t>
  </si>
  <si>
    <t>12/04/2025 15:15</t>
  </si>
  <si>
    <t>12/04/2025 15:30</t>
  </si>
  <si>
    <t>12/04/2025 15:45</t>
  </si>
  <si>
    <t>12/04/2025 16:00</t>
  </si>
  <si>
    <t>12/04/2025 16:15</t>
  </si>
  <si>
    <t>12/04/2025 16:30</t>
  </si>
  <si>
    <t>12/04/2025 16:45</t>
  </si>
  <si>
    <t>12/04/2025 17:00</t>
  </si>
  <si>
    <t>12/04/2025 17:15</t>
  </si>
  <si>
    <t>12/04/2025 17:30</t>
  </si>
  <si>
    <t>12/04/2025 17:45</t>
  </si>
  <si>
    <t>12/04/2025 18:00</t>
  </si>
  <si>
    <t>12/04/2025 18:15</t>
  </si>
  <si>
    <t>12/04/2025 18:30</t>
  </si>
  <si>
    <t>12/04/2025 18:45</t>
  </si>
  <si>
    <t>12/04/2025 19:00</t>
  </si>
  <si>
    <t>12/04/2025 19:15</t>
  </si>
  <si>
    <t>12/04/2025 19:30</t>
  </si>
  <si>
    <t>12/04/2025 19:45</t>
  </si>
  <si>
    <t>12/04/2025 20:00</t>
  </si>
  <si>
    <t>12/04/2025 20:15</t>
  </si>
  <si>
    <t>12/04/2025 20:30</t>
  </si>
  <si>
    <t>12/04/2025 20:45</t>
  </si>
  <si>
    <t>12/04/2025 21:00</t>
  </si>
  <si>
    <t>12/04/2025 21:15</t>
  </si>
  <si>
    <t>12/04/2025 21:30</t>
  </si>
  <si>
    <t>12/04/2025 21:45</t>
  </si>
  <si>
    <t>12/04/2025 22:00</t>
  </si>
  <si>
    <t>12/04/2025 22:15</t>
  </si>
  <si>
    <t>12/04/2025 22:30</t>
  </si>
  <si>
    <t>12/04/2025 22:45</t>
  </si>
  <si>
    <t>12/04/2025 23:00</t>
  </si>
  <si>
    <t>12/04/2025 23:15</t>
  </si>
  <si>
    <t>12/04/2025 23:30</t>
  </si>
  <si>
    <t>12/04/2025 23:45</t>
  </si>
  <si>
    <t>12/04/2025 24:00</t>
  </si>
  <si>
    <t>13/04/2025 00:15</t>
  </si>
  <si>
    <t>13/04/2025 00:30</t>
  </si>
  <si>
    <t>13/04/2025 00:45</t>
  </si>
  <si>
    <t>13/04/2025 01:00</t>
  </si>
  <si>
    <t>13/04/2025 01:15</t>
  </si>
  <si>
    <t>13/04/2025 01:30</t>
  </si>
  <si>
    <t>13/04/2025 01:45</t>
  </si>
  <si>
    <t>13/04/2025 02:00</t>
  </si>
  <si>
    <t>13/04/2025 02:15</t>
  </si>
  <si>
    <t>13/04/2025 02:30</t>
  </si>
  <si>
    <t>13/04/2025 02:45</t>
  </si>
  <si>
    <t>13/04/2025 03:00</t>
  </si>
  <si>
    <t>13/04/2025 03:15</t>
  </si>
  <si>
    <t>13/04/2025 03:30</t>
  </si>
  <si>
    <t>13/04/2025 03:45</t>
  </si>
  <si>
    <t>13/04/2025 04:00</t>
  </si>
  <si>
    <t>13/04/2025 04:15</t>
  </si>
  <si>
    <t>13/04/2025 04:30</t>
  </si>
  <si>
    <t>13/04/2025 04:45</t>
  </si>
  <si>
    <t>13/04/2025 05:00</t>
  </si>
  <si>
    <t>13/04/2025 05:15</t>
  </si>
  <si>
    <t>13/04/2025 05:30</t>
  </si>
  <si>
    <t>13/04/2025 05:45</t>
  </si>
  <si>
    <t>13/04/2025 06:00</t>
  </si>
  <si>
    <t>13/04/2025 06:15</t>
  </si>
  <si>
    <t>13/04/2025 06:30</t>
  </si>
  <si>
    <t>13/04/2025 06:45</t>
  </si>
  <si>
    <t>13/04/2025 07:00</t>
  </si>
  <si>
    <t>13/04/2025 07:15</t>
  </si>
  <si>
    <t>13/04/2025 07:30</t>
  </si>
  <si>
    <t>13/04/2025 07:45</t>
  </si>
  <si>
    <t>13/04/2025 08:00</t>
  </si>
  <si>
    <t>13/04/2025 08:15</t>
  </si>
  <si>
    <t>13/04/2025 08:30</t>
  </si>
  <si>
    <t>13/04/2025 08:45</t>
  </si>
  <si>
    <t>13/04/2025 09:00</t>
  </si>
  <si>
    <t>13/04/2025 09:15</t>
  </si>
  <si>
    <t>13/04/2025 09:30</t>
  </si>
  <si>
    <t>13/04/2025 09:45</t>
  </si>
  <si>
    <t>13/04/2025 10:00</t>
  </si>
  <si>
    <t>13/04/2025 10:15</t>
  </si>
  <si>
    <t>13/04/2025 10:30</t>
  </si>
  <si>
    <t>13/04/2025 10:45</t>
  </si>
  <si>
    <t>13/04/2025 11:00</t>
  </si>
  <si>
    <t>13/04/2025 11:15</t>
  </si>
  <si>
    <t>13/04/2025 11:30</t>
  </si>
  <si>
    <t>13/04/2025 11:45</t>
  </si>
  <si>
    <t>13/04/2025 12:00</t>
  </si>
  <si>
    <t>13/04/2025 12:15</t>
  </si>
  <si>
    <t>13/04/2025 12:30</t>
  </si>
  <si>
    <t>13/04/2025 12:45</t>
  </si>
  <si>
    <t>13/04/2025 13:00</t>
  </si>
  <si>
    <t>13/04/2025 13:15</t>
  </si>
  <si>
    <t>13/04/2025 13:30</t>
  </si>
  <si>
    <t>13/04/2025 13:45</t>
  </si>
  <si>
    <t>13/04/2025 14:00</t>
  </si>
  <si>
    <t>13/04/2025 14:15</t>
  </si>
  <si>
    <t>13/04/2025 14:30</t>
  </si>
  <si>
    <t>13/04/2025 14:45</t>
  </si>
  <si>
    <t>13/04/2025 15:00</t>
  </si>
  <si>
    <t>13/04/2025 15:15</t>
  </si>
  <si>
    <t>13/04/2025 15:30</t>
  </si>
  <si>
    <t>13/04/2025 15:45</t>
  </si>
  <si>
    <t>13/04/2025 16:00</t>
  </si>
  <si>
    <t>13/04/2025 16:15</t>
  </si>
  <si>
    <t>13/04/2025 16:30</t>
  </si>
  <si>
    <t>13/04/2025 16:45</t>
  </si>
  <si>
    <t>13/04/2025 17:00</t>
  </si>
  <si>
    <t>13/04/2025 17:15</t>
  </si>
  <si>
    <t>13/04/2025 17:30</t>
  </si>
  <si>
    <t>13/04/2025 17:45</t>
  </si>
  <si>
    <t>13/04/2025 18:00</t>
  </si>
  <si>
    <t>13/04/2025 18:15</t>
  </si>
  <si>
    <t>13/04/2025 18:30</t>
  </si>
  <si>
    <t>13/04/2025 18:45</t>
  </si>
  <si>
    <t>13/04/2025 19:00</t>
  </si>
  <si>
    <t>13/04/2025 19:15</t>
  </si>
  <si>
    <t>13/04/2025 19:30</t>
  </si>
  <si>
    <t>13/04/2025 19:45</t>
  </si>
  <si>
    <t>13/04/2025 20:00</t>
  </si>
  <si>
    <t>13/04/2025 20:15</t>
  </si>
  <si>
    <t>13/04/2025 20:30</t>
  </si>
  <si>
    <t>13/04/2025 20:45</t>
  </si>
  <si>
    <t>13/04/2025 21:00</t>
  </si>
  <si>
    <t>13/04/2025 21:15</t>
  </si>
  <si>
    <t>13/04/2025 21:30</t>
  </si>
  <si>
    <t>13/04/2025 21:45</t>
  </si>
  <si>
    <t>13/04/2025 22:00</t>
  </si>
  <si>
    <t>13/04/2025 22:15</t>
  </si>
  <si>
    <t>13/04/2025 22:30</t>
  </si>
  <si>
    <t>13/04/2025 22:45</t>
  </si>
  <si>
    <t>13/04/2025 23:00</t>
  </si>
  <si>
    <t>13/04/2025 23:15</t>
  </si>
  <si>
    <t>13/04/2025 23:30</t>
  </si>
  <si>
    <t>13/04/2025 23:45</t>
  </si>
  <si>
    <t>13/04/2025 24:00</t>
  </si>
  <si>
    <t>14/04/2025 00:15</t>
  </si>
  <si>
    <t>14/04/2025 00:30</t>
  </si>
  <si>
    <t>14/04/2025 00:45</t>
  </si>
  <si>
    <t>14/04/2025 01:00</t>
  </si>
  <si>
    <t>14/04/2025 01:15</t>
  </si>
  <si>
    <t>14/04/2025 01:30</t>
  </si>
  <si>
    <t>14/04/2025 01:45</t>
  </si>
  <si>
    <t>14/04/2025 02:00</t>
  </si>
  <si>
    <t>14/04/2025 02:15</t>
  </si>
  <si>
    <t>14/04/2025 02:30</t>
  </si>
  <si>
    <t>14/04/2025 02:45</t>
  </si>
  <si>
    <t>14/04/2025 03:00</t>
  </si>
  <si>
    <t>14/04/2025 03:15</t>
  </si>
  <si>
    <t>14/04/2025 03:30</t>
  </si>
  <si>
    <t>14/04/2025 03:45</t>
  </si>
  <si>
    <t>14/04/2025 04:00</t>
  </si>
  <si>
    <t>14/04/2025 04:15</t>
  </si>
  <si>
    <t>14/04/2025 04:30</t>
  </si>
  <si>
    <t>14/04/2025 04:45</t>
  </si>
  <si>
    <t>14/04/2025 05:00</t>
  </si>
  <si>
    <t>14/04/2025 05:15</t>
  </si>
  <si>
    <t>14/04/2025 05:30</t>
  </si>
  <si>
    <t>14/04/2025 05:45</t>
  </si>
  <si>
    <t>14/04/2025 06:00</t>
  </si>
  <si>
    <t>14/04/2025 06:15</t>
  </si>
  <si>
    <t>14/04/2025 06:30</t>
  </si>
  <si>
    <t>14/04/2025 06:45</t>
  </si>
  <si>
    <t>14/04/2025 07:00</t>
  </si>
  <si>
    <t>14/04/2025 07:15</t>
  </si>
  <si>
    <t>14/04/2025 07:30</t>
  </si>
  <si>
    <t>14/04/2025 07:45</t>
  </si>
  <si>
    <t>14/04/2025 08:00</t>
  </si>
  <si>
    <t>14/04/2025 08:15</t>
  </si>
  <si>
    <t>14/04/2025 08:30</t>
  </si>
  <si>
    <t>14/04/2025 08:45</t>
  </si>
  <si>
    <t>14/04/2025 09:00</t>
  </si>
  <si>
    <t>14/04/2025 09:15</t>
  </si>
  <si>
    <t>14/04/2025 09:30</t>
  </si>
  <si>
    <t>14/04/2025 09:45</t>
  </si>
  <si>
    <t>14/04/2025 10:00</t>
  </si>
  <si>
    <t>14/04/2025 10:15</t>
  </si>
  <si>
    <t>14/04/2025 10:30</t>
  </si>
  <si>
    <t>14/04/2025 10:45</t>
  </si>
  <si>
    <t>14/04/2025 11:00</t>
  </si>
  <si>
    <t>14/04/2025 11:15</t>
  </si>
  <si>
    <t>14/04/2025 11:30</t>
  </si>
  <si>
    <t>14/04/2025 11:45</t>
  </si>
  <si>
    <t>14/04/2025 12:00</t>
  </si>
  <si>
    <t>14/04/2025 12:15</t>
  </si>
  <si>
    <t>14/04/2025 12:30</t>
  </si>
  <si>
    <t>14/04/2025 12:45</t>
  </si>
  <si>
    <t>14/04/2025 13:00</t>
  </si>
  <si>
    <t>14/04/2025 13:15</t>
  </si>
  <si>
    <t>14/04/2025 13:30</t>
  </si>
  <si>
    <t>14/04/2025 13:45</t>
  </si>
  <si>
    <t>14/04/2025 14:00</t>
  </si>
  <si>
    <t>14/04/2025 14:15</t>
  </si>
  <si>
    <t>14/04/2025 14:30</t>
  </si>
  <si>
    <t>14/04/2025 14:45</t>
  </si>
  <si>
    <t>14/04/2025 15:00</t>
  </si>
  <si>
    <t>14/04/2025 15:15</t>
  </si>
  <si>
    <t>14/04/2025 15:30</t>
  </si>
  <si>
    <t>14/04/2025 15:45</t>
  </si>
  <si>
    <t>14/04/2025 16:00</t>
  </si>
  <si>
    <t>14/04/2025 16:15</t>
  </si>
  <si>
    <t>14/04/2025 16:30</t>
  </si>
  <si>
    <t>14/04/2025 16:45</t>
  </si>
  <si>
    <t>14/04/2025 17:00</t>
  </si>
  <si>
    <t>14/04/2025 17:15</t>
  </si>
  <si>
    <t>14/04/2025 17:30</t>
  </si>
  <si>
    <t>14/04/2025 17:45</t>
  </si>
  <si>
    <t>14/04/2025 18:00</t>
  </si>
  <si>
    <t>14/04/2025 18:15</t>
  </si>
  <si>
    <t>14/04/2025 18:30</t>
  </si>
  <si>
    <t>14/04/2025 18:45</t>
  </si>
  <si>
    <t>14/04/2025 19:00</t>
  </si>
  <si>
    <t>14/04/2025 19:15</t>
  </si>
  <si>
    <t>14/04/2025 19:30</t>
  </si>
  <si>
    <t>14/04/2025 19:45</t>
  </si>
  <si>
    <t>14/04/2025 20:00</t>
  </si>
  <si>
    <t>14/04/2025 20:15</t>
  </si>
  <si>
    <t>14/04/2025 20:30</t>
  </si>
  <si>
    <t>14/04/2025 20:45</t>
  </si>
  <si>
    <t>14/04/2025 21:00</t>
  </si>
  <si>
    <t>14/04/2025 21:15</t>
  </si>
  <si>
    <t>14/04/2025 21:30</t>
  </si>
  <si>
    <t>14/04/2025 21:45</t>
  </si>
  <si>
    <t>14/04/2025 22:00</t>
  </si>
  <si>
    <t>14/04/2025 22:15</t>
  </si>
  <si>
    <t>14/04/2025 22:30</t>
  </si>
  <si>
    <t>14/04/2025 22:45</t>
  </si>
  <si>
    <t>14/04/2025 23:00</t>
  </si>
  <si>
    <t>14/04/2025 23:15</t>
  </si>
  <si>
    <t>14/04/2025 23:30</t>
  </si>
  <si>
    <t>14/04/2025 23:45</t>
  </si>
  <si>
    <t>14/04/2025 24:00</t>
  </si>
  <si>
    <t>15/04/2025 00:15</t>
  </si>
  <si>
    <t>15/04/2025 00:30</t>
  </si>
  <si>
    <t>15/04/2025 00:45</t>
  </si>
  <si>
    <t>15/04/2025 01:00</t>
  </si>
  <si>
    <t>15/04/2025 01:15</t>
  </si>
  <si>
    <t>15/04/2025 01:30</t>
  </si>
  <si>
    <t>15/04/2025 01:45</t>
  </si>
  <si>
    <t>15/04/2025 02:00</t>
  </si>
  <si>
    <t>15/04/2025 02:15</t>
  </si>
  <si>
    <t>15/04/2025 02:30</t>
  </si>
  <si>
    <t>15/04/2025 02:45</t>
  </si>
  <si>
    <t>15/04/2025 03:00</t>
  </si>
  <si>
    <t>15/04/2025 03:15</t>
  </si>
  <si>
    <t>15/04/2025 03:30</t>
  </si>
  <si>
    <t>15/04/2025 03:45</t>
  </si>
  <si>
    <t>15/04/2025 04:00</t>
  </si>
  <si>
    <t>15/04/2025 04:15</t>
  </si>
  <si>
    <t>15/04/2025 04:30</t>
  </si>
  <si>
    <t>15/04/2025 04:45</t>
  </si>
  <si>
    <t>15/04/2025 05:00</t>
  </si>
  <si>
    <t>15/04/2025 05:15</t>
  </si>
  <si>
    <t>15/04/2025 05:30</t>
  </si>
  <si>
    <t>15/04/2025 05:45</t>
  </si>
  <si>
    <t>15/04/2025 06:00</t>
  </si>
  <si>
    <t>15/04/2025 06:15</t>
  </si>
  <si>
    <t>15/04/2025 06:30</t>
  </si>
  <si>
    <t>15/04/2025 06:45</t>
  </si>
  <si>
    <t>15/04/2025 07:00</t>
  </si>
  <si>
    <t>15/04/2025 07:15</t>
  </si>
  <si>
    <t>15/04/2025 07:30</t>
  </si>
  <si>
    <t>15/04/2025 07:45</t>
  </si>
  <si>
    <t>15/04/2025 08:00</t>
  </si>
  <si>
    <t>15/04/2025 08:15</t>
  </si>
  <si>
    <t>15/04/2025 08:30</t>
  </si>
  <si>
    <t>15/04/2025 08:45</t>
  </si>
  <si>
    <t>15/04/2025 09:00</t>
  </si>
  <si>
    <t>15/04/2025 09:15</t>
  </si>
  <si>
    <t>15/04/2025 09:30</t>
  </si>
  <si>
    <t>15/04/2025 09:45</t>
  </si>
  <si>
    <t>15/04/2025 10:00</t>
  </si>
  <si>
    <t>15/04/2025 10:15</t>
  </si>
  <si>
    <t>15/04/2025 10:30</t>
  </si>
  <si>
    <t>15/04/2025 10:45</t>
  </si>
  <si>
    <t>15/04/2025 11:00</t>
  </si>
  <si>
    <t>15/04/2025 11:15</t>
  </si>
  <si>
    <t>15/04/2025 11:30</t>
  </si>
  <si>
    <t>15/04/2025 11:45</t>
  </si>
  <si>
    <t>15/04/2025 12:00</t>
  </si>
  <si>
    <t>15/04/2025 12:15</t>
  </si>
  <si>
    <t>15/04/2025 12:30</t>
  </si>
  <si>
    <t>15/04/2025 12:45</t>
  </si>
  <si>
    <t>15/04/2025 13:00</t>
  </si>
  <si>
    <t>15/04/2025 13:15</t>
  </si>
  <si>
    <t>15/04/2025 13:30</t>
  </si>
  <si>
    <t>15/04/2025 13:45</t>
  </si>
  <si>
    <t>15/04/2025 14:00</t>
  </si>
  <si>
    <t>15/04/2025 14:15</t>
  </si>
  <si>
    <t>15/04/2025 14:30</t>
  </si>
  <si>
    <t>15/04/2025 14:45</t>
  </si>
  <si>
    <t>15/04/2025 15:00</t>
  </si>
  <si>
    <t>15/04/2025 15:15</t>
  </si>
  <si>
    <t>15/04/2025 15:30</t>
  </si>
  <si>
    <t>15/04/2025 15:45</t>
  </si>
  <si>
    <t>15/04/2025 16:00</t>
  </si>
  <si>
    <t>15/04/2025 16:15</t>
  </si>
  <si>
    <t>15/04/2025 16:30</t>
  </si>
  <si>
    <t>15/04/2025 16:45</t>
  </si>
  <si>
    <t>15/04/2025 17:00</t>
  </si>
  <si>
    <t>15/04/2025 17:15</t>
  </si>
  <si>
    <t>15/04/2025 17:30</t>
  </si>
  <si>
    <t>15/04/2025 17:45</t>
  </si>
  <si>
    <t>15/04/2025 18:00</t>
  </si>
  <si>
    <t>15/04/2025 18:15</t>
  </si>
  <si>
    <t>15/04/2025 18:30</t>
  </si>
  <si>
    <t>15/04/2025 18:45</t>
  </si>
  <si>
    <t>15/04/2025 19:00</t>
  </si>
  <si>
    <t>15/04/2025 19:15</t>
  </si>
  <si>
    <t>15/04/2025 19:30</t>
  </si>
  <si>
    <t>15/04/2025 19:45</t>
  </si>
  <si>
    <t>15/04/2025 20:00</t>
  </si>
  <si>
    <t>15/04/2025 20:15</t>
  </si>
  <si>
    <t>15/04/2025 20:30</t>
  </si>
  <si>
    <t>15/04/2025 20:45</t>
  </si>
  <si>
    <t>15/04/2025 21:00</t>
  </si>
  <si>
    <t>15/04/2025 21:15</t>
  </si>
  <si>
    <t>15/04/2025 21:30</t>
  </si>
  <si>
    <t>15/04/2025 21:45</t>
  </si>
  <si>
    <t>15/04/2025 22:00</t>
  </si>
  <si>
    <t>15/04/2025 22:15</t>
  </si>
  <si>
    <t>15/04/2025 22:30</t>
  </si>
  <si>
    <t>15/04/2025 22:45</t>
  </si>
  <si>
    <t>15/04/2025 23:00</t>
  </si>
  <si>
    <t>15/04/2025 23:15</t>
  </si>
  <si>
    <t>15/04/2025 23:30</t>
  </si>
  <si>
    <t>15/04/2025 23:45</t>
  </si>
  <si>
    <t>15/04/2025 24:00</t>
  </si>
  <si>
    <t>16/04/2025 00:15</t>
  </si>
  <si>
    <t>16/04/2025 00:30</t>
  </si>
  <si>
    <t>16/04/2025 00:45</t>
  </si>
  <si>
    <t>16/04/2025 01:00</t>
  </si>
  <si>
    <t>16/04/2025 01:15</t>
  </si>
  <si>
    <t>16/04/2025 01:30</t>
  </si>
  <si>
    <t>16/04/2025 01:45</t>
  </si>
  <si>
    <t>16/04/2025 02:00</t>
  </si>
  <si>
    <t>16/04/2025 02:15</t>
  </si>
  <si>
    <t>16/04/2025 02:30</t>
  </si>
  <si>
    <t>16/04/2025 02:45</t>
  </si>
  <si>
    <t>16/04/2025 03:00</t>
  </si>
  <si>
    <t>16/04/2025 03:15</t>
  </si>
  <si>
    <t>16/04/2025 03:30</t>
  </si>
  <si>
    <t>16/04/2025 03:45</t>
  </si>
  <si>
    <t>16/04/2025 04:00</t>
  </si>
  <si>
    <t>16/04/2025 04:15</t>
  </si>
  <si>
    <t>16/04/2025 04:30</t>
  </si>
  <si>
    <t>16/04/2025 04:45</t>
  </si>
  <si>
    <t>16/04/2025 05:00</t>
  </si>
  <si>
    <t>16/04/2025 05:15</t>
  </si>
  <si>
    <t>16/04/2025 05:30</t>
  </si>
  <si>
    <t>16/04/2025 05:45</t>
  </si>
  <si>
    <t>16/04/2025 06:00</t>
  </si>
  <si>
    <t>16/04/2025 06:15</t>
  </si>
  <si>
    <t>16/04/2025 06:30</t>
  </si>
  <si>
    <t>16/04/2025 06:45</t>
  </si>
  <si>
    <t>16/04/2025 07:00</t>
  </si>
  <si>
    <t>16/04/2025 07:15</t>
  </si>
  <si>
    <t>16/04/2025 07:30</t>
  </si>
  <si>
    <t>16/04/2025 07:45</t>
  </si>
  <si>
    <t>16/04/2025 08:00</t>
  </si>
  <si>
    <t>16/04/2025 08:15</t>
  </si>
  <si>
    <t>16/04/2025 08:30</t>
  </si>
  <si>
    <t>16/04/2025 08:45</t>
  </si>
  <si>
    <t>16/04/2025 09:00</t>
  </si>
  <si>
    <t>16/04/2025 09:15</t>
  </si>
  <si>
    <t>16/04/2025 09:30</t>
  </si>
  <si>
    <t>16/04/2025 09:45</t>
  </si>
  <si>
    <t>16/04/2025 10:00</t>
  </si>
  <si>
    <t>16/04/2025 10:15</t>
  </si>
  <si>
    <t>16/04/2025 10:30</t>
  </si>
  <si>
    <t>16/04/2025 10:45</t>
  </si>
  <si>
    <t>16/04/2025 11:00</t>
  </si>
  <si>
    <t>16/04/2025 11:15</t>
  </si>
  <si>
    <t>16/04/2025 11:30</t>
  </si>
  <si>
    <t>16/04/2025 11:45</t>
  </si>
  <si>
    <t>16/04/2025 12:00</t>
  </si>
  <si>
    <t>16/04/2025 12:15</t>
  </si>
  <si>
    <t>16/04/2025 12:30</t>
  </si>
  <si>
    <t>16/04/2025 12:45</t>
  </si>
  <si>
    <t>16/04/2025 13:00</t>
  </si>
  <si>
    <t>16/04/2025 13:15</t>
  </si>
  <si>
    <t>16/04/2025 13:30</t>
  </si>
  <si>
    <t>16/04/2025 13:45</t>
  </si>
  <si>
    <t>16/04/2025 14:00</t>
  </si>
  <si>
    <t>16/04/2025 14:15</t>
  </si>
  <si>
    <t>16/04/2025 14:30</t>
  </si>
  <si>
    <t>16/04/2025 14:45</t>
  </si>
  <si>
    <t>16/04/2025 15:00</t>
  </si>
  <si>
    <t>16/04/2025 15:15</t>
  </si>
  <si>
    <t>16/04/2025 15:30</t>
  </si>
  <si>
    <t>16/04/2025 15:45</t>
  </si>
  <si>
    <t>16/04/2025 16:00</t>
  </si>
  <si>
    <t>16/04/2025 16:15</t>
  </si>
  <si>
    <t>16/04/2025 16:30</t>
  </si>
  <si>
    <t>16/04/2025 16:45</t>
  </si>
  <si>
    <t>16/04/2025 17:00</t>
  </si>
  <si>
    <t>16/04/2025 17:15</t>
  </si>
  <si>
    <t>16/04/2025 17:30</t>
  </si>
  <si>
    <t>16/04/2025 17:45</t>
  </si>
  <si>
    <t>16/04/2025 18:00</t>
  </si>
  <si>
    <t>16/04/2025 18:15</t>
  </si>
  <si>
    <t>16/04/2025 18:30</t>
  </si>
  <si>
    <t>16/04/2025 18:45</t>
  </si>
  <si>
    <t>16/04/2025 19:00</t>
  </si>
  <si>
    <t>16/04/2025 19:15</t>
  </si>
  <si>
    <t>16/04/2025 19:30</t>
  </si>
  <si>
    <t>16/04/2025 19:45</t>
  </si>
  <si>
    <t>16/04/2025 20:00</t>
  </si>
  <si>
    <t>16/04/2025 20:15</t>
  </si>
  <si>
    <t>16/04/2025 20:30</t>
  </si>
  <si>
    <t>16/04/2025 20:45</t>
  </si>
  <si>
    <t>16/04/2025 21:00</t>
  </si>
  <si>
    <t>16/04/2025 21:15</t>
  </si>
  <si>
    <t>16/04/2025 21:30</t>
  </si>
  <si>
    <t>16/04/2025 21:45</t>
  </si>
  <si>
    <t>16/04/2025 22:00</t>
  </si>
  <si>
    <t>16/04/2025 22:15</t>
  </si>
  <si>
    <t>16/04/2025 22:30</t>
  </si>
  <si>
    <t>16/04/2025 22:45</t>
  </si>
  <si>
    <t>16/04/2025 23:00</t>
  </si>
  <si>
    <t>16/04/2025 23:15</t>
  </si>
  <si>
    <t>16/04/2025 23:30</t>
  </si>
  <si>
    <t>16/04/2025 23:45</t>
  </si>
  <si>
    <t>16/04/2025 24:00</t>
  </si>
  <si>
    <t>17/04/2025 00:15</t>
  </si>
  <si>
    <t>17/04/2025 00:30</t>
  </si>
  <si>
    <t>17/04/2025 00:45</t>
  </si>
  <si>
    <t>17/04/2025 01:00</t>
  </si>
  <si>
    <t>17/04/2025 01:15</t>
  </si>
  <si>
    <t>17/04/2025 01:30</t>
  </si>
  <si>
    <t>17/04/2025 01:45</t>
  </si>
  <si>
    <t>17/04/2025 02:00</t>
  </si>
  <si>
    <t>17/04/2025 02:15</t>
  </si>
  <si>
    <t>17/04/2025 02:30</t>
  </si>
  <si>
    <t>17/04/2025 02:45</t>
  </si>
  <si>
    <t>17/04/2025 03:00</t>
  </si>
  <si>
    <t>17/04/2025 03:15</t>
  </si>
  <si>
    <t>17/04/2025 03:30</t>
  </si>
  <si>
    <t>17/04/2025 03:45</t>
  </si>
  <si>
    <t>17/04/2025 04:00</t>
  </si>
  <si>
    <t>17/04/2025 04:15</t>
  </si>
  <si>
    <t>17/04/2025 04:30</t>
  </si>
  <si>
    <t>17/04/2025 04:45</t>
  </si>
  <si>
    <t>17/04/2025 05:00</t>
  </si>
  <si>
    <t>17/04/2025 05:15</t>
  </si>
  <si>
    <t>17/04/2025 05:30</t>
  </si>
  <si>
    <t>17/04/2025 05:45</t>
  </si>
  <si>
    <t>17/04/2025 06:00</t>
  </si>
  <si>
    <t>17/04/2025 06:15</t>
  </si>
  <si>
    <t>17/04/2025 06:30</t>
  </si>
  <si>
    <t>17/04/2025 06:45</t>
  </si>
  <si>
    <t>17/04/2025 07:00</t>
  </si>
  <si>
    <t>17/04/2025 07:15</t>
  </si>
  <si>
    <t>17/04/2025 07:30</t>
  </si>
  <si>
    <t>17/04/2025 07:45</t>
  </si>
  <si>
    <t>17/04/2025 08:00</t>
  </si>
  <si>
    <t>17/04/2025 08:15</t>
  </si>
  <si>
    <t>17/04/2025 08:30</t>
  </si>
  <si>
    <t>17/04/2025 08:45</t>
  </si>
  <si>
    <t>17/04/2025 09:00</t>
  </si>
  <si>
    <t>17/04/2025 09:15</t>
  </si>
  <si>
    <t>17/04/2025 09:30</t>
  </si>
  <si>
    <t>17/04/2025 09:45</t>
  </si>
  <si>
    <t>17/04/2025 10:00</t>
  </si>
  <si>
    <t>17/04/2025 10:15</t>
  </si>
  <si>
    <t>17/04/2025 10:30</t>
  </si>
  <si>
    <t>17/04/2025 10:45</t>
  </si>
  <si>
    <t>17/04/2025 11:00</t>
  </si>
  <si>
    <t>17/04/2025 11:15</t>
  </si>
  <si>
    <t>17/04/2025 11:30</t>
  </si>
  <si>
    <t>17/04/2025 11:45</t>
  </si>
  <si>
    <t>17/04/2025 12:00</t>
  </si>
  <si>
    <t>17/04/2025 12:15</t>
  </si>
  <si>
    <t>17/04/2025 12:30</t>
  </si>
  <si>
    <t>17/04/2025 12:45</t>
  </si>
  <si>
    <t>17/04/2025 13:00</t>
  </si>
  <si>
    <t>17/04/2025 13:15</t>
  </si>
  <si>
    <t>17/04/2025 13:30</t>
  </si>
  <si>
    <t>17/04/2025 13:45</t>
  </si>
  <si>
    <t>17/04/2025 14:00</t>
  </si>
  <si>
    <t>17/04/2025 14:15</t>
  </si>
  <si>
    <t>17/04/2025 14:30</t>
  </si>
  <si>
    <t>17/04/2025 14:45</t>
  </si>
  <si>
    <t>17/04/2025 15:00</t>
  </si>
  <si>
    <t>17/04/2025 15:15</t>
  </si>
  <si>
    <t>17/04/2025 15:30</t>
  </si>
  <si>
    <t>17/04/2025 15:45</t>
  </si>
  <si>
    <t>17/04/2025 16:00</t>
  </si>
  <si>
    <t>17/04/2025 16:15</t>
  </si>
  <si>
    <t>17/04/2025 16:30</t>
  </si>
  <si>
    <t>17/04/2025 16:45</t>
  </si>
  <si>
    <t>17/04/2025 17:00</t>
  </si>
  <si>
    <t>17/04/2025 17:15</t>
  </si>
  <si>
    <t>17/04/2025 17:30</t>
  </si>
  <si>
    <t>17/04/2025 17:45</t>
  </si>
  <si>
    <t>17/04/2025 18:00</t>
  </si>
  <si>
    <t>17/04/2025 18:15</t>
  </si>
  <si>
    <t>17/04/2025 18:30</t>
  </si>
  <si>
    <t>17/04/2025 18:45</t>
  </si>
  <si>
    <t>17/04/2025 19:00</t>
  </si>
  <si>
    <t>17/04/2025 19:15</t>
  </si>
  <si>
    <t>17/04/2025 19:30</t>
  </si>
  <si>
    <t>17/04/2025 19:45</t>
  </si>
  <si>
    <t>17/04/2025 20:00</t>
  </si>
  <si>
    <t>17/04/2025 20:15</t>
  </si>
  <si>
    <t>17/04/2025 20:30</t>
  </si>
  <si>
    <t>17/04/2025 20:45</t>
  </si>
  <si>
    <t>17/04/2025 21:00</t>
  </si>
  <si>
    <t>17/04/2025 21:15</t>
  </si>
  <si>
    <t>17/04/2025 21:30</t>
  </si>
  <si>
    <t>17/04/2025 21:45</t>
  </si>
  <si>
    <t>17/04/2025 22:00</t>
  </si>
  <si>
    <t>17/04/2025 22:15</t>
  </si>
  <si>
    <t>17/04/2025 22:30</t>
  </si>
  <si>
    <t>17/04/2025 22:45</t>
  </si>
  <si>
    <t>17/04/2025 23:00</t>
  </si>
  <si>
    <t>17/04/2025 23:15</t>
  </si>
  <si>
    <t>17/04/2025 23:30</t>
  </si>
  <si>
    <t>17/04/2025 23:45</t>
  </si>
  <si>
    <t>17/04/2025 24:00</t>
  </si>
  <si>
    <t>18/04/2025 00:15</t>
  </si>
  <si>
    <t>18/04/2025 00:30</t>
  </si>
  <si>
    <t>18/04/2025 00:45</t>
  </si>
  <si>
    <t>18/04/2025 01:00</t>
  </si>
  <si>
    <t>18/04/2025 01:15</t>
  </si>
  <si>
    <t>18/04/2025 01:30</t>
  </si>
  <si>
    <t>18/04/2025 01:45</t>
  </si>
  <si>
    <t>18/04/2025 02:00</t>
  </si>
  <si>
    <t>18/04/2025 02:15</t>
  </si>
  <si>
    <t>18/04/2025 02:30</t>
  </si>
  <si>
    <t>18/04/2025 02:45</t>
  </si>
  <si>
    <t>18/04/2025 03:00</t>
  </si>
  <si>
    <t>18/04/2025 03:15</t>
  </si>
  <si>
    <t>18/04/2025 03:30</t>
  </si>
  <si>
    <t>18/04/2025 03:45</t>
  </si>
  <si>
    <t>18/04/2025 04:00</t>
  </si>
  <si>
    <t>18/04/2025 04:15</t>
  </si>
  <si>
    <t>18/04/2025 04:30</t>
  </si>
  <si>
    <t>18/04/2025 04:45</t>
  </si>
  <si>
    <t>18/04/2025 05:00</t>
  </si>
  <si>
    <t>18/04/2025 05:15</t>
  </si>
  <si>
    <t>18/04/2025 05:30</t>
  </si>
  <si>
    <t>18/04/2025 05:45</t>
  </si>
  <si>
    <t>18/04/2025 06:00</t>
  </si>
  <si>
    <t>18/04/2025 06:15</t>
  </si>
  <si>
    <t>18/04/2025 06:30</t>
  </si>
  <si>
    <t>18/04/2025 06:45</t>
  </si>
  <si>
    <t>18/04/2025 07:00</t>
  </si>
  <si>
    <t>18/04/2025 07:15</t>
  </si>
  <si>
    <t>18/04/2025 07:30</t>
  </si>
  <si>
    <t>18/04/2025 07:45</t>
  </si>
  <si>
    <t>18/04/2025 08:00</t>
  </si>
  <si>
    <t>18/04/2025 08:15</t>
  </si>
  <si>
    <t>18/04/2025 08:30</t>
  </si>
  <si>
    <t>18/04/2025 08:45</t>
  </si>
  <si>
    <t>18/04/2025 09:00</t>
  </si>
  <si>
    <t>18/04/2025 09:15</t>
  </si>
  <si>
    <t>18/04/2025 09:30</t>
  </si>
  <si>
    <t>18/04/2025 09:45</t>
  </si>
  <si>
    <t>18/04/2025 10:00</t>
  </si>
  <si>
    <t>18/04/2025 10:15</t>
  </si>
  <si>
    <t>18/04/2025 10:30</t>
  </si>
  <si>
    <t>18/04/2025 10:45</t>
  </si>
  <si>
    <t>18/04/2025 11:00</t>
  </si>
  <si>
    <t>18/04/2025 11:15</t>
  </si>
  <si>
    <t>18/04/2025 11:30</t>
  </si>
  <si>
    <t>18/04/2025 11:45</t>
  </si>
  <si>
    <t>18/04/2025 12:00</t>
  </si>
  <si>
    <t>18/04/2025 12:15</t>
  </si>
  <si>
    <t>18/04/2025 12:30</t>
  </si>
  <si>
    <t>18/04/2025 12:45</t>
  </si>
  <si>
    <t>18/04/2025 13:00</t>
  </si>
  <si>
    <t>18/04/2025 13:15</t>
  </si>
  <si>
    <t>18/04/2025 13:30</t>
  </si>
  <si>
    <t>18/04/2025 13:45</t>
  </si>
  <si>
    <t>18/04/2025 14:00</t>
  </si>
  <si>
    <t>18/04/2025 14:15</t>
  </si>
  <si>
    <t>18/04/2025 14:30</t>
  </si>
  <si>
    <t>18/04/2025 14:45</t>
  </si>
  <si>
    <t>18/04/2025 15:00</t>
  </si>
  <si>
    <t>18/04/2025 15:15</t>
  </si>
  <si>
    <t>18/04/2025 15:30</t>
  </si>
  <si>
    <t>18/04/2025 15:45</t>
  </si>
  <si>
    <t>18/04/2025 16:00</t>
  </si>
  <si>
    <t>18/04/2025 16:15</t>
  </si>
  <si>
    <t>18/04/2025 16:30</t>
  </si>
  <si>
    <t>18/04/2025 16:45</t>
  </si>
  <si>
    <t>18/04/2025 17:00</t>
  </si>
  <si>
    <t>18/04/2025 17:15</t>
  </si>
  <si>
    <t>18/04/2025 17:30</t>
  </si>
  <si>
    <t>18/04/2025 17:45</t>
  </si>
  <si>
    <t>18/04/2025 18:00</t>
  </si>
  <si>
    <t>18/04/2025 18:15</t>
  </si>
  <si>
    <t>18/04/2025 18:30</t>
  </si>
  <si>
    <t>18/04/2025 18:45</t>
  </si>
  <si>
    <t>18/04/2025 19:00</t>
  </si>
  <si>
    <t>18/04/2025 19:15</t>
  </si>
  <si>
    <t>18/04/2025 19:30</t>
  </si>
  <si>
    <t>18/04/2025 19:45</t>
  </si>
  <si>
    <t>18/04/2025 20:00</t>
  </si>
  <si>
    <t>18/04/2025 20:15</t>
  </si>
  <si>
    <t>18/04/2025 20:30</t>
  </si>
  <si>
    <t>18/04/2025 20:45</t>
  </si>
  <si>
    <t>18/04/2025 21:00</t>
  </si>
  <si>
    <t>18/04/2025 21:15</t>
  </si>
  <si>
    <t>18/04/2025 21:30</t>
  </si>
  <si>
    <t>18/04/2025 21:45</t>
  </si>
  <si>
    <t>18/04/2025 22:00</t>
  </si>
  <si>
    <t>18/04/2025 22:15</t>
  </si>
  <si>
    <t>18/04/2025 22:30</t>
  </si>
  <si>
    <t>18/04/2025 22:45</t>
  </si>
  <si>
    <t>18/04/2025 23:00</t>
  </si>
  <si>
    <t>18/04/2025 23:15</t>
  </si>
  <si>
    <t>18/04/2025 23:30</t>
  </si>
  <si>
    <t>18/04/2025 23:45</t>
  </si>
  <si>
    <t>18/04/2025 24:00</t>
  </si>
  <si>
    <t>19/04/2025 00:15</t>
  </si>
  <si>
    <t>19/04/2025 00:30</t>
  </si>
  <si>
    <t>19/04/2025 00:45</t>
  </si>
  <si>
    <t>19/04/2025 01:00</t>
  </si>
  <si>
    <t>19/04/2025 01:15</t>
  </si>
  <si>
    <t>19/04/2025 01:30</t>
  </si>
  <si>
    <t>19/04/2025 01:45</t>
  </si>
  <si>
    <t>19/04/2025 02:00</t>
  </si>
  <si>
    <t>19/04/2025 02:15</t>
  </si>
  <si>
    <t>19/04/2025 02:30</t>
  </si>
  <si>
    <t>19/04/2025 02:45</t>
  </si>
  <si>
    <t>19/04/2025 03:00</t>
  </si>
  <si>
    <t>19/04/2025 03:15</t>
  </si>
  <si>
    <t>19/04/2025 03:30</t>
  </si>
  <si>
    <t>19/04/2025 03:45</t>
  </si>
  <si>
    <t>19/04/2025 04:00</t>
  </si>
  <si>
    <t>19/04/2025 04:15</t>
  </si>
  <si>
    <t>19/04/2025 04:30</t>
  </si>
  <si>
    <t>19/04/2025 04:45</t>
  </si>
  <si>
    <t>19/04/2025 05:00</t>
  </si>
  <si>
    <t>19/04/2025 05:15</t>
  </si>
  <si>
    <t>19/04/2025 05:30</t>
  </si>
  <si>
    <t>19/04/2025 05:45</t>
  </si>
  <si>
    <t>19/04/2025 06:00</t>
  </si>
  <si>
    <t>19/04/2025 06:15</t>
  </si>
  <si>
    <t>19/04/2025 06:30</t>
  </si>
  <si>
    <t>19/04/2025 06:45</t>
  </si>
  <si>
    <t>19/04/2025 07:00</t>
  </si>
  <si>
    <t>19/04/2025 07:15</t>
  </si>
  <si>
    <t>19/04/2025 07:30</t>
  </si>
  <si>
    <t>19/04/2025 07:45</t>
  </si>
  <si>
    <t>19/04/2025 08:00</t>
  </si>
  <si>
    <t>19/04/2025 08:15</t>
  </si>
  <si>
    <t>19/04/2025 08:30</t>
  </si>
  <si>
    <t>19/04/2025 08:45</t>
  </si>
  <si>
    <t>19/04/2025 09:00</t>
  </si>
  <si>
    <t>19/04/2025 09:15</t>
  </si>
  <si>
    <t>19/04/2025 09:30</t>
  </si>
  <si>
    <t>19/04/2025 09:45</t>
  </si>
  <si>
    <t>19/04/2025 10:00</t>
  </si>
  <si>
    <t>19/04/2025 10:15</t>
  </si>
  <si>
    <t>19/04/2025 10:30</t>
  </si>
  <si>
    <t>19/04/2025 10:45</t>
  </si>
  <si>
    <t>19/04/2025 11:00</t>
  </si>
  <si>
    <t>19/04/2025 11:15</t>
  </si>
  <si>
    <t>19/04/2025 11:30</t>
  </si>
  <si>
    <t>19/04/2025 11:45</t>
  </si>
  <si>
    <t>19/04/2025 12:00</t>
  </si>
  <si>
    <t>19/04/2025 12:15</t>
  </si>
  <si>
    <t>19/04/2025 12:30</t>
  </si>
  <si>
    <t>19/04/2025 12:45</t>
  </si>
  <si>
    <t>19/04/2025 13:00</t>
  </si>
  <si>
    <t>19/04/2025 13:15</t>
  </si>
  <si>
    <t>19/04/2025 13:30</t>
  </si>
  <si>
    <t>19/04/2025 13:45</t>
  </si>
  <si>
    <t>19/04/2025 14:00</t>
  </si>
  <si>
    <t>19/04/2025 14:15</t>
  </si>
  <si>
    <t>19/04/2025 14:30</t>
  </si>
  <si>
    <t>19/04/2025 14:45</t>
  </si>
  <si>
    <t>19/04/2025 15:00</t>
  </si>
  <si>
    <t>19/04/2025 15:15</t>
  </si>
  <si>
    <t>19/04/2025 15:30</t>
  </si>
  <si>
    <t>19/04/2025 15:45</t>
  </si>
  <si>
    <t>19/04/2025 16:00</t>
  </si>
  <si>
    <t>19/04/2025 16:15</t>
  </si>
  <si>
    <t>19/04/2025 16:30</t>
  </si>
  <si>
    <t>19/04/2025 16:45</t>
  </si>
  <si>
    <t>19/04/2025 17:00</t>
  </si>
  <si>
    <t>19/04/2025 17:15</t>
  </si>
  <si>
    <t>19/04/2025 17:30</t>
  </si>
  <si>
    <t>19/04/2025 17:45</t>
  </si>
  <si>
    <t>19/04/2025 18:00</t>
  </si>
  <si>
    <t>19/04/2025 18:15</t>
  </si>
  <si>
    <t>19/04/2025 18:30</t>
  </si>
  <si>
    <t>19/04/2025 18:45</t>
  </si>
  <si>
    <t>19/04/2025 19:00</t>
  </si>
  <si>
    <t>19/04/2025 19:15</t>
  </si>
  <si>
    <t>19/04/2025 19:30</t>
  </si>
  <si>
    <t>19/04/2025 19:45</t>
  </si>
  <si>
    <t>19/04/2025 20:00</t>
  </si>
  <si>
    <t>19/04/2025 20:15</t>
  </si>
  <si>
    <t>19/04/2025 20:30</t>
  </si>
  <si>
    <t>19/04/2025 20:45</t>
  </si>
  <si>
    <t>19/04/2025 21:00</t>
  </si>
  <si>
    <t>19/04/2025 21:15</t>
  </si>
  <si>
    <t>19/04/2025 21:30</t>
  </si>
  <si>
    <t>19/04/2025 21:45</t>
  </si>
  <si>
    <t>19/04/2025 22:00</t>
  </si>
  <si>
    <t>19/04/2025 22:15</t>
  </si>
  <si>
    <t>19/04/2025 22:30</t>
  </si>
  <si>
    <t>19/04/2025 22:45</t>
  </si>
  <si>
    <t>19/04/2025 23:00</t>
  </si>
  <si>
    <t>19/04/2025 23:15</t>
  </si>
  <si>
    <t>19/04/2025 23:30</t>
  </si>
  <si>
    <t>19/04/2025 23:45</t>
  </si>
  <si>
    <t>19/04/2025 24:00</t>
  </si>
  <si>
    <t>20/04/2025 00:15</t>
  </si>
  <si>
    <t>20/04/2025 00:30</t>
  </si>
  <si>
    <t>20/04/2025 00:45</t>
  </si>
  <si>
    <t>20/04/2025 01:00</t>
  </si>
  <si>
    <t>20/04/2025 01:15</t>
  </si>
  <si>
    <t>20/04/2025 01:30</t>
  </si>
  <si>
    <t>20/04/2025 01:45</t>
  </si>
  <si>
    <t>20/04/2025 02:00</t>
  </si>
  <si>
    <t>20/04/2025 02:15</t>
  </si>
  <si>
    <t>20/04/2025 02:30</t>
  </si>
  <si>
    <t>20/04/2025 02:45</t>
  </si>
  <si>
    <t>20/04/2025 03:00</t>
  </si>
  <si>
    <t>20/04/2025 03:15</t>
  </si>
  <si>
    <t>20/04/2025 03:30</t>
  </si>
  <si>
    <t>20/04/2025 03:45</t>
  </si>
  <si>
    <t>20/04/2025 04:00</t>
  </si>
  <si>
    <t>20/04/2025 04:15</t>
  </si>
  <si>
    <t>20/04/2025 04:30</t>
  </si>
  <si>
    <t>20/04/2025 04:45</t>
  </si>
  <si>
    <t>20/04/2025 05:00</t>
  </si>
  <si>
    <t>20/04/2025 05:15</t>
  </si>
  <si>
    <t>20/04/2025 05:30</t>
  </si>
  <si>
    <t>20/04/2025 05:45</t>
  </si>
  <si>
    <t>20/04/2025 06:00</t>
  </si>
  <si>
    <t>20/04/2025 06:15</t>
  </si>
  <si>
    <t>20/04/2025 06:30</t>
  </si>
  <si>
    <t>20/04/2025 06:45</t>
  </si>
  <si>
    <t>20/04/2025 07:00</t>
  </si>
  <si>
    <t>20/04/2025 07:15</t>
  </si>
  <si>
    <t>20/04/2025 07:30</t>
  </si>
  <si>
    <t>20/04/2025 07:45</t>
  </si>
  <si>
    <t>20/04/2025 08:00</t>
  </si>
  <si>
    <t>20/04/2025 08:15</t>
  </si>
  <si>
    <t>20/04/2025 08:30</t>
  </si>
  <si>
    <t>20/04/2025 08:45</t>
  </si>
  <si>
    <t>20/04/2025 09:00</t>
  </si>
  <si>
    <t>20/04/2025 09:15</t>
  </si>
  <si>
    <t>20/04/2025 09:30</t>
  </si>
  <si>
    <t>20/04/2025 09:45</t>
  </si>
  <si>
    <t>20/04/2025 10:00</t>
  </si>
  <si>
    <t>20/04/2025 10:15</t>
  </si>
  <si>
    <t>20/04/2025 10:30</t>
  </si>
  <si>
    <t>20/04/2025 10:45</t>
  </si>
  <si>
    <t>20/04/2025 11:00</t>
  </si>
  <si>
    <t>20/04/2025 11:15</t>
  </si>
  <si>
    <t>20/04/2025 11:30</t>
  </si>
  <si>
    <t>20/04/2025 11:45</t>
  </si>
  <si>
    <t>20/04/2025 12:00</t>
  </si>
  <si>
    <t>20/04/2025 12:15</t>
  </si>
  <si>
    <t>20/04/2025 12:30</t>
  </si>
  <si>
    <t>20/04/2025 12:45</t>
  </si>
  <si>
    <t>20/04/2025 13:00</t>
  </si>
  <si>
    <t>20/04/2025 13:15</t>
  </si>
  <si>
    <t>20/04/2025 13:30</t>
  </si>
  <si>
    <t>20/04/2025 13:45</t>
  </si>
  <si>
    <t>20/04/2025 14:00</t>
  </si>
  <si>
    <t>20/04/2025 14:15</t>
  </si>
  <si>
    <t>20/04/2025 14:30</t>
  </si>
  <si>
    <t>20/04/2025 14:45</t>
  </si>
  <si>
    <t>20/04/2025 15:00</t>
  </si>
  <si>
    <t>20/04/2025 15:15</t>
  </si>
  <si>
    <t>20/04/2025 15:30</t>
  </si>
  <si>
    <t>20/04/2025 15:45</t>
  </si>
  <si>
    <t>20/04/2025 16:00</t>
  </si>
  <si>
    <t>20/04/2025 16:15</t>
  </si>
  <si>
    <t>20/04/2025 16:30</t>
  </si>
  <si>
    <t>20/04/2025 16:45</t>
  </si>
  <si>
    <t>20/04/2025 17:00</t>
  </si>
  <si>
    <t>20/04/2025 17:15</t>
  </si>
  <si>
    <t>20/04/2025 17:30</t>
  </si>
  <si>
    <t>20/04/2025 17:45</t>
  </si>
  <si>
    <t>20/04/2025 18:00</t>
  </si>
  <si>
    <t>20/04/2025 18:15</t>
  </si>
  <si>
    <t>20/04/2025 18:30</t>
  </si>
  <si>
    <t>20/04/2025 18:45</t>
  </si>
  <si>
    <t>20/04/2025 19:00</t>
  </si>
  <si>
    <t>20/04/2025 19:15</t>
  </si>
  <si>
    <t>20/04/2025 19:30</t>
  </si>
  <si>
    <t>20/04/2025 19:45</t>
  </si>
  <si>
    <t>20/04/2025 20:00</t>
  </si>
  <si>
    <t>20/04/2025 20:15</t>
  </si>
  <si>
    <t>20/04/2025 20:30</t>
  </si>
  <si>
    <t>20/04/2025 20:45</t>
  </si>
  <si>
    <t>20/04/2025 21:00</t>
  </si>
  <si>
    <t>20/04/2025 21:15</t>
  </si>
  <si>
    <t>20/04/2025 21:30</t>
  </si>
  <si>
    <t>20/04/2025 21:45</t>
  </si>
  <si>
    <t>20/04/2025 22:00</t>
  </si>
  <si>
    <t>20/04/2025 22:15</t>
  </si>
  <si>
    <t>20/04/2025 22:30</t>
  </si>
  <si>
    <t>20/04/2025 22:45</t>
  </si>
  <si>
    <t>20/04/2025 23:00</t>
  </si>
  <si>
    <t>20/04/2025 23:15</t>
  </si>
  <si>
    <t>20/04/2025 23:30</t>
  </si>
  <si>
    <t>20/04/2025 23:45</t>
  </si>
  <si>
    <t>20/04/2025 24:00</t>
  </si>
  <si>
    <t>21/04/2025 00:15</t>
  </si>
  <si>
    <t>21/04/2025 00:30</t>
  </si>
  <si>
    <t>21/04/2025 00:45</t>
  </si>
  <si>
    <t>21/04/2025 01:00</t>
  </si>
  <si>
    <t>21/04/2025 01:15</t>
  </si>
  <si>
    <t>21/04/2025 01:30</t>
  </si>
  <si>
    <t>21/04/2025 01:45</t>
  </si>
  <si>
    <t>21/04/2025 02:00</t>
  </si>
  <si>
    <t>21/04/2025 02:15</t>
  </si>
  <si>
    <t>21/04/2025 02:30</t>
  </si>
  <si>
    <t>21/04/2025 02:45</t>
  </si>
  <si>
    <t>21/04/2025 03:00</t>
  </si>
  <si>
    <t>21/04/2025 03:15</t>
  </si>
  <si>
    <t>21/04/2025 03:30</t>
  </si>
  <si>
    <t>21/04/2025 03:45</t>
  </si>
  <si>
    <t>21/04/2025 04:00</t>
  </si>
  <si>
    <t>21/04/2025 04:15</t>
  </si>
  <si>
    <t>21/04/2025 04:30</t>
  </si>
  <si>
    <t>21/04/2025 04:45</t>
  </si>
  <si>
    <t>21/04/2025 05:00</t>
  </si>
  <si>
    <t>21/04/2025 05:15</t>
  </si>
  <si>
    <t>21/04/2025 05:30</t>
  </si>
  <si>
    <t>21/04/2025 05:45</t>
  </si>
  <si>
    <t>21/04/2025 06:00</t>
  </si>
  <si>
    <t>21/04/2025 06:15</t>
  </si>
  <si>
    <t>21/04/2025 06:30</t>
  </si>
  <si>
    <t>21/04/2025 06:45</t>
  </si>
  <si>
    <t>21/04/2025 07:00</t>
  </si>
  <si>
    <t>21/04/2025 07:15</t>
  </si>
  <si>
    <t>21/04/2025 07:30</t>
  </si>
  <si>
    <t>21/04/2025 07:45</t>
  </si>
  <si>
    <t>21/04/2025 08:00</t>
  </si>
  <si>
    <t>21/04/2025 08:15</t>
  </si>
  <si>
    <t>21/04/2025 08:30</t>
  </si>
  <si>
    <t>21/04/2025 08:45</t>
  </si>
  <si>
    <t>21/04/2025 09:00</t>
  </si>
  <si>
    <t>21/04/2025 09:15</t>
  </si>
  <si>
    <t>21/04/2025 09:30</t>
  </si>
  <si>
    <t>21/04/2025 09:45</t>
  </si>
  <si>
    <t>21/04/2025 10:00</t>
  </si>
  <si>
    <t>21/04/2025 10:15</t>
  </si>
  <si>
    <t>21/04/2025 10:30</t>
  </si>
  <si>
    <t>21/04/2025 10:45</t>
  </si>
  <si>
    <t>21/04/2025 11:00</t>
  </si>
  <si>
    <t>21/04/2025 11:15</t>
  </si>
  <si>
    <t>21/04/2025 11:30</t>
  </si>
  <si>
    <t>21/04/2025 11:45</t>
  </si>
  <si>
    <t>21/04/2025 12:00</t>
  </si>
  <si>
    <t>21/04/2025 12:15</t>
  </si>
  <si>
    <t>21/04/2025 12:30</t>
  </si>
  <si>
    <t>21/04/2025 12:45</t>
  </si>
  <si>
    <t>21/04/2025 13:00</t>
  </si>
  <si>
    <t>21/04/2025 13:15</t>
  </si>
  <si>
    <t>21/04/2025 13:30</t>
  </si>
  <si>
    <t>21/04/2025 13:45</t>
  </si>
  <si>
    <t>21/04/2025 14:00</t>
  </si>
  <si>
    <t>21/04/2025 14:15</t>
  </si>
  <si>
    <t>21/04/2025 14:30</t>
  </si>
  <si>
    <t>21/04/2025 14:45</t>
  </si>
  <si>
    <t>21/04/2025 15:00</t>
  </si>
  <si>
    <t>21/04/2025 15:15</t>
  </si>
  <si>
    <t>21/04/2025 15:30</t>
  </si>
  <si>
    <t>21/04/2025 15:45</t>
  </si>
  <si>
    <t>21/04/2025 16:00</t>
  </si>
  <si>
    <t>21/04/2025 16:15</t>
  </si>
  <si>
    <t>21/04/2025 16:30</t>
  </si>
  <si>
    <t>21/04/2025 16:45</t>
  </si>
  <si>
    <t>21/04/2025 17:00</t>
  </si>
  <si>
    <t>21/04/2025 17:15</t>
  </si>
  <si>
    <t>21/04/2025 17:30</t>
  </si>
  <si>
    <t>21/04/2025 17:45</t>
  </si>
  <si>
    <t>21/04/2025 18:00</t>
  </si>
  <si>
    <t>21/04/2025 18:15</t>
  </si>
  <si>
    <t>21/04/2025 18:30</t>
  </si>
  <si>
    <t>21/04/2025 18:45</t>
  </si>
  <si>
    <t>21/04/2025 19:00</t>
  </si>
  <si>
    <t>21/04/2025 19:15</t>
  </si>
  <si>
    <t>21/04/2025 19:30</t>
  </si>
  <si>
    <t>21/04/2025 19:45</t>
  </si>
  <si>
    <t>21/04/2025 20:00</t>
  </si>
  <si>
    <t>21/04/2025 20:15</t>
  </si>
  <si>
    <t>21/04/2025 20:30</t>
  </si>
  <si>
    <t>21/04/2025 20:45</t>
  </si>
  <si>
    <t>21/04/2025 21:00</t>
  </si>
  <si>
    <t>21/04/2025 21:15</t>
  </si>
  <si>
    <t>21/04/2025 21:30</t>
  </si>
  <si>
    <t>21/04/2025 21:45</t>
  </si>
  <si>
    <t>21/04/2025 22:00</t>
  </si>
  <si>
    <t>21/04/2025 22:15</t>
  </si>
  <si>
    <t>21/04/2025 22:30</t>
  </si>
  <si>
    <t>21/04/2025 22:45</t>
  </si>
  <si>
    <t>21/04/2025 23:00</t>
  </si>
  <si>
    <t>21/04/2025 23:15</t>
  </si>
  <si>
    <t>21/04/2025 23:30</t>
  </si>
  <si>
    <t>21/04/2025 23:45</t>
  </si>
  <si>
    <t>21/04/2025 24:00</t>
  </si>
  <si>
    <t>22/04/2025 00:15</t>
  </si>
  <si>
    <t>22/04/2025 00:30</t>
  </si>
  <si>
    <t>22/04/2025 00:45</t>
  </si>
  <si>
    <t>22/04/2025 01:00</t>
  </si>
  <si>
    <t>22/04/2025 01:15</t>
  </si>
  <si>
    <t>22/04/2025 01:30</t>
  </si>
  <si>
    <t>22/04/2025 01:45</t>
  </si>
  <si>
    <t>22/04/2025 02:00</t>
  </si>
  <si>
    <t>22/04/2025 02:15</t>
  </si>
  <si>
    <t>22/04/2025 02:30</t>
  </si>
  <si>
    <t>22/04/2025 02:45</t>
  </si>
  <si>
    <t>22/04/2025 03:00</t>
  </si>
  <si>
    <t>22/04/2025 03:15</t>
  </si>
  <si>
    <t>22/04/2025 03:30</t>
  </si>
  <si>
    <t>22/04/2025 03:45</t>
  </si>
  <si>
    <t>22/04/2025 04:00</t>
  </si>
  <si>
    <t>22/04/2025 04:15</t>
  </si>
  <si>
    <t>22/04/2025 04:30</t>
  </si>
  <si>
    <t>22/04/2025 04:45</t>
  </si>
  <si>
    <t>22/04/2025 05:00</t>
  </si>
  <si>
    <t>22/04/2025 05:15</t>
  </si>
  <si>
    <t>22/04/2025 05:30</t>
  </si>
  <si>
    <t>22/04/2025 05:45</t>
  </si>
  <si>
    <t>22/04/2025 06:00</t>
  </si>
  <si>
    <t>22/04/2025 06:15</t>
  </si>
  <si>
    <t>22/04/2025 06:30</t>
  </si>
  <si>
    <t>22/04/2025 06:45</t>
  </si>
  <si>
    <t>22/04/2025 07:00</t>
  </si>
  <si>
    <t>22/04/2025 07:15</t>
  </si>
  <si>
    <t>22/04/2025 07:30</t>
  </si>
  <si>
    <t>22/04/2025 07:45</t>
  </si>
  <si>
    <t>22/04/2025 08:00</t>
  </si>
  <si>
    <t>22/04/2025 08:15</t>
  </si>
  <si>
    <t>22/04/2025 08:30</t>
  </si>
  <si>
    <t>22/04/2025 08:45</t>
  </si>
  <si>
    <t>22/04/2025 09:00</t>
  </si>
  <si>
    <t>22/04/2025 09:15</t>
  </si>
  <si>
    <t>22/04/2025 09:30</t>
  </si>
  <si>
    <t>22/04/2025 09:45</t>
  </si>
  <si>
    <t>22/04/2025 10:00</t>
  </si>
  <si>
    <t>22/04/2025 10:15</t>
  </si>
  <si>
    <t>22/04/2025 10:30</t>
  </si>
  <si>
    <t>22/04/2025 10:45</t>
  </si>
  <si>
    <t>22/04/2025 11:00</t>
  </si>
  <si>
    <t>22/04/2025 11:15</t>
  </si>
  <si>
    <t>22/04/2025 11:30</t>
  </si>
  <si>
    <t>22/04/2025 11:45</t>
  </si>
  <si>
    <t>22/04/2025 12:00</t>
  </si>
  <si>
    <t>22/04/2025 12:15</t>
  </si>
  <si>
    <t>22/04/2025 12:30</t>
  </si>
  <si>
    <t>22/04/2025 12:45</t>
  </si>
  <si>
    <t>22/04/2025 13:00</t>
  </si>
  <si>
    <t>22/04/2025 13:15</t>
  </si>
  <si>
    <t>22/04/2025 13:30</t>
  </si>
  <si>
    <t>22/04/2025 13:45</t>
  </si>
  <si>
    <t>22/04/2025 14:00</t>
  </si>
  <si>
    <t>22/04/2025 14:15</t>
  </si>
  <si>
    <t>22/04/2025 14:30</t>
  </si>
  <si>
    <t>22/04/2025 14:45</t>
  </si>
  <si>
    <t>22/04/2025 15:00</t>
  </si>
  <si>
    <t>22/04/2025 15:15</t>
  </si>
  <si>
    <t>22/04/2025 15:30</t>
  </si>
  <si>
    <t>22/04/2025 15:45</t>
  </si>
  <si>
    <t>22/04/2025 16:00</t>
  </si>
  <si>
    <t>22/04/2025 16:15</t>
  </si>
  <si>
    <t>22/04/2025 16:30</t>
  </si>
  <si>
    <t>22/04/2025 16:45</t>
  </si>
  <si>
    <t>22/04/2025 17:00</t>
  </si>
  <si>
    <t>22/04/2025 17:15</t>
  </si>
  <si>
    <t>22/04/2025 17:30</t>
  </si>
  <si>
    <t>22/04/2025 17:45</t>
  </si>
  <si>
    <t>22/04/2025 18:00</t>
  </si>
  <si>
    <t>22/04/2025 18:15</t>
  </si>
  <si>
    <t>22/04/2025 18:30</t>
  </si>
  <si>
    <t>22/04/2025 18:45</t>
  </si>
  <si>
    <t>22/04/2025 19:00</t>
  </si>
  <si>
    <t>22/04/2025 19:15</t>
  </si>
  <si>
    <t>22/04/2025 19:30</t>
  </si>
  <si>
    <t>22/04/2025 19:45</t>
  </si>
  <si>
    <t>22/04/2025 20:00</t>
  </si>
  <si>
    <t>22/04/2025 20:15</t>
  </si>
  <si>
    <t>22/04/2025 20:30</t>
  </si>
  <si>
    <t>22/04/2025 20:45</t>
  </si>
  <si>
    <t>22/04/2025 21:00</t>
  </si>
  <si>
    <t>22/04/2025 21:15</t>
  </si>
  <si>
    <t>22/04/2025 21:30</t>
  </si>
  <si>
    <t>22/04/2025 21:45</t>
  </si>
  <si>
    <t>22/04/2025 22:00</t>
  </si>
  <si>
    <t>22/04/2025 22:15</t>
  </si>
  <si>
    <t>22/04/2025 22:30</t>
  </si>
  <si>
    <t>22/04/2025 22:45</t>
  </si>
  <si>
    <t>22/04/2025 23:00</t>
  </si>
  <si>
    <t>22/04/2025 23:15</t>
  </si>
  <si>
    <t>22/04/2025 23:30</t>
  </si>
  <si>
    <t>22/04/2025 23:45</t>
  </si>
  <si>
    <t>22/04/2025 24:00</t>
  </si>
  <si>
    <t>23/04/2025 00:15</t>
  </si>
  <si>
    <t>23/04/2025 00:30</t>
  </si>
  <si>
    <t>23/04/2025 00:45</t>
  </si>
  <si>
    <t>23/04/2025 01:00</t>
  </si>
  <si>
    <t>23/04/2025 01:15</t>
  </si>
  <si>
    <t>23/04/2025 01:30</t>
  </si>
  <si>
    <t>23/04/2025 01:45</t>
  </si>
  <si>
    <t>23/04/2025 02:00</t>
  </si>
  <si>
    <t>23/04/2025 02:15</t>
  </si>
  <si>
    <t>23/04/2025 02:30</t>
  </si>
  <si>
    <t>23/04/2025 02:45</t>
  </si>
  <si>
    <t>23/04/2025 03:00</t>
  </si>
  <si>
    <t>23/04/2025 03:15</t>
  </si>
  <si>
    <t>23/04/2025 03:30</t>
  </si>
  <si>
    <t>23/04/2025 03:45</t>
  </si>
  <si>
    <t>23/04/2025 04:00</t>
  </si>
  <si>
    <t>23/04/2025 04:15</t>
  </si>
  <si>
    <t>23/04/2025 04:30</t>
  </si>
  <si>
    <t>23/04/2025 04:45</t>
  </si>
  <si>
    <t>23/04/2025 05:00</t>
  </si>
  <si>
    <t>23/04/2025 05:15</t>
  </si>
  <si>
    <t>23/04/2025 05:30</t>
  </si>
  <si>
    <t>23/04/2025 05:45</t>
  </si>
  <si>
    <t>23/04/2025 06:00</t>
  </si>
  <si>
    <t>23/04/2025 06:15</t>
  </si>
  <si>
    <t>23/04/2025 06:30</t>
  </si>
  <si>
    <t>23/04/2025 06:45</t>
  </si>
  <si>
    <t>23/04/2025 07:00</t>
  </si>
  <si>
    <t>23/04/2025 07:15</t>
  </si>
  <si>
    <t>23/04/2025 07:30</t>
  </si>
  <si>
    <t>23/04/2025 07:45</t>
  </si>
  <si>
    <t>23/04/2025 08:00</t>
  </si>
  <si>
    <t>23/04/2025 08:15</t>
  </si>
  <si>
    <t>23/04/2025 08:30</t>
  </si>
  <si>
    <t>23/04/2025 08:45</t>
  </si>
  <si>
    <t>23/04/2025 09:00</t>
  </si>
  <si>
    <t>23/04/2025 09:15</t>
  </si>
  <si>
    <t>23/04/2025 09:30</t>
  </si>
  <si>
    <t>23/04/2025 09:45</t>
  </si>
  <si>
    <t>23/04/2025 10:00</t>
  </si>
  <si>
    <t>23/04/2025 10:15</t>
  </si>
  <si>
    <t>23/04/2025 10:30</t>
  </si>
  <si>
    <t>23/04/2025 10:45</t>
  </si>
  <si>
    <t>23/04/2025 11:00</t>
  </si>
  <si>
    <t>23/04/2025 11:15</t>
  </si>
  <si>
    <t>23/04/2025 11:30</t>
  </si>
  <si>
    <t>23/04/2025 11:45</t>
  </si>
  <si>
    <t>23/04/2025 12:00</t>
  </si>
  <si>
    <t>23/04/2025 12:15</t>
  </si>
  <si>
    <t>23/04/2025 12:30</t>
  </si>
  <si>
    <t>23/04/2025 12:45</t>
  </si>
  <si>
    <t>23/04/2025 13:00</t>
  </si>
  <si>
    <t>23/04/2025 13:15</t>
  </si>
  <si>
    <t>23/04/2025 13:30</t>
  </si>
  <si>
    <t>23/04/2025 13:45</t>
  </si>
  <si>
    <t>23/04/2025 14:00</t>
  </si>
  <si>
    <t>23/04/2025 14:15</t>
  </si>
  <si>
    <t>23/04/2025 14:30</t>
  </si>
  <si>
    <t>23/04/2025 14:45</t>
  </si>
  <si>
    <t>23/04/2025 15:00</t>
  </si>
  <si>
    <t>23/04/2025 15:15</t>
  </si>
  <si>
    <t>23/04/2025 15:30</t>
  </si>
  <si>
    <t>23/04/2025 15:45</t>
  </si>
  <si>
    <t>23/04/2025 16:00</t>
  </si>
  <si>
    <t>23/04/2025 16:15</t>
  </si>
  <si>
    <t>23/04/2025 16:30</t>
  </si>
  <si>
    <t>23/04/2025 16:45</t>
  </si>
  <si>
    <t>23/04/2025 17:00</t>
  </si>
  <si>
    <t>23/04/2025 17:15</t>
  </si>
  <si>
    <t>23/04/2025 17:30</t>
  </si>
  <si>
    <t>23/04/2025 17:45</t>
  </si>
  <si>
    <t>23/04/2025 18:00</t>
  </si>
  <si>
    <t>23/04/2025 18:15</t>
  </si>
  <si>
    <t>23/04/2025 18:30</t>
  </si>
  <si>
    <t>23/04/2025 18:45</t>
  </si>
  <si>
    <t>23/04/2025 19:00</t>
  </si>
  <si>
    <t>23/04/2025 19:15</t>
  </si>
  <si>
    <t>23/04/2025 19:30</t>
  </si>
  <si>
    <t>23/04/2025 19:45</t>
  </si>
  <si>
    <t>23/04/2025 20:00</t>
  </si>
  <si>
    <t>23/04/2025 20:15</t>
  </si>
  <si>
    <t>23/04/2025 20:30</t>
  </si>
  <si>
    <t>23/04/2025 20:45</t>
  </si>
  <si>
    <t>23/04/2025 21:00</t>
  </si>
  <si>
    <t>23/04/2025 21:15</t>
  </si>
  <si>
    <t>23/04/2025 21:30</t>
  </si>
  <si>
    <t>23/04/2025 21:45</t>
  </si>
  <si>
    <t>23/04/2025 22:00</t>
  </si>
  <si>
    <t>23/04/2025 22:15</t>
  </si>
  <si>
    <t>23/04/2025 22:30</t>
  </si>
  <si>
    <t>23/04/2025 22:45</t>
  </si>
  <si>
    <t>23/04/2025 23:00</t>
  </si>
  <si>
    <t>23/04/2025 23:15</t>
  </si>
  <si>
    <t>23/04/2025 23:30</t>
  </si>
  <si>
    <t>23/04/2025 23:45</t>
  </si>
  <si>
    <t>23/04/2025 24:00</t>
  </si>
  <si>
    <t>24/04/2025 00:15</t>
  </si>
  <si>
    <t>24/04/2025 00:30</t>
  </si>
  <si>
    <t>24/04/2025 00:45</t>
  </si>
  <si>
    <t>24/04/2025 01:00</t>
  </si>
  <si>
    <t>24/04/2025 01:15</t>
  </si>
  <si>
    <t>24/04/2025 01:30</t>
  </si>
  <si>
    <t>24/04/2025 01:45</t>
  </si>
  <si>
    <t>24/04/2025 02:00</t>
  </si>
  <si>
    <t>24/04/2025 02:15</t>
  </si>
  <si>
    <t>24/04/2025 02:30</t>
  </si>
  <si>
    <t>24/04/2025 02:45</t>
  </si>
  <si>
    <t>24/04/2025 03:00</t>
  </si>
  <si>
    <t>24/04/2025 03:15</t>
  </si>
  <si>
    <t>24/04/2025 03:30</t>
  </si>
  <si>
    <t>24/04/2025 03:45</t>
  </si>
  <si>
    <t>24/04/2025 04:00</t>
  </si>
  <si>
    <t>24/04/2025 04:15</t>
  </si>
  <si>
    <t>24/04/2025 04:30</t>
  </si>
  <si>
    <t>24/04/2025 04:45</t>
  </si>
  <si>
    <t>24/04/2025 05:00</t>
  </si>
  <si>
    <t>24/04/2025 05:15</t>
  </si>
  <si>
    <t>24/04/2025 05:30</t>
  </si>
  <si>
    <t>24/04/2025 05:45</t>
  </si>
  <si>
    <t>24/04/2025 06:00</t>
  </si>
  <si>
    <t>24/04/2025 06:15</t>
  </si>
  <si>
    <t>24/04/2025 06:30</t>
  </si>
  <si>
    <t>24/04/2025 06:45</t>
  </si>
  <si>
    <t>24/04/2025 07:00</t>
  </si>
  <si>
    <t>24/04/2025 07:15</t>
  </si>
  <si>
    <t>24/04/2025 07:30</t>
  </si>
  <si>
    <t>24/04/2025 07:45</t>
  </si>
  <si>
    <t>24/04/2025 08:00</t>
  </si>
  <si>
    <t>24/04/2025 08:15</t>
  </si>
  <si>
    <t>24/04/2025 08:30</t>
  </si>
  <si>
    <t>24/04/2025 08:45</t>
  </si>
  <si>
    <t>24/04/2025 09:00</t>
  </si>
  <si>
    <t>24/04/2025 09:15</t>
  </si>
  <si>
    <t>24/04/2025 09:30</t>
  </si>
  <si>
    <t>24/04/2025 09:45</t>
  </si>
  <si>
    <t>24/04/2025 10:00</t>
  </si>
  <si>
    <t>24/04/2025 10:15</t>
  </si>
  <si>
    <t>24/04/2025 10:30</t>
  </si>
  <si>
    <t>24/04/2025 10:45</t>
  </si>
  <si>
    <t>24/04/2025 11:00</t>
  </si>
  <si>
    <t>24/04/2025 11:15</t>
  </si>
  <si>
    <t>24/04/2025 11:30</t>
  </si>
  <si>
    <t>24/04/2025 11:45</t>
  </si>
  <si>
    <t>24/04/2025 12:00</t>
  </si>
  <si>
    <t>24/04/2025 12:15</t>
  </si>
  <si>
    <t>24/04/2025 12:30</t>
  </si>
  <si>
    <t>24/04/2025 12:45</t>
  </si>
  <si>
    <t>24/04/2025 13:00</t>
  </si>
  <si>
    <t>24/04/2025 13:15</t>
  </si>
  <si>
    <t>24/04/2025 13:30</t>
  </si>
  <si>
    <t>24/04/2025 13:45</t>
  </si>
  <si>
    <t>24/04/2025 14:00</t>
  </si>
  <si>
    <t>24/04/2025 14:15</t>
  </si>
  <si>
    <t>24/04/2025 14:30</t>
  </si>
  <si>
    <t>24/04/2025 14:45</t>
  </si>
  <si>
    <t>24/04/2025 15:00</t>
  </si>
  <si>
    <t>24/04/2025 15:15</t>
  </si>
  <si>
    <t>24/04/2025 15:30</t>
  </si>
  <si>
    <t>24/04/2025 15:45</t>
  </si>
  <si>
    <t>24/04/2025 16:00</t>
  </si>
  <si>
    <t>24/04/2025 16:15</t>
  </si>
  <si>
    <t>24/04/2025 16:30</t>
  </si>
  <si>
    <t>24/04/2025 16:45</t>
  </si>
  <si>
    <t>24/04/2025 17:00</t>
  </si>
  <si>
    <t>24/04/2025 17:15</t>
  </si>
  <si>
    <t>24/04/2025 17:30</t>
  </si>
  <si>
    <t>24/04/2025 17:45</t>
  </si>
  <si>
    <t>24/04/2025 18:00</t>
  </si>
  <si>
    <t>24/04/2025 18:15</t>
  </si>
  <si>
    <t>24/04/2025 18:30</t>
  </si>
  <si>
    <t>24/04/2025 18:45</t>
  </si>
  <si>
    <t>24/04/2025 19:00</t>
  </si>
  <si>
    <t>24/04/2025 19:15</t>
  </si>
  <si>
    <t>24/04/2025 19:30</t>
  </si>
  <si>
    <t>24/04/2025 19:45</t>
  </si>
  <si>
    <t>24/04/2025 20:00</t>
  </si>
  <si>
    <t>24/04/2025 20:15</t>
  </si>
  <si>
    <t>24/04/2025 20:30</t>
  </si>
  <si>
    <t>24/04/2025 20:45</t>
  </si>
  <si>
    <t>24/04/2025 21:00</t>
  </si>
  <si>
    <t>24/04/2025 21:15</t>
  </si>
  <si>
    <t>24/04/2025 21:30</t>
  </si>
  <si>
    <t>24/04/2025 21:45</t>
  </si>
  <si>
    <t>24/04/2025 22:00</t>
  </si>
  <si>
    <t>24/04/2025 22:15</t>
  </si>
  <si>
    <t>24/04/2025 22:30</t>
  </si>
  <si>
    <t>24/04/2025 22:45</t>
  </si>
  <si>
    <t>24/04/2025 23:00</t>
  </si>
  <si>
    <t>24/04/2025 23:15</t>
  </si>
  <si>
    <t>24/04/2025 23:30</t>
  </si>
  <si>
    <t>24/04/2025 23:45</t>
  </si>
  <si>
    <t>24/04/2025 24:00</t>
  </si>
  <si>
    <t>25/04/2025 00:15</t>
  </si>
  <si>
    <t>25/04/2025 00:30</t>
  </si>
  <si>
    <t>25/04/2025 00:45</t>
  </si>
  <si>
    <t>25/04/2025 01:00</t>
  </si>
  <si>
    <t>25/04/2025 01:15</t>
  </si>
  <si>
    <t>25/04/2025 01:30</t>
  </si>
  <si>
    <t>25/04/2025 01:45</t>
  </si>
  <si>
    <t>25/04/2025 02:00</t>
  </si>
  <si>
    <t>25/04/2025 02:15</t>
  </si>
  <si>
    <t>25/04/2025 02:30</t>
  </si>
  <si>
    <t>25/04/2025 02:45</t>
  </si>
  <si>
    <t>25/04/2025 03:00</t>
  </si>
  <si>
    <t>25/04/2025 03:15</t>
  </si>
  <si>
    <t>25/04/2025 03:30</t>
  </si>
  <si>
    <t>25/04/2025 03:45</t>
  </si>
  <si>
    <t>25/04/2025 04:00</t>
  </si>
  <si>
    <t>25/04/2025 04:15</t>
  </si>
  <si>
    <t>25/04/2025 04:30</t>
  </si>
  <si>
    <t>25/04/2025 04:45</t>
  </si>
  <si>
    <t>25/04/2025 05:00</t>
  </si>
  <si>
    <t>25/04/2025 05:15</t>
  </si>
  <si>
    <t>25/04/2025 05:30</t>
  </si>
  <si>
    <t>25/04/2025 05:45</t>
  </si>
  <si>
    <t>25/04/2025 06:00</t>
  </si>
  <si>
    <t>25/04/2025 06:15</t>
  </si>
  <si>
    <t>25/04/2025 06:30</t>
  </si>
  <si>
    <t>25/04/2025 06:45</t>
  </si>
  <si>
    <t>25/04/2025 07:00</t>
  </si>
  <si>
    <t>25/04/2025 07:15</t>
  </si>
  <si>
    <t>25/04/2025 07:30</t>
  </si>
  <si>
    <t>25/04/2025 07:45</t>
  </si>
  <si>
    <t>25/04/2025 08:00</t>
  </si>
  <si>
    <t>25/04/2025 08:15</t>
  </si>
  <si>
    <t>25/04/2025 08:30</t>
  </si>
  <si>
    <t>25/04/2025 08:45</t>
  </si>
  <si>
    <t>25/04/2025 09:00</t>
  </si>
  <si>
    <t>25/04/2025 09:15</t>
  </si>
  <si>
    <t>25/04/2025 09:30</t>
  </si>
  <si>
    <t>25/04/2025 09:45</t>
  </si>
  <si>
    <t>25/04/2025 10:00</t>
  </si>
  <si>
    <t>25/04/2025 10:15</t>
  </si>
  <si>
    <t>25/04/2025 10:30</t>
  </si>
  <si>
    <t>25/04/2025 10:45</t>
  </si>
  <si>
    <t>25/04/2025 11:00</t>
  </si>
  <si>
    <t>25/04/2025 11:15</t>
  </si>
  <si>
    <t>25/04/2025 11:30</t>
  </si>
  <si>
    <t>25/04/2025 11:45</t>
  </si>
  <si>
    <t>25/04/2025 12:00</t>
  </si>
  <si>
    <t>25/04/2025 12:15</t>
  </si>
  <si>
    <t>25/04/2025 12:30</t>
  </si>
  <si>
    <t>25/04/2025 12:45</t>
  </si>
  <si>
    <t>25/04/2025 13:00</t>
  </si>
  <si>
    <t>25/04/2025 13:15</t>
  </si>
  <si>
    <t>25/04/2025 13:30</t>
  </si>
  <si>
    <t>25/04/2025 13:45</t>
  </si>
  <si>
    <t>25/04/2025 14:00</t>
  </si>
  <si>
    <t>25/04/2025 14:15</t>
  </si>
  <si>
    <t>25/04/2025 14:30</t>
  </si>
  <si>
    <t>25/04/2025 14:45</t>
  </si>
  <si>
    <t>25/04/2025 15:00</t>
  </si>
  <si>
    <t>25/04/2025 15:15</t>
  </si>
  <si>
    <t>25/04/2025 15:30</t>
  </si>
  <si>
    <t>25/04/2025 15:45</t>
  </si>
  <si>
    <t>25/04/2025 16:00</t>
  </si>
  <si>
    <t>25/04/2025 16:15</t>
  </si>
  <si>
    <t>25/04/2025 16:30</t>
  </si>
  <si>
    <t>25/04/2025 16:45</t>
  </si>
  <si>
    <t>25/04/2025 17:00</t>
  </si>
  <si>
    <t>25/04/2025 17:15</t>
  </si>
  <si>
    <t>25/04/2025 17:30</t>
  </si>
  <si>
    <t>25/04/2025 17:45</t>
  </si>
  <si>
    <t>25/04/2025 18:00</t>
  </si>
  <si>
    <t>25/04/2025 18:15</t>
  </si>
  <si>
    <t>25/04/2025 18:30</t>
  </si>
  <si>
    <t>25/04/2025 18:45</t>
  </si>
  <si>
    <t>25/04/2025 19:00</t>
  </si>
  <si>
    <t>25/04/2025 19:15</t>
  </si>
  <si>
    <t>25/04/2025 19:30</t>
  </si>
  <si>
    <t>25/04/2025 19:45</t>
  </si>
  <si>
    <t>25/04/2025 20:00</t>
  </si>
  <si>
    <t>25/04/2025 20:15</t>
  </si>
  <si>
    <t>25/04/2025 20:30</t>
  </si>
  <si>
    <t>25/04/2025 20:45</t>
  </si>
  <si>
    <t>25/04/2025 21:00</t>
  </si>
  <si>
    <t>25/04/2025 21:15</t>
  </si>
  <si>
    <t>25/04/2025 21:30</t>
  </si>
  <si>
    <t>25/04/2025 21:45</t>
  </si>
  <si>
    <t>25/04/2025 22:00</t>
  </si>
  <si>
    <t>25/04/2025 22:15</t>
  </si>
  <si>
    <t>25/04/2025 22:30</t>
  </si>
  <si>
    <t>25/04/2025 22:45</t>
  </si>
  <si>
    <t>25/04/2025 23:00</t>
  </si>
  <si>
    <t>25/04/2025 23:15</t>
  </si>
  <si>
    <t>25/04/2025 23:30</t>
  </si>
  <si>
    <t>25/04/2025 23:45</t>
  </si>
  <si>
    <t>25/04/2025 24:00</t>
  </si>
  <si>
    <t>26/04/2025 00:15</t>
  </si>
  <si>
    <t>26/04/2025 00:30</t>
  </si>
  <si>
    <t>26/04/2025 00:45</t>
  </si>
  <si>
    <t>26/04/2025 01:00</t>
  </si>
  <si>
    <t>26/04/2025 01:15</t>
  </si>
  <si>
    <t>26/04/2025 01:30</t>
  </si>
  <si>
    <t>26/04/2025 01:45</t>
  </si>
  <si>
    <t>26/04/2025 02:00</t>
  </si>
  <si>
    <t>26/04/2025 02:15</t>
  </si>
  <si>
    <t>26/04/2025 02:30</t>
  </si>
  <si>
    <t>26/04/2025 02:45</t>
  </si>
  <si>
    <t>26/04/2025 03:00</t>
  </si>
  <si>
    <t>26/04/2025 03:15</t>
  </si>
  <si>
    <t>26/04/2025 03:30</t>
  </si>
  <si>
    <t>26/04/2025 03:45</t>
  </si>
  <si>
    <t>26/04/2025 04:00</t>
  </si>
  <si>
    <t>26/04/2025 04:15</t>
  </si>
  <si>
    <t>26/04/2025 04:30</t>
  </si>
  <si>
    <t>26/04/2025 04:45</t>
  </si>
  <si>
    <t>26/04/2025 05:00</t>
  </si>
  <si>
    <t>26/04/2025 05:15</t>
  </si>
  <si>
    <t>26/04/2025 05:30</t>
  </si>
  <si>
    <t>26/04/2025 05:45</t>
  </si>
  <si>
    <t>26/04/2025 06:00</t>
  </si>
  <si>
    <t>26/04/2025 06:15</t>
  </si>
  <si>
    <t>26/04/2025 06:30</t>
  </si>
  <si>
    <t>26/04/2025 06:45</t>
  </si>
  <si>
    <t>26/04/2025 07:00</t>
  </si>
  <si>
    <t>26/04/2025 07:15</t>
  </si>
  <si>
    <t>26/04/2025 07:30</t>
  </si>
  <si>
    <t>26/04/2025 07:45</t>
  </si>
  <si>
    <t>26/04/2025 08:00</t>
  </si>
  <si>
    <t>26/04/2025 08:15</t>
  </si>
  <si>
    <t>26/04/2025 08:30</t>
  </si>
  <si>
    <t>26/04/2025 08:45</t>
  </si>
  <si>
    <t>26/04/2025 09:00</t>
  </si>
  <si>
    <t>26/04/2025 09:15</t>
  </si>
  <si>
    <t>26/04/2025 09:30</t>
  </si>
  <si>
    <t>26/04/2025 09:45</t>
  </si>
  <si>
    <t>26/04/2025 10:00</t>
  </si>
  <si>
    <t>26/04/2025 10:15</t>
  </si>
  <si>
    <t>26/04/2025 10:30</t>
  </si>
  <si>
    <t>26/04/2025 10:45</t>
  </si>
  <si>
    <t>26/04/2025 11:00</t>
  </si>
  <si>
    <t>26/04/2025 11:15</t>
  </si>
  <si>
    <t>26/04/2025 11:30</t>
  </si>
  <si>
    <t>26/04/2025 11:45</t>
  </si>
  <si>
    <t>26/04/2025 12:00</t>
  </si>
  <si>
    <t>26/04/2025 12:15</t>
  </si>
  <si>
    <t>26/04/2025 12:30</t>
  </si>
  <si>
    <t>26/04/2025 12:45</t>
  </si>
  <si>
    <t>26/04/2025 13:00</t>
  </si>
  <si>
    <t>26/04/2025 13:15</t>
  </si>
  <si>
    <t>26/04/2025 13:30</t>
  </si>
  <si>
    <t>26/04/2025 13:45</t>
  </si>
  <si>
    <t>26/04/2025 14:00</t>
  </si>
  <si>
    <t>26/04/2025 14:15</t>
  </si>
  <si>
    <t>26/04/2025 14:30</t>
  </si>
  <si>
    <t>26/04/2025 14:45</t>
  </si>
  <si>
    <t>26/04/2025 15:00</t>
  </si>
  <si>
    <t>26/04/2025 15:15</t>
  </si>
  <si>
    <t>26/04/2025 15:30</t>
  </si>
  <si>
    <t>26/04/2025 15:45</t>
  </si>
  <si>
    <t>26/04/2025 16:00</t>
  </si>
  <si>
    <t>26/04/2025 16:15</t>
  </si>
  <si>
    <t>26/04/2025 16:30</t>
  </si>
  <si>
    <t>26/04/2025 16:45</t>
  </si>
  <si>
    <t>26/04/2025 17:00</t>
  </si>
  <si>
    <t>26/04/2025 17:15</t>
  </si>
  <si>
    <t>26/04/2025 17:30</t>
  </si>
  <si>
    <t>26/04/2025 17:45</t>
  </si>
  <si>
    <t>26/04/2025 18:00</t>
  </si>
  <si>
    <t>26/04/2025 18:15</t>
  </si>
  <si>
    <t>26/04/2025 18:30</t>
  </si>
  <si>
    <t>26/04/2025 18:45</t>
  </si>
  <si>
    <t>26/04/2025 19:00</t>
  </si>
  <si>
    <t>26/04/2025 19:15</t>
  </si>
  <si>
    <t>26/04/2025 19:30</t>
  </si>
  <si>
    <t>26/04/2025 19:45</t>
  </si>
  <si>
    <t>26/04/2025 20:00</t>
  </si>
  <si>
    <t>26/04/2025 20:15</t>
  </si>
  <si>
    <t>26/04/2025 20:30</t>
  </si>
  <si>
    <t>26/04/2025 20:45</t>
  </si>
  <si>
    <t>26/04/2025 21:00</t>
  </si>
  <si>
    <t>26/04/2025 21:15</t>
  </si>
  <si>
    <t>26/04/2025 21:30</t>
  </si>
  <si>
    <t>26/04/2025 21:45</t>
  </si>
  <si>
    <t>26/04/2025 22:00</t>
  </si>
  <si>
    <t>26/04/2025 22:15</t>
  </si>
  <si>
    <t>26/04/2025 22:30</t>
  </si>
  <si>
    <t>26/04/2025 22:45</t>
  </si>
  <si>
    <t>26/04/2025 23:00</t>
  </si>
  <si>
    <t>26/04/2025 23:15</t>
  </si>
  <si>
    <t>26/04/2025 23:30</t>
  </si>
  <si>
    <t>26/04/2025 23:45</t>
  </si>
  <si>
    <t>26/04/2025 24:00</t>
  </si>
  <si>
    <t>27/04/2025 00:15</t>
  </si>
  <si>
    <t>27/04/2025 00:30</t>
  </si>
  <si>
    <t>27/04/2025 00:45</t>
  </si>
  <si>
    <t>27/04/2025 01:00</t>
  </si>
  <si>
    <t>27/04/2025 01:15</t>
  </si>
  <si>
    <t>27/04/2025 01:30</t>
  </si>
  <si>
    <t>27/04/2025 01:45</t>
  </si>
  <si>
    <t>27/04/2025 02:00</t>
  </si>
  <si>
    <t>27/04/2025 02:15</t>
  </si>
  <si>
    <t>27/04/2025 02:30</t>
  </si>
  <si>
    <t>27/04/2025 02:45</t>
  </si>
  <si>
    <t>27/04/2025 03:00</t>
  </si>
  <si>
    <t>27/04/2025 03:15</t>
  </si>
  <si>
    <t>27/04/2025 03:30</t>
  </si>
  <si>
    <t>27/04/2025 03:45</t>
  </si>
  <si>
    <t>27/04/2025 04:00</t>
  </si>
  <si>
    <t>27/04/2025 04:15</t>
  </si>
  <si>
    <t>27/04/2025 04:30</t>
  </si>
  <si>
    <t>27/04/2025 04:45</t>
  </si>
  <si>
    <t>27/04/2025 05:00</t>
  </si>
  <si>
    <t>27/04/2025 05:15</t>
  </si>
  <si>
    <t>27/04/2025 05:30</t>
  </si>
  <si>
    <t>27/04/2025 05:45</t>
  </si>
  <si>
    <t>27/04/2025 06:00</t>
  </si>
  <si>
    <t>27/04/2025 06:15</t>
  </si>
  <si>
    <t>27/04/2025 06:30</t>
  </si>
  <si>
    <t>27/04/2025 06:45</t>
  </si>
  <si>
    <t>27/04/2025 07:00</t>
  </si>
  <si>
    <t>27/04/2025 07:15</t>
  </si>
  <si>
    <t>27/04/2025 07:30</t>
  </si>
  <si>
    <t>27/04/2025 07:45</t>
  </si>
  <si>
    <t>27/04/2025 08:00</t>
  </si>
  <si>
    <t>27/04/2025 08:15</t>
  </si>
  <si>
    <t>27/04/2025 08:30</t>
  </si>
  <si>
    <t>27/04/2025 08:45</t>
  </si>
  <si>
    <t>27/04/2025 09:00</t>
  </si>
  <si>
    <t>27/04/2025 09:15</t>
  </si>
  <si>
    <t>27/04/2025 09:30</t>
  </si>
  <si>
    <t>27/04/2025 09:45</t>
  </si>
  <si>
    <t>27/04/2025 10:00</t>
  </si>
  <si>
    <t>27/04/2025 10:15</t>
  </si>
  <si>
    <t>27/04/2025 10:30</t>
  </si>
  <si>
    <t>27/04/2025 10:45</t>
  </si>
  <si>
    <t>27/04/2025 11:00</t>
  </si>
  <si>
    <t>27/04/2025 11:15</t>
  </si>
  <si>
    <t>27/04/2025 11:30</t>
  </si>
  <si>
    <t>27/04/2025 11:45</t>
  </si>
  <si>
    <t>27/04/2025 12:00</t>
  </si>
  <si>
    <t>27/04/2025 12:15</t>
  </si>
  <si>
    <t>27/04/2025 12:30</t>
  </si>
  <si>
    <t>27/04/2025 12:45</t>
  </si>
  <si>
    <t>27/04/2025 13:00</t>
  </si>
  <si>
    <t>27/04/2025 13:15</t>
  </si>
  <si>
    <t>27/04/2025 13:30</t>
  </si>
  <si>
    <t>27/04/2025 13:45</t>
  </si>
  <si>
    <t>27/04/2025 14:00</t>
  </si>
  <si>
    <t>27/04/2025 14:15</t>
  </si>
  <si>
    <t>27/04/2025 14:30</t>
  </si>
  <si>
    <t>27/04/2025 14:45</t>
  </si>
  <si>
    <t>27/04/2025 15:00</t>
  </si>
  <si>
    <t>27/04/2025 15:15</t>
  </si>
  <si>
    <t>27/04/2025 15:30</t>
  </si>
  <si>
    <t>27/04/2025 15:45</t>
  </si>
  <si>
    <t>27/04/2025 16:00</t>
  </si>
  <si>
    <t>27/04/2025 16:15</t>
  </si>
  <si>
    <t>27/04/2025 16:30</t>
  </si>
  <si>
    <t>27/04/2025 16:45</t>
  </si>
  <si>
    <t>27/04/2025 17:00</t>
  </si>
  <si>
    <t>27/04/2025 17:15</t>
  </si>
  <si>
    <t>27/04/2025 17:30</t>
  </si>
  <si>
    <t>27/04/2025 17:45</t>
  </si>
  <si>
    <t>27/04/2025 18:00</t>
  </si>
  <si>
    <t>27/04/2025 18:15</t>
  </si>
  <si>
    <t>27/04/2025 18:30</t>
  </si>
  <si>
    <t>27/04/2025 18:45</t>
  </si>
  <si>
    <t>27/04/2025 19:00</t>
  </si>
  <si>
    <t>27/04/2025 19:15</t>
  </si>
  <si>
    <t>27/04/2025 19:30</t>
  </si>
  <si>
    <t>27/04/2025 19:45</t>
  </si>
  <si>
    <t>27/04/2025 20:00</t>
  </si>
  <si>
    <t>27/04/2025 20:15</t>
  </si>
  <si>
    <t>27/04/2025 20:30</t>
  </si>
  <si>
    <t>27/04/2025 20:45</t>
  </si>
  <si>
    <t>27/04/2025 21:00</t>
  </si>
  <si>
    <t>27/04/2025 21:15</t>
  </si>
  <si>
    <t>27/04/2025 21:30</t>
  </si>
  <si>
    <t>27/04/2025 21:45</t>
  </si>
  <si>
    <t>27/04/2025 22:00</t>
  </si>
  <si>
    <t>27/04/2025 22:15</t>
  </si>
  <si>
    <t>27/04/2025 22:30</t>
  </si>
  <si>
    <t>27/04/2025 22:45</t>
  </si>
  <si>
    <t>27/04/2025 23:00</t>
  </si>
  <si>
    <t>27/04/2025 23:15</t>
  </si>
  <si>
    <t>27/04/2025 23:30</t>
  </si>
  <si>
    <t>27/04/2025 23:45</t>
  </si>
  <si>
    <t>27/04/2025 24:00</t>
  </si>
  <si>
    <t>28/04/2025 00:15</t>
  </si>
  <si>
    <t>28/04/2025 00:30</t>
  </si>
  <si>
    <t>28/04/2025 00:45</t>
  </si>
  <si>
    <t>28/04/2025 01:00</t>
  </si>
  <si>
    <t>28/04/2025 01:15</t>
  </si>
  <si>
    <t>28/04/2025 01:30</t>
  </si>
  <si>
    <t>28/04/2025 01:45</t>
  </si>
  <si>
    <t>28/04/2025 02:00</t>
  </si>
  <si>
    <t>28/04/2025 02:15</t>
  </si>
  <si>
    <t>28/04/2025 02:30</t>
  </si>
  <si>
    <t>28/04/2025 02:45</t>
  </si>
  <si>
    <t>28/04/2025 03:00</t>
  </si>
  <si>
    <t>28/04/2025 03:15</t>
  </si>
  <si>
    <t>28/04/2025 03:30</t>
  </si>
  <si>
    <t>28/04/2025 03:45</t>
  </si>
  <si>
    <t>28/04/2025 04:00</t>
  </si>
  <si>
    <t>28/04/2025 04:15</t>
  </si>
  <si>
    <t>28/04/2025 04:30</t>
  </si>
  <si>
    <t>28/04/2025 04:45</t>
  </si>
  <si>
    <t>28/04/2025 05:00</t>
  </si>
  <si>
    <t>28/04/2025 05:15</t>
  </si>
  <si>
    <t>28/04/2025 05:30</t>
  </si>
  <si>
    <t>28/04/2025 05:45</t>
  </si>
  <si>
    <t>28/04/2025 06:00</t>
  </si>
  <si>
    <t>28/04/2025 06:15</t>
  </si>
  <si>
    <t>28/04/2025 06:30</t>
  </si>
  <si>
    <t>28/04/2025 06:45</t>
  </si>
  <si>
    <t>28/04/2025 07:00</t>
  </si>
  <si>
    <t>28/04/2025 07:15</t>
  </si>
  <si>
    <t>28/04/2025 07:30</t>
  </si>
  <si>
    <t>28/04/2025 07:45</t>
  </si>
  <si>
    <t>28/04/2025 08:00</t>
  </si>
  <si>
    <t>28/04/2025 08:15</t>
  </si>
  <si>
    <t>28/04/2025 08:30</t>
  </si>
  <si>
    <t>28/04/2025 08:45</t>
  </si>
  <si>
    <t>28/04/2025 09:00</t>
  </si>
  <si>
    <t>28/04/2025 09:15</t>
  </si>
  <si>
    <t>28/04/2025 09:30</t>
  </si>
  <si>
    <t>28/04/2025 09:45</t>
  </si>
  <si>
    <t>28/04/2025 10:00</t>
  </si>
  <si>
    <t>28/04/2025 10:15</t>
  </si>
  <si>
    <t>28/04/2025 10:30</t>
  </si>
  <si>
    <t>28/04/2025 10:45</t>
  </si>
  <si>
    <t>28/04/2025 11:00</t>
  </si>
  <si>
    <t>28/04/2025 11:15</t>
  </si>
  <si>
    <t>28/04/2025 11:30</t>
  </si>
  <si>
    <t>28/04/2025 11:45</t>
  </si>
  <si>
    <t>28/04/2025 12:00</t>
  </si>
  <si>
    <t>28/04/2025 12:15</t>
  </si>
  <si>
    <t>28/04/2025 12:30</t>
  </si>
  <si>
    <t>28/04/2025 12:45</t>
  </si>
  <si>
    <t>28/04/2025 13:00</t>
  </si>
  <si>
    <t>28/04/2025 13:15</t>
  </si>
  <si>
    <t>28/04/2025 13:30</t>
  </si>
  <si>
    <t>28/04/2025 13:45</t>
  </si>
  <si>
    <t>28/04/2025 14:00</t>
  </si>
  <si>
    <t>28/04/2025 14:15</t>
  </si>
  <si>
    <t>28/04/2025 14:30</t>
  </si>
  <si>
    <t>28/04/2025 14:45</t>
  </si>
  <si>
    <t>28/04/2025 15:00</t>
  </si>
  <si>
    <t>28/04/2025 15:15</t>
  </si>
  <si>
    <t>28/04/2025 15:30</t>
  </si>
  <si>
    <t>28/04/2025 15:45</t>
  </si>
  <si>
    <t>28/04/2025 16:00</t>
  </si>
  <si>
    <t>28/04/2025 16:15</t>
  </si>
  <si>
    <t>28/04/2025 16:30</t>
  </si>
  <si>
    <t>28/04/2025 16:45</t>
  </si>
  <si>
    <t>28/04/2025 17:00</t>
  </si>
  <si>
    <t>28/04/2025 17:15</t>
  </si>
  <si>
    <t>28/04/2025 17:30</t>
  </si>
  <si>
    <t>28/04/2025 17:45</t>
  </si>
  <si>
    <t>28/04/2025 18:00</t>
  </si>
  <si>
    <t>28/04/2025 18:15</t>
  </si>
  <si>
    <t>28/04/2025 18:30</t>
  </si>
  <si>
    <t>28/04/2025 18:45</t>
  </si>
  <si>
    <t>28/04/2025 19:00</t>
  </si>
  <si>
    <t>28/04/2025 19:15</t>
  </si>
  <si>
    <t>28/04/2025 19:30</t>
  </si>
  <si>
    <t>28/04/2025 19:45</t>
  </si>
  <si>
    <t>28/04/2025 20:00</t>
  </si>
  <si>
    <t>28/04/2025 20:15</t>
  </si>
  <si>
    <t>28/04/2025 20:30</t>
  </si>
  <si>
    <t>28/04/2025 20:45</t>
  </si>
  <si>
    <t>28/04/2025 21:00</t>
  </si>
  <si>
    <t>28/04/2025 21:15</t>
  </si>
  <si>
    <t>28/04/2025 21:30</t>
  </si>
  <si>
    <t>28/04/2025 21:45</t>
  </si>
  <si>
    <t>28/04/2025 22:00</t>
  </si>
  <si>
    <t>28/04/2025 22:15</t>
  </si>
  <si>
    <t>28/04/2025 22:30</t>
  </si>
  <si>
    <t>28/04/2025 22:45</t>
  </si>
  <si>
    <t>28/04/2025 23:00</t>
  </si>
  <si>
    <t>28/04/2025 23:15</t>
  </si>
  <si>
    <t>28/04/2025 23:30</t>
  </si>
  <si>
    <t>28/04/2025 23:45</t>
  </si>
  <si>
    <t>28/04/2025 24:00</t>
  </si>
  <si>
    <t>29/04/2025 00:15</t>
  </si>
  <si>
    <t>29/04/2025 00:30</t>
  </si>
  <si>
    <t>29/04/2025 00:45</t>
  </si>
  <si>
    <t>29/04/2025 01:00</t>
  </si>
  <si>
    <t>29/04/2025 01:15</t>
  </si>
  <si>
    <t>29/04/2025 01:30</t>
  </si>
  <si>
    <t>29/04/2025 01:45</t>
  </si>
  <si>
    <t>29/04/2025 02:00</t>
  </si>
  <si>
    <t>29/04/2025 02:15</t>
  </si>
  <si>
    <t>29/04/2025 02:30</t>
  </si>
  <si>
    <t>29/04/2025 02:45</t>
  </si>
  <si>
    <t>29/04/2025 03:00</t>
  </si>
  <si>
    <t>29/04/2025 03:15</t>
  </si>
  <si>
    <t>29/04/2025 03:30</t>
  </si>
  <si>
    <t>29/04/2025 03:45</t>
  </si>
  <si>
    <t>29/04/2025 04:00</t>
  </si>
  <si>
    <t>29/04/2025 04:15</t>
  </si>
  <si>
    <t>29/04/2025 04:30</t>
  </si>
  <si>
    <t>29/04/2025 04:45</t>
  </si>
  <si>
    <t>29/04/2025 05:00</t>
  </si>
  <si>
    <t>29/04/2025 05:15</t>
  </si>
  <si>
    <t>29/04/2025 05:30</t>
  </si>
  <si>
    <t>29/04/2025 05:45</t>
  </si>
  <si>
    <t>29/04/2025 06:00</t>
  </si>
  <si>
    <t>29/04/2025 06:15</t>
  </si>
  <si>
    <t>29/04/2025 06:30</t>
  </si>
  <si>
    <t>29/04/2025 06:45</t>
  </si>
  <si>
    <t>29/04/2025 07:00</t>
  </si>
  <si>
    <t>29/04/2025 07:15</t>
  </si>
  <si>
    <t>29/04/2025 07:30</t>
  </si>
  <si>
    <t>29/04/2025 07:45</t>
  </si>
  <si>
    <t>29/04/2025 08:00</t>
  </si>
  <si>
    <t>29/04/2025 08:15</t>
  </si>
  <si>
    <t>29/04/2025 08:30</t>
  </si>
  <si>
    <t>29/04/2025 08:45</t>
  </si>
  <si>
    <t>29/04/2025 09:00</t>
  </si>
  <si>
    <t>29/04/2025 09:15</t>
  </si>
  <si>
    <t>29/04/2025 09:30</t>
  </si>
  <si>
    <t>29/04/2025 09:45</t>
  </si>
  <si>
    <t>29/04/2025 10:00</t>
  </si>
  <si>
    <t>29/04/2025 10:15</t>
  </si>
  <si>
    <t>29/04/2025 10:30</t>
  </si>
  <si>
    <t>29/04/2025 10:45</t>
  </si>
  <si>
    <t>29/04/2025 11:00</t>
  </si>
  <si>
    <t>29/04/2025 11:15</t>
  </si>
  <si>
    <t>29/04/2025 11:30</t>
  </si>
  <si>
    <t>29/04/2025 11:45</t>
  </si>
  <si>
    <t>29/04/2025 12:00</t>
  </si>
  <si>
    <t>29/04/2025 12:15</t>
  </si>
  <si>
    <t>29/04/2025 12:30</t>
  </si>
  <si>
    <t>29/04/2025 12:45</t>
  </si>
  <si>
    <t>29/04/2025 13:00</t>
  </si>
  <si>
    <t>29/04/2025 13:15</t>
  </si>
  <si>
    <t>29/04/2025 13:30</t>
  </si>
  <si>
    <t>29/04/2025 13:45</t>
  </si>
  <si>
    <t>29/04/2025 14:00</t>
  </si>
  <si>
    <t>29/04/2025 14:15</t>
  </si>
  <si>
    <t>29/04/2025 14:30</t>
  </si>
  <si>
    <t>29/04/2025 14:45</t>
  </si>
  <si>
    <t>29/04/2025 15:00</t>
  </si>
  <si>
    <t>29/04/2025 15:15</t>
  </si>
  <si>
    <t>29/04/2025 15:30</t>
  </si>
  <si>
    <t>29/04/2025 15:45</t>
  </si>
  <si>
    <t>29/04/2025 16:00</t>
  </si>
  <si>
    <t>29/04/2025 16:15</t>
  </si>
  <si>
    <t>29/04/2025 16:30</t>
  </si>
  <si>
    <t>29/04/2025 16:45</t>
  </si>
  <si>
    <t>29/04/2025 17:00</t>
  </si>
  <si>
    <t>29/04/2025 17:15</t>
  </si>
  <si>
    <t>29/04/2025 17:30</t>
  </si>
  <si>
    <t>29/04/2025 17:45</t>
  </si>
  <si>
    <t>29/04/2025 18:00</t>
  </si>
  <si>
    <t>29/04/2025 18:15</t>
  </si>
  <si>
    <t>29/04/2025 18:30</t>
  </si>
  <si>
    <t>29/04/2025 18:45</t>
  </si>
  <si>
    <t>29/04/2025 19:00</t>
  </si>
  <si>
    <t>29/04/2025 19:15</t>
  </si>
  <si>
    <t>29/04/2025 19:30</t>
  </si>
  <si>
    <t>29/04/2025 19:45</t>
  </si>
  <si>
    <t>29/04/2025 20:00</t>
  </si>
  <si>
    <t>29/04/2025 20:15</t>
  </si>
  <si>
    <t>29/04/2025 20:30</t>
  </si>
  <si>
    <t>29/04/2025 20:45</t>
  </si>
  <si>
    <t>29/04/2025 21:00</t>
  </si>
  <si>
    <t>29/04/2025 21:15</t>
  </si>
  <si>
    <t>29/04/2025 21:30</t>
  </si>
  <si>
    <t>29/04/2025 21:45</t>
  </si>
  <si>
    <t>29/04/2025 22:00</t>
  </si>
  <si>
    <t>29/04/2025 22:15</t>
  </si>
  <si>
    <t>29/04/2025 22:30</t>
  </si>
  <si>
    <t>29/04/2025 22:45</t>
  </si>
  <si>
    <t>29/04/2025 23:00</t>
  </si>
  <si>
    <t>29/04/2025 23:15</t>
  </si>
  <si>
    <t>29/04/2025 23:30</t>
  </si>
  <si>
    <t>29/04/2025 23:45</t>
  </si>
  <si>
    <t>29/04/2025 24:00</t>
  </si>
  <si>
    <t>30/04/2025 00:15</t>
  </si>
  <si>
    <t>30/04/2025 00:30</t>
  </si>
  <si>
    <t>30/04/2025 00:45</t>
  </si>
  <si>
    <t>30/04/2025 01:00</t>
  </si>
  <si>
    <t>30/04/2025 01:15</t>
  </si>
  <si>
    <t>30/04/2025 01:30</t>
  </si>
  <si>
    <t>30/04/2025 01:45</t>
  </si>
  <si>
    <t>30/04/2025 02:00</t>
  </si>
  <si>
    <t>30/04/2025 02:15</t>
  </si>
  <si>
    <t>30/04/2025 02:30</t>
  </si>
  <si>
    <t>30/04/2025 02:45</t>
  </si>
  <si>
    <t>30/04/2025 03:00</t>
  </si>
  <si>
    <t>30/04/2025 03:15</t>
  </si>
  <si>
    <t>30/04/2025 03:30</t>
  </si>
  <si>
    <t>30/04/2025 03:45</t>
  </si>
  <si>
    <t>30/04/2025 04:00</t>
  </si>
  <si>
    <t>30/04/2025 04:15</t>
  </si>
  <si>
    <t>30/04/2025 04:30</t>
  </si>
  <si>
    <t>30/04/2025 04:45</t>
  </si>
  <si>
    <t>30/04/2025 05:00</t>
  </si>
  <si>
    <t>30/04/2025 05:15</t>
  </si>
  <si>
    <t>30/04/2025 05:30</t>
  </si>
  <si>
    <t>30/04/2025 05:45</t>
  </si>
  <si>
    <t>30/04/2025 06:00</t>
  </si>
  <si>
    <t>30/04/2025 06:15</t>
  </si>
  <si>
    <t>30/04/2025 06:30</t>
  </si>
  <si>
    <t>30/04/2025 06:45</t>
  </si>
  <si>
    <t>30/04/2025 07:00</t>
  </si>
  <si>
    <t>30/04/2025 07:15</t>
  </si>
  <si>
    <t>30/04/2025 07:30</t>
  </si>
  <si>
    <t>30/04/2025 07:45</t>
  </si>
  <si>
    <t>30/04/2025 08:00</t>
  </si>
  <si>
    <t>30/04/2025 08:15</t>
  </si>
  <si>
    <t>30/04/2025 08:30</t>
  </si>
  <si>
    <t>30/04/2025 08:45</t>
  </si>
  <si>
    <t>30/04/2025 09:00</t>
  </si>
  <si>
    <t>30/04/2025 09:15</t>
  </si>
  <si>
    <t>30/04/2025 09:30</t>
  </si>
  <si>
    <t>30/04/2025 09:45</t>
  </si>
  <si>
    <t>30/04/2025 10:00</t>
  </si>
  <si>
    <t>30/04/2025 10:15</t>
  </si>
  <si>
    <t>30/04/2025 10:30</t>
  </si>
  <si>
    <t>30/04/2025 10:45</t>
  </si>
  <si>
    <t>30/04/2025 11:00</t>
  </si>
  <si>
    <t>30/04/2025 11:15</t>
  </si>
  <si>
    <t>30/04/2025 11:30</t>
  </si>
  <si>
    <t>30/04/2025 11:45</t>
  </si>
  <si>
    <t>30/04/2025 12:00</t>
  </si>
  <si>
    <t>30/04/2025 12:15</t>
  </si>
  <si>
    <t>30/04/2025 12:30</t>
  </si>
  <si>
    <t>30/04/2025 12:45</t>
  </si>
  <si>
    <t>30/04/2025 13:00</t>
  </si>
  <si>
    <t>30/04/2025 13:15</t>
  </si>
  <si>
    <t>30/04/2025 13:30</t>
  </si>
  <si>
    <t>30/04/2025 13:45</t>
  </si>
  <si>
    <t>30/04/2025 14:00</t>
  </si>
  <si>
    <t>30/04/2025 14:15</t>
  </si>
  <si>
    <t>30/04/2025 14:30</t>
  </si>
  <si>
    <t>30/04/2025 14:45</t>
  </si>
  <si>
    <t>30/04/2025 15:00</t>
  </si>
  <si>
    <t>30/04/2025 15:15</t>
  </si>
  <si>
    <t>30/04/2025 15:30</t>
  </si>
  <si>
    <t>30/04/2025 15:45</t>
  </si>
  <si>
    <t>30/04/2025 16:00</t>
  </si>
  <si>
    <t>30/04/2025 16:15</t>
  </si>
  <si>
    <t>30/04/2025 16:30</t>
  </si>
  <si>
    <t>30/04/2025 16:45</t>
  </si>
  <si>
    <t>30/04/2025 17:00</t>
  </si>
  <si>
    <t>30/04/2025 17:15</t>
  </si>
  <si>
    <t>30/04/2025 17:30</t>
  </si>
  <si>
    <t>30/04/2025 17:45</t>
  </si>
  <si>
    <t>30/04/2025 18:00</t>
  </si>
  <si>
    <t>30/04/2025 18:15</t>
  </si>
  <si>
    <t>30/04/2025 18:30</t>
  </si>
  <si>
    <t>30/04/2025 18:45</t>
  </si>
  <si>
    <t>30/04/2025 19:00</t>
  </si>
  <si>
    <t>30/04/2025 19:15</t>
  </si>
  <si>
    <t>30/04/2025 19:30</t>
  </si>
  <si>
    <t>30/04/2025 19:45</t>
  </si>
  <si>
    <t>30/04/2025 20:00</t>
  </si>
  <si>
    <t>30/04/2025 20:15</t>
  </si>
  <si>
    <t>30/04/2025 20:30</t>
  </si>
  <si>
    <t>30/04/2025 20:45</t>
  </si>
  <si>
    <t>30/04/2025 21:00</t>
  </si>
  <si>
    <t>30/04/2025 21:15</t>
  </si>
  <si>
    <t>30/04/2025 21:30</t>
  </si>
  <si>
    <t>30/04/2025 21:45</t>
  </si>
  <si>
    <t>30/04/2025 22:00</t>
  </si>
  <si>
    <t>30/04/2025 22:15</t>
  </si>
  <si>
    <t>30/04/2025 22:30</t>
  </si>
  <si>
    <t>30/04/2025 22:45</t>
  </si>
  <si>
    <t>30/04/2025 23:00</t>
  </si>
  <si>
    <t>30/04/2025 23:15</t>
  </si>
  <si>
    <t>30/04/2025 23:30</t>
  </si>
  <si>
    <t>30/04/2025 23:45</t>
  </si>
  <si>
    <t>30/04/2025 24:00</t>
  </si>
  <si>
    <t>Calibration report Of Bhatagaon,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</si>
</sst>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246</v>
      </c>
      <c r="B9" s="211" t="s">
        <v>43</v>
      </c>
      <c r="C9" s="211" t="s">
        <v>43</v>
      </c>
      <c r="D9" s="211" t="s">
        <v>43</v>
      </c>
      <c r="E9" s="64">
        <v>20.48</v>
      </c>
      <c r="F9" s="64">
        <v>16.98</v>
      </c>
      <c r="G9" s="64">
        <v>114.18</v>
      </c>
      <c r="H9" s="64">
        <v>36.369999999999997</v>
      </c>
      <c r="I9" s="64">
        <v>3.96</v>
      </c>
      <c r="J9" s="64">
        <v>0.56999999999999995</v>
      </c>
      <c r="K9" s="64">
        <v>261.44</v>
      </c>
      <c r="L9" s="64">
        <v>23.82</v>
      </c>
      <c r="M9" s="64">
        <v>21.3</v>
      </c>
      <c r="N9" s="64">
        <v>55.1</v>
      </c>
      <c r="O9" s="64">
        <v>0</v>
      </c>
      <c r="P9" s="64">
        <v>1.51</v>
      </c>
      <c r="Q9" s="64">
        <v>9.99</v>
      </c>
      <c r="R9" s="198"/>
      <c r="S9" s="198"/>
      <c r="T9" s="198"/>
      <c r="U9" s="198"/>
    </row>
    <row r="10" spans="1:21" s="12" customFormat="1" x14ac:dyDescent="0.25">
      <c r="A10" s="215" t="s">
        <v>247</v>
      </c>
      <c r="B10" s="211" t="s">
        <v>43</v>
      </c>
      <c r="C10" s="211" t="s">
        <v>43</v>
      </c>
      <c r="D10" s="211" t="s">
        <v>43</v>
      </c>
      <c r="E10" s="64">
        <v>15.77</v>
      </c>
      <c r="F10" s="64">
        <v>16.010000000000002</v>
      </c>
      <c r="G10" s="64">
        <v>114.18</v>
      </c>
      <c r="H10" s="64">
        <v>36.369999999999997</v>
      </c>
      <c r="I10" s="64">
        <v>4.01</v>
      </c>
      <c r="J10" s="64">
        <v>0.31</v>
      </c>
      <c r="K10" s="64">
        <v>280.77999999999997</v>
      </c>
      <c r="L10" s="64">
        <v>23.3</v>
      </c>
      <c r="M10" s="64">
        <v>23.55</v>
      </c>
      <c r="N10" s="64">
        <v>54.6</v>
      </c>
      <c r="O10" s="64">
        <v>0</v>
      </c>
      <c r="P10" s="64">
        <v>1.44</v>
      </c>
      <c r="Q10" s="64">
        <v>9.98</v>
      </c>
      <c r="R10" s="198"/>
      <c r="S10" s="198"/>
      <c r="T10" s="198"/>
      <c r="U10" s="198"/>
    </row>
    <row r="11" spans="1:21" s="12" customFormat="1" x14ac:dyDescent="0.25">
      <c r="A11" s="215" t="s">
        <v>248</v>
      </c>
      <c r="B11" s="211" t="s">
        <v>43</v>
      </c>
      <c r="C11" s="211" t="s">
        <v>43</v>
      </c>
      <c r="D11" s="211" t="s">
        <v>43</v>
      </c>
      <c r="E11" s="64">
        <v>21.42</v>
      </c>
      <c r="F11" s="64">
        <v>18.07</v>
      </c>
      <c r="G11" s="64">
        <v>114.18</v>
      </c>
      <c r="H11" s="64">
        <v>36.369999999999997</v>
      </c>
      <c r="I11" s="64">
        <v>3.88</v>
      </c>
      <c r="J11" s="64">
        <v>0.34</v>
      </c>
      <c r="K11" s="64">
        <v>14.69</v>
      </c>
      <c r="L11" s="64">
        <v>23.12</v>
      </c>
      <c r="M11" s="64">
        <v>22.77</v>
      </c>
      <c r="N11" s="64">
        <v>54.3</v>
      </c>
      <c r="O11" s="64">
        <v>0</v>
      </c>
      <c r="P11" s="64">
        <v>1.27</v>
      </c>
      <c r="Q11" s="64">
        <v>9.9700000000000006</v>
      </c>
      <c r="R11" s="198"/>
      <c r="S11" s="198"/>
      <c r="T11" s="198"/>
      <c r="U11" s="198"/>
    </row>
    <row r="12" spans="1:21" s="12" customFormat="1" x14ac:dyDescent="0.25">
      <c r="A12" s="215" t="s">
        <v>249</v>
      </c>
      <c r="B12" s="211" t="s">
        <v>43</v>
      </c>
      <c r="C12" s="211" t="s">
        <v>43</v>
      </c>
      <c r="D12" s="211" t="s">
        <v>43</v>
      </c>
      <c r="E12" s="64">
        <v>18.82</v>
      </c>
      <c r="F12" s="64">
        <v>17.190000000000001</v>
      </c>
      <c r="G12" s="64">
        <v>114.14</v>
      </c>
      <c r="H12" s="64">
        <v>36.82</v>
      </c>
      <c r="I12" s="64">
        <v>3.9</v>
      </c>
      <c r="J12" s="64">
        <v>0.6</v>
      </c>
      <c r="K12" s="64">
        <v>1.63</v>
      </c>
      <c r="L12" s="64">
        <v>23.36</v>
      </c>
      <c r="M12" s="64">
        <v>20.85</v>
      </c>
      <c r="N12" s="64">
        <v>54.3</v>
      </c>
      <c r="O12" s="64">
        <v>0</v>
      </c>
      <c r="P12" s="64">
        <v>1.26</v>
      </c>
      <c r="Q12" s="64">
        <v>9.94</v>
      </c>
      <c r="R12" s="198"/>
      <c r="S12" s="198"/>
      <c r="T12" s="198"/>
      <c r="U12" s="198"/>
    </row>
    <row r="13" spans="1:21" s="12" customFormat="1" x14ac:dyDescent="0.25">
      <c r="A13" s="215" t="s">
        <v>250</v>
      </c>
      <c r="B13" s="211" t="s">
        <v>43</v>
      </c>
      <c r="C13" s="211" t="s">
        <v>43</v>
      </c>
      <c r="D13" s="211" t="s">
        <v>43</v>
      </c>
      <c r="E13" s="64">
        <v>31.52</v>
      </c>
      <c r="F13" s="64">
        <v>19.64</v>
      </c>
      <c r="G13" s="64">
        <v>114.02</v>
      </c>
      <c r="H13" s="64">
        <v>38.18</v>
      </c>
      <c r="I13" s="64">
        <v>4.2300000000000004</v>
      </c>
      <c r="J13" s="64">
        <v>0.6</v>
      </c>
      <c r="K13" s="64">
        <v>41.91</v>
      </c>
      <c r="L13" s="64">
        <v>23.44</v>
      </c>
      <c r="M13" s="64">
        <v>19.93</v>
      </c>
      <c r="N13" s="64">
        <v>54.4</v>
      </c>
      <c r="O13" s="64">
        <v>0</v>
      </c>
      <c r="P13" s="64">
        <v>0.94</v>
      </c>
      <c r="Q13" s="64">
        <v>9.92</v>
      </c>
      <c r="R13" s="198"/>
      <c r="S13" s="198"/>
      <c r="T13" s="198"/>
      <c r="U13" s="198"/>
    </row>
    <row r="14" spans="1:21" s="12" customFormat="1" x14ac:dyDescent="0.25">
      <c r="A14" s="215" t="s">
        <v>251</v>
      </c>
      <c r="B14" s="211" t="s">
        <v>43</v>
      </c>
      <c r="C14" s="211" t="s">
        <v>43</v>
      </c>
      <c r="D14" s="211" t="s">
        <v>43</v>
      </c>
      <c r="E14" s="64">
        <v>19.5</v>
      </c>
      <c r="F14" s="64">
        <v>12.21</v>
      </c>
      <c r="G14" s="64">
        <v>114.02</v>
      </c>
      <c r="H14" s="64">
        <v>38.18</v>
      </c>
      <c r="I14" s="64">
        <v>4.07</v>
      </c>
      <c r="J14" s="64">
        <v>0.35</v>
      </c>
      <c r="K14" s="64">
        <v>290.89</v>
      </c>
      <c r="L14" s="64">
        <v>23.08</v>
      </c>
      <c r="M14" s="64">
        <v>24.12</v>
      </c>
      <c r="N14" s="64">
        <v>55</v>
      </c>
      <c r="O14" s="64">
        <v>0</v>
      </c>
      <c r="P14" s="64">
        <v>1.22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5" t="s">
        <v>252</v>
      </c>
      <c r="B15" s="211" t="s">
        <v>43</v>
      </c>
      <c r="C15" s="211" t="s">
        <v>43</v>
      </c>
      <c r="D15" s="211" t="s">
        <v>43</v>
      </c>
      <c r="E15" s="64">
        <v>12.65</v>
      </c>
      <c r="F15" s="64">
        <v>10.5</v>
      </c>
      <c r="G15" s="64">
        <v>114.02</v>
      </c>
      <c r="H15" s="64">
        <v>38.18</v>
      </c>
      <c r="I15" s="64">
        <v>4.09</v>
      </c>
      <c r="J15" s="64">
        <v>0.35</v>
      </c>
      <c r="K15" s="64">
        <v>322.41000000000003</v>
      </c>
      <c r="L15" s="64">
        <v>21.91</v>
      </c>
      <c r="M15" s="64">
        <v>30.16</v>
      </c>
      <c r="N15" s="64">
        <v>55.2</v>
      </c>
      <c r="O15" s="64">
        <v>0</v>
      </c>
      <c r="P15" s="64">
        <v>1.23</v>
      </c>
      <c r="Q15" s="64">
        <v>9.89</v>
      </c>
      <c r="R15" s="198"/>
      <c r="S15" s="198"/>
      <c r="T15" s="198"/>
      <c r="U15" s="198"/>
    </row>
    <row r="16" spans="1:21" s="12" customFormat="1" x14ac:dyDescent="0.25">
      <c r="A16" s="215" t="s">
        <v>253</v>
      </c>
      <c r="B16" s="211" t="s">
        <v>43</v>
      </c>
      <c r="C16" s="211" t="s">
        <v>43</v>
      </c>
      <c r="D16" s="211" t="s">
        <v>43</v>
      </c>
      <c r="E16" s="64">
        <v>20.18</v>
      </c>
      <c r="F16" s="64">
        <v>21.55</v>
      </c>
      <c r="G16" s="64">
        <v>110.97</v>
      </c>
      <c r="H16" s="64">
        <v>33.14</v>
      </c>
      <c r="I16" s="64">
        <v>3.98</v>
      </c>
      <c r="J16" s="64">
        <v>0.16</v>
      </c>
      <c r="K16" s="64">
        <v>4.6900000000000004</v>
      </c>
      <c r="L16" s="64">
        <v>21.97</v>
      </c>
      <c r="M16" s="64">
        <v>26.8</v>
      </c>
      <c r="N16" s="64">
        <v>54.5</v>
      </c>
      <c r="O16" s="64">
        <v>0</v>
      </c>
      <c r="P16" s="64">
        <v>0.75</v>
      </c>
      <c r="Q16" s="64">
        <v>9.89</v>
      </c>
      <c r="R16" s="198"/>
      <c r="S16" s="198"/>
      <c r="T16" s="198"/>
      <c r="U16" s="198"/>
    </row>
    <row r="17" spans="1:21" s="12" customFormat="1" x14ac:dyDescent="0.25">
      <c r="A17" s="215" t="s">
        <v>254</v>
      </c>
      <c r="B17" s="211" t="s">
        <v>43</v>
      </c>
      <c r="C17" s="211" t="s">
        <v>43</v>
      </c>
      <c r="D17" s="211" t="s">
        <v>43</v>
      </c>
      <c r="E17" s="64">
        <v>21.81</v>
      </c>
      <c r="F17" s="64">
        <v>16.75</v>
      </c>
      <c r="G17" s="64">
        <v>100.95</v>
      </c>
      <c r="H17" s="64">
        <v>16.59</v>
      </c>
      <c r="I17" s="64">
        <v>3.78</v>
      </c>
      <c r="J17" s="64">
        <v>0.59</v>
      </c>
      <c r="K17" s="64">
        <v>241.48</v>
      </c>
      <c r="L17" s="64">
        <v>21.5</v>
      </c>
      <c r="M17" s="64">
        <v>28.3</v>
      </c>
      <c r="N17" s="64">
        <v>54.7</v>
      </c>
      <c r="O17" s="64">
        <v>0</v>
      </c>
      <c r="P17" s="64">
        <v>0.71</v>
      </c>
      <c r="Q17" s="64">
        <v>9.91</v>
      </c>
      <c r="R17" s="198"/>
      <c r="S17" s="198"/>
      <c r="T17" s="198"/>
      <c r="U17" s="198"/>
    </row>
    <row r="18" spans="1:21" s="12" customFormat="1" x14ac:dyDescent="0.25">
      <c r="A18" s="215" t="s">
        <v>255</v>
      </c>
      <c r="B18" s="211" t="s">
        <v>43</v>
      </c>
      <c r="C18" s="211" t="s">
        <v>43</v>
      </c>
      <c r="D18" s="211" t="s">
        <v>43</v>
      </c>
      <c r="E18" s="64">
        <v>18.61</v>
      </c>
      <c r="F18" s="64">
        <v>14.19</v>
      </c>
      <c r="G18" s="64">
        <v>100.95</v>
      </c>
      <c r="H18" s="64">
        <v>16.59</v>
      </c>
      <c r="I18" s="64">
        <v>3.89</v>
      </c>
      <c r="J18" s="64">
        <v>0.38</v>
      </c>
      <c r="K18" s="64">
        <v>338.33</v>
      </c>
      <c r="L18" s="64">
        <v>21.14</v>
      </c>
      <c r="M18" s="64">
        <v>31.85</v>
      </c>
      <c r="N18" s="64">
        <v>54.8</v>
      </c>
      <c r="O18" s="64">
        <v>0</v>
      </c>
      <c r="P18" s="64">
        <v>0.77</v>
      </c>
      <c r="Q18" s="64">
        <v>9.92</v>
      </c>
      <c r="R18" s="198"/>
      <c r="S18" s="198"/>
      <c r="T18" s="198"/>
      <c r="U18" s="198"/>
    </row>
    <row r="19" spans="1:21" s="12" customFormat="1" x14ac:dyDescent="0.25">
      <c r="A19" s="215" t="s">
        <v>256</v>
      </c>
      <c r="B19" s="211" t="s">
        <v>43</v>
      </c>
      <c r="C19" s="211" t="s">
        <v>43</v>
      </c>
      <c r="D19" s="211" t="s">
        <v>43</v>
      </c>
      <c r="E19" s="64">
        <v>15.06</v>
      </c>
      <c r="F19" s="64">
        <v>12.75</v>
      </c>
      <c r="G19" s="64">
        <v>100.95</v>
      </c>
      <c r="H19" s="64">
        <v>16.59</v>
      </c>
      <c r="I19" s="64">
        <v>3.95</v>
      </c>
      <c r="J19" s="64">
        <v>0.17</v>
      </c>
      <c r="K19" s="64">
        <v>280.83</v>
      </c>
      <c r="L19" s="64">
        <v>20.41</v>
      </c>
      <c r="M19" s="64">
        <v>34.57</v>
      </c>
      <c r="N19" s="64">
        <v>54.7</v>
      </c>
      <c r="O19" s="64">
        <v>0</v>
      </c>
      <c r="P19" s="64">
        <v>0.77</v>
      </c>
      <c r="Q19" s="64">
        <v>9.9499999999999993</v>
      </c>
      <c r="R19" s="198"/>
      <c r="S19" s="198"/>
      <c r="T19" s="198"/>
      <c r="U19" s="198"/>
    </row>
    <row r="20" spans="1:21" s="12" customFormat="1" x14ac:dyDescent="0.25">
      <c r="A20" s="215" t="s">
        <v>257</v>
      </c>
      <c r="B20" s="211" t="s">
        <v>43</v>
      </c>
      <c r="C20" s="211" t="s">
        <v>43</v>
      </c>
      <c r="D20" s="211" t="s">
        <v>43</v>
      </c>
      <c r="E20" s="64">
        <v>15.45</v>
      </c>
      <c r="F20" s="64">
        <v>12.53</v>
      </c>
      <c r="G20" s="64">
        <v>99.52</v>
      </c>
      <c r="H20" s="64">
        <v>22.85</v>
      </c>
      <c r="I20" s="64">
        <v>3.91</v>
      </c>
      <c r="J20" s="64">
        <v>0.65</v>
      </c>
      <c r="K20" s="64">
        <v>264.25</v>
      </c>
      <c r="L20" s="64">
        <v>20.309999999999999</v>
      </c>
      <c r="M20" s="64">
        <v>35.49</v>
      </c>
      <c r="N20" s="64">
        <v>54.7</v>
      </c>
      <c r="O20" s="64">
        <v>0</v>
      </c>
      <c r="P20" s="64">
        <v>0.71</v>
      </c>
      <c r="Q20" s="64">
        <v>9.93</v>
      </c>
      <c r="R20" s="198"/>
      <c r="S20" s="198"/>
      <c r="T20" s="198"/>
      <c r="U20" s="198"/>
    </row>
    <row r="21" spans="1:21" s="12" customFormat="1" x14ac:dyDescent="0.25">
      <c r="A21" s="215" t="s">
        <v>258</v>
      </c>
      <c r="B21" s="211" t="s">
        <v>43</v>
      </c>
      <c r="C21" s="211" t="s">
        <v>43</v>
      </c>
      <c r="D21" s="211" t="s">
        <v>43</v>
      </c>
      <c r="E21" s="64">
        <v>14.42</v>
      </c>
      <c r="F21" s="64">
        <v>12.91</v>
      </c>
      <c r="G21" s="64">
        <v>94.81</v>
      </c>
      <c r="H21" s="64">
        <v>42.26</v>
      </c>
      <c r="I21" s="64">
        <v>3.95</v>
      </c>
      <c r="J21" s="64">
        <v>0.61</v>
      </c>
      <c r="K21" s="64">
        <v>297.54000000000002</v>
      </c>
      <c r="L21" s="64">
        <v>20.059999999999999</v>
      </c>
      <c r="M21" s="64">
        <v>40.69</v>
      </c>
      <c r="N21" s="64">
        <v>54.8</v>
      </c>
      <c r="O21" s="64">
        <v>0</v>
      </c>
      <c r="P21" s="64">
        <v>0.74</v>
      </c>
      <c r="Q21" s="64">
        <v>9.93</v>
      </c>
      <c r="R21" s="198"/>
      <c r="S21" s="198"/>
      <c r="T21" s="198"/>
      <c r="U21" s="198"/>
    </row>
    <row r="22" spans="1:21" s="12" customFormat="1" x14ac:dyDescent="0.25">
      <c r="A22" s="215" t="s">
        <v>259</v>
      </c>
      <c r="B22" s="211" t="s">
        <v>43</v>
      </c>
      <c r="C22" s="211" t="s">
        <v>43</v>
      </c>
      <c r="D22" s="211" t="s">
        <v>43</v>
      </c>
      <c r="E22" s="64">
        <v>11.42</v>
      </c>
      <c r="F22" s="64">
        <v>9.31</v>
      </c>
      <c r="G22" s="64">
        <v>94.81</v>
      </c>
      <c r="H22" s="64">
        <v>42.26</v>
      </c>
      <c r="I22" s="64">
        <v>4.08</v>
      </c>
      <c r="J22" s="64">
        <v>1.07</v>
      </c>
      <c r="K22" s="64">
        <v>178.33</v>
      </c>
      <c r="L22" s="64">
        <v>20.28</v>
      </c>
      <c r="M22" s="64">
        <v>40.07</v>
      </c>
      <c r="N22" s="64">
        <v>53</v>
      </c>
      <c r="O22" s="64">
        <v>0</v>
      </c>
      <c r="P22" s="64">
        <v>0.99</v>
      </c>
      <c r="Q22" s="64">
        <v>9.92</v>
      </c>
      <c r="R22" s="198"/>
      <c r="S22" s="198"/>
      <c r="T22" s="198"/>
      <c r="U22" s="198"/>
    </row>
    <row r="23" spans="1:21" s="12" customFormat="1" x14ac:dyDescent="0.25">
      <c r="A23" s="215" t="s">
        <v>260</v>
      </c>
      <c r="B23" s="211" t="s">
        <v>43</v>
      </c>
      <c r="C23" s="211" t="s">
        <v>43</v>
      </c>
      <c r="D23" s="211" t="s">
        <v>43</v>
      </c>
      <c r="E23" s="64">
        <v>11.52</v>
      </c>
      <c r="F23" s="64">
        <v>7.58</v>
      </c>
      <c r="G23" s="64">
        <v>94.81</v>
      </c>
      <c r="H23" s="64">
        <v>42.26</v>
      </c>
      <c r="I23" s="64">
        <v>4.03</v>
      </c>
      <c r="J23" s="64">
        <v>0.55000000000000004</v>
      </c>
      <c r="K23" s="64">
        <v>245.92</v>
      </c>
      <c r="L23" s="64">
        <v>20.34</v>
      </c>
      <c r="M23" s="64">
        <v>43.5</v>
      </c>
      <c r="N23" s="64">
        <v>54.7</v>
      </c>
      <c r="O23" s="64">
        <v>0</v>
      </c>
      <c r="P23" s="64">
        <v>1.0900000000000001</v>
      </c>
      <c r="Q23" s="64">
        <v>9.92</v>
      </c>
      <c r="R23" s="198"/>
      <c r="S23" s="198"/>
      <c r="T23" s="198"/>
      <c r="U23" s="198"/>
    </row>
    <row r="24" spans="1:21" s="12" customFormat="1" x14ac:dyDescent="0.25">
      <c r="A24" s="215" t="s">
        <v>261</v>
      </c>
      <c r="B24" s="211" t="s">
        <v>43</v>
      </c>
      <c r="C24" s="211" t="s">
        <v>43</v>
      </c>
      <c r="D24" s="211" t="s">
        <v>43</v>
      </c>
      <c r="E24" s="64">
        <v>4.45</v>
      </c>
      <c r="F24" s="64">
        <v>6.51</v>
      </c>
      <c r="G24" s="64">
        <v>95.41</v>
      </c>
      <c r="H24" s="64">
        <v>38.770000000000003</v>
      </c>
      <c r="I24" s="64">
        <v>4.16</v>
      </c>
      <c r="J24" s="64">
        <v>1.24</v>
      </c>
      <c r="K24" s="64">
        <v>175.39</v>
      </c>
      <c r="L24" s="64">
        <v>20.39</v>
      </c>
      <c r="M24" s="64">
        <v>40.67</v>
      </c>
      <c r="N24" s="64">
        <v>53.3</v>
      </c>
      <c r="O24" s="64">
        <v>0</v>
      </c>
      <c r="P24" s="64">
        <v>1.18</v>
      </c>
      <c r="Q24" s="64">
        <v>9.94</v>
      </c>
      <c r="R24" s="198"/>
      <c r="S24" s="198"/>
      <c r="T24" s="198"/>
      <c r="U24" s="198"/>
    </row>
    <row r="25" spans="1:21" s="12" customFormat="1" x14ac:dyDescent="0.25">
      <c r="A25" s="215" t="s">
        <v>262</v>
      </c>
      <c r="B25" s="211" t="s">
        <v>43</v>
      </c>
      <c r="C25" s="211" t="s">
        <v>43</v>
      </c>
      <c r="D25" s="211" t="s">
        <v>43</v>
      </c>
      <c r="E25" s="64">
        <v>4.12</v>
      </c>
      <c r="F25" s="64">
        <v>7.36</v>
      </c>
      <c r="G25" s="64">
        <v>97.4</v>
      </c>
      <c r="H25" s="64">
        <v>27.8</v>
      </c>
      <c r="I25" s="64">
        <v>3.97</v>
      </c>
      <c r="J25" s="64">
        <v>0.73</v>
      </c>
      <c r="K25" s="64">
        <v>174.08</v>
      </c>
      <c r="L25" s="64">
        <v>20.239999999999998</v>
      </c>
      <c r="M25" s="64">
        <v>39.64</v>
      </c>
      <c r="N25" s="64">
        <v>54.5</v>
      </c>
      <c r="O25" s="64">
        <v>0</v>
      </c>
      <c r="P25" s="64">
        <v>1.1599999999999999</v>
      </c>
      <c r="Q25" s="64">
        <v>9.94</v>
      </c>
      <c r="R25" s="198"/>
      <c r="S25" s="198"/>
      <c r="T25" s="198"/>
      <c r="U25" s="198"/>
    </row>
    <row r="26" spans="1:21" s="12" customFormat="1" x14ac:dyDescent="0.25">
      <c r="A26" s="215" t="s">
        <v>263</v>
      </c>
      <c r="B26" s="211" t="s">
        <v>43</v>
      </c>
      <c r="C26" s="211" t="s">
        <v>43</v>
      </c>
      <c r="D26" s="211" t="s">
        <v>43</v>
      </c>
      <c r="E26" s="64">
        <v>4.42</v>
      </c>
      <c r="F26" s="64">
        <v>7.96</v>
      </c>
      <c r="G26" s="64">
        <v>97.4</v>
      </c>
      <c r="H26" s="64">
        <v>27.8</v>
      </c>
      <c r="I26" s="64">
        <v>4.12</v>
      </c>
      <c r="J26" s="64">
        <v>0.56999999999999995</v>
      </c>
      <c r="K26" s="64">
        <v>314.38</v>
      </c>
      <c r="L26" s="64">
        <v>20.03</v>
      </c>
      <c r="M26" s="64">
        <v>41.19</v>
      </c>
      <c r="N26" s="64">
        <v>54.8</v>
      </c>
      <c r="O26" s="64">
        <v>0</v>
      </c>
      <c r="P26" s="64">
        <v>1.1200000000000001</v>
      </c>
      <c r="Q26" s="64">
        <v>9.9</v>
      </c>
      <c r="R26" s="198"/>
      <c r="S26" s="198"/>
      <c r="T26" s="198"/>
      <c r="U26" s="198"/>
    </row>
    <row r="27" spans="1:21" s="12" customFormat="1" x14ac:dyDescent="0.25">
      <c r="A27" s="215" t="s">
        <v>264</v>
      </c>
      <c r="B27" s="211" t="s">
        <v>43</v>
      </c>
      <c r="C27" s="211" t="s">
        <v>43</v>
      </c>
      <c r="D27" s="211" t="s">
        <v>43</v>
      </c>
      <c r="E27" s="64">
        <v>4</v>
      </c>
      <c r="F27" s="64">
        <v>6.88</v>
      </c>
      <c r="G27" s="64">
        <v>97.4</v>
      </c>
      <c r="H27" s="64">
        <v>27.8</v>
      </c>
      <c r="I27" s="64">
        <v>4.05</v>
      </c>
      <c r="J27" s="64">
        <v>0.72</v>
      </c>
      <c r="K27" s="64">
        <v>329.6</v>
      </c>
      <c r="L27" s="64">
        <v>19.05</v>
      </c>
      <c r="M27" s="64">
        <v>45.43</v>
      </c>
      <c r="N27" s="64">
        <v>55</v>
      </c>
      <c r="O27" s="64">
        <v>0</v>
      </c>
      <c r="P27" s="64">
        <v>1.1299999999999999</v>
      </c>
      <c r="Q27" s="64">
        <v>9.91</v>
      </c>
      <c r="R27" s="198"/>
      <c r="S27" s="198"/>
      <c r="T27" s="198"/>
      <c r="U27" s="198"/>
    </row>
    <row r="28" spans="1:21" s="12" customFormat="1" x14ac:dyDescent="0.25">
      <c r="A28" s="215" t="s">
        <v>265</v>
      </c>
      <c r="B28" s="211" t="s">
        <v>43</v>
      </c>
      <c r="C28" s="211" t="s">
        <v>43</v>
      </c>
      <c r="D28" s="211" t="s">
        <v>43</v>
      </c>
      <c r="E28" s="64">
        <v>5.68</v>
      </c>
      <c r="F28" s="64">
        <v>8.82</v>
      </c>
      <c r="G28" s="64">
        <v>97.42</v>
      </c>
      <c r="H28" s="64">
        <v>24.42</v>
      </c>
      <c r="I28" s="64">
        <v>4.03</v>
      </c>
      <c r="J28" s="64">
        <v>0.5</v>
      </c>
      <c r="K28" s="64">
        <v>44.14</v>
      </c>
      <c r="L28" s="64">
        <v>18.93</v>
      </c>
      <c r="M28" s="64">
        <v>41.76</v>
      </c>
      <c r="N28" s="64">
        <v>54.6</v>
      </c>
      <c r="O28" s="64">
        <v>0</v>
      </c>
      <c r="P28" s="64">
        <v>1.07</v>
      </c>
      <c r="Q28" s="64">
        <v>9.92</v>
      </c>
      <c r="R28" s="198"/>
      <c r="S28" s="198"/>
      <c r="T28" s="198"/>
      <c r="U28" s="198"/>
    </row>
    <row r="29" spans="1:21" s="12" customFormat="1" x14ac:dyDescent="0.25">
      <c r="A29" s="215" t="s">
        <v>266</v>
      </c>
      <c r="B29" s="211" t="s">
        <v>43</v>
      </c>
      <c r="C29" s="211" t="s">
        <v>43</v>
      </c>
      <c r="D29" s="211" t="s">
        <v>43</v>
      </c>
      <c r="E29" s="64">
        <v>4.22</v>
      </c>
      <c r="F29" s="64">
        <v>6.58</v>
      </c>
      <c r="G29" s="64">
        <v>97.51</v>
      </c>
      <c r="H29" s="64">
        <v>13.34</v>
      </c>
      <c r="I29" s="64">
        <v>3.91</v>
      </c>
      <c r="J29" s="64">
        <v>0.17</v>
      </c>
      <c r="K29" s="64">
        <v>190.87</v>
      </c>
      <c r="L29" s="64">
        <v>18.89</v>
      </c>
      <c r="M29" s="64">
        <v>45.18</v>
      </c>
      <c r="N29" s="64">
        <v>54.6</v>
      </c>
      <c r="O29" s="64">
        <v>0</v>
      </c>
      <c r="P29" s="64">
        <v>1.1100000000000001</v>
      </c>
      <c r="Q29" s="64">
        <v>9.92</v>
      </c>
      <c r="R29" s="198"/>
      <c r="S29" s="198"/>
      <c r="T29" s="198"/>
      <c r="U29" s="198"/>
    </row>
    <row r="30" spans="1:21" s="12" customFormat="1" x14ac:dyDescent="0.25">
      <c r="A30" s="215" t="s">
        <v>267</v>
      </c>
      <c r="B30" s="211" t="s">
        <v>43</v>
      </c>
      <c r="C30" s="211" t="s">
        <v>43</v>
      </c>
      <c r="D30" s="211" t="s">
        <v>43</v>
      </c>
      <c r="E30" s="64">
        <v>3.87</v>
      </c>
      <c r="F30" s="64">
        <v>6.54</v>
      </c>
      <c r="G30" s="64">
        <v>97.51</v>
      </c>
      <c r="H30" s="64">
        <v>13.34</v>
      </c>
      <c r="I30" s="64">
        <v>3.9</v>
      </c>
      <c r="J30" s="64">
        <v>0.61</v>
      </c>
      <c r="K30" s="64">
        <v>317.75</v>
      </c>
      <c r="L30" s="64">
        <v>18.78</v>
      </c>
      <c r="M30" s="64">
        <v>47.21</v>
      </c>
      <c r="N30" s="64">
        <v>54.6</v>
      </c>
      <c r="O30" s="64">
        <v>0</v>
      </c>
      <c r="P30" s="64">
        <v>1.1000000000000001</v>
      </c>
      <c r="Q30" s="64">
        <v>9.91</v>
      </c>
      <c r="R30" s="198"/>
      <c r="S30" s="198"/>
      <c r="T30" s="198"/>
      <c r="U30" s="198"/>
    </row>
    <row r="31" spans="1:21" s="12" customFormat="1" x14ac:dyDescent="0.25">
      <c r="A31" s="215" t="s">
        <v>268</v>
      </c>
      <c r="B31" s="211" t="s">
        <v>43</v>
      </c>
      <c r="C31" s="211" t="s">
        <v>43</v>
      </c>
      <c r="D31" s="211" t="s">
        <v>43</v>
      </c>
      <c r="E31" s="64">
        <v>4.28</v>
      </c>
      <c r="F31" s="64">
        <v>6.4</v>
      </c>
      <c r="G31" s="64">
        <v>97.51</v>
      </c>
      <c r="H31" s="64">
        <v>13.34</v>
      </c>
      <c r="I31" s="64">
        <v>3.96</v>
      </c>
      <c r="J31" s="64">
        <v>0.52</v>
      </c>
      <c r="K31" s="64">
        <v>262.58999999999997</v>
      </c>
      <c r="L31" s="64">
        <v>18.63</v>
      </c>
      <c r="M31" s="64">
        <v>45.89</v>
      </c>
      <c r="N31" s="64">
        <v>54.6</v>
      </c>
      <c r="O31" s="64">
        <v>0</v>
      </c>
      <c r="P31" s="64">
        <v>1.1100000000000001</v>
      </c>
      <c r="Q31" s="64">
        <v>9.93</v>
      </c>
      <c r="R31" s="198"/>
      <c r="S31" s="198"/>
      <c r="T31" s="198"/>
      <c r="U31" s="198"/>
    </row>
    <row r="32" spans="1:21" s="12" customFormat="1" x14ac:dyDescent="0.25">
      <c r="A32" s="215" t="s">
        <v>269</v>
      </c>
      <c r="B32" s="211" t="s">
        <v>43</v>
      </c>
      <c r="C32" s="211" t="s">
        <v>43</v>
      </c>
      <c r="D32" s="211" t="s">
        <v>43</v>
      </c>
      <c r="E32" s="64">
        <v>4.82</v>
      </c>
      <c r="F32" s="64">
        <v>6.11</v>
      </c>
      <c r="G32" s="64">
        <v>103</v>
      </c>
      <c r="H32" s="64">
        <v>37.590000000000003</v>
      </c>
      <c r="I32" s="64">
        <v>4.05</v>
      </c>
      <c r="J32" s="64">
        <v>0.6</v>
      </c>
      <c r="K32" s="64">
        <v>347.01</v>
      </c>
      <c r="L32" s="64">
        <v>18.47</v>
      </c>
      <c r="M32" s="64">
        <v>46.39</v>
      </c>
      <c r="N32" s="64">
        <v>57.3</v>
      </c>
      <c r="O32" s="64">
        <v>0</v>
      </c>
      <c r="P32" s="64">
        <v>1.1100000000000001</v>
      </c>
      <c r="Q32" s="64">
        <v>9.94</v>
      </c>
      <c r="R32" s="198"/>
      <c r="S32" s="198"/>
      <c r="T32" s="198"/>
      <c r="U32" s="198"/>
    </row>
    <row r="33" spans="1:21" s="12" customFormat="1" x14ac:dyDescent="0.25">
      <c r="A33" s="215" t="s">
        <v>270</v>
      </c>
      <c r="B33" s="211" t="s">
        <v>43</v>
      </c>
      <c r="C33" s="211" t="s">
        <v>43</v>
      </c>
      <c r="D33" s="211" t="s">
        <v>43</v>
      </c>
      <c r="E33" s="64">
        <v>4.59</v>
      </c>
      <c r="F33" s="64">
        <v>6.74</v>
      </c>
      <c r="G33" s="64">
        <v>121.05</v>
      </c>
      <c r="H33" s="64">
        <v>117.25</v>
      </c>
      <c r="I33" s="64">
        <v>3.88</v>
      </c>
      <c r="J33" s="64">
        <v>0.41</v>
      </c>
      <c r="K33" s="64">
        <v>336.7</v>
      </c>
      <c r="L33" s="64">
        <v>18.899999999999999</v>
      </c>
      <c r="M33" s="64">
        <v>45.36</v>
      </c>
      <c r="N33" s="64">
        <v>66.3</v>
      </c>
      <c r="O33" s="64">
        <v>0</v>
      </c>
      <c r="P33" s="64">
        <v>1.1100000000000001</v>
      </c>
      <c r="Q33" s="64">
        <v>9.92</v>
      </c>
      <c r="R33" s="198"/>
      <c r="S33" s="198"/>
      <c r="T33" s="198"/>
      <c r="U33" s="198"/>
    </row>
    <row r="34" spans="1:21" s="12" customFormat="1" x14ac:dyDescent="0.25">
      <c r="A34" s="215" t="s">
        <v>271</v>
      </c>
      <c r="B34" s="211" t="s">
        <v>43</v>
      </c>
      <c r="C34" s="211" t="s">
        <v>43</v>
      </c>
      <c r="D34" s="211" t="s">
        <v>43</v>
      </c>
      <c r="E34" s="64">
        <v>13.79</v>
      </c>
      <c r="F34" s="64">
        <v>8.42</v>
      </c>
      <c r="G34" s="64">
        <v>121.05</v>
      </c>
      <c r="H34" s="64">
        <v>117.25</v>
      </c>
      <c r="I34" s="64">
        <v>3.96</v>
      </c>
      <c r="J34" s="64">
        <v>0.46</v>
      </c>
      <c r="K34" s="64">
        <v>339.84</v>
      </c>
      <c r="L34" s="64">
        <v>19.149999999999999</v>
      </c>
      <c r="M34" s="64">
        <v>41.8</v>
      </c>
      <c r="N34" s="64">
        <v>82.2</v>
      </c>
      <c r="O34" s="64">
        <v>0</v>
      </c>
      <c r="P34" s="64">
        <v>1.25</v>
      </c>
      <c r="Q34" s="64">
        <v>9.92</v>
      </c>
      <c r="R34" s="198"/>
      <c r="S34" s="198"/>
      <c r="T34" s="198"/>
      <c r="U34" s="198"/>
    </row>
    <row r="35" spans="1:21" s="12" customFormat="1" x14ac:dyDescent="0.25">
      <c r="A35" s="215" t="s">
        <v>272</v>
      </c>
      <c r="B35" s="211" t="s">
        <v>43</v>
      </c>
      <c r="C35" s="211" t="s">
        <v>43</v>
      </c>
      <c r="D35" s="211" t="s">
        <v>43</v>
      </c>
      <c r="E35" s="64">
        <v>15.23</v>
      </c>
      <c r="F35" s="64">
        <v>8.9700000000000006</v>
      </c>
      <c r="G35" s="64">
        <v>121.05</v>
      </c>
      <c r="H35" s="64">
        <v>117.25</v>
      </c>
      <c r="I35" s="64">
        <v>4.05</v>
      </c>
      <c r="J35" s="64">
        <v>0.65</v>
      </c>
      <c r="K35" s="64">
        <v>2.56</v>
      </c>
      <c r="L35" s="64">
        <v>19.89</v>
      </c>
      <c r="M35" s="64">
        <v>40.35</v>
      </c>
      <c r="N35" s="64">
        <v>102.1</v>
      </c>
      <c r="O35" s="64">
        <v>0</v>
      </c>
      <c r="P35" s="64">
        <v>1.19</v>
      </c>
      <c r="Q35" s="64">
        <v>9.92</v>
      </c>
      <c r="R35" s="198"/>
      <c r="S35" s="198"/>
      <c r="T35" s="198"/>
      <c r="U35" s="198"/>
    </row>
    <row r="36" spans="1:21" s="12" customFormat="1" x14ac:dyDescent="0.25">
      <c r="A36" s="215" t="s">
        <v>273</v>
      </c>
      <c r="B36" s="211" t="s">
        <v>43</v>
      </c>
      <c r="C36" s="211" t="s">
        <v>43</v>
      </c>
      <c r="D36" s="211" t="s">
        <v>43</v>
      </c>
      <c r="E36" s="64">
        <v>20</v>
      </c>
      <c r="F36" s="64">
        <v>11.19</v>
      </c>
      <c r="G36" s="64">
        <v>122.08</v>
      </c>
      <c r="H36" s="64">
        <v>98.46</v>
      </c>
      <c r="I36" s="64">
        <v>4.05</v>
      </c>
      <c r="J36" s="64">
        <v>0.09</v>
      </c>
      <c r="K36" s="64">
        <v>69.260000000000005</v>
      </c>
      <c r="L36" s="64">
        <v>20.79</v>
      </c>
      <c r="M36" s="64">
        <v>36.47</v>
      </c>
      <c r="N36" s="64">
        <v>129.80000000000001</v>
      </c>
      <c r="O36" s="64">
        <v>0</v>
      </c>
      <c r="P36" s="64">
        <v>1.1399999999999999</v>
      </c>
      <c r="Q36" s="64">
        <v>9.92</v>
      </c>
      <c r="R36" s="198"/>
      <c r="S36" s="198"/>
      <c r="T36" s="198"/>
      <c r="U36" s="198"/>
    </row>
    <row r="37" spans="1:21" s="12" customFormat="1" x14ac:dyDescent="0.25">
      <c r="A37" s="215" t="s">
        <v>274</v>
      </c>
      <c r="B37" s="211" t="s">
        <v>43</v>
      </c>
      <c r="C37" s="211" t="s">
        <v>43</v>
      </c>
      <c r="D37" s="211" t="s">
        <v>43</v>
      </c>
      <c r="E37" s="64">
        <v>20.9</v>
      </c>
      <c r="F37" s="64">
        <v>8.2899999999999991</v>
      </c>
      <c r="G37" s="64">
        <v>125.46</v>
      </c>
      <c r="H37" s="64">
        <v>36.75</v>
      </c>
      <c r="I37" s="64">
        <v>4.07</v>
      </c>
      <c r="J37" s="64">
        <v>0.42</v>
      </c>
      <c r="K37" s="64">
        <v>25.42</v>
      </c>
      <c r="L37" s="64">
        <v>22.06</v>
      </c>
      <c r="M37" s="64">
        <v>35.04</v>
      </c>
      <c r="N37" s="64">
        <v>161.69999999999999</v>
      </c>
      <c r="O37" s="64">
        <v>0</v>
      </c>
      <c r="P37" s="64">
        <v>1.18</v>
      </c>
      <c r="Q37" s="64">
        <v>9.93</v>
      </c>
      <c r="R37" s="198"/>
      <c r="S37" s="198"/>
      <c r="T37" s="198"/>
      <c r="U37" s="198"/>
    </row>
    <row r="38" spans="1:21" s="12" customFormat="1" x14ac:dyDescent="0.25">
      <c r="A38" s="215" t="s">
        <v>275</v>
      </c>
      <c r="B38" s="211" t="s">
        <v>43</v>
      </c>
      <c r="C38" s="211" t="s">
        <v>43</v>
      </c>
      <c r="D38" s="211" t="s">
        <v>43</v>
      </c>
      <c r="E38" s="64">
        <v>24.29</v>
      </c>
      <c r="F38" s="64">
        <v>10.93</v>
      </c>
      <c r="G38" s="64">
        <v>125.46</v>
      </c>
      <c r="H38" s="64">
        <v>36.75</v>
      </c>
      <c r="I38" s="64">
        <v>3.92</v>
      </c>
      <c r="J38" s="64">
        <v>0.45</v>
      </c>
      <c r="K38" s="64">
        <v>7.32</v>
      </c>
      <c r="L38" s="64">
        <v>22.99</v>
      </c>
      <c r="M38" s="64">
        <v>33.130000000000003</v>
      </c>
      <c r="N38" s="64">
        <v>164.7</v>
      </c>
      <c r="O38" s="64">
        <v>0</v>
      </c>
      <c r="P38" s="64">
        <v>1.41</v>
      </c>
      <c r="Q38" s="64">
        <v>9.93</v>
      </c>
      <c r="R38" s="198"/>
      <c r="S38" s="198"/>
      <c r="T38" s="198"/>
      <c r="U38" s="198"/>
    </row>
    <row r="39" spans="1:21" s="12" customFormat="1" x14ac:dyDescent="0.25">
      <c r="A39" s="215" t="s">
        <v>276</v>
      </c>
      <c r="B39" s="211" t="s">
        <v>43</v>
      </c>
      <c r="C39" s="211" t="s">
        <v>43</v>
      </c>
      <c r="D39" s="211" t="s">
        <v>43</v>
      </c>
      <c r="E39" s="64">
        <v>24.45</v>
      </c>
      <c r="F39" s="64">
        <v>9.8800000000000008</v>
      </c>
      <c r="G39" s="64">
        <v>125.46</v>
      </c>
      <c r="H39" s="64">
        <v>36.75</v>
      </c>
      <c r="I39" s="64">
        <v>4.1399999999999997</v>
      </c>
      <c r="J39" s="64">
        <v>1.02</v>
      </c>
      <c r="K39" s="64">
        <v>338.52</v>
      </c>
      <c r="L39" s="64">
        <v>24.14</v>
      </c>
      <c r="M39" s="64">
        <v>31.48</v>
      </c>
      <c r="N39" s="64">
        <v>225.6</v>
      </c>
      <c r="O39" s="64">
        <v>0</v>
      </c>
      <c r="P39" s="64">
        <v>1.39</v>
      </c>
      <c r="Q39" s="64">
        <v>9.93</v>
      </c>
      <c r="R39" s="198"/>
      <c r="S39" s="198"/>
      <c r="T39" s="198"/>
      <c r="U39" s="198"/>
    </row>
    <row r="40" spans="1:21" s="12" customFormat="1" x14ac:dyDescent="0.25">
      <c r="A40" s="215" t="s">
        <v>277</v>
      </c>
      <c r="B40" s="211" t="s">
        <v>43</v>
      </c>
      <c r="C40" s="211" t="s">
        <v>43</v>
      </c>
      <c r="D40" s="211" t="s">
        <v>43</v>
      </c>
      <c r="E40" s="64">
        <v>20.76</v>
      </c>
      <c r="F40" s="64">
        <v>9.75</v>
      </c>
      <c r="G40" s="64">
        <v>129.19999999999999</v>
      </c>
      <c r="H40" s="64">
        <v>39.69</v>
      </c>
      <c r="I40" s="64">
        <v>3.95</v>
      </c>
      <c r="J40" s="64">
        <v>1.24</v>
      </c>
      <c r="K40" s="64">
        <v>346.19</v>
      </c>
      <c r="L40" s="64">
        <v>25.83</v>
      </c>
      <c r="M40" s="64">
        <v>28.76</v>
      </c>
      <c r="N40" s="64">
        <v>259.5</v>
      </c>
      <c r="O40" s="64">
        <v>0</v>
      </c>
      <c r="P40" s="64">
        <v>1.44</v>
      </c>
      <c r="Q40" s="64">
        <v>9.91</v>
      </c>
      <c r="R40" s="198"/>
      <c r="S40" s="198"/>
      <c r="T40" s="198"/>
      <c r="U40" s="198"/>
    </row>
    <row r="41" spans="1:21" s="12" customFormat="1" x14ac:dyDescent="0.25">
      <c r="A41" s="215" t="s">
        <v>278</v>
      </c>
      <c r="B41" s="211" t="s">
        <v>43</v>
      </c>
      <c r="C41" s="211" t="s">
        <v>43</v>
      </c>
      <c r="D41" s="211" t="s">
        <v>43</v>
      </c>
      <c r="E41" s="64">
        <v>17.809999999999999</v>
      </c>
      <c r="F41" s="64">
        <v>8.06</v>
      </c>
      <c r="G41" s="64">
        <v>141.47999999999999</v>
      </c>
      <c r="H41" s="64">
        <v>49.32</v>
      </c>
      <c r="I41" s="64">
        <v>3.91</v>
      </c>
      <c r="J41" s="64">
        <v>1.06</v>
      </c>
      <c r="K41" s="64">
        <v>317.48</v>
      </c>
      <c r="L41" s="64">
        <v>27.14</v>
      </c>
      <c r="M41" s="64">
        <v>25.5</v>
      </c>
      <c r="N41" s="64">
        <v>294.8</v>
      </c>
      <c r="O41" s="64">
        <v>0</v>
      </c>
      <c r="P41" s="64">
        <v>1.33</v>
      </c>
      <c r="Q41" s="64">
        <v>9.91</v>
      </c>
      <c r="R41" s="198"/>
      <c r="S41" s="198"/>
      <c r="T41" s="198"/>
      <c r="U41" s="198"/>
    </row>
    <row r="42" spans="1:21" s="12" customFormat="1" x14ac:dyDescent="0.25">
      <c r="A42" s="215" t="s">
        <v>279</v>
      </c>
      <c r="B42" s="211" t="s">
        <v>43</v>
      </c>
      <c r="C42" s="211" t="s">
        <v>43</v>
      </c>
      <c r="D42" s="211" t="s">
        <v>43</v>
      </c>
      <c r="E42" s="64">
        <v>6.69</v>
      </c>
      <c r="F42" s="64">
        <v>6.55</v>
      </c>
      <c r="G42" s="64">
        <v>141.47999999999999</v>
      </c>
      <c r="H42" s="64">
        <v>49.32</v>
      </c>
      <c r="I42" s="64">
        <v>3.92</v>
      </c>
      <c r="J42" s="64">
        <v>1.18</v>
      </c>
      <c r="K42" s="64">
        <v>300.61</v>
      </c>
      <c r="L42" s="64">
        <v>28.35</v>
      </c>
      <c r="M42" s="64">
        <v>23.25</v>
      </c>
      <c r="N42" s="64">
        <v>327.3</v>
      </c>
      <c r="O42" s="64">
        <v>0</v>
      </c>
      <c r="P42" s="64">
        <v>1.31</v>
      </c>
      <c r="Q42" s="64">
        <v>9.8800000000000008</v>
      </c>
      <c r="R42" s="198"/>
      <c r="S42" s="198"/>
      <c r="T42" s="198"/>
      <c r="U42" s="198"/>
    </row>
    <row r="43" spans="1:21" s="12" customFormat="1" x14ac:dyDescent="0.25">
      <c r="A43" s="215" t="s">
        <v>280</v>
      </c>
      <c r="B43" s="211" t="s">
        <v>43</v>
      </c>
      <c r="C43" s="211" t="s">
        <v>43</v>
      </c>
      <c r="D43" s="211" t="s">
        <v>43</v>
      </c>
      <c r="E43" s="64">
        <v>9.52</v>
      </c>
      <c r="F43" s="64">
        <v>7.13</v>
      </c>
      <c r="G43" s="64">
        <v>141.47999999999999</v>
      </c>
      <c r="H43" s="64">
        <v>49.32</v>
      </c>
      <c r="I43" s="64">
        <v>4.1100000000000003</v>
      </c>
      <c r="J43" s="64">
        <v>1.05</v>
      </c>
      <c r="K43" s="64">
        <v>306.63</v>
      </c>
      <c r="L43" s="64">
        <v>29.38</v>
      </c>
      <c r="M43" s="64">
        <v>22.6</v>
      </c>
      <c r="N43" s="64">
        <v>358.2</v>
      </c>
      <c r="O43" s="64">
        <v>0</v>
      </c>
      <c r="P43" s="64">
        <v>1.36</v>
      </c>
      <c r="Q43" s="64">
        <v>9.9</v>
      </c>
      <c r="R43" s="198"/>
      <c r="S43" s="198"/>
      <c r="T43" s="198"/>
      <c r="U43" s="198"/>
    </row>
    <row r="44" spans="1:21" s="12" customFormat="1" x14ac:dyDescent="0.25">
      <c r="A44" s="215" t="s">
        <v>281</v>
      </c>
      <c r="B44" s="211" t="s">
        <v>43</v>
      </c>
      <c r="C44" s="211" t="s">
        <v>43</v>
      </c>
      <c r="D44" s="211" t="s">
        <v>43</v>
      </c>
      <c r="E44" s="64">
        <v>8.41</v>
      </c>
      <c r="F44" s="64">
        <v>7.98</v>
      </c>
      <c r="G44" s="64">
        <v>142.88</v>
      </c>
      <c r="H44" s="64">
        <v>52.08</v>
      </c>
      <c r="I44" s="64">
        <v>4.0199999999999996</v>
      </c>
      <c r="J44" s="64">
        <v>1.1399999999999999</v>
      </c>
      <c r="K44" s="64">
        <v>315</v>
      </c>
      <c r="L44" s="64">
        <v>30.43</v>
      </c>
      <c r="M44" s="64">
        <v>20.8</v>
      </c>
      <c r="N44" s="64">
        <v>401.7</v>
      </c>
      <c r="O44" s="64">
        <v>0</v>
      </c>
      <c r="P44" s="64">
        <v>1.34</v>
      </c>
      <c r="Q44" s="64">
        <v>9.85</v>
      </c>
      <c r="R44" s="198"/>
      <c r="S44" s="198"/>
      <c r="T44" s="198"/>
      <c r="U44" s="198"/>
    </row>
    <row r="45" spans="1:21" s="12" customFormat="1" x14ac:dyDescent="0.25">
      <c r="A45" s="215" t="s">
        <v>282</v>
      </c>
      <c r="B45" s="211" t="s">
        <v>43</v>
      </c>
      <c r="C45" s="211" t="s">
        <v>43</v>
      </c>
      <c r="D45" s="211" t="s">
        <v>43</v>
      </c>
      <c r="E45" s="64">
        <v>18.760000000000002</v>
      </c>
      <c r="F45" s="64">
        <v>11.07</v>
      </c>
      <c r="G45" s="64">
        <v>147.47999999999999</v>
      </c>
      <c r="H45" s="64">
        <v>61.15</v>
      </c>
      <c r="I45" s="64">
        <v>4.08</v>
      </c>
      <c r="J45" s="64">
        <v>1.1100000000000001</v>
      </c>
      <c r="K45" s="64">
        <v>345.26</v>
      </c>
      <c r="L45" s="64">
        <v>30.85</v>
      </c>
      <c r="M45" s="64">
        <v>20.32</v>
      </c>
      <c r="N45" s="64">
        <v>441.2</v>
      </c>
      <c r="O45" s="64">
        <v>0</v>
      </c>
      <c r="P45" s="64">
        <v>1.38</v>
      </c>
      <c r="Q45" s="64">
        <v>9.86</v>
      </c>
      <c r="R45" s="198"/>
      <c r="S45" s="198"/>
      <c r="T45" s="198"/>
      <c r="U45" s="198"/>
    </row>
    <row r="46" spans="1:21" s="12" customFormat="1" x14ac:dyDescent="0.25">
      <c r="A46" s="215" t="s">
        <v>283</v>
      </c>
      <c r="B46" s="211" t="s">
        <v>43</v>
      </c>
      <c r="C46" s="211" t="s">
        <v>43</v>
      </c>
      <c r="D46" s="211" t="s">
        <v>43</v>
      </c>
      <c r="E46" s="64">
        <v>14.64</v>
      </c>
      <c r="F46" s="64">
        <v>8.89</v>
      </c>
      <c r="G46" s="64">
        <v>147.47999999999999</v>
      </c>
      <c r="H46" s="64">
        <v>61.15</v>
      </c>
      <c r="I46" s="64">
        <v>4.17</v>
      </c>
      <c r="J46" s="64">
        <v>1.37</v>
      </c>
      <c r="K46" s="64">
        <v>343.43</v>
      </c>
      <c r="L46" s="64">
        <v>32.18</v>
      </c>
      <c r="M46" s="64">
        <v>17.690000000000001</v>
      </c>
      <c r="N46" s="64">
        <v>483.8</v>
      </c>
      <c r="O46" s="64">
        <v>0</v>
      </c>
      <c r="P46" s="64">
        <v>1.36</v>
      </c>
      <c r="Q46" s="64">
        <v>9.86</v>
      </c>
      <c r="R46" s="198"/>
      <c r="S46" s="198"/>
      <c r="T46" s="198"/>
      <c r="U46" s="198"/>
    </row>
    <row r="47" spans="1:21" s="12" customFormat="1" x14ac:dyDescent="0.25">
      <c r="A47" s="215" t="s">
        <v>284</v>
      </c>
      <c r="B47" s="211" t="s">
        <v>43</v>
      </c>
      <c r="C47" s="211" t="s">
        <v>43</v>
      </c>
      <c r="D47" s="211" t="s">
        <v>43</v>
      </c>
      <c r="E47" s="64">
        <v>8.56</v>
      </c>
      <c r="F47" s="64">
        <v>6.96</v>
      </c>
      <c r="G47" s="64">
        <v>147.47999999999999</v>
      </c>
      <c r="H47" s="64">
        <v>61.15</v>
      </c>
      <c r="I47" s="64">
        <v>3.84</v>
      </c>
      <c r="J47" s="64">
        <v>1.62</v>
      </c>
      <c r="K47" s="64">
        <v>340.22</v>
      </c>
      <c r="L47" s="64">
        <v>32.74</v>
      </c>
      <c r="M47" s="64">
        <v>15.86</v>
      </c>
      <c r="N47" s="64">
        <v>513.4</v>
      </c>
      <c r="O47" s="64">
        <v>0</v>
      </c>
      <c r="P47" s="64">
        <v>1.35</v>
      </c>
      <c r="Q47" s="64">
        <v>9.8699999999999992</v>
      </c>
      <c r="R47" s="198"/>
      <c r="S47" s="198"/>
      <c r="T47" s="198"/>
      <c r="U47" s="198"/>
    </row>
    <row r="48" spans="1:21" s="12" customFormat="1" x14ac:dyDescent="0.25">
      <c r="A48" s="215" t="s">
        <v>285</v>
      </c>
      <c r="B48" s="211" t="s">
        <v>43</v>
      </c>
      <c r="C48" s="211" t="s">
        <v>43</v>
      </c>
      <c r="D48" s="211" t="s">
        <v>43</v>
      </c>
      <c r="E48" s="64">
        <v>9.68</v>
      </c>
      <c r="F48" s="64">
        <v>7.71</v>
      </c>
      <c r="G48" s="64">
        <v>145.24</v>
      </c>
      <c r="H48" s="64">
        <v>56.64</v>
      </c>
      <c r="I48" s="64">
        <v>3.99</v>
      </c>
      <c r="J48" s="64">
        <v>1.63</v>
      </c>
      <c r="K48" s="64">
        <v>334.89</v>
      </c>
      <c r="L48" s="64">
        <v>33.299999999999997</v>
      </c>
      <c r="M48" s="64">
        <v>15.08</v>
      </c>
      <c r="N48" s="64">
        <v>528.6</v>
      </c>
      <c r="O48" s="64">
        <v>0</v>
      </c>
      <c r="P48" s="64">
        <v>1.34</v>
      </c>
      <c r="Q48" s="64">
        <v>9.86</v>
      </c>
      <c r="R48" s="198"/>
      <c r="S48" s="198"/>
      <c r="T48" s="198"/>
      <c r="U48" s="198"/>
    </row>
    <row r="49" spans="1:21" s="12" customFormat="1" x14ac:dyDescent="0.25">
      <c r="A49" s="215" t="s">
        <v>286</v>
      </c>
      <c r="B49" s="211" t="s">
        <v>43</v>
      </c>
      <c r="C49" s="211" t="s">
        <v>43</v>
      </c>
      <c r="D49" s="211" t="s">
        <v>43</v>
      </c>
      <c r="E49" s="64">
        <v>20.71</v>
      </c>
      <c r="F49" s="64">
        <v>8.6199999999999992</v>
      </c>
      <c r="G49" s="64">
        <v>137.85</v>
      </c>
      <c r="H49" s="64">
        <v>41.82</v>
      </c>
      <c r="I49" s="64">
        <v>3.93</v>
      </c>
      <c r="J49" s="64">
        <v>1.6</v>
      </c>
      <c r="K49" s="64">
        <v>346.9</v>
      </c>
      <c r="L49" s="64">
        <v>33.86</v>
      </c>
      <c r="M49" s="64">
        <v>13.97</v>
      </c>
      <c r="N49" s="64">
        <v>549.5</v>
      </c>
      <c r="O49" s="64">
        <v>0</v>
      </c>
      <c r="P49" s="64">
        <v>1.35</v>
      </c>
      <c r="Q49" s="64">
        <v>9.83</v>
      </c>
      <c r="R49" s="198"/>
      <c r="S49" s="198"/>
      <c r="T49" s="198"/>
      <c r="U49" s="198"/>
    </row>
    <row r="50" spans="1:21" s="12" customFormat="1" x14ac:dyDescent="0.25">
      <c r="A50" s="215" t="s">
        <v>287</v>
      </c>
      <c r="B50" s="211" t="s">
        <v>43</v>
      </c>
      <c r="C50" s="211" t="s">
        <v>43</v>
      </c>
      <c r="D50" s="211" t="s">
        <v>43</v>
      </c>
      <c r="E50" s="64">
        <v>29.83</v>
      </c>
      <c r="F50" s="64">
        <v>10.84</v>
      </c>
      <c r="G50" s="64">
        <v>137.85</v>
      </c>
      <c r="H50" s="64">
        <v>41.82</v>
      </c>
      <c r="I50" s="64">
        <v>4.0999999999999996</v>
      </c>
      <c r="J50" s="64">
        <v>1.8</v>
      </c>
      <c r="K50" s="64">
        <v>339.92</v>
      </c>
      <c r="L50" s="64">
        <v>34.409999999999997</v>
      </c>
      <c r="M50" s="64">
        <v>13.07</v>
      </c>
      <c r="N50" s="64">
        <v>571.70000000000005</v>
      </c>
      <c r="O50" s="64">
        <v>0</v>
      </c>
      <c r="P50" s="64">
        <v>1.33</v>
      </c>
      <c r="Q50" s="64">
        <v>9.82</v>
      </c>
      <c r="R50" s="198"/>
      <c r="S50" s="198"/>
      <c r="T50" s="198"/>
      <c r="U50" s="198"/>
    </row>
    <row r="51" spans="1:21" s="12" customFormat="1" x14ac:dyDescent="0.25">
      <c r="A51" s="215" t="s">
        <v>288</v>
      </c>
      <c r="B51" s="211" t="s">
        <v>43</v>
      </c>
      <c r="C51" s="211" t="s">
        <v>43</v>
      </c>
      <c r="D51" s="211" t="s">
        <v>43</v>
      </c>
      <c r="E51" s="64">
        <v>22.73</v>
      </c>
      <c r="F51" s="64">
        <v>9.94</v>
      </c>
      <c r="G51" s="64">
        <v>137.85</v>
      </c>
      <c r="H51" s="64">
        <v>41.82</v>
      </c>
      <c r="I51" s="64">
        <v>3.96</v>
      </c>
      <c r="J51" s="64">
        <v>1.64</v>
      </c>
      <c r="K51" s="64">
        <v>324.73</v>
      </c>
      <c r="L51" s="64">
        <v>34.83</v>
      </c>
      <c r="M51" s="64">
        <v>13.11</v>
      </c>
      <c r="N51" s="64">
        <v>579.6</v>
      </c>
      <c r="O51" s="64">
        <v>0</v>
      </c>
      <c r="P51" s="64">
        <v>1.32</v>
      </c>
      <c r="Q51" s="64">
        <v>9.8000000000000007</v>
      </c>
      <c r="R51" s="198"/>
      <c r="S51" s="198"/>
      <c r="T51" s="198"/>
      <c r="U51" s="198"/>
    </row>
    <row r="52" spans="1:21" s="12" customFormat="1" x14ac:dyDescent="0.25">
      <c r="A52" s="215" t="s">
        <v>289</v>
      </c>
      <c r="B52" s="211" t="s">
        <v>43</v>
      </c>
      <c r="C52" s="211" t="s">
        <v>43</v>
      </c>
      <c r="D52" s="211" t="s">
        <v>43</v>
      </c>
      <c r="E52" s="64">
        <v>41.89</v>
      </c>
      <c r="F52" s="64">
        <v>16.79</v>
      </c>
      <c r="G52" s="64">
        <v>136.94</v>
      </c>
      <c r="H52" s="64">
        <v>44.34</v>
      </c>
      <c r="I52" s="64">
        <v>4.05</v>
      </c>
      <c r="J52" s="64">
        <v>1.8</v>
      </c>
      <c r="K52" s="64">
        <v>337.11</v>
      </c>
      <c r="L52" s="64">
        <v>34.82</v>
      </c>
      <c r="M52" s="64">
        <v>13.04</v>
      </c>
      <c r="N52" s="64">
        <v>580.29999999999995</v>
      </c>
      <c r="O52" s="64">
        <v>0</v>
      </c>
      <c r="P52" s="64">
        <v>1.24</v>
      </c>
      <c r="Q52" s="64">
        <v>9.81</v>
      </c>
      <c r="R52" s="198"/>
      <c r="S52" s="198"/>
      <c r="T52" s="198"/>
      <c r="U52" s="198"/>
    </row>
    <row r="53" spans="1:21" s="12" customFormat="1" x14ac:dyDescent="0.25">
      <c r="A53" s="215" t="s">
        <v>290</v>
      </c>
      <c r="B53" s="211" t="s">
        <v>43</v>
      </c>
      <c r="C53" s="211" t="s">
        <v>43</v>
      </c>
      <c r="D53" s="211" t="s">
        <v>43</v>
      </c>
      <c r="E53" s="64">
        <v>20.93</v>
      </c>
      <c r="F53" s="64">
        <v>17.09</v>
      </c>
      <c r="G53" s="64">
        <v>134.12</v>
      </c>
      <c r="H53" s="64">
        <v>52.4</v>
      </c>
      <c r="I53" s="64">
        <v>4.0199999999999996</v>
      </c>
      <c r="J53" s="64">
        <v>4.68</v>
      </c>
      <c r="K53" s="64">
        <v>325.95999999999998</v>
      </c>
      <c r="L53" s="64">
        <v>34.950000000000003</v>
      </c>
      <c r="M53" s="64">
        <v>12.91</v>
      </c>
      <c r="N53" s="64">
        <v>550</v>
      </c>
      <c r="O53" s="64">
        <v>0</v>
      </c>
      <c r="P53" s="64">
        <v>1.2</v>
      </c>
      <c r="Q53" s="64">
        <v>9.83</v>
      </c>
      <c r="R53" s="198"/>
      <c r="S53" s="198"/>
      <c r="T53" s="198"/>
      <c r="U53" s="198"/>
    </row>
    <row r="54" spans="1:21" s="12" customFormat="1" x14ac:dyDescent="0.25">
      <c r="A54" s="215" t="s">
        <v>291</v>
      </c>
      <c r="B54" s="211" t="s">
        <v>43</v>
      </c>
      <c r="C54" s="211" t="s">
        <v>43</v>
      </c>
      <c r="D54" s="211" t="s">
        <v>43</v>
      </c>
      <c r="E54" s="64">
        <v>55.74</v>
      </c>
      <c r="F54" s="64">
        <v>31.85</v>
      </c>
      <c r="G54" s="64">
        <v>134.12</v>
      </c>
      <c r="H54" s="64">
        <v>52.4</v>
      </c>
      <c r="I54" s="64">
        <v>3.92</v>
      </c>
      <c r="J54" s="64">
        <v>6.81</v>
      </c>
      <c r="K54" s="64">
        <v>356.32</v>
      </c>
      <c r="L54" s="64">
        <v>34.89</v>
      </c>
      <c r="M54" s="64">
        <v>11.95</v>
      </c>
      <c r="N54" s="64">
        <v>556.4</v>
      </c>
      <c r="O54" s="64">
        <v>0</v>
      </c>
      <c r="P54" s="64">
        <v>1.08</v>
      </c>
      <c r="Q54" s="64">
        <v>9.82</v>
      </c>
      <c r="R54" s="198"/>
      <c r="S54" s="198"/>
      <c r="T54" s="198"/>
      <c r="U54" s="198"/>
    </row>
    <row r="55" spans="1:21" s="12" customFormat="1" x14ac:dyDescent="0.25">
      <c r="A55" s="215" t="s">
        <v>292</v>
      </c>
      <c r="B55" s="211" t="s">
        <v>43</v>
      </c>
      <c r="C55" s="211" t="s">
        <v>43</v>
      </c>
      <c r="D55" s="211" t="s">
        <v>43</v>
      </c>
      <c r="E55" s="64">
        <v>38.340000000000003</v>
      </c>
      <c r="F55" s="64">
        <v>28.74</v>
      </c>
      <c r="G55" s="64">
        <v>134.12</v>
      </c>
      <c r="H55" s="64">
        <v>52.4</v>
      </c>
      <c r="I55" s="64">
        <v>4.0999999999999996</v>
      </c>
      <c r="J55" s="64">
        <v>6.77</v>
      </c>
      <c r="K55" s="64">
        <v>353.28</v>
      </c>
      <c r="L55" s="64">
        <v>34.71</v>
      </c>
      <c r="M55" s="64">
        <v>12.15</v>
      </c>
      <c r="N55" s="64">
        <v>576.29999999999995</v>
      </c>
      <c r="O55" s="64">
        <v>0</v>
      </c>
      <c r="P55" s="64">
        <v>1.07</v>
      </c>
      <c r="Q55" s="64">
        <v>9.8000000000000007</v>
      </c>
      <c r="R55" s="198"/>
      <c r="S55" s="198"/>
      <c r="T55" s="198"/>
      <c r="U55" s="198"/>
    </row>
    <row r="56" spans="1:21" s="12" customFormat="1" x14ac:dyDescent="0.25">
      <c r="A56" s="215" t="s">
        <v>293</v>
      </c>
      <c r="B56" s="211" t="s">
        <v>43</v>
      </c>
      <c r="C56" s="211" t="s">
        <v>43</v>
      </c>
      <c r="D56" s="211" t="s">
        <v>43</v>
      </c>
      <c r="E56" s="64">
        <v>55.32</v>
      </c>
      <c r="F56" s="64">
        <v>29.07</v>
      </c>
      <c r="G56" s="64">
        <v>132.28</v>
      </c>
      <c r="H56" s="64">
        <v>46.37</v>
      </c>
      <c r="I56" s="64">
        <v>3.93</v>
      </c>
      <c r="J56" s="64">
        <v>6.49</v>
      </c>
      <c r="K56" s="64">
        <v>354.11</v>
      </c>
      <c r="L56" s="64">
        <v>34.770000000000003</v>
      </c>
      <c r="M56" s="64">
        <v>12.38</v>
      </c>
      <c r="N56" s="64">
        <v>581.29999999999995</v>
      </c>
      <c r="O56" s="64">
        <v>0</v>
      </c>
      <c r="P56" s="64">
        <v>0.97</v>
      </c>
      <c r="Q56" s="64">
        <v>9.8000000000000007</v>
      </c>
      <c r="R56" s="198"/>
      <c r="S56" s="198"/>
      <c r="T56" s="198"/>
      <c r="U56" s="198"/>
    </row>
    <row r="57" spans="1:21" s="12" customFormat="1" x14ac:dyDescent="0.25">
      <c r="A57" s="215" t="s">
        <v>294</v>
      </c>
      <c r="B57" s="211" t="s">
        <v>43</v>
      </c>
      <c r="C57" s="211" t="s">
        <v>43</v>
      </c>
      <c r="D57" s="211" t="s">
        <v>43</v>
      </c>
      <c r="E57" s="64">
        <v>57.97</v>
      </c>
      <c r="F57" s="64">
        <v>32.43</v>
      </c>
      <c r="G57" s="64">
        <v>126.24</v>
      </c>
      <c r="H57" s="64">
        <v>29.42</v>
      </c>
      <c r="I57" s="64">
        <v>3.95</v>
      </c>
      <c r="J57" s="64">
        <v>5.99</v>
      </c>
      <c r="K57" s="64">
        <v>355.79</v>
      </c>
      <c r="L57" s="64">
        <v>34.76</v>
      </c>
      <c r="M57" s="64">
        <v>11.67</v>
      </c>
      <c r="N57" s="64">
        <v>589.9</v>
      </c>
      <c r="O57" s="64">
        <v>0</v>
      </c>
      <c r="P57" s="64">
        <v>0.97</v>
      </c>
      <c r="Q57" s="64">
        <v>9.7899999999999991</v>
      </c>
      <c r="R57" s="198"/>
      <c r="S57" s="198"/>
      <c r="T57" s="198"/>
      <c r="U57" s="198"/>
    </row>
    <row r="58" spans="1:21" s="12" customFormat="1" x14ac:dyDescent="0.25">
      <c r="A58" s="215" t="s">
        <v>295</v>
      </c>
      <c r="B58" s="211" t="s">
        <v>43</v>
      </c>
      <c r="C58" s="211" t="s">
        <v>43</v>
      </c>
      <c r="D58" s="211" t="s">
        <v>43</v>
      </c>
      <c r="E58" s="64">
        <v>62.25</v>
      </c>
      <c r="F58" s="64">
        <v>36.799999999999997</v>
      </c>
      <c r="G58" s="64">
        <v>126.24</v>
      </c>
      <c r="H58" s="64">
        <v>29.42</v>
      </c>
      <c r="I58" s="64">
        <v>3.95</v>
      </c>
      <c r="J58" s="64">
        <v>4.75</v>
      </c>
      <c r="K58" s="64">
        <v>0.63</v>
      </c>
      <c r="L58" s="64">
        <v>34.770000000000003</v>
      </c>
      <c r="M58" s="64">
        <v>11.13</v>
      </c>
      <c r="N58" s="64">
        <v>608.5</v>
      </c>
      <c r="O58" s="64">
        <v>0</v>
      </c>
      <c r="P58" s="64">
        <v>0.96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5" t="s">
        <v>296</v>
      </c>
      <c r="B59" s="211" t="s">
        <v>43</v>
      </c>
      <c r="C59" s="211" t="s">
        <v>43</v>
      </c>
      <c r="D59" s="211" t="s">
        <v>43</v>
      </c>
      <c r="E59" s="64">
        <v>34.32</v>
      </c>
      <c r="F59" s="64">
        <v>23.87</v>
      </c>
      <c r="G59" s="64">
        <v>126.24</v>
      </c>
      <c r="H59" s="64">
        <v>29.42</v>
      </c>
      <c r="I59" s="64">
        <v>4.1399999999999997</v>
      </c>
      <c r="J59" s="64">
        <v>2.98</v>
      </c>
      <c r="K59" s="64">
        <v>4.79</v>
      </c>
      <c r="L59" s="64">
        <v>33.909999999999997</v>
      </c>
      <c r="M59" s="64">
        <v>12.52</v>
      </c>
      <c r="N59" s="64">
        <v>600.5</v>
      </c>
      <c r="O59" s="64">
        <v>0</v>
      </c>
      <c r="P59" s="64">
        <v>1.01</v>
      </c>
      <c r="Q59" s="64">
        <v>9.81</v>
      </c>
      <c r="R59" s="198"/>
      <c r="S59" s="198"/>
      <c r="T59" s="198"/>
      <c r="U59" s="198"/>
    </row>
    <row r="60" spans="1:21" s="12" customFormat="1" x14ac:dyDescent="0.25">
      <c r="A60" s="215" t="s">
        <v>297</v>
      </c>
      <c r="B60" s="211" t="s">
        <v>43</v>
      </c>
      <c r="C60" s="211" t="s">
        <v>43</v>
      </c>
      <c r="D60" s="211" t="s">
        <v>43</v>
      </c>
      <c r="E60" s="64">
        <v>40.46</v>
      </c>
      <c r="F60" s="64">
        <v>22.01</v>
      </c>
      <c r="G60" s="64">
        <v>121.09</v>
      </c>
      <c r="H60" s="64">
        <v>30.9</v>
      </c>
      <c r="I60" s="64">
        <v>4.0199999999999996</v>
      </c>
      <c r="J60" s="64">
        <v>4.1399999999999997</v>
      </c>
      <c r="K60" s="64">
        <v>343.7</v>
      </c>
      <c r="L60" s="64">
        <v>35.35</v>
      </c>
      <c r="M60" s="64">
        <v>12.52</v>
      </c>
      <c r="N60" s="64">
        <v>583.20000000000005</v>
      </c>
      <c r="O60" s="64">
        <v>0</v>
      </c>
      <c r="P60" s="64">
        <v>1.03</v>
      </c>
      <c r="Q60" s="64">
        <v>9.81</v>
      </c>
      <c r="R60" s="198"/>
      <c r="S60" s="198"/>
      <c r="T60" s="198"/>
      <c r="U60" s="198"/>
    </row>
    <row r="61" spans="1:21" s="12" customFormat="1" x14ac:dyDescent="0.25">
      <c r="A61" s="215" t="s">
        <v>298</v>
      </c>
      <c r="B61" s="211" t="s">
        <v>43</v>
      </c>
      <c r="C61" s="211" t="s">
        <v>43</v>
      </c>
      <c r="D61" s="211" t="s">
        <v>43</v>
      </c>
      <c r="E61" s="64">
        <v>41.43</v>
      </c>
      <c r="F61" s="64">
        <v>24.15</v>
      </c>
      <c r="G61" s="64">
        <v>108.98</v>
      </c>
      <c r="H61" s="64">
        <v>34.39</v>
      </c>
      <c r="I61" s="64">
        <v>3.96</v>
      </c>
      <c r="J61" s="64">
        <v>3.99</v>
      </c>
      <c r="K61" s="64">
        <v>332.4</v>
      </c>
      <c r="L61" s="64">
        <v>35.89</v>
      </c>
      <c r="M61" s="64">
        <v>12.56</v>
      </c>
      <c r="N61" s="64">
        <v>556.20000000000005</v>
      </c>
      <c r="O61" s="64">
        <v>0</v>
      </c>
      <c r="P61" s="64">
        <v>1.03</v>
      </c>
      <c r="Q61" s="64">
        <v>9.7899999999999991</v>
      </c>
      <c r="R61" s="198"/>
      <c r="S61" s="198"/>
      <c r="T61" s="198"/>
      <c r="U61" s="198"/>
    </row>
    <row r="62" spans="1:21" s="12" customFormat="1" x14ac:dyDescent="0.25">
      <c r="A62" s="215" t="s">
        <v>299</v>
      </c>
      <c r="B62" s="211" t="s">
        <v>43</v>
      </c>
      <c r="C62" s="211" t="s">
        <v>43</v>
      </c>
      <c r="D62" s="211" t="s">
        <v>43</v>
      </c>
      <c r="E62" s="64">
        <v>43.08</v>
      </c>
      <c r="F62" s="64">
        <v>26.09</v>
      </c>
      <c r="G62" s="64">
        <v>108.98</v>
      </c>
      <c r="H62" s="64">
        <v>34.39</v>
      </c>
      <c r="I62" s="64">
        <v>3.87</v>
      </c>
      <c r="J62" s="64">
        <v>3.97</v>
      </c>
      <c r="K62" s="64">
        <v>329.17</v>
      </c>
      <c r="L62" s="64">
        <v>35.81</v>
      </c>
      <c r="M62" s="64">
        <v>13.23</v>
      </c>
      <c r="N62" s="64">
        <v>553.20000000000005</v>
      </c>
      <c r="O62" s="64">
        <v>0</v>
      </c>
      <c r="P62" s="64">
        <v>0.98</v>
      </c>
      <c r="Q62" s="64">
        <v>9.7899999999999991</v>
      </c>
      <c r="R62" s="198"/>
      <c r="S62" s="198"/>
      <c r="T62" s="198"/>
      <c r="U62" s="198"/>
    </row>
    <row r="63" spans="1:21" s="12" customFormat="1" x14ac:dyDescent="0.25">
      <c r="A63" s="215" t="s">
        <v>300</v>
      </c>
      <c r="B63" s="211" t="s">
        <v>43</v>
      </c>
      <c r="C63" s="211" t="s">
        <v>43</v>
      </c>
      <c r="D63" s="211" t="s">
        <v>43</v>
      </c>
      <c r="E63" s="64">
        <v>62.54</v>
      </c>
      <c r="F63" s="64">
        <v>30.59</v>
      </c>
      <c r="G63" s="64">
        <v>108.98</v>
      </c>
      <c r="H63" s="64">
        <v>34.39</v>
      </c>
      <c r="I63" s="64">
        <v>3.99</v>
      </c>
      <c r="J63" s="64">
        <v>4.1900000000000004</v>
      </c>
      <c r="K63" s="64">
        <v>345.56</v>
      </c>
      <c r="L63" s="64">
        <v>35.869999999999997</v>
      </c>
      <c r="M63" s="64">
        <v>12.88</v>
      </c>
      <c r="N63" s="64">
        <v>529.70000000000005</v>
      </c>
      <c r="O63" s="64">
        <v>0</v>
      </c>
      <c r="P63" s="64">
        <v>0.96</v>
      </c>
      <c r="Q63" s="64">
        <v>9.77</v>
      </c>
      <c r="R63" s="198"/>
      <c r="S63" s="198"/>
      <c r="T63" s="198"/>
      <c r="U63" s="198"/>
    </row>
    <row r="64" spans="1:21" s="12" customFormat="1" x14ac:dyDescent="0.25">
      <c r="A64" s="215" t="s">
        <v>301</v>
      </c>
      <c r="B64" s="211" t="s">
        <v>43</v>
      </c>
      <c r="C64" s="211" t="s">
        <v>43</v>
      </c>
      <c r="D64" s="211" t="s">
        <v>43</v>
      </c>
      <c r="E64" s="64">
        <v>46.28</v>
      </c>
      <c r="F64" s="64">
        <v>28.83</v>
      </c>
      <c r="G64" s="64">
        <v>112.75</v>
      </c>
      <c r="H64" s="64">
        <v>38.61</v>
      </c>
      <c r="I64" s="64">
        <v>4</v>
      </c>
      <c r="J64" s="64">
        <v>3.92</v>
      </c>
      <c r="K64" s="64">
        <v>340.42</v>
      </c>
      <c r="L64" s="64">
        <v>35.42</v>
      </c>
      <c r="M64" s="64">
        <v>13.49</v>
      </c>
      <c r="N64" s="64">
        <v>462</v>
      </c>
      <c r="O64" s="64">
        <v>0</v>
      </c>
      <c r="P64" s="64">
        <v>0.97</v>
      </c>
      <c r="Q64" s="64">
        <v>9.75</v>
      </c>
      <c r="R64" s="198"/>
      <c r="S64" s="198"/>
      <c r="T64" s="198"/>
      <c r="U64" s="198"/>
    </row>
    <row r="65" spans="1:21" s="12" customFormat="1" x14ac:dyDescent="0.25">
      <c r="A65" s="215" t="s">
        <v>302</v>
      </c>
      <c r="B65" s="211" t="s">
        <v>43</v>
      </c>
      <c r="C65" s="211" t="s">
        <v>43</v>
      </c>
      <c r="D65" s="211" t="s">
        <v>43</v>
      </c>
      <c r="E65" s="64">
        <v>33.549999999999997</v>
      </c>
      <c r="F65" s="64">
        <v>27.78</v>
      </c>
      <c r="G65" s="64">
        <v>124.4</v>
      </c>
      <c r="H65" s="64">
        <v>51.66</v>
      </c>
      <c r="I65" s="64">
        <v>3.99</v>
      </c>
      <c r="J65" s="64">
        <v>3.96</v>
      </c>
      <c r="K65" s="64">
        <v>338.2</v>
      </c>
      <c r="L65" s="64">
        <v>35.17</v>
      </c>
      <c r="M65" s="64">
        <v>14.57</v>
      </c>
      <c r="N65" s="64">
        <v>378.9</v>
      </c>
      <c r="O65" s="64">
        <v>0</v>
      </c>
      <c r="P65" s="64">
        <v>0.95</v>
      </c>
      <c r="Q65" s="64">
        <v>1.81</v>
      </c>
      <c r="R65" s="198"/>
      <c r="S65" s="198"/>
      <c r="T65" s="198"/>
      <c r="U65" s="198"/>
    </row>
    <row r="66" spans="1:21" s="12" customFormat="1" x14ac:dyDescent="0.25">
      <c r="A66" s="215" t="s">
        <v>303</v>
      </c>
      <c r="B66" s="211" t="s">
        <v>43</v>
      </c>
      <c r="C66" s="211" t="s">
        <v>43</v>
      </c>
      <c r="D66" s="211" t="s">
        <v>43</v>
      </c>
      <c r="E66" s="64">
        <v>36.32</v>
      </c>
      <c r="F66" s="64">
        <v>25.06</v>
      </c>
      <c r="G66" s="64">
        <v>124.4</v>
      </c>
      <c r="H66" s="64">
        <v>51.66</v>
      </c>
      <c r="I66" s="64">
        <v>3.89</v>
      </c>
      <c r="J66" s="64">
        <v>3.69</v>
      </c>
      <c r="K66" s="64">
        <v>349.74</v>
      </c>
      <c r="L66" s="64">
        <v>35.14</v>
      </c>
      <c r="M66" s="64">
        <v>14.49</v>
      </c>
      <c r="N66" s="64">
        <v>323.60000000000002</v>
      </c>
      <c r="O66" s="64">
        <v>0</v>
      </c>
      <c r="P66" s="64">
        <v>0.94</v>
      </c>
      <c r="Q66" s="64">
        <v>0</v>
      </c>
      <c r="R66" s="198"/>
      <c r="S66" s="198"/>
      <c r="T66" s="198"/>
      <c r="U66" s="198"/>
    </row>
    <row r="67" spans="1:21" s="12" customFormat="1" x14ac:dyDescent="0.25">
      <c r="A67" s="215" t="s">
        <v>304</v>
      </c>
      <c r="B67" s="211" t="s">
        <v>43</v>
      </c>
      <c r="C67" s="211" t="s">
        <v>43</v>
      </c>
      <c r="D67" s="211" t="s">
        <v>43</v>
      </c>
      <c r="E67" s="64">
        <v>36.590000000000003</v>
      </c>
      <c r="F67" s="64">
        <v>26.13</v>
      </c>
      <c r="G67" s="64">
        <v>124.4</v>
      </c>
      <c r="H67" s="64">
        <v>51.66</v>
      </c>
      <c r="I67" s="64">
        <v>4.0199999999999996</v>
      </c>
      <c r="J67" s="64">
        <v>4.1900000000000004</v>
      </c>
      <c r="K67" s="64">
        <v>347.43</v>
      </c>
      <c r="L67" s="64">
        <v>34.130000000000003</v>
      </c>
      <c r="M67" s="64">
        <v>15.19</v>
      </c>
      <c r="N67" s="64">
        <v>312.10000000000002</v>
      </c>
      <c r="O67" s="64">
        <v>0</v>
      </c>
      <c r="P67" s="64">
        <v>0.9</v>
      </c>
      <c r="Q67" s="64">
        <v>0</v>
      </c>
      <c r="R67" s="198"/>
      <c r="S67" s="198"/>
      <c r="T67" s="198"/>
      <c r="U67" s="198"/>
    </row>
    <row r="68" spans="1:21" s="12" customFormat="1" x14ac:dyDescent="0.25">
      <c r="A68" s="215" t="s">
        <v>305</v>
      </c>
      <c r="B68" s="211" t="s">
        <v>43</v>
      </c>
      <c r="C68" s="211" t="s">
        <v>43</v>
      </c>
      <c r="D68" s="211" t="s">
        <v>43</v>
      </c>
      <c r="E68" s="64">
        <v>40.78</v>
      </c>
      <c r="F68" s="64">
        <v>26.43</v>
      </c>
      <c r="G68" s="64">
        <v>123.09</v>
      </c>
      <c r="H68" s="64">
        <v>46.99</v>
      </c>
      <c r="I68" s="64">
        <v>3.98</v>
      </c>
      <c r="J68" s="64">
        <v>3.77</v>
      </c>
      <c r="K68" s="64">
        <v>346.38</v>
      </c>
      <c r="L68" s="64">
        <v>33.78</v>
      </c>
      <c r="M68" s="64">
        <v>15.37</v>
      </c>
      <c r="N68" s="64">
        <v>256.10000000000002</v>
      </c>
      <c r="O68" s="64">
        <v>0</v>
      </c>
      <c r="P68" s="64">
        <v>0.86</v>
      </c>
      <c r="Q68" s="64">
        <v>0</v>
      </c>
      <c r="R68" s="198"/>
      <c r="S68" s="198"/>
      <c r="T68" s="198"/>
      <c r="U68" s="198"/>
    </row>
    <row r="69" spans="1:21" s="12" customFormat="1" x14ac:dyDescent="0.25">
      <c r="A69" s="215" t="s">
        <v>306</v>
      </c>
      <c r="B69" s="211" t="s">
        <v>43</v>
      </c>
      <c r="C69" s="211" t="s">
        <v>43</v>
      </c>
      <c r="D69" s="211" t="s">
        <v>43</v>
      </c>
      <c r="E69" s="64">
        <v>41.25</v>
      </c>
      <c r="F69" s="64">
        <v>32.15</v>
      </c>
      <c r="G69" s="64">
        <v>118.8</v>
      </c>
      <c r="H69" s="64">
        <v>31.64</v>
      </c>
      <c r="I69" s="64">
        <v>4</v>
      </c>
      <c r="J69" s="64">
        <v>4.42</v>
      </c>
      <c r="K69" s="64">
        <v>348.24</v>
      </c>
      <c r="L69" s="64">
        <v>33.369999999999997</v>
      </c>
      <c r="M69" s="64">
        <v>15.57</v>
      </c>
      <c r="N69" s="64">
        <v>259</v>
      </c>
      <c r="O69" s="64">
        <v>0</v>
      </c>
      <c r="P69" s="64">
        <v>0.83</v>
      </c>
      <c r="Q69" s="64">
        <v>0</v>
      </c>
      <c r="R69" s="198"/>
      <c r="S69" s="198"/>
      <c r="T69" s="198"/>
      <c r="U69" s="198"/>
    </row>
    <row r="70" spans="1:21" s="12" customFormat="1" x14ac:dyDescent="0.25">
      <c r="A70" s="215" t="s">
        <v>307</v>
      </c>
      <c r="B70" s="211" t="s">
        <v>43</v>
      </c>
      <c r="C70" s="211" t="s">
        <v>43</v>
      </c>
      <c r="D70" s="211" t="s">
        <v>43</v>
      </c>
      <c r="E70" s="64">
        <v>31.63</v>
      </c>
      <c r="F70" s="64">
        <v>24.09</v>
      </c>
      <c r="G70" s="64">
        <v>118.8</v>
      </c>
      <c r="H70" s="64">
        <v>31.64</v>
      </c>
      <c r="I70" s="64">
        <v>3.96</v>
      </c>
      <c r="J70" s="64">
        <v>4.8899999999999997</v>
      </c>
      <c r="K70" s="64">
        <v>346.05</v>
      </c>
      <c r="L70" s="64">
        <v>32.32</v>
      </c>
      <c r="M70" s="64">
        <v>16.18</v>
      </c>
      <c r="N70" s="64">
        <v>180.4</v>
      </c>
      <c r="O70" s="64">
        <v>0</v>
      </c>
      <c r="P70" s="64">
        <v>0.82</v>
      </c>
      <c r="Q70" s="64">
        <v>9.7799999999999994</v>
      </c>
      <c r="R70" s="198"/>
      <c r="S70" s="198"/>
      <c r="T70" s="198"/>
      <c r="U70" s="198"/>
    </row>
    <row r="71" spans="1:21" s="12" customFormat="1" x14ac:dyDescent="0.25">
      <c r="A71" s="215" t="s">
        <v>308</v>
      </c>
      <c r="B71" s="211" t="s">
        <v>43</v>
      </c>
      <c r="C71" s="211" t="s">
        <v>43</v>
      </c>
      <c r="D71" s="211" t="s">
        <v>43</v>
      </c>
      <c r="E71" s="64">
        <v>27.8</v>
      </c>
      <c r="F71" s="64">
        <v>22.89</v>
      </c>
      <c r="G71" s="64">
        <v>118.8</v>
      </c>
      <c r="H71" s="64">
        <v>31.64</v>
      </c>
      <c r="I71" s="64">
        <v>4</v>
      </c>
      <c r="J71" s="64">
        <v>4.24</v>
      </c>
      <c r="K71" s="64">
        <v>342.97</v>
      </c>
      <c r="L71" s="64">
        <v>31.97</v>
      </c>
      <c r="M71" s="64">
        <v>16.7</v>
      </c>
      <c r="N71" s="64">
        <v>171.6</v>
      </c>
      <c r="O71" s="64">
        <v>0</v>
      </c>
      <c r="P71" s="64">
        <v>0.81</v>
      </c>
      <c r="Q71" s="64">
        <v>9.81</v>
      </c>
      <c r="R71" s="198"/>
      <c r="S71" s="198"/>
      <c r="T71" s="198"/>
      <c r="U71" s="198"/>
    </row>
    <row r="72" spans="1:21" s="12" customFormat="1" x14ac:dyDescent="0.25">
      <c r="A72" s="215" t="s">
        <v>309</v>
      </c>
      <c r="B72" s="211" t="s">
        <v>43</v>
      </c>
      <c r="C72" s="211" t="s">
        <v>43</v>
      </c>
      <c r="D72" s="211" t="s">
        <v>43</v>
      </c>
      <c r="E72" s="64">
        <v>19.68</v>
      </c>
      <c r="F72" s="64">
        <v>23.28</v>
      </c>
      <c r="G72" s="64">
        <v>117.87</v>
      </c>
      <c r="H72" s="64">
        <v>60.08</v>
      </c>
      <c r="I72" s="64">
        <v>3.98</v>
      </c>
      <c r="J72" s="64">
        <v>4.58</v>
      </c>
      <c r="K72" s="64">
        <v>345.24</v>
      </c>
      <c r="L72" s="64">
        <v>31.44</v>
      </c>
      <c r="M72" s="64">
        <v>16.72</v>
      </c>
      <c r="N72" s="64">
        <v>158.1</v>
      </c>
      <c r="O72" s="64">
        <v>0</v>
      </c>
      <c r="P72" s="64">
        <v>0.79</v>
      </c>
      <c r="Q72" s="64">
        <v>9.7799999999999994</v>
      </c>
      <c r="R72" s="198"/>
      <c r="S72" s="198"/>
      <c r="T72" s="198"/>
      <c r="U72" s="198"/>
    </row>
    <row r="73" spans="1:21" s="12" customFormat="1" x14ac:dyDescent="0.25">
      <c r="A73" s="215" t="s">
        <v>310</v>
      </c>
      <c r="B73" s="211" t="s">
        <v>43</v>
      </c>
      <c r="C73" s="211" t="s">
        <v>43</v>
      </c>
      <c r="D73" s="211" t="s">
        <v>43</v>
      </c>
      <c r="E73" s="64">
        <v>46.97</v>
      </c>
      <c r="F73" s="64">
        <v>27.67</v>
      </c>
      <c r="G73" s="64">
        <v>115.79</v>
      </c>
      <c r="H73" s="213" t="s">
        <v>42</v>
      </c>
      <c r="I73" s="64">
        <v>4.05</v>
      </c>
      <c r="J73" s="64">
        <v>4.26</v>
      </c>
      <c r="K73" s="64">
        <v>348.81</v>
      </c>
      <c r="L73" s="64">
        <v>31.1</v>
      </c>
      <c r="M73" s="64">
        <v>16.760000000000002</v>
      </c>
      <c r="N73" s="64">
        <v>132.5</v>
      </c>
      <c r="O73" s="64">
        <v>0</v>
      </c>
      <c r="P73" s="64">
        <v>0.77</v>
      </c>
      <c r="Q73" s="64">
        <v>9.76</v>
      </c>
      <c r="R73" s="198"/>
      <c r="S73" s="198"/>
      <c r="T73" s="198"/>
      <c r="U73" s="198"/>
    </row>
    <row r="74" spans="1:21" s="12" customFormat="1" x14ac:dyDescent="0.25">
      <c r="A74" s="215" t="s">
        <v>311</v>
      </c>
      <c r="B74" s="211" t="s">
        <v>43</v>
      </c>
      <c r="C74" s="211" t="s">
        <v>43</v>
      </c>
      <c r="D74" s="211" t="s">
        <v>43</v>
      </c>
      <c r="E74" s="64">
        <v>19.77</v>
      </c>
      <c r="F74" s="64">
        <v>19.28</v>
      </c>
      <c r="G74" s="64">
        <v>115.79</v>
      </c>
      <c r="H74" s="213" t="s">
        <v>42</v>
      </c>
      <c r="I74" s="64">
        <v>4.0999999999999996</v>
      </c>
      <c r="J74" s="64">
        <v>4.46</v>
      </c>
      <c r="K74" s="64">
        <v>351.35</v>
      </c>
      <c r="L74" s="64">
        <v>30.7</v>
      </c>
      <c r="M74" s="64">
        <v>16.12</v>
      </c>
      <c r="N74" s="64">
        <v>111.4</v>
      </c>
      <c r="O74" s="64">
        <v>0</v>
      </c>
      <c r="P74" s="64">
        <v>0.76</v>
      </c>
      <c r="Q74" s="64">
        <v>9.75</v>
      </c>
      <c r="R74" s="198"/>
      <c r="S74" s="198"/>
      <c r="T74" s="198"/>
      <c r="U74" s="198"/>
    </row>
    <row r="75" spans="1:21" s="12" customFormat="1" x14ac:dyDescent="0.25">
      <c r="A75" s="215" t="s">
        <v>312</v>
      </c>
      <c r="B75" s="211" t="s">
        <v>43</v>
      </c>
      <c r="C75" s="211" t="s">
        <v>43</v>
      </c>
      <c r="D75" s="211" t="s">
        <v>43</v>
      </c>
      <c r="E75" s="64">
        <v>22.49</v>
      </c>
      <c r="F75" s="64">
        <v>23.08</v>
      </c>
      <c r="G75" s="64">
        <v>115.79</v>
      </c>
      <c r="H75" s="213" t="s">
        <v>42</v>
      </c>
      <c r="I75" s="64">
        <v>3.75</v>
      </c>
      <c r="J75" s="64">
        <v>4.5</v>
      </c>
      <c r="K75" s="64">
        <v>349.4</v>
      </c>
      <c r="L75" s="64">
        <v>30.32</v>
      </c>
      <c r="M75" s="64">
        <v>15.55</v>
      </c>
      <c r="N75" s="64">
        <v>96</v>
      </c>
      <c r="O75" s="64">
        <v>0</v>
      </c>
      <c r="P75" s="64">
        <v>0.74</v>
      </c>
      <c r="Q75" s="64">
        <v>9.75</v>
      </c>
      <c r="R75" s="198"/>
      <c r="S75" s="198"/>
      <c r="T75" s="198"/>
      <c r="U75" s="198"/>
    </row>
    <row r="76" spans="1:21" s="12" customFormat="1" x14ac:dyDescent="0.25">
      <c r="A76" s="215" t="s">
        <v>313</v>
      </c>
      <c r="B76" s="211" t="s">
        <v>43</v>
      </c>
      <c r="C76" s="211" t="s">
        <v>43</v>
      </c>
      <c r="D76" s="211" t="s">
        <v>43</v>
      </c>
      <c r="E76" s="64">
        <v>26.62</v>
      </c>
      <c r="F76" s="64">
        <v>26.36</v>
      </c>
      <c r="G76" s="64">
        <v>117.49</v>
      </c>
      <c r="H76" s="213" t="s">
        <v>42</v>
      </c>
      <c r="I76" s="64">
        <v>4.01</v>
      </c>
      <c r="J76" s="64">
        <v>4.38</v>
      </c>
      <c r="K76" s="64">
        <v>352.23</v>
      </c>
      <c r="L76" s="64">
        <v>29.91</v>
      </c>
      <c r="M76" s="64">
        <v>15.63</v>
      </c>
      <c r="N76" s="64">
        <v>81.599999999999994</v>
      </c>
      <c r="O76" s="64">
        <v>0</v>
      </c>
      <c r="P76" s="64">
        <v>0.7</v>
      </c>
      <c r="Q76" s="64">
        <v>9.76</v>
      </c>
      <c r="R76" s="198"/>
      <c r="S76" s="198"/>
      <c r="T76" s="198"/>
      <c r="U76" s="198"/>
    </row>
    <row r="77" spans="1:21" s="12" customFormat="1" x14ac:dyDescent="0.25">
      <c r="A77" s="215" t="s">
        <v>314</v>
      </c>
      <c r="B77" s="211" t="s">
        <v>43</v>
      </c>
      <c r="C77" s="211" t="s">
        <v>43</v>
      </c>
      <c r="D77" s="211" t="s">
        <v>43</v>
      </c>
      <c r="E77" s="64">
        <v>28.94</v>
      </c>
      <c r="F77" s="64">
        <v>19.89</v>
      </c>
      <c r="G77" s="64">
        <v>122.74</v>
      </c>
      <c r="H77" s="213" t="s">
        <v>42</v>
      </c>
      <c r="I77" s="64">
        <v>3.92</v>
      </c>
      <c r="J77" s="64">
        <v>4.3600000000000003</v>
      </c>
      <c r="K77" s="64">
        <v>349.16</v>
      </c>
      <c r="L77" s="64">
        <v>29.51</v>
      </c>
      <c r="M77" s="64">
        <v>15.56</v>
      </c>
      <c r="N77" s="64">
        <v>69.400000000000006</v>
      </c>
      <c r="O77" s="64">
        <v>0</v>
      </c>
      <c r="P77" s="64">
        <v>0.7</v>
      </c>
      <c r="Q77" s="64">
        <v>9.7200000000000006</v>
      </c>
      <c r="R77" s="198"/>
      <c r="S77" s="198"/>
      <c r="T77" s="198"/>
      <c r="U77" s="198"/>
    </row>
    <row r="78" spans="1:21" s="12" customFormat="1" x14ac:dyDescent="0.25">
      <c r="A78" s="215" t="s">
        <v>315</v>
      </c>
      <c r="B78" s="211" t="s">
        <v>43</v>
      </c>
      <c r="C78" s="211" t="s">
        <v>43</v>
      </c>
      <c r="D78" s="211" t="s">
        <v>43</v>
      </c>
      <c r="E78" s="64">
        <v>29.49</v>
      </c>
      <c r="F78" s="64">
        <v>33.450000000000003</v>
      </c>
      <c r="G78" s="64">
        <v>122.74</v>
      </c>
      <c r="H78" s="213" t="s">
        <v>42</v>
      </c>
      <c r="I78" s="64">
        <v>3.98</v>
      </c>
      <c r="J78" s="64">
        <v>3.88</v>
      </c>
      <c r="K78" s="64">
        <v>354.17</v>
      </c>
      <c r="L78" s="64">
        <v>29.19</v>
      </c>
      <c r="M78" s="64">
        <v>15.56</v>
      </c>
      <c r="N78" s="64">
        <v>55.3</v>
      </c>
      <c r="O78" s="64">
        <v>0</v>
      </c>
      <c r="P78" s="64">
        <v>0.68</v>
      </c>
      <c r="Q78" s="64">
        <v>9.6999999999999993</v>
      </c>
      <c r="R78" s="198"/>
      <c r="S78" s="198"/>
      <c r="T78" s="198"/>
      <c r="U78" s="198"/>
    </row>
    <row r="79" spans="1:21" s="12" customFormat="1" x14ac:dyDescent="0.25">
      <c r="A79" s="215" t="s">
        <v>316</v>
      </c>
      <c r="B79" s="211" t="s">
        <v>43</v>
      </c>
      <c r="C79" s="211" t="s">
        <v>43</v>
      </c>
      <c r="D79" s="211" t="s">
        <v>43</v>
      </c>
      <c r="E79" s="64">
        <v>24.87</v>
      </c>
      <c r="F79" s="64">
        <v>22.89</v>
      </c>
      <c r="G79" s="64">
        <v>122.74</v>
      </c>
      <c r="H79" s="213" t="s">
        <v>42</v>
      </c>
      <c r="I79" s="64">
        <v>4.03</v>
      </c>
      <c r="J79" s="64">
        <v>3.47</v>
      </c>
      <c r="K79" s="64">
        <v>349.94</v>
      </c>
      <c r="L79" s="64">
        <v>28.7</v>
      </c>
      <c r="M79" s="64">
        <v>17.100000000000001</v>
      </c>
      <c r="N79" s="64">
        <v>45.1</v>
      </c>
      <c r="O79" s="64">
        <v>0</v>
      </c>
      <c r="P79" s="64">
        <v>0.79</v>
      </c>
      <c r="Q79" s="64">
        <v>9.69</v>
      </c>
      <c r="R79" s="198"/>
      <c r="S79" s="198"/>
      <c r="T79" s="198"/>
      <c r="U79" s="198"/>
    </row>
    <row r="80" spans="1:21" s="12" customFormat="1" x14ac:dyDescent="0.25">
      <c r="A80" s="215" t="s">
        <v>317</v>
      </c>
      <c r="B80" s="211" t="s">
        <v>43</v>
      </c>
      <c r="C80" s="211" t="s">
        <v>43</v>
      </c>
      <c r="D80" s="211" t="s">
        <v>43</v>
      </c>
      <c r="E80" s="64">
        <v>34.1</v>
      </c>
      <c r="F80" s="64">
        <v>20.48</v>
      </c>
      <c r="G80" s="64">
        <v>120.64</v>
      </c>
      <c r="H80" s="213" t="s">
        <v>42</v>
      </c>
      <c r="I80" s="64">
        <v>4.07</v>
      </c>
      <c r="J80" s="64">
        <v>3.26</v>
      </c>
      <c r="K80" s="64">
        <v>354.35</v>
      </c>
      <c r="L80" s="64">
        <v>28.35</v>
      </c>
      <c r="M80" s="64">
        <v>17.55</v>
      </c>
      <c r="N80" s="64">
        <v>37.6</v>
      </c>
      <c r="O80" s="64">
        <v>0</v>
      </c>
      <c r="P80" s="64">
        <v>0.88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5" t="s">
        <v>318</v>
      </c>
      <c r="B81" s="211" t="s">
        <v>43</v>
      </c>
      <c r="C81" s="211" t="s">
        <v>43</v>
      </c>
      <c r="D81" s="211" t="s">
        <v>43</v>
      </c>
      <c r="E81" s="64">
        <v>61.48</v>
      </c>
      <c r="F81" s="64">
        <v>24.07</v>
      </c>
      <c r="G81" s="64">
        <v>114.15</v>
      </c>
      <c r="H81" s="213" t="s">
        <v>42</v>
      </c>
      <c r="I81" s="64">
        <v>4.13</v>
      </c>
      <c r="J81" s="64">
        <v>2.71</v>
      </c>
      <c r="K81" s="64">
        <v>357.42</v>
      </c>
      <c r="L81" s="64">
        <v>27.96</v>
      </c>
      <c r="M81" s="64">
        <v>18.62</v>
      </c>
      <c r="N81" s="64">
        <v>31</v>
      </c>
      <c r="O81" s="64">
        <v>0</v>
      </c>
      <c r="P81" s="64">
        <v>1.1100000000000001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5" t="s">
        <v>319</v>
      </c>
      <c r="B82" s="211" t="s">
        <v>43</v>
      </c>
      <c r="C82" s="211" t="s">
        <v>43</v>
      </c>
      <c r="D82" s="211" t="s">
        <v>43</v>
      </c>
      <c r="E82" s="64">
        <v>102.41</v>
      </c>
      <c r="F82" s="64">
        <v>22.59</v>
      </c>
      <c r="G82" s="64">
        <v>114.15</v>
      </c>
      <c r="H82" s="213" t="s">
        <v>42</v>
      </c>
      <c r="I82" s="64">
        <v>4.0199999999999996</v>
      </c>
      <c r="J82" s="64">
        <v>2.21</v>
      </c>
      <c r="K82" s="64">
        <v>359.69</v>
      </c>
      <c r="L82" s="64">
        <v>27.66</v>
      </c>
      <c r="M82" s="64">
        <v>19.010000000000002</v>
      </c>
      <c r="N82" s="64">
        <v>29</v>
      </c>
      <c r="O82" s="64">
        <v>0</v>
      </c>
      <c r="P82" s="64">
        <v>1.87</v>
      </c>
      <c r="Q82" s="64">
        <v>9.67</v>
      </c>
      <c r="R82" s="198"/>
      <c r="S82" s="198"/>
      <c r="T82" s="198"/>
      <c r="U82" s="198"/>
    </row>
    <row r="83" spans="1:26" s="12" customFormat="1" x14ac:dyDescent="0.25">
      <c r="A83" s="215" t="s">
        <v>320</v>
      </c>
      <c r="B83" s="211" t="s">
        <v>43</v>
      </c>
      <c r="C83" s="211" t="s">
        <v>43</v>
      </c>
      <c r="D83" s="211" t="s">
        <v>43</v>
      </c>
      <c r="E83" s="64">
        <v>92.28</v>
      </c>
      <c r="F83" s="64">
        <v>19.96</v>
      </c>
      <c r="G83" s="64">
        <v>114.15</v>
      </c>
      <c r="H83" s="213" t="s">
        <v>42</v>
      </c>
      <c r="I83" s="64">
        <v>3.9</v>
      </c>
      <c r="J83" s="64">
        <v>2.36</v>
      </c>
      <c r="K83" s="64">
        <v>2.93</v>
      </c>
      <c r="L83" s="64">
        <v>27.45</v>
      </c>
      <c r="M83" s="64">
        <v>18.96</v>
      </c>
      <c r="N83" s="64">
        <v>28.7</v>
      </c>
      <c r="O83" s="64">
        <v>0</v>
      </c>
      <c r="P83" s="64">
        <v>1.96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5" t="s">
        <v>321</v>
      </c>
      <c r="B84" s="211" t="s">
        <v>43</v>
      </c>
      <c r="C84" s="211" t="s">
        <v>43</v>
      </c>
      <c r="D84" s="211" t="s">
        <v>43</v>
      </c>
      <c r="E84" s="64">
        <v>91.15</v>
      </c>
      <c r="F84" s="64">
        <v>18.739999999999998</v>
      </c>
      <c r="G84" s="64">
        <v>114.81</v>
      </c>
      <c r="H84" s="213" t="s">
        <v>42</v>
      </c>
      <c r="I84" s="64">
        <v>4.01</v>
      </c>
      <c r="J84" s="64">
        <v>2.29</v>
      </c>
      <c r="K84" s="64">
        <v>5.9</v>
      </c>
      <c r="L84" s="64">
        <v>27.32</v>
      </c>
      <c r="M84" s="64">
        <v>18.95</v>
      </c>
      <c r="N84" s="64">
        <v>28.7</v>
      </c>
      <c r="O84" s="64">
        <v>0</v>
      </c>
      <c r="P84" s="64">
        <v>1.94</v>
      </c>
      <c r="Q84" s="64">
        <v>9.65</v>
      </c>
      <c r="R84" s="198"/>
      <c r="S84" s="198"/>
      <c r="T84" s="198"/>
      <c r="U84" s="198"/>
    </row>
    <row r="85" spans="1:26" s="12" customFormat="1" x14ac:dyDescent="0.25">
      <c r="A85" s="215" t="s">
        <v>322</v>
      </c>
      <c r="B85" s="211" t="s">
        <v>43</v>
      </c>
      <c r="C85" s="211" t="s">
        <v>43</v>
      </c>
      <c r="D85" s="211" t="s">
        <v>43</v>
      </c>
      <c r="E85" s="64">
        <v>94.96</v>
      </c>
      <c r="F85" s="64">
        <v>15.28</v>
      </c>
      <c r="G85" s="64">
        <v>117.39</v>
      </c>
      <c r="H85" s="213" t="s">
        <v>42</v>
      </c>
      <c r="I85" s="64">
        <v>4.01</v>
      </c>
      <c r="J85" s="64">
        <v>1.97</v>
      </c>
      <c r="K85" s="64">
        <v>7.52</v>
      </c>
      <c r="L85" s="64">
        <v>27.08</v>
      </c>
      <c r="M85" s="64">
        <v>19.03</v>
      </c>
      <c r="N85" s="64">
        <v>28.9</v>
      </c>
      <c r="O85" s="64">
        <v>0</v>
      </c>
      <c r="P85" s="64">
        <v>2.39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5" t="s">
        <v>323</v>
      </c>
      <c r="B86" s="211" t="s">
        <v>43</v>
      </c>
      <c r="C86" s="211" t="s">
        <v>43</v>
      </c>
      <c r="D86" s="211" t="s">
        <v>43</v>
      </c>
      <c r="E86" s="64">
        <v>103.01</v>
      </c>
      <c r="F86" s="64">
        <v>12.6</v>
      </c>
      <c r="G86" s="64">
        <v>117.39</v>
      </c>
      <c r="H86" s="213" t="s">
        <v>42</v>
      </c>
      <c r="I86" s="64">
        <v>4.03</v>
      </c>
      <c r="J86" s="64">
        <v>1.8</v>
      </c>
      <c r="K86" s="64">
        <v>5.1100000000000003</v>
      </c>
      <c r="L86" s="64">
        <v>26.71</v>
      </c>
      <c r="M86" s="64">
        <v>19.14</v>
      </c>
      <c r="N86" s="64">
        <v>28.8</v>
      </c>
      <c r="O86" s="64">
        <v>0</v>
      </c>
      <c r="P86" s="64">
        <v>2.52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5" t="s">
        <v>324</v>
      </c>
      <c r="B87" s="211" t="s">
        <v>43</v>
      </c>
      <c r="C87" s="211" t="s">
        <v>43</v>
      </c>
      <c r="D87" s="211" t="s">
        <v>43</v>
      </c>
      <c r="E87" s="64">
        <v>113.46</v>
      </c>
      <c r="F87" s="64">
        <v>13.73</v>
      </c>
      <c r="G87" s="64">
        <v>117.39</v>
      </c>
      <c r="H87" s="213" t="s">
        <v>42</v>
      </c>
      <c r="I87" s="64">
        <v>4.03</v>
      </c>
      <c r="J87" s="64">
        <v>1.34</v>
      </c>
      <c r="K87" s="64">
        <v>47.59</v>
      </c>
      <c r="L87" s="64">
        <v>26.3</v>
      </c>
      <c r="M87" s="64">
        <v>20.37</v>
      </c>
      <c r="N87" s="64">
        <v>28.7</v>
      </c>
      <c r="O87" s="64">
        <v>0</v>
      </c>
      <c r="P87" s="64">
        <v>2.66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5" t="s">
        <v>325</v>
      </c>
      <c r="B88" s="211" t="s">
        <v>43</v>
      </c>
      <c r="C88" s="211" t="s">
        <v>43</v>
      </c>
      <c r="D88" s="211" t="s">
        <v>43</v>
      </c>
      <c r="E88" s="64">
        <v>104.56</v>
      </c>
      <c r="F88" s="64">
        <v>13.77</v>
      </c>
      <c r="G88" s="64">
        <v>137.13999999999999</v>
      </c>
      <c r="H88" s="213" t="s">
        <v>42</v>
      </c>
      <c r="I88" s="64">
        <v>4.05</v>
      </c>
      <c r="J88" s="64">
        <v>1.57</v>
      </c>
      <c r="K88" s="64">
        <v>12.33</v>
      </c>
      <c r="L88" s="64">
        <v>26.04</v>
      </c>
      <c r="M88" s="64">
        <v>21.67</v>
      </c>
      <c r="N88" s="64">
        <v>28.9</v>
      </c>
      <c r="O88" s="64">
        <v>0</v>
      </c>
      <c r="P88" s="64">
        <v>3.26</v>
      </c>
      <c r="Q88" s="64">
        <v>9.69</v>
      </c>
      <c r="R88" s="198"/>
      <c r="S88" s="198"/>
      <c r="T88" s="198"/>
      <c r="U88" s="198"/>
    </row>
    <row r="89" spans="1:26" s="12" customFormat="1" x14ac:dyDescent="0.25">
      <c r="A89" s="215" t="s">
        <v>326</v>
      </c>
      <c r="B89" s="211" t="s">
        <v>43</v>
      </c>
      <c r="C89" s="211" t="s">
        <v>43</v>
      </c>
      <c r="D89" s="211" t="s">
        <v>43</v>
      </c>
      <c r="E89" s="64">
        <v>107</v>
      </c>
      <c r="F89" s="64">
        <v>8.73</v>
      </c>
      <c r="G89" s="64">
        <v>198.18</v>
      </c>
      <c r="H89" s="213" t="s">
        <v>42</v>
      </c>
      <c r="I89" s="64">
        <v>3.82</v>
      </c>
      <c r="J89" s="64">
        <v>1.62</v>
      </c>
      <c r="K89" s="64">
        <v>359.24</v>
      </c>
      <c r="L89" s="64">
        <v>25.49</v>
      </c>
      <c r="M89" s="64">
        <v>22.53</v>
      </c>
      <c r="N89" s="64">
        <v>28.7</v>
      </c>
      <c r="O89" s="64">
        <v>0</v>
      </c>
      <c r="P89" s="64">
        <v>3.78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5" t="s">
        <v>327</v>
      </c>
      <c r="B90" s="211" t="s">
        <v>43</v>
      </c>
      <c r="C90" s="211" t="s">
        <v>43</v>
      </c>
      <c r="D90" s="211" t="s">
        <v>43</v>
      </c>
      <c r="E90" s="64">
        <v>96.88</v>
      </c>
      <c r="F90" s="64">
        <v>8.5299999999999994</v>
      </c>
      <c r="G90" s="64">
        <v>198.18</v>
      </c>
      <c r="H90" s="213" t="s">
        <v>42</v>
      </c>
      <c r="I90" s="64">
        <v>4.13</v>
      </c>
      <c r="J90" s="64">
        <v>1.86</v>
      </c>
      <c r="K90" s="64">
        <v>2.7</v>
      </c>
      <c r="L90" s="64">
        <v>25.21</v>
      </c>
      <c r="M90" s="64">
        <v>23.78</v>
      </c>
      <c r="N90" s="64">
        <v>28.6</v>
      </c>
      <c r="O90" s="64">
        <v>0</v>
      </c>
      <c r="P90" s="64">
        <v>3.92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5" t="s">
        <v>328</v>
      </c>
      <c r="B91" s="211" t="s">
        <v>43</v>
      </c>
      <c r="C91" s="211" t="s">
        <v>43</v>
      </c>
      <c r="D91" s="211" t="s">
        <v>43</v>
      </c>
      <c r="E91" s="64">
        <v>69.47</v>
      </c>
      <c r="F91" s="64">
        <v>14.23</v>
      </c>
      <c r="G91" s="64">
        <v>198.18</v>
      </c>
      <c r="H91" s="213" t="s">
        <v>42</v>
      </c>
      <c r="I91" s="64">
        <v>4.0599999999999996</v>
      </c>
      <c r="J91" s="64">
        <v>2.2599999999999998</v>
      </c>
      <c r="K91" s="64">
        <v>2.63</v>
      </c>
      <c r="L91" s="64">
        <v>25.36</v>
      </c>
      <c r="M91" s="64">
        <v>22.54</v>
      </c>
      <c r="N91" s="64">
        <v>27.8</v>
      </c>
      <c r="O91" s="64">
        <v>0</v>
      </c>
      <c r="P91" s="64">
        <v>3.06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5" t="s">
        <v>329</v>
      </c>
      <c r="B92" s="211" t="s">
        <v>43</v>
      </c>
      <c r="C92" s="211" t="s">
        <v>43</v>
      </c>
      <c r="D92" s="211" t="s">
        <v>43</v>
      </c>
      <c r="E92" s="64">
        <v>69.55</v>
      </c>
      <c r="F92" s="64">
        <v>16.82</v>
      </c>
      <c r="G92" s="64">
        <v>194.3</v>
      </c>
      <c r="H92" s="213" t="s">
        <v>42</v>
      </c>
      <c r="I92" s="64">
        <v>3.9</v>
      </c>
      <c r="J92" s="64">
        <v>2.3199999999999998</v>
      </c>
      <c r="K92" s="64">
        <v>1.84</v>
      </c>
      <c r="L92" s="64">
        <v>25.83</v>
      </c>
      <c r="M92" s="64">
        <v>21.2</v>
      </c>
      <c r="N92" s="64">
        <v>28.1</v>
      </c>
      <c r="O92" s="64">
        <v>0</v>
      </c>
      <c r="P92" s="64">
        <v>2.33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5" t="s">
        <v>330</v>
      </c>
      <c r="B93" s="211" t="s">
        <v>43</v>
      </c>
      <c r="C93" s="211" t="s">
        <v>43</v>
      </c>
      <c r="D93" s="211" t="s">
        <v>43</v>
      </c>
      <c r="E93" s="64">
        <v>81.67</v>
      </c>
      <c r="F93" s="64">
        <v>14.39</v>
      </c>
      <c r="G93" s="64">
        <v>182.3</v>
      </c>
      <c r="H93" s="213" t="s">
        <v>42</v>
      </c>
      <c r="I93" s="64">
        <v>4.0199999999999996</v>
      </c>
      <c r="J93" s="64">
        <v>1.98</v>
      </c>
      <c r="K93" s="64">
        <v>358.05</v>
      </c>
      <c r="L93" s="64">
        <v>25.78</v>
      </c>
      <c r="M93" s="64">
        <v>21.79</v>
      </c>
      <c r="N93" s="64">
        <v>28.8</v>
      </c>
      <c r="O93" s="64">
        <v>0</v>
      </c>
      <c r="P93" s="64">
        <v>2.39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5" t="s">
        <v>331</v>
      </c>
      <c r="B94" s="211" t="s">
        <v>43</v>
      </c>
      <c r="C94" s="211" t="s">
        <v>43</v>
      </c>
      <c r="D94" s="211" t="s">
        <v>43</v>
      </c>
      <c r="E94" s="64">
        <v>67.89</v>
      </c>
      <c r="F94" s="64">
        <v>9.92</v>
      </c>
      <c r="G94" s="64">
        <v>182.3</v>
      </c>
      <c r="H94" s="213" t="s">
        <v>42</v>
      </c>
      <c r="I94" s="64">
        <v>4.04</v>
      </c>
      <c r="J94" s="64">
        <v>0.99</v>
      </c>
      <c r="K94" s="64">
        <v>74.16</v>
      </c>
      <c r="L94" s="64">
        <v>25.34</v>
      </c>
      <c r="M94" s="64">
        <v>22.11</v>
      </c>
      <c r="N94" s="64">
        <v>29</v>
      </c>
      <c r="O94" s="64">
        <v>0</v>
      </c>
      <c r="P94" s="64">
        <v>2.33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5" t="s">
        <v>332</v>
      </c>
      <c r="B95" s="211" t="s">
        <v>43</v>
      </c>
      <c r="C95" s="211" t="s">
        <v>43</v>
      </c>
      <c r="D95" s="211" t="s">
        <v>43</v>
      </c>
      <c r="E95" s="64">
        <v>66.069999999999993</v>
      </c>
      <c r="F95" s="64">
        <v>9.35</v>
      </c>
      <c r="G95" s="64">
        <v>182.3</v>
      </c>
      <c r="H95" s="213" t="s">
        <v>42</v>
      </c>
      <c r="I95" s="64">
        <v>3.84</v>
      </c>
      <c r="J95" s="64">
        <v>1.89</v>
      </c>
      <c r="K95" s="64">
        <v>2.16</v>
      </c>
      <c r="L95" s="64">
        <v>24.96</v>
      </c>
      <c r="M95" s="64">
        <v>26.14</v>
      </c>
      <c r="N95" s="64">
        <v>28.9</v>
      </c>
      <c r="O95" s="64">
        <v>0</v>
      </c>
      <c r="P95" s="64">
        <v>2.73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5" t="s">
        <v>333</v>
      </c>
      <c r="B96" s="211" t="s">
        <v>43</v>
      </c>
      <c r="C96" s="211" t="s">
        <v>43</v>
      </c>
      <c r="D96" s="211" t="s">
        <v>43</v>
      </c>
      <c r="E96" s="64">
        <v>65.260000000000005</v>
      </c>
      <c r="F96" s="64">
        <v>8.98</v>
      </c>
      <c r="G96" s="64">
        <v>178.1</v>
      </c>
      <c r="H96" s="213" t="s">
        <v>42</v>
      </c>
      <c r="I96" s="64">
        <v>4.0199999999999996</v>
      </c>
      <c r="J96" s="64">
        <v>2.14</v>
      </c>
      <c r="K96" s="64">
        <v>345.52</v>
      </c>
      <c r="L96" s="64">
        <v>24.46</v>
      </c>
      <c r="M96" s="64">
        <v>30.56</v>
      </c>
      <c r="N96" s="64">
        <v>28.7</v>
      </c>
      <c r="O96" s="64">
        <v>0</v>
      </c>
      <c r="P96" s="64">
        <v>2.5099999999999998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334</v>
      </c>
      <c r="B97" s="211" t="s">
        <v>43</v>
      </c>
      <c r="C97" s="211" t="s">
        <v>43</v>
      </c>
      <c r="D97" s="211" t="s">
        <v>43</v>
      </c>
      <c r="E97" s="64">
        <v>78.739999999999995</v>
      </c>
      <c r="F97" s="64">
        <v>10.16</v>
      </c>
      <c r="G97" s="64">
        <v>165.1</v>
      </c>
      <c r="H97" s="213" t="s">
        <v>42</v>
      </c>
      <c r="I97" s="64">
        <v>4.0199999999999996</v>
      </c>
      <c r="J97" s="64">
        <v>2.04</v>
      </c>
      <c r="K97" s="64">
        <v>358.2</v>
      </c>
      <c r="L97" s="64">
        <v>24.39</v>
      </c>
      <c r="M97" s="64">
        <v>29.2</v>
      </c>
      <c r="N97" s="64">
        <v>28.6</v>
      </c>
      <c r="O97" s="64">
        <v>0</v>
      </c>
      <c r="P97" s="64">
        <v>2.2400000000000002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5" t="s">
        <v>335</v>
      </c>
      <c r="B98" s="211" t="s">
        <v>43</v>
      </c>
      <c r="C98" s="211" t="s">
        <v>43</v>
      </c>
      <c r="D98" s="211" t="s">
        <v>43</v>
      </c>
      <c r="E98" s="64">
        <v>73.319999999999993</v>
      </c>
      <c r="F98" s="64">
        <v>12.69</v>
      </c>
      <c r="G98" s="64">
        <v>165.1</v>
      </c>
      <c r="H98" s="213" t="s">
        <v>42</v>
      </c>
      <c r="I98" s="64">
        <v>4.25</v>
      </c>
      <c r="J98" s="64">
        <v>1.95</v>
      </c>
      <c r="K98" s="64">
        <v>356.48</v>
      </c>
      <c r="L98" s="64">
        <v>24.48</v>
      </c>
      <c r="M98" s="64">
        <v>25.35</v>
      </c>
      <c r="N98" s="64">
        <v>28.7</v>
      </c>
      <c r="O98" s="64">
        <v>0</v>
      </c>
      <c r="P98" s="64">
        <v>2.0099999999999998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5" t="s">
        <v>336</v>
      </c>
      <c r="B99" s="211" t="s">
        <v>43</v>
      </c>
      <c r="C99" s="211" t="s">
        <v>43</v>
      </c>
      <c r="D99" s="211" t="s">
        <v>43</v>
      </c>
      <c r="E99" s="64">
        <v>69.33</v>
      </c>
      <c r="F99" s="64">
        <v>8.9</v>
      </c>
      <c r="G99" s="64">
        <v>165.1</v>
      </c>
      <c r="H99" s="213" t="s">
        <v>42</v>
      </c>
      <c r="I99" s="64">
        <v>3.96</v>
      </c>
      <c r="J99" s="64">
        <v>1.66</v>
      </c>
      <c r="K99" s="64">
        <v>342.56</v>
      </c>
      <c r="L99" s="64">
        <v>23.97</v>
      </c>
      <c r="M99" s="64">
        <v>26.93</v>
      </c>
      <c r="N99" s="64">
        <v>29</v>
      </c>
      <c r="O99" s="64">
        <v>0</v>
      </c>
      <c r="P99" s="64">
        <v>2.06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5" t="s">
        <v>337</v>
      </c>
      <c r="B100" s="211" t="s">
        <v>43</v>
      </c>
      <c r="C100" s="211" t="s">
        <v>43</v>
      </c>
      <c r="D100" s="211" t="s">
        <v>43</v>
      </c>
      <c r="E100" s="64">
        <v>87.17</v>
      </c>
      <c r="F100" s="64">
        <v>8.8699999999999992</v>
      </c>
      <c r="G100" s="64">
        <v>170.94</v>
      </c>
      <c r="H100" s="213" t="s">
        <v>42</v>
      </c>
      <c r="I100" s="64">
        <v>3.82</v>
      </c>
      <c r="J100" s="64">
        <v>1.7</v>
      </c>
      <c r="K100" s="64">
        <v>71.8</v>
      </c>
      <c r="L100" s="64">
        <v>24.14</v>
      </c>
      <c r="M100" s="64">
        <v>25.74</v>
      </c>
      <c r="N100" s="64">
        <v>28.7</v>
      </c>
      <c r="O100" s="64">
        <v>0</v>
      </c>
      <c r="P100" s="64">
        <v>1.91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338</v>
      </c>
      <c r="B101" s="211" t="s">
        <v>43</v>
      </c>
      <c r="C101" s="211" t="s">
        <v>43</v>
      </c>
      <c r="D101" s="211" t="s">
        <v>43</v>
      </c>
      <c r="E101" s="64">
        <v>56.91</v>
      </c>
      <c r="F101" s="64">
        <v>7.09</v>
      </c>
      <c r="G101" s="64">
        <v>190.12</v>
      </c>
      <c r="H101" s="213" t="s">
        <v>42</v>
      </c>
      <c r="I101" s="64">
        <v>4.08</v>
      </c>
      <c r="J101" s="64">
        <v>1.4</v>
      </c>
      <c r="K101" s="64">
        <v>233.95</v>
      </c>
      <c r="L101" s="64">
        <v>23.61</v>
      </c>
      <c r="M101" s="64">
        <v>29.12</v>
      </c>
      <c r="N101" s="64">
        <v>29</v>
      </c>
      <c r="O101" s="64">
        <v>0</v>
      </c>
      <c r="P101" s="64">
        <v>1.99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5" t="s">
        <v>339</v>
      </c>
      <c r="B102" s="211" t="s">
        <v>43</v>
      </c>
      <c r="C102" s="211" t="s">
        <v>43</v>
      </c>
      <c r="D102" s="211" t="s">
        <v>43</v>
      </c>
      <c r="E102" s="64">
        <v>48.78</v>
      </c>
      <c r="F102" s="64">
        <v>6.21</v>
      </c>
      <c r="G102" s="64">
        <v>190.12</v>
      </c>
      <c r="H102" s="213" t="s">
        <v>42</v>
      </c>
      <c r="I102" s="64">
        <v>4.0999999999999996</v>
      </c>
      <c r="J102" s="64">
        <v>0.73</v>
      </c>
      <c r="K102" s="64">
        <v>84.18</v>
      </c>
      <c r="L102" s="64">
        <v>23.01</v>
      </c>
      <c r="M102" s="64">
        <v>32.729999999999997</v>
      </c>
      <c r="N102" s="64">
        <v>28.9</v>
      </c>
      <c r="O102" s="64">
        <v>0</v>
      </c>
      <c r="P102" s="64">
        <v>2.0499999999999998</v>
      </c>
      <c r="Q102" s="64">
        <v>9.7100000000000009</v>
      </c>
      <c r="R102" s="198"/>
      <c r="S102" s="198"/>
      <c r="T102" s="198"/>
      <c r="U102" s="198"/>
    </row>
    <row r="103" spans="1:33" s="12" customFormat="1" x14ac:dyDescent="0.25">
      <c r="A103" s="215" t="s">
        <v>340</v>
      </c>
      <c r="B103" s="211" t="s">
        <v>43</v>
      </c>
      <c r="C103" s="211" t="s">
        <v>43</v>
      </c>
      <c r="D103" s="211" t="s">
        <v>43</v>
      </c>
      <c r="E103" s="64">
        <v>37.78</v>
      </c>
      <c r="F103" s="64">
        <v>6.5</v>
      </c>
      <c r="G103" s="64">
        <v>190.12</v>
      </c>
      <c r="H103" s="213" t="s">
        <v>42</v>
      </c>
      <c r="I103" s="64">
        <v>4</v>
      </c>
      <c r="J103" s="64">
        <v>1.21</v>
      </c>
      <c r="K103" s="64">
        <v>309.23</v>
      </c>
      <c r="L103" s="64">
        <v>22.55</v>
      </c>
      <c r="M103" s="64">
        <v>37.9</v>
      </c>
      <c r="N103" s="64">
        <v>29</v>
      </c>
      <c r="O103" s="64">
        <v>0</v>
      </c>
      <c r="P103" s="64">
        <v>2.0699999999999998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5" t="s">
        <v>341</v>
      </c>
      <c r="B104" s="211" t="s">
        <v>43</v>
      </c>
      <c r="C104" s="211" t="s">
        <v>43</v>
      </c>
      <c r="D104" s="211" t="s">
        <v>43</v>
      </c>
      <c r="E104" s="64">
        <v>39.9</v>
      </c>
      <c r="F104" s="64">
        <v>6.33</v>
      </c>
      <c r="G104" s="64">
        <v>189.26</v>
      </c>
      <c r="H104" s="213" t="s">
        <v>42</v>
      </c>
      <c r="I104" s="64">
        <v>3.87</v>
      </c>
      <c r="J104" s="64">
        <v>1.78</v>
      </c>
      <c r="K104" s="64">
        <v>6.94</v>
      </c>
      <c r="L104" s="64">
        <v>21.65</v>
      </c>
      <c r="M104" s="64">
        <v>40.21</v>
      </c>
      <c r="N104" s="64">
        <v>29</v>
      </c>
      <c r="O104" s="64">
        <v>0</v>
      </c>
      <c r="P104" s="64">
        <v>2.12</v>
      </c>
      <c r="Q104" s="64">
        <v>9.73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3.87</v>
      </c>
      <c r="F106" s="67">
        <f t="shared" si="0"/>
        <v>6.11</v>
      </c>
      <c r="G106" s="67">
        <f t="shared" si="0"/>
        <v>94.81</v>
      </c>
      <c r="H106" s="67">
        <f t="shared" si="0"/>
        <v>13.34</v>
      </c>
      <c r="I106" s="67">
        <f t="shared" si="0"/>
        <v>3.75</v>
      </c>
      <c r="J106" s="67">
        <f t="shared" si="0"/>
        <v>0.09</v>
      </c>
      <c r="K106" s="67">
        <f t="shared" si="0"/>
        <v>0.63</v>
      </c>
      <c r="L106" s="67">
        <f t="shared" si="0"/>
        <v>18.47</v>
      </c>
      <c r="M106" s="67">
        <f t="shared" si="0"/>
        <v>11.13</v>
      </c>
      <c r="N106" s="67">
        <f t="shared" si="0"/>
        <v>27.8</v>
      </c>
      <c r="O106" s="67">
        <f t="shared" si="0"/>
        <v>0</v>
      </c>
      <c r="P106" s="67">
        <f t="shared" si="0"/>
        <v>0.68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113.46</v>
      </c>
      <c r="F107" s="66">
        <f t="shared" si="1"/>
        <v>36.799999999999997</v>
      </c>
      <c r="G107" s="66">
        <f t="shared" si="1"/>
        <v>198.18</v>
      </c>
      <c r="H107" s="66">
        <f t="shared" si="1"/>
        <v>117.25</v>
      </c>
      <c r="I107" s="66">
        <f t="shared" si="1"/>
        <v>4.25</v>
      </c>
      <c r="J107" s="66">
        <f t="shared" si="1"/>
        <v>6.81</v>
      </c>
      <c r="K107" s="66">
        <f t="shared" si="1"/>
        <v>359.69</v>
      </c>
      <c r="L107" s="66">
        <f t="shared" si="1"/>
        <v>35.89</v>
      </c>
      <c r="M107" s="66">
        <f t="shared" si="1"/>
        <v>47.21</v>
      </c>
      <c r="N107" s="66">
        <f t="shared" si="1"/>
        <v>608.5</v>
      </c>
      <c r="O107" s="66">
        <f t="shared" si="1"/>
        <v>0</v>
      </c>
      <c r="P107" s="66">
        <f t="shared" si="1"/>
        <v>3.92</v>
      </c>
      <c r="Q107" s="66">
        <f t="shared" si="1"/>
        <v>9.99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37.502812500000005</v>
      </c>
      <c r="F108" s="67">
        <f t="shared" si="2"/>
        <v>15.592812499999999</v>
      </c>
      <c r="G108" s="67">
        <f t="shared" si="2"/>
        <v>129.7714583333333</v>
      </c>
      <c r="H108" s="67">
        <f t="shared" si="2"/>
        <v>42.949531249999978</v>
      </c>
      <c r="I108" s="67">
        <f t="shared" si="2"/>
        <v>3.9963541666666647</v>
      </c>
      <c r="J108" s="67">
        <f t="shared" si="2"/>
        <v>2.1194791666666659</v>
      </c>
      <c r="K108" s="67">
        <f t="shared" si="2"/>
        <v>243.36291666666671</v>
      </c>
      <c r="L108" s="67">
        <f t="shared" si="2"/>
        <v>26.983750000000011</v>
      </c>
      <c r="M108" s="67">
        <f t="shared" si="2"/>
        <v>24.391458333333322</v>
      </c>
      <c r="N108" s="67">
        <f t="shared" si="2"/>
        <v>190.02291666666667</v>
      </c>
      <c r="O108" s="67">
        <f t="shared" si="2"/>
        <v>0</v>
      </c>
      <c r="P108" s="67">
        <f t="shared" si="2"/>
        <v>1.3955208333333335</v>
      </c>
      <c r="Q108" s="67">
        <f t="shared" si="2"/>
        <v>9.3215625000000006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29.017326718726441</v>
      </c>
      <c r="F109" s="67">
        <f t="shared" si="3"/>
        <v>8.1866880011169165</v>
      </c>
      <c r="G109" s="67">
        <f t="shared" si="3"/>
        <v>27.959624460213252</v>
      </c>
      <c r="H109" s="67">
        <f t="shared" si="3"/>
        <v>21.757991958416149</v>
      </c>
      <c r="I109" s="67">
        <f t="shared" si="3"/>
        <v>9.2952956881330318E-2</v>
      </c>
      <c r="J109" s="67">
        <f t="shared" si="3"/>
        <v>1.6976704594929761</v>
      </c>
      <c r="K109" s="67">
        <f t="shared" si="3"/>
        <v>138.64876379137741</v>
      </c>
      <c r="L109" s="67">
        <f t="shared" si="3"/>
        <v>5.5450279767695712</v>
      </c>
      <c r="M109" s="67">
        <f t="shared" si="3"/>
        <v>10.524630557753241</v>
      </c>
      <c r="N109" s="67">
        <f t="shared" si="3"/>
        <v>205.838976657492</v>
      </c>
      <c r="O109" s="67">
        <f t="shared" si="3"/>
        <v>0</v>
      </c>
      <c r="P109" s="67">
        <f t="shared" si="3"/>
        <v>0.68003385332398369</v>
      </c>
      <c r="Q109" s="67">
        <f t="shared" si="3"/>
        <v>2.1200642135880834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COUNT(H9:H104)+32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342</v>
      </c>
      <c r="B9" s="211" t="s">
        <v>43</v>
      </c>
      <c r="C9" s="211" t="s">
        <v>43</v>
      </c>
      <c r="D9" s="211" t="s">
        <v>43</v>
      </c>
      <c r="E9" s="64">
        <v>52.06</v>
      </c>
      <c r="F9" s="64">
        <v>7.01</v>
      </c>
      <c r="G9" s="64">
        <v>186.61</v>
      </c>
      <c r="H9" s="64">
        <v>131.33000000000001</v>
      </c>
      <c r="I9" s="64">
        <v>4.0999999999999996</v>
      </c>
      <c r="J9" s="64">
        <v>1.74</v>
      </c>
      <c r="K9" s="64">
        <v>315.51</v>
      </c>
      <c r="L9" s="64">
        <v>21.35</v>
      </c>
      <c r="M9" s="64">
        <v>39.39</v>
      </c>
      <c r="N9" s="64">
        <v>28.8</v>
      </c>
      <c r="O9" s="64">
        <v>0</v>
      </c>
      <c r="P9" s="64">
        <v>2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5" t="s">
        <v>343</v>
      </c>
      <c r="B10" s="211" t="s">
        <v>43</v>
      </c>
      <c r="C10" s="211" t="s">
        <v>43</v>
      </c>
      <c r="D10" s="211" t="s">
        <v>43</v>
      </c>
      <c r="E10" s="64">
        <v>49.14</v>
      </c>
      <c r="F10" s="64">
        <v>7.07</v>
      </c>
      <c r="G10" s="64">
        <v>186.61</v>
      </c>
      <c r="H10" s="64">
        <v>131.33000000000001</v>
      </c>
      <c r="I10" s="64">
        <v>3.88</v>
      </c>
      <c r="J10" s="64">
        <v>1.1599999999999999</v>
      </c>
      <c r="K10" s="64">
        <v>359.68</v>
      </c>
      <c r="L10" s="64">
        <v>21.24</v>
      </c>
      <c r="M10" s="64">
        <v>40.72</v>
      </c>
      <c r="N10" s="64">
        <v>28.8</v>
      </c>
      <c r="O10" s="64">
        <v>0</v>
      </c>
      <c r="P10" s="64">
        <v>2.09</v>
      </c>
      <c r="Q10" s="64">
        <v>9.82</v>
      </c>
      <c r="R10" s="198"/>
      <c r="S10" s="198"/>
      <c r="T10" s="198"/>
      <c r="U10" s="198"/>
    </row>
    <row r="11" spans="1:21" s="12" customFormat="1" x14ac:dyDescent="0.25">
      <c r="A11" s="215" t="s">
        <v>344</v>
      </c>
      <c r="B11" s="211" t="s">
        <v>43</v>
      </c>
      <c r="C11" s="211" t="s">
        <v>43</v>
      </c>
      <c r="D11" s="211" t="s">
        <v>43</v>
      </c>
      <c r="E11" s="64">
        <v>43.79</v>
      </c>
      <c r="F11" s="64">
        <v>6.96</v>
      </c>
      <c r="G11" s="64">
        <v>186.61</v>
      </c>
      <c r="H11" s="64">
        <v>131.33000000000001</v>
      </c>
      <c r="I11" s="64">
        <v>4.22</v>
      </c>
      <c r="J11" s="64">
        <v>0.76</v>
      </c>
      <c r="K11" s="64">
        <v>11.35</v>
      </c>
      <c r="L11" s="64">
        <v>21.29</v>
      </c>
      <c r="M11" s="64">
        <v>41.71</v>
      </c>
      <c r="N11" s="64">
        <v>28.3</v>
      </c>
      <c r="O11" s="64">
        <v>0</v>
      </c>
      <c r="P11" s="64">
        <v>2.17</v>
      </c>
      <c r="Q11" s="64">
        <v>9.84</v>
      </c>
      <c r="R11" s="198"/>
      <c r="S11" s="198"/>
      <c r="T11" s="198"/>
      <c r="U11" s="198"/>
    </row>
    <row r="12" spans="1:21" s="12" customFormat="1" x14ac:dyDescent="0.25">
      <c r="A12" s="215" t="s">
        <v>345</v>
      </c>
      <c r="B12" s="211" t="s">
        <v>43</v>
      </c>
      <c r="C12" s="211" t="s">
        <v>43</v>
      </c>
      <c r="D12" s="211" t="s">
        <v>43</v>
      </c>
      <c r="E12" s="64">
        <v>36.799999999999997</v>
      </c>
      <c r="F12" s="64">
        <v>6.9</v>
      </c>
      <c r="G12" s="64">
        <v>186.99</v>
      </c>
      <c r="H12" s="64">
        <v>90.77</v>
      </c>
      <c r="I12" s="64">
        <v>4</v>
      </c>
      <c r="J12" s="64">
        <v>1.69</v>
      </c>
      <c r="K12" s="64">
        <v>298.86</v>
      </c>
      <c r="L12" s="64">
        <v>20.84</v>
      </c>
      <c r="M12" s="64">
        <v>48.21</v>
      </c>
      <c r="N12" s="64">
        <v>28.8</v>
      </c>
      <c r="O12" s="64">
        <v>0</v>
      </c>
      <c r="P12" s="64">
        <v>1.98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15" t="s">
        <v>346</v>
      </c>
      <c r="B13" s="211" t="s">
        <v>43</v>
      </c>
      <c r="C13" s="211" t="s">
        <v>43</v>
      </c>
      <c r="D13" s="211" t="s">
        <v>43</v>
      </c>
      <c r="E13" s="64">
        <v>38.68</v>
      </c>
      <c r="F13" s="64">
        <v>6.55</v>
      </c>
      <c r="G13" s="64">
        <v>188.25</v>
      </c>
      <c r="H13" s="6" t="s">
        <v>42</v>
      </c>
      <c r="I13" s="64">
        <v>3.99</v>
      </c>
      <c r="J13" s="64">
        <v>0.84</v>
      </c>
      <c r="K13" s="64">
        <v>228.95</v>
      </c>
      <c r="L13" s="64">
        <v>20.8</v>
      </c>
      <c r="M13" s="64">
        <v>44.91</v>
      </c>
      <c r="N13" s="64">
        <v>28.6</v>
      </c>
      <c r="O13" s="64">
        <v>0</v>
      </c>
      <c r="P13" s="64">
        <v>1.65</v>
      </c>
      <c r="Q13" s="64">
        <v>9.84</v>
      </c>
      <c r="R13" s="198"/>
      <c r="S13" s="198"/>
      <c r="T13" s="198"/>
      <c r="U13" s="198"/>
    </row>
    <row r="14" spans="1:21" s="12" customFormat="1" x14ac:dyDescent="0.25">
      <c r="A14" s="215" t="s">
        <v>347</v>
      </c>
      <c r="B14" s="211" t="s">
        <v>43</v>
      </c>
      <c r="C14" s="211" t="s">
        <v>43</v>
      </c>
      <c r="D14" s="211" t="s">
        <v>43</v>
      </c>
      <c r="E14" s="64">
        <v>34.81</v>
      </c>
      <c r="F14" s="64">
        <v>7.07</v>
      </c>
      <c r="G14" s="64">
        <v>188.25</v>
      </c>
      <c r="H14" s="6" t="s">
        <v>42</v>
      </c>
      <c r="I14" s="64">
        <v>3.96</v>
      </c>
      <c r="J14" s="64">
        <v>0.87</v>
      </c>
      <c r="K14" s="64">
        <v>76.63</v>
      </c>
      <c r="L14" s="64">
        <v>20.84</v>
      </c>
      <c r="M14" s="64">
        <v>46.42</v>
      </c>
      <c r="N14" s="64">
        <v>28.5</v>
      </c>
      <c r="O14" s="64">
        <v>0</v>
      </c>
      <c r="P14" s="64">
        <v>1.92</v>
      </c>
      <c r="Q14" s="64">
        <v>9.86</v>
      </c>
      <c r="R14" s="198"/>
      <c r="S14" s="198"/>
      <c r="T14" s="198"/>
      <c r="U14" s="198"/>
    </row>
    <row r="15" spans="1:21" s="12" customFormat="1" x14ac:dyDescent="0.25">
      <c r="A15" s="215" t="s">
        <v>348</v>
      </c>
      <c r="B15" s="211" t="s">
        <v>43</v>
      </c>
      <c r="C15" s="211" t="s">
        <v>43</v>
      </c>
      <c r="D15" s="211" t="s">
        <v>43</v>
      </c>
      <c r="E15" s="64">
        <v>41.64</v>
      </c>
      <c r="F15" s="64">
        <v>7.15</v>
      </c>
      <c r="G15" s="64">
        <v>188.25</v>
      </c>
      <c r="H15" s="6" t="s">
        <v>42</v>
      </c>
      <c r="I15" s="64">
        <v>3.98</v>
      </c>
      <c r="J15" s="64">
        <v>1.1399999999999999</v>
      </c>
      <c r="K15" s="64">
        <v>313.95</v>
      </c>
      <c r="L15" s="64">
        <v>21.21</v>
      </c>
      <c r="M15" s="64">
        <v>44.41</v>
      </c>
      <c r="N15" s="64">
        <v>28.4</v>
      </c>
      <c r="O15" s="64">
        <v>0</v>
      </c>
      <c r="P15" s="64">
        <v>1.82</v>
      </c>
      <c r="Q15" s="64">
        <v>9.86</v>
      </c>
      <c r="R15" s="198"/>
      <c r="S15" s="198"/>
      <c r="T15" s="198"/>
      <c r="U15" s="198"/>
    </row>
    <row r="16" spans="1:21" s="12" customFormat="1" x14ac:dyDescent="0.25">
      <c r="A16" s="215" t="s">
        <v>349</v>
      </c>
      <c r="B16" s="211" t="s">
        <v>43</v>
      </c>
      <c r="C16" s="211" t="s">
        <v>43</v>
      </c>
      <c r="D16" s="211" t="s">
        <v>43</v>
      </c>
      <c r="E16" s="64">
        <v>6.81</v>
      </c>
      <c r="F16" s="64">
        <v>6.55</v>
      </c>
      <c r="G16" s="64">
        <v>183.99</v>
      </c>
      <c r="H16" s="64">
        <v>58.04</v>
      </c>
      <c r="I16" s="64">
        <v>3.84</v>
      </c>
      <c r="J16" s="64">
        <v>2.16</v>
      </c>
      <c r="K16" s="64">
        <v>193.58</v>
      </c>
      <c r="L16" s="64">
        <v>21.15</v>
      </c>
      <c r="M16" s="64">
        <v>43.44</v>
      </c>
      <c r="N16" s="64">
        <v>27.6</v>
      </c>
      <c r="O16" s="64">
        <v>0</v>
      </c>
      <c r="P16" s="64">
        <v>1.97</v>
      </c>
      <c r="Q16" s="64">
        <v>9.86</v>
      </c>
      <c r="R16" s="198"/>
      <c r="S16" s="198"/>
      <c r="T16" s="198"/>
      <c r="U16" s="198"/>
    </row>
    <row r="17" spans="1:21" s="12" customFormat="1" x14ac:dyDescent="0.25">
      <c r="A17" s="215" t="s">
        <v>350</v>
      </c>
      <c r="B17" s="211" t="s">
        <v>43</v>
      </c>
      <c r="C17" s="211" t="s">
        <v>43</v>
      </c>
      <c r="D17" s="211" t="s">
        <v>43</v>
      </c>
      <c r="E17" s="64">
        <v>7.15</v>
      </c>
      <c r="F17" s="64">
        <v>7.09</v>
      </c>
      <c r="G17" s="64">
        <v>169.98</v>
      </c>
      <c r="H17" s="64">
        <v>187.93</v>
      </c>
      <c r="I17" s="64">
        <v>3.85</v>
      </c>
      <c r="J17" s="64">
        <v>2.11</v>
      </c>
      <c r="K17" s="64">
        <v>187.56</v>
      </c>
      <c r="L17" s="64">
        <v>20.93</v>
      </c>
      <c r="M17" s="64">
        <v>42.91</v>
      </c>
      <c r="N17" s="64">
        <v>28.6</v>
      </c>
      <c r="O17" s="64">
        <v>0</v>
      </c>
      <c r="P17" s="64">
        <v>1.86</v>
      </c>
      <c r="Q17" s="64">
        <v>9.86</v>
      </c>
      <c r="R17" s="198"/>
      <c r="S17" s="198"/>
      <c r="T17" s="198"/>
      <c r="U17" s="198"/>
    </row>
    <row r="18" spans="1:21" s="12" customFormat="1" x14ac:dyDescent="0.25">
      <c r="A18" s="215" t="s">
        <v>351</v>
      </c>
      <c r="B18" s="211" t="s">
        <v>43</v>
      </c>
      <c r="C18" s="211" t="s">
        <v>43</v>
      </c>
      <c r="D18" s="211" t="s">
        <v>43</v>
      </c>
      <c r="E18" s="64">
        <v>6.54</v>
      </c>
      <c r="F18" s="64">
        <v>7.02</v>
      </c>
      <c r="G18" s="64">
        <v>169.98</v>
      </c>
      <c r="H18" s="64">
        <v>187.93</v>
      </c>
      <c r="I18" s="64">
        <v>4.09</v>
      </c>
      <c r="J18" s="64">
        <v>1.92</v>
      </c>
      <c r="K18" s="64">
        <v>186.1</v>
      </c>
      <c r="L18" s="64">
        <v>20.49</v>
      </c>
      <c r="M18" s="64">
        <v>45.88</v>
      </c>
      <c r="N18" s="64">
        <v>28.6</v>
      </c>
      <c r="O18" s="64">
        <v>0</v>
      </c>
      <c r="P18" s="64">
        <v>1.85</v>
      </c>
      <c r="Q18" s="64">
        <v>9.84</v>
      </c>
      <c r="R18" s="198"/>
      <c r="S18" s="198"/>
      <c r="T18" s="198"/>
      <c r="U18" s="198"/>
    </row>
    <row r="19" spans="1:21" s="12" customFormat="1" x14ac:dyDescent="0.25">
      <c r="A19" s="215" t="s">
        <v>352</v>
      </c>
      <c r="B19" s="211" t="s">
        <v>43</v>
      </c>
      <c r="C19" s="211" t="s">
        <v>43</v>
      </c>
      <c r="D19" s="211" t="s">
        <v>43</v>
      </c>
      <c r="E19" s="64">
        <v>7.28</v>
      </c>
      <c r="F19" s="64">
        <v>8.2100000000000009</v>
      </c>
      <c r="G19" s="64">
        <v>169.98</v>
      </c>
      <c r="H19" s="64">
        <v>187.93</v>
      </c>
      <c r="I19" s="64">
        <v>4.04</v>
      </c>
      <c r="J19" s="64">
        <v>1.19</v>
      </c>
      <c r="K19" s="64">
        <v>222.4</v>
      </c>
      <c r="L19" s="64">
        <v>20.39</v>
      </c>
      <c r="M19" s="64">
        <v>43.87</v>
      </c>
      <c r="N19" s="64">
        <v>28.6</v>
      </c>
      <c r="O19" s="64">
        <v>0</v>
      </c>
      <c r="P19" s="64">
        <v>1.66</v>
      </c>
      <c r="Q19" s="64">
        <v>9.83</v>
      </c>
      <c r="R19" s="198"/>
      <c r="S19" s="198"/>
      <c r="T19" s="198"/>
      <c r="U19" s="198"/>
    </row>
    <row r="20" spans="1:21" s="12" customFormat="1" x14ac:dyDescent="0.25">
      <c r="A20" s="215" t="s">
        <v>353</v>
      </c>
      <c r="B20" s="211" t="s">
        <v>43</v>
      </c>
      <c r="C20" s="211" t="s">
        <v>43</v>
      </c>
      <c r="D20" s="211" t="s">
        <v>43</v>
      </c>
      <c r="E20" s="64">
        <v>8.66</v>
      </c>
      <c r="F20" s="64">
        <v>8.61</v>
      </c>
      <c r="G20" s="64">
        <v>159.54</v>
      </c>
      <c r="H20" s="64">
        <v>146.94</v>
      </c>
      <c r="I20" s="64">
        <v>3.84</v>
      </c>
      <c r="J20" s="64">
        <v>1.82</v>
      </c>
      <c r="K20" s="64">
        <v>329.39</v>
      </c>
      <c r="L20" s="64">
        <v>19.95</v>
      </c>
      <c r="M20" s="64">
        <v>46.76</v>
      </c>
      <c r="N20" s="64">
        <v>28.9</v>
      </c>
      <c r="O20" s="64">
        <v>0</v>
      </c>
      <c r="P20" s="64">
        <v>1.6</v>
      </c>
      <c r="Q20" s="64">
        <v>9.83</v>
      </c>
      <c r="R20" s="198"/>
      <c r="S20" s="198"/>
      <c r="T20" s="198"/>
      <c r="U20" s="198"/>
    </row>
    <row r="21" spans="1:21" s="12" customFormat="1" x14ac:dyDescent="0.25">
      <c r="A21" s="215" t="s">
        <v>354</v>
      </c>
      <c r="B21" s="211" t="s">
        <v>43</v>
      </c>
      <c r="C21" s="211" t="s">
        <v>43</v>
      </c>
      <c r="D21" s="211" t="s">
        <v>43</v>
      </c>
      <c r="E21" s="64">
        <v>7.35</v>
      </c>
      <c r="F21" s="64">
        <v>7.28</v>
      </c>
      <c r="G21" s="64">
        <v>125.22</v>
      </c>
      <c r="H21" s="64">
        <v>27.88</v>
      </c>
      <c r="I21" s="64">
        <v>4.1100000000000003</v>
      </c>
      <c r="J21" s="64">
        <v>1.32</v>
      </c>
      <c r="K21" s="64">
        <v>325.61</v>
      </c>
      <c r="L21" s="64">
        <v>19.34</v>
      </c>
      <c r="M21" s="64">
        <v>49</v>
      </c>
      <c r="N21" s="64">
        <v>28.7</v>
      </c>
      <c r="O21" s="64">
        <v>0</v>
      </c>
      <c r="P21" s="64">
        <v>1.59</v>
      </c>
      <c r="Q21" s="64">
        <v>9.83</v>
      </c>
      <c r="R21" s="198"/>
      <c r="S21" s="198"/>
      <c r="T21" s="198"/>
      <c r="U21" s="198"/>
    </row>
    <row r="22" spans="1:21" s="12" customFormat="1" x14ac:dyDescent="0.25">
      <c r="A22" s="215" t="s">
        <v>355</v>
      </c>
      <c r="B22" s="211" t="s">
        <v>43</v>
      </c>
      <c r="C22" s="211" t="s">
        <v>43</v>
      </c>
      <c r="D22" s="211" t="s">
        <v>43</v>
      </c>
      <c r="E22" s="64">
        <v>8.51</v>
      </c>
      <c r="F22" s="64">
        <v>9.36</v>
      </c>
      <c r="G22" s="64">
        <v>125.22</v>
      </c>
      <c r="H22" s="64">
        <v>27.88</v>
      </c>
      <c r="I22" s="64">
        <v>3.99</v>
      </c>
      <c r="J22" s="64">
        <v>0.98</v>
      </c>
      <c r="K22" s="64">
        <v>103.29</v>
      </c>
      <c r="L22" s="64">
        <v>19.52</v>
      </c>
      <c r="M22" s="64">
        <v>42.36</v>
      </c>
      <c r="N22" s="64">
        <v>28.6</v>
      </c>
      <c r="O22" s="64">
        <v>0</v>
      </c>
      <c r="P22" s="64">
        <v>1.42</v>
      </c>
      <c r="Q22" s="64">
        <v>9.82</v>
      </c>
      <c r="R22" s="198"/>
      <c r="S22" s="198"/>
      <c r="T22" s="198"/>
      <c r="U22" s="198"/>
    </row>
    <row r="23" spans="1:21" s="12" customFormat="1" x14ac:dyDescent="0.25">
      <c r="A23" s="215" t="s">
        <v>356</v>
      </c>
      <c r="B23" s="211" t="s">
        <v>43</v>
      </c>
      <c r="C23" s="211" t="s">
        <v>43</v>
      </c>
      <c r="D23" s="211" t="s">
        <v>43</v>
      </c>
      <c r="E23" s="64">
        <v>7.69</v>
      </c>
      <c r="F23" s="64">
        <v>9.8699999999999992</v>
      </c>
      <c r="G23" s="64">
        <v>125.22</v>
      </c>
      <c r="H23" s="64">
        <v>27.88</v>
      </c>
      <c r="I23" s="64">
        <v>4.1500000000000004</v>
      </c>
      <c r="J23" s="64">
        <v>0.85</v>
      </c>
      <c r="K23" s="64">
        <v>103.52</v>
      </c>
      <c r="L23" s="64">
        <v>19.739999999999998</v>
      </c>
      <c r="M23" s="64">
        <v>39.17</v>
      </c>
      <c r="N23" s="64">
        <v>28.3</v>
      </c>
      <c r="O23" s="64">
        <v>0</v>
      </c>
      <c r="P23" s="64">
        <v>1.39</v>
      </c>
      <c r="Q23" s="64">
        <v>9.8000000000000007</v>
      </c>
      <c r="R23" s="198"/>
      <c r="S23" s="198"/>
      <c r="T23" s="198"/>
      <c r="U23" s="198"/>
    </row>
    <row r="24" spans="1:21" s="12" customFormat="1" x14ac:dyDescent="0.25">
      <c r="A24" s="215" t="s">
        <v>357</v>
      </c>
      <c r="B24" s="211" t="s">
        <v>43</v>
      </c>
      <c r="C24" s="211" t="s">
        <v>43</v>
      </c>
      <c r="D24" s="211" t="s">
        <v>43</v>
      </c>
      <c r="E24" s="64">
        <v>7.09</v>
      </c>
      <c r="F24" s="64">
        <v>8.73</v>
      </c>
      <c r="G24" s="64">
        <v>121.66</v>
      </c>
      <c r="H24" s="64">
        <v>54.63</v>
      </c>
      <c r="I24" s="64">
        <v>4.05</v>
      </c>
      <c r="J24" s="64">
        <v>1.42</v>
      </c>
      <c r="K24" s="64">
        <v>332.25</v>
      </c>
      <c r="L24" s="64">
        <v>19.809999999999999</v>
      </c>
      <c r="M24" s="64">
        <v>40.21</v>
      </c>
      <c r="N24" s="64">
        <v>28.6</v>
      </c>
      <c r="O24" s="64">
        <v>0</v>
      </c>
      <c r="P24" s="64">
        <v>1.39</v>
      </c>
      <c r="Q24" s="64">
        <v>9.7899999999999991</v>
      </c>
      <c r="R24" s="198"/>
      <c r="S24" s="198"/>
      <c r="T24" s="198"/>
      <c r="U24" s="198"/>
    </row>
    <row r="25" spans="1:21" s="12" customFormat="1" x14ac:dyDescent="0.25">
      <c r="A25" s="215" t="s">
        <v>358</v>
      </c>
      <c r="B25" s="211" t="s">
        <v>43</v>
      </c>
      <c r="C25" s="211" t="s">
        <v>43</v>
      </c>
      <c r="D25" s="211" t="s">
        <v>43</v>
      </c>
      <c r="E25" s="64">
        <v>5.84</v>
      </c>
      <c r="F25" s="64">
        <v>8.3000000000000007</v>
      </c>
      <c r="G25" s="64">
        <v>109.97</v>
      </c>
      <c r="H25" s="64">
        <v>160.16</v>
      </c>
      <c r="I25" s="64">
        <v>4.1100000000000003</v>
      </c>
      <c r="J25" s="64">
        <v>1.87</v>
      </c>
      <c r="K25" s="64">
        <v>316.77999999999997</v>
      </c>
      <c r="L25" s="64">
        <v>19.7</v>
      </c>
      <c r="M25" s="64">
        <v>40.57</v>
      </c>
      <c r="N25" s="64">
        <v>28.1</v>
      </c>
      <c r="O25" s="64">
        <v>0</v>
      </c>
      <c r="P25" s="64">
        <v>1.41</v>
      </c>
      <c r="Q25" s="64">
        <v>9.7799999999999994</v>
      </c>
      <c r="R25" s="198"/>
      <c r="S25" s="198"/>
      <c r="T25" s="198"/>
      <c r="U25" s="198"/>
    </row>
    <row r="26" spans="1:21" s="12" customFormat="1" x14ac:dyDescent="0.25">
      <c r="A26" s="215" t="s">
        <v>359</v>
      </c>
      <c r="B26" s="211" t="s">
        <v>43</v>
      </c>
      <c r="C26" s="211" t="s">
        <v>43</v>
      </c>
      <c r="D26" s="211" t="s">
        <v>43</v>
      </c>
      <c r="E26" s="64">
        <v>7.57</v>
      </c>
      <c r="F26" s="64">
        <v>10.41</v>
      </c>
      <c r="G26" s="64">
        <v>109.97</v>
      </c>
      <c r="H26" s="64">
        <v>160.16</v>
      </c>
      <c r="I26" s="64">
        <v>4.0199999999999996</v>
      </c>
      <c r="J26" s="64">
        <v>0.92</v>
      </c>
      <c r="K26" s="64">
        <v>332.13</v>
      </c>
      <c r="L26" s="64">
        <v>19.73</v>
      </c>
      <c r="M26" s="64">
        <v>40.200000000000003</v>
      </c>
      <c r="N26" s="64">
        <v>28.5</v>
      </c>
      <c r="O26" s="64">
        <v>0</v>
      </c>
      <c r="P26" s="64">
        <v>1.1200000000000001</v>
      </c>
      <c r="Q26" s="64">
        <v>9.76</v>
      </c>
      <c r="R26" s="198"/>
      <c r="S26" s="198"/>
      <c r="T26" s="198"/>
      <c r="U26" s="198"/>
    </row>
    <row r="27" spans="1:21" s="12" customFormat="1" x14ac:dyDescent="0.25">
      <c r="A27" s="215" t="s">
        <v>360</v>
      </c>
      <c r="B27" s="211" t="s">
        <v>43</v>
      </c>
      <c r="C27" s="211" t="s">
        <v>43</v>
      </c>
      <c r="D27" s="211" t="s">
        <v>43</v>
      </c>
      <c r="E27" s="64">
        <v>10.1</v>
      </c>
      <c r="F27" s="64">
        <v>11.5</v>
      </c>
      <c r="G27" s="64">
        <v>109.97</v>
      </c>
      <c r="H27" s="64">
        <v>160.16</v>
      </c>
      <c r="I27" s="64">
        <v>3.97</v>
      </c>
      <c r="J27" s="64">
        <v>2.08</v>
      </c>
      <c r="K27" s="64">
        <v>346.3</v>
      </c>
      <c r="L27" s="64">
        <v>19.91</v>
      </c>
      <c r="M27" s="64">
        <v>39.659999999999997</v>
      </c>
      <c r="N27" s="64">
        <v>28.5</v>
      </c>
      <c r="O27" s="64">
        <v>0</v>
      </c>
      <c r="P27" s="64">
        <v>1.17</v>
      </c>
      <c r="Q27" s="64">
        <v>9.77</v>
      </c>
      <c r="R27" s="198"/>
      <c r="S27" s="198"/>
      <c r="T27" s="198"/>
      <c r="U27" s="198"/>
    </row>
    <row r="28" spans="1:21" s="12" customFormat="1" x14ac:dyDescent="0.25">
      <c r="A28" s="215" t="s">
        <v>361</v>
      </c>
      <c r="B28" s="211" t="s">
        <v>43</v>
      </c>
      <c r="C28" s="211" t="s">
        <v>43</v>
      </c>
      <c r="D28" s="211" t="s">
        <v>43</v>
      </c>
      <c r="E28" s="64">
        <v>9.77</v>
      </c>
      <c r="F28" s="64">
        <v>10.92</v>
      </c>
      <c r="G28" s="64">
        <v>106.13</v>
      </c>
      <c r="H28" s="64">
        <v>127.16</v>
      </c>
      <c r="I28" s="64">
        <v>4.12</v>
      </c>
      <c r="J28" s="64">
        <v>2.46</v>
      </c>
      <c r="K28" s="64">
        <v>340.94</v>
      </c>
      <c r="L28" s="64">
        <v>19.96</v>
      </c>
      <c r="M28" s="64">
        <v>38.700000000000003</v>
      </c>
      <c r="N28" s="64">
        <v>28.3</v>
      </c>
      <c r="O28" s="64">
        <v>0</v>
      </c>
      <c r="P28" s="64">
        <v>1.1000000000000001</v>
      </c>
      <c r="Q28" s="64">
        <v>9.76</v>
      </c>
      <c r="R28" s="198"/>
      <c r="S28" s="198"/>
      <c r="T28" s="198"/>
      <c r="U28" s="198"/>
    </row>
    <row r="29" spans="1:21" s="12" customFormat="1" x14ac:dyDescent="0.25">
      <c r="A29" s="215" t="s">
        <v>362</v>
      </c>
      <c r="B29" s="211" t="s">
        <v>43</v>
      </c>
      <c r="C29" s="211" t="s">
        <v>43</v>
      </c>
      <c r="D29" s="211" t="s">
        <v>43</v>
      </c>
      <c r="E29" s="64">
        <v>10.56</v>
      </c>
      <c r="F29" s="64">
        <v>8.7100000000000009</v>
      </c>
      <c r="G29" s="64">
        <v>93.49</v>
      </c>
      <c r="H29" s="64">
        <v>53.29</v>
      </c>
      <c r="I29" s="64">
        <v>4.1399999999999997</v>
      </c>
      <c r="J29" s="64">
        <v>2.4500000000000002</v>
      </c>
      <c r="K29" s="64">
        <v>332.18</v>
      </c>
      <c r="L29" s="64">
        <v>20.13</v>
      </c>
      <c r="M29" s="64">
        <v>36.979999999999997</v>
      </c>
      <c r="N29" s="64">
        <v>28.3</v>
      </c>
      <c r="O29" s="64">
        <v>0</v>
      </c>
      <c r="P29" s="64">
        <v>1.17</v>
      </c>
      <c r="Q29" s="64">
        <v>9.76</v>
      </c>
      <c r="R29" s="198"/>
      <c r="S29" s="198"/>
      <c r="T29" s="198"/>
      <c r="U29" s="198"/>
    </row>
    <row r="30" spans="1:21" s="12" customFormat="1" x14ac:dyDescent="0.25">
      <c r="A30" s="215" t="s">
        <v>363</v>
      </c>
      <c r="B30" s="211" t="s">
        <v>43</v>
      </c>
      <c r="C30" s="211" t="s">
        <v>43</v>
      </c>
      <c r="D30" s="211" t="s">
        <v>43</v>
      </c>
      <c r="E30" s="64">
        <v>19.09</v>
      </c>
      <c r="F30" s="64">
        <v>10.1</v>
      </c>
      <c r="G30" s="64">
        <v>93.49</v>
      </c>
      <c r="H30" s="64">
        <v>53.29</v>
      </c>
      <c r="I30" s="64">
        <v>3.98</v>
      </c>
      <c r="J30" s="64">
        <v>1.86</v>
      </c>
      <c r="K30" s="64">
        <v>318.23</v>
      </c>
      <c r="L30" s="64">
        <v>20.29</v>
      </c>
      <c r="M30" s="64">
        <v>34.9</v>
      </c>
      <c r="N30" s="64">
        <v>28.7</v>
      </c>
      <c r="O30" s="64">
        <v>0</v>
      </c>
      <c r="P30" s="64">
        <v>1.0900000000000001</v>
      </c>
      <c r="Q30" s="64">
        <v>9.76</v>
      </c>
      <c r="R30" s="198"/>
      <c r="S30" s="198"/>
      <c r="T30" s="198"/>
      <c r="U30" s="198"/>
    </row>
    <row r="31" spans="1:21" s="12" customFormat="1" x14ac:dyDescent="0.25">
      <c r="A31" s="215" t="s">
        <v>364</v>
      </c>
      <c r="B31" s="211" t="s">
        <v>43</v>
      </c>
      <c r="C31" s="211" t="s">
        <v>43</v>
      </c>
      <c r="D31" s="211" t="s">
        <v>43</v>
      </c>
      <c r="E31" s="64">
        <v>19.07</v>
      </c>
      <c r="F31" s="64">
        <v>11.69</v>
      </c>
      <c r="G31" s="64">
        <v>93.49</v>
      </c>
      <c r="H31" s="64">
        <v>53.29</v>
      </c>
      <c r="I31" s="64">
        <v>3.88</v>
      </c>
      <c r="J31" s="64">
        <v>0.73</v>
      </c>
      <c r="K31" s="64">
        <v>346.13</v>
      </c>
      <c r="L31" s="64">
        <v>20.41</v>
      </c>
      <c r="M31" s="64">
        <v>34.159999999999997</v>
      </c>
      <c r="N31" s="64">
        <v>29.1</v>
      </c>
      <c r="O31" s="64">
        <v>0</v>
      </c>
      <c r="P31" s="64">
        <v>1.06</v>
      </c>
      <c r="Q31" s="64">
        <v>9.76</v>
      </c>
      <c r="R31" s="198"/>
      <c r="S31" s="198"/>
      <c r="T31" s="198"/>
      <c r="U31" s="198"/>
    </row>
    <row r="32" spans="1:21" s="12" customFormat="1" x14ac:dyDescent="0.25">
      <c r="A32" s="215" t="s">
        <v>365</v>
      </c>
      <c r="B32" s="211" t="s">
        <v>43</v>
      </c>
      <c r="C32" s="211" t="s">
        <v>43</v>
      </c>
      <c r="D32" s="211" t="s">
        <v>43</v>
      </c>
      <c r="E32" s="64">
        <v>20.28</v>
      </c>
      <c r="F32" s="64">
        <v>9.49</v>
      </c>
      <c r="G32" s="64">
        <v>95.29</v>
      </c>
      <c r="H32" s="64">
        <v>41.98</v>
      </c>
      <c r="I32" s="64">
        <v>3.9</v>
      </c>
      <c r="J32" s="64">
        <v>1.81</v>
      </c>
      <c r="K32" s="64">
        <v>265.32</v>
      </c>
      <c r="L32" s="64">
        <v>20.61</v>
      </c>
      <c r="M32" s="64">
        <v>33.4</v>
      </c>
      <c r="N32" s="64">
        <v>31.5</v>
      </c>
      <c r="O32" s="64">
        <v>0</v>
      </c>
      <c r="P32" s="64">
        <v>1.1499999999999999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15" t="s">
        <v>366</v>
      </c>
      <c r="B33" s="211" t="s">
        <v>43</v>
      </c>
      <c r="C33" s="211" t="s">
        <v>43</v>
      </c>
      <c r="D33" s="211" t="s">
        <v>43</v>
      </c>
      <c r="E33" s="64">
        <v>13.69</v>
      </c>
      <c r="F33" s="64">
        <v>7.44</v>
      </c>
      <c r="G33" s="64">
        <v>101.21</v>
      </c>
      <c r="H33" s="6" t="s">
        <v>42</v>
      </c>
      <c r="I33" s="64">
        <v>4.0999999999999996</v>
      </c>
      <c r="J33" s="64">
        <v>1.82</v>
      </c>
      <c r="K33" s="64">
        <v>295.11</v>
      </c>
      <c r="L33" s="64">
        <v>20.91</v>
      </c>
      <c r="M33" s="64">
        <v>32.86</v>
      </c>
      <c r="N33" s="64">
        <v>35.9</v>
      </c>
      <c r="O33" s="64">
        <v>0</v>
      </c>
      <c r="P33" s="64">
        <v>1.33</v>
      </c>
      <c r="Q33" s="64">
        <v>9.73</v>
      </c>
      <c r="R33" s="198"/>
      <c r="S33" s="198"/>
      <c r="T33" s="198"/>
      <c r="U33" s="198"/>
    </row>
    <row r="34" spans="1:21" s="12" customFormat="1" x14ac:dyDescent="0.25">
      <c r="A34" s="215" t="s">
        <v>367</v>
      </c>
      <c r="B34" s="211" t="s">
        <v>43</v>
      </c>
      <c r="C34" s="211" t="s">
        <v>43</v>
      </c>
      <c r="D34" s="211" t="s">
        <v>43</v>
      </c>
      <c r="E34" s="64">
        <v>5.32</v>
      </c>
      <c r="F34" s="64">
        <v>6.55</v>
      </c>
      <c r="G34" s="64">
        <v>101.21</v>
      </c>
      <c r="H34" s="6" t="s">
        <v>42</v>
      </c>
      <c r="I34" s="64">
        <v>4</v>
      </c>
      <c r="J34" s="64">
        <v>2.0099999999999998</v>
      </c>
      <c r="K34" s="64">
        <v>297.05</v>
      </c>
      <c r="L34" s="64">
        <v>20.76</v>
      </c>
      <c r="M34" s="64">
        <v>35.799999999999997</v>
      </c>
      <c r="N34" s="64">
        <v>43.1</v>
      </c>
      <c r="O34" s="64">
        <v>0</v>
      </c>
      <c r="P34" s="64">
        <v>1.34</v>
      </c>
      <c r="Q34" s="64">
        <v>9.74</v>
      </c>
      <c r="R34" s="198"/>
      <c r="S34" s="198"/>
      <c r="T34" s="198"/>
      <c r="U34" s="198"/>
    </row>
    <row r="35" spans="1:21" s="12" customFormat="1" x14ac:dyDescent="0.25">
      <c r="A35" s="215" t="s">
        <v>368</v>
      </c>
      <c r="B35" s="211" t="s">
        <v>43</v>
      </c>
      <c r="C35" s="211" t="s">
        <v>43</v>
      </c>
      <c r="D35" s="211" t="s">
        <v>43</v>
      </c>
      <c r="E35" s="64">
        <v>7.15</v>
      </c>
      <c r="F35" s="64">
        <v>7.92</v>
      </c>
      <c r="G35" s="64">
        <v>101.21</v>
      </c>
      <c r="H35" s="6" t="s">
        <v>42</v>
      </c>
      <c r="I35" s="64">
        <v>4.0999999999999996</v>
      </c>
      <c r="J35" s="64">
        <v>2.27</v>
      </c>
      <c r="K35" s="64">
        <v>334.25</v>
      </c>
      <c r="L35" s="64">
        <v>20.8</v>
      </c>
      <c r="M35" s="64">
        <v>36.840000000000003</v>
      </c>
      <c r="N35" s="64">
        <v>47.5</v>
      </c>
      <c r="O35" s="64">
        <v>0</v>
      </c>
      <c r="P35" s="64">
        <v>1.36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5" t="s">
        <v>369</v>
      </c>
      <c r="B36" s="211" t="s">
        <v>43</v>
      </c>
      <c r="C36" s="211" t="s">
        <v>43</v>
      </c>
      <c r="D36" s="211" t="s">
        <v>43</v>
      </c>
      <c r="E36" s="64">
        <v>6.21</v>
      </c>
      <c r="F36" s="64">
        <v>7.58</v>
      </c>
      <c r="G36" s="64">
        <v>108.54</v>
      </c>
      <c r="H36" s="6" t="s">
        <v>42</v>
      </c>
      <c r="I36" s="64">
        <v>3.98</v>
      </c>
      <c r="J36" s="64">
        <v>2.46</v>
      </c>
      <c r="K36" s="64">
        <v>332.43</v>
      </c>
      <c r="L36" s="64">
        <v>21.19</v>
      </c>
      <c r="M36" s="64">
        <v>33</v>
      </c>
      <c r="N36" s="64">
        <v>55.8</v>
      </c>
      <c r="O36" s="64">
        <v>0</v>
      </c>
      <c r="P36" s="64">
        <v>1.33</v>
      </c>
      <c r="Q36" s="64">
        <v>9.6999999999999993</v>
      </c>
      <c r="R36" s="198"/>
      <c r="S36" s="198"/>
      <c r="T36" s="198"/>
      <c r="U36" s="198"/>
    </row>
    <row r="37" spans="1:21" s="12" customFormat="1" x14ac:dyDescent="0.25">
      <c r="A37" s="215" t="s">
        <v>370</v>
      </c>
      <c r="B37" s="211" t="s">
        <v>43</v>
      </c>
      <c r="C37" s="211" t="s">
        <v>43</v>
      </c>
      <c r="D37" s="211" t="s">
        <v>43</v>
      </c>
      <c r="E37" s="64">
        <v>6.78</v>
      </c>
      <c r="F37" s="64">
        <v>8.27</v>
      </c>
      <c r="G37" s="64">
        <v>132.66</v>
      </c>
      <c r="H37" s="6" t="s">
        <v>42</v>
      </c>
      <c r="I37" s="64">
        <v>3.88</v>
      </c>
      <c r="J37" s="64">
        <v>2.5</v>
      </c>
      <c r="K37" s="64">
        <v>346.69</v>
      </c>
      <c r="L37" s="64">
        <v>21.8</v>
      </c>
      <c r="M37" s="64">
        <v>31.59</v>
      </c>
      <c r="N37" s="64">
        <v>73.099999999999994</v>
      </c>
      <c r="O37" s="64">
        <v>0</v>
      </c>
      <c r="P37" s="64">
        <v>1.38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5" t="s">
        <v>371</v>
      </c>
      <c r="B38" s="211" t="s">
        <v>43</v>
      </c>
      <c r="C38" s="211" t="s">
        <v>43</v>
      </c>
      <c r="D38" s="211" t="s">
        <v>43</v>
      </c>
      <c r="E38" s="64">
        <v>6.06</v>
      </c>
      <c r="F38" s="64">
        <v>7.34</v>
      </c>
      <c r="G38" s="64">
        <v>132.66</v>
      </c>
      <c r="H38" s="6" t="s">
        <v>42</v>
      </c>
      <c r="I38" s="64">
        <v>3.95</v>
      </c>
      <c r="J38" s="64">
        <v>2.52</v>
      </c>
      <c r="K38" s="64">
        <v>335.89</v>
      </c>
      <c r="L38" s="64">
        <v>22.37</v>
      </c>
      <c r="M38" s="64">
        <v>30.09</v>
      </c>
      <c r="N38" s="64">
        <v>87.3</v>
      </c>
      <c r="O38" s="64">
        <v>0</v>
      </c>
      <c r="P38" s="64">
        <v>1.43</v>
      </c>
      <c r="Q38" s="64">
        <v>9.6999999999999993</v>
      </c>
      <c r="R38" s="198"/>
      <c r="S38" s="198"/>
      <c r="T38" s="198"/>
      <c r="U38" s="198"/>
    </row>
    <row r="39" spans="1:21" s="12" customFormat="1" x14ac:dyDescent="0.25">
      <c r="A39" s="215" t="s">
        <v>372</v>
      </c>
      <c r="B39" s="211" t="s">
        <v>43</v>
      </c>
      <c r="C39" s="211" t="s">
        <v>43</v>
      </c>
      <c r="D39" s="211" t="s">
        <v>43</v>
      </c>
      <c r="E39" s="64">
        <v>4.74</v>
      </c>
      <c r="F39" s="64">
        <v>6.64</v>
      </c>
      <c r="G39" s="64">
        <v>132.66</v>
      </c>
      <c r="H39" s="6" t="s">
        <v>42</v>
      </c>
      <c r="I39" s="64">
        <v>4.05</v>
      </c>
      <c r="J39" s="64">
        <v>2.8</v>
      </c>
      <c r="K39" s="64">
        <v>324.12</v>
      </c>
      <c r="L39" s="64">
        <v>22.72</v>
      </c>
      <c r="M39" s="64">
        <v>28.43</v>
      </c>
      <c r="N39" s="64">
        <v>101.7</v>
      </c>
      <c r="O39" s="64">
        <v>0</v>
      </c>
      <c r="P39" s="64">
        <v>1.42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5" t="s">
        <v>373</v>
      </c>
      <c r="B40" s="211" t="s">
        <v>43</v>
      </c>
      <c r="C40" s="211" t="s">
        <v>43</v>
      </c>
      <c r="D40" s="211" t="s">
        <v>43</v>
      </c>
      <c r="E40" s="64">
        <v>5.2</v>
      </c>
      <c r="F40" s="64">
        <v>6.88</v>
      </c>
      <c r="G40" s="64">
        <v>130.38</v>
      </c>
      <c r="H40" s="6" t="s">
        <v>42</v>
      </c>
      <c r="I40" s="64">
        <v>3.95</v>
      </c>
      <c r="J40" s="64">
        <v>3.05</v>
      </c>
      <c r="K40" s="64">
        <v>331.69</v>
      </c>
      <c r="L40" s="64">
        <v>23.04</v>
      </c>
      <c r="M40" s="64">
        <v>28.44</v>
      </c>
      <c r="N40" s="64">
        <v>123.5</v>
      </c>
      <c r="O40" s="64">
        <v>0</v>
      </c>
      <c r="P40" s="64">
        <v>1.39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15" t="s">
        <v>374</v>
      </c>
      <c r="B41" s="211" t="s">
        <v>43</v>
      </c>
      <c r="C41" s="211" t="s">
        <v>43</v>
      </c>
      <c r="D41" s="211" t="s">
        <v>43</v>
      </c>
      <c r="E41" s="64">
        <v>6.12</v>
      </c>
      <c r="F41" s="64">
        <v>7.72</v>
      </c>
      <c r="G41" s="64">
        <v>122.87</v>
      </c>
      <c r="H41" s="6" t="s">
        <v>42</v>
      </c>
      <c r="I41" s="64">
        <v>3.92</v>
      </c>
      <c r="J41" s="64">
        <v>2.92</v>
      </c>
      <c r="K41" s="64">
        <v>333.21</v>
      </c>
      <c r="L41" s="64">
        <v>23.46</v>
      </c>
      <c r="M41" s="64">
        <v>27.94</v>
      </c>
      <c r="N41" s="64">
        <v>132.80000000000001</v>
      </c>
      <c r="O41" s="64">
        <v>0</v>
      </c>
      <c r="P41" s="64">
        <v>1.38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5" t="s">
        <v>375</v>
      </c>
      <c r="B42" s="211" t="s">
        <v>43</v>
      </c>
      <c r="C42" s="211" t="s">
        <v>43</v>
      </c>
      <c r="D42" s="211" t="s">
        <v>43</v>
      </c>
      <c r="E42" s="64">
        <v>6.89</v>
      </c>
      <c r="F42" s="64">
        <v>8.19</v>
      </c>
      <c r="G42" s="64">
        <v>122.87</v>
      </c>
      <c r="H42" s="6" t="s">
        <v>42</v>
      </c>
      <c r="I42" s="64">
        <v>3.9</v>
      </c>
      <c r="J42" s="64">
        <v>2.29</v>
      </c>
      <c r="K42" s="64">
        <v>324.58</v>
      </c>
      <c r="L42" s="64">
        <v>23.95</v>
      </c>
      <c r="M42" s="64">
        <v>27.55</v>
      </c>
      <c r="N42" s="64">
        <v>165.1</v>
      </c>
      <c r="O42" s="64">
        <v>0</v>
      </c>
      <c r="P42" s="64">
        <v>1.35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15" t="s">
        <v>376</v>
      </c>
      <c r="B43" s="211" t="s">
        <v>43</v>
      </c>
      <c r="C43" s="211" t="s">
        <v>43</v>
      </c>
      <c r="D43" s="211" t="s">
        <v>43</v>
      </c>
      <c r="E43" s="64">
        <v>12.31</v>
      </c>
      <c r="F43" s="64">
        <v>10.77</v>
      </c>
      <c r="G43" s="64">
        <v>122.87</v>
      </c>
      <c r="H43" s="6" t="s">
        <v>42</v>
      </c>
      <c r="I43" s="64">
        <v>3.95</v>
      </c>
      <c r="J43" s="64">
        <v>1.6</v>
      </c>
      <c r="K43" s="64">
        <v>329.87</v>
      </c>
      <c r="L43" s="64">
        <v>25.13</v>
      </c>
      <c r="M43" s="64">
        <v>26.37</v>
      </c>
      <c r="N43" s="64">
        <v>204.3</v>
      </c>
      <c r="O43" s="64">
        <v>0</v>
      </c>
      <c r="P43" s="64">
        <v>1.35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5" t="s">
        <v>377</v>
      </c>
      <c r="B44" s="211" t="s">
        <v>43</v>
      </c>
      <c r="C44" s="211" t="s">
        <v>43</v>
      </c>
      <c r="D44" s="211" t="s">
        <v>43</v>
      </c>
      <c r="E44" s="64">
        <v>22.86</v>
      </c>
      <c r="F44" s="64">
        <v>15.1</v>
      </c>
      <c r="G44" s="64">
        <v>118.14</v>
      </c>
      <c r="H44" s="64">
        <v>76.73</v>
      </c>
      <c r="I44" s="64">
        <v>3.84</v>
      </c>
      <c r="J44" s="64">
        <v>1.53</v>
      </c>
      <c r="K44" s="64">
        <v>327.39</v>
      </c>
      <c r="L44" s="64">
        <v>26.16</v>
      </c>
      <c r="M44" s="64">
        <v>24.84</v>
      </c>
      <c r="N44" s="64">
        <v>252.7</v>
      </c>
      <c r="O44" s="64">
        <v>0</v>
      </c>
      <c r="P44" s="64">
        <v>1.33</v>
      </c>
      <c r="Q44" s="64">
        <v>9.68</v>
      </c>
      <c r="R44" s="198"/>
      <c r="S44" s="198"/>
      <c r="T44" s="198"/>
      <c r="U44" s="198"/>
    </row>
    <row r="45" spans="1:21" s="12" customFormat="1" x14ac:dyDescent="0.25">
      <c r="A45" s="215" t="s">
        <v>378</v>
      </c>
      <c r="B45" s="211" t="s">
        <v>43</v>
      </c>
      <c r="C45" s="211" t="s">
        <v>43</v>
      </c>
      <c r="D45" s="211" t="s">
        <v>43</v>
      </c>
      <c r="E45" s="64">
        <v>21.72</v>
      </c>
      <c r="F45" s="64">
        <v>13.37</v>
      </c>
      <c r="G45" s="64">
        <v>102.59</v>
      </c>
      <c r="H45" s="6" t="s">
        <v>42</v>
      </c>
      <c r="I45" s="64">
        <v>4</v>
      </c>
      <c r="J45" s="64">
        <v>1.8</v>
      </c>
      <c r="K45" s="64">
        <v>331.87</v>
      </c>
      <c r="L45" s="64">
        <v>27.44</v>
      </c>
      <c r="M45" s="64">
        <v>23.84</v>
      </c>
      <c r="N45" s="64">
        <v>272.2</v>
      </c>
      <c r="O45" s="64">
        <v>0</v>
      </c>
      <c r="P45" s="64">
        <v>1.32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5" t="s">
        <v>379</v>
      </c>
      <c r="B46" s="211" t="s">
        <v>43</v>
      </c>
      <c r="C46" s="211" t="s">
        <v>43</v>
      </c>
      <c r="D46" s="211" t="s">
        <v>43</v>
      </c>
      <c r="E46" s="64">
        <v>18.399999999999999</v>
      </c>
      <c r="F46" s="64">
        <v>12.77</v>
      </c>
      <c r="G46" s="64">
        <v>102.59</v>
      </c>
      <c r="H46" s="6" t="s">
        <v>42</v>
      </c>
      <c r="I46" s="64">
        <v>3.91</v>
      </c>
      <c r="J46" s="64">
        <v>1.38</v>
      </c>
      <c r="K46" s="64">
        <v>295.63</v>
      </c>
      <c r="L46" s="64">
        <v>28.13</v>
      </c>
      <c r="M46" s="64">
        <v>22.84</v>
      </c>
      <c r="N46" s="64">
        <v>282.10000000000002</v>
      </c>
      <c r="O46" s="64">
        <v>0</v>
      </c>
      <c r="P46" s="64">
        <v>1.48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5" t="s">
        <v>380</v>
      </c>
      <c r="B47" s="211" t="s">
        <v>43</v>
      </c>
      <c r="C47" s="211" t="s">
        <v>43</v>
      </c>
      <c r="D47" s="211" t="s">
        <v>43</v>
      </c>
      <c r="E47" s="64">
        <v>15.13</v>
      </c>
      <c r="F47" s="64">
        <v>12.9</v>
      </c>
      <c r="G47" s="64">
        <v>102.59</v>
      </c>
      <c r="H47" s="6" t="s">
        <v>42</v>
      </c>
      <c r="I47" s="64">
        <v>4.01</v>
      </c>
      <c r="J47" s="64">
        <v>1.59</v>
      </c>
      <c r="K47" s="64">
        <v>298.23</v>
      </c>
      <c r="L47" s="64">
        <v>28.58</v>
      </c>
      <c r="M47" s="64">
        <v>22.59</v>
      </c>
      <c r="N47" s="64">
        <v>274.3</v>
      </c>
      <c r="O47" s="64">
        <v>0</v>
      </c>
      <c r="P47" s="64">
        <v>1.38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5" t="s">
        <v>381</v>
      </c>
      <c r="B48" s="211" t="s">
        <v>43</v>
      </c>
      <c r="C48" s="211" t="s">
        <v>43</v>
      </c>
      <c r="D48" s="211" t="s">
        <v>43</v>
      </c>
      <c r="E48" s="64">
        <v>12.17</v>
      </c>
      <c r="F48" s="64">
        <v>16.329999999999998</v>
      </c>
      <c r="G48" s="64">
        <v>103.24</v>
      </c>
      <c r="H48" s="6" t="s">
        <v>42</v>
      </c>
      <c r="I48" s="64">
        <v>3.91</v>
      </c>
      <c r="J48" s="64">
        <v>1.48</v>
      </c>
      <c r="K48" s="64">
        <v>274.60000000000002</v>
      </c>
      <c r="L48" s="64">
        <v>28.68</v>
      </c>
      <c r="M48" s="64">
        <v>22.86</v>
      </c>
      <c r="N48" s="64">
        <v>351.8</v>
      </c>
      <c r="O48" s="64">
        <v>0</v>
      </c>
      <c r="P48" s="64">
        <v>1.31</v>
      </c>
      <c r="Q48" s="64">
        <v>9.68</v>
      </c>
      <c r="R48" s="198"/>
      <c r="S48" s="198"/>
      <c r="T48" s="198"/>
      <c r="U48" s="198"/>
    </row>
    <row r="49" spans="1:21" s="12" customFormat="1" x14ac:dyDescent="0.25">
      <c r="A49" s="215" t="s">
        <v>382</v>
      </c>
      <c r="B49" s="211" t="s">
        <v>43</v>
      </c>
      <c r="C49" s="211" t="s">
        <v>43</v>
      </c>
      <c r="D49" s="211" t="s">
        <v>43</v>
      </c>
      <c r="E49" s="64">
        <v>14.34</v>
      </c>
      <c r="F49" s="64">
        <v>15.62</v>
      </c>
      <c r="G49" s="64">
        <v>105.38</v>
      </c>
      <c r="H49" s="64">
        <v>52.41</v>
      </c>
      <c r="I49" s="64">
        <v>3.9</v>
      </c>
      <c r="J49" s="64">
        <v>0.96</v>
      </c>
      <c r="K49" s="64">
        <v>292.33</v>
      </c>
      <c r="L49" s="64">
        <v>29.27</v>
      </c>
      <c r="M49" s="64">
        <v>21.6</v>
      </c>
      <c r="N49" s="64">
        <v>334.7</v>
      </c>
      <c r="O49" s="64">
        <v>0</v>
      </c>
      <c r="P49" s="64">
        <v>1.35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5" t="s">
        <v>383</v>
      </c>
      <c r="B50" s="211" t="s">
        <v>43</v>
      </c>
      <c r="C50" s="211" t="s">
        <v>43</v>
      </c>
      <c r="D50" s="211" t="s">
        <v>43</v>
      </c>
      <c r="E50" s="64">
        <v>14.35</v>
      </c>
      <c r="F50" s="64">
        <v>15.34</v>
      </c>
      <c r="G50" s="64">
        <v>105.38</v>
      </c>
      <c r="H50" s="64">
        <v>52.41</v>
      </c>
      <c r="I50" s="64">
        <v>4.09</v>
      </c>
      <c r="J50" s="64">
        <v>1.63</v>
      </c>
      <c r="K50" s="64">
        <v>308.8</v>
      </c>
      <c r="L50" s="64">
        <v>29.59</v>
      </c>
      <c r="M50" s="64">
        <v>21.91</v>
      </c>
      <c r="N50" s="64">
        <v>347.3</v>
      </c>
      <c r="O50" s="64">
        <v>0</v>
      </c>
      <c r="P50" s="64">
        <v>1.38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15" t="s">
        <v>384</v>
      </c>
      <c r="B51" s="211" t="s">
        <v>43</v>
      </c>
      <c r="C51" s="211" t="s">
        <v>43</v>
      </c>
      <c r="D51" s="211" t="s">
        <v>43</v>
      </c>
      <c r="E51" s="64">
        <v>11.84</v>
      </c>
      <c r="F51" s="64">
        <v>11.29</v>
      </c>
      <c r="G51" s="64">
        <v>105.38</v>
      </c>
      <c r="H51" s="64">
        <v>52.41</v>
      </c>
      <c r="I51" s="64">
        <v>3.97</v>
      </c>
      <c r="J51" s="64">
        <v>1.89</v>
      </c>
      <c r="K51" s="64">
        <v>313.83999999999997</v>
      </c>
      <c r="L51" s="64">
        <v>30.81</v>
      </c>
      <c r="M51" s="64">
        <v>20.7</v>
      </c>
      <c r="N51" s="64">
        <v>340.5</v>
      </c>
      <c r="O51" s="64">
        <v>0</v>
      </c>
      <c r="P51" s="64">
        <v>1.44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5" t="s">
        <v>385</v>
      </c>
      <c r="B52" s="211" t="s">
        <v>43</v>
      </c>
      <c r="C52" s="211" t="s">
        <v>43</v>
      </c>
      <c r="D52" s="211" t="s">
        <v>43</v>
      </c>
      <c r="E52" s="64">
        <v>10.18</v>
      </c>
      <c r="F52" s="64">
        <v>8.92</v>
      </c>
      <c r="G52" s="64">
        <v>106</v>
      </c>
      <c r="H52" s="64">
        <v>41.44</v>
      </c>
      <c r="I52" s="64">
        <v>3.95</v>
      </c>
      <c r="J52" s="64">
        <v>3.09</v>
      </c>
      <c r="K52" s="64">
        <v>332.53</v>
      </c>
      <c r="L52" s="64">
        <v>31.5</v>
      </c>
      <c r="M52" s="64">
        <v>15.79</v>
      </c>
      <c r="N52" s="64">
        <v>414.1</v>
      </c>
      <c r="O52" s="64">
        <v>0</v>
      </c>
      <c r="P52" s="64">
        <v>1.37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5" t="s">
        <v>386</v>
      </c>
      <c r="B53" s="211" t="s">
        <v>43</v>
      </c>
      <c r="C53" s="211" t="s">
        <v>43</v>
      </c>
      <c r="D53" s="211" t="s">
        <v>43</v>
      </c>
      <c r="E53" s="64">
        <v>9.4499999999999993</v>
      </c>
      <c r="F53" s="64">
        <v>10.75</v>
      </c>
      <c r="G53" s="64">
        <v>107.93</v>
      </c>
      <c r="H53" s="6" t="s">
        <v>42</v>
      </c>
      <c r="I53" s="64">
        <v>4.03</v>
      </c>
      <c r="J53" s="64">
        <v>3.03</v>
      </c>
      <c r="K53" s="64">
        <v>346.65</v>
      </c>
      <c r="L53" s="64">
        <v>32.5</v>
      </c>
      <c r="M53" s="64">
        <v>14.18</v>
      </c>
      <c r="N53" s="64">
        <v>527.70000000000005</v>
      </c>
      <c r="O53" s="64">
        <v>0</v>
      </c>
      <c r="P53" s="64">
        <v>1.34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5" t="s">
        <v>387</v>
      </c>
      <c r="B54" s="211" t="s">
        <v>43</v>
      </c>
      <c r="C54" s="211" t="s">
        <v>43</v>
      </c>
      <c r="D54" s="211" t="s">
        <v>43</v>
      </c>
      <c r="E54" s="64">
        <v>13.67</v>
      </c>
      <c r="F54" s="64">
        <v>10.49</v>
      </c>
      <c r="G54" s="64">
        <v>107.93</v>
      </c>
      <c r="H54" s="6" t="s">
        <v>42</v>
      </c>
      <c r="I54" s="64">
        <v>3.84</v>
      </c>
      <c r="J54" s="64">
        <v>3.22</v>
      </c>
      <c r="K54" s="64">
        <v>342.51</v>
      </c>
      <c r="L54" s="64">
        <v>33.32</v>
      </c>
      <c r="M54" s="64">
        <v>12.33</v>
      </c>
      <c r="N54" s="64">
        <v>509.2</v>
      </c>
      <c r="O54" s="64">
        <v>0</v>
      </c>
      <c r="P54" s="64">
        <v>1.28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388</v>
      </c>
      <c r="B55" s="211" t="s">
        <v>43</v>
      </c>
      <c r="C55" s="211" t="s">
        <v>43</v>
      </c>
      <c r="D55" s="211" t="s">
        <v>43</v>
      </c>
      <c r="E55" s="64">
        <v>9.0399999999999991</v>
      </c>
      <c r="F55" s="64">
        <v>10.42</v>
      </c>
      <c r="G55" s="64">
        <v>107.93</v>
      </c>
      <c r="H55" s="6" t="s">
        <v>42</v>
      </c>
      <c r="I55" s="64">
        <v>3.78</v>
      </c>
      <c r="J55" s="64">
        <v>3.31</v>
      </c>
      <c r="K55" s="64">
        <v>335.35</v>
      </c>
      <c r="L55" s="64">
        <v>33.57</v>
      </c>
      <c r="M55" s="64">
        <v>13.03</v>
      </c>
      <c r="N55" s="64">
        <v>485.2</v>
      </c>
      <c r="O55" s="64">
        <v>0</v>
      </c>
      <c r="P55" s="64">
        <v>1.3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5" t="s">
        <v>389</v>
      </c>
      <c r="B56" s="211" t="s">
        <v>43</v>
      </c>
      <c r="C56" s="211" t="s">
        <v>43</v>
      </c>
      <c r="D56" s="211" t="s">
        <v>43</v>
      </c>
      <c r="E56" s="64">
        <v>10.45</v>
      </c>
      <c r="F56" s="64">
        <v>12.69</v>
      </c>
      <c r="G56" s="64">
        <v>107.32</v>
      </c>
      <c r="H56" s="6" t="s">
        <v>42</v>
      </c>
      <c r="I56" s="64">
        <v>4.0199999999999996</v>
      </c>
      <c r="J56" s="64">
        <v>3.25</v>
      </c>
      <c r="K56" s="64">
        <v>345.86</v>
      </c>
      <c r="L56" s="64">
        <v>32.07</v>
      </c>
      <c r="M56" s="64">
        <v>16.11</v>
      </c>
      <c r="N56" s="64">
        <v>391.2</v>
      </c>
      <c r="O56" s="64">
        <v>0</v>
      </c>
      <c r="P56" s="64">
        <v>1.2</v>
      </c>
      <c r="Q56" s="64">
        <v>9.44</v>
      </c>
      <c r="R56" s="198"/>
      <c r="S56" s="198"/>
      <c r="T56" s="198"/>
      <c r="U56" s="198"/>
    </row>
    <row r="57" spans="1:21" s="12" customFormat="1" x14ac:dyDescent="0.25">
      <c r="A57" s="215" t="s">
        <v>390</v>
      </c>
      <c r="B57" s="211" t="s">
        <v>43</v>
      </c>
      <c r="C57" s="211" t="s">
        <v>43</v>
      </c>
      <c r="D57" s="211" t="s">
        <v>43</v>
      </c>
      <c r="E57" s="64">
        <v>10.49</v>
      </c>
      <c r="F57" s="64">
        <v>12.24</v>
      </c>
      <c r="G57" s="64">
        <v>105.44</v>
      </c>
      <c r="H57" s="6" t="s">
        <v>42</v>
      </c>
      <c r="I57" s="64">
        <v>4</v>
      </c>
      <c r="J57" s="64">
        <v>3.23</v>
      </c>
      <c r="K57" s="64">
        <v>345.14</v>
      </c>
      <c r="L57" s="64">
        <v>31.01</v>
      </c>
      <c r="M57" s="64">
        <v>17.440000000000001</v>
      </c>
      <c r="N57" s="64">
        <v>372.7</v>
      </c>
      <c r="O57" s="64">
        <v>0</v>
      </c>
      <c r="P57" s="64">
        <v>1.21</v>
      </c>
      <c r="Q57" s="64">
        <v>9.3800000000000008</v>
      </c>
      <c r="R57" s="198"/>
      <c r="S57" s="198"/>
      <c r="T57" s="198"/>
      <c r="U57" s="198"/>
    </row>
    <row r="58" spans="1:21" s="12" customFormat="1" x14ac:dyDescent="0.25">
      <c r="A58" s="215" t="s">
        <v>391</v>
      </c>
      <c r="B58" s="211" t="s">
        <v>43</v>
      </c>
      <c r="C58" s="211" t="s">
        <v>43</v>
      </c>
      <c r="D58" s="211" t="s">
        <v>43</v>
      </c>
      <c r="E58" s="64">
        <v>12.64</v>
      </c>
      <c r="F58" s="64">
        <v>16.440000000000001</v>
      </c>
      <c r="G58" s="64">
        <v>105.44</v>
      </c>
      <c r="H58" s="6" t="s">
        <v>42</v>
      </c>
      <c r="I58" s="64">
        <v>3.98</v>
      </c>
      <c r="J58" s="64">
        <v>3.01</v>
      </c>
      <c r="K58" s="64">
        <v>352.65</v>
      </c>
      <c r="L58" s="64">
        <v>31.41</v>
      </c>
      <c r="M58" s="64">
        <v>14.84</v>
      </c>
      <c r="N58" s="64">
        <v>386.8</v>
      </c>
      <c r="O58" s="64">
        <v>0</v>
      </c>
      <c r="P58" s="64">
        <v>1.1200000000000001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5" t="s">
        <v>392</v>
      </c>
      <c r="B59" s="211" t="s">
        <v>43</v>
      </c>
      <c r="C59" s="211" t="s">
        <v>43</v>
      </c>
      <c r="D59" s="211" t="s">
        <v>43</v>
      </c>
      <c r="E59" s="64">
        <v>13.1</v>
      </c>
      <c r="F59" s="64">
        <v>12.6</v>
      </c>
      <c r="G59" s="64">
        <v>105.44</v>
      </c>
      <c r="H59" s="6" t="s">
        <v>42</v>
      </c>
      <c r="I59" s="64">
        <v>3.79</v>
      </c>
      <c r="J59" s="64">
        <v>3.08</v>
      </c>
      <c r="K59" s="64">
        <v>349.82</v>
      </c>
      <c r="L59" s="64">
        <v>32.369999999999997</v>
      </c>
      <c r="M59" s="64">
        <v>14.06</v>
      </c>
      <c r="N59" s="64">
        <v>343.4</v>
      </c>
      <c r="O59" s="64">
        <v>0</v>
      </c>
      <c r="P59" s="64">
        <v>1.1399999999999999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5" t="s">
        <v>393</v>
      </c>
      <c r="B60" s="211" t="s">
        <v>43</v>
      </c>
      <c r="C60" s="211" t="s">
        <v>43</v>
      </c>
      <c r="D60" s="211" t="s">
        <v>43</v>
      </c>
      <c r="E60" s="64">
        <v>22.18</v>
      </c>
      <c r="F60" s="64">
        <v>16.100000000000001</v>
      </c>
      <c r="G60" s="64">
        <v>105.64</v>
      </c>
      <c r="H60" s="6" t="s">
        <v>42</v>
      </c>
      <c r="I60" s="64">
        <v>3.94</v>
      </c>
      <c r="J60" s="64">
        <v>3.14</v>
      </c>
      <c r="K60" s="64">
        <v>350.51</v>
      </c>
      <c r="L60" s="64">
        <v>32.159999999999997</v>
      </c>
      <c r="M60" s="64">
        <v>14.37</v>
      </c>
      <c r="N60" s="64">
        <v>310.7</v>
      </c>
      <c r="O60" s="64">
        <v>0</v>
      </c>
      <c r="P60" s="64">
        <v>1.07</v>
      </c>
      <c r="Q60" s="64">
        <v>9.3000000000000007</v>
      </c>
      <c r="R60" s="198"/>
      <c r="S60" s="198"/>
      <c r="T60" s="198"/>
      <c r="U60" s="198"/>
    </row>
    <row r="61" spans="1:21" s="12" customFormat="1" x14ac:dyDescent="0.25">
      <c r="A61" s="215" t="s">
        <v>394</v>
      </c>
      <c r="B61" s="211" t="s">
        <v>43</v>
      </c>
      <c r="C61" s="211" t="s">
        <v>43</v>
      </c>
      <c r="D61" s="211" t="s">
        <v>43</v>
      </c>
      <c r="E61" s="64">
        <v>17.11</v>
      </c>
      <c r="F61" s="64">
        <v>20.37</v>
      </c>
      <c r="G61" s="64">
        <v>106.3</v>
      </c>
      <c r="H61" s="6" t="s">
        <v>42</v>
      </c>
      <c r="I61" s="64">
        <v>4.1100000000000003</v>
      </c>
      <c r="J61" s="64">
        <v>2.96</v>
      </c>
      <c r="K61" s="64">
        <v>352.09</v>
      </c>
      <c r="L61" s="64">
        <v>31.71</v>
      </c>
      <c r="M61" s="64">
        <v>14.78</v>
      </c>
      <c r="N61" s="64">
        <v>243.9</v>
      </c>
      <c r="O61" s="64">
        <v>0</v>
      </c>
      <c r="P61" s="64">
        <v>1.07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5" t="s">
        <v>395</v>
      </c>
      <c r="B62" s="211" t="s">
        <v>43</v>
      </c>
      <c r="C62" s="211" t="s">
        <v>43</v>
      </c>
      <c r="D62" s="211" t="s">
        <v>43</v>
      </c>
      <c r="E62" s="64">
        <v>17.760000000000002</v>
      </c>
      <c r="F62" s="64">
        <v>24.33</v>
      </c>
      <c r="G62" s="64">
        <v>106.3</v>
      </c>
      <c r="H62" s="6" t="s">
        <v>42</v>
      </c>
      <c r="I62" s="64">
        <v>3.92</v>
      </c>
      <c r="J62" s="64">
        <v>3.35</v>
      </c>
      <c r="K62" s="64">
        <v>350.54</v>
      </c>
      <c r="L62" s="64">
        <v>32.06</v>
      </c>
      <c r="M62" s="64">
        <v>14.43</v>
      </c>
      <c r="N62" s="64">
        <v>396.1</v>
      </c>
      <c r="O62" s="64">
        <v>0</v>
      </c>
      <c r="P62" s="64">
        <v>1.03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5" t="s">
        <v>396</v>
      </c>
      <c r="B63" s="211" t="s">
        <v>43</v>
      </c>
      <c r="C63" s="211" t="s">
        <v>43</v>
      </c>
      <c r="D63" s="211" t="s">
        <v>43</v>
      </c>
      <c r="E63" s="64">
        <v>42.74</v>
      </c>
      <c r="F63" s="64">
        <v>23.27</v>
      </c>
      <c r="G63" s="64">
        <v>106.3</v>
      </c>
      <c r="H63" s="6" t="s">
        <v>42</v>
      </c>
      <c r="I63" s="64">
        <v>3.84</v>
      </c>
      <c r="J63" s="64">
        <v>4.12</v>
      </c>
      <c r="K63" s="64">
        <v>356.27</v>
      </c>
      <c r="L63" s="64">
        <v>32.450000000000003</v>
      </c>
      <c r="M63" s="64">
        <v>13.89</v>
      </c>
      <c r="N63" s="64">
        <v>282.8</v>
      </c>
      <c r="O63" s="64">
        <v>0</v>
      </c>
      <c r="P63" s="64">
        <v>1.04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5" t="s">
        <v>397</v>
      </c>
      <c r="B64" s="211" t="s">
        <v>43</v>
      </c>
      <c r="C64" s="211" t="s">
        <v>43</v>
      </c>
      <c r="D64" s="211" t="s">
        <v>43</v>
      </c>
      <c r="E64" s="64">
        <v>33.47</v>
      </c>
      <c r="F64" s="64">
        <v>23.44</v>
      </c>
      <c r="G64" s="64">
        <v>103.06</v>
      </c>
      <c r="H64" s="6" t="s">
        <v>42</v>
      </c>
      <c r="I64" s="64">
        <v>3.87</v>
      </c>
      <c r="J64" s="64">
        <v>4.0999999999999996</v>
      </c>
      <c r="K64" s="64">
        <v>351.56</v>
      </c>
      <c r="L64" s="64">
        <v>31.7</v>
      </c>
      <c r="M64" s="64">
        <v>14.65</v>
      </c>
      <c r="N64" s="64">
        <v>250.4</v>
      </c>
      <c r="O64" s="64">
        <v>0</v>
      </c>
      <c r="P64" s="64">
        <v>1.1000000000000001</v>
      </c>
      <c r="Q64" s="64">
        <v>9.42</v>
      </c>
      <c r="R64" s="198"/>
      <c r="S64" s="198"/>
      <c r="T64" s="198"/>
      <c r="U64" s="198"/>
    </row>
    <row r="65" spans="1:21" s="12" customFormat="1" x14ac:dyDescent="0.25">
      <c r="A65" s="215" t="s">
        <v>398</v>
      </c>
      <c r="B65" s="211" t="s">
        <v>43</v>
      </c>
      <c r="C65" s="211" t="s">
        <v>43</v>
      </c>
      <c r="D65" s="211" t="s">
        <v>43</v>
      </c>
      <c r="E65" s="64">
        <v>22.36</v>
      </c>
      <c r="F65" s="64">
        <v>25.9</v>
      </c>
      <c r="G65" s="64">
        <v>93.05</v>
      </c>
      <c r="H65" s="6" t="s">
        <v>42</v>
      </c>
      <c r="I65" s="64">
        <v>3.88</v>
      </c>
      <c r="J65" s="64">
        <v>3.88</v>
      </c>
      <c r="K65" s="64">
        <v>349.41</v>
      </c>
      <c r="L65" s="64">
        <v>31.68</v>
      </c>
      <c r="M65" s="64">
        <v>15.24</v>
      </c>
      <c r="N65" s="64">
        <v>266.89999999999998</v>
      </c>
      <c r="O65" s="64">
        <v>0</v>
      </c>
      <c r="P65" s="64">
        <v>1.07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5" t="s">
        <v>399</v>
      </c>
      <c r="B66" s="211" t="s">
        <v>43</v>
      </c>
      <c r="C66" s="211" t="s">
        <v>43</v>
      </c>
      <c r="D66" s="211" t="s">
        <v>43</v>
      </c>
      <c r="E66" s="64">
        <v>50.97</v>
      </c>
      <c r="F66" s="64">
        <v>34.08</v>
      </c>
      <c r="G66" s="64">
        <v>93.05</v>
      </c>
      <c r="H66" s="6" t="s">
        <v>42</v>
      </c>
      <c r="I66" s="64">
        <v>3.97</v>
      </c>
      <c r="J66" s="64">
        <v>4.1100000000000003</v>
      </c>
      <c r="K66" s="64">
        <v>349.19</v>
      </c>
      <c r="L66" s="64">
        <v>31.94</v>
      </c>
      <c r="M66" s="64">
        <v>14.58</v>
      </c>
      <c r="N66" s="64">
        <v>291.39999999999998</v>
      </c>
      <c r="O66" s="64">
        <v>0</v>
      </c>
      <c r="P66" s="64">
        <v>1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5" t="s">
        <v>400</v>
      </c>
      <c r="B67" s="211" t="s">
        <v>43</v>
      </c>
      <c r="C67" s="211" t="s">
        <v>43</v>
      </c>
      <c r="D67" s="211" t="s">
        <v>43</v>
      </c>
      <c r="E67" s="64">
        <v>74.31</v>
      </c>
      <c r="F67" s="64">
        <v>37.53</v>
      </c>
      <c r="G67" s="64">
        <v>93.05</v>
      </c>
      <c r="H67" s="6" t="s">
        <v>42</v>
      </c>
      <c r="I67" s="64">
        <v>4.03</v>
      </c>
      <c r="J67" s="64">
        <v>3.34</v>
      </c>
      <c r="K67" s="64">
        <v>356.16</v>
      </c>
      <c r="L67" s="64">
        <v>32.79</v>
      </c>
      <c r="M67" s="64">
        <v>12.94</v>
      </c>
      <c r="N67" s="64">
        <v>331.8</v>
      </c>
      <c r="O67" s="64">
        <v>0</v>
      </c>
      <c r="P67" s="64">
        <v>0.9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5" t="s">
        <v>401</v>
      </c>
      <c r="B68" s="211" t="s">
        <v>43</v>
      </c>
      <c r="C68" s="211" t="s">
        <v>43</v>
      </c>
      <c r="D68" s="211" t="s">
        <v>43</v>
      </c>
      <c r="E68" s="64">
        <v>86.46</v>
      </c>
      <c r="F68" s="64">
        <v>38.840000000000003</v>
      </c>
      <c r="G68" s="64">
        <v>93.05</v>
      </c>
      <c r="H68" s="6" t="s">
        <v>42</v>
      </c>
      <c r="I68" s="64">
        <v>4.1100000000000003</v>
      </c>
      <c r="J68" s="64">
        <v>3.33</v>
      </c>
      <c r="K68" s="64">
        <v>357.56</v>
      </c>
      <c r="L68" s="64">
        <v>33.39</v>
      </c>
      <c r="M68" s="64">
        <v>12.43</v>
      </c>
      <c r="N68" s="64">
        <v>295.2</v>
      </c>
      <c r="O68" s="64">
        <v>0</v>
      </c>
      <c r="P68" s="64">
        <v>0.89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402</v>
      </c>
      <c r="B69" s="211" t="s">
        <v>43</v>
      </c>
      <c r="C69" s="211" t="s">
        <v>43</v>
      </c>
      <c r="D69" s="211" t="s">
        <v>43</v>
      </c>
      <c r="E69" s="64">
        <v>54.16</v>
      </c>
      <c r="F69" s="64">
        <v>33.89</v>
      </c>
      <c r="G69" s="64">
        <v>93.05</v>
      </c>
      <c r="H69" s="6" t="s">
        <v>42</v>
      </c>
      <c r="I69" s="64">
        <v>3.95</v>
      </c>
      <c r="J69" s="64">
        <v>2.79</v>
      </c>
      <c r="K69" s="64">
        <v>98.2</v>
      </c>
      <c r="L69" s="64">
        <v>31.53</v>
      </c>
      <c r="M69" s="64">
        <v>13.96</v>
      </c>
      <c r="N69" s="64">
        <v>241.3</v>
      </c>
      <c r="O69" s="64">
        <v>0</v>
      </c>
      <c r="P69" s="64">
        <v>0.88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403</v>
      </c>
      <c r="B70" s="211" t="s">
        <v>43</v>
      </c>
      <c r="C70" s="211" t="s">
        <v>43</v>
      </c>
      <c r="D70" s="211" t="s">
        <v>43</v>
      </c>
      <c r="E70" s="64">
        <v>83.13</v>
      </c>
      <c r="F70" s="64">
        <v>36.01</v>
      </c>
      <c r="G70" s="64">
        <v>93.05</v>
      </c>
      <c r="H70" s="6" t="s">
        <v>42</v>
      </c>
      <c r="I70" s="64">
        <v>3.92</v>
      </c>
      <c r="J70" s="64">
        <v>1.84</v>
      </c>
      <c r="K70" s="64">
        <v>58.75</v>
      </c>
      <c r="L70" s="64">
        <v>31.24</v>
      </c>
      <c r="M70" s="64">
        <v>14.71</v>
      </c>
      <c r="N70" s="64">
        <v>214.8</v>
      </c>
      <c r="O70" s="64">
        <v>0</v>
      </c>
      <c r="P70" s="64">
        <v>0.83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404</v>
      </c>
      <c r="B71" s="211" t="s">
        <v>43</v>
      </c>
      <c r="C71" s="211" t="s">
        <v>43</v>
      </c>
      <c r="D71" s="211" t="s">
        <v>43</v>
      </c>
      <c r="E71" s="64">
        <v>89.31</v>
      </c>
      <c r="F71" s="64">
        <v>40.56</v>
      </c>
      <c r="G71" s="64">
        <v>93.05</v>
      </c>
      <c r="H71" s="6" t="s">
        <v>42</v>
      </c>
      <c r="I71" s="64">
        <v>4.0599999999999996</v>
      </c>
      <c r="J71" s="64">
        <v>1.68</v>
      </c>
      <c r="K71" s="64">
        <v>82.14</v>
      </c>
      <c r="L71" s="64">
        <v>30.95</v>
      </c>
      <c r="M71" s="64">
        <v>14.91</v>
      </c>
      <c r="N71" s="64">
        <v>185</v>
      </c>
      <c r="O71" s="64">
        <v>0</v>
      </c>
      <c r="P71" s="64">
        <v>0.87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405</v>
      </c>
      <c r="B72" s="211" t="s">
        <v>43</v>
      </c>
      <c r="C72" s="211" t="s">
        <v>43</v>
      </c>
      <c r="D72" s="211" t="s">
        <v>43</v>
      </c>
      <c r="E72" s="64">
        <v>39.97</v>
      </c>
      <c r="F72" s="64">
        <v>29.74</v>
      </c>
      <c r="G72" s="64">
        <v>93.05</v>
      </c>
      <c r="H72" s="6" t="s">
        <v>42</v>
      </c>
      <c r="I72" s="64">
        <v>3.94</v>
      </c>
      <c r="J72" s="64">
        <v>2.94</v>
      </c>
      <c r="K72" s="64">
        <v>100.21</v>
      </c>
      <c r="L72" s="64">
        <v>30.12</v>
      </c>
      <c r="M72" s="64">
        <v>14.04</v>
      </c>
      <c r="N72" s="64">
        <v>114.9</v>
      </c>
      <c r="O72" s="64">
        <v>0</v>
      </c>
      <c r="P72" s="64">
        <v>0.76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5" t="s">
        <v>406</v>
      </c>
      <c r="B73" s="211" t="s">
        <v>43</v>
      </c>
      <c r="C73" s="211" t="s">
        <v>43</v>
      </c>
      <c r="D73" s="211" t="s">
        <v>43</v>
      </c>
      <c r="E73" s="64">
        <v>48.72</v>
      </c>
      <c r="F73" s="64">
        <v>30.06</v>
      </c>
      <c r="G73" s="64">
        <v>93.05</v>
      </c>
      <c r="H73" s="6" t="s">
        <v>42</v>
      </c>
      <c r="I73" s="64">
        <v>3.88</v>
      </c>
      <c r="J73" s="64">
        <v>2</v>
      </c>
      <c r="K73" s="64">
        <v>78.09</v>
      </c>
      <c r="L73" s="64">
        <v>29.74</v>
      </c>
      <c r="M73" s="64">
        <v>14.46</v>
      </c>
      <c r="N73" s="64">
        <v>99</v>
      </c>
      <c r="O73" s="64">
        <v>0</v>
      </c>
      <c r="P73" s="64">
        <v>0.74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5" t="s">
        <v>407</v>
      </c>
      <c r="B74" s="211" t="s">
        <v>43</v>
      </c>
      <c r="C74" s="211" t="s">
        <v>43</v>
      </c>
      <c r="D74" s="211" t="s">
        <v>43</v>
      </c>
      <c r="E74" s="64">
        <v>76.33</v>
      </c>
      <c r="F74" s="64">
        <v>36.97</v>
      </c>
      <c r="G74" s="216">
        <v>93.05</v>
      </c>
      <c r="H74" s="6" t="s">
        <v>42</v>
      </c>
      <c r="I74" s="64">
        <v>3.86</v>
      </c>
      <c r="J74" s="64">
        <v>2.19</v>
      </c>
      <c r="K74" s="64">
        <v>1.19</v>
      </c>
      <c r="L74" s="64">
        <v>29.98</v>
      </c>
      <c r="M74" s="64">
        <v>14.77</v>
      </c>
      <c r="N74" s="64">
        <v>112.1</v>
      </c>
      <c r="O74" s="64">
        <v>0</v>
      </c>
      <c r="P74" s="64">
        <v>1.05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5" t="s">
        <v>408</v>
      </c>
      <c r="B75" s="211" t="s">
        <v>43</v>
      </c>
      <c r="C75" s="211" t="s">
        <v>43</v>
      </c>
      <c r="D75" s="211" t="s">
        <v>43</v>
      </c>
      <c r="E75" s="64">
        <v>79.45</v>
      </c>
      <c r="F75" s="64">
        <v>30.22</v>
      </c>
      <c r="G75" s="212" t="s">
        <v>40</v>
      </c>
      <c r="H75" s="212" t="s">
        <v>40</v>
      </c>
      <c r="I75" s="64">
        <v>4.12</v>
      </c>
      <c r="J75" s="64">
        <v>1.24</v>
      </c>
      <c r="K75" s="64">
        <v>39.56</v>
      </c>
      <c r="L75" s="64">
        <v>29.62</v>
      </c>
      <c r="M75" s="64">
        <v>15.55</v>
      </c>
      <c r="N75" s="64">
        <v>91.7</v>
      </c>
      <c r="O75" s="64">
        <v>0</v>
      </c>
      <c r="P75" s="64">
        <v>1.1100000000000001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5" t="s">
        <v>409</v>
      </c>
      <c r="B76" s="211" t="s">
        <v>43</v>
      </c>
      <c r="C76" s="211" t="s">
        <v>43</v>
      </c>
      <c r="D76" s="211" t="s">
        <v>43</v>
      </c>
      <c r="E76" s="64">
        <v>71.349999999999994</v>
      </c>
      <c r="F76" s="64">
        <v>35.770000000000003</v>
      </c>
      <c r="G76" s="212" t="s">
        <v>40</v>
      </c>
      <c r="H76" s="212" t="s">
        <v>40</v>
      </c>
      <c r="I76" s="64">
        <v>3.99</v>
      </c>
      <c r="J76" s="64">
        <v>1.91</v>
      </c>
      <c r="K76" s="64">
        <v>90.27</v>
      </c>
      <c r="L76" s="64">
        <v>29.02</v>
      </c>
      <c r="M76" s="64">
        <v>16.48</v>
      </c>
      <c r="N76" s="64">
        <v>82.7</v>
      </c>
      <c r="O76" s="64">
        <v>0</v>
      </c>
      <c r="P76" s="64">
        <v>0.9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5" t="s">
        <v>410</v>
      </c>
      <c r="B77" s="211" t="s">
        <v>43</v>
      </c>
      <c r="C77" s="211" t="s">
        <v>43</v>
      </c>
      <c r="D77" s="211" t="s">
        <v>43</v>
      </c>
      <c r="E77" s="64">
        <v>93.13</v>
      </c>
      <c r="F77" s="64">
        <v>35.82</v>
      </c>
      <c r="G77" s="212" t="s">
        <v>40</v>
      </c>
      <c r="H77" s="212" t="s">
        <v>40</v>
      </c>
      <c r="I77" s="64">
        <v>3.95</v>
      </c>
      <c r="J77" s="64">
        <v>1.73</v>
      </c>
      <c r="K77" s="64">
        <v>86.05</v>
      </c>
      <c r="L77" s="64">
        <v>28.79</v>
      </c>
      <c r="M77" s="64">
        <v>16.82</v>
      </c>
      <c r="N77" s="64">
        <v>89</v>
      </c>
      <c r="O77" s="64">
        <v>0</v>
      </c>
      <c r="P77" s="64">
        <v>0.89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5" t="s">
        <v>411</v>
      </c>
      <c r="B78" s="211" t="s">
        <v>43</v>
      </c>
      <c r="C78" s="211" t="s">
        <v>43</v>
      </c>
      <c r="D78" s="211" t="s">
        <v>43</v>
      </c>
      <c r="E78" s="64">
        <v>82.33</v>
      </c>
      <c r="F78" s="64">
        <v>29.63</v>
      </c>
      <c r="G78" s="212" t="s">
        <v>40</v>
      </c>
      <c r="H78" s="212" t="s">
        <v>40</v>
      </c>
      <c r="I78" s="64">
        <v>3.85</v>
      </c>
      <c r="J78" s="64">
        <v>1.03</v>
      </c>
      <c r="K78" s="64">
        <v>71.790000000000006</v>
      </c>
      <c r="L78" s="64">
        <v>28.71</v>
      </c>
      <c r="M78" s="64">
        <v>18.12</v>
      </c>
      <c r="N78" s="64">
        <v>65.900000000000006</v>
      </c>
      <c r="O78" s="64">
        <v>0</v>
      </c>
      <c r="P78" s="64">
        <v>0.96</v>
      </c>
      <c r="Q78" s="64">
        <v>9.5399999999999991</v>
      </c>
      <c r="R78" s="198"/>
      <c r="S78" s="198"/>
      <c r="T78" s="198"/>
      <c r="U78" s="198"/>
    </row>
    <row r="79" spans="1:21" s="12" customFormat="1" x14ac:dyDescent="0.25">
      <c r="A79" s="215" t="s">
        <v>412</v>
      </c>
      <c r="B79" s="211" t="s">
        <v>43</v>
      </c>
      <c r="C79" s="211" t="s">
        <v>43</v>
      </c>
      <c r="D79" s="211" t="s">
        <v>43</v>
      </c>
      <c r="E79" s="64">
        <v>70.709999999999994</v>
      </c>
      <c r="F79" s="64">
        <v>23.47</v>
      </c>
      <c r="G79" s="217">
        <v>57.57</v>
      </c>
      <c r="H79" s="6" t="s">
        <v>42</v>
      </c>
      <c r="I79" s="64">
        <v>4.05</v>
      </c>
      <c r="J79" s="64">
        <v>1.1599999999999999</v>
      </c>
      <c r="K79" s="64">
        <v>358.13</v>
      </c>
      <c r="L79" s="64">
        <v>27.73</v>
      </c>
      <c r="M79" s="64">
        <v>23.37</v>
      </c>
      <c r="N79" s="64">
        <v>47.6</v>
      </c>
      <c r="O79" s="64">
        <v>0</v>
      </c>
      <c r="P79" s="64">
        <v>1.65</v>
      </c>
      <c r="Q79" s="64">
        <v>0</v>
      </c>
      <c r="R79" s="198"/>
      <c r="S79" s="198"/>
      <c r="T79" s="198"/>
      <c r="U79" s="198"/>
    </row>
    <row r="80" spans="1:21" s="12" customFormat="1" x14ac:dyDescent="0.25">
      <c r="A80" s="215" t="s">
        <v>413</v>
      </c>
      <c r="B80" s="211" t="s">
        <v>43</v>
      </c>
      <c r="C80" s="211" t="s">
        <v>43</v>
      </c>
      <c r="D80" s="211" t="s">
        <v>43</v>
      </c>
      <c r="E80" s="64">
        <v>75.09</v>
      </c>
      <c r="F80" s="64">
        <v>23.31</v>
      </c>
      <c r="G80" s="64">
        <v>109.79</v>
      </c>
      <c r="H80" s="6" t="s">
        <v>42</v>
      </c>
      <c r="I80" s="64">
        <v>3.86</v>
      </c>
      <c r="J80" s="64">
        <v>1.35</v>
      </c>
      <c r="K80" s="64">
        <v>7.72</v>
      </c>
      <c r="L80" s="64">
        <v>26.4</v>
      </c>
      <c r="M80" s="64">
        <v>25.23</v>
      </c>
      <c r="N80" s="64">
        <v>40.9</v>
      </c>
      <c r="O80" s="64">
        <v>0</v>
      </c>
      <c r="P80" s="64">
        <v>2.21</v>
      </c>
      <c r="Q80" s="64">
        <v>0</v>
      </c>
      <c r="R80" s="198"/>
      <c r="S80" s="198"/>
      <c r="T80" s="198"/>
      <c r="U80" s="198"/>
    </row>
    <row r="81" spans="1:26" s="12" customFormat="1" x14ac:dyDescent="0.25">
      <c r="A81" s="215" t="s">
        <v>414</v>
      </c>
      <c r="B81" s="211" t="s">
        <v>43</v>
      </c>
      <c r="C81" s="211" t="s">
        <v>43</v>
      </c>
      <c r="D81" s="211" t="s">
        <v>43</v>
      </c>
      <c r="E81" s="64">
        <v>113.56</v>
      </c>
      <c r="F81" s="64">
        <v>27.76</v>
      </c>
      <c r="G81" s="64">
        <v>109.79</v>
      </c>
      <c r="H81" s="6" t="s">
        <v>42</v>
      </c>
      <c r="I81" s="64">
        <v>4.18</v>
      </c>
      <c r="J81" s="64">
        <v>2.78</v>
      </c>
      <c r="K81" s="64">
        <v>0.18</v>
      </c>
      <c r="L81" s="64">
        <v>26.74</v>
      </c>
      <c r="M81" s="64">
        <v>20.76</v>
      </c>
      <c r="N81" s="64">
        <v>34.5</v>
      </c>
      <c r="O81" s="64">
        <v>0</v>
      </c>
      <c r="P81" s="64">
        <v>1.49</v>
      </c>
      <c r="Q81" s="64">
        <v>0</v>
      </c>
      <c r="R81" s="198"/>
      <c r="S81" s="198"/>
      <c r="T81" s="198"/>
      <c r="U81" s="198"/>
    </row>
    <row r="82" spans="1:26" s="12" customFormat="1" x14ac:dyDescent="0.25">
      <c r="A82" s="215" t="s">
        <v>415</v>
      </c>
      <c r="B82" s="211" t="s">
        <v>43</v>
      </c>
      <c r="C82" s="211" t="s">
        <v>43</v>
      </c>
      <c r="D82" s="211" t="s">
        <v>43</v>
      </c>
      <c r="E82" s="64">
        <v>148.03</v>
      </c>
      <c r="F82" s="64">
        <v>27.85</v>
      </c>
      <c r="G82" s="64">
        <v>109.79</v>
      </c>
      <c r="H82" s="6" t="s">
        <v>42</v>
      </c>
      <c r="I82" s="64">
        <v>4.0199999999999996</v>
      </c>
      <c r="J82" s="64">
        <v>2.0299999999999998</v>
      </c>
      <c r="K82" s="64">
        <v>10.08</v>
      </c>
      <c r="L82" s="64">
        <v>27.06</v>
      </c>
      <c r="M82" s="64">
        <v>20.89</v>
      </c>
      <c r="N82" s="64">
        <v>33.5</v>
      </c>
      <c r="O82" s="64">
        <v>0</v>
      </c>
      <c r="P82" s="64">
        <v>1.84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5" t="s">
        <v>416</v>
      </c>
      <c r="B83" s="211" t="s">
        <v>43</v>
      </c>
      <c r="C83" s="211" t="s">
        <v>43</v>
      </c>
      <c r="D83" s="211" t="s">
        <v>43</v>
      </c>
      <c r="E83" s="64">
        <v>65.97</v>
      </c>
      <c r="F83" s="64">
        <v>27.42</v>
      </c>
      <c r="G83" s="64">
        <v>119.55</v>
      </c>
      <c r="H83" s="6" t="s">
        <v>42</v>
      </c>
      <c r="I83" s="64">
        <v>4.04</v>
      </c>
      <c r="J83" s="64">
        <v>2.23</v>
      </c>
      <c r="K83" s="64">
        <v>1.62</v>
      </c>
      <c r="L83" s="64">
        <v>26.52</v>
      </c>
      <c r="M83" s="64">
        <v>21.23</v>
      </c>
      <c r="N83" s="64">
        <v>33</v>
      </c>
      <c r="O83" s="64">
        <v>0</v>
      </c>
      <c r="P83" s="64">
        <v>1.76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5" t="s">
        <v>417</v>
      </c>
      <c r="B84" s="211" t="s">
        <v>43</v>
      </c>
      <c r="C84" s="211" t="s">
        <v>43</v>
      </c>
      <c r="D84" s="211" t="s">
        <v>43</v>
      </c>
      <c r="E84" s="64">
        <v>51.21</v>
      </c>
      <c r="F84" s="64">
        <v>26.99</v>
      </c>
      <c r="G84" s="64">
        <v>127.21</v>
      </c>
      <c r="H84" s="6" t="s">
        <v>42</v>
      </c>
      <c r="I84" s="64">
        <v>3.92</v>
      </c>
      <c r="J84" s="64">
        <v>1.94</v>
      </c>
      <c r="K84" s="64">
        <v>8.42</v>
      </c>
      <c r="L84" s="64">
        <v>26.3</v>
      </c>
      <c r="M84" s="64">
        <v>21.68</v>
      </c>
      <c r="N84" s="64">
        <v>33.1</v>
      </c>
      <c r="O84" s="64">
        <v>0</v>
      </c>
      <c r="P84" s="64">
        <v>1.59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5" t="s">
        <v>418</v>
      </c>
      <c r="B85" s="211" t="s">
        <v>43</v>
      </c>
      <c r="C85" s="211" t="s">
        <v>43</v>
      </c>
      <c r="D85" s="211" t="s">
        <v>43</v>
      </c>
      <c r="E85" s="64">
        <v>28.76</v>
      </c>
      <c r="F85" s="64">
        <v>28.11</v>
      </c>
      <c r="G85" s="64">
        <v>127.21</v>
      </c>
      <c r="H85" s="6" t="s">
        <v>42</v>
      </c>
      <c r="I85" s="64">
        <v>3.98</v>
      </c>
      <c r="J85" s="64">
        <v>2.12</v>
      </c>
      <c r="K85" s="64">
        <v>5.22</v>
      </c>
      <c r="L85" s="64">
        <v>26.17</v>
      </c>
      <c r="M85" s="64">
        <v>22.56</v>
      </c>
      <c r="N85" s="64">
        <v>33</v>
      </c>
      <c r="O85" s="64">
        <v>0</v>
      </c>
      <c r="P85" s="64">
        <v>1.42</v>
      </c>
      <c r="Q85" s="64">
        <v>9.75</v>
      </c>
      <c r="R85" s="198"/>
      <c r="S85" s="198"/>
      <c r="T85" s="198"/>
      <c r="U85" s="198"/>
    </row>
    <row r="86" spans="1:26" s="12" customFormat="1" x14ac:dyDescent="0.25">
      <c r="A86" s="215" t="s">
        <v>419</v>
      </c>
      <c r="B86" s="211" t="s">
        <v>43</v>
      </c>
      <c r="C86" s="211" t="s">
        <v>43</v>
      </c>
      <c r="D86" s="211" t="s">
        <v>43</v>
      </c>
      <c r="E86" s="64">
        <v>32.33</v>
      </c>
      <c r="F86" s="64">
        <v>21.95</v>
      </c>
      <c r="G86" s="64">
        <v>127.21</v>
      </c>
      <c r="H86" s="6" t="s">
        <v>42</v>
      </c>
      <c r="I86" s="64">
        <v>3.95</v>
      </c>
      <c r="J86" s="64">
        <v>2.31</v>
      </c>
      <c r="K86" s="64">
        <v>4.08</v>
      </c>
      <c r="L86" s="64">
        <v>26.36</v>
      </c>
      <c r="M86" s="64">
        <v>22.88</v>
      </c>
      <c r="N86" s="64">
        <v>33.1</v>
      </c>
      <c r="O86" s="64">
        <v>0</v>
      </c>
      <c r="P86" s="64">
        <v>1.65</v>
      </c>
      <c r="Q86" s="64">
        <v>9.75</v>
      </c>
      <c r="R86" s="198"/>
      <c r="S86" s="198"/>
      <c r="T86" s="198"/>
      <c r="U86" s="198"/>
    </row>
    <row r="87" spans="1:26" s="12" customFormat="1" x14ac:dyDescent="0.25">
      <c r="A87" s="215" t="s">
        <v>420</v>
      </c>
      <c r="B87" s="211" t="s">
        <v>43</v>
      </c>
      <c r="C87" s="211" t="s">
        <v>43</v>
      </c>
      <c r="D87" s="211" t="s">
        <v>43</v>
      </c>
      <c r="E87" s="64">
        <v>41.6</v>
      </c>
      <c r="F87" s="64">
        <v>17.149999999999999</v>
      </c>
      <c r="G87" s="64">
        <v>128.82</v>
      </c>
      <c r="H87" s="6" t="s">
        <v>42</v>
      </c>
      <c r="I87" s="64">
        <v>4.1100000000000003</v>
      </c>
      <c r="J87" s="64">
        <v>2.25</v>
      </c>
      <c r="K87" s="64">
        <v>5.85</v>
      </c>
      <c r="L87" s="64">
        <v>26</v>
      </c>
      <c r="M87" s="64">
        <v>23.57</v>
      </c>
      <c r="N87" s="64">
        <v>33.1</v>
      </c>
      <c r="O87" s="64">
        <v>0</v>
      </c>
      <c r="P87" s="64">
        <v>1.61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15" t="s">
        <v>421</v>
      </c>
      <c r="B88" s="211" t="s">
        <v>43</v>
      </c>
      <c r="C88" s="211" t="s">
        <v>43</v>
      </c>
      <c r="D88" s="211" t="s">
        <v>43</v>
      </c>
      <c r="E88" s="64">
        <v>48.26</v>
      </c>
      <c r="F88" s="64">
        <v>17.05</v>
      </c>
      <c r="G88" s="64">
        <v>130.57</v>
      </c>
      <c r="H88" s="6" t="s">
        <v>42</v>
      </c>
      <c r="I88" s="64">
        <v>4</v>
      </c>
      <c r="J88" s="64">
        <v>2.12</v>
      </c>
      <c r="K88" s="64">
        <v>4.55</v>
      </c>
      <c r="L88" s="64">
        <v>25.97</v>
      </c>
      <c r="M88" s="64">
        <v>24.21</v>
      </c>
      <c r="N88" s="64">
        <v>33.1</v>
      </c>
      <c r="O88" s="64">
        <v>0</v>
      </c>
      <c r="P88" s="64">
        <v>1.52</v>
      </c>
      <c r="Q88" s="64">
        <v>9.7100000000000009</v>
      </c>
      <c r="R88" s="198"/>
      <c r="S88" s="198"/>
      <c r="T88" s="198"/>
      <c r="U88" s="198"/>
    </row>
    <row r="89" spans="1:26" s="12" customFormat="1" x14ac:dyDescent="0.25">
      <c r="A89" s="215" t="s">
        <v>422</v>
      </c>
      <c r="B89" s="211" t="s">
        <v>43</v>
      </c>
      <c r="C89" s="211" t="s">
        <v>43</v>
      </c>
      <c r="D89" s="211" t="s">
        <v>43</v>
      </c>
      <c r="E89" s="64">
        <v>16.899999999999999</v>
      </c>
      <c r="F89" s="64">
        <v>18.97</v>
      </c>
      <c r="G89" s="64">
        <v>130.57</v>
      </c>
      <c r="H89" s="6" t="s">
        <v>42</v>
      </c>
      <c r="I89" s="64">
        <v>4.04</v>
      </c>
      <c r="J89" s="64">
        <v>2.15</v>
      </c>
      <c r="K89" s="64">
        <v>9.6999999999999993</v>
      </c>
      <c r="L89" s="64">
        <v>25.87</v>
      </c>
      <c r="M89" s="64">
        <v>24.67</v>
      </c>
      <c r="N89" s="64">
        <v>33.1</v>
      </c>
      <c r="O89" s="64">
        <v>0</v>
      </c>
      <c r="P89" s="64">
        <v>1.4</v>
      </c>
      <c r="Q89" s="64">
        <v>9.74</v>
      </c>
      <c r="R89" s="198"/>
      <c r="S89" s="198"/>
      <c r="T89" s="198"/>
      <c r="U89" s="198"/>
    </row>
    <row r="90" spans="1:26" s="12" customFormat="1" x14ac:dyDescent="0.25">
      <c r="A90" s="215" t="s">
        <v>423</v>
      </c>
      <c r="B90" s="211" t="s">
        <v>43</v>
      </c>
      <c r="C90" s="211" t="s">
        <v>43</v>
      </c>
      <c r="D90" s="211" t="s">
        <v>43</v>
      </c>
      <c r="E90" s="64">
        <v>13.42</v>
      </c>
      <c r="F90" s="64">
        <v>18.010000000000002</v>
      </c>
      <c r="G90" s="64">
        <v>130.57</v>
      </c>
      <c r="H90" s="6" t="s">
        <v>42</v>
      </c>
      <c r="I90" s="64">
        <v>4.09</v>
      </c>
      <c r="J90" s="64">
        <v>2.08</v>
      </c>
      <c r="K90" s="64">
        <v>9.93</v>
      </c>
      <c r="L90" s="64">
        <v>25.97</v>
      </c>
      <c r="M90" s="64">
        <v>25.25</v>
      </c>
      <c r="N90" s="64">
        <v>33</v>
      </c>
      <c r="O90" s="64">
        <v>0</v>
      </c>
      <c r="P90" s="64">
        <v>1.44</v>
      </c>
      <c r="Q90" s="64">
        <v>9.7200000000000006</v>
      </c>
      <c r="R90" s="198"/>
      <c r="S90" s="198"/>
      <c r="T90" s="198"/>
      <c r="U90" s="198"/>
    </row>
    <row r="91" spans="1:26" s="12" customFormat="1" x14ac:dyDescent="0.25">
      <c r="A91" s="215" t="s">
        <v>424</v>
      </c>
      <c r="B91" s="211" t="s">
        <v>43</v>
      </c>
      <c r="C91" s="211" t="s">
        <v>43</v>
      </c>
      <c r="D91" s="211" t="s">
        <v>43</v>
      </c>
      <c r="E91" s="64">
        <v>14.26</v>
      </c>
      <c r="F91" s="64">
        <v>19.149999999999999</v>
      </c>
      <c r="G91" s="64">
        <v>119.96</v>
      </c>
      <c r="H91" s="6" t="s">
        <v>42</v>
      </c>
      <c r="I91" s="64">
        <v>3.97</v>
      </c>
      <c r="J91" s="64">
        <v>1.74</v>
      </c>
      <c r="K91" s="64">
        <v>12.01</v>
      </c>
      <c r="L91" s="64">
        <v>25.61</v>
      </c>
      <c r="M91" s="64">
        <v>25.78</v>
      </c>
      <c r="N91" s="64">
        <v>33.1</v>
      </c>
      <c r="O91" s="64">
        <v>0</v>
      </c>
      <c r="P91" s="64">
        <v>1.43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5" t="s">
        <v>425</v>
      </c>
      <c r="B92" s="211" t="s">
        <v>43</v>
      </c>
      <c r="C92" s="211" t="s">
        <v>43</v>
      </c>
      <c r="D92" s="211" t="s">
        <v>43</v>
      </c>
      <c r="E92" s="64">
        <v>15.34</v>
      </c>
      <c r="F92" s="64">
        <v>16.89</v>
      </c>
      <c r="G92" s="64">
        <v>108.36</v>
      </c>
      <c r="H92" s="6" t="s">
        <v>42</v>
      </c>
      <c r="I92" s="64">
        <v>4.1100000000000003</v>
      </c>
      <c r="J92" s="64">
        <v>1.35</v>
      </c>
      <c r="K92" s="64">
        <v>11.92</v>
      </c>
      <c r="L92" s="64">
        <v>25.51</v>
      </c>
      <c r="M92" s="64">
        <v>26.32</v>
      </c>
      <c r="N92" s="64">
        <v>33.200000000000003</v>
      </c>
      <c r="O92" s="64">
        <v>0</v>
      </c>
      <c r="P92" s="64">
        <v>1.38</v>
      </c>
      <c r="Q92" s="64">
        <v>9.73</v>
      </c>
      <c r="R92" s="198"/>
      <c r="S92" s="198"/>
      <c r="T92" s="198"/>
      <c r="U92" s="198"/>
    </row>
    <row r="93" spans="1:26" s="12" customFormat="1" x14ac:dyDescent="0.25">
      <c r="A93" s="215" t="s">
        <v>426</v>
      </c>
      <c r="B93" s="211" t="s">
        <v>43</v>
      </c>
      <c r="C93" s="211" t="s">
        <v>43</v>
      </c>
      <c r="D93" s="211" t="s">
        <v>43</v>
      </c>
      <c r="E93" s="64">
        <v>19</v>
      </c>
      <c r="F93" s="64">
        <v>14.78</v>
      </c>
      <c r="G93" s="64">
        <v>108.36</v>
      </c>
      <c r="H93" s="6" t="s">
        <v>42</v>
      </c>
      <c r="I93" s="64">
        <v>4.0199999999999996</v>
      </c>
      <c r="J93" s="64">
        <v>1.52</v>
      </c>
      <c r="K93" s="64">
        <v>8.31</v>
      </c>
      <c r="L93" s="64">
        <v>25.3</v>
      </c>
      <c r="M93" s="64">
        <v>26.91</v>
      </c>
      <c r="N93" s="64">
        <v>33.1</v>
      </c>
      <c r="O93" s="64">
        <v>0</v>
      </c>
      <c r="P93" s="64">
        <v>1.42</v>
      </c>
      <c r="Q93" s="64">
        <v>9.74</v>
      </c>
      <c r="R93" s="198"/>
      <c r="S93" s="198"/>
      <c r="T93" s="198"/>
      <c r="U93" s="198"/>
    </row>
    <row r="94" spans="1:26" s="12" customFormat="1" x14ac:dyDescent="0.25">
      <c r="A94" s="215" t="s">
        <v>427</v>
      </c>
      <c r="B94" s="211" t="s">
        <v>43</v>
      </c>
      <c r="C94" s="211" t="s">
        <v>43</v>
      </c>
      <c r="D94" s="211" t="s">
        <v>43</v>
      </c>
      <c r="E94" s="64">
        <v>17.59</v>
      </c>
      <c r="F94" s="64">
        <v>15.36</v>
      </c>
      <c r="G94" s="64">
        <v>108.36</v>
      </c>
      <c r="H94" s="6" t="s">
        <v>42</v>
      </c>
      <c r="I94" s="64">
        <v>4.08</v>
      </c>
      <c r="J94" s="64">
        <v>2.14</v>
      </c>
      <c r="K94" s="64">
        <v>3.45</v>
      </c>
      <c r="L94" s="64">
        <v>25.28</v>
      </c>
      <c r="M94" s="64">
        <v>27.37</v>
      </c>
      <c r="N94" s="64">
        <v>33</v>
      </c>
      <c r="O94" s="64">
        <v>0</v>
      </c>
      <c r="P94" s="64">
        <v>1.35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5" t="s">
        <v>428</v>
      </c>
      <c r="B95" s="211" t="s">
        <v>43</v>
      </c>
      <c r="C95" s="211" t="s">
        <v>43</v>
      </c>
      <c r="D95" s="211" t="s">
        <v>43</v>
      </c>
      <c r="E95" s="64">
        <v>20.239999999999998</v>
      </c>
      <c r="F95" s="64">
        <v>15.63</v>
      </c>
      <c r="G95" s="64">
        <v>99.9</v>
      </c>
      <c r="H95" s="6" t="s">
        <v>42</v>
      </c>
      <c r="I95" s="64">
        <v>3.88</v>
      </c>
      <c r="J95" s="64">
        <v>2.5499999999999998</v>
      </c>
      <c r="K95" s="64">
        <v>2.98</v>
      </c>
      <c r="L95" s="64">
        <v>25.09</v>
      </c>
      <c r="M95" s="64">
        <v>27.99</v>
      </c>
      <c r="N95" s="64">
        <v>33.1</v>
      </c>
      <c r="O95" s="64">
        <v>0</v>
      </c>
      <c r="P95" s="64">
        <v>1.34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5" t="s">
        <v>429</v>
      </c>
      <c r="B96" s="211" t="s">
        <v>43</v>
      </c>
      <c r="C96" s="211" t="s">
        <v>43</v>
      </c>
      <c r="D96" s="211" t="s">
        <v>43</v>
      </c>
      <c r="E96" s="64">
        <v>22.24</v>
      </c>
      <c r="F96" s="64">
        <v>13.21</v>
      </c>
      <c r="G96" s="64">
        <v>90.65</v>
      </c>
      <c r="H96" s="6" t="s">
        <v>42</v>
      </c>
      <c r="I96" s="64">
        <v>4.16</v>
      </c>
      <c r="J96" s="64">
        <v>2.5299999999999998</v>
      </c>
      <c r="K96" s="64">
        <v>2.06</v>
      </c>
      <c r="L96" s="64">
        <v>25.04</v>
      </c>
      <c r="M96" s="64">
        <v>28.41</v>
      </c>
      <c r="N96" s="64">
        <v>33.1</v>
      </c>
      <c r="O96" s="64">
        <v>0</v>
      </c>
      <c r="P96" s="64">
        <v>1.21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430</v>
      </c>
      <c r="B97" s="211" t="s">
        <v>43</v>
      </c>
      <c r="C97" s="211" t="s">
        <v>43</v>
      </c>
      <c r="D97" s="211" t="s">
        <v>43</v>
      </c>
      <c r="E97" s="64">
        <v>31.15</v>
      </c>
      <c r="F97" s="64">
        <v>15.58</v>
      </c>
      <c r="G97" s="64">
        <v>90.65</v>
      </c>
      <c r="H97" s="6" t="s">
        <v>42</v>
      </c>
      <c r="I97" s="64">
        <v>3.83</v>
      </c>
      <c r="J97" s="64">
        <v>2.6</v>
      </c>
      <c r="K97" s="64">
        <v>3.35</v>
      </c>
      <c r="L97" s="64">
        <v>24.96</v>
      </c>
      <c r="M97" s="64">
        <v>29.04</v>
      </c>
      <c r="N97" s="64">
        <v>33.200000000000003</v>
      </c>
      <c r="O97" s="64">
        <v>0</v>
      </c>
      <c r="P97" s="64">
        <v>1.04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5" t="s">
        <v>431</v>
      </c>
      <c r="B98" s="211" t="s">
        <v>43</v>
      </c>
      <c r="C98" s="211" t="s">
        <v>43</v>
      </c>
      <c r="D98" s="211" t="s">
        <v>43</v>
      </c>
      <c r="E98" s="64">
        <v>49.01</v>
      </c>
      <c r="F98" s="64">
        <v>17.510000000000002</v>
      </c>
      <c r="G98" s="64">
        <v>90.65</v>
      </c>
      <c r="H98" s="6" t="s">
        <v>42</v>
      </c>
      <c r="I98" s="64">
        <v>4.04</v>
      </c>
      <c r="J98" s="64">
        <v>2.5099999999999998</v>
      </c>
      <c r="K98" s="64">
        <v>0.86</v>
      </c>
      <c r="L98" s="64">
        <v>24.72</v>
      </c>
      <c r="M98" s="64">
        <v>29.95</v>
      </c>
      <c r="N98" s="64">
        <v>33.4</v>
      </c>
      <c r="O98" s="64">
        <v>0</v>
      </c>
      <c r="P98" s="64">
        <v>0.91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5" t="s">
        <v>432</v>
      </c>
      <c r="B99" s="211" t="s">
        <v>43</v>
      </c>
      <c r="C99" s="211" t="s">
        <v>43</v>
      </c>
      <c r="D99" s="211" t="s">
        <v>43</v>
      </c>
      <c r="E99" s="64">
        <v>42.06</v>
      </c>
      <c r="F99" s="64">
        <v>15.77</v>
      </c>
      <c r="G99" s="64">
        <v>82.8</v>
      </c>
      <c r="H99" s="6" t="s">
        <v>42</v>
      </c>
      <c r="I99" s="64">
        <v>3.97</v>
      </c>
      <c r="J99" s="64">
        <v>2.57</v>
      </c>
      <c r="K99" s="64">
        <v>1.65</v>
      </c>
      <c r="L99" s="64">
        <v>24.51</v>
      </c>
      <c r="M99" s="64">
        <v>30.56</v>
      </c>
      <c r="N99" s="64">
        <v>33.4</v>
      </c>
      <c r="O99" s="64">
        <v>0</v>
      </c>
      <c r="P99" s="64">
        <v>0.89</v>
      </c>
      <c r="Q99" s="64">
        <v>9.73</v>
      </c>
      <c r="R99" s="198"/>
      <c r="S99" s="198"/>
      <c r="T99" s="198"/>
      <c r="U99" s="198"/>
    </row>
    <row r="100" spans="1:33" s="12" customFormat="1" x14ac:dyDescent="0.25">
      <c r="A100" s="215" t="s">
        <v>433</v>
      </c>
      <c r="B100" s="211" t="s">
        <v>43</v>
      </c>
      <c r="C100" s="211" t="s">
        <v>43</v>
      </c>
      <c r="D100" s="211" t="s">
        <v>43</v>
      </c>
      <c r="E100" s="64">
        <v>40.61</v>
      </c>
      <c r="F100" s="64">
        <v>16.579999999999998</v>
      </c>
      <c r="G100" s="64">
        <v>74.209999999999994</v>
      </c>
      <c r="H100" s="6" t="s">
        <v>42</v>
      </c>
      <c r="I100" s="64">
        <v>3.97</v>
      </c>
      <c r="J100" s="64">
        <v>2.11</v>
      </c>
      <c r="K100" s="64">
        <v>5.79</v>
      </c>
      <c r="L100" s="64">
        <v>24.33</v>
      </c>
      <c r="M100" s="64">
        <v>31.11</v>
      </c>
      <c r="N100" s="64">
        <v>33.4</v>
      </c>
      <c r="O100" s="64">
        <v>0</v>
      </c>
      <c r="P100" s="64">
        <v>0.86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434</v>
      </c>
      <c r="B101" s="211" t="s">
        <v>43</v>
      </c>
      <c r="C101" s="211" t="s">
        <v>43</v>
      </c>
      <c r="D101" s="211" t="s">
        <v>43</v>
      </c>
      <c r="E101" s="64">
        <v>28.71</v>
      </c>
      <c r="F101" s="64">
        <v>16.55</v>
      </c>
      <c r="G101" s="64">
        <v>74.209999999999994</v>
      </c>
      <c r="H101" s="6" t="s">
        <v>42</v>
      </c>
      <c r="I101" s="64">
        <v>3.94</v>
      </c>
      <c r="J101" s="64">
        <v>2.2200000000000002</v>
      </c>
      <c r="K101" s="64">
        <v>3.63</v>
      </c>
      <c r="L101" s="64">
        <v>24.28</v>
      </c>
      <c r="M101" s="64">
        <v>31.26</v>
      </c>
      <c r="N101" s="64">
        <v>33.299999999999997</v>
      </c>
      <c r="O101" s="64">
        <v>0</v>
      </c>
      <c r="P101" s="64">
        <v>0.84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5" t="s">
        <v>435</v>
      </c>
      <c r="B102" s="211" t="s">
        <v>43</v>
      </c>
      <c r="C102" s="211" t="s">
        <v>43</v>
      </c>
      <c r="D102" s="211" t="s">
        <v>43</v>
      </c>
      <c r="E102" s="64">
        <v>24.26</v>
      </c>
      <c r="F102" s="64">
        <v>15.41</v>
      </c>
      <c r="G102" s="64">
        <v>74.209999999999994</v>
      </c>
      <c r="H102" s="6" t="s">
        <v>42</v>
      </c>
      <c r="I102" s="64">
        <v>3.91</v>
      </c>
      <c r="J102" s="64">
        <v>1.21</v>
      </c>
      <c r="K102" s="64">
        <v>14.35</v>
      </c>
      <c r="L102" s="64">
        <v>24.17</v>
      </c>
      <c r="M102" s="64">
        <v>31.19</v>
      </c>
      <c r="N102" s="64">
        <v>33.200000000000003</v>
      </c>
      <c r="O102" s="64">
        <v>0</v>
      </c>
      <c r="P102" s="64">
        <v>0.72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5" t="s">
        <v>436</v>
      </c>
      <c r="B103" s="211" t="s">
        <v>43</v>
      </c>
      <c r="C103" s="211" t="s">
        <v>43</v>
      </c>
      <c r="D103" s="211" t="s">
        <v>43</v>
      </c>
      <c r="E103" s="64">
        <v>13.43</v>
      </c>
      <c r="F103" s="64">
        <v>20.49</v>
      </c>
      <c r="G103" s="64">
        <v>71.36</v>
      </c>
      <c r="H103" s="6" t="s">
        <v>42</v>
      </c>
      <c r="I103" s="64">
        <v>3.93</v>
      </c>
      <c r="J103" s="64">
        <v>1.27</v>
      </c>
      <c r="K103" s="64">
        <v>67.83</v>
      </c>
      <c r="L103" s="64">
        <v>24.3</v>
      </c>
      <c r="M103" s="64">
        <v>30.5</v>
      </c>
      <c r="N103" s="64">
        <v>32.9</v>
      </c>
      <c r="O103" s="64">
        <v>0</v>
      </c>
      <c r="P103" s="64">
        <v>0.62</v>
      </c>
      <c r="Q103" s="64">
        <v>9.7200000000000006</v>
      </c>
      <c r="R103" s="198"/>
      <c r="S103" s="198"/>
      <c r="T103" s="198"/>
      <c r="U103" s="198"/>
    </row>
    <row r="104" spans="1:33" s="12" customFormat="1" x14ac:dyDescent="0.25">
      <c r="A104" s="215" t="s">
        <v>437</v>
      </c>
      <c r="B104" s="211" t="s">
        <v>43</v>
      </c>
      <c r="C104" s="211" t="s">
        <v>43</v>
      </c>
      <c r="D104" s="211" t="s">
        <v>43</v>
      </c>
      <c r="E104" s="64">
        <v>7.53</v>
      </c>
      <c r="F104" s="64">
        <v>13.78</v>
      </c>
      <c r="G104" s="64">
        <v>68.37</v>
      </c>
      <c r="H104" s="64">
        <v>239.85</v>
      </c>
      <c r="I104" s="64">
        <v>3.86</v>
      </c>
      <c r="J104" s="64">
        <v>1.46</v>
      </c>
      <c r="K104" s="64">
        <v>40.54</v>
      </c>
      <c r="L104" s="64">
        <v>24.31</v>
      </c>
      <c r="M104" s="64">
        <v>29.72</v>
      </c>
      <c r="N104" s="64">
        <v>32.799999999999997</v>
      </c>
      <c r="O104" s="64">
        <v>0</v>
      </c>
      <c r="P104" s="64">
        <v>0.87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4.74</v>
      </c>
      <c r="F106" s="67">
        <f t="shared" si="0"/>
        <v>6.55</v>
      </c>
      <c r="G106" s="67">
        <f t="shared" si="0"/>
        <v>57.57</v>
      </c>
      <c r="H106" s="67">
        <f t="shared" si="0"/>
        <v>27.88</v>
      </c>
      <c r="I106" s="67">
        <f t="shared" si="0"/>
        <v>3.78</v>
      </c>
      <c r="J106" s="67">
        <f t="shared" si="0"/>
        <v>0.73</v>
      </c>
      <c r="K106" s="67">
        <f t="shared" si="0"/>
        <v>0.18</v>
      </c>
      <c r="L106" s="67">
        <f t="shared" si="0"/>
        <v>19.34</v>
      </c>
      <c r="M106" s="67">
        <f t="shared" si="0"/>
        <v>12.33</v>
      </c>
      <c r="N106" s="67">
        <f t="shared" si="0"/>
        <v>27.6</v>
      </c>
      <c r="O106" s="67">
        <f t="shared" si="0"/>
        <v>0</v>
      </c>
      <c r="P106" s="67">
        <f t="shared" si="0"/>
        <v>0.62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148.03</v>
      </c>
      <c r="F107" s="66">
        <f t="shared" si="1"/>
        <v>40.56</v>
      </c>
      <c r="G107" s="66">
        <f t="shared" si="1"/>
        <v>188.25</v>
      </c>
      <c r="H107" s="66">
        <f t="shared" si="1"/>
        <v>239.85</v>
      </c>
      <c r="I107" s="66">
        <f t="shared" si="1"/>
        <v>4.22</v>
      </c>
      <c r="J107" s="66">
        <f t="shared" si="1"/>
        <v>4.12</v>
      </c>
      <c r="K107" s="66">
        <f t="shared" si="1"/>
        <v>359.68</v>
      </c>
      <c r="L107" s="66">
        <f t="shared" si="1"/>
        <v>33.57</v>
      </c>
      <c r="M107" s="66">
        <f t="shared" si="1"/>
        <v>49</v>
      </c>
      <c r="N107" s="66">
        <f t="shared" si="1"/>
        <v>527.70000000000005</v>
      </c>
      <c r="O107" s="66">
        <f t="shared" si="1"/>
        <v>0</v>
      </c>
      <c r="P107" s="66">
        <f t="shared" si="1"/>
        <v>2.21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30.240520833333346</v>
      </c>
      <c r="F108" s="67">
        <f t="shared" si="2"/>
        <v>16.483125000000001</v>
      </c>
      <c r="G108" s="67">
        <f t="shared" si="2"/>
        <v>115.33499999999995</v>
      </c>
      <c r="H108" s="67">
        <f t="shared" si="2"/>
        <v>100.61259259259261</v>
      </c>
      <c r="I108" s="67">
        <f t="shared" si="2"/>
        <v>3.9803125000000019</v>
      </c>
      <c r="J108" s="67">
        <f t="shared" si="2"/>
        <v>2.1234375000000005</v>
      </c>
      <c r="K108" s="67">
        <f t="shared" si="2"/>
        <v>202.5883333333334</v>
      </c>
      <c r="L108" s="67">
        <f t="shared" si="2"/>
        <v>25.794270833333339</v>
      </c>
      <c r="M108" s="67">
        <f t="shared" si="2"/>
        <v>27.076562499999991</v>
      </c>
      <c r="N108" s="67">
        <f t="shared" si="2"/>
        <v>130.15104166666666</v>
      </c>
      <c r="O108" s="67">
        <f t="shared" si="2"/>
        <v>0</v>
      </c>
      <c r="P108" s="67">
        <f t="shared" si="2"/>
        <v>1.3152083333333338</v>
      </c>
      <c r="Q108" s="67">
        <f t="shared" si="2"/>
        <v>9.363229166666672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28.083888333640743</v>
      </c>
      <c r="F109" s="67">
        <f t="shared" si="3"/>
        <v>9.2977471309197455</v>
      </c>
      <c r="G109" s="67">
        <f t="shared" si="3"/>
        <v>29.740188020866515</v>
      </c>
      <c r="H109" s="67">
        <f t="shared" si="3"/>
        <v>61.915418645898491</v>
      </c>
      <c r="I109" s="67">
        <f t="shared" si="3"/>
        <v>9.5877697587795893E-2</v>
      </c>
      <c r="J109" s="67">
        <f t="shared" si="3"/>
        <v>0.80610411776904378</v>
      </c>
      <c r="K109" s="67">
        <f t="shared" si="3"/>
        <v>147.43243427105068</v>
      </c>
      <c r="L109" s="67">
        <f t="shared" si="3"/>
        <v>4.4121360729103811</v>
      </c>
      <c r="M109" s="67">
        <f t="shared" si="3"/>
        <v>10.446561240112523</v>
      </c>
      <c r="N109" s="67">
        <f t="shared" si="3"/>
        <v>139.07720990404209</v>
      </c>
      <c r="O109" s="67">
        <f t="shared" si="3"/>
        <v>0</v>
      </c>
      <c r="P109" s="67">
        <f t="shared" si="3"/>
        <v>0.34251078866347795</v>
      </c>
      <c r="Q109" s="67">
        <f t="shared" si="3"/>
        <v>1.6966186153278648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COUNT(H9:H104)+69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438</v>
      </c>
      <c r="B9" s="211" t="s">
        <v>43</v>
      </c>
      <c r="C9" s="211" t="s">
        <v>43</v>
      </c>
      <c r="D9" s="211" t="s">
        <v>43</v>
      </c>
      <c r="E9" s="64">
        <v>7.43</v>
      </c>
      <c r="F9" s="64">
        <v>8.64</v>
      </c>
      <c r="G9" s="64">
        <v>68.37</v>
      </c>
      <c r="H9" s="6" t="s">
        <v>42</v>
      </c>
      <c r="I9" s="64">
        <v>4.08</v>
      </c>
      <c r="J9" s="64">
        <v>1.61</v>
      </c>
      <c r="K9" s="64">
        <v>48.84</v>
      </c>
      <c r="L9" s="64">
        <v>24.48</v>
      </c>
      <c r="M9" s="64">
        <v>27.95</v>
      </c>
      <c r="N9" s="64">
        <v>32.700000000000003</v>
      </c>
      <c r="O9" s="64">
        <v>0</v>
      </c>
      <c r="P9" s="64">
        <v>1.02</v>
      </c>
      <c r="Q9" s="64">
        <v>9.73</v>
      </c>
      <c r="R9" s="198"/>
      <c r="S9" s="198"/>
      <c r="T9" s="198"/>
      <c r="U9" s="198"/>
    </row>
    <row r="10" spans="1:21" s="12" customFormat="1" x14ac:dyDescent="0.25">
      <c r="A10" s="215" t="s">
        <v>439</v>
      </c>
      <c r="B10" s="211" t="s">
        <v>43</v>
      </c>
      <c r="C10" s="211" t="s">
        <v>43</v>
      </c>
      <c r="D10" s="211" t="s">
        <v>43</v>
      </c>
      <c r="E10" s="64">
        <v>8.64</v>
      </c>
      <c r="F10" s="64">
        <v>9.31</v>
      </c>
      <c r="G10" s="64">
        <v>68.37</v>
      </c>
      <c r="H10" s="6" t="s">
        <v>42</v>
      </c>
      <c r="I10" s="64">
        <v>3.86</v>
      </c>
      <c r="J10" s="64">
        <v>2.02</v>
      </c>
      <c r="K10" s="64">
        <v>73.66</v>
      </c>
      <c r="L10" s="64">
        <v>24.36</v>
      </c>
      <c r="M10" s="64">
        <v>28.27</v>
      </c>
      <c r="N10" s="64">
        <v>33.1</v>
      </c>
      <c r="O10" s="64">
        <v>0</v>
      </c>
      <c r="P10" s="64">
        <v>0.96</v>
      </c>
      <c r="Q10" s="64">
        <v>9.75</v>
      </c>
      <c r="R10" s="198"/>
      <c r="S10" s="198"/>
      <c r="T10" s="198"/>
      <c r="U10" s="198"/>
    </row>
    <row r="11" spans="1:21" s="12" customFormat="1" x14ac:dyDescent="0.25">
      <c r="A11" s="215" t="s">
        <v>440</v>
      </c>
      <c r="B11" s="211" t="s">
        <v>43</v>
      </c>
      <c r="C11" s="211" t="s">
        <v>43</v>
      </c>
      <c r="D11" s="211" t="s">
        <v>43</v>
      </c>
      <c r="E11" s="64">
        <v>8.5</v>
      </c>
      <c r="F11" s="64">
        <v>10.08</v>
      </c>
      <c r="G11" s="64">
        <v>64.17</v>
      </c>
      <c r="H11" s="6" t="s">
        <v>42</v>
      </c>
      <c r="I11" s="64">
        <v>3.98</v>
      </c>
      <c r="J11" s="64">
        <v>1.88</v>
      </c>
      <c r="K11" s="64">
        <v>83.23</v>
      </c>
      <c r="L11" s="64">
        <v>24.15</v>
      </c>
      <c r="M11" s="64">
        <v>29.94</v>
      </c>
      <c r="N11" s="64">
        <v>33.200000000000003</v>
      </c>
      <c r="O11" s="64">
        <v>0</v>
      </c>
      <c r="P11" s="64">
        <v>0.9</v>
      </c>
      <c r="Q11" s="64">
        <v>9.77</v>
      </c>
      <c r="R11" s="198"/>
      <c r="S11" s="198"/>
      <c r="T11" s="198"/>
      <c r="U11" s="198"/>
    </row>
    <row r="12" spans="1:21" s="12" customFormat="1" x14ac:dyDescent="0.25">
      <c r="A12" s="215" t="s">
        <v>441</v>
      </c>
      <c r="B12" s="211" t="s">
        <v>43</v>
      </c>
      <c r="C12" s="211" t="s">
        <v>43</v>
      </c>
      <c r="D12" s="211" t="s">
        <v>43</v>
      </c>
      <c r="E12" s="64">
        <v>7.55</v>
      </c>
      <c r="F12" s="64">
        <v>9.35</v>
      </c>
      <c r="G12" s="64">
        <v>59.59</v>
      </c>
      <c r="H12" s="64">
        <v>33.299999999999997</v>
      </c>
      <c r="I12" s="64">
        <v>3.88</v>
      </c>
      <c r="J12" s="64">
        <v>2.5</v>
      </c>
      <c r="K12" s="64">
        <v>88.91</v>
      </c>
      <c r="L12" s="64">
        <v>23.92</v>
      </c>
      <c r="M12" s="64">
        <v>31.07</v>
      </c>
      <c r="N12" s="64">
        <v>33.299999999999997</v>
      </c>
      <c r="O12" s="64">
        <v>0</v>
      </c>
      <c r="P12" s="64">
        <v>0.89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5" t="s">
        <v>442</v>
      </c>
      <c r="B13" s="211" t="s">
        <v>43</v>
      </c>
      <c r="C13" s="211" t="s">
        <v>43</v>
      </c>
      <c r="D13" s="211" t="s">
        <v>43</v>
      </c>
      <c r="E13" s="64">
        <v>7.23</v>
      </c>
      <c r="F13" s="64">
        <v>9.32</v>
      </c>
      <c r="G13" s="64">
        <v>59.59</v>
      </c>
      <c r="H13" s="64">
        <v>33.299999999999997</v>
      </c>
      <c r="I13" s="64">
        <v>3.97</v>
      </c>
      <c r="J13" s="64">
        <v>2.93</v>
      </c>
      <c r="K13" s="64">
        <v>94.08</v>
      </c>
      <c r="L13" s="64">
        <v>23.63</v>
      </c>
      <c r="M13" s="64">
        <v>33.08</v>
      </c>
      <c r="N13" s="64">
        <v>33.299999999999997</v>
      </c>
      <c r="O13" s="64">
        <v>0</v>
      </c>
      <c r="P13" s="64">
        <v>0.86</v>
      </c>
      <c r="Q13" s="64">
        <v>9.73</v>
      </c>
      <c r="R13" s="198"/>
      <c r="S13" s="198"/>
      <c r="T13" s="198"/>
      <c r="U13" s="198"/>
    </row>
    <row r="14" spans="1:21" s="12" customFormat="1" x14ac:dyDescent="0.25">
      <c r="A14" s="215" t="s">
        <v>443</v>
      </c>
      <c r="B14" s="211" t="s">
        <v>43</v>
      </c>
      <c r="C14" s="211" t="s">
        <v>43</v>
      </c>
      <c r="D14" s="211" t="s">
        <v>43</v>
      </c>
      <c r="E14" s="64">
        <v>5.69</v>
      </c>
      <c r="F14" s="64">
        <v>7.13</v>
      </c>
      <c r="G14" s="64">
        <v>59.59</v>
      </c>
      <c r="H14" s="64">
        <v>33.299999999999997</v>
      </c>
      <c r="I14" s="64">
        <v>3.91</v>
      </c>
      <c r="J14" s="64">
        <v>4</v>
      </c>
      <c r="K14" s="64">
        <v>104.75</v>
      </c>
      <c r="L14" s="64">
        <v>23.42</v>
      </c>
      <c r="M14" s="64">
        <v>36.299999999999997</v>
      </c>
      <c r="N14" s="64">
        <v>33.5</v>
      </c>
      <c r="O14" s="64">
        <v>0</v>
      </c>
      <c r="P14" s="64">
        <v>0.86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5" t="s">
        <v>444</v>
      </c>
      <c r="B15" s="211" t="s">
        <v>43</v>
      </c>
      <c r="C15" s="211" t="s">
        <v>43</v>
      </c>
      <c r="D15" s="211" t="s">
        <v>43</v>
      </c>
      <c r="E15" s="64">
        <v>5.97</v>
      </c>
      <c r="F15" s="64">
        <v>7.46</v>
      </c>
      <c r="G15" s="64">
        <v>62.22</v>
      </c>
      <c r="H15" s="64">
        <v>49.62</v>
      </c>
      <c r="I15" s="64">
        <v>3.99</v>
      </c>
      <c r="J15" s="64">
        <v>3.97</v>
      </c>
      <c r="K15" s="64">
        <v>100.01</v>
      </c>
      <c r="L15" s="64">
        <v>23.15</v>
      </c>
      <c r="M15" s="64">
        <v>39.950000000000003</v>
      </c>
      <c r="N15" s="64">
        <v>33.799999999999997</v>
      </c>
      <c r="O15" s="64">
        <v>0</v>
      </c>
      <c r="P15" s="64">
        <v>0.8</v>
      </c>
      <c r="Q15" s="64">
        <v>9.74</v>
      </c>
      <c r="R15" s="198"/>
      <c r="S15" s="198"/>
      <c r="T15" s="198"/>
      <c r="U15" s="198"/>
    </row>
    <row r="16" spans="1:21" s="12" customFormat="1" x14ac:dyDescent="0.25">
      <c r="A16" s="215" t="s">
        <v>445</v>
      </c>
      <c r="B16" s="211" t="s">
        <v>43</v>
      </c>
      <c r="C16" s="211" t="s">
        <v>43</v>
      </c>
      <c r="D16" s="211" t="s">
        <v>43</v>
      </c>
      <c r="E16" s="64">
        <v>6.11</v>
      </c>
      <c r="F16" s="64">
        <v>8.36</v>
      </c>
      <c r="G16" s="64">
        <v>65.11</v>
      </c>
      <c r="H16" s="64">
        <v>67.459999999999994</v>
      </c>
      <c r="I16" s="64">
        <v>3.99</v>
      </c>
      <c r="J16" s="64">
        <v>3.93</v>
      </c>
      <c r="K16" s="64">
        <v>90.95</v>
      </c>
      <c r="L16" s="64">
        <v>22.89</v>
      </c>
      <c r="M16" s="64">
        <v>44.95</v>
      </c>
      <c r="N16" s="64">
        <v>33.9</v>
      </c>
      <c r="O16" s="64">
        <v>0</v>
      </c>
      <c r="P16" s="64">
        <v>0.77</v>
      </c>
      <c r="Q16" s="64">
        <v>9.75</v>
      </c>
      <c r="R16" s="198"/>
      <c r="S16" s="198"/>
      <c r="T16" s="198"/>
      <c r="U16" s="198"/>
    </row>
    <row r="17" spans="1:21" s="12" customFormat="1" x14ac:dyDescent="0.25">
      <c r="A17" s="215" t="s">
        <v>446</v>
      </c>
      <c r="B17" s="211" t="s">
        <v>43</v>
      </c>
      <c r="C17" s="211" t="s">
        <v>43</v>
      </c>
      <c r="D17" s="211" t="s">
        <v>43</v>
      </c>
      <c r="E17" s="64">
        <v>5.23</v>
      </c>
      <c r="F17" s="64">
        <v>7.82</v>
      </c>
      <c r="G17" s="64">
        <v>65.11</v>
      </c>
      <c r="H17" s="64">
        <v>67.459999999999994</v>
      </c>
      <c r="I17" s="64">
        <v>3.97</v>
      </c>
      <c r="J17" s="64">
        <v>3.19</v>
      </c>
      <c r="K17" s="64">
        <v>92.08</v>
      </c>
      <c r="L17" s="64">
        <v>22.64</v>
      </c>
      <c r="M17" s="64">
        <v>47.83</v>
      </c>
      <c r="N17" s="64">
        <v>33.700000000000003</v>
      </c>
      <c r="O17" s="64">
        <v>0</v>
      </c>
      <c r="P17" s="64">
        <v>0.73</v>
      </c>
      <c r="Q17" s="64">
        <v>9.73</v>
      </c>
      <c r="R17" s="198"/>
      <c r="S17" s="198"/>
      <c r="T17" s="198"/>
      <c r="U17" s="198"/>
    </row>
    <row r="18" spans="1:21" s="12" customFormat="1" x14ac:dyDescent="0.25">
      <c r="A18" s="215" t="s">
        <v>447</v>
      </c>
      <c r="B18" s="211" t="s">
        <v>43</v>
      </c>
      <c r="C18" s="211" t="s">
        <v>43</v>
      </c>
      <c r="D18" s="211" t="s">
        <v>43</v>
      </c>
      <c r="E18" s="64">
        <v>6.41</v>
      </c>
      <c r="F18" s="64">
        <v>11.64</v>
      </c>
      <c r="G18" s="64">
        <v>65.11</v>
      </c>
      <c r="H18" s="64">
        <v>67.459999999999994</v>
      </c>
      <c r="I18" s="64">
        <v>3.99</v>
      </c>
      <c r="J18" s="64">
        <v>2.12</v>
      </c>
      <c r="K18" s="64">
        <v>99.37</v>
      </c>
      <c r="L18" s="64">
        <v>22.38</v>
      </c>
      <c r="M18" s="64">
        <v>50.82</v>
      </c>
      <c r="N18" s="64">
        <v>33.799999999999997</v>
      </c>
      <c r="O18" s="64">
        <v>0</v>
      </c>
      <c r="P18" s="64">
        <v>0.7</v>
      </c>
      <c r="Q18" s="64">
        <v>9.74</v>
      </c>
      <c r="R18" s="198"/>
      <c r="S18" s="198"/>
      <c r="T18" s="198"/>
      <c r="U18" s="198"/>
    </row>
    <row r="19" spans="1:21" s="12" customFormat="1" x14ac:dyDescent="0.25">
      <c r="A19" s="215" t="s">
        <v>448</v>
      </c>
      <c r="B19" s="211" t="s">
        <v>43</v>
      </c>
      <c r="C19" s="211" t="s">
        <v>43</v>
      </c>
      <c r="D19" s="211" t="s">
        <v>43</v>
      </c>
      <c r="E19" s="64">
        <v>7.38</v>
      </c>
      <c r="F19" s="64">
        <v>16.88</v>
      </c>
      <c r="G19" s="64">
        <v>66.94</v>
      </c>
      <c r="H19" s="64">
        <v>43.61</v>
      </c>
      <c r="I19" s="64">
        <v>4.03</v>
      </c>
      <c r="J19" s="64">
        <v>2.52</v>
      </c>
      <c r="K19" s="64">
        <v>96.07</v>
      </c>
      <c r="L19" s="64">
        <v>22.09</v>
      </c>
      <c r="M19" s="64">
        <v>53.77</v>
      </c>
      <c r="N19" s="64">
        <v>33.700000000000003</v>
      </c>
      <c r="O19" s="64">
        <v>0</v>
      </c>
      <c r="P19" s="64">
        <v>0.65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5" t="s">
        <v>449</v>
      </c>
      <c r="B20" s="211" t="s">
        <v>43</v>
      </c>
      <c r="C20" s="211" t="s">
        <v>43</v>
      </c>
      <c r="D20" s="211" t="s">
        <v>43</v>
      </c>
      <c r="E20" s="64">
        <v>7.99</v>
      </c>
      <c r="F20" s="64">
        <v>17.62</v>
      </c>
      <c r="G20" s="64">
        <v>68.95</v>
      </c>
      <c r="H20" s="64">
        <v>17.54</v>
      </c>
      <c r="I20" s="64">
        <v>4.03</v>
      </c>
      <c r="J20" s="64">
        <v>0.77</v>
      </c>
      <c r="K20" s="64">
        <v>82.93</v>
      </c>
      <c r="L20" s="64">
        <v>21.94</v>
      </c>
      <c r="M20" s="64">
        <v>55.38</v>
      </c>
      <c r="N20" s="64">
        <v>33.6</v>
      </c>
      <c r="O20" s="64">
        <v>0</v>
      </c>
      <c r="P20" s="64">
        <v>0.64</v>
      </c>
      <c r="Q20" s="64">
        <v>9.74</v>
      </c>
      <c r="R20" s="198"/>
      <c r="S20" s="198"/>
      <c r="T20" s="198"/>
      <c r="U20" s="198"/>
    </row>
    <row r="21" spans="1:21" s="12" customFormat="1" x14ac:dyDescent="0.25">
      <c r="A21" s="215" t="s">
        <v>450</v>
      </c>
      <c r="B21" s="211" t="s">
        <v>43</v>
      </c>
      <c r="C21" s="211" t="s">
        <v>43</v>
      </c>
      <c r="D21" s="211" t="s">
        <v>43</v>
      </c>
      <c r="E21" s="64">
        <v>9.33</v>
      </c>
      <c r="F21" s="64">
        <v>16.13</v>
      </c>
      <c r="G21" s="64">
        <v>68.95</v>
      </c>
      <c r="H21" s="64">
        <v>17.54</v>
      </c>
      <c r="I21" s="64">
        <v>4.1100000000000003</v>
      </c>
      <c r="J21" s="64">
        <v>1.65</v>
      </c>
      <c r="K21" s="64">
        <v>172.6</v>
      </c>
      <c r="L21" s="64">
        <v>21.68</v>
      </c>
      <c r="M21" s="64">
        <v>56.88</v>
      </c>
      <c r="N21" s="64">
        <v>33.299999999999997</v>
      </c>
      <c r="O21" s="64">
        <v>0</v>
      </c>
      <c r="P21" s="64">
        <v>0.6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5" t="s">
        <v>451</v>
      </c>
      <c r="B22" s="211" t="s">
        <v>43</v>
      </c>
      <c r="C22" s="211" t="s">
        <v>43</v>
      </c>
      <c r="D22" s="211" t="s">
        <v>43</v>
      </c>
      <c r="E22" s="64">
        <v>8.36</v>
      </c>
      <c r="F22" s="64">
        <v>18.59</v>
      </c>
      <c r="G22" s="64">
        <v>68.95</v>
      </c>
      <c r="H22" s="64">
        <v>17.54</v>
      </c>
      <c r="I22" s="64">
        <v>3.86</v>
      </c>
      <c r="J22" s="64">
        <v>1.59</v>
      </c>
      <c r="K22" s="64">
        <v>170.64</v>
      </c>
      <c r="L22" s="64">
        <v>21.49</v>
      </c>
      <c r="M22" s="64">
        <v>58.13</v>
      </c>
      <c r="N22" s="64">
        <v>33.299999999999997</v>
      </c>
      <c r="O22" s="64">
        <v>0</v>
      </c>
      <c r="P22" s="64">
        <v>0.62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5" t="s">
        <v>452</v>
      </c>
      <c r="B23" s="211" t="s">
        <v>43</v>
      </c>
      <c r="C23" s="211" t="s">
        <v>43</v>
      </c>
      <c r="D23" s="211" t="s">
        <v>43</v>
      </c>
      <c r="E23" s="64">
        <v>11.72</v>
      </c>
      <c r="F23" s="64">
        <v>22.2</v>
      </c>
      <c r="G23" s="64">
        <v>64.41</v>
      </c>
      <c r="H23" s="64">
        <v>26.98</v>
      </c>
      <c r="I23" s="64">
        <v>4.0599999999999996</v>
      </c>
      <c r="J23" s="64">
        <v>0.82</v>
      </c>
      <c r="K23" s="64">
        <v>118.2</v>
      </c>
      <c r="L23" s="64">
        <v>21.33</v>
      </c>
      <c r="M23" s="64">
        <v>59.7</v>
      </c>
      <c r="N23" s="64">
        <v>33.4</v>
      </c>
      <c r="O23" s="64">
        <v>0</v>
      </c>
      <c r="P23" s="64">
        <v>0.56000000000000005</v>
      </c>
      <c r="Q23" s="64">
        <v>9.69</v>
      </c>
      <c r="R23" s="198"/>
      <c r="S23" s="198"/>
      <c r="T23" s="198"/>
      <c r="U23" s="198"/>
    </row>
    <row r="24" spans="1:21" s="12" customFormat="1" x14ac:dyDescent="0.25">
      <c r="A24" s="215" t="s">
        <v>453</v>
      </c>
      <c r="B24" s="211" t="s">
        <v>43</v>
      </c>
      <c r="C24" s="211" t="s">
        <v>43</v>
      </c>
      <c r="D24" s="211" t="s">
        <v>43</v>
      </c>
      <c r="E24" s="64">
        <v>8.3000000000000007</v>
      </c>
      <c r="F24" s="64">
        <v>13.71</v>
      </c>
      <c r="G24" s="64">
        <v>59.45</v>
      </c>
      <c r="H24" s="64">
        <v>37.299999999999997</v>
      </c>
      <c r="I24" s="64">
        <v>4.01</v>
      </c>
      <c r="J24" s="64">
        <v>2.72</v>
      </c>
      <c r="K24" s="64">
        <v>85.05</v>
      </c>
      <c r="L24" s="64">
        <v>21.45</v>
      </c>
      <c r="M24" s="64">
        <v>59.64</v>
      </c>
      <c r="N24" s="64">
        <v>32.799999999999997</v>
      </c>
      <c r="O24" s="64">
        <v>0</v>
      </c>
      <c r="P24" s="64">
        <v>0.6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5" t="s">
        <v>454</v>
      </c>
      <c r="B25" s="211" t="s">
        <v>43</v>
      </c>
      <c r="C25" s="211" t="s">
        <v>43</v>
      </c>
      <c r="D25" s="211" t="s">
        <v>43</v>
      </c>
      <c r="E25" s="64">
        <v>9.42</v>
      </c>
      <c r="F25" s="64">
        <v>17.97</v>
      </c>
      <c r="G25" s="64">
        <v>59.45</v>
      </c>
      <c r="H25" s="64">
        <v>37.299999999999997</v>
      </c>
      <c r="I25" s="64">
        <v>4.12</v>
      </c>
      <c r="J25" s="64">
        <v>3.13</v>
      </c>
      <c r="K25" s="64">
        <v>102.5</v>
      </c>
      <c r="L25" s="64">
        <v>21.55</v>
      </c>
      <c r="M25" s="64">
        <v>60.12</v>
      </c>
      <c r="N25" s="64">
        <v>33.1</v>
      </c>
      <c r="O25" s="64">
        <v>0</v>
      </c>
      <c r="P25" s="64">
        <v>0.59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5" t="s">
        <v>455</v>
      </c>
      <c r="B26" s="211" t="s">
        <v>43</v>
      </c>
      <c r="C26" s="211" t="s">
        <v>43</v>
      </c>
      <c r="D26" s="211" t="s">
        <v>43</v>
      </c>
      <c r="E26" s="64">
        <v>6.1</v>
      </c>
      <c r="F26" s="64">
        <v>8.31</v>
      </c>
      <c r="G26" s="64">
        <v>59.45</v>
      </c>
      <c r="H26" s="64">
        <v>37.299999999999997</v>
      </c>
      <c r="I26" s="64">
        <v>3.98</v>
      </c>
      <c r="J26" s="64">
        <v>2.34</v>
      </c>
      <c r="K26" s="64">
        <v>93.54</v>
      </c>
      <c r="L26" s="64">
        <v>21.53</v>
      </c>
      <c r="M26" s="64">
        <v>60.51</v>
      </c>
      <c r="N26" s="64">
        <v>33.4</v>
      </c>
      <c r="O26" s="64">
        <v>0</v>
      </c>
      <c r="P26" s="64">
        <v>0.61</v>
      </c>
      <c r="Q26" s="64">
        <v>9.74</v>
      </c>
      <c r="R26" s="198"/>
      <c r="S26" s="198"/>
      <c r="T26" s="198"/>
      <c r="U26" s="198"/>
    </row>
    <row r="27" spans="1:21" s="12" customFormat="1" x14ac:dyDescent="0.25">
      <c r="A27" s="215" t="s">
        <v>456</v>
      </c>
      <c r="B27" s="211" t="s">
        <v>43</v>
      </c>
      <c r="C27" s="211" t="s">
        <v>43</v>
      </c>
      <c r="D27" s="211" t="s">
        <v>43</v>
      </c>
      <c r="E27" s="64">
        <v>7.04</v>
      </c>
      <c r="F27" s="64">
        <v>10.31</v>
      </c>
      <c r="G27" s="64">
        <v>58.93</v>
      </c>
      <c r="H27" s="64">
        <v>24.26</v>
      </c>
      <c r="I27" s="64">
        <v>3.89</v>
      </c>
      <c r="J27" s="64">
        <v>1.71</v>
      </c>
      <c r="K27" s="64">
        <v>75.55</v>
      </c>
      <c r="L27" s="64">
        <v>21.38</v>
      </c>
      <c r="M27" s="64">
        <v>61.68</v>
      </c>
      <c r="N27" s="64">
        <v>33.5</v>
      </c>
      <c r="O27" s="64">
        <v>0</v>
      </c>
      <c r="P27" s="64">
        <v>0.61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5" t="s">
        <v>457</v>
      </c>
      <c r="B28" s="211" t="s">
        <v>43</v>
      </c>
      <c r="C28" s="211" t="s">
        <v>43</v>
      </c>
      <c r="D28" s="211" t="s">
        <v>43</v>
      </c>
      <c r="E28" s="64">
        <v>7.9</v>
      </c>
      <c r="F28" s="64">
        <v>11.51</v>
      </c>
      <c r="G28" s="64">
        <v>58.37</v>
      </c>
      <c r="H28" s="64">
        <v>10.01</v>
      </c>
      <c r="I28" s="64">
        <v>3.86</v>
      </c>
      <c r="J28" s="64">
        <v>1.63</v>
      </c>
      <c r="K28" s="64">
        <v>59.83</v>
      </c>
      <c r="L28" s="64">
        <v>21.27</v>
      </c>
      <c r="M28" s="64">
        <v>62.16</v>
      </c>
      <c r="N28" s="64">
        <v>33.5</v>
      </c>
      <c r="O28" s="64">
        <v>0</v>
      </c>
      <c r="P28" s="64">
        <v>0.63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5" t="s">
        <v>458</v>
      </c>
      <c r="B29" s="211" t="s">
        <v>43</v>
      </c>
      <c r="C29" s="211" t="s">
        <v>43</v>
      </c>
      <c r="D29" s="211" t="s">
        <v>43</v>
      </c>
      <c r="E29" s="64">
        <v>6.18</v>
      </c>
      <c r="F29" s="64">
        <v>10.16</v>
      </c>
      <c r="G29" s="64">
        <v>58.37</v>
      </c>
      <c r="H29" s="64">
        <v>10.01</v>
      </c>
      <c r="I29" s="64">
        <v>4</v>
      </c>
      <c r="J29" s="64">
        <v>2.06</v>
      </c>
      <c r="K29" s="64">
        <v>1.85</v>
      </c>
      <c r="L29" s="64">
        <v>21.12</v>
      </c>
      <c r="M29" s="64">
        <v>63.28</v>
      </c>
      <c r="N29" s="64">
        <v>33.5</v>
      </c>
      <c r="O29" s="64">
        <v>0</v>
      </c>
      <c r="P29" s="64">
        <v>0.62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5" t="s">
        <v>459</v>
      </c>
      <c r="B30" s="211" t="s">
        <v>43</v>
      </c>
      <c r="C30" s="211" t="s">
        <v>43</v>
      </c>
      <c r="D30" s="211" t="s">
        <v>43</v>
      </c>
      <c r="E30" s="64">
        <v>5.71</v>
      </c>
      <c r="F30" s="64">
        <v>7.95</v>
      </c>
      <c r="G30" s="64">
        <v>58.37</v>
      </c>
      <c r="H30" s="64">
        <v>10.01</v>
      </c>
      <c r="I30" s="64">
        <v>3.95</v>
      </c>
      <c r="J30" s="64">
        <v>2.89</v>
      </c>
      <c r="K30" s="64">
        <v>355.06</v>
      </c>
      <c r="L30" s="64">
        <v>20.93</v>
      </c>
      <c r="M30" s="64">
        <v>65.069999999999993</v>
      </c>
      <c r="N30" s="64">
        <v>33.799999999999997</v>
      </c>
      <c r="O30" s="64">
        <v>0</v>
      </c>
      <c r="P30" s="64">
        <v>0.61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5" t="s">
        <v>460</v>
      </c>
      <c r="B31" s="211" t="s">
        <v>43</v>
      </c>
      <c r="C31" s="211" t="s">
        <v>43</v>
      </c>
      <c r="D31" s="211" t="s">
        <v>43</v>
      </c>
      <c r="E31" s="64">
        <v>5.29</v>
      </c>
      <c r="F31" s="64">
        <v>8.9499999999999993</v>
      </c>
      <c r="G31" s="64">
        <v>56.39</v>
      </c>
      <c r="H31" s="64">
        <v>22.3</v>
      </c>
      <c r="I31" s="64">
        <v>3.99</v>
      </c>
      <c r="J31" s="64">
        <v>2.8</v>
      </c>
      <c r="K31" s="64">
        <v>2.56</v>
      </c>
      <c r="L31" s="64">
        <v>20.71</v>
      </c>
      <c r="M31" s="64">
        <v>65.930000000000007</v>
      </c>
      <c r="N31" s="64">
        <v>34</v>
      </c>
      <c r="O31" s="64">
        <v>0</v>
      </c>
      <c r="P31" s="64">
        <v>0.62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5" t="s">
        <v>461</v>
      </c>
      <c r="B32" s="211" t="s">
        <v>43</v>
      </c>
      <c r="C32" s="211" t="s">
        <v>43</v>
      </c>
      <c r="D32" s="211" t="s">
        <v>43</v>
      </c>
      <c r="E32" s="64">
        <v>5.52</v>
      </c>
      <c r="F32" s="64">
        <v>8.17</v>
      </c>
      <c r="G32" s="64">
        <v>54.24</v>
      </c>
      <c r="H32" s="64">
        <v>35.729999999999997</v>
      </c>
      <c r="I32" s="64">
        <v>4.0199999999999996</v>
      </c>
      <c r="J32" s="64">
        <v>2.72</v>
      </c>
      <c r="K32" s="64">
        <v>2.19</v>
      </c>
      <c r="L32" s="64">
        <v>20.61</v>
      </c>
      <c r="M32" s="64">
        <v>67.150000000000006</v>
      </c>
      <c r="N32" s="64">
        <v>35.6</v>
      </c>
      <c r="O32" s="64">
        <v>0</v>
      </c>
      <c r="P32" s="64">
        <v>0.63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5" t="s">
        <v>462</v>
      </c>
      <c r="B33" s="211" t="s">
        <v>43</v>
      </c>
      <c r="C33" s="211" t="s">
        <v>43</v>
      </c>
      <c r="D33" s="211" t="s">
        <v>43</v>
      </c>
      <c r="E33" s="64">
        <v>6.35</v>
      </c>
      <c r="F33" s="64">
        <v>9.17</v>
      </c>
      <c r="G33" s="64">
        <v>54.24</v>
      </c>
      <c r="H33" s="64">
        <v>35.729999999999997</v>
      </c>
      <c r="I33" s="64">
        <v>4.13</v>
      </c>
      <c r="J33" s="64">
        <v>1.69</v>
      </c>
      <c r="K33" s="64">
        <v>14.99</v>
      </c>
      <c r="L33" s="64">
        <v>20.56</v>
      </c>
      <c r="M33" s="64">
        <v>66.760000000000005</v>
      </c>
      <c r="N33" s="64">
        <v>42.1</v>
      </c>
      <c r="O33" s="64">
        <v>0</v>
      </c>
      <c r="P33" s="64">
        <v>0.64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5" t="s">
        <v>463</v>
      </c>
      <c r="B34" s="211" t="s">
        <v>43</v>
      </c>
      <c r="C34" s="211" t="s">
        <v>43</v>
      </c>
      <c r="D34" s="211" t="s">
        <v>43</v>
      </c>
      <c r="E34" s="64">
        <v>6.12</v>
      </c>
      <c r="F34" s="64">
        <v>9.11</v>
      </c>
      <c r="G34" s="64">
        <v>54.24</v>
      </c>
      <c r="H34" s="64">
        <v>35.729999999999997</v>
      </c>
      <c r="I34" s="64">
        <v>3.98</v>
      </c>
      <c r="J34" s="64">
        <v>1.56</v>
      </c>
      <c r="K34" s="64">
        <v>13.52</v>
      </c>
      <c r="L34" s="64">
        <v>20.55</v>
      </c>
      <c r="M34" s="64">
        <v>65.8</v>
      </c>
      <c r="N34" s="64">
        <v>55.6</v>
      </c>
      <c r="O34" s="64">
        <v>0</v>
      </c>
      <c r="P34" s="64">
        <v>0.65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15" t="s">
        <v>464</v>
      </c>
      <c r="B35" s="211" t="s">
        <v>43</v>
      </c>
      <c r="C35" s="211" t="s">
        <v>43</v>
      </c>
      <c r="D35" s="211" t="s">
        <v>43</v>
      </c>
      <c r="E35" s="64">
        <v>6.16</v>
      </c>
      <c r="F35" s="64">
        <v>9.23</v>
      </c>
      <c r="G35" s="64">
        <v>54.18</v>
      </c>
      <c r="H35" s="64">
        <v>20.71</v>
      </c>
      <c r="I35" s="64">
        <v>4.05</v>
      </c>
      <c r="J35" s="64">
        <v>2.0699999999999998</v>
      </c>
      <c r="K35" s="64">
        <v>357.53</v>
      </c>
      <c r="L35" s="64">
        <v>20.8</v>
      </c>
      <c r="M35" s="64">
        <v>64.11</v>
      </c>
      <c r="N35" s="64">
        <v>67.8</v>
      </c>
      <c r="O35" s="64">
        <v>0</v>
      </c>
      <c r="P35" s="64">
        <v>0.69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5" t="s">
        <v>465</v>
      </c>
      <c r="B36" s="211" t="s">
        <v>43</v>
      </c>
      <c r="C36" s="211" t="s">
        <v>43</v>
      </c>
      <c r="D36" s="211" t="s">
        <v>43</v>
      </c>
      <c r="E36" s="64">
        <v>6.9</v>
      </c>
      <c r="F36" s="64">
        <v>14.63</v>
      </c>
      <c r="G36" s="64">
        <v>54.12</v>
      </c>
      <c r="H36" s="64">
        <v>4.29</v>
      </c>
      <c r="I36" s="64">
        <v>4.0199999999999996</v>
      </c>
      <c r="J36" s="64">
        <v>1.32</v>
      </c>
      <c r="K36" s="64">
        <v>27.88</v>
      </c>
      <c r="L36" s="64">
        <v>21.11</v>
      </c>
      <c r="M36" s="64">
        <v>63.1</v>
      </c>
      <c r="N36" s="64">
        <v>91.7</v>
      </c>
      <c r="O36" s="64">
        <v>0</v>
      </c>
      <c r="P36" s="64">
        <v>0.69</v>
      </c>
      <c r="Q36" s="64">
        <v>9.68</v>
      </c>
      <c r="R36" s="198"/>
      <c r="S36" s="198"/>
      <c r="T36" s="198"/>
      <c r="U36" s="198"/>
    </row>
    <row r="37" spans="1:21" s="12" customFormat="1" x14ac:dyDescent="0.25">
      <c r="A37" s="215" t="s">
        <v>466</v>
      </c>
      <c r="B37" s="211" t="s">
        <v>43</v>
      </c>
      <c r="C37" s="211" t="s">
        <v>43</v>
      </c>
      <c r="D37" s="211" t="s">
        <v>43</v>
      </c>
      <c r="E37" s="64">
        <v>8.82</v>
      </c>
      <c r="F37" s="64">
        <v>17.53</v>
      </c>
      <c r="G37" s="64">
        <v>54.12</v>
      </c>
      <c r="H37" s="64">
        <v>4.29</v>
      </c>
      <c r="I37" s="64">
        <v>3.92</v>
      </c>
      <c r="J37" s="64">
        <v>1.37</v>
      </c>
      <c r="K37" s="64">
        <v>7.08</v>
      </c>
      <c r="L37" s="64">
        <v>21.43</v>
      </c>
      <c r="M37" s="64">
        <v>62.31</v>
      </c>
      <c r="N37" s="64">
        <v>101.2</v>
      </c>
      <c r="O37" s="64">
        <v>0</v>
      </c>
      <c r="P37" s="64">
        <v>0.72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5" t="s">
        <v>467</v>
      </c>
      <c r="B38" s="211" t="s">
        <v>43</v>
      </c>
      <c r="C38" s="211" t="s">
        <v>43</v>
      </c>
      <c r="D38" s="211" t="s">
        <v>43</v>
      </c>
      <c r="E38" s="64">
        <v>9.56</v>
      </c>
      <c r="F38" s="64">
        <v>15.83</v>
      </c>
      <c r="G38" s="64">
        <v>54.12</v>
      </c>
      <c r="H38" s="64">
        <v>4.29</v>
      </c>
      <c r="I38" s="64">
        <v>4.0999999999999996</v>
      </c>
      <c r="J38" s="64">
        <v>1.39</v>
      </c>
      <c r="K38" s="64">
        <v>56.13</v>
      </c>
      <c r="L38" s="64">
        <v>21.65</v>
      </c>
      <c r="M38" s="64">
        <v>61.61</v>
      </c>
      <c r="N38" s="64">
        <v>115.7</v>
      </c>
      <c r="O38" s="64">
        <v>0</v>
      </c>
      <c r="P38" s="64">
        <v>0.76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5" t="s">
        <v>468</v>
      </c>
      <c r="B39" s="211" t="s">
        <v>43</v>
      </c>
      <c r="C39" s="211" t="s">
        <v>43</v>
      </c>
      <c r="D39" s="211" t="s">
        <v>43</v>
      </c>
      <c r="E39" s="64">
        <v>8.3000000000000007</v>
      </c>
      <c r="F39" s="64">
        <v>14.66</v>
      </c>
      <c r="G39" s="64">
        <v>55.51</v>
      </c>
      <c r="H39" s="64">
        <v>2.5299999999999998</v>
      </c>
      <c r="I39" s="64">
        <v>4.1399999999999997</v>
      </c>
      <c r="J39" s="64">
        <v>1.27</v>
      </c>
      <c r="K39" s="64">
        <v>53.84</v>
      </c>
      <c r="L39" s="64">
        <v>21.8</v>
      </c>
      <c r="M39" s="64">
        <v>61.11</v>
      </c>
      <c r="N39" s="64">
        <v>135.69999999999999</v>
      </c>
      <c r="O39" s="64">
        <v>0</v>
      </c>
      <c r="P39" s="64">
        <v>0.72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5" t="s">
        <v>469</v>
      </c>
      <c r="B40" s="211" t="s">
        <v>43</v>
      </c>
      <c r="C40" s="211" t="s">
        <v>43</v>
      </c>
      <c r="D40" s="211" t="s">
        <v>43</v>
      </c>
      <c r="E40" s="64">
        <v>6.6</v>
      </c>
      <c r="F40" s="64">
        <v>12.95</v>
      </c>
      <c r="G40" s="64">
        <v>57.02</v>
      </c>
      <c r="H40" s="64">
        <v>0.6</v>
      </c>
      <c r="I40" s="64">
        <v>3.98</v>
      </c>
      <c r="J40" s="64">
        <v>1.7</v>
      </c>
      <c r="K40" s="64">
        <v>11.97</v>
      </c>
      <c r="L40" s="64">
        <v>22.56</v>
      </c>
      <c r="M40" s="64">
        <v>58.58</v>
      </c>
      <c r="N40" s="64">
        <v>194.4</v>
      </c>
      <c r="O40" s="64">
        <v>0</v>
      </c>
      <c r="P40" s="64">
        <v>0.82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5" t="s">
        <v>470</v>
      </c>
      <c r="B41" s="211" t="s">
        <v>43</v>
      </c>
      <c r="C41" s="211" t="s">
        <v>43</v>
      </c>
      <c r="D41" s="211" t="s">
        <v>43</v>
      </c>
      <c r="E41" s="64">
        <v>6.95</v>
      </c>
      <c r="F41" s="64">
        <v>14.06</v>
      </c>
      <c r="G41" s="64">
        <v>57.02</v>
      </c>
      <c r="H41" s="64">
        <v>0.6</v>
      </c>
      <c r="I41" s="64">
        <v>3.9</v>
      </c>
      <c r="J41" s="64">
        <v>1.52</v>
      </c>
      <c r="K41" s="64">
        <v>62.97</v>
      </c>
      <c r="L41" s="64">
        <v>22.76</v>
      </c>
      <c r="M41" s="64">
        <v>58.23</v>
      </c>
      <c r="N41" s="64">
        <v>209.6</v>
      </c>
      <c r="O41" s="64">
        <v>0</v>
      </c>
      <c r="P41" s="64">
        <v>0.73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5" t="s">
        <v>471</v>
      </c>
      <c r="B42" s="211" t="s">
        <v>43</v>
      </c>
      <c r="C42" s="211" t="s">
        <v>43</v>
      </c>
      <c r="D42" s="211" t="s">
        <v>43</v>
      </c>
      <c r="E42" s="64">
        <v>6.42</v>
      </c>
      <c r="F42" s="64">
        <v>12.76</v>
      </c>
      <c r="G42" s="64">
        <v>57.02</v>
      </c>
      <c r="H42" s="64">
        <v>0.6</v>
      </c>
      <c r="I42" s="64">
        <v>3.98</v>
      </c>
      <c r="J42" s="64">
        <v>2.5099999999999998</v>
      </c>
      <c r="K42" s="64">
        <v>355.97</v>
      </c>
      <c r="L42" s="64">
        <v>23.45</v>
      </c>
      <c r="M42" s="64">
        <v>55.82</v>
      </c>
      <c r="N42" s="64">
        <v>185</v>
      </c>
      <c r="O42" s="64">
        <v>0</v>
      </c>
      <c r="P42" s="64">
        <v>0.78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472</v>
      </c>
      <c r="B43" s="211" t="s">
        <v>43</v>
      </c>
      <c r="C43" s="211" t="s">
        <v>43</v>
      </c>
      <c r="D43" s="211" t="s">
        <v>43</v>
      </c>
      <c r="E43" s="64">
        <v>6.66</v>
      </c>
      <c r="F43" s="64">
        <v>12.59</v>
      </c>
      <c r="G43" s="64">
        <v>62.35</v>
      </c>
      <c r="H43" s="64">
        <v>36.11</v>
      </c>
      <c r="I43" s="64">
        <v>4.1900000000000004</v>
      </c>
      <c r="J43" s="64">
        <v>2.82</v>
      </c>
      <c r="K43" s="64">
        <v>347.92</v>
      </c>
      <c r="L43" s="64">
        <v>24.06</v>
      </c>
      <c r="M43" s="64">
        <v>54.36</v>
      </c>
      <c r="N43" s="64">
        <v>203.3</v>
      </c>
      <c r="O43" s="64">
        <v>0</v>
      </c>
      <c r="P43" s="64">
        <v>0.8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473</v>
      </c>
      <c r="B44" s="211" t="s">
        <v>43</v>
      </c>
      <c r="C44" s="211" t="s">
        <v>43</v>
      </c>
      <c r="D44" s="211" t="s">
        <v>43</v>
      </c>
      <c r="E44" s="64">
        <v>4.0199999999999996</v>
      </c>
      <c r="F44" s="64">
        <v>7.49</v>
      </c>
      <c r="G44" s="64">
        <v>68.17</v>
      </c>
      <c r="H44" s="6" t="s">
        <v>42</v>
      </c>
      <c r="I44" s="64">
        <v>4.0199999999999996</v>
      </c>
      <c r="J44" s="64">
        <v>2.77</v>
      </c>
      <c r="K44" s="64">
        <v>354.41</v>
      </c>
      <c r="L44" s="64">
        <v>24.49</v>
      </c>
      <c r="M44" s="64">
        <v>52.68</v>
      </c>
      <c r="N44" s="64">
        <v>226.2</v>
      </c>
      <c r="O44" s="64">
        <v>0</v>
      </c>
      <c r="P44" s="64">
        <v>0.75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474</v>
      </c>
      <c r="B45" s="211" t="s">
        <v>43</v>
      </c>
      <c r="C45" s="211" t="s">
        <v>43</v>
      </c>
      <c r="D45" s="211" t="s">
        <v>43</v>
      </c>
      <c r="E45" s="64">
        <v>5.16</v>
      </c>
      <c r="F45" s="64">
        <v>10.26</v>
      </c>
      <c r="G45" s="64">
        <v>68.17</v>
      </c>
      <c r="H45" s="6" t="s">
        <v>42</v>
      </c>
      <c r="I45" s="64">
        <v>4</v>
      </c>
      <c r="J45" s="64">
        <v>2.73</v>
      </c>
      <c r="K45" s="64">
        <v>356.98</v>
      </c>
      <c r="L45" s="64">
        <v>25.21</v>
      </c>
      <c r="M45" s="64">
        <v>50.58</v>
      </c>
      <c r="N45" s="64">
        <v>332.7</v>
      </c>
      <c r="O45" s="64">
        <v>0</v>
      </c>
      <c r="P45" s="64">
        <v>0.79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15" t="s">
        <v>475</v>
      </c>
      <c r="B46" s="211" t="s">
        <v>43</v>
      </c>
      <c r="C46" s="211" t="s">
        <v>43</v>
      </c>
      <c r="D46" s="211" t="s">
        <v>43</v>
      </c>
      <c r="E46" s="64">
        <v>5.82</v>
      </c>
      <c r="F46" s="64">
        <v>9.48</v>
      </c>
      <c r="G46" s="64">
        <v>68.17</v>
      </c>
      <c r="H46" s="6" t="s">
        <v>42</v>
      </c>
      <c r="I46" s="64">
        <v>3.93</v>
      </c>
      <c r="J46" s="64">
        <v>1.96</v>
      </c>
      <c r="K46" s="64">
        <v>0.65</v>
      </c>
      <c r="L46" s="64">
        <v>25.85</v>
      </c>
      <c r="M46" s="64">
        <v>48.75</v>
      </c>
      <c r="N46" s="64">
        <v>301.3</v>
      </c>
      <c r="O46" s="64">
        <v>0</v>
      </c>
      <c r="P46" s="64">
        <v>0.82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5" t="s">
        <v>476</v>
      </c>
      <c r="B47" s="211" t="s">
        <v>43</v>
      </c>
      <c r="C47" s="211" t="s">
        <v>43</v>
      </c>
      <c r="D47" s="211" t="s">
        <v>43</v>
      </c>
      <c r="E47" s="64">
        <v>8.7899999999999991</v>
      </c>
      <c r="F47" s="64">
        <v>8.39</v>
      </c>
      <c r="G47" s="64">
        <v>72.790000000000006</v>
      </c>
      <c r="H47" s="6" t="s">
        <v>42</v>
      </c>
      <c r="I47" s="64">
        <v>3.99</v>
      </c>
      <c r="J47" s="64">
        <v>2.4300000000000002</v>
      </c>
      <c r="K47" s="64">
        <v>356.45</v>
      </c>
      <c r="L47" s="64">
        <v>26.58</v>
      </c>
      <c r="M47" s="64">
        <v>47.51</v>
      </c>
      <c r="N47" s="64">
        <v>332.6</v>
      </c>
      <c r="O47" s="64">
        <v>0</v>
      </c>
      <c r="P47" s="64">
        <v>0.9</v>
      </c>
      <c r="Q47" s="64">
        <v>9.59</v>
      </c>
      <c r="R47" s="198"/>
      <c r="S47" s="198"/>
      <c r="T47" s="198"/>
      <c r="U47" s="198"/>
    </row>
    <row r="48" spans="1:21" s="12" customFormat="1" x14ac:dyDescent="0.25">
      <c r="A48" s="215" t="s">
        <v>477</v>
      </c>
      <c r="B48" s="211" t="s">
        <v>43</v>
      </c>
      <c r="C48" s="211" t="s">
        <v>43</v>
      </c>
      <c r="D48" s="211" t="s">
        <v>43</v>
      </c>
      <c r="E48" s="64">
        <v>7.03</v>
      </c>
      <c r="F48" s="64">
        <v>8.35</v>
      </c>
      <c r="G48" s="64">
        <v>77.849999999999994</v>
      </c>
      <c r="H48" s="6" t="s">
        <v>42</v>
      </c>
      <c r="I48" s="64">
        <v>4.04</v>
      </c>
      <c r="J48" s="64">
        <v>3</v>
      </c>
      <c r="K48" s="64">
        <v>349.33</v>
      </c>
      <c r="L48" s="64">
        <v>27.08</v>
      </c>
      <c r="M48" s="64">
        <v>46.53</v>
      </c>
      <c r="N48" s="64">
        <v>270.7</v>
      </c>
      <c r="O48" s="64">
        <v>0</v>
      </c>
      <c r="P48" s="64">
        <v>0.9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5" t="s">
        <v>478</v>
      </c>
      <c r="B49" s="211" t="s">
        <v>43</v>
      </c>
      <c r="C49" s="211" t="s">
        <v>43</v>
      </c>
      <c r="D49" s="211" t="s">
        <v>43</v>
      </c>
      <c r="E49" s="64">
        <v>13.79</v>
      </c>
      <c r="F49" s="64">
        <v>9.9700000000000006</v>
      </c>
      <c r="G49" s="64">
        <v>77.849999999999994</v>
      </c>
      <c r="H49" s="6" t="s">
        <v>42</v>
      </c>
      <c r="I49" s="64">
        <v>4.05</v>
      </c>
      <c r="J49" s="64">
        <v>2.35</v>
      </c>
      <c r="K49" s="64">
        <v>350.06</v>
      </c>
      <c r="L49" s="64">
        <v>26.67</v>
      </c>
      <c r="M49" s="64">
        <v>47.64</v>
      </c>
      <c r="N49" s="64">
        <v>212.8</v>
      </c>
      <c r="O49" s="64">
        <v>0</v>
      </c>
      <c r="P49" s="64">
        <v>1.01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5" t="s">
        <v>479</v>
      </c>
      <c r="B50" s="211" t="s">
        <v>43</v>
      </c>
      <c r="C50" s="211" t="s">
        <v>43</v>
      </c>
      <c r="D50" s="211" t="s">
        <v>43</v>
      </c>
      <c r="E50" s="64">
        <v>22.65</v>
      </c>
      <c r="F50" s="64">
        <v>11.55</v>
      </c>
      <c r="G50" s="64">
        <v>77.849999999999994</v>
      </c>
      <c r="H50" s="6" t="s">
        <v>42</v>
      </c>
      <c r="I50" s="64">
        <v>4.0199999999999996</v>
      </c>
      <c r="J50" s="64">
        <v>2.4700000000000002</v>
      </c>
      <c r="K50" s="64">
        <v>1.96</v>
      </c>
      <c r="L50" s="64">
        <v>26.09</v>
      </c>
      <c r="M50" s="64">
        <v>47.93</v>
      </c>
      <c r="N50" s="64">
        <v>213.2</v>
      </c>
      <c r="O50" s="64">
        <v>0</v>
      </c>
      <c r="P50" s="64">
        <v>1.03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5" t="s">
        <v>480</v>
      </c>
      <c r="B51" s="211" t="s">
        <v>43</v>
      </c>
      <c r="C51" s="211" t="s">
        <v>43</v>
      </c>
      <c r="D51" s="211" t="s">
        <v>43</v>
      </c>
      <c r="E51" s="64">
        <v>17.28</v>
      </c>
      <c r="F51" s="64">
        <v>9.25</v>
      </c>
      <c r="G51" s="64">
        <v>84.74</v>
      </c>
      <c r="H51" s="6" t="s">
        <v>42</v>
      </c>
      <c r="I51" s="64">
        <v>3.99</v>
      </c>
      <c r="J51" s="64">
        <v>2.84</v>
      </c>
      <c r="K51" s="64">
        <v>343.83</v>
      </c>
      <c r="L51" s="64">
        <v>26.56</v>
      </c>
      <c r="M51" s="64">
        <v>47.86</v>
      </c>
      <c r="N51" s="64">
        <v>253.6</v>
      </c>
      <c r="O51" s="64">
        <v>0</v>
      </c>
      <c r="P51" s="64">
        <v>1.1100000000000001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5" t="s">
        <v>481</v>
      </c>
      <c r="B52" s="211" t="s">
        <v>43</v>
      </c>
      <c r="C52" s="211" t="s">
        <v>43</v>
      </c>
      <c r="D52" s="211" t="s">
        <v>43</v>
      </c>
      <c r="E52" s="64">
        <v>20.54</v>
      </c>
      <c r="F52" s="64">
        <v>12.16</v>
      </c>
      <c r="G52" s="64">
        <v>92.28</v>
      </c>
      <c r="H52" s="64">
        <v>62.73</v>
      </c>
      <c r="I52" s="64">
        <v>3.93</v>
      </c>
      <c r="J52" s="64">
        <v>2.72</v>
      </c>
      <c r="K52" s="64">
        <v>349.26</v>
      </c>
      <c r="L52" s="64">
        <v>27.22</v>
      </c>
      <c r="M52" s="64">
        <v>46.36</v>
      </c>
      <c r="N52" s="64">
        <v>456.3</v>
      </c>
      <c r="O52" s="64">
        <v>0</v>
      </c>
      <c r="P52" s="64">
        <v>1.1599999999999999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5" t="s">
        <v>482</v>
      </c>
      <c r="B53" s="211" t="s">
        <v>43</v>
      </c>
      <c r="C53" s="211" t="s">
        <v>43</v>
      </c>
      <c r="D53" s="211" t="s">
        <v>43</v>
      </c>
      <c r="E53" s="64">
        <v>19.39</v>
      </c>
      <c r="F53" s="64">
        <v>10.29</v>
      </c>
      <c r="G53" s="64">
        <v>92.28</v>
      </c>
      <c r="H53" s="64">
        <v>62.73</v>
      </c>
      <c r="I53" s="64">
        <v>4.01</v>
      </c>
      <c r="J53" s="64">
        <v>2.61</v>
      </c>
      <c r="K53" s="64">
        <v>337.33</v>
      </c>
      <c r="L53" s="64">
        <v>29.73</v>
      </c>
      <c r="M53" s="64">
        <v>40.659999999999997</v>
      </c>
      <c r="N53" s="64">
        <v>638.29999999999995</v>
      </c>
      <c r="O53" s="64">
        <v>0</v>
      </c>
      <c r="P53" s="64">
        <v>1.1100000000000001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5" t="s">
        <v>483</v>
      </c>
      <c r="B54" s="211" t="s">
        <v>43</v>
      </c>
      <c r="C54" s="211" t="s">
        <v>43</v>
      </c>
      <c r="D54" s="211" t="s">
        <v>43</v>
      </c>
      <c r="E54" s="64">
        <v>5.64</v>
      </c>
      <c r="F54" s="64">
        <v>8.2799999999999994</v>
      </c>
      <c r="G54" s="64">
        <v>92.28</v>
      </c>
      <c r="H54" s="64">
        <v>62.73</v>
      </c>
      <c r="I54" s="64">
        <v>3.91</v>
      </c>
      <c r="J54" s="64">
        <v>3.65</v>
      </c>
      <c r="K54" s="64">
        <v>340.62</v>
      </c>
      <c r="L54" s="64">
        <v>29.86</v>
      </c>
      <c r="M54" s="64">
        <v>40.06</v>
      </c>
      <c r="N54" s="64">
        <v>451.7</v>
      </c>
      <c r="O54" s="64">
        <v>0</v>
      </c>
      <c r="P54" s="64">
        <v>1.0900000000000001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5" t="s">
        <v>484</v>
      </c>
      <c r="B55" s="211" t="s">
        <v>43</v>
      </c>
      <c r="C55" s="211" t="s">
        <v>43</v>
      </c>
      <c r="D55" s="211" t="s">
        <v>43</v>
      </c>
      <c r="E55" s="64">
        <v>5.23</v>
      </c>
      <c r="F55" s="64">
        <v>7.8</v>
      </c>
      <c r="G55" s="64">
        <v>97.92</v>
      </c>
      <c r="H55" s="64">
        <v>45.67</v>
      </c>
      <c r="I55" s="64">
        <v>4</v>
      </c>
      <c r="J55" s="64">
        <v>3.55</v>
      </c>
      <c r="K55" s="64">
        <v>323.05</v>
      </c>
      <c r="L55" s="64">
        <v>29.93</v>
      </c>
      <c r="M55" s="64">
        <v>39.96</v>
      </c>
      <c r="N55" s="64">
        <v>590</v>
      </c>
      <c r="O55" s="64">
        <v>0</v>
      </c>
      <c r="P55" s="64">
        <v>1.08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5" t="s">
        <v>485</v>
      </c>
      <c r="B56" s="211" t="s">
        <v>43</v>
      </c>
      <c r="C56" s="211" t="s">
        <v>43</v>
      </c>
      <c r="D56" s="211" t="s">
        <v>43</v>
      </c>
      <c r="E56" s="64">
        <v>3.87</v>
      </c>
      <c r="F56" s="64">
        <v>8.41</v>
      </c>
      <c r="G56" s="64">
        <v>104.09</v>
      </c>
      <c r="H56" s="64">
        <v>27.02</v>
      </c>
      <c r="I56" s="64">
        <v>3.98</v>
      </c>
      <c r="J56" s="64">
        <v>2.87</v>
      </c>
      <c r="K56" s="64">
        <v>316.5</v>
      </c>
      <c r="L56" s="64">
        <v>30.65</v>
      </c>
      <c r="M56" s="64">
        <v>38.090000000000003</v>
      </c>
      <c r="N56" s="64">
        <v>596.70000000000005</v>
      </c>
      <c r="O56" s="64">
        <v>0</v>
      </c>
      <c r="P56" s="64">
        <v>1.04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5" t="s">
        <v>486</v>
      </c>
      <c r="B57" s="211" t="s">
        <v>43</v>
      </c>
      <c r="C57" s="211" t="s">
        <v>43</v>
      </c>
      <c r="D57" s="211" t="s">
        <v>43</v>
      </c>
      <c r="E57" s="64">
        <v>4.9000000000000004</v>
      </c>
      <c r="F57" s="64">
        <v>10.93</v>
      </c>
      <c r="G57" s="64">
        <v>104.09</v>
      </c>
      <c r="H57" s="64">
        <v>27.02</v>
      </c>
      <c r="I57" s="64">
        <v>4.09</v>
      </c>
      <c r="J57" s="64">
        <v>3.13</v>
      </c>
      <c r="K57" s="64">
        <v>340.37</v>
      </c>
      <c r="L57" s="64">
        <v>29.7</v>
      </c>
      <c r="M57" s="64">
        <v>39.380000000000003</v>
      </c>
      <c r="N57" s="64">
        <v>269.3</v>
      </c>
      <c r="O57" s="64">
        <v>0</v>
      </c>
      <c r="P57" s="64">
        <v>1.02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5" t="s">
        <v>487</v>
      </c>
      <c r="B58" s="211" t="s">
        <v>43</v>
      </c>
      <c r="C58" s="211" t="s">
        <v>43</v>
      </c>
      <c r="D58" s="211" t="s">
        <v>43</v>
      </c>
      <c r="E58" s="64">
        <v>5.13</v>
      </c>
      <c r="F58" s="64">
        <v>10.71</v>
      </c>
      <c r="G58" s="64">
        <v>104.09</v>
      </c>
      <c r="H58" s="64">
        <v>27.02</v>
      </c>
      <c r="I58" s="64">
        <v>4.05</v>
      </c>
      <c r="J58" s="64">
        <v>2.88</v>
      </c>
      <c r="K58" s="64">
        <v>331.58</v>
      </c>
      <c r="L58" s="64">
        <v>28.73</v>
      </c>
      <c r="M58" s="64">
        <v>40.86</v>
      </c>
      <c r="N58" s="64">
        <v>246.5</v>
      </c>
      <c r="O58" s="64">
        <v>0</v>
      </c>
      <c r="P58" s="64">
        <v>1.02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5" t="s">
        <v>488</v>
      </c>
      <c r="B59" s="211" t="s">
        <v>43</v>
      </c>
      <c r="C59" s="211" t="s">
        <v>43</v>
      </c>
      <c r="D59" s="211" t="s">
        <v>43</v>
      </c>
      <c r="E59" s="64">
        <v>5.65</v>
      </c>
      <c r="F59" s="64">
        <v>12.56</v>
      </c>
      <c r="G59" s="64">
        <v>94.03</v>
      </c>
      <c r="H59" s="64">
        <v>29.27</v>
      </c>
      <c r="I59" s="64">
        <v>3.92</v>
      </c>
      <c r="J59" s="64">
        <v>2.93</v>
      </c>
      <c r="K59" s="64">
        <v>325.69</v>
      </c>
      <c r="L59" s="64">
        <v>28.83</v>
      </c>
      <c r="M59" s="64">
        <v>40.119999999999997</v>
      </c>
      <c r="N59" s="64">
        <v>300</v>
      </c>
      <c r="O59" s="64">
        <v>0</v>
      </c>
      <c r="P59" s="64">
        <v>1.01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5" t="s">
        <v>489</v>
      </c>
      <c r="B60" s="211" t="s">
        <v>43</v>
      </c>
      <c r="C60" s="211" t="s">
        <v>43</v>
      </c>
      <c r="D60" s="211" t="s">
        <v>43</v>
      </c>
      <c r="E60" s="64">
        <v>4.51</v>
      </c>
      <c r="F60" s="64">
        <v>11.53</v>
      </c>
      <c r="G60" s="64">
        <v>83.02</v>
      </c>
      <c r="H60" s="64">
        <v>31.73</v>
      </c>
      <c r="I60" s="64">
        <v>3.95</v>
      </c>
      <c r="J60" s="64">
        <v>3.54</v>
      </c>
      <c r="K60" s="64">
        <v>331.23</v>
      </c>
      <c r="L60" s="64">
        <v>28.7</v>
      </c>
      <c r="M60" s="64">
        <v>40.54</v>
      </c>
      <c r="N60" s="64">
        <v>311.5</v>
      </c>
      <c r="O60" s="64">
        <v>0</v>
      </c>
      <c r="P60" s="64">
        <v>1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5" t="s">
        <v>490</v>
      </c>
      <c r="B61" s="211" t="s">
        <v>43</v>
      </c>
      <c r="C61" s="211" t="s">
        <v>43</v>
      </c>
      <c r="D61" s="211" t="s">
        <v>43</v>
      </c>
      <c r="E61" s="64">
        <v>5.19</v>
      </c>
      <c r="F61" s="64">
        <v>12.96</v>
      </c>
      <c r="G61" s="64">
        <v>83.02</v>
      </c>
      <c r="H61" s="64">
        <v>31.73</v>
      </c>
      <c r="I61" s="64">
        <v>3.99</v>
      </c>
      <c r="J61" s="64">
        <v>4.1900000000000004</v>
      </c>
      <c r="K61" s="64">
        <v>337.41</v>
      </c>
      <c r="L61" s="64">
        <v>29.01</v>
      </c>
      <c r="M61" s="64">
        <v>39.74</v>
      </c>
      <c r="N61" s="64">
        <v>290.89999999999998</v>
      </c>
      <c r="O61" s="64">
        <v>0</v>
      </c>
      <c r="P61" s="64">
        <v>0.94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15" t="s">
        <v>491</v>
      </c>
      <c r="B62" s="211" t="s">
        <v>43</v>
      </c>
      <c r="C62" s="211" t="s">
        <v>43</v>
      </c>
      <c r="D62" s="211" t="s">
        <v>43</v>
      </c>
      <c r="E62" s="64">
        <v>4.55</v>
      </c>
      <c r="F62" s="64">
        <v>10.01</v>
      </c>
      <c r="G62" s="64">
        <v>83.02</v>
      </c>
      <c r="H62" s="64">
        <v>31.73</v>
      </c>
      <c r="I62" s="64">
        <v>4.08</v>
      </c>
      <c r="J62" s="64">
        <v>3.48</v>
      </c>
      <c r="K62" s="64">
        <v>327.19</v>
      </c>
      <c r="L62" s="64">
        <v>29.31</v>
      </c>
      <c r="M62" s="64">
        <v>38.78</v>
      </c>
      <c r="N62" s="64">
        <v>413.1</v>
      </c>
      <c r="O62" s="64">
        <v>0</v>
      </c>
      <c r="P62" s="64">
        <v>0.98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15" t="s">
        <v>492</v>
      </c>
      <c r="B63" s="211" t="s">
        <v>43</v>
      </c>
      <c r="C63" s="211" t="s">
        <v>43</v>
      </c>
      <c r="D63" s="211" t="s">
        <v>43</v>
      </c>
      <c r="E63" s="64">
        <v>4.0599999999999996</v>
      </c>
      <c r="F63" s="64">
        <v>8.7899999999999991</v>
      </c>
      <c r="G63" s="64">
        <v>77.11</v>
      </c>
      <c r="H63" s="64">
        <v>27.49</v>
      </c>
      <c r="I63" s="64">
        <v>4.12</v>
      </c>
      <c r="J63" s="64">
        <v>3.36</v>
      </c>
      <c r="K63" s="64">
        <v>319.66000000000003</v>
      </c>
      <c r="L63" s="64">
        <v>30.35</v>
      </c>
      <c r="M63" s="64">
        <v>36.909999999999997</v>
      </c>
      <c r="N63" s="64">
        <v>472</v>
      </c>
      <c r="O63" s="64">
        <v>0</v>
      </c>
      <c r="P63" s="64">
        <v>0.96</v>
      </c>
      <c r="Q63" s="64">
        <v>9.52</v>
      </c>
      <c r="R63" s="198"/>
      <c r="S63" s="198"/>
      <c r="T63" s="198"/>
      <c r="U63" s="198"/>
    </row>
    <row r="64" spans="1:21" s="12" customFormat="1" x14ac:dyDescent="0.25">
      <c r="A64" s="215" t="s">
        <v>493</v>
      </c>
      <c r="B64" s="211" t="s">
        <v>43</v>
      </c>
      <c r="C64" s="211" t="s">
        <v>43</v>
      </c>
      <c r="D64" s="211" t="s">
        <v>43</v>
      </c>
      <c r="E64" s="64">
        <v>3.49</v>
      </c>
      <c r="F64" s="64">
        <v>9.5</v>
      </c>
      <c r="G64" s="64">
        <v>70.64</v>
      </c>
      <c r="H64" s="64">
        <v>22.86</v>
      </c>
      <c r="I64" s="64">
        <v>3.93</v>
      </c>
      <c r="J64" s="64">
        <v>4.68</v>
      </c>
      <c r="K64" s="64">
        <v>335.6</v>
      </c>
      <c r="L64" s="64">
        <v>29.94</v>
      </c>
      <c r="M64" s="64">
        <v>36.74</v>
      </c>
      <c r="N64" s="64">
        <v>483.5</v>
      </c>
      <c r="O64" s="64">
        <v>0</v>
      </c>
      <c r="P64" s="64">
        <v>0.94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5" t="s">
        <v>494</v>
      </c>
      <c r="B65" s="211" t="s">
        <v>43</v>
      </c>
      <c r="C65" s="211" t="s">
        <v>43</v>
      </c>
      <c r="D65" s="211" t="s">
        <v>43</v>
      </c>
      <c r="E65" s="64">
        <v>3.87</v>
      </c>
      <c r="F65" s="64">
        <v>8.36</v>
      </c>
      <c r="G65" s="64">
        <v>70.64</v>
      </c>
      <c r="H65" s="64">
        <v>22.86</v>
      </c>
      <c r="I65" s="64">
        <v>3.91</v>
      </c>
      <c r="J65" s="64">
        <v>4.5199999999999996</v>
      </c>
      <c r="K65" s="64">
        <v>334.37</v>
      </c>
      <c r="L65" s="64">
        <v>29.95</v>
      </c>
      <c r="M65" s="64">
        <v>36.42</v>
      </c>
      <c r="N65" s="64">
        <v>380</v>
      </c>
      <c r="O65" s="64">
        <v>0</v>
      </c>
      <c r="P65" s="64">
        <v>0.93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5" t="s">
        <v>495</v>
      </c>
      <c r="B66" s="211" t="s">
        <v>43</v>
      </c>
      <c r="C66" s="211" t="s">
        <v>43</v>
      </c>
      <c r="D66" s="211" t="s">
        <v>43</v>
      </c>
      <c r="E66" s="64">
        <v>3.34</v>
      </c>
      <c r="F66" s="64">
        <v>8.8800000000000008</v>
      </c>
      <c r="G66" s="64">
        <v>70.64</v>
      </c>
      <c r="H66" s="64">
        <v>22.86</v>
      </c>
      <c r="I66" s="64">
        <v>3.99</v>
      </c>
      <c r="J66" s="64">
        <v>4.13</v>
      </c>
      <c r="K66" s="64">
        <v>329.31</v>
      </c>
      <c r="L66" s="64">
        <v>29.1</v>
      </c>
      <c r="M66" s="64">
        <v>37.92</v>
      </c>
      <c r="N66" s="64">
        <v>231.1</v>
      </c>
      <c r="O66" s="64">
        <v>0</v>
      </c>
      <c r="P66" s="64">
        <v>0.93</v>
      </c>
      <c r="Q66" s="64">
        <v>9.5299999999999994</v>
      </c>
      <c r="R66" s="198"/>
      <c r="S66" s="198"/>
      <c r="T66" s="198"/>
      <c r="U66" s="198"/>
    </row>
    <row r="67" spans="1:21" s="12" customFormat="1" x14ac:dyDescent="0.25">
      <c r="A67" s="215" t="s">
        <v>496</v>
      </c>
      <c r="B67" s="211" t="s">
        <v>43</v>
      </c>
      <c r="C67" s="211" t="s">
        <v>43</v>
      </c>
      <c r="D67" s="211" t="s">
        <v>43</v>
      </c>
      <c r="E67" s="64">
        <v>3.68</v>
      </c>
      <c r="F67" s="64">
        <v>10.48</v>
      </c>
      <c r="G67" s="64">
        <v>66.94</v>
      </c>
      <c r="H67" s="64">
        <v>24.8</v>
      </c>
      <c r="I67" s="64">
        <v>3.81</v>
      </c>
      <c r="J67" s="64">
        <v>5.0599999999999996</v>
      </c>
      <c r="K67" s="64">
        <v>339.31</v>
      </c>
      <c r="L67" s="64">
        <v>28.35</v>
      </c>
      <c r="M67" s="64">
        <v>38.56</v>
      </c>
      <c r="N67" s="64">
        <v>197.7</v>
      </c>
      <c r="O67" s="64">
        <v>0</v>
      </c>
      <c r="P67" s="64">
        <v>0.92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5" t="s">
        <v>497</v>
      </c>
      <c r="B68" s="211" t="s">
        <v>43</v>
      </c>
      <c r="C68" s="211" t="s">
        <v>43</v>
      </c>
      <c r="D68" s="211" t="s">
        <v>43</v>
      </c>
      <c r="E68" s="64">
        <v>3.44</v>
      </c>
      <c r="F68" s="64">
        <v>9.2899999999999991</v>
      </c>
      <c r="G68" s="64">
        <v>62.9</v>
      </c>
      <c r="H68" s="64">
        <v>26.92</v>
      </c>
      <c r="I68" s="64">
        <v>3.94</v>
      </c>
      <c r="J68" s="64">
        <v>4.41</v>
      </c>
      <c r="K68" s="64">
        <v>319.44</v>
      </c>
      <c r="L68" s="64">
        <v>28.55</v>
      </c>
      <c r="M68" s="64">
        <v>37.409999999999997</v>
      </c>
      <c r="N68" s="64">
        <v>284.89999999999998</v>
      </c>
      <c r="O68" s="64">
        <v>0</v>
      </c>
      <c r="P68" s="64">
        <v>0.9</v>
      </c>
      <c r="Q68" s="64">
        <v>9.5399999999999991</v>
      </c>
      <c r="R68" s="198"/>
      <c r="S68" s="198"/>
      <c r="T68" s="198"/>
      <c r="U68" s="198"/>
    </row>
    <row r="69" spans="1:21" s="12" customFormat="1" x14ac:dyDescent="0.25">
      <c r="A69" s="215" t="s">
        <v>498</v>
      </c>
      <c r="B69" s="211" t="s">
        <v>43</v>
      </c>
      <c r="C69" s="211" t="s">
        <v>43</v>
      </c>
      <c r="D69" s="211" t="s">
        <v>43</v>
      </c>
      <c r="E69" s="64">
        <v>3.6</v>
      </c>
      <c r="F69" s="64">
        <v>11.33</v>
      </c>
      <c r="G69" s="64">
        <v>62.9</v>
      </c>
      <c r="H69" s="64">
        <v>26.92</v>
      </c>
      <c r="I69" s="64">
        <v>4.2699999999999996</v>
      </c>
      <c r="J69" s="64">
        <v>4.5199999999999996</v>
      </c>
      <c r="K69" s="64">
        <v>328.85</v>
      </c>
      <c r="L69" s="64">
        <v>29.11</v>
      </c>
      <c r="M69" s="64">
        <v>35.25</v>
      </c>
      <c r="N69" s="64">
        <v>263.8</v>
      </c>
      <c r="O69" s="64">
        <v>0</v>
      </c>
      <c r="P69" s="64">
        <v>0.89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5" t="s">
        <v>499</v>
      </c>
      <c r="B70" s="211" t="s">
        <v>43</v>
      </c>
      <c r="C70" s="211" t="s">
        <v>43</v>
      </c>
      <c r="D70" s="211" t="s">
        <v>43</v>
      </c>
      <c r="E70" s="64">
        <v>3.17</v>
      </c>
      <c r="F70" s="64">
        <v>11.48</v>
      </c>
      <c r="G70" s="64">
        <v>62.9</v>
      </c>
      <c r="H70" s="64">
        <v>26.92</v>
      </c>
      <c r="I70" s="64">
        <v>3.93</v>
      </c>
      <c r="J70" s="64">
        <v>5.3</v>
      </c>
      <c r="K70" s="64">
        <v>329.6</v>
      </c>
      <c r="L70" s="64">
        <v>28.31</v>
      </c>
      <c r="M70" s="64">
        <v>35.94</v>
      </c>
      <c r="N70" s="64">
        <v>168.7</v>
      </c>
      <c r="O70" s="64">
        <v>0</v>
      </c>
      <c r="P70" s="64">
        <v>0.87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5" t="s">
        <v>500</v>
      </c>
      <c r="B71" s="211" t="s">
        <v>43</v>
      </c>
      <c r="C71" s="211" t="s">
        <v>43</v>
      </c>
      <c r="D71" s="211" t="s">
        <v>43</v>
      </c>
      <c r="E71" s="64">
        <v>3.33</v>
      </c>
      <c r="F71" s="64">
        <v>11.58</v>
      </c>
      <c r="G71" s="64">
        <v>77.72</v>
      </c>
      <c r="H71" s="64">
        <v>26.54</v>
      </c>
      <c r="I71" s="64">
        <v>3.89</v>
      </c>
      <c r="J71" s="64">
        <v>5.43</v>
      </c>
      <c r="K71" s="64">
        <v>333.79</v>
      </c>
      <c r="L71" s="64">
        <v>27.43</v>
      </c>
      <c r="M71" s="64">
        <v>35.97</v>
      </c>
      <c r="N71" s="64">
        <v>114</v>
      </c>
      <c r="O71" s="64">
        <v>0</v>
      </c>
      <c r="P71" s="64">
        <v>0.83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5" t="s">
        <v>501</v>
      </c>
      <c r="B72" s="211" t="s">
        <v>43</v>
      </c>
      <c r="C72" s="211" t="s">
        <v>43</v>
      </c>
      <c r="D72" s="211" t="s">
        <v>43</v>
      </c>
      <c r="E72" s="64">
        <v>4.4800000000000004</v>
      </c>
      <c r="F72" s="64">
        <v>12.72</v>
      </c>
      <c r="G72" s="64">
        <v>93.92</v>
      </c>
      <c r="H72" s="64">
        <v>26.12</v>
      </c>
      <c r="I72" s="64">
        <v>4.05</v>
      </c>
      <c r="J72" s="64">
        <v>4.12</v>
      </c>
      <c r="K72" s="64">
        <v>336.96</v>
      </c>
      <c r="L72" s="64">
        <v>27.01</v>
      </c>
      <c r="M72" s="64">
        <v>34.53</v>
      </c>
      <c r="N72" s="64">
        <v>100.3</v>
      </c>
      <c r="O72" s="64">
        <v>0</v>
      </c>
      <c r="P72" s="64">
        <v>0.82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5" t="s">
        <v>502</v>
      </c>
      <c r="B73" s="211" t="s">
        <v>43</v>
      </c>
      <c r="C73" s="211" t="s">
        <v>43</v>
      </c>
      <c r="D73" s="211" t="s">
        <v>43</v>
      </c>
      <c r="E73" s="64">
        <v>5.28</v>
      </c>
      <c r="F73" s="64">
        <v>14.99</v>
      </c>
      <c r="G73" s="64">
        <v>93.92</v>
      </c>
      <c r="H73" s="64">
        <v>26.12</v>
      </c>
      <c r="I73" s="64">
        <v>3.93</v>
      </c>
      <c r="J73" s="64">
        <v>3.6</v>
      </c>
      <c r="K73" s="64">
        <v>335.39</v>
      </c>
      <c r="L73" s="64">
        <v>26.52</v>
      </c>
      <c r="M73" s="64">
        <v>39.840000000000003</v>
      </c>
      <c r="N73" s="64">
        <v>121.2</v>
      </c>
      <c r="O73" s="64">
        <v>0.2</v>
      </c>
      <c r="P73" s="64">
        <v>0.86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5" t="s">
        <v>503</v>
      </c>
      <c r="B74" s="211" t="s">
        <v>43</v>
      </c>
      <c r="C74" s="211" t="s">
        <v>43</v>
      </c>
      <c r="D74" s="211" t="s">
        <v>43</v>
      </c>
      <c r="E74" s="64">
        <v>4.92</v>
      </c>
      <c r="F74" s="64">
        <v>10.79</v>
      </c>
      <c r="G74" s="64">
        <v>93.92</v>
      </c>
      <c r="H74" s="64">
        <v>26.12</v>
      </c>
      <c r="I74" s="64">
        <v>3.96</v>
      </c>
      <c r="J74" s="64">
        <v>3.58</v>
      </c>
      <c r="K74" s="64">
        <v>324.77999999999997</v>
      </c>
      <c r="L74" s="64">
        <v>24.71</v>
      </c>
      <c r="M74" s="64">
        <v>45.52</v>
      </c>
      <c r="N74" s="64">
        <v>132</v>
      </c>
      <c r="O74" s="64">
        <v>0</v>
      </c>
      <c r="P74" s="64">
        <v>0.84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5" t="s">
        <v>504</v>
      </c>
      <c r="B75" s="211" t="s">
        <v>43</v>
      </c>
      <c r="C75" s="211" t="s">
        <v>43</v>
      </c>
      <c r="D75" s="211" t="s">
        <v>43</v>
      </c>
      <c r="E75" s="64">
        <v>5.07</v>
      </c>
      <c r="F75" s="64">
        <v>12.76</v>
      </c>
      <c r="G75" s="64">
        <v>103.6</v>
      </c>
      <c r="H75" s="64">
        <v>15.64</v>
      </c>
      <c r="I75" s="64">
        <v>4.09</v>
      </c>
      <c r="J75" s="64">
        <v>3.39</v>
      </c>
      <c r="K75" s="64">
        <v>345.39</v>
      </c>
      <c r="L75" s="64">
        <v>25.12</v>
      </c>
      <c r="M75" s="64">
        <v>37.82</v>
      </c>
      <c r="N75" s="64">
        <v>80.099999999999994</v>
      </c>
      <c r="O75" s="64">
        <v>0</v>
      </c>
      <c r="P75" s="64">
        <v>0.79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5" t="s">
        <v>505</v>
      </c>
      <c r="B76" s="211" t="s">
        <v>43</v>
      </c>
      <c r="C76" s="211" t="s">
        <v>43</v>
      </c>
      <c r="D76" s="211" t="s">
        <v>43</v>
      </c>
      <c r="E76" s="64">
        <v>6.31</v>
      </c>
      <c r="F76" s="64">
        <v>15.95</v>
      </c>
      <c r="G76" s="64">
        <v>114.18</v>
      </c>
      <c r="H76" s="64">
        <v>4.18</v>
      </c>
      <c r="I76" s="64">
        <v>4.01</v>
      </c>
      <c r="J76" s="64">
        <v>3.18</v>
      </c>
      <c r="K76" s="64">
        <v>351.55</v>
      </c>
      <c r="L76" s="64">
        <v>25.11</v>
      </c>
      <c r="M76" s="64">
        <v>36.75</v>
      </c>
      <c r="N76" s="64">
        <v>88.8</v>
      </c>
      <c r="O76" s="64">
        <v>0</v>
      </c>
      <c r="P76" s="64">
        <v>0.81</v>
      </c>
      <c r="Q76" s="64">
        <v>9.51</v>
      </c>
      <c r="R76" s="198"/>
      <c r="S76" s="198"/>
      <c r="T76" s="198"/>
      <c r="U76" s="198"/>
    </row>
    <row r="77" spans="1:21" s="12" customFormat="1" x14ac:dyDescent="0.25">
      <c r="A77" s="215" t="s">
        <v>506</v>
      </c>
      <c r="B77" s="211" t="s">
        <v>43</v>
      </c>
      <c r="C77" s="211" t="s">
        <v>43</v>
      </c>
      <c r="D77" s="211" t="s">
        <v>43</v>
      </c>
      <c r="E77" s="64">
        <v>7.6</v>
      </c>
      <c r="F77" s="64">
        <v>17.579999999999998</v>
      </c>
      <c r="G77" s="64">
        <v>114.18</v>
      </c>
      <c r="H77" s="64">
        <v>4.18</v>
      </c>
      <c r="I77" s="64">
        <v>4.08</v>
      </c>
      <c r="J77" s="64">
        <v>3</v>
      </c>
      <c r="K77" s="64">
        <v>357.55</v>
      </c>
      <c r="L77" s="64">
        <v>25.22</v>
      </c>
      <c r="M77" s="64">
        <v>36.78</v>
      </c>
      <c r="N77" s="64">
        <v>67.900000000000006</v>
      </c>
      <c r="O77" s="64">
        <v>0</v>
      </c>
      <c r="P77" s="64">
        <v>0.81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5" t="s">
        <v>507</v>
      </c>
      <c r="B78" s="211" t="s">
        <v>43</v>
      </c>
      <c r="C78" s="211" t="s">
        <v>43</v>
      </c>
      <c r="D78" s="211" t="s">
        <v>43</v>
      </c>
      <c r="E78" s="64">
        <v>6.96</v>
      </c>
      <c r="F78" s="64">
        <v>15.86</v>
      </c>
      <c r="G78" s="64">
        <v>114.18</v>
      </c>
      <c r="H78" s="64">
        <v>4.18</v>
      </c>
      <c r="I78" s="64">
        <v>3.99</v>
      </c>
      <c r="J78" s="64">
        <v>2.0699999999999998</v>
      </c>
      <c r="K78" s="64">
        <v>355.47</v>
      </c>
      <c r="L78" s="64">
        <v>24.49</v>
      </c>
      <c r="M78" s="64">
        <v>45.34</v>
      </c>
      <c r="N78" s="64">
        <v>48.5</v>
      </c>
      <c r="O78" s="64">
        <v>1.2</v>
      </c>
      <c r="P78" s="64">
        <v>0.83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5" t="s">
        <v>508</v>
      </c>
      <c r="B79" s="211" t="s">
        <v>43</v>
      </c>
      <c r="C79" s="211" t="s">
        <v>43</v>
      </c>
      <c r="D79" s="211" t="s">
        <v>43</v>
      </c>
      <c r="E79" s="64">
        <v>4.47</v>
      </c>
      <c r="F79" s="64">
        <v>6.83</v>
      </c>
      <c r="G79" s="64">
        <v>112.86</v>
      </c>
      <c r="H79" s="64">
        <v>76.37</v>
      </c>
      <c r="I79" s="64">
        <v>4.03</v>
      </c>
      <c r="J79" s="64">
        <v>1.82</v>
      </c>
      <c r="K79" s="64">
        <v>221.51</v>
      </c>
      <c r="L79" s="64">
        <v>19.899999999999999</v>
      </c>
      <c r="M79" s="64">
        <v>79.09</v>
      </c>
      <c r="N79" s="64">
        <v>50.2</v>
      </c>
      <c r="O79" s="64">
        <v>0.4</v>
      </c>
      <c r="P79" s="64">
        <v>0.8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5" t="s">
        <v>509</v>
      </c>
      <c r="B80" s="211" t="s">
        <v>43</v>
      </c>
      <c r="C80" s="211" t="s">
        <v>43</v>
      </c>
      <c r="D80" s="211" t="s">
        <v>43</v>
      </c>
      <c r="E80" s="64">
        <v>3.31</v>
      </c>
      <c r="F80" s="64">
        <v>7.34</v>
      </c>
      <c r="G80" s="64">
        <v>111.41</v>
      </c>
      <c r="H80" s="6" t="s">
        <v>42</v>
      </c>
      <c r="I80" s="64">
        <v>3.96</v>
      </c>
      <c r="J80" s="64">
        <v>0.09</v>
      </c>
      <c r="K80" s="64">
        <v>340.64</v>
      </c>
      <c r="L80" s="64">
        <v>18.95</v>
      </c>
      <c r="M80" s="64">
        <v>92.98</v>
      </c>
      <c r="N80" s="64">
        <v>57.9</v>
      </c>
      <c r="O80" s="64">
        <v>0</v>
      </c>
      <c r="P80" s="64">
        <v>0.83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5" t="s">
        <v>510</v>
      </c>
      <c r="B81" s="211" t="s">
        <v>43</v>
      </c>
      <c r="C81" s="211" t="s">
        <v>43</v>
      </c>
      <c r="D81" s="211" t="s">
        <v>43</v>
      </c>
      <c r="E81" s="64">
        <v>3.42</v>
      </c>
      <c r="F81" s="64">
        <v>6.37</v>
      </c>
      <c r="G81" s="64">
        <v>111.41</v>
      </c>
      <c r="H81" s="6" t="s">
        <v>42</v>
      </c>
      <c r="I81" s="64">
        <v>4.08</v>
      </c>
      <c r="J81" s="64">
        <v>1.79</v>
      </c>
      <c r="K81" s="64">
        <v>150.79</v>
      </c>
      <c r="L81" s="64">
        <v>20.04</v>
      </c>
      <c r="M81" s="64">
        <v>82.28</v>
      </c>
      <c r="N81" s="64">
        <v>52.5</v>
      </c>
      <c r="O81" s="64">
        <v>0</v>
      </c>
      <c r="P81" s="64">
        <v>0.84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5" t="s">
        <v>511</v>
      </c>
      <c r="B82" s="211" t="s">
        <v>43</v>
      </c>
      <c r="C82" s="211" t="s">
        <v>43</v>
      </c>
      <c r="D82" s="211" t="s">
        <v>43</v>
      </c>
      <c r="E82" s="64">
        <v>3.51</v>
      </c>
      <c r="F82" s="64">
        <v>6.69</v>
      </c>
      <c r="G82" s="64">
        <v>111.41</v>
      </c>
      <c r="H82" s="6" t="s">
        <v>42</v>
      </c>
      <c r="I82" s="64">
        <v>4</v>
      </c>
      <c r="J82" s="64">
        <v>2.39</v>
      </c>
      <c r="K82" s="64">
        <v>164.84</v>
      </c>
      <c r="L82" s="64">
        <v>20.2</v>
      </c>
      <c r="M82" s="64">
        <v>74.22</v>
      </c>
      <c r="N82" s="64">
        <v>40</v>
      </c>
      <c r="O82" s="64">
        <v>0</v>
      </c>
      <c r="P82" s="64">
        <v>0.84</v>
      </c>
      <c r="Q82" s="64">
        <v>9.51</v>
      </c>
      <c r="R82" s="198"/>
      <c r="S82" s="198"/>
      <c r="T82" s="198"/>
      <c r="U82" s="198"/>
    </row>
    <row r="83" spans="1:26" s="12" customFormat="1" x14ac:dyDescent="0.25">
      <c r="A83" s="215" t="s">
        <v>512</v>
      </c>
      <c r="B83" s="211" t="s">
        <v>43</v>
      </c>
      <c r="C83" s="211" t="s">
        <v>43</v>
      </c>
      <c r="D83" s="211" t="s">
        <v>43</v>
      </c>
      <c r="E83" s="64">
        <v>3.54</v>
      </c>
      <c r="F83" s="64">
        <v>7.35</v>
      </c>
      <c r="G83" s="64">
        <v>102.39</v>
      </c>
      <c r="H83" s="6" t="s">
        <v>42</v>
      </c>
      <c r="I83" s="64">
        <v>4.03</v>
      </c>
      <c r="J83" s="64">
        <v>0.97</v>
      </c>
      <c r="K83" s="64">
        <v>149.66999999999999</v>
      </c>
      <c r="L83" s="64">
        <v>19.989999999999998</v>
      </c>
      <c r="M83" s="64">
        <v>72.45</v>
      </c>
      <c r="N83" s="64">
        <v>36.299999999999997</v>
      </c>
      <c r="O83" s="64">
        <v>0</v>
      </c>
      <c r="P83" s="64">
        <v>0.79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5" t="s">
        <v>513</v>
      </c>
      <c r="B84" s="211" t="s">
        <v>43</v>
      </c>
      <c r="C84" s="211" t="s">
        <v>43</v>
      </c>
      <c r="D84" s="211" t="s">
        <v>43</v>
      </c>
      <c r="E84" s="64">
        <v>3.59</v>
      </c>
      <c r="F84" s="64">
        <v>7.81</v>
      </c>
      <c r="G84" s="64">
        <v>92.97</v>
      </c>
      <c r="H84" s="64">
        <v>43.34</v>
      </c>
      <c r="I84" s="64">
        <v>4.0599999999999996</v>
      </c>
      <c r="J84" s="64">
        <v>0.85</v>
      </c>
      <c r="K84" s="64">
        <v>57.66</v>
      </c>
      <c r="L84" s="64">
        <v>20.05</v>
      </c>
      <c r="M84" s="64">
        <v>72.650000000000006</v>
      </c>
      <c r="N84" s="64">
        <v>34.6</v>
      </c>
      <c r="O84" s="64">
        <v>0</v>
      </c>
      <c r="P84" s="64">
        <v>0.79</v>
      </c>
      <c r="Q84" s="64">
        <v>9.5399999999999991</v>
      </c>
      <c r="R84" s="198"/>
      <c r="S84" s="198"/>
      <c r="T84" s="198"/>
      <c r="U84" s="198"/>
    </row>
    <row r="85" spans="1:26" s="12" customFormat="1" x14ac:dyDescent="0.25">
      <c r="A85" s="215" t="s">
        <v>514</v>
      </c>
      <c r="B85" s="211" t="s">
        <v>43</v>
      </c>
      <c r="C85" s="211" t="s">
        <v>43</v>
      </c>
      <c r="D85" s="211" t="s">
        <v>43</v>
      </c>
      <c r="E85" s="64">
        <v>3.28</v>
      </c>
      <c r="F85" s="64">
        <v>7.67</v>
      </c>
      <c r="G85" s="64">
        <v>92.97</v>
      </c>
      <c r="H85" s="64">
        <v>43.34</v>
      </c>
      <c r="I85" s="64">
        <v>3.84</v>
      </c>
      <c r="J85" s="64">
        <v>1.19</v>
      </c>
      <c r="K85" s="64">
        <v>166.05</v>
      </c>
      <c r="L85" s="64">
        <v>20.190000000000001</v>
      </c>
      <c r="M85" s="64">
        <v>71.14</v>
      </c>
      <c r="N85" s="64">
        <v>35.1</v>
      </c>
      <c r="O85" s="64">
        <v>0</v>
      </c>
      <c r="P85" s="64">
        <v>0.76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5" t="s">
        <v>515</v>
      </c>
      <c r="B86" s="211" t="s">
        <v>43</v>
      </c>
      <c r="C86" s="211" t="s">
        <v>43</v>
      </c>
      <c r="D86" s="211" t="s">
        <v>43</v>
      </c>
      <c r="E86" s="64">
        <v>3.39</v>
      </c>
      <c r="F86" s="64">
        <v>7.4</v>
      </c>
      <c r="G86" s="64">
        <v>92.97</v>
      </c>
      <c r="H86" s="64">
        <v>43.34</v>
      </c>
      <c r="I86" s="64">
        <v>3.89</v>
      </c>
      <c r="J86" s="64">
        <v>0.66</v>
      </c>
      <c r="K86" s="64">
        <v>138.99</v>
      </c>
      <c r="L86" s="64">
        <v>20.32</v>
      </c>
      <c r="M86" s="64">
        <v>72.22</v>
      </c>
      <c r="N86" s="64">
        <v>35.200000000000003</v>
      </c>
      <c r="O86" s="64">
        <v>0</v>
      </c>
      <c r="P86" s="64">
        <v>0.78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5" t="s">
        <v>516</v>
      </c>
      <c r="B87" s="211" t="s">
        <v>43</v>
      </c>
      <c r="C87" s="211" t="s">
        <v>43</v>
      </c>
      <c r="D87" s="211" t="s">
        <v>43</v>
      </c>
      <c r="E87" s="64">
        <v>3.14</v>
      </c>
      <c r="F87" s="64">
        <v>6.72</v>
      </c>
      <c r="G87" s="64">
        <v>81.34</v>
      </c>
      <c r="H87" s="64">
        <v>29.83</v>
      </c>
      <c r="I87" s="64">
        <v>3.91</v>
      </c>
      <c r="J87" s="64">
        <v>1.75</v>
      </c>
      <c r="K87" s="64">
        <v>177.55</v>
      </c>
      <c r="L87" s="64">
        <v>20.41</v>
      </c>
      <c r="M87" s="64">
        <v>70.89</v>
      </c>
      <c r="N87" s="64">
        <v>35.4</v>
      </c>
      <c r="O87" s="64">
        <v>0</v>
      </c>
      <c r="P87" s="64">
        <v>0.78</v>
      </c>
      <c r="Q87" s="64">
        <v>9.52</v>
      </c>
      <c r="R87" s="198"/>
      <c r="S87" s="198"/>
      <c r="T87" s="198"/>
      <c r="U87" s="198"/>
    </row>
    <row r="88" spans="1:26" s="12" customFormat="1" x14ac:dyDescent="0.25">
      <c r="A88" s="215" t="s">
        <v>517</v>
      </c>
      <c r="B88" s="211" t="s">
        <v>43</v>
      </c>
      <c r="C88" s="211" t="s">
        <v>43</v>
      </c>
      <c r="D88" s="211" t="s">
        <v>43</v>
      </c>
      <c r="E88" s="64">
        <v>3.2</v>
      </c>
      <c r="F88" s="64">
        <v>6.99</v>
      </c>
      <c r="G88" s="64">
        <v>68.63</v>
      </c>
      <c r="H88" s="64">
        <v>15.7</v>
      </c>
      <c r="I88" s="64">
        <v>4.01</v>
      </c>
      <c r="J88" s="64">
        <v>1.51</v>
      </c>
      <c r="K88" s="64">
        <v>170.15</v>
      </c>
      <c r="L88" s="64">
        <v>19.899999999999999</v>
      </c>
      <c r="M88" s="64">
        <v>74.56</v>
      </c>
      <c r="N88" s="64">
        <v>36</v>
      </c>
      <c r="O88" s="64">
        <v>0</v>
      </c>
      <c r="P88" s="64">
        <v>0.76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5" t="s">
        <v>518</v>
      </c>
      <c r="B89" s="211" t="s">
        <v>43</v>
      </c>
      <c r="C89" s="211" t="s">
        <v>43</v>
      </c>
      <c r="D89" s="211" t="s">
        <v>43</v>
      </c>
      <c r="E89" s="64">
        <v>3.3</v>
      </c>
      <c r="F89" s="64">
        <v>10.92</v>
      </c>
      <c r="G89" s="64">
        <v>68.63</v>
      </c>
      <c r="H89" s="64">
        <v>15.7</v>
      </c>
      <c r="I89" s="64">
        <v>3.9</v>
      </c>
      <c r="J89" s="64">
        <v>0.26</v>
      </c>
      <c r="K89" s="64">
        <v>206.7</v>
      </c>
      <c r="L89" s="64">
        <v>19.829999999999998</v>
      </c>
      <c r="M89" s="64">
        <v>74.66</v>
      </c>
      <c r="N89" s="64">
        <v>35.700000000000003</v>
      </c>
      <c r="O89" s="64">
        <v>0</v>
      </c>
      <c r="P89" s="64">
        <v>0.72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5" t="s">
        <v>519</v>
      </c>
      <c r="B90" s="211" t="s">
        <v>43</v>
      </c>
      <c r="C90" s="211" t="s">
        <v>43</v>
      </c>
      <c r="D90" s="211" t="s">
        <v>43</v>
      </c>
      <c r="E90" s="64">
        <v>3.35</v>
      </c>
      <c r="F90" s="64">
        <v>10.44</v>
      </c>
      <c r="G90" s="64">
        <v>68.63</v>
      </c>
      <c r="H90" s="64">
        <v>15.7</v>
      </c>
      <c r="I90" s="64">
        <v>3.88</v>
      </c>
      <c r="J90" s="64">
        <v>1.22</v>
      </c>
      <c r="K90" s="64">
        <v>95.71</v>
      </c>
      <c r="L90" s="64">
        <v>20.05</v>
      </c>
      <c r="M90" s="64">
        <v>74</v>
      </c>
      <c r="N90" s="64">
        <v>35.299999999999997</v>
      </c>
      <c r="O90" s="64">
        <v>0</v>
      </c>
      <c r="P90" s="64">
        <v>0.71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15" t="s">
        <v>520</v>
      </c>
      <c r="B91" s="211" t="s">
        <v>43</v>
      </c>
      <c r="C91" s="211" t="s">
        <v>43</v>
      </c>
      <c r="D91" s="211" t="s">
        <v>43</v>
      </c>
      <c r="E91" s="64">
        <v>3.23</v>
      </c>
      <c r="F91" s="64">
        <v>9.67</v>
      </c>
      <c r="G91" s="64">
        <v>59.47</v>
      </c>
      <c r="H91" s="64">
        <v>18.420000000000002</v>
      </c>
      <c r="I91" s="64">
        <v>4.03</v>
      </c>
      <c r="J91" s="64">
        <v>1.86</v>
      </c>
      <c r="K91" s="64">
        <v>152.77000000000001</v>
      </c>
      <c r="L91" s="64">
        <v>20.010000000000002</v>
      </c>
      <c r="M91" s="64">
        <v>79.150000000000006</v>
      </c>
      <c r="N91" s="64">
        <v>35.6</v>
      </c>
      <c r="O91" s="64">
        <v>0</v>
      </c>
      <c r="P91" s="64">
        <v>0.72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15" t="s">
        <v>521</v>
      </c>
      <c r="B92" s="211" t="s">
        <v>43</v>
      </c>
      <c r="C92" s="211" t="s">
        <v>43</v>
      </c>
      <c r="D92" s="211" t="s">
        <v>43</v>
      </c>
      <c r="E92" s="64">
        <v>2.92</v>
      </c>
      <c r="F92" s="64">
        <v>7.17</v>
      </c>
      <c r="G92" s="64">
        <v>49.46</v>
      </c>
      <c r="H92" s="64">
        <v>21.38</v>
      </c>
      <c r="I92" s="64">
        <v>3.9</v>
      </c>
      <c r="J92" s="64">
        <v>1.42</v>
      </c>
      <c r="K92" s="64">
        <v>155.13999999999999</v>
      </c>
      <c r="L92" s="64">
        <v>19.88</v>
      </c>
      <c r="M92" s="64">
        <v>83.58</v>
      </c>
      <c r="N92" s="64">
        <v>35.700000000000003</v>
      </c>
      <c r="O92" s="64">
        <v>0</v>
      </c>
      <c r="P92" s="64">
        <v>0.72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15" t="s">
        <v>522</v>
      </c>
      <c r="B93" s="211" t="s">
        <v>43</v>
      </c>
      <c r="C93" s="211" t="s">
        <v>43</v>
      </c>
      <c r="D93" s="211" t="s">
        <v>43</v>
      </c>
      <c r="E93" s="64">
        <v>2.65</v>
      </c>
      <c r="F93" s="64">
        <v>9.5399999999999991</v>
      </c>
      <c r="G93" s="64">
        <v>49.46</v>
      </c>
      <c r="H93" s="64">
        <v>21.38</v>
      </c>
      <c r="I93" s="64">
        <v>3.98</v>
      </c>
      <c r="J93" s="64">
        <v>1.01</v>
      </c>
      <c r="K93" s="64">
        <v>146.03</v>
      </c>
      <c r="L93" s="64">
        <v>19.84</v>
      </c>
      <c r="M93" s="64">
        <v>86.11</v>
      </c>
      <c r="N93" s="64">
        <v>35.700000000000003</v>
      </c>
      <c r="O93" s="64">
        <v>0</v>
      </c>
      <c r="P93" s="64">
        <v>0.72</v>
      </c>
      <c r="Q93" s="64">
        <v>9.5399999999999991</v>
      </c>
      <c r="R93" s="198"/>
      <c r="S93" s="198"/>
      <c r="T93" s="198"/>
      <c r="U93" s="198"/>
    </row>
    <row r="94" spans="1:26" s="12" customFormat="1" x14ac:dyDescent="0.25">
      <c r="A94" s="215" t="s">
        <v>523</v>
      </c>
      <c r="B94" s="211" t="s">
        <v>43</v>
      </c>
      <c r="C94" s="211" t="s">
        <v>43</v>
      </c>
      <c r="D94" s="211" t="s">
        <v>43</v>
      </c>
      <c r="E94" s="64">
        <v>2.96</v>
      </c>
      <c r="F94" s="64">
        <v>9.5500000000000007</v>
      </c>
      <c r="G94" s="64">
        <v>49.46</v>
      </c>
      <c r="H94" s="64">
        <v>21.38</v>
      </c>
      <c r="I94" s="64">
        <v>4</v>
      </c>
      <c r="J94" s="64">
        <v>1.75</v>
      </c>
      <c r="K94" s="64">
        <v>170.79</v>
      </c>
      <c r="L94" s="64">
        <v>19.95</v>
      </c>
      <c r="M94" s="64">
        <v>85.28</v>
      </c>
      <c r="N94" s="64">
        <v>35.5</v>
      </c>
      <c r="O94" s="64">
        <v>0</v>
      </c>
      <c r="P94" s="64">
        <v>0.72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5" t="s">
        <v>524</v>
      </c>
      <c r="B95" s="211" t="s">
        <v>43</v>
      </c>
      <c r="C95" s="211" t="s">
        <v>43</v>
      </c>
      <c r="D95" s="211" t="s">
        <v>43</v>
      </c>
      <c r="E95" s="64">
        <v>2.83</v>
      </c>
      <c r="F95" s="64">
        <v>10.119999999999999</v>
      </c>
      <c r="G95" s="64">
        <v>51.31</v>
      </c>
      <c r="H95" s="64">
        <v>66.7</v>
      </c>
      <c r="I95" s="64">
        <v>3.91</v>
      </c>
      <c r="J95" s="64">
        <v>1.1000000000000001</v>
      </c>
      <c r="K95" s="64">
        <v>180.72</v>
      </c>
      <c r="L95" s="64">
        <v>20.059999999999999</v>
      </c>
      <c r="M95" s="64">
        <v>84.34</v>
      </c>
      <c r="N95" s="64">
        <v>35.6</v>
      </c>
      <c r="O95" s="64">
        <v>0</v>
      </c>
      <c r="P95" s="64">
        <v>0.72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5" t="s">
        <v>525</v>
      </c>
      <c r="B96" s="211" t="s">
        <v>43</v>
      </c>
      <c r="C96" s="211" t="s">
        <v>43</v>
      </c>
      <c r="D96" s="211" t="s">
        <v>43</v>
      </c>
      <c r="E96" s="64">
        <v>3.24</v>
      </c>
      <c r="F96" s="64">
        <v>10.64</v>
      </c>
      <c r="G96" s="64">
        <v>53.34</v>
      </c>
      <c r="H96" s="6" t="s">
        <v>42</v>
      </c>
      <c r="I96" s="64">
        <v>3.83</v>
      </c>
      <c r="J96" s="64">
        <v>1.07</v>
      </c>
      <c r="K96" s="64">
        <v>132.15</v>
      </c>
      <c r="L96" s="64">
        <v>20.09</v>
      </c>
      <c r="M96" s="64">
        <v>83.6</v>
      </c>
      <c r="N96" s="64">
        <v>35.6</v>
      </c>
      <c r="O96" s="64">
        <v>0</v>
      </c>
      <c r="P96" s="64">
        <v>0.7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526</v>
      </c>
      <c r="B97" s="211" t="s">
        <v>43</v>
      </c>
      <c r="C97" s="211" t="s">
        <v>43</v>
      </c>
      <c r="D97" s="211" t="s">
        <v>43</v>
      </c>
      <c r="E97" s="64">
        <v>3.52</v>
      </c>
      <c r="F97" s="64">
        <v>6.78</v>
      </c>
      <c r="G97" s="64">
        <v>53.34</v>
      </c>
      <c r="H97" s="6" t="s">
        <v>42</v>
      </c>
      <c r="I97" s="64">
        <v>3.99</v>
      </c>
      <c r="J97" s="64">
        <v>1</v>
      </c>
      <c r="K97" s="64">
        <v>88.05</v>
      </c>
      <c r="L97" s="64">
        <v>20.25</v>
      </c>
      <c r="M97" s="64">
        <v>81.010000000000005</v>
      </c>
      <c r="N97" s="64">
        <v>35.5</v>
      </c>
      <c r="O97" s="64">
        <v>0</v>
      </c>
      <c r="P97" s="64">
        <v>0.72</v>
      </c>
      <c r="Q97" s="64">
        <v>9.5299999999999994</v>
      </c>
      <c r="R97" s="198"/>
      <c r="S97" s="198"/>
      <c r="T97" s="198"/>
      <c r="U97" s="198"/>
    </row>
    <row r="98" spans="1:33" s="12" customFormat="1" x14ac:dyDescent="0.25">
      <c r="A98" s="215" t="s">
        <v>527</v>
      </c>
      <c r="B98" s="211" t="s">
        <v>43</v>
      </c>
      <c r="C98" s="211" t="s">
        <v>43</v>
      </c>
      <c r="D98" s="211" t="s">
        <v>43</v>
      </c>
      <c r="E98" s="64">
        <v>3.33</v>
      </c>
      <c r="F98" s="64">
        <v>7.21</v>
      </c>
      <c r="G98" s="64">
        <v>53.34</v>
      </c>
      <c r="H98" s="6" t="s">
        <v>42</v>
      </c>
      <c r="I98" s="64">
        <v>4.09</v>
      </c>
      <c r="J98" s="64">
        <v>1.33</v>
      </c>
      <c r="K98" s="64">
        <v>183.23</v>
      </c>
      <c r="L98" s="64">
        <v>20.329999999999998</v>
      </c>
      <c r="M98" s="64">
        <v>80.459999999999994</v>
      </c>
      <c r="N98" s="64">
        <v>35.6</v>
      </c>
      <c r="O98" s="64">
        <v>0</v>
      </c>
      <c r="P98" s="64">
        <v>0.72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15" t="s">
        <v>528</v>
      </c>
      <c r="B99" s="211" t="s">
        <v>43</v>
      </c>
      <c r="C99" s="211" t="s">
        <v>43</v>
      </c>
      <c r="D99" s="211" t="s">
        <v>43</v>
      </c>
      <c r="E99" s="64">
        <v>3.26</v>
      </c>
      <c r="F99" s="64">
        <v>8.6199999999999992</v>
      </c>
      <c r="G99" s="64">
        <v>52.45</v>
      </c>
      <c r="H99" s="6" t="s">
        <v>42</v>
      </c>
      <c r="I99" s="64">
        <v>4.01</v>
      </c>
      <c r="J99" s="64">
        <v>1.57</v>
      </c>
      <c r="K99" s="64">
        <v>173.5</v>
      </c>
      <c r="L99" s="64">
        <v>20.34</v>
      </c>
      <c r="M99" s="64">
        <v>80.7</v>
      </c>
      <c r="N99" s="64">
        <v>35.6</v>
      </c>
      <c r="O99" s="64">
        <v>0</v>
      </c>
      <c r="P99" s="64">
        <v>0.71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5" t="s">
        <v>529</v>
      </c>
      <c r="B100" s="211" t="s">
        <v>43</v>
      </c>
      <c r="C100" s="211" t="s">
        <v>43</v>
      </c>
      <c r="D100" s="211" t="s">
        <v>43</v>
      </c>
      <c r="E100" s="64">
        <v>2.98</v>
      </c>
      <c r="F100" s="64">
        <v>7.73</v>
      </c>
      <c r="G100" s="64">
        <v>51.48</v>
      </c>
      <c r="H100" s="64">
        <v>18.64</v>
      </c>
      <c r="I100" s="64">
        <v>4.0199999999999996</v>
      </c>
      <c r="J100" s="64">
        <v>1.65</v>
      </c>
      <c r="K100" s="64">
        <v>178.41</v>
      </c>
      <c r="L100" s="64">
        <v>20.309999999999999</v>
      </c>
      <c r="M100" s="64">
        <v>79.790000000000006</v>
      </c>
      <c r="N100" s="64">
        <v>35.6</v>
      </c>
      <c r="O100" s="64">
        <v>0</v>
      </c>
      <c r="P100" s="64">
        <v>0.71</v>
      </c>
      <c r="Q100" s="64">
        <v>9.5299999999999994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530</v>
      </c>
      <c r="B101" s="211" t="s">
        <v>43</v>
      </c>
      <c r="C101" s="211" t="s">
        <v>43</v>
      </c>
      <c r="D101" s="211" t="s">
        <v>43</v>
      </c>
      <c r="E101" s="64">
        <v>2.99</v>
      </c>
      <c r="F101" s="64">
        <v>7.71</v>
      </c>
      <c r="G101" s="64">
        <v>51.48</v>
      </c>
      <c r="H101" s="64">
        <v>18.64</v>
      </c>
      <c r="I101" s="64">
        <v>3.98</v>
      </c>
      <c r="J101" s="64">
        <v>1.47</v>
      </c>
      <c r="K101" s="64">
        <v>180.75</v>
      </c>
      <c r="L101" s="64">
        <v>20.149999999999999</v>
      </c>
      <c r="M101" s="64">
        <v>84.71</v>
      </c>
      <c r="N101" s="64">
        <v>36</v>
      </c>
      <c r="O101" s="64">
        <v>0</v>
      </c>
      <c r="P101" s="64">
        <v>0.71</v>
      </c>
      <c r="Q101" s="64">
        <v>9.51</v>
      </c>
      <c r="R101" s="198"/>
      <c r="S101" s="198"/>
      <c r="T101" s="198"/>
      <c r="U101" s="198"/>
    </row>
    <row r="102" spans="1:33" s="12" customFormat="1" x14ac:dyDescent="0.25">
      <c r="A102" s="215" t="s">
        <v>531</v>
      </c>
      <c r="B102" s="211" t="s">
        <v>43</v>
      </c>
      <c r="C102" s="211" t="s">
        <v>43</v>
      </c>
      <c r="D102" s="211" t="s">
        <v>43</v>
      </c>
      <c r="E102" s="64">
        <v>3.06</v>
      </c>
      <c r="F102" s="64">
        <v>7.24</v>
      </c>
      <c r="G102" s="64">
        <v>51.48</v>
      </c>
      <c r="H102" s="64">
        <v>18.64</v>
      </c>
      <c r="I102" s="64">
        <v>4.07</v>
      </c>
      <c r="J102" s="64">
        <v>1.19</v>
      </c>
      <c r="K102" s="64">
        <v>200.68</v>
      </c>
      <c r="L102" s="64">
        <v>19.8</v>
      </c>
      <c r="M102" s="64">
        <v>86.97</v>
      </c>
      <c r="N102" s="64">
        <v>36</v>
      </c>
      <c r="O102" s="64">
        <v>0</v>
      </c>
      <c r="P102" s="64">
        <v>0.7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5" t="s">
        <v>532</v>
      </c>
      <c r="B103" s="211" t="s">
        <v>43</v>
      </c>
      <c r="C103" s="211" t="s">
        <v>43</v>
      </c>
      <c r="D103" s="211" t="s">
        <v>43</v>
      </c>
      <c r="E103" s="64">
        <v>2.89</v>
      </c>
      <c r="F103" s="64">
        <v>7</v>
      </c>
      <c r="G103" s="64">
        <v>50.8</v>
      </c>
      <c r="H103" s="64">
        <v>9.7100000000000009</v>
      </c>
      <c r="I103" s="64">
        <v>3.83</v>
      </c>
      <c r="J103" s="64">
        <v>1.0900000000000001</v>
      </c>
      <c r="K103" s="64">
        <v>331.38</v>
      </c>
      <c r="L103" s="64">
        <v>19.59</v>
      </c>
      <c r="M103" s="64">
        <v>90.64</v>
      </c>
      <c r="N103" s="64">
        <v>36.1</v>
      </c>
      <c r="O103" s="64">
        <v>0</v>
      </c>
      <c r="P103" s="64">
        <v>0.7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5" t="s">
        <v>533</v>
      </c>
      <c r="B104" s="211" t="s">
        <v>43</v>
      </c>
      <c r="C104" s="211" t="s">
        <v>43</v>
      </c>
      <c r="D104" s="211" t="s">
        <v>43</v>
      </c>
      <c r="E104" s="64">
        <v>3.34</v>
      </c>
      <c r="F104" s="64">
        <v>8.75</v>
      </c>
      <c r="G104" s="64">
        <v>50.08</v>
      </c>
      <c r="H104" s="64">
        <v>0.37</v>
      </c>
      <c r="I104" s="64">
        <v>4.0599999999999996</v>
      </c>
      <c r="J104" s="64">
        <v>0.82</v>
      </c>
      <c r="K104" s="64">
        <v>173.98</v>
      </c>
      <c r="L104" s="64">
        <v>19.489999999999998</v>
      </c>
      <c r="M104" s="64">
        <v>90.76</v>
      </c>
      <c r="N104" s="64">
        <v>35.700000000000003</v>
      </c>
      <c r="O104" s="64">
        <v>0</v>
      </c>
      <c r="P104" s="64">
        <v>0.7</v>
      </c>
      <c r="Q104" s="64">
        <v>9.51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2.65</v>
      </c>
      <c r="F106" s="67">
        <f t="shared" si="0"/>
        <v>6.37</v>
      </c>
      <c r="G106" s="67">
        <f t="shared" si="0"/>
        <v>49.46</v>
      </c>
      <c r="H106" s="67">
        <f t="shared" si="0"/>
        <v>0.37</v>
      </c>
      <c r="I106" s="67">
        <f t="shared" si="0"/>
        <v>3.81</v>
      </c>
      <c r="J106" s="67">
        <f t="shared" si="0"/>
        <v>0.09</v>
      </c>
      <c r="K106" s="67">
        <f t="shared" si="0"/>
        <v>0.65</v>
      </c>
      <c r="L106" s="67">
        <f t="shared" si="0"/>
        <v>18.95</v>
      </c>
      <c r="M106" s="67">
        <f t="shared" si="0"/>
        <v>27.95</v>
      </c>
      <c r="N106" s="67">
        <f t="shared" si="0"/>
        <v>32.700000000000003</v>
      </c>
      <c r="O106" s="67">
        <f t="shared" si="0"/>
        <v>0</v>
      </c>
      <c r="P106" s="67">
        <f t="shared" si="0"/>
        <v>0.56000000000000005</v>
      </c>
      <c r="Q106" s="67">
        <f t="shared" si="0"/>
        <v>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22.65</v>
      </c>
      <c r="F107" s="66">
        <f t="shared" si="1"/>
        <v>22.2</v>
      </c>
      <c r="G107" s="66">
        <f t="shared" si="1"/>
        <v>114.18</v>
      </c>
      <c r="H107" s="66">
        <f t="shared" si="1"/>
        <v>76.37</v>
      </c>
      <c r="I107" s="66">
        <f t="shared" si="1"/>
        <v>4.2699999999999996</v>
      </c>
      <c r="J107" s="66">
        <f t="shared" si="1"/>
        <v>5.43</v>
      </c>
      <c r="K107" s="66">
        <f t="shared" si="1"/>
        <v>357.55</v>
      </c>
      <c r="L107" s="66">
        <f t="shared" si="1"/>
        <v>30.65</v>
      </c>
      <c r="M107" s="66">
        <f t="shared" si="1"/>
        <v>92.98</v>
      </c>
      <c r="N107" s="66">
        <f t="shared" si="1"/>
        <v>638.29999999999995</v>
      </c>
      <c r="O107" s="66">
        <f t="shared" si="1"/>
        <v>1.2</v>
      </c>
      <c r="P107" s="66">
        <f t="shared" si="1"/>
        <v>1.1599999999999999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6.0445833333333345</v>
      </c>
      <c r="F108" s="67">
        <f t="shared" si="2"/>
        <v>10.531979166666668</v>
      </c>
      <c r="G108" s="67">
        <f t="shared" si="2"/>
        <v>72.197500000000019</v>
      </c>
      <c r="H108" s="67">
        <f t="shared" si="2"/>
        <v>27.49974025974025</v>
      </c>
      <c r="I108" s="67">
        <f t="shared" si="2"/>
        <v>3.9902083333333311</v>
      </c>
      <c r="J108" s="67">
        <f t="shared" si="2"/>
        <v>2.3958333333333335</v>
      </c>
      <c r="K108" s="67">
        <f t="shared" si="2"/>
        <v>200.44802083333332</v>
      </c>
      <c r="L108" s="67">
        <f t="shared" si="2"/>
        <v>23.585624999999997</v>
      </c>
      <c r="M108" s="67">
        <f t="shared" si="2"/>
        <v>56.47208333333333</v>
      </c>
      <c r="N108" s="67">
        <f t="shared" si="2"/>
        <v>136.80000000000004</v>
      </c>
      <c r="O108" s="67">
        <f t="shared" si="2"/>
        <v>1.8749999999999999E-2</v>
      </c>
      <c r="P108" s="67">
        <f t="shared" si="2"/>
        <v>0.80354166666666638</v>
      </c>
      <c r="Q108" s="67">
        <f t="shared" si="2"/>
        <v>9.6015624999999876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3.6555860403286315</v>
      </c>
      <c r="F109" s="67">
        <f t="shared" si="3"/>
        <v>3.2548230188094611</v>
      </c>
      <c r="G109" s="67">
        <f t="shared" si="3"/>
        <v>18.999429520521364</v>
      </c>
      <c r="H109" s="67">
        <f t="shared" si="3"/>
        <v>17.940557769744579</v>
      </c>
      <c r="I109" s="67">
        <f t="shared" si="3"/>
        <v>8.2103646520296628E-2</v>
      </c>
      <c r="J109" s="67">
        <f t="shared" si="3"/>
        <v>1.1750150428301738</v>
      </c>
      <c r="K109" s="67">
        <f t="shared" si="3"/>
        <v>125.43494983137501</v>
      </c>
      <c r="L109" s="67">
        <f t="shared" si="3"/>
        <v>3.5180843508932762</v>
      </c>
      <c r="M109" s="67">
        <f t="shared" si="3"/>
        <v>17.800928711234612</v>
      </c>
      <c r="N109" s="67">
        <f t="shared" si="3"/>
        <v>149.59061608621249</v>
      </c>
      <c r="O109" s="67">
        <f t="shared" si="3"/>
        <v>0.13003036082716263</v>
      </c>
      <c r="P109" s="67">
        <f t="shared" si="3"/>
        <v>0.13955552878347569</v>
      </c>
      <c r="Q109" s="67">
        <f t="shared" si="3"/>
        <v>8.472032161610854E-2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0</v>
      </c>
      <c r="C110" s="66">
        <f t="shared" ref="C110:Q110" si="4">COUNT(C9:C104)</f>
        <v>0</v>
      </c>
      <c r="D110" s="66">
        <f t="shared" si="4"/>
        <v>0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COUNT(H9:H104)+19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534</v>
      </c>
      <c r="B9" s="211" t="s">
        <v>43</v>
      </c>
      <c r="C9" s="211" t="s">
        <v>43</v>
      </c>
      <c r="D9" s="211" t="s">
        <v>43</v>
      </c>
      <c r="E9" s="64">
        <v>3.54</v>
      </c>
      <c r="F9" s="64">
        <v>8.59</v>
      </c>
      <c r="G9" s="64">
        <v>50.08</v>
      </c>
      <c r="H9" s="64">
        <v>0.37</v>
      </c>
      <c r="I9" s="64">
        <v>4</v>
      </c>
      <c r="J9" s="64">
        <v>0.35</v>
      </c>
      <c r="K9" s="64">
        <v>275.81</v>
      </c>
      <c r="L9" s="64">
        <v>19.43</v>
      </c>
      <c r="M9" s="64">
        <v>91.4</v>
      </c>
      <c r="N9" s="64">
        <v>35.9</v>
      </c>
      <c r="O9" s="64">
        <v>0</v>
      </c>
      <c r="P9" s="64">
        <v>0.69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5" t="s">
        <v>535</v>
      </c>
      <c r="B10" s="211" t="s">
        <v>43</v>
      </c>
      <c r="C10" s="211" t="s">
        <v>43</v>
      </c>
      <c r="D10" s="211" t="s">
        <v>43</v>
      </c>
      <c r="E10" s="64">
        <v>3.95</v>
      </c>
      <c r="F10" s="64">
        <v>8.68</v>
      </c>
      <c r="G10" s="64">
        <v>50.08</v>
      </c>
      <c r="H10" s="64">
        <v>0.37</v>
      </c>
      <c r="I10" s="64">
        <v>3.96</v>
      </c>
      <c r="J10" s="64">
        <v>0.71</v>
      </c>
      <c r="K10" s="64">
        <v>254.56</v>
      </c>
      <c r="L10" s="64">
        <v>19.34</v>
      </c>
      <c r="M10" s="64">
        <v>92.32</v>
      </c>
      <c r="N10" s="64">
        <v>35.9</v>
      </c>
      <c r="O10" s="64">
        <v>0</v>
      </c>
      <c r="P10" s="64">
        <v>0.67</v>
      </c>
      <c r="Q10" s="64">
        <v>9.5299999999999994</v>
      </c>
      <c r="R10" s="198"/>
      <c r="S10" s="198"/>
      <c r="T10" s="198"/>
      <c r="U10" s="198"/>
    </row>
    <row r="11" spans="1:21" s="12" customFormat="1" x14ac:dyDescent="0.25">
      <c r="A11" s="215" t="s">
        <v>536</v>
      </c>
      <c r="B11" s="211" t="s">
        <v>43</v>
      </c>
      <c r="C11" s="211" t="s">
        <v>43</v>
      </c>
      <c r="D11" s="211" t="s">
        <v>43</v>
      </c>
      <c r="E11" s="64">
        <v>3.66</v>
      </c>
      <c r="F11" s="64">
        <v>13.88</v>
      </c>
      <c r="G11" s="64">
        <v>46.61</v>
      </c>
      <c r="H11" s="64">
        <v>14.98</v>
      </c>
      <c r="I11" s="64">
        <v>3.96</v>
      </c>
      <c r="J11" s="64">
        <v>0.65</v>
      </c>
      <c r="K11" s="64">
        <v>311.94</v>
      </c>
      <c r="L11" s="64">
        <v>19.260000000000002</v>
      </c>
      <c r="M11" s="64">
        <v>93.71</v>
      </c>
      <c r="N11" s="64">
        <v>35.9</v>
      </c>
      <c r="O11" s="64">
        <v>0</v>
      </c>
      <c r="P11" s="64">
        <v>0.65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5" t="s">
        <v>537</v>
      </c>
      <c r="B12" s="211" t="s">
        <v>43</v>
      </c>
      <c r="C12" s="211" t="s">
        <v>43</v>
      </c>
      <c r="D12" s="211" t="s">
        <v>43</v>
      </c>
      <c r="E12" s="64">
        <v>3.55</v>
      </c>
      <c r="F12" s="64">
        <v>12.24</v>
      </c>
      <c r="G12" s="64">
        <v>42.98</v>
      </c>
      <c r="H12" s="64">
        <v>30.95</v>
      </c>
      <c r="I12" s="64">
        <v>3.97</v>
      </c>
      <c r="J12" s="64">
        <v>0.89</v>
      </c>
      <c r="K12" s="64">
        <v>37.32</v>
      </c>
      <c r="L12" s="64">
        <v>19.149999999999999</v>
      </c>
      <c r="M12" s="64">
        <v>95.94</v>
      </c>
      <c r="N12" s="64">
        <v>35.700000000000003</v>
      </c>
      <c r="O12" s="64">
        <v>0</v>
      </c>
      <c r="P12" s="64">
        <v>0.67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5" t="s">
        <v>538</v>
      </c>
      <c r="B13" s="211" t="s">
        <v>43</v>
      </c>
      <c r="C13" s="211" t="s">
        <v>43</v>
      </c>
      <c r="D13" s="211" t="s">
        <v>43</v>
      </c>
      <c r="E13" s="64">
        <v>3.69</v>
      </c>
      <c r="F13" s="64">
        <v>11.47</v>
      </c>
      <c r="G13" s="64">
        <v>42.98</v>
      </c>
      <c r="H13" s="64">
        <v>30.95</v>
      </c>
      <c r="I13" s="64">
        <v>3.95</v>
      </c>
      <c r="J13" s="64">
        <v>1.1599999999999999</v>
      </c>
      <c r="K13" s="64">
        <v>98.14</v>
      </c>
      <c r="L13" s="64">
        <v>19.22</v>
      </c>
      <c r="M13" s="64">
        <v>93.69</v>
      </c>
      <c r="N13" s="64">
        <v>35.5</v>
      </c>
      <c r="O13" s="64">
        <v>0</v>
      </c>
      <c r="P13" s="64">
        <v>0.63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5" t="s">
        <v>539</v>
      </c>
      <c r="B14" s="211" t="s">
        <v>43</v>
      </c>
      <c r="C14" s="211" t="s">
        <v>43</v>
      </c>
      <c r="D14" s="211" t="s">
        <v>43</v>
      </c>
      <c r="E14" s="64">
        <v>3.78</v>
      </c>
      <c r="F14" s="64">
        <v>11.73</v>
      </c>
      <c r="G14" s="64">
        <v>42.98</v>
      </c>
      <c r="H14" s="64">
        <v>30.95</v>
      </c>
      <c r="I14" s="64">
        <v>3.93</v>
      </c>
      <c r="J14" s="64">
        <v>1.83</v>
      </c>
      <c r="K14" s="64">
        <v>82.37</v>
      </c>
      <c r="L14" s="64">
        <v>19.47</v>
      </c>
      <c r="M14" s="64">
        <v>91.02</v>
      </c>
      <c r="N14" s="64">
        <v>35.200000000000003</v>
      </c>
      <c r="O14" s="64">
        <v>0</v>
      </c>
      <c r="P14" s="64">
        <v>0.63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5" t="s">
        <v>540</v>
      </c>
      <c r="B15" s="211" t="s">
        <v>43</v>
      </c>
      <c r="C15" s="211" t="s">
        <v>43</v>
      </c>
      <c r="D15" s="211" t="s">
        <v>43</v>
      </c>
      <c r="E15" s="64">
        <v>3.92</v>
      </c>
      <c r="F15" s="64">
        <v>10.26</v>
      </c>
      <c r="G15" s="64">
        <v>45.47</v>
      </c>
      <c r="H15" s="64">
        <v>50.6</v>
      </c>
      <c r="I15" s="64">
        <v>3.88</v>
      </c>
      <c r="J15" s="64">
        <v>1.74</v>
      </c>
      <c r="K15" s="64">
        <v>115.62</v>
      </c>
      <c r="L15" s="64">
        <v>19.66</v>
      </c>
      <c r="M15" s="64">
        <v>89.07</v>
      </c>
      <c r="N15" s="64">
        <v>35.200000000000003</v>
      </c>
      <c r="O15" s="64">
        <v>0</v>
      </c>
      <c r="P15" s="64">
        <v>0.64</v>
      </c>
      <c r="Q15" s="64">
        <v>9.52</v>
      </c>
      <c r="R15" s="198"/>
      <c r="S15" s="198"/>
      <c r="T15" s="198"/>
      <c r="U15" s="198"/>
    </row>
    <row r="16" spans="1:21" s="12" customFormat="1" x14ac:dyDescent="0.25">
      <c r="A16" s="215" t="s">
        <v>541</v>
      </c>
      <c r="B16" s="211" t="s">
        <v>43</v>
      </c>
      <c r="C16" s="211" t="s">
        <v>43</v>
      </c>
      <c r="D16" s="211" t="s">
        <v>43</v>
      </c>
      <c r="E16" s="64">
        <v>4.0199999999999996</v>
      </c>
      <c r="F16" s="64">
        <v>10.3</v>
      </c>
      <c r="G16" s="64">
        <v>48.19</v>
      </c>
      <c r="H16" s="64">
        <v>72.069999999999993</v>
      </c>
      <c r="I16" s="64">
        <v>3.91</v>
      </c>
      <c r="J16" s="64">
        <v>1.64</v>
      </c>
      <c r="K16" s="64">
        <v>104.75</v>
      </c>
      <c r="L16" s="64">
        <v>19.649999999999999</v>
      </c>
      <c r="M16" s="64">
        <v>88.8</v>
      </c>
      <c r="N16" s="64">
        <v>35.700000000000003</v>
      </c>
      <c r="O16" s="64">
        <v>0</v>
      </c>
      <c r="P16" s="64">
        <v>0.64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5" t="s">
        <v>542</v>
      </c>
      <c r="B17" s="211" t="s">
        <v>43</v>
      </c>
      <c r="C17" s="211" t="s">
        <v>43</v>
      </c>
      <c r="D17" s="211" t="s">
        <v>43</v>
      </c>
      <c r="E17" s="64">
        <v>3.75</v>
      </c>
      <c r="F17" s="64">
        <v>9.93</v>
      </c>
      <c r="G17" s="64">
        <v>48.19</v>
      </c>
      <c r="H17" s="64">
        <v>72.069999999999993</v>
      </c>
      <c r="I17" s="64">
        <v>4.13</v>
      </c>
      <c r="J17" s="64">
        <v>0.84</v>
      </c>
      <c r="K17" s="64">
        <v>155.18</v>
      </c>
      <c r="L17" s="64">
        <v>19.489999999999998</v>
      </c>
      <c r="M17" s="64">
        <v>90.69</v>
      </c>
      <c r="N17" s="64">
        <v>35.799999999999997</v>
      </c>
      <c r="O17" s="64">
        <v>0</v>
      </c>
      <c r="P17" s="64">
        <v>0.63</v>
      </c>
      <c r="Q17" s="64">
        <v>9.5299999999999994</v>
      </c>
      <c r="R17" s="198"/>
      <c r="S17" s="198"/>
      <c r="T17" s="198"/>
      <c r="U17" s="198"/>
    </row>
    <row r="18" spans="1:21" s="12" customFormat="1" x14ac:dyDescent="0.25">
      <c r="A18" s="215" t="s">
        <v>543</v>
      </c>
      <c r="B18" s="211" t="s">
        <v>43</v>
      </c>
      <c r="C18" s="211" t="s">
        <v>43</v>
      </c>
      <c r="D18" s="211" t="s">
        <v>43</v>
      </c>
      <c r="E18" s="64">
        <v>3.68</v>
      </c>
      <c r="F18" s="64">
        <v>7.76</v>
      </c>
      <c r="G18" s="64">
        <v>48.19</v>
      </c>
      <c r="H18" s="64">
        <v>72.069999999999993</v>
      </c>
      <c r="I18" s="64">
        <v>3.98</v>
      </c>
      <c r="J18" s="64">
        <v>1.6</v>
      </c>
      <c r="K18" s="64">
        <v>172.84</v>
      </c>
      <c r="L18" s="64">
        <v>19.329999999999998</v>
      </c>
      <c r="M18" s="64">
        <v>92.32</v>
      </c>
      <c r="N18" s="64">
        <v>35.6</v>
      </c>
      <c r="O18" s="64">
        <v>0</v>
      </c>
      <c r="P18" s="64">
        <v>0.65</v>
      </c>
      <c r="Q18" s="64">
        <v>9.5299999999999994</v>
      </c>
      <c r="R18" s="198"/>
      <c r="S18" s="198"/>
      <c r="T18" s="198"/>
      <c r="U18" s="198"/>
    </row>
    <row r="19" spans="1:21" s="12" customFormat="1" x14ac:dyDescent="0.25">
      <c r="A19" s="215" t="s">
        <v>544</v>
      </c>
      <c r="B19" s="211" t="s">
        <v>43</v>
      </c>
      <c r="C19" s="211" t="s">
        <v>43</v>
      </c>
      <c r="D19" s="211" t="s">
        <v>43</v>
      </c>
      <c r="E19" s="64">
        <v>3.55</v>
      </c>
      <c r="F19" s="64">
        <v>6.9</v>
      </c>
      <c r="G19" s="64">
        <v>46.66</v>
      </c>
      <c r="H19" s="64">
        <v>55.41</v>
      </c>
      <c r="I19" s="64">
        <v>3.9</v>
      </c>
      <c r="J19" s="64">
        <v>0.17</v>
      </c>
      <c r="K19" s="64">
        <v>136.62</v>
      </c>
      <c r="L19" s="64">
        <v>19.170000000000002</v>
      </c>
      <c r="M19" s="64">
        <v>93.88</v>
      </c>
      <c r="N19" s="64">
        <v>35.9</v>
      </c>
      <c r="O19" s="64">
        <v>0</v>
      </c>
      <c r="P19" s="64">
        <v>0.66</v>
      </c>
      <c r="Q19" s="64">
        <v>9.52</v>
      </c>
      <c r="R19" s="198"/>
      <c r="S19" s="198"/>
      <c r="T19" s="198"/>
      <c r="U19" s="198"/>
    </row>
    <row r="20" spans="1:21" s="12" customFormat="1" x14ac:dyDescent="0.25">
      <c r="A20" s="215" t="s">
        <v>545</v>
      </c>
      <c r="B20" s="211" t="s">
        <v>43</v>
      </c>
      <c r="C20" s="211" t="s">
        <v>43</v>
      </c>
      <c r="D20" s="211" t="s">
        <v>43</v>
      </c>
      <c r="E20" s="64">
        <v>3.53</v>
      </c>
      <c r="F20" s="64">
        <v>7.33</v>
      </c>
      <c r="G20" s="64">
        <v>44.99</v>
      </c>
      <c r="H20" s="64">
        <v>37.19</v>
      </c>
      <c r="I20" s="64">
        <v>3.89</v>
      </c>
      <c r="J20" s="64">
        <v>1.5</v>
      </c>
      <c r="K20" s="64">
        <v>175.56</v>
      </c>
      <c r="L20" s="64">
        <v>19.12</v>
      </c>
      <c r="M20" s="64">
        <v>93.4</v>
      </c>
      <c r="N20" s="64">
        <v>35.5</v>
      </c>
      <c r="O20" s="64">
        <v>0</v>
      </c>
      <c r="P20" s="64">
        <v>0.65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5" t="s">
        <v>546</v>
      </c>
      <c r="B21" s="211" t="s">
        <v>43</v>
      </c>
      <c r="C21" s="211" t="s">
        <v>43</v>
      </c>
      <c r="D21" s="211" t="s">
        <v>43</v>
      </c>
      <c r="E21" s="64">
        <v>3.88</v>
      </c>
      <c r="F21" s="64">
        <v>7.49</v>
      </c>
      <c r="G21" s="64">
        <v>44.99</v>
      </c>
      <c r="H21" s="64">
        <v>37.19</v>
      </c>
      <c r="I21" s="64">
        <v>3.89</v>
      </c>
      <c r="J21" s="64">
        <v>0.33</v>
      </c>
      <c r="K21" s="64">
        <v>22.19</v>
      </c>
      <c r="L21" s="64">
        <v>19.09</v>
      </c>
      <c r="M21" s="64">
        <v>93.56</v>
      </c>
      <c r="N21" s="64">
        <v>35.799999999999997</v>
      </c>
      <c r="O21" s="64">
        <v>0</v>
      </c>
      <c r="P21" s="64">
        <v>0.64</v>
      </c>
      <c r="Q21" s="64">
        <v>9.5299999999999994</v>
      </c>
      <c r="R21" s="198"/>
      <c r="S21" s="198"/>
      <c r="T21" s="198"/>
      <c r="U21" s="198"/>
    </row>
    <row r="22" spans="1:21" s="12" customFormat="1" x14ac:dyDescent="0.25">
      <c r="A22" s="215" t="s">
        <v>547</v>
      </c>
      <c r="B22" s="211" t="s">
        <v>43</v>
      </c>
      <c r="C22" s="211" t="s">
        <v>43</v>
      </c>
      <c r="D22" s="211" t="s">
        <v>43</v>
      </c>
      <c r="E22" s="64">
        <v>3.51</v>
      </c>
      <c r="F22" s="64">
        <v>8.0500000000000007</v>
      </c>
      <c r="G22" s="64">
        <v>44.99</v>
      </c>
      <c r="H22" s="64">
        <v>37.19</v>
      </c>
      <c r="I22" s="64">
        <v>4.05</v>
      </c>
      <c r="J22" s="64">
        <v>0.88</v>
      </c>
      <c r="K22" s="64">
        <v>277.54000000000002</v>
      </c>
      <c r="L22" s="64">
        <v>18.93</v>
      </c>
      <c r="M22" s="64">
        <v>94.84</v>
      </c>
      <c r="N22" s="64">
        <v>35.700000000000003</v>
      </c>
      <c r="O22" s="64">
        <v>0</v>
      </c>
      <c r="P22" s="64">
        <v>0.63</v>
      </c>
      <c r="Q22" s="64">
        <v>9.52</v>
      </c>
      <c r="R22" s="198"/>
      <c r="S22" s="198"/>
      <c r="T22" s="198"/>
      <c r="U22" s="198"/>
    </row>
    <row r="23" spans="1:21" s="12" customFormat="1" x14ac:dyDescent="0.25">
      <c r="A23" s="215" t="s">
        <v>548</v>
      </c>
      <c r="B23" s="211" t="s">
        <v>43</v>
      </c>
      <c r="C23" s="211" t="s">
        <v>43</v>
      </c>
      <c r="D23" s="211" t="s">
        <v>43</v>
      </c>
      <c r="E23" s="64">
        <v>3.47</v>
      </c>
      <c r="F23" s="64">
        <v>7.77</v>
      </c>
      <c r="G23" s="64">
        <v>37.53</v>
      </c>
      <c r="H23" s="64">
        <v>28.35</v>
      </c>
      <c r="I23" s="64">
        <v>3.96</v>
      </c>
      <c r="J23" s="64">
        <v>0.6</v>
      </c>
      <c r="K23" s="64">
        <v>231.5</v>
      </c>
      <c r="L23" s="64">
        <v>18.920000000000002</v>
      </c>
      <c r="M23" s="64">
        <v>94.81</v>
      </c>
      <c r="N23" s="64">
        <v>35.4</v>
      </c>
      <c r="O23" s="64">
        <v>0</v>
      </c>
      <c r="P23" s="64">
        <v>0.63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5" t="s">
        <v>549</v>
      </c>
      <c r="B24" s="211" t="s">
        <v>43</v>
      </c>
      <c r="C24" s="211" t="s">
        <v>43</v>
      </c>
      <c r="D24" s="211" t="s">
        <v>43</v>
      </c>
      <c r="E24" s="64">
        <v>3.17</v>
      </c>
      <c r="F24" s="64">
        <v>7.78</v>
      </c>
      <c r="G24" s="64">
        <v>29.37</v>
      </c>
      <c r="H24" s="64">
        <v>18.68</v>
      </c>
      <c r="I24" s="64">
        <v>3.9</v>
      </c>
      <c r="J24" s="64">
        <v>0.84</v>
      </c>
      <c r="K24" s="64">
        <v>195.23</v>
      </c>
      <c r="L24" s="64">
        <v>18.79</v>
      </c>
      <c r="M24" s="64">
        <v>96.18</v>
      </c>
      <c r="N24" s="64">
        <v>35.5</v>
      </c>
      <c r="O24" s="64">
        <v>0</v>
      </c>
      <c r="P24" s="64">
        <v>0.63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5" t="s">
        <v>550</v>
      </c>
      <c r="B25" s="211" t="s">
        <v>43</v>
      </c>
      <c r="C25" s="211" t="s">
        <v>43</v>
      </c>
      <c r="D25" s="211" t="s">
        <v>43</v>
      </c>
      <c r="E25" s="64">
        <v>3.28</v>
      </c>
      <c r="F25" s="64">
        <v>6.89</v>
      </c>
      <c r="G25" s="64">
        <v>29.37</v>
      </c>
      <c r="H25" s="64">
        <v>18.68</v>
      </c>
      <c r="I25" s="64">
        <v>3.94</v>
      </c>
      <c r="J25" s="64">
        <v>1.21</v>
      </c>
      <c r="K25" s="64">
        <v>185.3</v>
      </c>
      <c r="L25" s="64">
        <v>18.8</v>
      </c>
      <c r="M25" s="64">
        <v>97.05</v>
      </c>
      <c r="N25" s="64">
        <v>35.6</v>
      </c>
      <c r="O25" s="64">
        <v>0</v>
      </c>
      <c r="P25" s="64">
        <v>0.63</v>
      </c>
      <c r="Q25" s="64">
        <v>9.5500000000000007</v>
      </c>
      <c r="R25" s="198"/>
      <c r="S25" s="198"/>
      <c r="T25" s="198"/>
      <c r="U25" s="198"/>
    </row>
    <row r="26" spans="1:21" s="12" customFormat="1" x14ac:dyDescent="0.25">
      <c r="A26" s="215" t="s">
        <v>551</v>
      </c>
      <c r="B26" s="211" t="s">
        <v>43</v>
      </c>
      <c r="C26" s="211" t="s">
        <v>43</v>
      </c>
      <c r="D26" s="211" t="s">
        <v>43</v>
      </c>
      <c r="E26" s="64">
        <v>3.31</v>
      </c>
      <c r="F26" s="64">
        <v>6.25</v>
      </c>
      <c r="G26" s="64">
        <v>29.37</v>
      </c>
      <c r="H26" s="64">
        <v>18.68</v>
      </c>
      <c r="I26" s="64">
        <v>3.92</v>
      </c>
      <c r="J26" s="64">
        <v>1.67</v>
      </c>
      <c r="K26" s="64">
        <v>299.41000000000003</v>
      </c>
      <c r="L26" s="64">
        <v>18.66</v>
      </c>
      <c r="M26" s="64">
        <v>99.25</v>
      </c>
      <c r="N26" s="64">
        <v>35.799999999999997</v>
      </c>
      <c r="O26" s="64">
        <v>0</v>
      </c>
      <c r="P26" s="64">
        <v>0.62</v>
      </c>
      <c r="Q26" s="64">
        <v>9.51</v>
      </c>
      <c r="R26" s="198"/>
      <c r="S26" s="198"/>
      <c r="T26" s="198"/>
      <c r="U26" s="198"/>
    </row>
    <row r="27" spans="1:21" s="12" customFormat="1" x14ac:dyDescent="0.25">
      <c r="A27" s="215" t="s">
        <v>552</v>
      </c>
      <c r="B27" s="211" t="s">
        <v>43</v>
      </c>
      <c r="C27" s="211" t="s">
        <v>43</v>
      </c>
      <c r="D27" s="211" t="s">
        <v>43</v>
      </c>
      <c r="E27" s="64">
        <v>3.48</v>
      </c>
      <c r="F27" s="64">
        <v>6.76</v>
      </c>
      <c r="G27" s="64">
        <v>35.340000000000003</v>
      </c>
      <c r="H27" s="64">
        <v>26.46</v>
      </c>
      <c r="I27" s="64">
        <v>3.96</v>
      </c>
      <c r="J27" s="64">
        <v>1.85</v>
      </c>
      <c r="K27" s="64">
        <v>292.2</v>
      </c>
      <c r="L27" s="64">
        <v>18.579999999999998</v>
      </c>
      <c r="M27" s="64">
        <v>100.23</v>
      </c>
      <c r="N27" s="64">
        <v>35.5</v>
      </c>
      <c r="O27" s="64">
        <v>0</v>
      </c>
      <c r="P27" s="64">
        <v>0.62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15" t="s">
        <v>553</v>
      </c>
      <c r="B28" s="211" t="s">
        <v>43</v>
      </c>
      <c r="C28" s="211" t="s">
        <v>43</v>
      </c>
      <c r="D28" s="211" t="s">
        <v>43</v>
      </c>
      <c r="E28" s="64">
        <v>3.18</v>
      </c>
      <c r="F28" s="64">
        <v>6.9</v>
      </c>
      <c r="G28" s="64">
        <v>41.86</v>
      </c>
      <c r="H28" s="64">
        <v>34.97</v>
      </c>
      <c r="I28" s="64">
        <v>3.9</v>
      </c>
      <c r="J28" s="64">
        <v>2.13</v>
      </c>
      <c r="K28" s="64">
        <v>298.12</v>
      </c>
      <c r="L28" s="64">
        <v>18.68</v>
      </c>
      <c r="M28" s="64">
        <v>99.98</v>
      </c>
      <c r="N28" s="64">
        <v>35.5</v>
      </c>
      <c r="O28" s="64">
        <v>0</v>
      </c>
      <c r="P28" s="64">
        <v>0.62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5" t="s">
        <v>554</v>
      </c>
      <c r="B29" s="211" t="s">
        <v>43</v>
      </c>
      <c r="C29" s="211" t="s">
        <v>43</v>
      </c>
      <c r="D29" s="211" t="s">
        <v>43</v>
      </c>
      <c r="E29" s="64">
        <v>3.44</v>
      </c>
      <c r="F29" s="64">
        <v>6.39</v>
      </c>
      <c r="G29" s="64">
        <v>41.86</v>
      </c>
      <c r="H29" s="64">
        <v>34.97</v>
      </c>
      <c r="I29" s="64">
        <v>3.95</v>
      </c>
      <c r="J29" s="64">
        <v>2.21</v>
      </c>
      <c r="K29" s="64">
        <v>299.85000000000002</v>
      </c>
      <c r="L29" s="64">
        <v>18.71</v>
      </c>
      <c r="M29" s="64">
        <v>99.3</v>
      </c>
      <c r="N29" s="64">
        <v>35.5</v>
      </c>
      <c r="O29" s="64">
        <v>0</v>
      </c>
      <c r="P29" s="64">
        <v>0.62</v>
      </c>
      <c r="Q29" s="64">
        <v>9.5399999999999991</v>
      </c>
      <c r="R29" s="198"/>
      <c r="S29" s="198"/>
      <c r="T29" s="198"/>
      <c r="U29" s="198"/>
    </row>
    <row r="30" spans="1:21" s="12" customFormat="1" x14ac:dyDescent="0.25">
      <c r="A30" s="215" t="s">
        <v>555</v>
      </c>
      <c r="B30" s="211" t="s">
        <v>43</v>
      </c>
      <c r="C30" s="211" t="s">
        <v>43</v>
      </c>
      <c r="D30" s="211" t="s">
        <v>43</v>
      </c>
      <c r="E30" s="64">
        <v>3.11</v>
      </c>
      <c r="F30" s="64">
        <v>5.71</v>
      </c>
      <c r="G30" s="64">
        <v>41.86</v>
      </c>
      <c r="H30" s="64">
        <v>34.97</v>
      </c>
      <c r="I30" s="64">
        <v>3.9</v>
      </c>
      <c r="J30" s="64">
        <v>2.17</v>
      </c>
      <c r="K30" s="64">
        <v>310.33</v>
      </c>
      <c r="L30" s="64">
        <v>18.82</v>
      </c>
      <c r="M30" s="64">
        <v>98.63</v>
      </c>
      <c r="N30" s="64">
        <v>35.5</v>
      </c>
      <c r="O30" s="64">
        <v>0</v>
      </c>
      <c r="P30" s="64">
        <v>0.62</v>
      </c>
      <c r="Q30" s="64">
        <v>9.5500000000000007</v>
      </c>
      <c r="R30" s="198"/>
      <c r="S30" s="198"/>
      <c r="T30" s="198"/>
      <c r="U30" s="198"/>
    </row>
    <row r="31" spans="1:21" s="12" customFormat="1" x14ac:dyDescent="0.25">
      <c r="A31" s="215" t="s">
        <v>556</v>
      </c>
      <c r="B31" s="211" t="s">
        <v>43</v>
      </c>
      <c r="C31" s="211" t="s">
        <v>43</v>
      </c>
      <c r="D31" s="211" t="s">
        <v>43</v>
      </c>
      <c r="E31" s="64">
        <v>2.98</v>
      </c>
      <c r="F31" s="64">
        <v>5.94</v>
      </c>
      <c r="G31" s="64">
        <v>43.16</v>
      </c>
      <c r="H31" s="64">
        <v>28.06</v>
      </c>
      <c r="I31" s="64">
        <v>3.99</v>
      </c>
      <c r="J31" s="64">
        <v>2.4</v>
      </c>
      <c r="K31" s="64">
        <v>322.39</v>
      </c>
      <c r="L31" s="64">
        <v>18.82</v>
      </c>
      <c r="M31" s="64">
        <v>97.86</v>
      </c>
      <c r="N31" s="64">
        <v>35.799999999999997</v>
      </c>
      <c r="O31" s="64">
        <v>0</v>
      </c>
      <c r="P31" s="64">
        <v>0.64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5" t="s">
        <v>557</v>
      </c>
      <c r="B32" s="211" t="s">
        <v>43</v>
      </c>
      <c r="C32" s="211" t="s">
        <v>43</v>
      </c>
      <c r="D32" s="211" t="s">
        <v>43</v>
      </c>
      <c r="E32" s="64">
        <v>3.13</v>
      </c>
      <c r="F32" s="64">
        <v>6.89</v>
      </c>
      <c r="G32" s="64">
        <v>44.59</v>
      </c>
      <c r="H32" s="64">
        <v>20.51</v>
      </c>
      <c r="I32" s="64">
        <v>3.97</v>
      </c>
      <c r="J32" s="64">
        <v>2.67</v>
      </c>
      <c r="K32" s="64">
        <v>334.33</v>
      </c>
      <c r="L32" s="64">
        <v>18.850000000000001</v>
      </c>
      <c r="M32" s="64">
        <v>96.95</v>
      </c>
      <c r="N32" s="64">
        <v>38.1</v>
      </c>
      <c r="O32" s="64">
        <v>0</v>
      </c>
      <c r="P32" s="64">
        <v>0.65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5" t="s">
        <v>558</v>
      </c>
      <c r="B33" s="211" t="s">
        <v>43</v>
      </c>
      <c r="C33" s="211" t="s">
        <v>43</v>
      </c>
      <c r="D33" s="211" t="s">
        <v>43</v>
      </c>
      <c r="E33" s="64">
        <v>3.14</v>
      </c>
      <c r="F33" s="64">
        <v>7.66</v>
      </c>
      <c r="G33" s="64">
        <v>44.59</v>
      </c>
      <c r="H33" s="64">
        <v>20.51</v>
      </c>
      <c r="I33" s="64">
        <v>4.0999999999999996</v>
      </c>
      <c r="J33" s="64">
        <v>2.37</v>
      </c>
      <c r="K33" s="64">
        <v>325.04000000000002</v>
      </c>
      <c r="L33" s="64">
        <v>18.88</v>
      </c>
      <c r="M33" s="64">
        <v>95.19</v>
      </c>
      <c r="N33" s="64">
        <v>42.9</v>
      </c>
      <c r="O33" s="64">
        <v>0</v>
      </c>
      <c r="P33" s="64">
        <v>0.65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5" t="s">
        <v>559</v>
      </c>
      <c r="B34" s="211" t="s">
        <v>43</v>
      </c>
      <c r="C34" s="211" t="s">
        <v>43</v>
      </c>
      <c r="D34" s="211" t="s">
        <v>43</v>
      </c>
      <c r="E34" s="64">
        <v>3.19</v>
      </c>
      <c r="F34" s="64">
        <v>7.62</v>
      </c>
      <c r="G34" s="64">
        <v>44.59</v>
      </c>
      <c r="H34" s="64">
        <v>20.51</v>
      </c>
      <c r="I34" s="64">
        <v>4.0199999999999996</v>
      </c>
      <c r="J34" s="64">
        <v>2.2599999999999998</v>
      </c>
      <c r="K34" s="64">
        <v>323.39999999999998</v>
      </c>
      <c r="L34" s="64">
        <v>19.010000000000002</v>
      </c>
      <c r="M34" s="64">
        <v>93.73</v>
      </c>
      <c r="N34" s="64">
        <v>49.4</v>
      </c>
      <c r="O34" s="64">
        <v>0</v>
      </c>
      <c r="P34" s="64">
        <v>0.66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5" t="s">
        <v>560</v>
      </c>
      <c r="B35" s="211" t="s">
        <v>43</v>
      </c>
      <c r="C35" s="211" t="s">
        <v>43</v>
      </c>
      <c r="D35" s="211" t="s">
        <v>43</v>
      </c>
      <c r="E35" s="64">
        <v>3.18</v>
      </c>
      <c r="F35" s="64">
        <v>7.3</v>
      </c>
      <c r="G35" s="64">
        <v>51.07</v>
      </c>
      <c r="H35" s="64">
        <v>23.11</v>
      </c>
      <c r="I35" s="64">
        <v>4.03</v>
      </c>
      <c r="J35" s="64">
        <v>2.1800000000000002</v>
      </c>
      <c r="K35" s="64">
        <v>322.27</v>
      </c>
      <c r="L35" s="64">
        <v>19.14</v>
      </c>
      <c r="M35" s="64">
        <v>92.76</v>
      </c>
      <c r="N35" s="64">
        <v>67</v>
      </c>
      <c r="O35" s="64">
        <v>0</v>
      </c>
      <c r="P35" s="64">
        <v>0.67</v>
      </c>
      <c r="Q35" s="64">
        <v>9.51</v>
      </c>
      <c r="R35" s="198"/>
      <c r="S35" s="198"/>
      <c r="T35" s="198"/>
      <c r="U35" s="198"/>
    </row>
    <row r="36" spans="1:21" s="12" customFormat="1" x14ac:dyDescent="0.25">
      <c r="A36" s="215" t="s">
        <v>561</v>
      </c>
      <c r="B36" s="211" t="s">
        <v>43</v>
      </c>
      <c r="C36" s="211" t="s">
        <v>43</v>
      </c>
      <c r="D36" s="211" t="s">
        <v>43</v>
      </c>
      <c r="E36" s="64">
        <v>3.17</v>
      </c>
      <c r="F36" s="64">
        <v>6.51</v>
      </c>
      <c r="G36" s="64">
        <v>58.16</v>
      </c>
      <c r="H36" s="64">
        <v>25.76</v>
      </c>
      <c r="I36" s="64">
        <v>3.97</v>
      </c>
      <c r="J36" s="64">
        <v>2.36</v>
      </c>
      <c r="K36" s="64">
        <v>330.2</v>
      </c>
      <c r="L36" s="64">
        <v>19.46</v>
      </c>
      <c r="M36" s="64">
        <v>89.64</v>
      </c>
      <c r="N36" s="64">
        <v>87.8</v>
      </c>
      <c r="O36" s="64">
        <v>0</v>
      </c>
      <c r="P36" s="64">
        <v>0.68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15" t="s">
        <v>562</v>
      </c>
      <c r="B37" s="211" t="s">
        <v>43</v>
      </c>
      <c r="C37" s="211" t="s">
        <v>43</v>
      </c>
      <c r="D37" s="211" t="s">
        <v>43</v>
      </c>
      <c r="E37" s="64">
        <v>3.44</v>
      </c>
      <c r="F37" s="64">
        <v>6.46</v>
      </c>
      <c r="G37" s="64">
        <v>58.16</v>
      </c>
      <c r="H37" s="64">
        <v>25.76</v>
      </c>
      <c r="I37" s="64">
        <v>4.1900000000000004</v>
      </c>
      <c r="J37" s="64">
        <v>2.12</v>
      </c>
      <c r="K37" s="64">
        <v>313.32</v>
      </c>
      <c r="L37" s="64">
        <v>19.920000000000002</v>
      </c>
      <c r="M37" s="64">
        <v>86.56</v>
      </c>
      <c r="N37" s="64">
        <v>118.1</v>
      </c>
      <c r="O37" s="64">
        <v>0</v>
      </c>
      <c r="P37" s="64">
        <v>0.69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15" t="s">
        <v>563</v>
      </c>
      <c r="B38" s="211" t="s">
        <v>43</v>
      </c>
      <c r="C38" s="211" t="s">
        <v>43</v>
      </c>
      <c r="D38" s="211" t="s">
        <v>43</v>
      </c>
      <c r="E38" s="64">
        <v>3.97</v>
      </c>
      <c r="F38" s="64">
        <v>6.43</v>
      </c>
      <c r="G38" s="64">
        <v>58.16</v>
      </c>
      <c r="H38" s="64">
        <v>25.76</v>
      </c>
      <c r="I38" s="64">
        <v>4</v>
      </c>
      <c r="J38" s="64">
        <v>2.21</v>
      </c>
      <c r="K38" s="64">
        <v>318.25</v>
      </c>
      <c r="L38" s="64">
        <v>20.37</v>
      </c>
      <c r="M38" s="64">
        <v>83</v>
      </c>
      <c r="N38" s="64">
        <v>122.2</v>
      </c>
      <c r="O38" s="64">
        <v>0</v>
      </c>
      <c r="P38" s="64">
        <v>0.72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5" t="s">
        <v>564</v>
      </c>
      <c r="B39" s="211" t="s">
        <v>43</v>
      </c>
      <c r="C39" s="211" t="s">
        <v>43</v>
      </c>
      <c r="D39" s="211" t="s">
        <v>43</v>
      </c>
      <c r="E39" s="64">
        <v>3.58</v>
      </c>
      <c r="F39" s="64">
        <v>7.03</v>
      </c>
      <c r="G39" s="64">
        <v>57.3</v>
      </c>
      <c r="H39" s="64">
        <v>15.67</v>
      </c>
      <c r="I39" s="64">
        <v>4.16</v>
      </c>
      <c r="J39" s="64">
        <v>2.2200000000000002</v>
      </c>
      <c r="K39" s="64">
        <v>312.79000000000002</v>
      </c>
      <c r="L39" s="64">
        <v>20.92</v>
      </c>
      <c r="M39" s="64">
        <v>78.63</v>
      </c>
      <c r="N39" s="64">
        <v>159</v>
      </c>
      <c r="O39" s="64">
        <v>0</v>
      </c>
      <c r="P39" s="64">
        <v>0.72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5" t="s">
        <v>565</v>
      </c>
      <c r="B40" s="211" t="s">
        <v>43</v>
      </c>
      <c r="C40" s="211" t="s">
        <v>43</v>
      </c>
      <c r="D40" s="211" t="s">
        <v>43</v>
      </c>
      <c r="E40" s="64">
        <v>2.35</v>
      </c>
      <c r="F40" s="64">
        <v>6.93</v>
      </c>
      <c r="G40" s="64">
        <v>56.35</v>
      </c>
      <c r="H40" s="6" t="s">
        <v>42</v>
      </c>
      <c r="I40" s="64">
        <v>3.93</v>
      </c>
      <c r="J40" s="64">
        <v>2.0099999999999998</v>
      </c>
      <c r="K40" s="64">
        <v>313.52</v>
      </c>
      <c r="L40" s="64">
        <v>21.51</v>
      </c>
      <c r="M40" s="64">
        <v>75.650000000000006</v>
      </c>
      <c r="N40" s="64">
        <v>159</v>
      </c>
      <c r="O40" s="64">
        <v>0</v>
      </c>
      <c r="P40" s="64">
        <v>0.74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5" t="s">
        <v>566</v>
      </c>
      <c r="B41" s="211" t="s">
        <v>43</v>
      </c>
      <c r="C41" s="211" t="s">
        <v>43</v>
      </c>
      <c r="D41" s="211" t="s">
        <v>43</v>
      </c>
      <c r="E41" s="64">
        <v>2.2599999999999998</v>
      </c>
      <c r="F41" s="64">
        <v>7.21</v>
      </c>
      <c r="G41" s="64">
        <v>56.35</v>
      </c>
      <c r="H41" s="6" t="s">
        <v>42</v>
      </c>
      <c r="I41" s="64">
        <v>4.0199999999999996</v>
      </c>
      <c r="J41" s="64">
        <v>1.88</v>
      </c>
      <c r="K41" s="64">
        <v>331.96</v>
      </c>
      <c r="L41" s="64">
        <v>21.92</v>
      </c>
      <c r="M41" s="64">
        <v>74.12</v>
      </c>
      <c r="N41" s="64">
        <v>168.2</v>
      </c>
      <c r="O41" s="64">
        <v>0</v>
      </c>
      <c r="P41" s="64">
        <v>0.76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5" t="s">
        <v>567</v>
      </c>
      <c r="B42" s="211" t="s">
        <v>43</v>
      </c>
      <c r="C42" s="211" t="s">
        <v>43</v>
      </c>
      <c r="D42" s="211" t="s">
        <v>43</v>
      </c>
      <c r="E42" s="64">
        <v>2.76</v>
      </c>
      <c r="F42" s="64">
        <v>6.85</v>
      </c>
      <c r="G42" s="64">
        <v>56.35</v>
      </c>
      <c r="H42" s="6" t="s">
        <v>42</v>
      </c>
      <c r="I42" s="64">
        <v>4.1100000000000003</v>
      </c>
      <c r="J42" s="64">
        <v>2.0499999999999998</v>
      </c>
      <c r="K42" s="64">
        <v>316.25</v>
      </c>
      <c r="L42" s="64">
        <v>22.75</v>
      </c>
      <c r="M42" s="64">
        <v>70.540000000000006</v>
      </c>
      <c r="N42" s="64">
        <v>240.8</v>
      </c>
      <c r="O42" s="64">
        <v>0</v>
      </c>
      <c r="P42" s="64">
        <v>0.77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15" t="s">
        <v>568</v>
      </c>
      <c r="B43" s="211" t="s">
        <v>43</v>
      </c>
      <c r="C43" s="211" t="s">
        <v>43</v>
      </c>
      <c r="D43" s="211" t="s">
        <v>43</v>
      </c>
      <c r="E43" s="64">
        <v>2.5</v>
      </c>
      <c r="F43" s="64">
        <v>6.97</v>
      </c>
      <c r="G43" s="64">
        <v>57.9</v>
      </c>
      <c r="H43" s="6" t="s">
        <v>42</v>
      </c>
      <c r="I43" s="64">
        <v>4.12</v>
      </c>
      <c r="J43" s="64">
        <v>2.4700000000000002</v>
      </c>
      <c r="K43" s="64">
        <v>331.5</v>
      </c>
      <c r="L43" s="64">
        <v>23.47</v>
      </c>
      <c r="M43" s="64">
        <v>67.34</v>
      </c>
      <c r="N43" s="64">
        <v>305.3</v>
      </c>
      <c r="O43" s="64">
        <v>0</v>
      </c>
      <c r="P43" s="64">
        <v>0.79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15" t="s">
        <v>569</v>
      </c>
      <c r="B44" s="211" t="s">
        <v>43</v>
      </c>
      <c r="C44" s="211" t="s">
        <v>43</v>
      </c>
      <c r="D44" s="211" t="s">
        <v>43</v>
      </c>
      <c r="E44" s="64">
        <v>2.62</v>
      </c>
      <c r="F44" s="64">
        <v>6.95</v>
      </c>
      <c r="G44" s="64">
        <v>59.6</v>
      </c>
      <c r="H44" s="6" t="s">
        <v>42</v>
      </c>
      <c r="I44" s="64">
        <v>4.07</v>
      </c>
      <c r="J44" s="64">
        <v>2.73</v>
      </c>
      <c r="K44" s="64">
        <v>333.84</v>
      </c>
      <c r="L44" s="64">
        <v>24.45</v>
      </c>
      <c r="M44" s="64">
        <v>63.29</v>
      </c>
      <c r="N44" s="64">
        <v>259.3</v>
      </c>
      <c r="O44" s="64">
        <v>0</v>
      </c>
      <c r="P44" s="64">
        <v>0.8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5" t="s">
        <v>570</v>
      </c>
      <c r="B45" s="211" t="s">
        <v>43</v>
      </c>
      <c r="C45" s="211" t="s">
        <v>43</v>
      </c>
      <c r="D45" s="211" t="s">
        <v>43</v>
      </c>
      <c r="E45" s="64">
        <v>2.33</v>
      </c>
      <c r="F45" s="64">
        <v>7.43</v>
      </c>
      <c r="G45" s="64">
        <v>59.6</v>
      </c>
      <c r="H45" s="6" t="s">
        <v>42</v>
      </c>
      <c r="I45" s="64">
        <v>3.85</v>
      </c>
      <c r="J45" s="64">
        <v>2.36</v>
      </c>
      <c r="K45" s="64">
        <v>324.52999999999997</v>
      </c>
      <c r="L45" s="64">
        <v>24.2</v>
      </c>
      <c r="M45" s="64">
        <v>65.010000000000005</v>
      </c>
      <c r="N45" s="64">
        <v>305.5</v>
      </c>
      <c r="O45" s="64">
        <v>0</v>
      </c>
      <c r="P45" s="64">
        <v>0.8</v>
      </c>
      <c r="Q45" s="64">
        <v>9.5399999999999991</v>
      </c>
      <c r="R45" s="198"/>
      <c r="S45" s="198"/>
      <c r="T45" s="198"/>
      <c r="U45" s="198"/>
    </row>
    <row r="46" spans="1:21" s="12" customFormat="1" x14ac:dyDescent="0.25">
      <c r="A46" s="215" t="s">
        <v>571</v>
      </c>
      <c r="B46" s="211" t="s">
        <v>43</v>
      </c>
      <c r="C46" s="211" t="s">
        <v>43</v>
      </c>
      <c r="D46" s="211" t="s">
        <v>43</v>
      </c>
      <c r="E46" s="64">
        <v>2.64</v>
      </c>
      <c r="F46" s="64">
        <v>8.9700000000000006</v>
      </c>
      <c r="G46" s="64">
        <v>59.6</v>
      </c>
      <c r="H46" s="6" t="s">
        <v>42</v>
      </c>
      <c r="I46" s="64">
        <v>4.04</v>
      </c>
      <c r="J46" s="64">
        <v>2.04</v>
      </c>
      <c r="K46" s="64">
        <v>320.2</v>
      </c>
      <c r="L46" s="64">
        <v>25.38</v>
      </c>
      <c r="M46" s="64">
        <v>61.69</v>
      </c>
      <c r="N46" s="64">
        <v>372.1</v>
      </c>
      <c r="O46" s="64">
        <v>0</v>
      </c>
      <c r="P46" s="64">
        <v>0.81</v>
      </c>
      <c r="Q46" s="64">
        <v>9.5399999999999991</v>
      </c>
      <c r="R46" s="198"/>
      <c r="S46" s="198"/>
      <c r="T46" s="198"/>
      <c r="U46" s="198"/>
    </row>
    <row r="47" spans="1:21" s="12" customFormat="1" x14ac:dyDescent="0.25">
      <c r="A47" s="215" t="s">
        <v>572</v>
      </c>
      <c r="B47" s="211" t="s">
        <v>43</v>
      </c>
      <c r="C47" s="211" t="s">
        <v>43</v>
      </c>
      <c r="D47" s="211" t="s">
        <v>43</v>
      </c>
      <c r="E47" s="64">
        <v>2.82</v>
      </c>
      <c r="F47" s="64">
        <v>10.94</v>
      </c>
      <c r="G47" s="64">
        <v>60.39</v>
      </c>
      <c r="H47" s="6" t="s">
        <v>42</v>
      </c>
      <c r="I47" s="64">
        <v>4.01</v>
      </c>
      <c r="J47" s="64">
        <v>2.0299999999999998</v>
      </c>
      <c r="K47" s="64">
        <v>320.33999999999997</v>
      </c>
      <c r="L47" s="64">
        <v>26.12</v>
      </c>
      <c r="M47" s="64">
        <v>56.91</v>
      </c>
      <c r="N47" s="64">
        <v>323.60000000000002</v>
      </c>
      <c r="O47" s="64">
        <v>0</v>
      </c>
      <c r="P47" s="64">
        <v>0.84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5" t="s">
        <v>573</v>
      </c>
      <c r="B48" s="211" t="s">
        <v>43</v>
      </c>
      <c r="C48" s="211" t="s">
        <v>43</v>
      </c>
      <c r="D48" s="211" t="s">
        <v>43</v>
      </c>
      <c r="E48" s="64">
        <v>2.21</v>
      </c>
      <c r="F48" s="64">
        <v>7.5</v>
      </c>
      <c r="G48" s="64">
        <v>61.26</v>
      </c>
      <c r="H48" s="6" t="s">
        <v>42</v>
      </c>
      <c r="I48" s="64">
        <v>3.88</v>
      </c>
      <c r="J48" s="64">
        <v>2.11</v>
      </c>
      <c r="K48" s="64">
        <v>305.11</v>
      </c>
      <c r="L48" s="64">
        <v>26.3</v>
      </c>
      <c r="M48" s="64">
        <v>52.25</v>
      </c>
      <c r="N48" s="64">
        <v>308.2</v>
      </c>
      <c r="O48" s="64">
        <v>0</v>
      </c>
      <c r="P48" s="64">
        <v>0.82</v>
      </c>
      <c r="Q48" s="64">
        <v>9.57</v>
      </c>
      <c r="R48" s="198"/>
      <c r="S48" s="198"/>
      <c r="T48" s="198"/>
      <c r="U48" s="198"/>
    </row>
    <row r="49" spans="1:21" s="12" customFormat="1" x14ac:dyDescent="0.25">
      <c r="A49" s="215" t="s">
        <v>574</v>
      </c>
      <c r="B49" s="211" t="s">
        <v>43</v>
      </c>
      <c r="C49" s="211" t="s">
        <v>43</v>
      </c>
      <c r="D49" s="211" t="s">
        <v>43</v>
      </c>
      <c r="E49" s="64">
        <v>1.97</v>
      </c>
      <c r="F49" s="64">
        <v>7.46</v>
      </c>
      <c r="G49" s="64">
        <v>61.26</v>
      </c>
      <c r="H49" s="6" t="s">
        <v>42</v>
      </c>
      <c r="I49" s="64">
        <v>3.9</v>
      </c>
      <c r="J49" s="64">
        <v>2.61</v>
      </c>
      <c r="K49" s="64">
        <v>308.02</v>
      </c>
      <c r="L49" s="64">
        <v>25.82</v>
      </c>
      <c r="M49" s="64">
        <v>52.76</v>
      </c>
      <c r="N49" s="64">
        <v>347.7</v>
      </c>
      <c r="O49" s="64">
        <v>0</v>
      </c>
      <c r="P49" s="64">
        <v>0.82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5" t="s">
        <v>575</v>
      </c>
      <c r="B50" s="211" t="s">
        <v>43</v>
      </c>
      <c r="C50" s="211" t="s">
        <v>43</v>
      </c>
      <c r="D50" s="211" t="s">
        <v>43</v>
      </c>
      <c r="E50" s="64">
        <v>2.3199999999999998</v>
      </c>
      <c r="F50" s="64">
        <v>8.09</v>
      </c>
      <c r="G50" s="64">
        <v>61.26</v>
      </c>
      <c r="H50" s="6" t="s">
        <v>42</v>
      </c>
      <c r="I50" s="64">
        <v>4.05</v>
      </c>
      <c r="J50" s="64">
        <v>1.84</v>
      </c>
      <c r="K50" s="64">
        <v>294.54000000000002</v>
      </c>
      <c r="L50" s="64">
        <v>26.46</v>
      </c>
      <c r="M50" s="64">
        <v>49.43</v>
      </c>
      <c r="N50" s="64">
        <v>478.8</v>
      </c>
      <c r="O50" s="64">
        <v>0</v>
      </c>
      <c r="P50" s="64">
        <v>0.82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5" t="s">
        <v>576</v>
      </c>
      <c r="B51" s="211" t="s">
        <v>43</v>
      </c>
      <c r="C51" s="211" t="s">
        <v>43</v>
      </c>
      <c r="D51" s="211" t="s">
        <v>43</v>
      </c>
      <c r="E51" s="64">
        <v>2.2400000000000002</v>
      </c>
      <c r="F51" s="64">
        <v>8.2200000000000006</v>
      </c>
      <c r="G51" s="64">
        <v>58.32</v>
      </c>
      <c r="H51" s="6" t="s">
        <v>42</v>
      </c>
      <c r="I51" s="64">
        <v>3.94</v>
      </c>
      <c r="J51" s="64">
        <v>2.0299999999999998</v>
      </c>
      <c r="K51" s="64">
        <v>299.52999999999997</v>
      </c>
      <c r="L51" s="64">
        <v>27.56</v>
      </c>
      <c r="M51" s="64">
        <v>46.21</v>
      </c>
      <c r="N51" s="64">
        <v>621.6</v>
      </c>
      <c r="O51" s="64">
        <v>0</v>
      </c>
      <c r="P51" s="64">
        <v>0.81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5" t="s">
        <v>577</v>
      </c>
      <c r="B52" s="211" t="s">
        <v>43</v>
      </c>
      <c r="C52" s="211" t="s">
        <v>43</v>
      </c>
      <c r="D52" s="211" t="s">
        <v>43</v>
      </c>
      <c r="E52" s="64">
        <v>3.26</v>
      </c>
      <c r="F52" s="64">
        <v>11.46</v>
      </c>
      <c r="G52" s="64">
        <v>55.1</v>
      </c>
      <c r="H52" s="6" t="s">
        <v>42</v>
      </c>
      <c r="I52" s="64">
        <v>4.03</v>
      </c>
      <c r="J52" s="64">
        <v>0.7</v>
      </c>
      <c r="K52" s="64">
        <v>297.26</v>
      </c>
      <c r="L52" s="64">
        <v>27.28</v>
      </c>
      <c r="M52" s="64">
        <v>46.24</v>
      </c>
      <c r="N52" s="64">
        <v>636.70000000000005</v>
      </c>
      <c r="O52" s="64">
        <v>0</v>
      </c>
      <c r="P52" s="64">
        <v>0.75</v>
      </c>
      <c r="Q52" s="64">
        <v>9.5399999999999991</v>
      </c>
      <c r="R52" s="198"/>
      <c r="S52" s="198"/>
      <c r="T52" s="198"/>
      <c r="U52" s="198"/>
    </row>
    <row r="53" spans="1:21" s="12" customFormat="1" x14ac:dyDescent="0.25">
      <c r="A53" s="215" t="s">
        <v>578</v>
      </c>
      <c r="B53" s="211" t="s">
        <v>43</v>
      </c>
      <c r="C53" s="211" t="s">
        <v>43</v>
      </c>
      <c r="D53" s="211" t="s">
        <v>43</v>
      </c>
      <c r="E53" s="64">
        <v>3.47</v>
      </c>
      <c r="F53" s="64">
        <v>12.4</v>
      </c>
      <c r="G53" s="64">
        <v>55.1</v>
      </c>
      <c r="H53" s="6" t="s">
        <v>42</v>
      </c>
      <c r="I53" s="64">
        <v>3.87</v>
      </c>
      <c r="J53" s="64">
        <v>1.1100000000000001</v>
      </c>
      <c r="K53" s="64">
        <v>162.41999999999999</v>
      </c>
      <c r="L53" s="64">
        <v>26.45</v>
      </c>
      <c r="M53" s="64">
        <v>47.34</v>
      </c>
      <c r="N53" s="64">
        <v>569.29999999999995</v>
      </c>
      <c r="O53" s="64">
        <v>0</v>
      </c>
      <c r="P53" s="64">
        <v>0.7</v>
      </c>
      <c r="Q53" s="64">
        <v>9.52</v>
      </c>
      <c r="R53" s="198"/>
      <c r="S53" s="198"/>
      <c r="T53" s="198"/>
      <c r="U53" s="198"/>
    </row>
    <row r="54" spans="1:21" s="12" customFormat="1" x14ac:dyDescent="0.25">
      <c r="A54" s="215" t="s">
        <v>579</v>
      </c>
      <c r="B54" s="211" t="s">
        <v>43</v>
      </c>
      <c r="C54" s="211" t="s">
        <v>43</v>
      </c>
      <c r="D54" s="211" t="s">
        <v>43</v>
      </c>
      <c r="E54" s="64">
        <v>3.12</v>
      </c>
      <c r="F54" s="64">
        <v>8.61</v>
      </c>
      <c r="G54" s="64">
        <v>55.1</v>
      </c>
      <c r="H54" s="6" t="s">
        <v>42</v>
      </c>
      <c r="I54" s="64">
        <v>4.12</v>
      </c>
      <c r="J54" s="64">
        <v>1.25</v>
      </c>
      <c r="K54" s="64">
        <v>193.25</v>
      </c>
      <c r="L54" s="64">
        <v>26.63</v>
      </c>
      <c r="M54" s="64">
        <v>46.53</v>
      </c>
      <c r="N54" s="64">
        <v>480.2</v>
      </c>
      <c r="O54" s="64">
        <v>0</v>
      </c>
      <c r="P54" s="64">
        <v>0.75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5" t="s">
        <v>580</v>
      </c>
      <c r="B55" s="211" t="s">
        <v>43</v>
      </c>
      <c r="C55" s="211" t="s">
        <v>43</v>
      </c>
      <c r="D55" s="211" t="s">
        <v>43</v>
      </c>
      <c r="E55" s="64">
        <v>3.32</v>
      </c>
      <c r="F55" s="64">
        <v>9.77</v>
      </c>
      <c r="G55" s="64">
        <v>53.04</v>
      </c>
      <c r="H55" s="6" t="s">
        <v>42</v>
      </c>
      <c r="I55" s="64">
        <v>4.05</v>
      </c>
      <c r="J55" s="64">
        <v>1.63</v>
      </c>
      <c r="K55" s="64">
        <v>146.79</v>
      </c>
      <c r="L55" s="64">
        <v>26.5</v>
      </c>
      <c r="M55" s="64">
        <v>46.69</v>
      </c>
      <c r="N55" s="64">
        <v>438.6</v>
      </c>
      <c r="O55" s="64">
        <v>0</v>
      </c>
      <c r="P55" s="64">
        <v>0.72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5" t="s">
        <v>581</v>
      </c>
      <c r="B56" s="211" t="s">
        <v>43</v>
      </c>
      <c r="C56" s="211" t="s">
        <v>43</v>
      </c>
      <c r="D56" s="211" t="s">
        <v>43</v>
      </c>
      <c r="E56" s="64">
        <v>3.35</v>
      </c>
      <c r="F56" s="64">
        <v>10.56</v>
      </c>
      <c r="G56" s="64">
        <v>50.78</v>
      </c>
      <c r="H56" s="6" t="s">
        <v>42</v>
      </c>
      <c r="I56" s="64">
        <v>4</v>
      </c>
      <c r="J56" s="64">
        <v>0.61</v>
      </c>
      <c r="K56" s="64">
        <v>281.74</v>
      </c>
      <c r="L56" s="64">
        <v>27.13</v>
      </c>
      <c r="M56" s="64">
        <v>47.34</v>
      </c>
      <c r="N56" s="64">
        <v>466.8</v>
      </c>
      <c r="O56" s="64">
        <v>0</v>
      </c>
      <c r="P56" s="64">
        <v>0.72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5" t="s">
        <v>582</v>
      </c>
      <c r="B57" s="211" t="s">
        <v>43</v>
      </c>
      <c r="C57" s="211" t="s">
        <v>43</v>
      </c>
      <c r="D57" s="211" t="s">
        <v>43</v>
      </c>
      <c r="E57" s="64">
        <v>2.85</v>
      </c>
      <c r="F57" s="64">
        <v>8.76</v>
      </c>
      <c r="G57" s="64">
        <v>50.78</v>
      </c>
      <c r="H57" s="6" t="s">
        <v>42</v>
      </c>
      <c r="I57" s="64">
        <v>3.82</v>
      </c>
      <c r="J57" s="64">
        <v>2.2000000000000002</v>
      </c>
      <c r="K57" s="64">
        <v>314.82</v>
      </c>
      <c r="L57" s="64">
        <v>29.5</v>
      </c>
      <c r="M57" s="64">
        <v>40.700000000000003</v>
      </c>
      <c r="N57" s="64">
        <v>714.7</v>
      </c>
      <c r="O57" s="64">
        <v>0</v>
      </c>
      <c r="P57" s="64">
        <v>0.72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5" t="s">
        <v>583</v>
      </c>
      <c r="B58" s="211" t="s">
        <v>43</v>
      </c>
      <c r="C58" s="211" t="s">
        <v>43</v>
      </c>
      <c r="D58" s="211" t="s">
        <v>43</v>
      </c>
      <c r="E58" s="64">
        <v>2.95</v>
      </c>
      <c r="F58" s="64">
        <v>8.49</v>
      </c>
      <c r="G58" s="64">
        <v>50.78</v>
      </c>
      <c r="H58" s="6" t="s">
        <v>42</v>
      </c>
      <c r="I58" s="64">
        <v>3.98</v>
      </c>
      <c r="J58" s="64">
        <v>2.23</v>
      </c>
      <c r="K58" s="64">
        <v>335.4</v>
      </c>
      <c r="L58" s="64">
        <v>31.41</v>
      </c>
      <c r="M58" s="64">
        <v>35.659999999999997</v>
      </c>
      <c r="N58" s="64">
        <v>699.9</v>
      </c>
      <c r="O58" s="64">
        <v>0</v>
      </c>
      <c r="P58" s="64">
        <v>0.72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5" t="s">
        <v>584</v>
      </c>
      <c r="B59" s="211" t="s">
        <v>43</v>
      </c>
      <c r="C59" s="211" t="s">
        <v>43</v>
      </c>
      <c r="D59" s="211" t="s">
        <v>43</v>
      </c>
      <c r="E59" s="64">
        <v>2.68</v>
      </c>
      <c r="F59" s="64">
        <v>10.51</v>
      </c>
      <c r="G59" s="64">
        <v>50.02</v>
      </c>
      <c r="H59" s="64">
        <v>14.11</v>
      </c>
      <c r="I59" s="64">
        <v>4.0599999999999996</v>
      </c>
      <c r="J59" s="64">
        <v>1.23</v>
      </c>
      <c r="K59" s="64">
        <v>289.95999999999998</v>
      </c>
      <c r="L59" s="64">
        <v>31.07</v>
      </c>
      <c r="M59" s="64">
        <v>35.729999999999997</v>
      </c>
      <c r="N59" s="64">
        <v>465.2</v>
      </c>
      <c r="O59" s="64">
        <v>0</v>
      </c>
      <c r="P59" s="64">
        <v>0.71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5" t="s">
        <v>585</v>
      </c>
      <c r="B60" s="211" t="s">
        <v>43</v>
      </c>
      <c r="C60" s="211" t="s">
        <v>43</v>
      </c>
      <c r="D60" s="211" t="s">
        <v>43</v>
      </c>
      <c r="E60" s="64">
        <v>2.44</v>
      </c>
      <c r="F60" s="64">
        <v>11.43</v>
      </c>
      <c r="G60" s="64">
        <v>49.19</v>
      </c>
      <c r="H60" s="64">
        <v>26.9</v>
      </c>
      <c r="I60" s="64">
        <v>4.1399999999999997</v>
      </c>
      <c r="J60" s="64">
        <v>0.83</v>
      </c>
      <c r="K60" s="64">
        <v>241.62</v>
      </c>
      <c r="L60" s="64">
        <v>29.26</v>
      </c>
      <c r="M60" s="64">
        <v>38.130000000000003</v>
      </c>
      <c r="N60" s="64">
        <v>928.1</v>
      </c>
      <c r="O60" s="64">
        <v>0</v>
      </c>
      <c r="P60" s="64">
        <v>0.67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5" t="s">
        <v>586</v>
      </c>
      <c r="B61" s="211" t="s">
        <v>43</v>
      </c>
      <c r="C61" s="211" t="s">
        <v>43</v>
      </c>
      <c r="D61" s="211" t="s">
        <v>43</v>
      </c>
      <c r="E61" s="64">
        <v>2.62</v>
      </c>
      <c r="F61" s="64">
        <v>7.94</v>
      </c>
      <c r="G61" s="64">
        <v>49.19</v>
      </c>
      <c r="H61" s="64">
        <v>26.9</v>
      </c>
      <c r="I61" s="64">
        <v>4.0999999999999996</v>
      </c>
      <c r="J61" s="64">
        <v>2.35</v>
      </c>
      <c r="K61" s="64">
        <v>327.06</v>
      </c>
      <c r="L61" s="64">
        <v>31.36</v>
      </c>
      <c r="M61" s="64">
        <v>35.479999999999997</v>
      </c>
      <c r="N61" s="64">
        <v>769.6</v>
      </c>
      <c r="O61" s="64">
        <v>0</v>
      </c>
      <c r="P61" s="64">
        <v>0.65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5" t="s">
        <v>587</v>
      </c>
      <c r="B62" s="211" t="s">
        <v>43</v>
      </c>
      <c r="C62" s="211" t="s">
        <v>43</v>
      </c>
      <c r="D62" s="211" t="s">
        <v>43</v>
      </c>
      <c r="E62" s="64">
        <v>2.38</v>
      </c>
      <c r="F62" s="64">
        <v>8.85</v>
      </c>
      <c r="G62" s="64">
        <v>49.19</v>
      </c>
      <c r="H62" s="64">
        <v>26.9</v>
      </c>
      <c r="I62" s="64">
        <v>3.95</v>
      </c>
      <c r="J62" s="64">
        <v>1.8</v>
      </c>
      <c r="K62" s="64">
        <v>309.14</v>
      </c>
      <c r="L62" s="64">
        <v>32.17</v>
      </c>
      <c r="M62" s="64">
        <v>33.950000000000003</v>
      </c>
      <c r="N62" s="64">
        <v>769</v>
      </c>
      <c r="O62" s="64">
        <v>0</v>
      </c>
      <c r="P62" s="64">
        <v>0.68</v>
      </c>
      <c r="Q62" s="64">
        <v>9.5500000000000007</v>
      </c>
      <c r="R62" s="198"/>
      <c r="S62" s="198"/>
      <c r="T62" s="198"/>
      <c r="U62" s="198"/>
    </row>
    <row r="63" spans="1:21" s="12" customFormat="1" x14ac:dyDescent="0.25">
      <c r="A63" s="215" t="s">
        <v>588</v>
      </c>
      <c r="B63" s="211" t="s">
        <v>43</v>
      </c>
      <c r="C63" s="211" t="s">
        <v>43</v>
      </c>
      <c r="D63" s="211" t="s">
        <v>43</v>
      </c>
      <c r="E63" s="64">
        <v>2.93</v>
      </c>
      <c r="F63" s="64">
        <v>11.53</v>
      </c>
      <c r="G63" s="64">
        <v>49.95</v>
      </c>
      <c r="H63" s="64">
        <v>14.52</v>
      </c>
      <c r="I63" s="64">
        <v>4.0199999999999996</v>
      </c>
      <c r="J63" s="64">
        <v>0.67</v>
      </c>
      <c r="K63" s="64">
        <v>154.58000000000001</v>
      </c>
      <c r="L63" s="64">
        <v>30.61</v>
      </c>
      <c r="M63" s="64">
        <v>35.520000000000003</v>
      </c>
      <c r="N63" s="64">
        <v>830.2</v>
      </c>
      <c r="O63" s="64">
        <v>0</v>
      </c>
      <c r="P63" s="64">
        <v>0.63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5" t="s">
        <v>589</v>
      </c>
      <c r="B64" s="211" t="s">
        <v>43</v>
      </c>
      <c r="C64" s="211" t="s">
        <v>43</v>
      </c>
      <c r="D64" s="211" t="s">
        <v>43</v>
      </c>
      <c r="E64" s="64">
        <v>3.76</v>
      </c>
      <c r="F64" s="64">
        <v>17.54</v>
      </c>
      <c r="G64" s="64">
        <v>50.77</v>
      </c>
      <c r="H64" s="64">
        <v>2.42</v>
      </c>
      <c r="I64" s="64">
        <v>4.05</v>
      </c>
      <c r="J64" s="64">
        <v>0.45</v>
      </c>
      <c r="K64" s="64">
        <v>297.24</v>
      </c>
      <c r="L64" s="64">
        <v>31.22</v>
      </c>
      <c r="M64" s="64">
        <v>34.28</v>
      </c>
      <c r="N64" s="64">
        <v>681.9</v>
      </c>
      <c r="O64" s="64">
        <v>0</v>
      </c>
      <c r="P64" s="64">
        <v>0.59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5" t="s">
        <v>590</v>
      </c>
      <c r="B65" s="211" t="s">
        <v>43</v>
      </c>
      <c r="C65" s="211" t="s">
        <v>43</v>
      </c>
      <c r="D65" s="211" t="s">
        <v>43</v>
      </c>
      <c r="E65" s="64">
        <v>3.29</v>
      </c>
      <c r="F65" s="64">
        <v>18.97</v>
      </c>
      <c r="G65" s="64">
        <v>50.77</v>
      </c>
      <c r="H65" s="64">
        <v>2.42</v>
      </c>
      <c r="I65" s="64">
        <v>3.98</v>
      </c>
      <c r="J65" s="64">
        <v>0.8</v>
      </c>
      <c r="K65" s="64">
        <v>153.49</v>
      </c>
      <c r="L65" s="64">
        <v>30.41</v>
      </c>
      <c r="M65" s="64">
        <v>35.21</v>
      </c>
      <c r="N65" s="64">
        <v>513.20000000000005</v>
      </c>
      <c r="O65" s="64">
        <v>0</v>
      </c>
      <c r="P65" s="64">
        <v>0.55000000000000004</v>
      </c>
      <c r="Q65" s="64">
        <v>9.51</v>
      </c>
      <c r="R65" s="198"/>
      <c r="S65" s="198"/>
      <c r="T65" s="198"/>
      <c r="U65" s="198"/>
    </row>
    <row r="66" spans="1:21" s="12" customFormat="1" x14ac:dyDescent="0.25">
      <c r="A66" s="215" t="s">
        <v>591</v>
      </c>
      <c r="B66" s="211" t="s">
        <v>43</v>
      </c>
      <c r="C66" s="211" t="s">
        <v>43</v>
      </c>
      <c r="D66" s="211" t="s">
        <v>43</v>
      </c>
      <c r="E66" s="64">
        <v>3.64</v>
      </c>
      <c r="F66" s="64">
        <v>16.97</v>
      </c>
      <c r="G66" s="64">
        <v>50.77</v>
      </c>
      <c r="H66" s="64">
        <v>2.42</v>
      </c>
      <c r="I66" s="64">
        <v>3.97</v>
      </c>
      <c r="J66" s="64">
        <v>2.04</v>
      </c>
      <c r="K66" s="64">
        <v>164.84</v>
      </c>
      <c r="L66" s="64">
        <v>29.26</v>
      </c>
      <c r="M66" s="64">
        <v>36.340000000000003</v>
      </c>
      <c r="N66" s="64">
        <v>448.4</v>
      </c>
      <c r="O66" s="64">
        <v>0</v>
      </c>
      <c r="P66" s="64">
        <v>0.56000000000000005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5" t="s">
        <v>592</v>
      </c>
      <c r="B67" s="211" t="s">
        <v>43</v>
      </c>
      <c r="C67" s="211" t="s">
        <v>43</v>
      </c>
      <c r="D67" s="211" t="s">
        <v>43</v>
      </c>
      <c r="E67" s="64">
        <v>3.46</v>
      </c>
      <c r="F67" s="64">
        <v>21.61</v>
      </c>
      <c r="G67" s="64">
        <v>47.23</v>
      </c>
      <c r="H67" s="64">
        <v>1.1299999999999999</v>
      </c>
      <c r="I67" s="64">
        <v>3.97</v>
      </c>
      <c r="J67" s="64">
        <v>1.26</v>
      </c>
      <c r="K67" s="64">
        <v>302.41000000000003</v>
      </c>
      <c r="L67" s="64">
        <v>29.5</v>
      </c>
      <c r="M67" s="64">
        <v>36.44</v>
      </c>
      <c r="N67" s="64">
        <v>409.1</v>
      </c>
      <c r="O67" s="64">
        <v>0</v>
      </c>
      <c r="P67" s="64">
        <v>0.56000000000000005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5" t="s">
        <v>593</v>
      </c>
      <c r="B68" s="211" t="s">
        <v>43</v>
      </c>
      <c r="C68" s="211" t="s">
        <v>43</v>
      </c>
      <c r="D68" s="211" t="s">
        <v>43</v>
      </c>
      <c r="E68" s="64">
        <v>5.18</v>
      </c>
      <c r="F68" s="64">
        <v>24.11</v>
      </c>
      <c r="G68" s="64">
        <v>43.37</v>
      </c>
      <c r="H68" s="64">
        <v>0.19</v>
      </c>
      <c r="I68" s="64">
        <v>4.16</v>
      </c>
      <c r="J68" s="64">
        <v>1.26</v>
      </c>
      <c r="K68" s="64">
        <v>321.49</v>
      </c>
      <c r="L68" s="64">
        <v>30.9</v>
      </c>
      <c r="M68" s="64">
        <v>34.74</v>
      </c>
      <c r="N68" s="64">
        <v>327.2</v>
      </c>
      <c r="O68" s="64">
        <v>0</v>
      </c>
      <c r="P68" s="64">
        <v>0.55000000000000004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5" t="s">
        <v>594</v>
      </c>
      <c r="B69" s="211" t="s">
        <v>43</v>
      </c>
      <c r="C69" s="211" t="s">
        <v>43</v>
      </c>
      <c r="D69" s="211" t="s">
        <v>43</v>
      </c>
      <c r="E69" s="64">
        <v>6.26</v>
      </c>
      <c r="F69" s="64">
        <v>32.200000000000003</v>
      </c>
      <c r="G69" s="64">
        <v>43.37</v>
      </c>
      <c r="H69" s="64">
        <v>0.19</v>
      </c>
      <c r="I69" s="64">
        <v>3.97</v>
      </c>
      <c r="J69" s="64">
        <v>1.1100000000000001</v>
      </c>
      <c r="K69" s="64">
        <v>121.94</v>
      </c>
      <c r="L69" s="64">
        <v>30.56</v>
      </c>
      <c r="M69" s="64">
        <v>33.81</v>
      </c>
      <c r="N69" s="64">
        <v>361.7</v>
      </c>
      <c r="O69" s="64">
        <v>0</v>
      </c>
      <c r="P69" s="64">
        <v>0.47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5" t="s">
        <v>595</v>
      </c>
      <c r="B70" s="211" t="s">
        <v>43</v>
      </c>
      <c r="C70" s="211" t="s">
        <v>43</v>
      </c>
      <c r="D70" s="211" t="s">
        <v>43</v>
      </c>
      <c r="E70" s="64">
        <v>5.81</v>
      </c>
      <c r="F70" s="64">
        <v>23.02</v>
      </c>
      <c r="G70" s="64">
        <v>43.37</v>
      </c>
      <c r="H70" s="64">
        <v>0.19</v>
      </c>
      <c r="I70" s="64">
        <v>4.0599999999999996</v>
      </c>
      <c r="J70" s="64">
        <v>1.64</v>
      </c>
      <c r="K70" s="64">
        <v>157.41</v>
      </c>
      <c r="L70" s="64">
        <v>29.58</v>
      </c>
      <c r="M70" s="64">
        <v>35.270000000000003</v>
      </c>
      <c r="N70" s="64">
        <v>230.8</v>
      </c>
      <c r="O70" s="64">
        <v>0</v>
      </c>
      <c r="P70" s="64">
        <v>0.5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5" t="s">
        <v>596</v>
      </c>
      <c r="B71" s="211" t="s">
        <v>43</v>
      </c>
      <c r="C71" s="211" t="s">
        <v>43</v>
      </c>
      <c r="D71" s="211" t="s">
        <v>43</v>
      </c>
      <c r="E71" s="64">
        <v>4.08</v>
      </c>
      <c r="F71" s="64">
        <v>16.61</v>
      </c>
      <c r="G71" s="64">
        <v>42.84</v>
      </c>
      <c r="H71" s="64">
        <v>0.09</v>
      </c>
      <c r="I71" s="64">
        <v>3.93</v>
      </c>
      <c r="J71" s="64">
        <v>2.36</v>
      </c>
      <c r="K71" s="64">
        <v>168.05</v>
      </c>
      <c r="L71" s="64">
        <v>29.2</v>
      </c>
      <c r="M71" s="64">
        <v>34.92</v>
      </c>
      <c r="N71" s="64">
        <v>305.8</v>
      </c>
      <c r="O71" s="64">
        <v>0</v>
      </c>
      <c r="P71" s="64">
        <v>0.53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5" t="s">
        <v>597</v>
      </c>
      <c r="B72" s="211" t="s">
        <v>43</v>
      </c>
      <c r="C72" s="211" t="s">
        <v>43</v>
      </c>
      <c r="D72" s="211" t="s">
        <v>43</v>
      </c>
      <c r="E72" s="64">
        <v>5.29</v>
      </c>
      <c r="F72" s="64">
        <v>28.18</v>
      </c>
      <c r="G72" s="64">
        <v>42.26</v>
      </c>
      <c r="H72" s="64">
        <v>0.02</v>
      </c>
      <c r="I72" s="64">
        <v>4.03</v>
      </c>
      <c r="J72" s="64">
        <v>1.25</v>
      </c>
      <c r="K72" s="64">
        <v>149.80000000000001</v>
      </c>
      <c r="L72" s="64">
        <v>29.23</v>
      </c>
      <c r="M72" s="64">
        <v>34.58</v>
      </c>
      <c r="N72" s="64">
        <v>214.7</v>
      </c>
      <c r="O72" s="64">
        <v>0</v>
      </c>
      <c r="P72" s="64">
        <v>0.48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15" t="s">
        <v>598</v>
      </c>
      <c r="B73" s="211" t="s">
        <v>43</v>
      </c>
      <c r="C73" s="211" t="s">
        <v>43</v>
      </c>
      <c r="D73" s="211" t="s">
        <v>43</v>
      </c>
      <c r="E73" s="64">
        <v>7.42</v>
      </c>
      <c r="F73" s="64">
        <v>22.47</v>
      </c>
      <c r="G73" s="64">
        <v>42.26</v>
      </c>
      <c r="H73" s="64">
        <v>0.02</v>
      </c>
      <c r="I73" s="64">
        <v>4.07</v>
      </c>
      <c r="J73" s="64">
        <v>1.37</v>
      </c>
      <c r="K73" s="64">
        <v>152.63999999999999</v>
      </c>
      <c r="L73" s="64">
        <v>29.32</v>
      </c>
      <c r="M73" s="64">
        <v>34.61</v>
      </c>
      <c r="N73" s="64">
        <v>187.9</v>
      </c>
      <c r="O73" s="64">
        <v>0</v>
      </c>
      <c r="P73" s="64">
        <v>0.49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5" t="s">
        <v>599</v>
      </c>
      <c r="B74" s="211" t="s">
        <v>43</v>
      </c>
      <c r="C74" s="211" t="s">
        <v>43</v>
      </c>
      <c r="D74" s="211" t="s">
        <v>43</v>
      </c>
      <c r="E74" s="64">
        <v>6.39</v>
      </c>
      <c r="F74" s="64">
        <v>27.62</v>
      </c>
      <c r="G74" s="64">
        <v>42.26</v>
      </c>
      <c r="H74" s="64">
        <v>0.02</v>
      </c>
      <c r="I74" s="64">
        <v>3.97</v>
      </c>
      <c r="J74" s="64">
        <v>1.54</v>
      </c>
      <c r="K74" s="64">
        <v>140.77000000000001</v>
      </c>
      <c r="L74" s="64">
        <v>29.16</v>
      </c>
      <c r="M74" s="64">
        <v>34.54</v>
      </c>
      <c r="N74" s="64">
        <v>161.69999999999999</v>
      </c>
      <c r="O74" s="64">
        <v>0</v>
      </c>
      <c r="P74" s="64">
        <v>0.48</v>
      </c>
      <c r="Q74" s="64">
        <v>9.5500000000000007</v>
      </c>
      <c r="R74" s="198"/>
      <c r="S74" s="198"/>
      <c r="T74" s="198"/>
      <c r="U74" s="198"/>
    </row>
    <row r="75" spans="1:21" s="12" customFormat="1" x14ac:dyDescent="0.25">
      <c r="A75" s="215" t="s">
        <v>600</v>
      </c>
      <c r="B75" s="211" t="s">
        <v>43</v>
      </c>
      <c r="C75" s="211" t="s">
        <v>43</v>
      </c>
      <c r="D75" s="211" t="s">
        <v>43</v>
      </c>
      <c r="E75" s="64">
        <v>7.87</v>
      </c>
      <c r="F75" s="64">
        <v>23.49</v>
      </c>
      <c r="G75" s="64">
        <v>43.33</v>
      </c>
      <c r="H75" s="64">
        <v>5.29</v>
      </c>
      <c r="I75" s="64">
        <v>4.12</v>
      </c>
      <c r="J75" s="64">
        <v>1.66</v>
      </c>
      <c r="K75" s="64">
        <v>142.88</v>
      </c>
      <c r="L75" s="64">
        <v>29.02</v>
      </c>
      <c r="M75" s="64">
        <v>34.28</v>
      </c>
      <c r="N75" s="64">
        <v>142.9</v>
      </c>
      <c r="O75" s="64">
        <v>0</v>
      </c>
      <c r="P75" s="64">
        <v>0.47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5" t="s">
        <v>601</v>
      </c>
      <c r="B76" s="211" t="s">
        <v>43</v>
      </c>
      <c r="C76" s="211" t="s">
        <v>43</v>
      </c>
      <c r="D76" s="211" t="s">
        <v>43</v>
      </c>
      <c r="E76" s="64">
        <v>7.09</v>
      </c>
      <c r="F76" s="64">
        <v>23.57</v>
      </c>
      <c r="G76" s="64">
        <v>44.51</v>
      </c>
      <c r="H76" s="64">
        <v>10.32</v>
      </c>
      <c r="I76" s="64">
        <v>3.98</v>
      </c>
      <c r="J76" s="64">
        <v>1.6</v>
      </c>
      <c r="K76" s="64">
        <v>145.44</v>
      </c>
      <c r="L76" s="64">
        <v>28.85</v>
      </c>
      <c r="M76" s="64">
        <v>35.43</v>
      </c>
      <c r="N76" s="64">
        <v>132.19999999999999</v>
      </c>
      <c r="O76" s="64">
        <v>0</v>
      </c>
      <c r="P76" s="64">
        <v>0.47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5" t="s">
        <v>602</v>
      </c>
      <c r="B77" s="211" t="s">
        <v>43</v>
      </c>
      <c r="C77" s="211" t="s">
        <v>43</v>
      </c>
      <c r="D77" s="211" t="s">
        <v>43</v>
      </c>
      <c r="E77" s="64">
        <v>6.28</v>
      </c>
      <c r="F77" s="64">
        <v>18.02</v>
      </c>
      <c r="G77" s="64">
        <v>44.51</v>
      </c>
      <c r="H77" s="64">
        <v>10.32</v>
      </c>
      <c r="I77" s="64">
        <v>3.99</v>
      </c>
      <c r="J77" s="64">
        <v>1.41</v>
      </c>
      <c r="K77" s="64">
        <v>156.13</v>
      </c>
      <c r="L77" s="64">
        <v>28.61</v>
      </c>
      <c r="M77" s="64">
        <v>35.42</v>
      </c>
      <c r="N77" s="64">
        <v>116.1</v>
      </c>
      <c r="O77" s="64">
        <v>0</v>
      </c>
      <c r="P77" s="64">
        <v>0.48</v>
      </c>
      <c r="Q77" s="64">
        <v>9.5299999999999994</v>
      </c>
      <c r="R77" s="198"/>
      <c r="S77" s="198"/>
      <c r="T77" s="198"/>
      <c r="U77" s="198"/>
    </row>
    <row r="78" spans="1:21" s="12" customFormat="1" x14ac:dyDescent="0.25">
      <c r="A78" s="215" t="s">
        <v>603</v>
      </c>
      <c r="B78" s="211" t="s">
        <v>43</v>
      </c>
      <c r="C78" s="211" t="s">
        <v>43</v>
      </c>
      <c r="D78" s="211" t="s">
        <v>43</v>
      </c>
      <c r="E78" s="64">
        <v>5.61</v>
      </c>
      <c r="F78" s="64">
        <v>20.5</v>
      </c>
      <c r="G78" s="64">
        <v>44.51</v>
      </c>
      <c r="H78" s="64">
        <v>10.32</v>
      </c>
      <c r="I78" s="64">
        <v>3.96</v>
      </c>
      <c r="J78" s="64">
        <v>1.73</v>
      </c>
      <c r="K78" s="64">
        <v>166.15</v>
      </c>
      <c r="L78" s="64">
        <v>28.44</v>
      </c>
      <c r="M78" s="64">
        <v>35.76</v>
      </c>
      <c r="N78" s="64">
        <v>98.7</v>
      </c>
      <c r="O78" s="64">
        <v>0</v>
      </c>
      <c r="P78" s="64">
        <v>0.49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5" t="s">
        <v>604</v>
      </c>
      <c r="B79" s="211" t="s">
        <v>43</v>
      </c>
      <c r="C79" s="211" t="s">
        <v>43</v>
      </c>
      <c r="D79" s="211" t="s">
        <v>43</v>
      </c>
      <c r="E79" s="64">
        <v>6.48</v>
      </c>
      <c r="F79" s="64">
        <v>18.309999999999999</v>
      </c>
      <c r="G79" s="64">
        <v>45.37</v>
      </c>
      <c r="H79" s="6" t="s">
        <v>42</v>
      </c>
      <c r="I79" s="64">
        <v>3.87</v>
      </c>
      <c r="J79" s="64">
        <v>1.78</v>
      </c>
      <c r="K79" s="64">
        <v>171.49</v>
      </c>
      <c r="L79" s="64">
        <v>28.22</v>
      </c>
      <c r="M79" s="64">
        <v>36.24</v>
      </c>
      <c r="N79" s="64">
        <v>83.1</v>
      </c>
      <c r="O79" s="64">
        <v>0</v>
      </c>
      <c r="P79" s="64">
        <v>0.5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5" t="s">
        <v>605</v>
      </c>
      <c r="B80" s="211" t="s">
        <v>43</v>
      </c>
      <c r="C80" s="211" t="s">
        <v>43</v>
      </c>
      <c r="D80" s="211" t="s">
        <v>43</v>
      </c>
      <c r="E80" s="64">
        <v>6.43</v>
      </c>
      <c r="F80" s="64">
        <v>19.149999999999999</v>
      </c>
      <c r="G80" s="64">
        <v>46.27</v>
      </c>
      <c r="H80" s="6" t="s">
        <v>42</v>
      </c>
      <c r="I80" s="64">
        <v>3.93</v>
      </c>
      <c r="J80" s="64">
        <v>1.96</v>
      </c>
      <c r="K80" s="64">
        <v>159.26</v>
      </c>
      <c r="L80" s="64">
        <v>27.94</v>
      </c>
      <c r="M80" s="64">
        <v>37.11</v>
      </c>
      <c r="N80" s="64">
        <v>71.900000000000006</v>
      </c>
      <c r="O80" s="64">
        <v>0</v>
      </c>
      <c r="P80" s="64">
        <v>0.54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5" t="s">
        <v>606</v>
      </c>
      <c r="B81" s="211" t="s">
        <v>43</v>
      </c>
      <c r="C81" s="211" t="s">
        <v>43</v>
      </c>
      <c r="D81" s="211" t="s">
        <v>43</v>
      </c>
      <c r="E81" s="64">
        <v>6.05</v>
      </c>
      <c r="F81" s="64">
        <v>11.96</v>
      </c>
      <c r="G81" s="64">
        <v>46.27</v>
      </c>
      <c r="H81" s="6" t="s">
        <v>42</v>
      </c>
      <c r="I81" s="64">
        <v>4.04</v>
      </c>
      <c r="J81" s="64">
        <v>1.97</v>
      </c>
      <c r="K81" s="64">
        <v>144.13999999999999</v>
      </c>
      <c r="L81" s="64">
        <v>27.26</v>
      </c>
      <c r="M81" s="64">
        <v>43.88</v>
      </c>
      <c r="N81" s="64">
        <v>64.099999999999994</v>
      </c>
      <c r="O81" s="64">
        <v>0</v>
      </c>
      <c r="P81" s="64">
        <v>0.55000000000000004</v>
      </c>
      <c r="Q81" s="64">
        <v>9.5500000000000007</v>
      </c>
      <c r="R81" s="198"/>
      <c r="S81" s="198"/>
      <c r="T81" s="198"/>
      <c r="U81" s="198"/>
    </row>
    <row r="82" spans="1:26" s="12" customFormat="1" x14ac:dyDescent="0.25">
      <c r="A82" s="215" t="s">
        <v>607</v>
      </c>
      <c r="B82" s="211" t="s">
        <v>43</v>
      </c>
      <c r="C82" s="211" t="s">
        <v>43</v>
      </c>
      <c r="D82" s="211" t="s">
        <v>43</v>
      </c>
      <c r="E82" s="64">
        <v>4.29</v>
      </c>
      <c r="F82" s="64">
        <v>16.05</v>
      </c>
      <c r="G82" s="64">
        <v>46.27</v>
      </c>
      <c r="H82" s="6" t="s">
        <v>42</v>
      </c>
      <c r="I82" s="64">
        <v>4.12</v>
      </c>
      <c r="J82" s="64">
        <v>2.44</v>
      </c>
      <c r="K82" s="64">
        <v>164.22</v>
      </c>
      <c r="L82" s="64">
        <v>26.33</v>
      </c>
      <c r="M82" s="64">
        <v>51.52</v>
      </c>
      <c r="N82" s="64">
        <v>72</v>
      </c>
      <c r="O82" s="64">
        <v>0</v>
      </c>
      <c r="P82" s="64">
        <v>0.51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15" t="s">
        <v>608</v>
      </c>
      <c r="B83" s="211" t="s">
        <v>43</v>
      </c>
      <c r="C83" s="211" t="s">
        <v>43</v>
      </c>
      <c r="D83" s="211" t="s">
        <v>43</v>
      </c>
      <c r="E83" s="64">
        <v>4.1399999999999997</v>
      </c>
      <c r="F83" s="64">
        <v>21.45</v>
      </c>
      <c r="G83" s="64">
        <v>47.94</v>
      </c>
      <c r="H83" s="6" t="s">
        <v>42</v>
      </c>
      <c r="I83" s="64">
        <v>3.93</v>
      </c>
      <c r="J83" s="64">
        <v>1.72</v>
      </c>
      <c r="K83" s="64">
        <v>169.13</v>
      </c>
      <c r="L83" s="64">
        <v>25.82</v>
      </c>
      <c r="M83" s="64">
        <v>53.67</v>
      </c>
      <c r="N83" s="64">
        <v>74.5</v>
      </c>
      <c r="O83" s="64">
        <v>0</v>
      </c>
      <c r="P83" s="64">
        <v>0.52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15" t="s">
        <v>609</v>
      </c>
      <c r="B84" s="211" t="s">
        <v>43</v>
      </c>
      <c r="C84" s="211" t="s">
        <v>43</v>
      </c>
      <c r="D84" s="211" t="s">
        <v>43</v>
      </c>
      <c r="E84" s="64">
        <v>3.85</v>
      </c>
      <c r="F84" s="64">
        <v>14.48</v>
      </c>
      <c r="G84" s="64">
        <v>49.77</v>
      </c>
      <c r="H84" s="6" t="s">
        <v>42</v>
      </c>
      <c r="I84" s="64">
        <v>4.0999999999999996</v>
      </c>
      <c r="J84" s="64">
        <v>2.21</v>
      </c>
      <c r="K84" s="64">
        <v>155.05000000000001</v>
      </c>
      <c r="L84" s="64">
        <v>25.51</v>
      </c>
      <c r="M84" s="64">
        <v>54.77</v>
      </c>
      <c r="N84" s="64">
        <v>74.900000000000006</v>
      </c>
      <c r="O84" s="64">
        <v>0</v>
      </c>
      <c r="P84" s="64">
        <v>0.55000000000000004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5" t="s">
        <v>610</v>
      </c>
      <c r="B85" s="211" t="s">
        <v>43</v>
      </c>
      <c r="C85" s="211" t="s">
        <v>43</v>
      </c>
      <c r="D85" s="211" t="s">
        <v>43</v>
      </c>
      <c r="E85" s="64">
        <v>3.96</v>
      </c>
      <c r="F85" s="64">
        <v>13.87</v>
      </c>
      <c r="G85" s="64">
        <v>49.77</v>
      </c>
      <c r="H85" s="6" t="s">
        <v>42</v>
      </c>
      <c r="I85" s="64">
        <v>3.93</v>
      </c>
      <c r="J85" s="64">
        <v>2.46</v>
      </c>
      <c r="K85" s="64">
        <v>165.03</v>
      </c>
      <c r="L85" s="64">
        <v>25.25</v>
      </c>
      <c r="M85" s="64">
        <v>55.21</v>
      </c>
      <c r="N85" s="64">
        <v>75</v>
      </c>
      <c r="O85" s="64">
        <v>0</v>
      </c>
      <c r="P85" s="64">
        <v>0.52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5" t="s">
        <v>611</v>
      </c>
      <c r="B86" s="211" t="s">
        <v>43</v>
      </c>
      <c r="C86" s="211" t="s">
        <v>43</v>
      </c>
      <c r="D86" s="211" t="s">
        <v>43</v>
      </c>
      <c r="E86" s="64">
        <v>3.67</v>
      </c>
      <c r="F86" s="64">
        <v>14.24</v>
      </c>
      <c r="G86" s="64">
        <v>49.77</v>
      </c>
      <c r="H86" s="6" t="s">
        <v>42</v>
      </c>
      <c r="I86" s="64">
        <v>3.99</v>
      </c>
      <c r="J86" s="64">
        <v>2.44</v>
      </c>
      <c r="K86" s="64">
        <v>155.6</v>
      </c>
      <c r="L86" s="64">
        <v>25.04</v>
      </c>
      <c r="M86" s="64">
        <v>55.06</v>
      </c>
      <c r="N86" s="64">
        <v>75.7</v>
      </c>
      <c r="O86" s="64">
        <v>0</v>
      </c>
      <c r="P86" s="64">
        <v>0.54</v>
      </c>
      <c r="Q86" s="64">
        <v>9.52</v>
      </c>
      <c r="R86" s="198"/>
      <c r="S86" s="198"/>
      <c r="T86" s="198"/>
      <c r="U86" s="198"/>
    </row>
    <row r="87" spans="1:26" s="12" customFormat="1" x14ac:dyDescent="0.25">
      <c r="A87" s="215" t="s">
        <v>612</v>
      </c>
      <c r="B87" s="211" t="s">
        <v>43</v>
      </c>
      <c r="C87" s="211" t="s">
        <v>43</v>
      </c>
      <c r="D87" s="211" t="s">
        <v>43</v>
      </c>
      <c r="E87" s="64">
        <v>4.03</v>
      </c>
      <c r="F87" s="64">
        <v>14.41</v>
      </c>
      <c r="G87" s="64">
        <v>48.94</v>
      </c>
      <c r="H87" s="64">
        <v>30.82</v>
      </c>
      <c r="I87" s="64">
        <v>3.9</v>
      </c>
      <c r="J87" s="64">
        <v>2.2599999999999998</v>
      </c>
      <c r="K87" s="64">
        <v>160.4</v>
      </c>
      <c r="L87" s="64">
        <v>24.91</v>
      </c>
      <c r="M87" s="64">
        <v>54.59</v>
      </c>
      <c r="N87" s="64">
        <v>75.900000000000006</v>
      </c>
      <c r="O87" s="64">
        <v>0</v>
      </c>
      <c r="P87" s="64">
        <v>0.55000000000000004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5" t="s">
        <v>613</v>
      </c>
      <c r="B88" s="211" t="s">
        <v>43</v>
      </c>
      <c r="C88" s="211" t="s">
        <v>43</v>
      </c>
      <c r="D88" s="211" t="s">
        <v>43</v>
      </c>
      <c r="E88" s="64">
        <v>3.73</v>
      </c>
      <c r="F88" s="64">
        <v>14.15</v>
      </c>
      <c r="G88" s="64">
        <v>48.02</v>
      </c>
      <c r="H88" s="64">
        <v>14.61</v>
      </c>
      <c r="I88" s="64">
        <v>4</v>
      </c>
      <c r="J88" s="64">
        <v>2.31</v>
      </c>
      <c r="K88" s="64">
        <v>161.56</v>
      </c>
      <c r="L88" s="64">
        <v>24.88</v>
      </c>
      <c r="M88" s="64">
        <v>53.79</v>
      </c>
      <c r="N88" s="64">
        <v>76.099999999999994</v>
      </c>
      <c r="O88" s="64">
        <v>0</v>
      </c>
      <c r="P88" s="64">
        <v>0.55000000000000004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5" t="s">
        <v>614</v>
      </c>
      <c r="B89" s="211" t="s">
        <v>43</v>
      </c>
      <c r="C89" s="211" t="s">
        <v>43</v>
      </c>
      <c r="D89" s="211" t="s">
        <v>43</v>
      </c>
      <c r="E89" s="64">
        <v>4.51</v>
      </c>
      <c r="F89" s="64">
        <v>13.16</v>
      </c>
      <c r="G89" s="64">
        <v>48.02</v>
      </c>
      <c r="H89" s="64">
        <v>14.61</v>
      </c>
      <c r="I89" s="64">
        <v>3.87</v>
      </c>
      <c r="J89" s="64">
        <v>2.12</v>
      </c>
      <c r="K89" s="64">
        <v>166.38</v>
      </c>
      <c r="L89" s="64">
        <v>24.72</v>
      </c>
      <c r="M89" s="64">
        <v>54.05</v>
      </c>
      <c r="N89" s="64">
        <v>76.599999999999994</v>
      </c>
      <c r="O89" s="64">
        <v>0</v>
      </c>
      <c r="P89" s="64">
        <v>0.55000000000000004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5" t="s">
        <v>615</v>
      </c>
      <c r="B90" s="211" t="s">
        <v>43</v>
      </c>
      <c r="C90" s="211" t="s">
        <v>43</v>
      </c>
      <c r="D90" s="211" t="s">
        <v>43</v>
      </c>
      <c r="E90" s="64">
        <v>3.93</v>
      </c>
      <c r="F90" s="64">
        <v>9.93</v>
      </c>
      <c r="G90" s="64">
        <v>48.02</v>
      </c>
      <c r="H90" s="64">
        <v>14.61</v>
      </c>
      <c r="I90" s="64">
        <v>4.04</v>
      </c>
      <c r="J90" s="64">
        <v>2.0099999999999998</v>
      </c>
      <c r="K90" s="64">
        <v>166.14</v>
      </c>
      <c r="L90" s="64">
        <v>24.58</v>
      </c>
      <c r="M90" s="64">
        <v>54.33</v>
      </c>
      <c r="N90" s="64">
        <v>77.3</v>
      </c>
      <c r="O90" s="64">
        <v>0</v>
      </c>
      <c r="P90" s="64">
        <v>0.56000000000000005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5" t="s">
        <v>616</v>
      </c>
      <c r="B91" s="211" t="s">
        <v>43</v>
      </c>
      <c r="C91" s="211" t="s">
        <v>43</v>
      </c>
      <c r="D91" s="211" t="s">
        <v>43</v>
      </c>
      <c r="E91" s="64">
        <v>4.07</v>
      </c>
      <c r="F91" s="64">
        <v>12.24</v>
      </c>
      <c r="G91" s="64">
        <v>46.79</v>
      </c>
      <c r="H91" s="64">
        <v>7.77</v>
      </c>
      <c r="I91" s="64">
        <v>4.09</v>
      </c>
      <c r="J91" s="64">
        <v>2.2400000000000002</v>
      </c>
      <c r="K91" s="64">
        <v>161.36000000000001</v>
      </c>
      <c r="L91" s="64">
        <v>24.57</v>
      </c>
      <c r="M91" s="64">
        <v>53.39</v>
      </c>
      <c r="N91" s="64">
        <v>77.400000000000006</v>
      </c>
      <c r="O91" s="64">
        <v>0</v>
      </c>
      <c r="P91" s="64">
        <v>0.56000000000000005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15" t="s">
        <v>617</v>
      </c>
      <c r="B92" s="211" t="s">
        <v>43</v>
      </c>
      <c r="C92" s="211" t="s">
        <v>43</v>
      </c>
      <c r="D92" s="211" t="s">
        <v>43</v>
      </c>
      <c r="E92" s="64">
        <v>3.69</v>
      </c>
      <c r="F92" s="64">
        <v>9.24</v>
      </c>
      <c r="G92" s="64">
        <v>45.51</v>
      </c>
      <c r="H92" s="64">
        <v>1.4</v>
      </c>
      <c r="I92" s="64">
        <v>4.0199999999999996</v>
      </c>
      <c r="J92" s="64">
        <v>2.2400000000000002</v>
      </c>
      <c r="K92" s="64">
        <v>161.69</v>
      </c>
      <c r="L92" s="64">
        <v>24.42</v>
      </c>
      <c r="M92" s="64">
        <v>53.83</v>
      </c>
      <c r="N92" s="64">
        <v>79.5</v>
      </c>
      <c r="O92" s="64">
        <v>0</v>
      </c>
      <c r="P92" s="64">
        <v>0.56999999999999995</v>
      </c>
      <c r="Q92" s="64">
        <v>9.5299999999999994</v>
      </c>
      <c r="R92" s="198"/>
      <c r="S92" s="198"/>
      <c r="T92" s="198"/>
      <c r="U92" s="198"/>
    </row>
    <row r="93" spans="1:26" s="12" customFormat="1" x14ac:dyDescent="0.25">
      <c r="A93" s="215" t="s">
        <v>618</v>
      </c>
      <c r="B93" s="211" t="s">
        <v>43</v>
      </c>
      <c r="C93" s="211" t="s">
        <v>43</v>
      </c>
      <c r="D93" s="211" t="s">
        <v>43</v>
      </c>
      <c r="E93" s="64">
        <v>3.67</v>
      </c>
      <c r="F93" s="64">
        <v>7.88</v>
      </c>
      <c r="G93" s="64">
        <v>45.51</v>
      </c>
      <c r="H93" s="64">
        <v>1.4</v>
      </c>
      <c r="I93" s="64">
        <v>3.99</v>
      </c>
      <c r="J93" s="64">
        <v>2.4300000000000002</v>
      </c>
      <c r="K93" s="64">
        <v>167.32</v>
      </c>
      <c r="L93" s="64">
        <v>24.32</v>
      </c>
      <c r="M93" s="64">
        <v>54.09</v>
      </c>
      <c r="N93" s="64">
        <v>81.599999999999994</v>
      </c>
      <c r="O93" s="64">
        <v>0</v>
      </c>
      <c r="P93" s="64">
        <v>0.56000000000000005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5" t="s">
        <v>619</v>
      </c>
      <c r="B94" s="211" t="s">
        <v>43</v>
      </c>
      <c r="C94" s="211" t="s">
        <v>43</v>
      </c>
      <c r="D94" s="211" t="s">
        <v>43</v>
      </c>
      <c r="E94" s="64">
        <v>3.56</v>
      </c>
      <c r="F94" s="64">
        <v>9.3000000000000007</v>
      </c>
      <c r="G94" s="64">
        <v>45.51</v>
      </c>
      <c r="H94" s="64">
        <v>1.4</v>
      </c>
      <c r="I94" s="64">
        <v>3.92</v>
      </c>
      <c r="J94" s="64">
        <v>2.2999999999999998</v>
      </c>
      <c r="K94" s="64">
        <v>164.95</v>
      </c>
      <c r="L94" s="64">
        <v>24.16</v>
      </c>
      <c r="M94" s="64">
        <v>55.17</v>
      </c>
      <c r="N94" s="64">
        <v>82.5</v>
      </c>
      <c r="O94" s="64">
        <v>0</v>
      </c>
      <c r="P94" s="64">
        <v>0.56999999999999995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5" t="s">
        <v>620</v>
      </c>
      <c r="B95" s="211" t="s">
        <v>43</v>
      </c>
      <c r="C95" s="211" t="s">
        <v>43</v>
      </c>
      <c r="D95" s="211" t="s">
        <v>43</v>
      </c>
      <c r="E95" s="64">
        <v>3.74</v>
      </c>
      <c r="F95" s="64">
        <v>11.63</v>
      </c>
      <c r="G95" s="64">
        <v>45.86</v>
      </c>
      <c r="H95" s="64">
        <v>16.18</v>
      </c>
      <c r="I95" s="64">
        <v>4.03</v>
      </c>
      <c r="J95" s="64">
        <v>1.89</v>
      </c>
      <c r="K95" s="64">
        <v>167.13</v>
      </c>
      <c r="L95" s="64">
        <v>23.8</v>
      </c>
      <c r="M95" s="64">
        <v>58.43</v>
      </c>
      <c r="N95" s="64">
        <v>83.8</v>
      </c>
      <c r="O95" s="64">
        <v>0</v>
      </c>
      <c r="P95" s="64">
        <v>0.55000000000000004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5" t="s">
        <v>621</v>
      </c>
      <c r="B96" s="211" t="s">
        <v>43</v>
      </c>
      <c r="C96" s="211" t="s">
        <v>43</v>
      </c>
      <c r="D96" s="211" t="s">
        <v>43</v>
      </c>
      <c r="E96" s="64">
        <v>3.54</v>
      </c>
      <c r="F96" s="64">
        <v>8.33</v>
      </c>
      <c r="G96" s="64">
        <v>46.25</v>
      </c>
      <c r="H96" s="64">
        <v>30.62</v>
      </c>
      <c r="I96" s="64">
        <v>4.04</v>
      </c>
      <c r="J96" s="64">
        <v>1.74</v>
      </c>
      <c r="K96" s="64">
        <v>159.86000000000001</v>
      </c>
      <c r="L96" s="64">
        <v>23.49</v>
      </c>
      <c r="M96" s="64">
        <v>60.81</v>
      </c>
      <c r="N96" s="64">
        <v>84.5</v>
      </c>
      <c r="O96" s="64">
        <v>0</v>
      </c>
      <c r="P96" s="64">
        <v>0.56000000000000005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622</v>
      </c>
      <c r="B97" s="211" t="s">
        <v>43</v>
      </c>
      <c r="C97" s="211" t="s">
        <v>43</v>
      </c>
      <c r="D97" s="211" t="s">
        <v>43</v>
      </c>
      <c r="E97" s="64">
        <v>3.82</v>
      </c>
      <c r="F97" s="64">
        <v>10.93</v>
      </c>
      <c r="G97" s="64">
        <v>46.25</v>
      </c>
      <c r="H97" s="64">
        <v>30.62</v>
      </c>
      <c r="I97" s="64">
        <v>4.0199999999999996</v>
      </c>
      <c r="J97" s="64">
        <v>1.82</v>
      </c>
      <c r="K97" s="64">
        <v>167.7</v>
      </c>
      <c r="L97" s="64">
        <v>23.25</v>
      </c>
      <c r="M97" s="64">
        <v>62.27</v>
      </c>
      <c r="N97" s="64">
        <v>84.3</v>
      </c>
      <c r="O97" s="64">
        <v>0</v>
      </c>
      <c r="P97" s="64">
        <v>0.55000000000000004</v>
      </c>
      <c r="Q97" s="64">
        <v>9.56</v>
      </c>
      <c r="R97" s="198"/>
      <c r="S97" s="198"/>
      <c r="T97" s="198"/>
      <c r="U97" s="198"/>
    </row>
    <row r="98" spans="1:33" s="12" customFormat="1" x14ac:dyDescent="0.25">
      <c r="A98" s="215" t="s">
        <v>623</v>
      </c>
      <c r="B98" s="211" t="s">
        <v>43</v>
      </c>
      <c r="C98" s="211" t="s">
        <v>43</v>
      </c>
      <c r="D98" s="211" t="s">
        <v>43</v>
      </c>
      <c r="E98" s="64">
        <v>3.6</v>
      </c>
      <c r="F98" s="64">
        <v>9.77</v>
      </c>
      <c r="G98" s="64">
        <v>46.25</v>
      </c>
      <c r="H98" s="64">
        <v>30.62</v>
      </c>
      <c r="I98" s="64">
        <v>3.88</v>
      </c>
      <c r="J98" s="64">
        <v>1.58</v>
      </c>
      <c r="K98" s="64">
        <v>148.63</v>
      </c>
      <c r="L98" s="64">
        <v>23.14</v>
      </c>
      <c r="M98" s="64">
        <v>63.47</v>
      </c>
      <c r="N98" s="64">
        <v>84.6</v>
      </c>
      <c r="O98" s="64">
        <v>0</v>
      </c>
      <c r="P98" s="64">
        <v>0.55000000000000004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5" t="s">
        <v>624</v>
      </c>
      <c r="B99" s="211" t="s">
        <v>43</v>
      </c>
      <c r="C99" s="211" t="s">
        <v>43</v>
      </c>
      <c r="D99" s="211" t="s">
        <v>43</v>
      </c>
      <c r="E99" s="64">
        <v>3.51</v>
      </c>
      <c r="F99" s="64">
        <v>9.44</v>
      </c>
      <c r="G99" s="64">
        <v>44</v>
      </c>
      <c r="H99" s="64">
        <v>24.14</v>
      </c>
      <c r="I99" s="64">
        <v>3.95</v>
      </c>
      <c r="J99" s="64">
        <v>2.12</v>
      </c>
      <c r="K99" s="64">
        <v>166.7</v>
      </c>
      <c r="L99" s="64">
        <v>22.87</v>
      </c>
      <c r="M99" s="64">
        <v>65.239999999999995</v>
      </c>
      <c r="N99" s="64">
        <v>85.2</v>
      </c>
      <c r="O99" s="64">
        <v>0</v>
      </c>
      <c r="P99" s="64">
        <v>0.55000000000000004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5" t="s">
        <v>625</v>
      </c>
      <c r="B100" s="211" t="s">
        <v>43</v>
      </c>
      <c r="C100" s="211" t="s">
        <v>43</v>
      </c>
      <c r="D100" s="211" t="s">
        <v>43</v>
      </c>
      <c r="E100" s="64">
        <v>3.56</v>
      </c>
      <c r="F100" s="64">
        <v>11.44</v>
      </c>
      <c r="G100" s="64">
        <v>41.65</v>
      </c>
      <c r="H100" s="64">
        <v>17.07</v>
      </c>
      <c r="I100" s="64">
        <v>3.82</v>
      </c>
      <c r="J100" s="64">
        <v>1.71</v>
      </c>
      <c r="K100" s="64">
        <v>159.27000000000001</v>
      </c>
      <c r="L100" s="64">
        <v>22.68</v>
      </c>
      <c r="M100" s="64">
        <v>66.13</v>
      </c>
      <c r="N100" s="64">
        <v>86.1</v>
      </c>
      <c r="O100" s="64">
        <v>0</v>
      </c>
      <c r="P100" s="64">
        <v>0.53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626</v>
      </c>
      <c r="B101" s="211" t="s">
        <v>43</v>
      </c>
      <c r="C101" s="211" t="s">
        <v>43</v>
      </c>
      <c r="D101" s="211" t="s">
        <v>43</v>
      </c>
      <c r="E101" s="64">
        <v>3.37</v>
      </c>
      <c r="F101" s="64">
        <v>9.24</v>
      </c>
      <c r="G101" s="64">
        <v>41.65</v>
      </c>
      <c r="H101" s="64">
        <v>17.07</v>
      </c>
      <c r="I101" s="64">
        <v>3.83</v>
      </c>
      <c r="J101" s="64">
        <v>2.4700000000000002</v>
      </c>
      <c r="K101" s="64">
        <v>161.65</v>
      </c>
      <c r="L101" s="64">
        <v>22.58</v>
      </c>
      <c r="M101" s="64">
        <v>66.489999999999995</v>
      </c>
      <c r="N101" s="64">
        <v>85.6</v>
      </c>
      <c r="O101" s="64">
        <v>0</v>
      </c>
      <c r="P101" s="64">
        <v>0.54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5" t="s">
        <v>627</v>
      </c>
      <c r="B102" s="211" t="s">
        <v>43</v>
      </c>
      <c r="C102" s="211" t="s">
        <v>43</v>
      </c>
      <c r="D102" s="211" t="s">
        <v>43</v>
      </c>
      <c r="E102" s="64">
        <v>3.48</v>
      </c>
      <c r="F102" s="64">
        <v>11.05</v>
      </c>
      <c r="G102" s="64">
        <v>41.65</v>
      </c>
      <c r="H102" s="64">
        <v>17.07</v>
      </c>
      <c r="I102" s="64">
        <v>3.91</v>
      </c>
      <c r="J102" s="64">
        <v>2.1800000000000002</v>
      </c>
      <c r="K102" s="64">
        <v>168.62</v>
      </c>
      <c r="L102" s="64">
        <v>22.45</v>
      </c>
      <c r="M102" s="64">
        <v>67.56</v>
      </c>
      <c r="N102" s="64">
        <v>86.1</v>
      </c>
      <c r="O102" s="64">
        <v>0</v>
      </c>
      <c r="P102" s="64">
        <v>0.53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5" t="s">
        <v>628</v>
      </c>
      <c r="B103" s="211" t="s">
        <v>43</v>
      </c>
      <c r="C103" s="211" t="s">
        <v>43</v>
      </c>
      <c r="D103" s="211" t="s">
        <v>43</v>
      </c>
      <c r="E103" s="64">
        <v>3.53</v>
      </c>
      <c r="F103" s="64">
        <v>12.39</v>
      </c>
      <c r="G103" s="64">
        <v>40.74</v>
      </c>
      <c r="H103" s="64">
        <v>13.47</v>
      </c>
      <c r="I103" s="64">
        <v>4</v>
      </c>
      <c r="J103" s="64">
        <v>2.13</v>
      </c>
      <c r="K103" s="64">
        <v>169.16</v>
      </c>
      <c r="L103" s="64">
        <v>22.16</v>
      </c>
      <c r="M103" s="64">
        <v>69.56</v>
      </c>
      <c r="N103" s="64">
        <v>87.4</v>
      </c>
      <c r="O103" s="64">
        <v>0</v>
      </c>
      <c r="P103" s="64">
        <v>0.51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5" t="s">
        <v>629</v>
      </c>
      <c r="B104" s="211" t="s">
        <v>43</v>
      </c>
      <c r="C104" s="211" t="s">
        <v>43</v>
      </c>
      <c r="D104" s="211" t="s">
        <v>43</v>
      </c>
      <c r="E104" s="64">
        <v>3.22</v>
      </c>
      <c r="F104" s="64">
        <v>13.27</v>
      </c>
      <c r="G104" s="64">
        <v>39.79</v>
      </c>
      <c r="H104" s="64">
        <v>9.6999999999999993</v>
      </c>
      <c r="I104" s="64">
        <v>4.13</v>
      </c>
      <c r="J104" s="64">
        <v>1.24</v>
      </c>
      <c r="K104" s="64">
        <v>176.83</v>
      </c>
      <c r="L104" s="64">
        <v>21.78</v>
      </c>
      <c r="M104" s="64">
        <v>72.040000000000006</v>
      </c>
      <c r="N104" s="64">
        <v>88.5</v>
      </c>
      <c r="O104" s="64">
        <v>0</v>
      </c>
      <c r="P104" s="64">
        <v>0.5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1.97</v>
      </c>
      <c r="F106" s="67">
        <f t="shared" si="0"/>
        <v>5.71</v>
      </c>
      <c r="G106" s="67">
        <f t="shared" si="0"/>
        <v>29.37</v>
      </c>
      <c r="H106" s="67">
        <f t="shared" si="0"/>
        <v>0.02</v>
      </c>
      <c r="I106" s="67">
        <f t="shared" si="0"/>
        <v>3.82</v>
      </c>
      <c r="J106" s="67">
        <f t="shared" si="0"/>
        <v>0.17</v>
      </c>
      <c r="K106" s="67">
        <f t="shared" si="0"/>
        <v>22.19</v>
      </c>
      <c r="L106" s="67">
        <f t="shared" si="0"/>
        <v>18.579999999999998</v>
      </c>
      <c r="M106" s="67">
        <f t="shared" si="0"/>
        <v>33.81</v>
      </c>
      <c r="N106" s="67">
        <f t="shared" si="0"/>
        <v>35.200000000000003</v>
      </c>
      <c r="O106" s="67">
        <f t="shared" si="0"/>
        <v>0</v>
      </c>
      <c r="P106" s="67">
        <f t="shared" si="0"/>
        <v>0.47</v>
      </c>
      <c r="Q106" s="67">
        <f t="shared" si="0"/>
        <v>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7.87</v>
      </c>
      <c r="F107" s="66">
        <f t="shared" si="1"/>
        <v>32.200000000000003</v>
      </c>
      <c r="G107" s="66">
        <f t="shared" si="1"/>
        <v>61.26</v>
      </c>
      <c r="H107" s="66">
        <f t="shared" si="1"/>
        <v>72.069999999999993</v>
      </c>
      <c r="I107" s="66">
        <f t="shared" si="1"/>
        <v>4.1900000000000004</v>
      </c>
      <c r="J107" s="66">
        <f t="shared" si="1"/>
        <v>2.73</v>
      </c>
      <c r="K107" s="66">
        <f t="shared" si="1"/>
        <v>335.4</v>
      </c>
      <c r="L107" s="66">
        <f t="shared" si="1"/>
        <v>32.17</v>
      </c>
      <c r="M107" s="66">
        <f t="shared" si="1"/>
        <v>100.23</v>
      </c>
      <c r="N107" s="66">
        <f t="shared" si="1"/>
        <v>928.1</v>
      </c>
      <c r="O107" s="66">
        <f t="shared" si="1"/>
        <v>0</v>
      </c>
      <c r="P107" s="66">
        <f t="shared" si="1"/>
        <v>0.84</v>
      </c>
      <c r="Q107" s="66">
        <f t="shared" si="1"/>
        <v>9.58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3.7445833333333343</v>
      </c>
      <c r="F108" s="67">
        <f t="shared" si="2"/>
        <v>11.738750000000001</v>
      </c>
      <c r="G108" s="67">
        <f t="shared" si="2"/>
        <v>47.793229166666663</v>
      </c>
      <c r="H108" s="67">
        <f t="shared" si="2"/>
        <v>20.458550724637675</v>
      </c>
      <c r="I108" s="67">
        <f t="shared" si="2"/>
        <v>3.9883333333333337</v>
      </c>
      <c r="J108" s="67">
        <f t="shared" si="2"/>
        <v>1.7268750000000004</v>
      </c>
      <c r="K108" s="67">
        <f t="shared" si="2"/>
        <v>219.45520833333342</v>
      </c>
      <c r="L108" s="67">
        <f t="shared" si="2"/>
        <v>24.170208333333324</v>
      </c>
      <c r="M108" s="67">
        <f t="shared" si="2"/>
        <v>63.721145833333374</v>
      </c>
      <c r="N108" s="67">
        <f t="shared" si="2"/>
        <v>203.8416666666667</v>
      </c>
      <c r="O108" s="67">
        <f t="shared" si="2"/>
        <v>0</v>
      </c>
      <c r="P108" s="67">
        <f t="shared" si="2"/>
        <v>0.62385416666666649</v>
      </c>
      <c r="Q108" s="67">
        <f t="shared" si="2"/>
        <v>9.5392708333333225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1.1769460182287692</v>
      </c>
      <c r="F109" s="67">
        <f t="shared" si="3"/>
        <v>5.683883818583725</v>
      </c>
      <c r="G109" s="67">
        <f t="shared" si="3"/>
        <v>6.7315678153155831</v>
      </c>
      <c r="H109" s="67">
        <f t="shared" si="3"/>
        <v>17.162795713176845</v>
      </c>
      <c r="I109" s="67">
        <f t="shared" si="3"/>
        <v>8.3397168532859917E-2</v>
      </c>
      <c r="J109" s="67">
        <f t="shared" si="3"/>
        <v>0.61933293911569365</v>
      </c>
      <c r="K109" s="67">
        <f t="shared" si="3"/>
        <v>82.18861982920636</v>
      </c>
      <c r="L109" s="67">
        <f t="shared" si="3"/>
        <v>4.2034174014577239</v>
      </c>
      <c r="M109" s="67">
        <f t="shared" si="3"/>
        <v>23.242729066585792</v>
      </c>
      <c r="N109" s="67">
        <f t="shared" si="3"/>
        <v>222.20259682345687</v>
      </c>
      <c r="O109" s="67">
        <f t="shared" si="3"/>
        <v>0</v>
      </c>
      <c r="P109" s="67">
        <f t="shared" si="3"/>
        <v>9.7768467542529408E-2</v>
      </c>
      <c r="Q109" s="67">
        <f t="shared" si="3"/>
        <v>1.7666190824442731E-2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630</v>
      </c>
      <c r="B9" s="211" t="s">
        <v>43</v>
      </c>
      <c r="C9" s="211" t="s">
        <v>43</v>
      </c>
      <c r="D9" s="211" t="s">
        <v>43</v>
      </c>
      <c r="E9" s="64">
        <v>3.16</v>
      </c>
      <c r="F9" s="64">
        <v>11.98</v>
      </c>
      <c r="G9" s="64">
        <v>39.79</v>
      </c>
      <c r="H9" s="64">
        <v>9.6999999999999993</v>
      </c>
      <c r="I9" s="64">
        <v>4.0199999999999996</v>
      </c>
      <c r="J9" s="64">
        <v>1.52</v>
      </c>
      <c r="K9" s="64">
        <v>214</v>
      </c>
      <c r="L9" s="64">
        <v>21.64</v>
      </c>
      <c r="M9" s="64">
        <v>72.7</v>
      </c>
      <c r="N9" s="64">
        <v>88.1</v>
      </c>
      <c r="O9" s="64">
        <v>0</v>
      </c>
      <c r="P9" s="64">
        <v>0.5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5" t="s">
        <v>631</v>
      </c>
      <c r="B10" s="211" t="s">
        <v>43</v>
      </c>
      <c r="C10" s="211" t="s">
        <v>43</v>
      </c>
      <c r="D10" s="211" t="s">
        <v>43</v>
      </c>
      <c r="E10" s="64">
        <v>3.07</v>
      </c>
      <c r="F10" s="64">
        <v>11.13</v>
      </c>
      <c r="G10" s="64">
        <v>39.79</v>
      </c>
      <c r="H10" s="64">
        <v>9.6999999999999993</v>
      </c>
      <c r="I10" s="64">
        <v>3.99</v>
      </c>
      <c r="J10" s="64">
        <v>1.33</v>
      </c>
      <c r="K10" s="64">
        <v>238.15</v>
      </c>
      <c r="L10" s="64">
        <v>21.65</v>
      </c>
      <c r="M10" s="64">
        <v>71.97</v>
      </c>
      <c r="N10" s="64">
        <v>87.9</v>
      </c>
      <c r="O10" s="64">
        <v>0</v>
      </c>
      <c r="P10" s="64">
        <v>0.5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5" t="s">
        <v>632</v>
      </c>
      <c r="B11" s="211" t="s">
        <v>43</v>
      </c>
      <c r="C11" s="211" t="s">
        <v>43</v>
      </c>
      <c r="D11" s="211" t="s">
        <v>43</v>
      </c>
      <c r="E11" s="64">
        <v>3.11</v>
      </c>
      <c r="F11" s="64">
        <v>8.5500000000000007</v>
      </c>
      <c r="G11" s="64">
        <v>37.869999999999997</v>
      </c>
      <c r="H11" s="64">
        <v>15.48</v>
      </c>
      <c r="I11" s="64">
        <v>4.04</v>
      </c>
      <c r="J11" s="64">
        <v>1.79</v>
      </c>
      <c r="K11" s="64">
        <v>151.47999999999999</v>
      </c>
      <c r="L11" s="64">
        <v>21.55</v>
      </c>
      <c r="M11" s="64">
        <v>72.48</v>
      </c>
      <c r="N11" s="64">
        <v>88</v>
      </c>
      <c r="O11" s="64">
        <v>0</v>
      </c>
      <c r="P11" s="64">
        <v>0.51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5" t="s">
        <v>633</v>
      </c>
      <c r="B12" s="211" t="s">
        <v>43</v>
      </c>
      <c r="C12" s="211" t="s">
        <v>43</v>
      </c>
      <c r="D12" s="211" t="s">
        <v>43</v>
      </c>
      <c r="E12" s="64">
        <v>3.41</v>
      </c>
      <c r="F12" s="64">
        <v>7.18</v>
      </c>
      <c r="G12" s="64">
        <v>35.78</v>
      </c>
      <c r="H12" s="64">
        <v>20.99</v>
      </c>
      <c r="I12" s="64">
        <v>4.07</v>
      </c>
      <c r="J12" s="64">
        <v>1.5</v>
      </c>
      <c r="K12" s="64">
        <v>185.03</v>
      </c>
      <c r="L12" s="64">
        <v>21.47</v>
      </c>
      <c r="M12" s="64">
        <v>73.89</v>
      </c>
      <c r="N12" s="64">
        <v>88.5</v>
      </c>
      <c r="O12" s="64">
        <v>0</v>
      </c>
      <c r="P12" s="64">
        <v>0.52</v>
      </c>
      <c r="Q12" s="64">
        <v>9.52</v>
      </c>
      <c r="R12" s="198"/>
      <c r="S12" s="198"/>
      <c r="T12" s="198"/>
      <c r="U12" s="198"/>
    </row>
    <row r="13" spans="1:21" s="12" customFormat="1" x14ac:dyDescent="0.25">
      <c r="A13" s="215" t="s">
        <v>634</v>
      </c>
      <c r="B13" s="211" t="s">
        <v>43</v>
      </c>
      <c r="C13" s="211" t="s">
        <v>43</v>
      </c>
      <c r="D13" s="211" t="s">
        <v>43</v>
      </c>
      <c r="E13" s="64">
        <v>3.27</v>
      </c>
      <c r="F13" s="64">
        <v>6.96</v>
      </c>
      <c r="G13" s="64">
        <v>35.78</v>
      </c>
      <c r="H13" s="64">
        <v>20.99</v>
      </c>
      <c r="I13" s="64">
        <v>4.0199999999999996</v>
      </c>
      <c r="J13" s="64">
        <v>2.13</v>
      </c>
      <c r="K13" s="64">
        <v>163.95</v>
      </c>
      <c r="L13" s="64">
        <v>21.51</v>
      </c>
      <c r="M13" s="64">
        <v>74.25</v>
      </c>
      <c r="N13" s="64">
        <v>88.2</v>
      </c>
      <c r="O13" s="64">
        <v>0</v>
      </c>
      <c r="P13" s="64">
        <v>0.48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5" t="s">
        <v>635</v>
      </c>
      <c r="B14" s="211" t="s">
        <v>43</v>
      </c>
      <c r="C14" s="211" t="s">
        <v>43</v>
      </c>
      <c r="D14" s="211" t="s">
        <v>43</v>
      </c>
      <c r="E14" s="64">
        <v>3.03</v>
      </c>
      <c r="F14" s="64">
        <v>11.52</v>
      </c>
      <c r="G14" s="64">
        <v>35.78</v>
      </c>
      <c r="H14" s="64">
        <v>20.99</v>
      </c>
      <c r="I14" s="64">
        <v>4</v>
      </c>
      <c r="J14" s="64">
        <v>0.93</v>
      </c>
      <c r="K14" s="64">
        <v>212.11</v>
      </c>
      <c r="L14" s="64">
        <v>21.23</v>
      </c>
      <c r="M14" s="64">
        <v>76.44</v>
      </c>
      <c r="N14" s="64">
        <v>89.2</v>
      </c>
      <c r="O14" s="64">
        <v>0</v>
      </c>
      <c r="P14" s="64">
        <v>0.46</v>
      </c>
      <c r="Q14" s="64">
        <v>9.59</v>
      </c>
      <c r="R14" s="198"/>
      <c r="S14" s="198"/>
      <c r="T14" s="198"/>
      <c r="U14" s="198"/>
    </row>
    <row r="15" spans="1:21" s="12" customFormat="1" x14ac:dyDescent="0.25">
      <c r="A15" s="215" t="s">
        <v>636</v>
      </c>
      <c r="B15" s="211" t="s">
        <v>43</v>
      </c>
      <c r="C15" s="211" t="s">
        <v>43</v>
      </c>
      <c r="D15" s="211" t="s">
        <v>43</v>
      </c>
      <c r="E15" s="64">
        <v>2.96</v>
      </c>
      <c r="F15" s="64">
        <v>7.96</v>
      </c>
      <c r="G15" s="64">
        <v>34.78</v>
      </c>
      <c r="H15" s="64">
        <v>19.66</v>
      </c>
      <c r="I15" s="64">
        <v>3.97</v>
      </c>
      <c r="J15" s="64">
        <v>1.26</v>
      </c>
      <c r="K15" s="64">
        <v>167.84</v>
      </c>
      <c r="L15" s="64">
        <v>21.06</v>
      </c>
      <c r="M15" s="64">
        <v>77.88</v>
      </c>
      <c r="N15" s="64">
        <v>89.2</v>
      </c>
      <c r="O15" s="64">
        <v>0</v>
      </c>
      <c r="P15" s="64">
        <v>0.49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5" t="s">
        <v>637</v>
      </c>
      <c r="B16" s="211" t="s">
        <v>43</v>
      </c>
      <c r="C16" s="211" t="s">
        <v>43</v>
      </c>
      <c r="D16" s="211" t="s">
        <v>43</v>
      </c>
      <c r="E16" s="64">
        <v>3.01</v>
      </c>
      <c r="F16" s="64">
        <v>9.39</v>
      </c>
      <c r="G16" s="64">
        <v>33.68</v>
      </c>
      <c r="H16" s="64">
        <v>18.350000000000001</v>
      </c>
      <c r="I16" s="64">
        <v>3.82</v>
      </c>
      <c r="J16" s="64">
        <v>1.19</v>
      </c>
      <c r="K16" s="64">
        <v>178.94</v>
      </c>
      <c r="L16" s="64">
        <v>20.86</v>
      </c>
      <c r="M16" s="64">
        <v>79.27</v>
      </c>
      <c r="N16" s="64">
        <v>89.8</v>
      </c>
      <c r="O16" s="64">
        <v>0</v>
      </c>
      <c r="P16" s="64">
        <v>0.46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15" t="s">
        <v>638</v>
      </c>
      <c r="B17" s="211" t="s">
        <v>43</v>
      </c>
      <c r="C17" s="211" t="s">
        <v>43</v>
      </c>
      <c r="D17" s="211" t="s">
        <v>43</v>
      </c>
      <c r="E17" s="64">
        <v>3.12</v>
      </c>
      <c r="F17" s="64">
        <v>7.66</v>
      </c>
      <c r="G17" s="64">
        <v>33.68</v>
      </c>
      <c r="H17" s="64">
        <v>18.350000000000001</v>
      </c>
      <c r="I17" s="64">
        <v>3.93</v>
      </c>
      <c r="J17" s="64">
        <v>1.75</v>
      </c>
      <c r="K17" s="64">
        <v>177.06</v>
      </c>
      <c r="L17" s="64">
        <v>20.81</v>
      </c>
      <c r="M17" s="64">
        <v>79.400000000000006</v>
      </c>
      <c r="N17" s="64">
        <v>89</v>
      </c>
      <c r="O17" s="64">
        <v>0</v>
      </c>
      <c r="P17" s="64">
        <v>0.47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5" t="s">
        <v>639</v>
      </c>
      <c r="B18" s="211" t="s">
        <v>43</v>
      </c>
      <c r="C18" s="211" t="s">
        <v>43</v>
      </c>
      <c r="D18" s="211" t="s">
        <v>43</v>
      </c>
      <c r="E18" s="64">
        <v>2.85</v>
      </c>
      <c r="F18" s="64">
        <v>9.24</v>
      </c>
      <c r="G18" s="64">
        <v>33.68</v>
      </c>
      <c r="H18" s="64">
        <v>18.350000000000001</v>
      </c>
      <c r="I18" s="64">
        <v>3.99</v>
      </c>
      <c r="J18" s="64">
        <v>1.43</v>
      </c>
      <c r="K18" s="64">
        <v>196.6</v>
      </c>
      <c r="L18" s="64">
        <v>20.75</v>
      </c>
      <c r="M18" s="64">
        <v>79.260000000000005</v>
      </c>
      <c r="N18" s="64">
        <v>83.5</v>
      </c>
      <c r="O18" s="64">
        <v>0</v>
      </c>
      <c r="P18" s="64">
        <v>0.46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5" t="s">
        <v>640</v>
      </c>
      <c r="B19" s="211" t="s">
        <v>43</v>
      </c>
      <c r="C19" s="211" t="s">
        <v>43</v>
      </c>
      <c r="D19" s="211" t="s">
        <v>43</v>
      </c>
      <c r="E19" s="64">
        <v>2.85</v>
      </c>
      <c r="F19" s="64">
        <v>8.6300000000000008</v>
      </c>
      <c r="G19" s="64">
        <v>31</v>
      </c>
      <c r="H19" s="64">
        <v>16.670000000000002</v>
      </c>
      <c r="I19" s="64">
        <v>4.0599999999999996</v>
      </c>
      <c r="J19" s="64">
        <v>1.37</v>
      </c>
      <c r="K19" s="64">
        <v>176.66</v>
      </c>
      <c r="L19" s="64">
        <v>20.66</v>
      </c>
      <c r="M19" s="64">
        <v>79.88</v>
      </c>
      <c r="N19" s="64">
        <v>83.1</v>
      </c>
      <c r="O19" s="64">
        <v>0</v>
      </c>
      <c r="P19" s="64">
        <v>0.46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5" t="s">
        <v>641</v>
      </c>
      <c r="B20" s="211" t="s">
        <v>43</v>
      </c>
      <c r="C20" s="211" t="s">
        <v>43</v>
      </c>
      <c r="D20" s="211" t="s">
        <v>43</v>
      </c>
      <c r="E20" s="64">
        <v>2.82</v>
      </c>
      <c r="F20" s="64">
        <v>7.23</v>
      </c>
      <c r="G20" s="64">
        <v>28.08</v>
      </c>
      <c r="H20" s="64">
        <v>15.03</v>
      </c>
      <c r="I20" s="64">
        <v>3.95</v>
      </c>
      <c r="J20" s="64">
        <v>1.82</v>
      </c>
      <c r="K20" s="64">
        <v>178.77</v>
      </c>
      <c r="L20" s="64">
        <v>20.66</v>
      </c>
      <c r="M20" s="64">
        <v>79.569999999999993</v>
      </c>
      <c r="N20" s="64">
        <v>83.2</v>
      </c>
      <c r="O20" s="64">
        <v>0</v>
      </c>
      <c r="P20" s="64">
        <v>0.46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5" t="s">
        <v>642</v>
      </c>
      <c r="B21" s="211" t="s">
        <v>43</v>
      </c>
      <c r="C21" s="211" t="s">
        <v>43</v>
      </c>
      <c r="D21" s="211" t="s">
        <v>43</v>
      </c>
      <c r="E21" s="64">
        <v>2.94</v>
      </c>
      <c r="F21" s="64">
        <v>7.96</v>
      </c>
      <c r="G21" s="64">
        <v>28.08</v>
      </c>
      <c r="H21" s="64">
        <v>15.03</v>
      </c>
      <c r="I21" s="64">
        <v>4.1100000000000003</v>
      </c>
      <c r="J21" s="64">
        <v>1.96</v>
      </c>
      <c r="K21" s="64">
        <v>175.41</v>
      </c>
      <c r="L21" s="64">
        <v>20.62</v>
      </c>
      <c r="M21" s="64">
        <v>79.66</v>
      </c>
      <c r="N21" s="64">
        <v>83.7</v>
      </c>
      <c r="O21" s="64">
        <v>0</v>
      </c>
      <c r="P21" s="64">
        <v>0.45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5" t="s">
        <v>643</v>
      </c>
      <c r="B22" s="211" t="s">
        <v>43</v>
      </c>
      <c r="C22" s="211" t="s">
        <v>43</v>
      </c>
      <c r="D22" s="211" t="s">
        <v>43</v>
      </c>
      <c r="E22" s="64">
        <v>2.68</v>
      </c>
      <c r="F22" s="64">
        <v>9.1300000000000008</v>
      </c>
      <c r="G22" s="64">
        <v>28.08</v>
      </c>
      <c r="H22" s="64">
        <v>15.03</v>
      </c>
      <c r="I22" s="64">
        <v>4.08</v>
      </c>
      <c r="J22" s="64">
        <v>1.93</v>
      </c>
      <c r="K22" s="64">
        <v>158.93</v>
      </c>
      <c r="L22" s="64">
        <v>20.49</v>
      </c>
      <c r="M22" s="64">
        <v>80.94</v>
      </c>
      <c r="N22" s="64">
        <v>84.1</v>
      </c>
      <c r="O22" s="64">
        <v>0</v>
      </c>
      <c r="P22" s="64">
        <v>0.44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15" t="s">
        <v>644</v>
      </c>
      <c r="B23" s="211" t="s">
        <v>43</v>
      </c>
      <c r="C23" s="211" t="s">
        <v>43</v>
      </c>
      <c r="D23" s="211" t="s">
        <v>43</v>
      </c>
      <c r="E23" s="64">
        <v>2.73</v>
      </c>
      <c r="F23" s="64">
        <v>9.51</v>
      </c>
      <c r="G23" s="64">
        <v>27.87</v>
      </c>
      <c r="H23" s="64">
        <v>13.3</v>
      </c>
      <c r="I23" s="64">
        <v>4.04</v>
      </c>
      <c r="J23" s="64">
        <v>1.26</v>
      </c>
      <c r="K23" s="64">
        <v>205.88</v>
      </c>
      <c r="L23" s="64">
        <v>20.43</v>
      </c>
      <c r="M23" s="64">
        <v>81.5</v>
      </c>
      <c r="N23" s="64">
        <v>84.5</v>
      </c>
      <c r="O23" s="64">
        <v>0</v>
      </c>
      <c r="P23" s="64">
        <v>0.44</v>
      </c>
      <c r="Q23" s="64">
        <v>9.6</v>
      </c>
      <c r="R23" s="198"/>
      <c r="S23" s="198"/>
      <c r="T23" s="198"/>
      <c r="U23" s="198"/>
    </row>
    <row r="24" spans="1:21" s="12" customFormat="1" x14ac:dyDescent="0.25">
      <c r="A24" s="215" t="s">
        <v>645</v>
      </c>
      <c r="B24" s="211" t="s">
        <v>43</v>
      </c>
      <c r="C24" s="211" t="s">
        <v>43</v>
      </c>
      <c r="D24" s="211" t="s">
        <v>43</v>
      </c>
      <c r="E24" s="64">
        <v>2.88</v>
      </c>
      <c r="F24" s="64">
        <v>10.93</v>
      </c>
      <c r="G24" s="64">
        <v>27.65</v>
      </c>
      <c r="H24" s="64">
        <v>11.69</v>
      </c>
      <c r="I24" s="64">
        <v>4.1500000000000004</v>
      </c>
      <c r="J24" s="64">
        <v>1.1499999999999999</v>
      </c>
      <c r="K24" s="64">
        <v>236.36</v>
      </c>
      <c r="L24" s="64">
        <v>20.190000000000001</v>
      </c>
      <c r="M24" s="64">
        <v>82.75</v>
      </c>
      <c r="N24" s="64">
        <v>84.9</v>
      </c>
      <c r="O24" s="64">
        <v>0</v>
      </c>
      <c r="P24" s="64">
        <v>0.43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5" t="s">
        <v>646</v>
      </c>
      <c r="B25" s="211" t="s">
        <v>43</v>
      </c>
      <c r="C25" s="211" t="s">
        <v>43</v>
      </c>
      <c r="D25" s="211" t="s">
        <v>43</v>
      </c>
      <c r="E25" s="64">
        <v>2.5499999999999998</v>
      </c>
      <c r="F25" s="64">
        <v>10.55</v>
      </c>
      <c r="G25" s="64">
        <v>27.65</v>
      </c>
      <c r="H25" s="64">
        <v>11.69</v>
      </c>
      <c r="I25" s="64">
        <v>4.0199999999999996</v>
      </c>
      <c r="J25" s="64">
        <v>1.22</v>
      </c>
      <c r="K25" s="64">
        <v>205.65</v>
      </c>
      <c r="L25" s="64">
        <v>19.91</v>
      </c>
      <c r="M25" s="64">
        <v>85.15</v>
      </c>
      <c r="N25" s="64">
        <v>84.4</v>
      </c>
      <c r="O25" s="64">
        <v>0</v>
      </c>
      <c r="P25" s="64">
        <v>0.44</v>
      </c>
      <c r="Q25" s="64">
        <v>9.52</v>
      </c>
      <c r="R25" s="198"/>
      <c r="S25" s="198"/>
      <c r="T25" s="198"/>
      <c r="U25" s="198"/>
    </row>
    <row r="26" spans="1:21" s="12" customFormat="1" x14ac:dyDescent="0.25">
      <c r="A26" s="215" t="s">
        <v>647</v>
      </c>
      <c r="B26" s="211" t="s">
        <v>43</v>
      </c>
      <c r="C26" s="211" t="s">
        <v>43</v>
      </c>
      <c r="D26" s="211" t="s">
        <v>43</v>
      </c>
      <c r="E26" s="64">
        <v>2.7</v>
      </c>
      <c r="F26" s="64">
        <v>9.51</v>
      </c>
      <c r="G26" s="64">
        <v>27.65</v>
      </c>
      <c r="H26" s="64">
        <v>11.69</v>
      </c>
      <c r="I26" s="64">
        <v>4.09</v>
      </c>
      <c r="J26" s="64">
        <v>1.07</v>
      </c>
      <c r="K26" s="64">
        <v>278.45999999999998</v>
      </c>
      <c r="L26" s="64">
        <v>19.64</v>
      </c>
      <c r="M26" s="64">
        <v>87.28</v>
      </c>
      <c r="N26" s="64">
        <v>84.5</v>
      </c>
      <c r="O26" s="64">
        <v>0</v>
      </c>
      <c r="P26" s="64">
        <v>0.45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5" t="s">
        <v>648</v>
      </c>
      <c r="B27" s="211" t="s">
        <v>43</v>
      </c>
      <c r="C27" s="211" t="s">
        <v>43</v>
      </c>
      <c r="D27" s="211" t="s">
        <v>43</v>
      </c>
      <c r="E27" s="64">
        <v>3.07</v>
      </c>
      <c r="F27" s="64">
        <v>9.89</v>
      </c>
      <c r="G27" s="64">
        <v>28.45</v>
      </c>
      <c r="H27" s="64">
        <v>12.85</v>
      </c>
      <c r="I27" s="64">
        <v>4</v>
      </c>
      <c r="J27" s="64">
        <v>1</v>
      </c>
      <c r="K27" s="64">
        <v>288.89999999999998</v>
      </c>
      <c r="L27" s="64">
        <v>19.5</v>
      </c>
      <c r="M27" s="64">
        <v>88.73</v>
      </c>
      <c r="N27" s="64">
        <v>84.3</v>
      </c>
      <c r="O27" s="64">
        <v>0</v>
      </c>
      <c r="P27" s="64">
        <v>0.45</v>
      </c>
      <c r="Q27" s="64">
        <v>9.59</v>
      </c>
      <c r="R27" s="198"/>
      <c r="S27" s="198"/>
      <c r="T27" s="198"/>
      <c r="U27" s="198"/>
    </row>
    <row r="28" spans="1:21" s="12" customFormat="1" x14ac:dyDescent="0.25">
      <c r="A28" s="215" t="s">
        <v>649</v>
      </c>
      <c r="B28" s="211" t="s">
        <v>43</v>
      </c>
      <c r="C28" s="211" t="s">
        <v>43</v>
      </c>
      <c r="D28" s="211" t="s">
        <v>43</v>
      </c>
      <c r="E28" s="64">
        <v>2.87</v>
      </c>
      <c r="F28" s="64">
        <v>8.82</v>
      </c>
      <c r="G28" s="64">
        <v>29.33</v>
      </c>
      <c r="H28" s="64">
        <v>13.76</v>
      </c>
      <c r="I28" s="64">
        <v>4.1500000000000004</v>
      </c>
      <c r="J28" s="64">
        <v>1.1000000000000001</v>
      </c>
      <c r="K28" s="64">
        <v>214.6</v>
      </c>
      <c r="L28" s="64">
        <v>19.48</v>
      </c>
      <c r="M28" s="64">
        <v>89.18</v>
      </c>
      <c r="N28" s="64">
        <v>84</v>
      </c>
      <c r="O28" s="64">
        <v>0</v>
      </c>
      <c r="P28" s="64">
        <v>0.46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5" t="s">
        <v>650</v>
      </c>
      <c r="B29" s="211" t="s">
        <v>43</v>
      </c>
      <c r="C29" s="211" t="s">
        <v>43</v>
      </c>
      <c r="D29" s="211" t="s">
        <v>43</v>
      </c>
      <c r="E29" s="64">
        <v>2.86</v>
      </c>
      <c r="F29" s="64">
        <v>7.1</v>
      </c>
      <c r="G29" s="64">
        <v>29.33</v>
      </c>
      <c r="H29" s="64">
        <v>13.76</v>
      </c>
      <c r="I29" s="64">
        <v>4</v>
      </c>
      <c r="J29" s="64">
        <v>1.1499999999999999</v>
      </c>
      <c r="K29" s="64">
        <v>210.01</v>
      </c>
      <c r="L29" s="64">
        <v>19.54</v>
      </c>
      <c r="M29" s="64">
        <v>89.53</v>
      </c>
      <c r="N29" s="64">
        <v>83.6</v>
      </c>
      <c r="O29" s="64">
        <v>0</v>
      </c>
      <c r="P29" s="64">
        <v>0.46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5" t="s">
        <v>651</v>
      </c>
      <c r="B30" s="211" t="s">
        <v>43</v>
      </c>
      <c r="C30" s="211" t="s">
        <v>43</v>
      </c>
      <c r="D30" s="211" t="s">
        <v>43</v>
      </c>
      <c r="E30" s="64">
        <v>2.78</v>
      </c>
      <c r="F30" s="64">
        <v>6.79</v>
      </c>
      <c r="G30" s="64">
        <v>29.33</v>
      </c>
      <c r="H30" s="64">
        <v>13.76</v>
      </c>
      <c r="I30" s="64">
        <v>3.91</v>
      </c>
      <c r="J30" s="64">
        <v>0.97</v>
      </c>
      <c r="K30" s="64">
        <v>231.92</v>
      </c>
      <c r="L30" s="64">
        <v>19.329999999999998</v>
      </c>
      <c r="M30" s="64">
        <v>90.93</v>
      </c>
      <c r="N30" s="64">
        <v>83.9</v>
      </c>
      <c r="O30" s="64">
        <v>0</v>
      </c>
      <c r="P30" s="64">
        <v>0.47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15" t="s">
        <v>652</v>
      </c>
      <c r="B31" s="211" t="s">
        <v>43</v>
      </c>
      <c r="C31" s="211" t="s">
        <v>43</v>
      </c>
      <c r="D31" s="211" t="s">
        <v>43</v>
      </c>
      <c r="E31" s="64">
        <v>2.79</v>
      </c>
      <c r="F31" s="64">
        <v>7.54</v>
      </c>
      <c r="G31" s="64">
        <v>30.06</v>
      </c>
      <c r="H31" s="64">
        <v>11.11</v>
      </c>
      <c r="I31" s="64">
        <v>4.0199999999999996</v>
      </c>
      <c r="J31" s="64">
        <v>1.33</v>
      </c>
      <c r="K31" s="64">
        <v>261.45</v>
      </c>
      <c r="L31" s="64">
        <v>19.18</v>
      </c>
      <c r="M31" s="64">
        <v>92</v>
      </c>
      <c r="N31" s="64">
        <v>84.7</v>
      </c>
      <c r="O31" s="64">
        <v>0</v>
      </c>
      <c r="P31" s="64">
        <v>0.47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5" t="s">
        <v>653</v>
      </c>
      <c r="B32" s="211" t="s">
        <v>43</v>
      </c>
      <c r="C32" s="211" t="s">
        <v>43</v>
      </c>
      <c r="D32" s="211" t="s">
        <v>43</v>
      </c>
      <c r="E32" s="64">
        <v>2.66</v>
      </c>
      <c r="F32" s="64">
        <v>6.4</v>
      </c>
      <c r="G32" s="64">
        <v>30.85</v>
      </c>
      <c r="H32" s="64">
        <v>8.6999999999999993</v>
      </c>
      <c r="I32" s="64">
        <v>4.0199999999999996</v>
      </c>
      <c r="J32" s="64">
        <v>1.34</v>
      </c>
      <c r="K32" s="64">
        <v>201.92</v>
      </c>
      <c r="L32" s="64">
        <v>19.11</v>
      </c>
      <c r="M32" s="64">
        <v>92.8</v>
      </c>
      <c r="N32" s="64">
        <v>90.9</v>
      </c>
      <c r="O32" s="64">
        <v>0</v>
      </c>
      <c r="P32" s="64">
        <v>0.48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5" t="s">
        <v>654</v>
      </c>
      <c r="B33" s="211" t="s">
        <v>43</v>
      </c>
      <c r="C33" s="211" t="s">
        <v>43</v>
      </c>
      <c r="D33" s="211" t="s">
        <v>43</v>
      </c>
      <c r="E33" s="64">
        <v>2.71</v>
      </c>
      <c r="F33" s="64">
        <v>6.66</v>
      </c>
      <c r="G33" s="64">
        <v>30.85</v>
      </c>
      <c r="H33" s="64">
        <v>8.6999999999999993</v>
      </c>
      <c r="I33" s="64">
        <v>3.9</v>
      </c>
      <c r="J33" s="64">
        <v>1.23</v>
      </c>
      <c r="K33" s="64">
        <v>218.29</v>
      </c>
      <c r="L33" s="64">
        <v>19.239999999999998</v>
      </c>
      <c r="M33" s="64">
        <v>92.93</v>
      </c>
      <c r="N33" s="64">
        <v>107.7</v>
      </c>
      <c r="O33" s="64">
        <v>0</v>
      </c>
      <c r="P33" s="64">
        <v>0.49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655</v>
      </c>
      <c r="B34" s="211" t="s">
        <v>43</v>
      </c>
      <c r="C34" s="211" t="s">
        <v>43</v>
      </c>
      <c r="D34" s="211" t="s">
        <v>43</v>
      </c>
      <c r="E34" s="64">
        <v>2.5499999999999998</v>
      </c>
      <c r="F34" s="64">
        <v>6.83</v>
      </c>
      <c r="G34" s="64">
        <v>30.85</v>
      </c>
      <c r="H34" s="64">
        <v>8.6999999999999993</v>
      </c>
      <c r="I34" s="64">
        <v>3.98</v>
      </c>
      <c r="J34" s="64">
        <v>1.28</v>
      </c>
      <c r="K34" s="64">
        <v>252.28</v>
      </c>
      <c r="L34" s="64">
        <v>19.47</v>
      </c>
      <c r="M34" s="64">
        <v>91.67</v>
      </c>
      <c r="N34" s="64">
        <v>139.1</v>
      </c>
      <c r="O34" s="64">
        <v>0</v>
      </c>
      <c r="P34" s="64">
        <v>0.49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656</v>
      </c>
      <c r="B35" s="211" t="s">
        <v>43</v>
      </c>
      <c r="C35" s="211" t="s">
        <v>43</v>
      </c>
      <c r="D35" s="211" t="s">
        <v>43</v>
      </c>
      <c r="E35" s="64">
        <v>2.5099999999999998</v>
      </c>
      <c r="F35" s="64">
        <v>6.88</v>
      </c>
      <c r="G35" s="64">
        <v>30.96</v>
      </c>
      <c r="H35" s="64">
        <v>14.44</v>
      </c>
      <c r="I35" s="64">
        <v>4.12</v>
      </c>
      <c r="J35" s="64">
        <v>1.4</v>
      </c>
      <c r="K35" s="64">
        <v>215.51</v>
      </c>
      <c r="L35" s="64">
        <v>20.04</v>
      </c>
      <c r="M35" s="64">
        <v>88.77</v>
      </c>
      <c r="N35" s="64">
        <v>180.8</v>
      </c>
      <c r="O35" s="64">
        <v>0</v>
      </c>
      <c r="P35" s="64">
        <v>0.5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657</v>
      </c>
      <c r="B36" s="211" t="s">
        <v>43</v>
      </c>
      <c r="C36" s="211" t="s">
        <v>43</v>
      </c>
      <c r="D36" s="211" t="s">
        <v>43</v>
      </c>
      <c r="E36" s="64">
        <v>2.56</v>
      </c>
      <c r="F36" s="64">
        <v>6.08</v>
      </c>
      <c r="G36" s="64">
        <v>31.08</v>
      </c>
      <c r="H36" s="64">
        <v>20.309999999999999</v>
      </c>
      <c r="I36" s="64">
        <v>4.1100000000000003</v>
      </c>
      <c r="J36" s="64">
        <v>1.23</v>
      </c>
      <c r="K36" s="64">
        <v>181.49</v>
      </c>
      <c r="L36" s="64">
        <v>20.74</v>
      </c>
      <c r="M36" s="64">
        <v>85.59</v>
      </c>
      <c r="N36" s="64">
        <v>226.8</v>
      </c>
      <c r="O36" s="64">
        <v>0</v>
      </c>
      <c r="P36" s="64">
        <v>0.51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658</v>
      </c>
      <c r="B37" s="211" t="s">
        <v>43</v>
      </c>
      <c r="C37" s="211" t="s">
        <v>43</v>
      </c>
      <c r="D37" s="211" t="s">
        <v>43</v>
      </c>
      <c r="E37" s="64">
        <v>2.8</v>
      </c>
      <c r="F37" s="64">
        <v>6.56</v>
      </c>
      <c r="G37" s="64">
        <v>31.08</v>
      </c>
      <c r="H37" s="64">
        <v>20.309999999999999</v>
      </c>
      <c r="I37" s="64">
        <v>4.01</v>
      </c>
      <c r="J37" s="64">
        <v>1.49</v>
      </c>
      <c r="K37" s="64">
        <v>175.24</v>
      </c>
      <c r="L37" s="64">
        <v>21.31</v>
      </c>
      <c r="M37" s="64">
        <v>83.18</v>
      </c>
      <c r="N37" s="64">
        <v>268.7</v>
      </c>
      <c r="O37" s="64">
        <v>0</v>
      </c>
      <c r="P37" s="64">
        <v>0.48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659</v>
      </c>
      <c r="B38" s="211" t="s">
        <v>43</v>
      </c>
      <c r="C38" s="211" t="s">
        <v>43</v>
      </c>
      <c r="D38" s="211" t="s">
        <v>43</v>
      </c>
      <c r="E38" s="64">
        <v>2.78</v>
      </c>
      <c r="F38" s="64">
        <v>6.67</v>
      </c>
      <c r="G38" s="64">
        <v>31.08</v>
      </c>
      <c r="H38" s="64">
        <v>20.309999999999999</v>
      </c>
      <c r="I38" s="64">
        <v>4.25</v>
      </c>
      <c r="J38" s="64">
        <v>1.76</v>
      </c>
      <c r="K38" s="64">
        <v>164.96</v>
      </c>
      <c r="L38" s="64">
        <v>22.03</v>
      </c>
      <c r="M38" s="64">
        <v>80.42</v>
      </c>
      <c r="N38" s="64">
        <v>315.2</v>
      </c>
      <c r="O38" s="64">
        <v>0</v>
      </c>
      <c r="P38" s="64">
        <v>0.53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660</v>
      </c>
      <c r="B39" s="211" t="s">
        <v>43</v>
      </c>
      <c r="C39" s="211" t="s">
        <v>43</v>
      </c>
      <c r="D39" s="211" t="s">
        <v>43</v>
      </c>
      <c r="E39" s="64">
        <v>2.73</v>
      </c>
      <c r="F39" s="64">
        <v>8.65</v>
      </c>
      <c r="G39" s="64">
        <v>32.54</v>
      </c>
      <c r="H39" s="64">
        <v>19.16</v>
      </c>
      <c r="I39" s="64">
        <v>3.98</v>
      </c>
      <c r="J39" s="64">
        <v>1.33</v>
      </c>
      <c r="K39" s="64">
        <v>222.51</v>
      </c>
      <c r="L39" s="64">
        <v>22.84</v>
      </c>
      <c r="M39" s="64">
        <v>76.680000000000007</v>
      </c>
      <c r="N39" s="64">
        <v>371.6</v>
      </c>
      <c r="O39" s="64">
        <v>0</v>
      </c>
      <c r="P39" s="64">
        <v>0.54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5" t="s">
        <v>661</v>
      </c>
      <c r="B40" s="211" t="s">
        <v>43</v>
      </c>
      <c r="C40" s="211" t="s">
        <v>43</v>
      </c>
      <c r="D40" s="211" t="s">
        <v>43</v>
      </c>
      <c r="E40" s="64">
        <v>2.1800000000000002</v>
      </c>
      <c r="F40" s="64">
        <v>8.32</v>
      </c>
      <c r="G40" s="64">
        <v>34.130000000000003</v>
      </c>
      <c r="H40" s="64">
        <v>18.14</v>
      </c>
      <c r="I40" s="64">
        <v>3.94</v>
      </c>
      <c r="J40" s="64">
        <v>1.3</v>
      </c>
      <c r="K40" s="64">
        <v>229.56</v>
      </c>
      <c r="L40" s="64">
        <v>24.21</v>
      </c>
      <c r="M40" s="64">
        <v>70.430000000000007</v>
      </c>
      <c r="N40" s="64">
        <v>435.5</v>
      </c>
      <c r="O40" s="64">
        <v>0</v>
      </c>
      <c r="P40" s="64">
        <v>0.55000000000000004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5" t="s">
        <v>662</v>
      </c>
      <c r="B41" s="211" t="s">
        <v>43</v>
      </c>
      <c r="C41" s="211" t="s">
        <v>43</v>
      </c>
      <c r="D41" s="211" t="s">
        <v>43</v>
      </c>
      <c r="E41" s="64">
        <v>2.46</v>
      </c>
      <c r="F41" s="64">
        <v>8.58</v>
      </c>
      <c r="G41" s="64">
        <v>34.130000000000003</v>
      </c>
      <c r="H41" s="64">
        <v>18.14</v>
      </c>
      <c r="I41" s="64">
        <v>4.08</v>
      </c>
      <c r="J41" s="64">
        <v>1.43</v>
      </c>
      <c r="K41" s="64">
        <v>242.75</v>
      </c>
      <c r="L41" s="64">
        <v>25.27</v>
      </c>
      <c r="M41" s="64">
        <v>65.73</v>
      </c>
      <c r="N41" s="64">
        <v>491.9</v>
      </c>
      <c r="O41" s="64">
        <v>0</v>
      </c>
      <c r="P41" s="64">
        <v>0.54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663</v>
      </c>
      <c r="B42" s="211" t="s">
        <v>43</v>
      </c>
      <c r="C42" s="211" t="s">
        <v>43</v>
      </c>
      <c r="D42" s="211" t="s">
        <v>43</v>
      </c>
      <c r="E42" s="64">
        <v>3.07</v>
      </c>
      <c r="F42" s="64">
        <v>9.11</v>
      </c>
      <c r="G42" s="64">
        <v>34.130000000000003</v>
      </c>
      <c r="H42" s="64">
        <v>18.14</v>
      </c>
      <c r="I42" s="64">
        <v>3.97</v>
      </c>
      <c r="J42" s="64">
        <v>1.6</v>
      </c>
      <c r="K42" s="64">
        <v>225.7</v>
      </c>
      <c r="L42" s="64">
        <v>26.01</v>
      </c>
      <c r="M42" s="64">
        <v>62.81</v>
      </c>
      <c r="N42" s="64">
        <v>553.5</v>
      </c>
      <c r="O42" s="64">
        <v>0</v>
      </c>
      <c r="P42" s="64">
        <v>0.56000000000000005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664</v>
      </c>
      <c r="B43" s="211" t="s">
        <v>43</v>
      </c>
      <c r="C43" s="211" t="s">
        <v>43</v>
      </c>
      <c r="D43" s="211" t="s">
        <v>43</v>
      </c>
      <c r="E43" s="64">
        <v>2.85</v>
      </c>
      <c r="F43" s="64">
        <v>9.5</v>
      </c>
      <c r="G43" s="64">
        <v>36.22</v>
      </c>
      <c r="H43" s="64">
        <v>22.18</v>
      </c>
      <c r="I43" s="64">
        <v>4.07</v>
      </c>
      <c r="J43" s="64">
        <v>1.18</v>
      </c>
      <c r="K43" s="64">
        <v>237.04</v>
      </c>
      <c r="L43" s="64">
        <v>26.95</v>
      </c>
      <c r="M43" s="64">
        <v>58.99</v>
      </c>
      <c r="N43" s="64">
        <v>603.5</v>
      </c>
      <c r="O43" s="64">
        <v>0</v>
      </c>
      <c r="P43" s="64">
        <v>0.54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665</v>
      </c>
      <c r="B44" s="211" t="s">
        <v>43</v>
      </c>
      <c r="C44" s="211" t="s">
        <v>43</v>
      </c>
      <c r="D44" s="211" t="s">
        <v>43</v>
      </c>
      <c r="E44" s="64">
        <v>3.16</v>
      </c>
      <c r="F44" s="64">
        <v>11.01</v>
      </c>
      <c r="G44" s="64">
        <v>38.51</v>
      </c>
      <c r="H44" s="64">
        <v>24.95</v>
      </c>
      <c r="I44" s="64">
        <v>3.93</v>
      </c>
      <c r="J44" s="64">
        <v>1.73</v>
      </c>
      <c r="K44" s="64">
        <v>198.92</v>
      </c>
      <c r="L44" s="64">
        <v>27.38</v>
      </c>
      <c r="M44" s="64">
        <v>56.62</v>
      </c>
      <c r="N44" s="64">
        <v>660.7</v>
      </c>
      <c r="O44" s="64">
        <v>0</v>
      </c>
      <c r="P44" s="64">
        <v>0.53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15" t="s">
        <v>666</v>
      </c>
      <c r="B45" s="211" t="s">
        <v>43</v>
      </c>
      <c r="C45" s="211" t="s">
        <v>43</v>
      </c>
      <c r="D45" s="211" t="s">
        <v>43</v>
      </c>
      <c r="E45" s="64">
        <v>3.52</v>
      </c>
      <c r="F45" s="64">
        <v>11.74</v>
      </c>
      <c r="G45" s="64">
        <v>38.51</v>
      </c>
      <c r="H45" s="64">
        <v>24.95</v>
      </c>
      <c r="I45" s="64">
        <v>4.0599999999999996</v>
      </c>
      <c r="J45" s="64">
        <v>1.27</v>
      </c>
      <c r="K45" s="64">
        <v>236.22</v>
      </c>
      <c r="L45" s="64">
        <v>28.83</v>
      </c>
      <c r="M45" s="64">
        <v>51.5</v>
      </c>
      <c r="N45" s="64">
        <v>704.1</v>
      </c>
      <c r="O45" s="64">
        <v>0</v>
      </c>
      <c r="P45" s="64">
        <v>0.52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5" t="s">
        <v>667</v>
      </c>
      <c r="B46" s="211" t="s">
        <v>43</v>
      </c>
      <c r="C46" s="211" t="s">
        <v>43</v>
      </c>
      <c r="D46" s="211" t="s">
        <v>43</v>
      </c>
      <c r="E46" s="64">
        <v>3.24</v>
      </c>
      <c r="F46" s="64">
        <v>9.42</v>
      </c>
      <c r="G46" s="64">
        <v>38.51</v>
      </c>
      <c r="H46" s="64">
        <v>24.95</v>
      </c>
      <c r="I46" s="64">
        <v>3.92</v>
      </c>
      <c r="J46" s="64">
        <v>1.5</v>
      </c>
      <c r="K46" s="64">
        <v>237.57</v>
      </c>
      <c r="L46" s="64">
        <v>29.27</v>
      </c>
      <c r="M46" s="64">
        <v>47.4</v>
      </c>
      <c r="N46" s="64">
        <v>748</v>
      </c>
      <c r="O46" s="64">
        <v>0</v>
      </c>
      <c r="P46" s="64">
        <v>0.52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5" t="s">
        <v>668</v>
      </c>
      <c r="B47" s="211" t="s">
        <v>43</v>
      </c>
      <c r="C47" s="211" t="s">
        <v>43</v>
      </c>
      <c r="D47" s="211" t="s">
        <v>43</v>
      </c>
      <c r="E47" s="64">
        <v>3.13</v>
      </c>
      <c r="F47" s="64">
        <v>9.3699999999999992</v>
      </c>
      <c r="G47" s="64">
        <v>37.130000000000003</v>
      </c>
      <c r="H47" s="64">
        <v>21.17</v>
      </c>
      <c r="I47" s="64">
        <v>4.04</v>
      </c>
      <c r="J47" s="64">
        <v>1.41</v>
      </c>
      <c r="K47" s="64">
        <v>228.35</v>
      </c>
      <c r="L47" s="64">
        <v>29.34</v>
      </c>
      <c r="M47" s="64">
        <v>44.85</v>
      </c>
      <c r="N47" s="64">
        <v>791.8</v>
      </c>
      <c r="O47" s="64">
        <v>0</v>
      </c>
      <c r="P47" s="64">
        <v>0.51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5" t="s">
        <v>669</v>
      </c>
      <c r="B48" s="211" t="s">
        <v>43</v>
      </c>
      <c r="C48" s="211" t="s">
        <v>43</v>
      </c>
      <c r="D48" s="211" t="s">
        <v>43</v>
      </c>
      <c r="E48" s="64">
        <v>3</v>
      </c>
      <c r="F48" s="64">
        <v>9.74</v>
      </c>
      <c r="G48" s="64">
        <v>35.619999999999997</v>
      </c>
      <c r="H48" s="64">
        <v>18.79</v>
      </c>
      <c r="I48" s="64">
        <v>4.09</v>
      </c>
      <c r="J48" s="64">
        <v>1.28</v>
      </c>
      <c r="K48" s="64">
        <v>279.75</v>
      </c>
      <c r="L48" s="64">
        <v>30.9</v>
      </c>
      <c r="M48" s="64">
        <v>42.07</v>
      </c>
      <c r="N48" s="64">
        <v>820.5</v>
      </c>
      <c r="O48" s="64">
        <v>0</v>
      </c>
      <c r="P48" s="64">
        <v>0.51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5" t="s">
        <v>670</v>
      </c>
      <c r="B49" s="211" t="s">
        <v>43</v>
      </c>
      <c r="C49" s="211" t="s">
        <v>43</v>
      </c>
      <c r="D49" s="211" t="s">
        <v>43</v>
      </c>
      <c r="E49" s="64">
        <v>2.88</v>
      </c>
      <c r="F49" s="64">
        <v>8.69</v>
      </c>
      <c r="G49" s="64">
        <v>35.619999999999997</v>
      </c>
      <c r="H49" s="64">
        <v>18.79</v>
      </c>
      <c r="I49" s="64">
        <v>3.95</v>
      </c>
      <c r="J49" s="64">
        <v>1.48</v>
      </c>
      <c r="K49" s="64">
        <v>263.58999999999997</v>
      </c>
      <c r="L49" s="64">
        <v>30.76</v>
      </c>
      <c r="M49" s="64">
        <v>40.78</v>
      </c>
      <c r="N49" s="64">
        <v>862</v>
      </c>
      <c r="O49" s="64">
        <v>0</v>
      </c>
      <c r="P49" s="64">
        <v>0.52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5" t="s">
        <v>671</v>
      </c>
      <c r="B50" s="211" t="s">
        <v>43</v>
      </c>
      <c r="C50" s="211" t="s">
        <v>43</v>
      </c>
      <c r="D50" s="211" t="s">
        <v>43</v>
      </c>
      <c r="E50" s="64">
        <v>3.08</v>
      </c>
      <c r="F50" s="64">
        <v>9.4499999999999993</v>
      </c>
      <c r="G50" s="64">
        <v>35.619999999999997</v>
      </c>
      <c r="H50" s="64">
        <v>18.79</v>
      </c>
      <c r="I50" s="64">
        <v>4.0999999999999996</v>
      </c>
      <c r="J50" s="64">
        <v>1.4</v>
      </c>
      <c r="K50" s="64">
        <v>274.99</v>
      </c>
      <c r="L50" s="64">
        <v>31.69</v>
      </c>
      <c r="M50" s="64">
        <v>38.96</v>
      </c>
      <c r="N50" s="64">
        <v>886.4</v>
      </c>
      <c r="O50" s="64">
        <v>0</v>
      </c>
      <c r="P50" s="64">
        <v>0.51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5" t="s">
        <v>672</v>
      </c>
      <c r="B51" s="211" t="s">
        <v>43</v>
      </c>
      <c r="C51" s="211" t="s">
        <v>43</v>
      </c>
      <c r="D51" s="211" t="s">
        <v>43</v>
      </c>
      <c r="E51" s="64">
        <v>3.25</v>
      </c>
      <c r="F51" s="64">
        <v>10.11</v>
      </c>
      <c r="G51" s="64">
        <v>36.25</v>
      </c>
      <c r="H51" s="64">
        <v>19.8</v>
      </c>
      <c r="I51" s="64">
        <v>4</v>
      </c>
      <c r="J51" s="64">
        <v>1.1299999999999999</v>
      </c>
      <c r="K51" s="64">
        <v>278.24</v>
      </c>
      <c r="L51" s="64">
        <v>31.26</v>
      </c>
      <c r="M51" s="64">
        <v>41.97</v>
      </c>
      <c r="N51" s="64">
        <v>912.7</v>
      </c>
      <c r="O51" s="64">
        <v>0</v>
      </c>
      <c r="P51" s="64">
        <v>0.52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5" t="s">
        <v>673</v>
      </c>
      <c r="B52" s="211" t="s">
        <v>43</v>
      </c>
      <c r="C52" s="211" t="s">
        <v>43</v>
      </c>
      <c r="D52" s="211" t="s">
        <v>43</v>
      </c>
      <c r="E52" s="64">
        <v>3.33</v>
      </c>
      <c r="F52" s="64">
        <v>10.16</v>
      </c>
      <c r="G52" s="64">
        <v>36.94</v>
      </c>
      <c r="H52" s="64">
        <v>20.45</v>
      </c>
      <c r="I52" s="64">
        <v>3.81</v>
      </c>
      <c r="J52" s="64">
        <v>1.66</v>
      </c>
      <c r="K52" s="64">
        <v>298.64</v>
      </c>
      <c r="L52" s="64">
        <v>31.68</v>
      </c>
      <c r="M52" s="64">
        <v>42.01</v>
      </c>
      <c r="N52" s="64">
        <v>930.7</v>
      </c>
      <c r="O52" s="64">
        <v>0</v>
      </c>
      <c r="P52" s="64">
        <v>0.51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5" t="s">
        <v>674</v>
      </c>
      <c r="B53" s="211" t="s">
        <v>43</v>
      </c>
      <c r="C53" s="211" t="s">
        <v>43</v>
      </c>
      <c r="D53" s="211" t="s">
        <v>43</v>
      </c>
      <c r="E53" s="64">
        <v>2.84</v>
      </c>
      <c r="F53" s="64">
        <v>9.74</v>
      </c>
      <c r="G53" s="64">
        <v>36.94</v>
      </c>
      <c r="H53" s="64">
        <v>20.45</v>
      </c>
      <c r="I53" s="64">
        <v>4.04</v>
      </c>
      <c r="J53" s="64">
        <v>1.75</v>
      </c>
      <c r="K53" s="64">
        <v>309.95999999999998</v>
      </c>
      <c r="L53" s="64">
        <v>32.21</v>
      </c>
      <c r="M53" s="64">
        <v>39.590000000000003</v>
      </c>
      <c r="N53" s="64">
        <v>945</v>
      </c>
      <c r="O53" s="64">
        <v>0</v>
      </c>
      <c r="P53" s="64">
        <v>0.51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675</v>
      </c>
      <c r="B54" s="211" t="s">
        <v>43</v>
      </c>
      <c r="C54" s="211" t="s">
        <v>43</v>
      </c>
      <c r="D54" s="211" t="s">
        <v>43</v>
      </c>
      <c r="E54" s="64">
        <v>3.03</v>
      </c>
      <c r="F54" s="64">
        <v>9.67</v>
      </c>
      <c r="G54" s="64">
        <v>36.94</v>
      </c>
      <c r="H54" s="64">
        <v>20.45</v>
      </c>
      <c r="I54" s="64">
        <v>3.98</v>
      </c>
      <c r="J54" s="64">
        <v>2.0099999999999998</v>
      </c>
      <c r="K54" s="64">
        <v>306.43</v>
      </c>
      <c r="L54" s="64">
        <v>32.85</v>
      </c>
      <c r="M54" s="64">
        <v>37.380000000000003</v>
      </c>
      <c r="N54" s="64">
        <v>948.4</v>
      </c>
      <c r="O54" s="64">
        <v>0</v>
      </c>
      <c r="P54" s="64">
        <v>0.54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676</v>
      </c>
      <c r="B55" s="211" t="s">
        <v>43</v>
      </c>
      <c r="C55" s="211" t="s">
        <v>43</v>
      </c>
      <c r="D55" s="211" t="s">
        <v>43</v>
      </c>
      <c r="E55" s="64">
        <v>3.15</v>
      </c>
      <c r="F55" s="64">
        <v>11.08</v>
      </c>
      <c r="G55" s="64">
        <v>39.130000000000003</v>
      </c>
      <c r="H55" s="64">
        <v>15.81</v>
      </c>
      <c r="I55" s="64">
        <v>4.01</v>
      </c>
      <c r="J55" s="64">
        <v>0.86</v>
      </c>
      <c r="K55" s="64">
        <v>260.79000000000002</v>
      </c>
      <c r="L55" s="64">
        <v>32.47</v>
      </c>
      <c r="M55" s="64">
        <v>32.24</v>
      </c>
      <c r="N55" s="64">
        <v>981.9</v>
      </c>
      <c r="O55" s="64">
        <v>0</v>
      </c>
      <c r="P55" s="64">
        <v>0.52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5" t="s">
        <v>677</v>
      </c>
      <c r="B56" s="211" t="s">
        <v>43</v>
      </c>
      <c r="C56" s="211" t="s">
        <v>43</v>
      </c>
      <c r="D56" s="211" t="s">
        <v>43</v>
      </c>
      <c r="E56" s="64">
        <v>3.4</v>
      </c>
      <c r="F56" s="64">
        <v>13.91</v>
      </c>
      <c r="G56" s="64">
        <v>41.51</v>
      </c>
      <c r="H56" s="64">
        <v>13.05</v>
      </c>
      <c r="I56" s="64">
        <v>3.92</v>
      </c>
      <c r="J56" s="64">
        <v>1.1599999999999999</v>
      </c>
      <c r="K56" s="64">
        <v>201.95</v>
      </c>
      <c r="L56" s="64">
        <v>32.270000000000003</v>
      </c>
      <c r="M56" s="64">
        <v>28.92</v>
      </c>
      <c r="N56" s="64">
        <v>982.9</v>
      </c>
      <c r="O56" s="64">
        <v>0</v>
      </c>
      <c r="P56" s="64">
        <v>0.49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5" t="s">
        <v>678</v>
      </c>
      <c r="B57" s="211" t="s">
        <v>43</v>
      </c>
      <c r="C57" s="211" t="s">
        <v>43</v>
      </c>
      <c r="D57" s="211" t="s">
        <v>43</v>
      </c>
      <c r="E57" s="64">
        <v>3.92</v>
      </c>
      <c r="F57" s="64">
        <v>21.85</v>
      </c>
      <c r="G57" s="64">
        <v>41.51</v>
      </c>
      <c r="H57" s="64">
        <v>13.05</v>
      </c>
      <c r="I57" s="64">
        <v>4.0199999999999996</v>
      </c>
      <c r="J57" s="64">
        <v>0.53</v>
      </c>
      <c r="K57" s="64">
        <v>192.99</v>
      </c>
      <c r="L57" s="64">
        <v>32.369999999999997</v>
      </c>
      <c r="M57" s="64">
        <v>29.05</v>
      </c>
      <c r="N57" s="64">
        <v>964.3</v>
      </c>
      <c r="O57" s="64">
        <v>0</v>
      </c>
      <c r="P57" s="64">
        <v>0.42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5" t="s">
        <v>679</v>
      </c>
      <c r="B58" s="211" t="s">
        <v>43</v>
      </c>
      <c r="C58" s="211" t="s">
        <v>43</v>
      </c>
      <c r="D58" s="211" t="s">
        <v>43</v>
      </c>
      <c r="E58" s="64">
        <v>3.48</v>
      </c>
      <c r="F58" s="64">
        <v>18.18</v>
      </c>
      <c r="G58" s="64">
        <v>41.51</v>
      </c>
      <c r="H58" s="64">
        <v>13.05</v>
      </c>
      <c r="I58" s="64">
        <v>3.99</v>
      </c>
      <c r="J58" s="64">
        <v>1.34</v>
      </c>
      <c r="K58" s="64">
        <v>182.47</v>
      </c>
      <c r="L58" s="64">
        <v>32.549999999999997</v>
      </c>
      <c r="M58" s="64">
        <v>25.5</v>
      </c>
      <c r="N58" s="64">
        <v>930.5</v>
      </c>
      <c r="O58" s="64">
        <v>0</v>
      </c>
      <c r="P58" s="64">
        <v>0.44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680</v>
      </c>
      <c r="B59" s="211" t="s">
        <v>43</v>
      </c>
      <c r="C59" s="211" t="s">
        <v>43</v>
      </c>
      <c r="D59" s="211" t="s">
        <v>43</v>
      </c>
      <c r="E59" s="64">
        <v>3.76</v>
      </c>
      <c r="F59" s="64">
        <v>17.82</v>
      </c>
      <c r="G59" s="64">
        <v>38.96</v>
      </c>
      <c r="H59" s="64">
        <v>12.07</v>
      </c>
      <c r="I59" s="64">
        <v>4.0999999999999996</v>
      </c>
      <c r="J59" s="64">
        <v>1.91</v>
      </c>
      <c r="K59" s="64">
        <v>315.82</v>
      </c>
      <c r="L59" s="64">
        <v>32.369999999999997</v>
      </c>
      <c r="M59" s="64">
        <v>29.24</v>
      </c>
      <c r="N59" s="64">
        <v>965.5</v>
      </c>
      <c r="O59" s="64">
        <v>0</v>
      </c>
      <c r="P59" s="64">
        <v>0.5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5" t="s">
        <v>681</v>
      </c>
      <c r="B60" s="211" t="s">
        <v>43</v>
      </c>
      <c r="C60" s="211" t="s">
        <v>43</v>
      </c>
      <c r="D60" s="211" t="s">
        <v>43</v>
      </c>
      <c r="E60" s="64">
        <v>4.9800000000000004</v>
      </c>
      <c r="F60" s="64">
        <v>22.17</v>
      </c>
      <c r="G60" s="64">
        <v>36.159999999999997</v>
      </c>
      <c r="H60" s="64">
        <v>11.37</v>
      </c>
      <c r="I60" s="64">
        <v>4.0599999999999996</v>
      </c>
      <c r="J60" s="64">
        <v>0.44</v>
      </c>
      <c r="K60" s="64">
        <v>209.23</v>
      </c>
      <c r="L60" s="64">
        <v>32.83</v>
      </c>
      <c r="M60" s="64">
        <v>24.99</v>
      </c>
      <c r="N60" s="64">
        <v>936.2</v>
      </c>
      <c r="O60" s="64">
        <v>0</v>
      </c>
      <c r="P60" s="64">
        <v>0.52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5" t="s">
        <v>682</v>
      </c>
      <c r="B61" s="211" t="s">
        <v>43</v>
      </c>
      <c r="C61" s="211" t="s">
        <v>43</v>
      </c>
      <c r="D61" s="211" t="s">
        <v>43</v>
      </c>
      <c r="E61" s="64">
        <v>4.95</v>
      </c>
      <c r="F61" s="64">
        <v>18.670000000000002</v>
      </c>
      <c r="G61" s="64">
        <v>36.159999999999997</v>
      </c>
      <c r="H61" s="64">
        <v>11.37</v>
      </c>
      <c r="I61" s="64">
        <v>4</v>
      </c>
      <c r="J61" s="64">
        <v>1.02</v>
      </c>
      <c r="K61" s="64">
        <v>236.24</v>
      </c>
      <c r="L61" s="64">
        <v>33.950000000000003</v>
      </c>
      <c r="M61" s="64">
        <v>17.86</v>
      </c>
      <c r="N61" s="64">
        <v>912.7</v>
      </c>
      <c r="O61" s="64">
        <v>0</v>
      </c>
      <c r="P61" s="64">
        <v>0.44</v>
      </c>
      <c r="Q61" s="213" t="s">
        <v>42</v>
      </c>
      <c r="R61" s="198"/>
      <c r="S61" s="198"/>
      <c r="T61" s="198"/>
      <c r="U61" s="198"/>
    </row>
    <row r="62" spans="1:21" s="12" customFormat="1" x14ac:dyDescent="0.25">
      <c r="A62" s="215" t="s">
        <v>683</v>
      </c>
      <c r="B62" s="211" t="s">
        <v>43</v>
      </c>
      <c r="C62" s="211" t="s">
        <v>43</v>
      </c>
      <c r="D62" s="211" t="s">
        <v>43</v>
      </c>
      <c r="E62" s="64">
        <v>3.54</v>
      </c>
      <c r="F62" s="64">
        <v>26.92</v>
      </c>
      <c r="G62" s="64">
        <v>36.159999999999997</v>
      </c>
      <c r="H62" s="64">
        <v>11.37</v>
      </c>
      <c r="I62" s="64">
        <v>3.97</v>
      </c>
      <c r="J62" s="64">
        <v>1.9</v>
      </c>
      <c r="K62" s="64">
        <v>326.85000000000002</v>
      </c>
      <c r="L62" s="64">
        <v>36.08</v>
      </c>
      <c r="M62" s="64">
        <v>15.49</v>
      </c>
      <c r="N62" s="64">
        <v>901.2</v>
      </c>
      <c r="O62" s="64">
        <v>0</v>
      </c>
      <c r="P62" s="64">
        <v>0.46</v>
      </c>
      <c r="Q62" s="213" t="s">
        <v>42</v>
      </c>
      <c r="R62" s="198"/>
      <c r="S62" s="198"/>
      <c r="T62" s="198"/>
      <c r="U62" s="198"/>
    </row>
    <row r="63" spans="1:21" s="12" customFormat="1" x14ac:dyDescent="0.25">
      <c r="A63" s="215" t="s">
        <v>684</v>
      </c>
      <c r="B63" s="211" t="s">
        <v>43</v>
      </c>
      <c r="C63" s="211" t="s">
        <v>43</v>
      </c>
      <c r="D63" s="211" t="s">
        <v>43</v>
      </c>
      <c r="E63" s="64">
        <v>4.95</v>
      </c>
      <c r="F63" s="64">
        <v>17.54</v>
      </c>
      <c r="G63" s="64">
        <v>29.27</v>
      </c>
      <c r="H63" s="64">
        <v>7.44</v>
      </c>
      <c r="I63" s="64">
        <v>4.04</v>
      </c>
      <c r="J63" s="64">
        <v>2.06</v>
      </c>
      <c r="K63" s="64">
        <v>314.44</v>
      </c>
      <c r="L63" s="64">
        <v>36.909999999999997</v>
      </c>
      <c r="M63" s="64">
        <v>14.81</v>
      </c>
      <c r="N63" s="64">
        <v>714.8</v>
      </c>
      <c r="O63" s="64">
        <v>0</v>
      </c>
      <c r="P63" s="64">
        <v>0.45</v>
      </c>
      <c r="Q63" s="213" t="s">
        <v>42</v>
      </c>
      <c r="R63" s="198"/>
      <c r="S63" s="198"/>
      <c r="T63" s="198"/>
      <c r="U63" s="198"/>
    </row>
    <row r="64" spans="1:21" s="12" customFormat="1" x14ac:dyDescent="0.25">
      <c r="A64" s="215" t="s">
        <v>685</v>
      </c>
      <c r="B64" s="211" t="s">
        <v>43</v>
      </c>
      <c r="C64" s="211" t="s">
        <v>43</v>
      </c>
      <c r="D64" s="211" t="s">
        <v>43</v>
      </c>
      <c r="E64" s="64">
        <v>4.45</v>
      </c>
      <c r="F64" s="64">
        <v>22.21</v>
      </c>
      <c r="G64" s="64">
        <v>23.86</v>
      </c>
      <c r="H64" s="64">
        <v>5.0999999999999996</v>
      </c>
      <c r="I64" s="64">
        <v>3.9</v>
      </c>
      <c r="J64" s="64">
        <v>1.07</v>
      </c>
      <c r="K64" s="64">
        <v>320.36</v>
      </c>
      <c r="L64" s="64">
        <v>34.659999999999997</v>
      </c>
      <c r="M64" s="64">
        <v>15.79</v>
      </c>
      <c r="N64" s="64">
        <v>474</v>
      </c>
      <c r="O64" s="64">
        <v>0</v>
      </c>
      <c r="P64" s="64">
        <v>0.44</v>
      </c>
      <c r="Q64" s="213" t="s">
        <v>42</v>
      </c>
      <c r="R64" s="198"/>
      <c r="S64" s="198"/>
      <c r="T64" s="198"/>
      <c r="U64" s="198"/>
    </row>
    <row r="65" spans="1:21" s="12" customFormat="1" x14ac:dyDescent="0.25">
      <c r="A65" s="215" t="s">
        <v>686</v>
      </c>
      <c r="B65" s="211" t="s">
        <v>43</v>
      </c>
      <c r="C65" s="211" t="s">
        <v>43</v>
      </c>
      <c r="D65" s="211" t="s">
        <v>43</v>
      </c>
      <c r="E65" s="64">
        <v>5.13</v>
      </c>
      <c r="F65" s="64">
        <v>19.989999999999998</v>
      </c>
      <c r="G65" s="64">
        <v>23.86</v>
      </c>
      <c r="H65" s="64">
        <v>5.0999999999999996</v>
      </c>
      <c r="I65" s="64">
        <v>4.0199999999999996</v>
      </c>
      <c r="J65" s="64">
        <v>2.25</v>
      </c>
      <c r="K65" s="64">
        <v>328.89</v>
      </c>
      <c r="L65" s="64">
        <v>34.630000000000003</v>
      </c>
      <c r="M65" s="64">
        <v>20.21</v>
      </c>
      <c r="N65" s="64">
        <v>613.29999999999995</v>
      </c>
      <c r="O65" s="64">
        <v>0</v>
      </c>
      <c r="P65" s="64">
        <v>0.49</v>
      </c>
      <c r="Q65" s="213" t="s">
        <v>42</v>
      </c>
      <c r="R65" s="198"/>
      <c r="S65" s="198"/>
      <c r="T65" s="198"/>
      <c r="U65" s="198"/>
    </row>
    <row r="66" spans="1:21" s="12" customFormat="1" x14ac:dyDescent="0.25">
      <c r="A66" s="215" t="s">
        <v>687</v>
      </c>
      <c r="B66" s="211" t="s">
        <v>43</v>
      </c>
      <c r="C66" s="211" t="s">
        <v>43</v>
      </c>
      <c r="D66" s="211" t="s">
        <v>43</v>
      </c>
      <c r="E66" s="64">
        <v>4.68</v>
      </c>
      <c r="F66" s="64">
        <v>27.19</v>
      </c>
      <c r="G66" s="64">
        <v>23.86</v>
      </c>
      <c r="H66" s="64">
        <v>5.0999999999999996</v>
      </c>
      <c r="I66" s="64">
        <v>4.0199999999999996</v>
      </c>
      <c r="J66" s="64">
        <v>1.27</v>
      </c>
      <c r="K66" s="64">
        <v>322.92</v>
      </c>
      <c r="L66" s="64">
        <v>33.22</v>
      </c>
      <c r="M66" s="64">
        <v>21.17</v>
      </c>
      <c r="N66" s="64">
        <v>427.2</v>
      </c>
      <c r="O66" s="64">
        <v>0</v>
      </c>
      <c r="P66" s="64">
        <v>0.4</v>
      </c>
      <c r="Q66" s="213" t="s">
        <v>42</v>
      </c>
      <c r="R66" s="198"/>
      <c r="S66" s="198"/>
      <c r="T66" s="198"/>
      <c r="U66" s="198"/>
    </row>
    <row r="67" spans="1:21" s="12" customFormat="1" x14ac:dyDescent="0.25">
      <c r="A67" s="215" t="s">
        <v>688</v>
      </c>
      <c r="B67" s="211" t="s">
        <v>43</v>
      </c>
      <c r="C67" s="211" t="s">
        <v>43</v>
      </c>
      <c r="D67" s="211" t="s">
        <v>43</v>
      </c>
      <c r="E67" s="64">
        <v>3.29</v>
      </c>
      <c r="F67" s="64">
        <v>13.44</v>
      </c>
      <c r="G67" s="64">
        <v>30.3</v>
      </c>
      <c r="H67" s="64">
        <v>3.33</v>
      </c>
      <c r="I67" s="64">
        <v>3.91</v>
      </c>
      <c r="J67" s="64">
        <v>1.93</v>
      </c>
      <c r="K67" s="64">
        <v>287.89999999999998</v>
      </c>
      <c r="L67" s="64">
        <v>34.57</v>
      </c>
      <c r="M67" s="64">
        <v>15.79</v>
      </c>
      <c r="N67" s="64">
        <v>428.1</v>
      </c>
      <c r="O67" s="64">
        <v>0</v>
      </c>
      <c r="P67" s="64">
        <v>0.46</v>
      </c>
      <c r="Q67" s="213" t="s">
        <v>42</v>
      </c>
      <c r="R67" s="198"/>
      <c r="S67" s="198"/>
      <c r="T67" s="198"/>
      <c r="U67" s="198"/>
    </row>
    <row r="68" spans="1:21" s="12" customFormat="1" x14ac:dyDescent="0.25">
      <c r="A68" s="215" t="s">
        <v>689</v>
      </c>
      <c r="B68" s="211" t="s">
        <v>43</v>
      </c>
      <c r="C68" s="211" t="s">
        <v>43</v>
      </c>
      <c r="D68" s="211" t="s">
        <v>43</v>
      </c>
      <c r="E68" s="64">
        <v>3.18</v>
      </c>
      <c r="F68" s="64">
        <v>14.34</v>
      </c>
      <c r="G68" s="64">
        <v>36.74</v>
      </c>
      <c r="H68" s="64">
        <v>2.2999999999999998</v>
      </c>
      <c r="I68" s="64">
        <v>3.96</v>
      </c>
      <c r="J68" s="64">
        <v>1.77</v>
      </c>
      <c r="K68" s="64">
        <v>284.67</v>
      </c>
      <c r="L68" s="64">
        <v>34.69</v>
      </c>
      <c r="M68" s="64">
        <v>15.14</v>
      </c>
      <c r="N68" s="64">
        <v>344.9</v>
      </c>
      <c r="O68" s="64">
        <v>0</v>
      </c>
      <c r="P68" s="64">
        <v>0.45</v>
      </c>
      <c r="Q68" s="213" t="s">
        <v>42</v>
      </c>
      <c r="R68" s="198"/>
      <c r="S68" s="198"/>
      <c r="T68" s="198"/>
      <c r="U68" s="198"/>
    </row>
    <row r="69" spans="1:21" s="12" customFormat="1" x14ac:dyDescent="0.25">
      <c r="A69" s="215" t="s">
        <v>690</v>
      </c>
      <c r="B69" s="211" t="s">
        <v>43</v>
      </c>
      <c r="C69" s="211" t="s">
        <v>43</v>
      </c>
      <c r="D69" s="211" t="s">
        <v>43</v>
      </c>
      <c r="E69" s="64">
        <v>4</v>
      </c>
      <c r="F69" s="64">
        <v>16.190000000000001</v>
      </c>
      <c r="G69" s="64">
        <v>36.74</v>
      </c>
      <c r="H69" s="64">
        <v>2.2999999999999998</v>
      </c>
      <c r="I69" s="64">
        <v>4.01</v>
      </c>
      <c r="J69" s="64">
        <v>1.42</v>
      </c>
      <c r="K69" s="64">
        <v>293.2</v>
      </c>
      <c r="L69" s="64">
        <v>34.56</v>
      </c>
      <c r="M69" s="64">
        <v>16.04</v>
      </c>
      <c r="N69" s="64">
        <v>405.1</v>
      </c>
      <c r="O69" s="64">
        <v>0</v>
      </c>
      <c r="P69" s="64">
        <v>0.48</v>
      </c>
      <c r="Q69" s="213" t="s">
        <v>42</v>
      </c>
      <c r="R69" s="198"/>
      <c r="S69" s="198"/>
      <c r="T69" s="198"/>
      <c r="U69" s="198"/>
    </row>
    <row r="70" spans="1:21" s="12" customFormat="1" x14ac:dyDescent="0.25">
      <c r="A70" s="215" t="s">
        <v>691</v>
      </c>
      <c r="B70" s="211" t="s">
        <v>43</v>
      </c>
      <c r="C70" s="211" t="s">
        <v>43</v>
      </c>
      <c r="D70" s="211" t="s">
        <v>43</v>
      </c>
      <c r="E70" s="64">
        <v>3.89</v>
      </c>
      <c r="F70" s="64">
        <v>23.98</v>
      </c>
      <c r="G70" s="64">
        <v>36.74</v>
      </c>
      <c r="H70" s="64">
        <v>2.2999999999999998</v>
      </c>
      <c r="I70" s="64">
        <v>3.96</v>
      </c>
      <c r="J70" s="64">
        <v>1.19</v>
      </c>
      <c r="K70" s="64">
        <v>321.61</v>
      </c>
      <c r="L70" s="64">
        <v>34.6</v>
      </c>
      <c r="M70" s="64">
        <v>16.54</v>
      </c>
      <c r="N70" s="64">
        <v>251.2</v>
      </c>
      <c r="O70" s="64">
        <v>0</v>
      </c>
      <c r="P70" s="64">
        <v>0.44</v>
      </c>
      <c r="Q70" s="213" t="s">
        <v>42</v>
      </c>
      <c r="R70" s="198"/>
      <c r="S70" s="198"/>
      <c r="T70" s="198"/>
      <c r="U70" s="198"/>
    </row>
    <row r="71" spans="1:21" s="12" customFormat="1" x14ac:dyDescent="0.25">
      <c r="A71" s="215" t="s">
        <v>692</v>
      </c>
      <c r="B71" s="211" t="s">
        <v>43</v>
      </c>
      <c r="C71" s="211" t="s">
        <v>43</v>
      </c>
      <c r="D71" s="211" t="s">
        <v>43</v>
      </c>
      <c r="E71" s="64">
        <v>6.51</v>
      </c>
      <c r="F71" s="64">
        <v>33.33</v>
      </c>
      <c r="G71" s="64">
        <v>40.15</v>
      </c>
      <c r="H71" s="64">
        <v>7.14</v>
      </c>
      <c r="I71" s="64">
        <v>4.09</v>
      </c>
      <c r="J71" s="64">
        <v>0.85</v>
      </c>
      <c r="K71" s="64">
        <v>333.59</v>
      </c>
      <c r="L71" s="64">
        <v>34.4</v>
      </c>
      <c r="M71" s="64">
        <v>16.41</v>
      </c>
      <c r="N71" s="64">
        <v>277.7</v>
      </c>
      <c r="O71" s="64">
        <v>0</v>
      </c>
      <c r="P71" s="64">
        <v>0.47</v>
      </c>
      <c r="Q71" s="213" t="s">
        <v>42</v>
      </c>
      <c r="R71" s="198"/>
      <c r="S71" s="198"/>
      <c r="T71" s="198"/>
      <c r="U71" s="198"/>
    </row>
    <row r="72" spans="1:21" s="12" customFormat="1" x14ac:dyDescent="0.25">
      <c r="A72" s="215" t="s">
        <v>693</v>
      </c>
      <c r="B72" s="64">
        <v>0.42</v>
      </c>
      <c r="C72" s="64">
        <v>49.69</v>
      </c>
      <c r="D72" s="64">
        <v>94.46</v>
      </c>
      <c r="E72" s="64">
        <v>4.7300000000000004</v>
      </c>
      <c r="F72" s="64">
        <v>29.81</v>
      </c>
      <c r="G72" s="64">
        <v>43.88</v>
      </c>
      <c r="H72" s="64">
        <v>12.44</v>
      </c>
      <c r="I72" s="64">
        <v>4.01</v>
      </c>
      <c r="J72" s="64">
        <v>0.5</v>
      </c>
      <c r="K72" s="64">
        <v>185.64</v>
      </c>
      <c r="L72" s="64">
        <v>33.32</v>
      </c>
      <c r="M72" s="64">
        <v>15.47</v>
      </c>
      <c r="N72" s="64">
        <v>161.19999999999999</v>
      </c>
      <c r="O72" s="64">
        <v>0</v>
      </c>
      <c r="P72" s="64">
        <v>0.38</v>
      </c>
      <c r="Q72" s="213" t="s">
        <v>42</v>
      </c>
      <c r="R72" s="198"/>
      <c r="S72" s="198"/>
      <c r="T72" s="198"/>
      <c r="U72" s="198"/>
    </row>
    <row r="73" spans="1:21" s="12" customFormat="1" x14ac:dyDescent="0.25">
      <c r="A73" s="215" t="s">
        <v>694</v>
      </c>
      <c r="B73" s="64">
        <v>2.89</v>
      </c>
      <c r="C73" s="64">
        <v>55.29</v>
      </c>
      <c r="D73" s="64">
        <v>101.39</v>
      </c>
      <c r="E73" s="64">
        <v>5.0999999999999996</v>
      </c>
      <c r="F73" s="64">
        <v>20.62</v>
      </c>
      <c r="G73" s="64">
        <v>43.88</v>
      </c>
      <c r="H73" s="64">
        <v>12.44</v>
      </c>
      <c r="I73" s="64">
        <v>4.09</v>
      </c>
      <c r="J73" s="64">
        <v>0.5</v>
      </c>
      <c r="K73" s="64">
        <v>274.76</v>
      </c>
      <c r="L73" s="64">
        <v>33.1</v>
      </c>
      <c r="M73" s="64">
        <v>16.46</v>
      </c>
      <c r="N73" s="64">
        <v>139.4</v>
      </c>
      <c r="O73" s="64">
        <v>0</v>
      </c>
      <c r="P73" s="64">
        <v>0.41</v>
      </c>
      <c r="Q73" s="213" t="s">
        <v>42</v>
      </c>
      <c r="R73" s="198"/>
      <c r="S73" s="198"/>
      <c r="T73" s="198"/>
      <c r="U73" s="198"/>
    </row>
    <row r="74" spans="1:21" s="12" customFormat="1" x14ac:dyDescent="0.25">
      <c r="A74" s="215" t="s">
        <v>695</v>
      </c>
      <c r="B74" s="64">
        <v>9.9600000000000009</v>
      </c>
      <c r="C74" s="64">
        <v>64.27</v>
      </c>
      <c r="D74" s="64">
        <v>107.71</v>
      </c>
      <c r="E74" s="64">
        <v>6.04</v>
      </c>
      <c r="F74" s="64">
        <v>27.45</v>
      </c>
      <c r="G74" s="64">
        <v>43.88</v>
      </c>
      <c r="H74" s="64">
        <v>12.44</v>
      </c>
      <c r="I74" s="64">
        <v>4.1900000000000004</v>
      </c>
      <c r="J74" s="64">
        <v>0.34</v>
      </c>
      <c r="K74" s="64">
        <v>284.43</v>
      </c>
      <c r="L74" s="64">
        <v>32.69</v>
      </c>
      <c r="M74" s="64">
        <v>17.21</v>
      </c>
      <c r="N74" s="64">
        <v>121.6</v>
      </c>
      <c r="O74" s="64">
        <v>0</v>
      </c>
      <c r="P74" s="64">
        <v>0.56000000000000005</v>
      </c>
      <c r="Q74" s="213" t="s">
        <v>42</v>
      </c>
      <c r="R74" s="198"/>
      <c r="S74" s="198"/>
      <c r="T74" s="198"/>
      <c r="U74" s="198"/>
    </row>
    <row r="75" spans="1:21" s="12" customFormat="1" x14ac:dyDescent="0.25">
      <c r="A75" s="215" t="s">
        <v>696</v>
      </c>
      <c r="B75" s="64">
        <v>7.93</v>
      </c>
      <c r="C75" s="64">
        <v>59.69</v>
      </c>
      <c r="D75" s="64">
        <v>102.09</v>
      </c>
      <c r="E75" s="64">
        <v>8.09</v>
      </c>
      <c r="F75" s="64">
        <v>30.35</v>
      </c>
      <c r="G75" s="64">
        <v>46.74</v>
      </c>
      <c r="H75" s="64">
        <v>16.489999999999998</v>
      </c>
      <c r="I75" s="64">
        <v>4.13</v>
      </c>
      <c r="J75" s="64">
        <v>0.48</v>
      </c>
      <c r="K75" s="64">
        <v>284.48</v>
      </c>
      <c r="L75" s="64">
        <v>32.58</v>
      </c>
      <c r="M75" s="64">
        <v>18.02</v>
      </c>
      <c r="N75" s="64">
        <v>112.5</v>
      </c>
      <c r="O75" s="64">
        <v>0</v>
      </c>
      <c r="P75" s="64">
        <v>0.52</v>
      </c>
      <c r="Q75" s="213" t="s">
        <v>42</v>
      </c>
      <c r="R75" s="198"/>
      <c r="S75" s="198"/>
      <c r="T75" s="198"/>
      <c r="U75" s="198"/>
    </row>
    <row r="76" spans="1:21" s="12" customFormat="1" x14ac:dyDescent="0.25">
      <c r="A76" s="215" t="s">
        <v>697</v>
      </c>
      <c r="B76" s="64">
        <v>1.73</v>
      </c>
      <c r="C76" s="64">
        <v>50.92</v>
      </c>
      <c r="D76" s="64">
        <v>94.8</v>
      </c>
      <c r="E76" s="64">
        <v>6.98</v>
      </c>
      <c r="F76" s="64">
        <v>28.64</v>
      </c>
      <c r="G76" s="64">
        <v>49.86</v>
      </c>
      <c r="H76" s="64">
        <v>20.91</v>
      </c>
      <c r="I76" s="64">
        <v>4.18</v>
      </c>
      <c r="J76" s="64">
        <v>0.92</v>
      </c>
      <c r="K76" s="64">
        <v>173.3</v>
      </c>
      <c r="L76" s="64">
        <v>32.01</v>
      </c>
      <c r="M76" s="64">
        <v>18.09</v>
      </c>
      <c r="N76" s="64">
        <v>107.2</v>
      </c>
      <c r="O76" s="64">
        <v>0</v>
      </c>
      <c r="P76" s="64">
        <v>0.37</v>
      </c>
      <c r="Q76" s="213" t="s">
        <v>42</v>
      </c>
      <c r="R76" s="198"/>
      <c r="S76" s="198"/>
      <c r="T76" s="198"/>
      <c r="U76" s="198"/>
    </row>
    <row r="77" spans="1:21" s="12" customFormat="1" x14ac:dyDescent="0.25">
      <c r="A77" s="215" t="s">
        <v>698</v>
      </c>
      <c r="B77" s="64">
        <v>1.53</v>
      </c>
      <c r="C77" s="64">
        <v>48.56</v>
      </c>
      <c r="D77" s="64">
        <v>90.6</v>
      </c>
      <c r="E77" s="64">
        <v>8.01</v>
      </c>
      <c r="F77" s="64">
        <v>29.75</v>
      </c>
      <c r="G77" s="64">
        <v>49.86</v>
      </c>
      <c r="H77" s="64">
        <v>20.91</v>
      </c>
      <c r="I77" s="64">
        <v>3.9</v>
      </c>
      <c r="J77" s="64">
        <v>1.18</v>
      </c>
      <c r="K77" s="64">
        <v>156.77000000000001</v>
      </c>
      <c r="L77" s="64">
        <v>31.81</v>
      </c>
      <c r="M77" s="64">
        <v>17.920000000000002</v>
      </c>
      <c r="N77" s="64">
        <v>88.9</v>
      </c>
      <c r="O77" s="64">
        <v>0</v>
      </c>
      <c r="P77" s="64">
        <v>0.37</v>
      </c>
      <c r="Q77" s="213" t="s">
        <v>42</v>
      </c>
      <c r="R77" s="198"/>
      <c r="S77" s="198"/>
      <c r="T77" s="198"/>
      <c r="U77" s="198"/>
    </row>
    <row r="78" spans="1:21" s="12" customFormat="1" x14ac:dyDescent="0.25">
      <c r="A78" s="215" t="s">
        <v>699</v>
      </c>
      <c r="B78" s="64">
        <v>1.88</v>
      </c>
      <c r="C78" s="64">
        <v>55</v>
      </c>
      <c r="D78" s="64">
        <v>102.37</v>
      </c>
      <c r="E78" s="64">
        <v>8.25</v>
      </c>
      <c r="F78" s="64">
        <v>24.83</v>
      </c>
      <c r="G78" s="64">
        <v>49.86</v>
      </c>
      <c r="H78" s="64">
        <v>20.91</v>
      </c>
      <c r="I78" s="64">
        <v>3.94</v>
      </c>
      <c r="J78" s="64">
        <v>1.29</v>
      </c>
      <c r="K78" s="64">
        <v>155.13</v>
      </c>
      <c r="L78" s="64">
        <v>31.45</v>
      </c>
      <c r="M78" s="64">
        <v>19.149999999999999</v>
      </c>
      <c r="N78" s="64">
        <v>73.400000000000006</v>
      </c>
      <c r="O78" s="64">
        <v>0</v>
      </c>
      <c r="P78" s="64">
        <v>0.45</v>
      </c>
      <c r="Q78" s="213" t="s">
        <v>42</v>
      </c>
      <c r="R78" s="198"/>
      <c r="S78" s="198"/>
      <c r="T78" s="198"/>
      <c r="U78" s="198"/>
    </row>
    <row r="79" spans="1:21" s="12" customFormat="1" x14ac:dyDescent="0.25">
      <c r="A79" s="215" t="s">
        <v>700</v>
      </c>
      <c r="B79" s="64">
        <v>1.67</v>
      </c>
      <c r="C79" s="64">
        <v>45.91</v>
      </c>
      <c r="D79" s="64">
        <v>85.3</v>
      </c>
      <c r="E79" s="64">
        <v>7.46</v>
      </c>
      <c r="F79" s="64">
        <v>30.78</v>
      </c>
      <c r="G79" s="64">
        <v>48.56</v>
      </c>
      <c r="H79" s="64">
        <v>15.72</v>
      </c>
      <c r="I79" s="64">
        <v>4.09</v>
      </c>
      <c r="J79" s="64">
        <v>0.62</v>
      </c>
      <c r="K79" s="64">
        <v>160.94999999999999</v>
      </c>
      <c r="L79" s="64">
        <v>30.64</v>
      </c>
      <c r="M79" s="64">
        <v>22.83</v>
      </c>
      <c r="N79" s="64">
        <v>58</v>
      </c>
      <c r="O79" s="64">
        <v>0</v>
      </c>
      <c r="P79" s="64">
        <v>0.44</v>
      </c>
      <c r="Q79" s="213" t="s">
        <v>42</v>
      </c>
      <c r="R79" s="198"/>
      <c r="S79" s="198"/>
      <c r="T79" s="198"/>
      <c r="U79" s="198"/>
    </row>
    <row r="80" spans="1:21" s="12" customFormat="1" x14ac:dyDescent="0.25">
      <c r="A80" s="215" t="s">
        <v>701</v>
      </c>
      <c r="B80" s="64">
        <v>1.92</v>
      </c>
      <c r="C80" s="64">
        <v>67.47</v>
      </c>
      <c r="D80" s="64">
        <v>126.2</v>
      </c>
      <c r="E80" s="64">
        <v>8.82</v>
      </c>
      <c r="F80" s="64">
        <v>27.58</v>
      </c>
      <c r="G80" s="64">
        <v>47.21</v>
      </c>
      <c r="H80" s="64">
        <v>10.039999999999999</v>
      </c>
      <c r="I80" s="64">
        <v>4.0199999999999996</v>
      </c>
      <c r="J80" s="64">
        <v>0.05</v>
      </c>
      <c r="K80" s="64">
        <v>322.60000000000002</v>
      </c>
      <c r="L80" s="64">
        <v>29.71</v>
      </c>
      <c r="M80" s="64">
        <v>25.91</v>
      </c>
      <c r="N80" s="64">
        <v>44.5</v>
      </c>
      <c r="O80" s="64">
        <v>0</v>
      </c>
      <c r="P80" s="64">
        <v>0.54</v>
      </c>
      <c r="Q80" s="213" t="s">
        <v>42</v>
      </c>
      <c r="R80" s="198"/>
      <c r="S80" s="198"/>
      <c r="T80" s="198"/>
      <c r="U80" s="198"/>
    </row>
    <row r="81" spans="1:26" s="12" customFormat="1" x14ac:dyDescent="0.25">
      <c r="A81" s="215" t="s">
        <v>702</v>
      </c>
      <c r="B81" s="64">
        <v>4.03</v>
      </c>
      <c r="C81" s="64">
        <v>80.400000000000006</v>
      </c>
      <c r="D81" s="64">
        <v>147.69999999999999</v>
      </c>
      <c r="E81" s="64">
        <v>8.0399999999999991</v>
      </c>
      <c r="F81" s="64">
        <v>22.16</v>
      </c>
      <c r="G81" s="64">
        <v>47.21</v>
      </c>
      <c r="H81" s="64">
        <v>10.039999999999999</v>
      </c>
      <c r="I81" s="64">
        <v>4.17</v>
      </c>
      <c r="J81" s="64">
        <v>0.2</v>
      </c>
      <c r="K81" s="64">
        <v>157.81</v>
      </c>
      <c r="L81" s="64">
        <v>29.29</v>
      </c>
      <c r="M81" s="64">
        <v>25.78</v>
      </c>
      <c r="N81" s="64">
        <v>33.700000000000003</v>
      </c>
      <c r="O81" s="64">
        <v>0</v>
      </c>
      <c r="P81" s="64">
        <v>0.66</v>
      </c>
      <c r="Q81" s="213" t="s">
        <v>42</v>
      </c>
      <c r="R81" s="198"/>
      <c r="S81" s="198"/>
      <c r="T81" s="198"/>
      <c r="U81" s="198"/>
    </row>
    <row r="82" spans="1:26" s="12" customFormat="1" x14ac:dyDescent="0.25">
      <c r="A82" s="215" t="s">
        <v>703</v>
      </c>
      <c r="B82" s="64">
        <v>15.73</v>
      </c>
      <c r="C82" s="64">
        <v>112.73</v>
      </c>
      <c r="D82" s="64">
        <v>191.63</v>
      </c>
      <c r="E82" s="64">
        <v>7.64</v>
      </c>
      <c r="F82" s="64">
        <v>13.99</v>
      </c>
      <c r="G82" s="64">
        <v>47.21</v>
      </c>
      <c r="H82" s="64">
        <v>10.039999999999999</v>
      </c>
      <c r="I82" s="64">
        <v>3.93</v>
      </c>
      <c r="J82" s="64">
        <v>0.43</v>
      </c>
      <c r="K82" s="64">
        <v>231.37</v>
      </c>
      <c r="L82" s="64">
        <v>28.79</v>
      </c>
      <c r="M82" s="64">
        <v>25.84</v>
      </c>
      <c r="N82" s="64">
        <v>29.3</v>
      </c>
      <c r="O82" s="64">
        <v>0</v>
      </c>
      <c r="P82" s="64">
        <v>1.01</v>
      </c>
      <c r="Q82" s="213" t="s">
        <v>42</v>
      </c>
      <c r="R82" s="198"/>
      <c r="S82" s="198"/>
      <c r="T82" s="198"/>
      <c r="U82" s="198"/>
    </row>
    <row r="83" spans="1:26" s="12" customFormat="1" x14ac:dyDescent="0.25">
      <c r="A83" s="215" t="s">
        <v>704</v>
      </c>
      <c r="B83" s="64">
        <v>38.409999999999997</v>
      </c>
      <c r="C83" s="64">
        <v>142.77000000000001</v>
      </c>
      <c r="D83" s="64">
        <v>214.31</v>
      </c>
      <c r="E83" s="64">
        <v>7.87</v>
      </c>
      <c r="F83" s="64">
        <v>9.4700000000000006</v>
      </c>
      <c r="G83" s="64">
        <v>51.67</v>
      </c>
      <c r="H83" s="64">
        <v>10.7</v>
      </c>
      <c r="I83" s="64">
        <v>4.1500000000000004</v>
      </c>
      <c r="J83" s="64">
        <v>0.49</v>
      </c>
      <c r="K83" s="64">
        <v>235.05</v>
      </c>
      <c r="L83" s="64">
        <v>28.46</v>
      </c>
      <c r="M83" s="64">
        <v>27.63</v>
      </c>
      <c r="N83" s="64">
        <v>28.4</v>
      </c>
      <c r="O83" s="64">
        <v>0</v>
      </c>
      <c r="P83" s="64">
        <v>1.1499999999999999</v>
      </c>
      <c r="Q83" s="213" t="s">
        <v>42</v>
      </c>
      <c r="R83" s="198"/>
      <c r="S83" s="198"/>
      <c r="T83" s="198"/>
      <c r="U83" s="198"/>
    </row>
    <row r="84" spans="1:26" s="12" customFormat="1" x14ac:dyDescent="0.25">
      <c r="A84" s="215" t="s">
        <v>705</v>
      </c>
      <c r="B84" s="64">
        <v>44.49</v>
      </c>
      <c r="C84" s="64">
        <v>142.15</v>
      </c>
      <c r="D84" s="64">
        <v>203.78</v>
      </c>
      <c r="E84" s="64">
        <v>7.3</v>
      </c>
      <c r="F84" s="64">
        <v>9.43</v>
      </c>
      <c r="G84" s="64">
        <v>56.34</v>
      </c>
      <c r="H84" s="64">
        <v>11.42</v>
      </c>
      <c r="I84" s="64">
        <v>4</v>
      </c>
      <c r="J84" s="64">
        <v>0.47</v>
      </c>
      <c r="K84" s="64">
        <v>250.87</v>
      </c>
      <c r="L84" s="64">
        <v>28</v>
      </c>
      <c r="M84" s="64">
        <v>29.29</v>
      </c>
      <c r="N84" s="64">
        <v>28.2</v>
      </c>
      <c r="O84" s="64">
        <v>0</v>
      </c>
      <c r="P84" s="64">
        <v>1.45</v>
      </c>
      <c r="Q84" s="213" t="s">
        <v>42</v>
      </c>
      <c r="R84" s="198"/>
      <c r="S84" s="198"/>
      <c r="T84" s="198"/>
      <c r="U84" s="198"/>
    </row>
    <row r="85" spans="1:26" s="12" customFormat="1" x14ac:dyDescent="0.25">
      <c r="A85" s="215" t="s">
        <v>706</v>
      </c>
      <c r="B85" s="64">
        <v>32.799999999999997</v>
      </c>
      <c r="C85" s="64">
        <v>121.22</v>
      </c>
      <c r="D85" s="64">
        <v>181.66</v>
      </c>
      <c r="E85" s="64">
        <v>6.92</v>
      </c>
      <c r="F85" s="64">
        <v>10.75</v>
      </c>
      <c r="G85" s="64">
        <v>56.34</v>
      </c>
      <c r="H85" s="64">
        <v>11.42</v>
      </c>
      <c r="I85" s="64">
        <v>4</v>
      </c>
      <c r="J85" s="64">
        <v>0.32</v>
      </c>
      <c r="K85" s="64">
        <v>193.86</v>
      </c>
      <c r="L85" s="64">
        <v>27.79</v>
      </c>
      <c r="M85" s="64">
        <v>29.51</v>
      </c>
      <c r="N85" s="64">
        <v>27.8</v>
      </c>
      <c r="O85" s="64">
        <v>0</v>
      </c>
      <c r="P85" s="64">
        <v>1.21</v>
      </c>
      <c r="Q85" s="213" t="s">
        <v>42</v>
      </c>
      <c r="R85" s="198"/>
      <c r="S85" s="198"/>
      <c r="T85" s="198"/>
      <c r="U85" s="198"/>
    </row>
    <row r="86" spans="1:26" s="12" customFormat="1" x14ac:dyDescent="0.25">
      <c r="A86" s="215" t="s">
        <v>707</v>
      </c>
      <c r="B86" s="64">
        <v>7.29</v>
      </c>
      <c r="C86" s="64">
        <v>86.01</v>
      </c>
      <c r="D86" s="64">
        <v>153.43</v>
      </c>
      <c r="E86" s="64">
        <v>7.88</v>
      </c>
      <c r="F86" s="64">
        <v>17.329999999999998</v>
      </c>
      <c r="G86" s="64">
        <v>56.34</v>
      </c>
      <c r="H86" s="64">
        <v>11.42</v>
      </c>
      <c r="I86" s="64">
        <v>4.1100000000000003</v>
      </c>
      <c r="J86" s="64">
        <v>0.22</v>
      </c>
      <c r="K86" s="64">
        <v>193.36</v>
      </c>
      <c r="L86" s="64">
        <v>27.78</v>
      </c>
      <c r="M86" s="64">
        <v>27.57</v>
      </c>
      <c r="N86" s="64">
        <v>27.9</v>
      </c>
      <c r="O86" s="64">
        <v>0</v>
      </c>
      <c r="P86" s="64">
        <v>1.1399999999999999</v>
      </c>
      <c r="Q86" s="213" t="s">
        <v>42</v>
      </c>
      <c r="R86" s="198"/>
      <c r="S86" s="198"/>
      <c r="T86" s="198"/>
      <c r="U86" s="198"/>
    </row>
    <row r="87" spans="1:26" s="12" customFormat="1" x14ac:dyDescent="0.25">
      <c r="A87" s="215" t="s">
        <v>708</v>
      </c>
      <c r="B87" s="64">
        <v>24.85</v>
      </c>
      <c r="C87" s="64">
        <v>119.7</v>
      </c>
      <c r="D87" s="64">
        <v>190.97</v>
      </c>
      <c r="E87" s="64">
        <v>7.37</v>
      </c>
      <c r="F87" s="64">
        <v>11.31</v>
      </c>
      <c r="G87" s="64">
        <v>68.92</v>
      </c>
      <c r="H87" s="64">
        <v>19.37</v>
      </c>
      <c r="I87" s="64">
        <v>4.09</v>
      </c>
      <c r="J87" s="64">
        <v>0.41</v>
      </c>
      <c r="K87" s="64">
        <v>275.36</v>
      </c>
      <c r="L87" s="64">
        <v>27.36</v>
      </c>
      <c r="M87" s="64">
        <v>28.41</v>
      </c>
      <c r="N87" s="64">
        <v>28.3</v>
      </c>
      <c r="O87" s="64">
        <v>0</v>
      </c>
      <c r="P87" s="64">
        <v>1.4</v>
      </c>
      <c r="Q87" s="213" t="s">
        <v>42</v>
      </c>
      <c r="R87" s="198"/>
      <c r="S87" s="198"/>
      <c r="T87" s="198"/>
      <c r="U87" s="198"/>
    </row>
    <row r="88" spans="1:26" s="12" customFormat="1" x14ac:dyDescent="0.25">
      <c r="A88" s="215" t="s">
        <v>709</v>
      </c>
      <c r="B88" s="64">
        <v>13.63</v>
      </c>
      <c r="C88" s="64">
        <v>88.72</v>
      </c>
      <c r="D88" s="64">
        <v>148.88999999999999</v>
      </c>
      <c r="E88" s="64">
        <v>5.95</v>
      </c>
      <c r="F88" s="64">
        <v>13.62</v>
      </c>
      <c r="G88" s="64">
        <v>82.66</v>
      </c>
      <c r="H88" s="64">
        <v>28.06</v>
      </c>
      <c r="I88" s="64">
        <v>4</v>
      </c>
      <c r="J88" s="64">
        <v>0.67</v>
      </c>
      <c r="K88" s="64">
        <v>164.38</v>
      </c>
      <c r="L88" s="64">
        <v>27.28</v>
      </c>
      <c r="M88" s="64">
        <v>27.85</v>
      </c>
      <c r="N88" s="64">
        <v>27.1</v>
      </c>
      <c r="O88" s="64">
        <v>0</v>
      </c>
      <c r="P88" s="64">
        <v>0.99</v>
      </c>
      <c r="Q88" s="213" t="s">
        <v>42</v>
      </c>
      <c r="R88" s="198"/>
      <c r="S88" s="198"/>
      <c r="T88" s="198"/>
      <c r="U88" s="198"/>
    </row>
    <row r="89" spans="1:26" s="12" customFormat="1" x14ac:dyDescent="0.25">
      <c r="A89" s="215" t="s">
        <v>710</v>
      </c>
      <c r="B89" s="64">
        <v>9.86</v>
      </c>
      <c r="C89" s="64">
        <v>78.2</v>
      </c>
      <c r="D89" s="64">
        <v>134.54</v>
      </c>
      <c r="E89" s="64">
        <v>6.29</v>
      </c>
      <c r="F89" s="64">
        <v>14.43</v>
      </c>
      <c r="G89" s="64">
        <v>82.66</v>
      </c>
      <c r="H89" s="64">
        <v>28.06</v>
      </c>
      <c r="I89" s="64">
        <v>4.01</v>
      </c>
      <c r="J89" s="64">
        <v>0.37</v>
      </c>
      <c r="K89" s="64">
        <v>193.39</v>
      </c>
      <c r="L89" s="64">
        <v>27.14</v>
      </c>
      <c r="M89" s="64">
        <v>28.16</v>
      </c>
      <c r="N89" s="64">
        <v>28.1</v>
      </c>
      <c r="O89" s="64">
        <v>0</v>
      </c>
      <c r="P89" s="64">
        <v>1.0900000000000001</v>
      </c>
      <c r="Q89" s="213" t="s">
        <v>42</v>
      </c>
      <c r="R89" s="198"/>
      <c r="S89" s="198"/>
      <c r="T89" s="198"/>
      <c r="U89" s="198"/>
    </row>
    <row r="90" spans="1:26" s="12" customFormat="1" x14ac:dyDescent="0.25">
      <c r="A90" s="215" t="s">
        <v>711</v>
      </c>
      <c r="B90" s="64">
        <v>15.18</v>
      </c>
      <c r="C90" s="64">
        <v>79.28</v>
      </c>
      <c r="D90" s="64">
        <v>128.44</v>
      </c>
      <c r="E90" s="64">
        <v>4.7</v>
      </c>
      <c r="F90" s="64">
        <v>13.56</v>
      </c>
      <c r="G90" s="64">
        <v>82.66</v>
      </c>
      <c r="H90" s="64">
        <v>28.06</v>
      </c>
      <c r="I90" s="64">
        <v>4.0199999999999996</v>
      </c>
      <c r="J90" s="64">
        <v>0.6</v>
      </c>
      <c r="K90" s="64">
        <v>185.63</v>
      </c>
      <c r="L90" s="64">
        <v>27.07</v>
      </c>
      <c r="M90" s="64">
        <v>27.77</v>
      </c>
      <c r="N90" s="64">
        <v>27.5</v>
      </c>
      <c r="O90" s="64">
        <v>0</v>
      </c>
      <c r="P90" s="64">
        <v>0.89</v>
      </c>
      <c r="Q90" s="213" t="s">
        <v>42</v>
      </c>
      <c r="R90" s="198"/>
      <c r="S90" s="198"/>
      <c r="T90" s="198"/>
      <c r="U90" s="198"/>
    </row>
    <row r="91" spans="1:26" s="12" customFormat="1" x14ac:dyDescent="0.25">
      <c r="A91" s="215" t="s">
        <v>712</v>
      </c>
      <c r="B91" s="64">
        <v>40.630000000000003</v>
      </c>
      <c r="C91" s="64">
        <v>129.11000000000001</v>
      </c>
      <c r="D91" s="64">
        <v>184.77</v>
      </c>
      <c r="E91" s="64">
        <v>5.95</v>
      </c>
      <c r="F91" s="64">
        <v>8.31</v>
      </c>
      <c r="G91" s="64">
        <v>83.31</v>
      </c>
      <c r="H91" s="64">
        <v>32.409999999999997</v>
      </c>
      <c r="I91" s="64">
        <v>4.0599999999999996</v>
      </c>
      <c r="J91" s="64">
        <v>0.25</v>
      </c>
      <c r="K91" s="64">
        <v>268.36</v>
      </c>
      <c r="L91" s="64">
        <v>26.47</v>
      </c>
      <c r="M91" s="64">
        <v>29.61</v>
      </c>
      <c r="N91" s="64">
        <v>28.4</v>
      </c>
      <c r="O91" s="64">
        <v>0</v>
      </c>
      <c r="P91" s="64">
        <v>1.24</v>
      </c>
      <c r="Q91" s="213" t="s">
        <v>42</v>
      </c>
      <c r="R91" s="198"/>
      <c r="S91" s="198"/>
      <c r="T91" s="198"/>
      <c r="U91" s="198"/>
    </row>
    <row r="92" spans="1:26" s="12" customFormat="1" x14ac:dyDescent="0.25">
      <c r="A92" s="215" t="s">
        <v>713</v>
      </c>
      <c r="B92" s="64">
        <v>139.04</v>
      </c>
      <c r="C92" s="64">
        <v>219.79</v>
      </c>
      <c r="D92" s="64">
        <v>207.27</v>
      </c>
      <c r="E92" s="64">
        <v>7.2</v>
      </c>
      <c r="F92" s="64">
        <v>7.62</v>
      </c>
      <c r="G92" s="64">
        <v>83.99</v>
      </c>
      <c r="H92" s="64">
        <v>37.159999999999997</v>
      </c>
      <c r="I92" s="64">
        <v>3.91</v>
      </c>
      <c r="J92" s="64">
        <v>0.23</v>
      </c>
      <c r="K92" s="64">
        <v>209.72</v>
      </c>
      <c r="L92" s="64">
        <v>26</v>
      </c>
      <c r="M92" s="64">
        <v>30.02</v>
      </c>
      <c r="N92" s="64">
        <v>28.2</v>
      </c>
      <c r="O92" s="64">
        <v>0</v>
      </c>
      <c r="P92" s="64">
        <v>1.56</v>
      </c>
      <c r="Q92" s="213" t="s">
        <v>42</v>
      </c>
      <c r="R92" s="198"/>
      <c r="S92" s="198"/>
      <c r="T92" s="198"/>
      <c r="U92" s="198"/>
    </row>
    <row r="93" spans="1:26" s="12" customFormat="1" x14ac:dyDescent="0.25">
      <c r="A93" s="215" t="s">
        <v>714</v>
      </c>
      <c r="B93" s="64">
        <v>192.78</v>
      </c>
      <c r="C93" s="64">
        <v>258.69</v>
      </c>
      <c r="D93" s="64">
        <v>199.24</v>
      </c>
      <c r="E93" s="64">
        <v>7.35</v>
      </c>
      <c r="F93" s="64">
        <v>7.98</v>
      </c>
      <c r="G93" s="64">
        <v>83.99</v>
      </c>
      <c r="H93" s="64">
        <v>37.159999999999997</v>
      </c>
      <c r="I93" s="64">
        <v>4</v>
      </c>
      <c r="J93" s="64">
        <v>0.36</v>
      </c>
      <c r="K93" s="64">
        <v>316.8</v>
      </c>
      <c r="L93" s="64">
        <v>25.55</v>
      </c>
      <c r="M93" s="64">
        <v>33.51</v>
      </c>
      <c r="N93" s="64">
        <v>28.5</v>
      </c>
      <c r="O93" s="64">
        <v>0</v>
      </c>
      <c r="P93" s="64">
        <v>2.0699999999999998</v>
      </c>
      <c r="Q93" s="213" t="s">
        <v>42</v>
      </c>
      <c r="R93" s="198"/>
      <c r="S93" s="198"/>
      <c r="T93" s="198"/>
      <c r="U93" s="198"/>
    </row>
    <row r="94" spans="1:26" s="12" customFormat="1" x14ac:dyDescent="0.25">
      <c r="A94" s="215" t="s">
        <v>715</v>
      </c>
      <c r="B94" s="64">
        <v>73.09</v>
      </c>
      <c r="C94" s="64">
        <v>159.09</v>
      </c>
      <c r="D94" s="64">
        <v>192.3</v>
      </c>
      <c r="E94" s="64">
        <v>6.88</v>
      </c>
      <c r="F94" s="64">
        <v>6.94</v>
      </c>
      <c r="G94" s="64">
        <v>83.99</v>
      </c>
      <c r="H94" s="64">
        <v>37.159999999999997</v>
      </c>
      <c r="I94" s="64">
        <v>4.1399999999999997</v>
      </c>
      <c r="J94" s="64">
        <v>0.2</v>
      </c>
      <c r="K94" s="64">
        <v>264.69</v>
      </c>
      <c r="L94" s="64">
        <v>24.63</v>
      </c>
      <c r="M94" s="64">
        <v>36.159999999999997</v>
      </c>
      <c r="N94" s="64">
        <v>28.4</v>
      </c>
      <c r="O94" s="64">
        <v>0</v>
      </c>
      <c r="P94" s="64">
        <v>1.85</v>
      </c>
      <c r="Q94" s="213" t="s">
        <v>42</v>
      </c>
      <c r="R94" s="198"/>
      <c r="S94" s="198"/>
      <c r="T94" s="198"/>
      <c r="U94" s="198"/>
    </row>
    <row r="95" spans="1:26" s="12" customFormat="1" x14ac:dyDescent="0.25">
      <c r="A95" s="215" t="s">
        <v>716</v>
      </c>
      <c r="B95" s="64">
        <v>58.37</v>
      </c>
      <c r="C95" s="64">
        <v>141.25</v>
      </c>
      <c r="D95" s="64">
        <v>180.77</v>
      </c>
      <c r="E95" s="64">
        <v>7.03</v>
      </c>
      <c r="F95" s="64">
        <v>7.26</v>
      </c>
      <c r="G95" s="64">
        <v>88.75</v>
      </c>
      <c r="H95" s="64">
        <v>34.93</v>
      </c>
      <c r="I95" s="64">
        <v>4</v>
      </c>
      <c r="J95" s="64">
        <v>0.44</v>
      </c>
      <c r="K95" s="64">
        <v>261.27</v>
      </c>
      <c r="L95" s="64">
        <v>24.81</v>
      </c>
      <c r="M95" s="64">
        <v>34.81</v>
      </c>
      <c r="N95" s="64">
        <v>28</v>
      </c>
      <c r="O95" s="64">
        <v>0</v>
      </c>
      <c r="P95" s="64">
        <v>1.49</v>
      </c>
      <c r="Q95" s="213" t="s">
        <v>42</v>
      </c>
      <c r="R95" s="198"/>
      <c r="S95" s="198"/>
      <c r="T95" s="198"/>
      <c r="U95" s="198"/>
    </row>
    <row r="96" spans="1:26" s="12" customFormat="1" x14ac:dyDescent="0.25">
      <c r="A96" s="215" t="s">
        <v>717</v>
      </c>
      <c r="B96" s="64">
        <v>40.479999999999997</v>
      </c>
      <c r="C96" s="64">
        <v>121.46</v>
      </c>
      <c r="D96" s="64">
        <v>170.34</v>
      </c>
      <c r="E96" s="64">
        <v>6.55</v>
      </c>
      <c r="F96" s="64">
        <v>8.85</v>
      </c>
      <c r="G96" s="64">
        <v>93.73</v>
      </c>
      <c r="H96" s="64">
        <v>32.61</v>
      </c>
      <c r="I96" s="64">
        <v>4.05</v>
      </c>
      <c r="J96" s="64">
        <v>0.39</v>
      </c>
      <c r="K96" s="64">
        <v>215.56</v>
      </c>
      <c r="L96" s="64">
        <v>24.94</v>
      </c>
      <c r="M96" s="64">
        <v>34.450000000000003</v>
      </c>
      <c r="N96" s="64">
        <v>27.4</v>
      </c>
      <c r="O96" s="64">
        <v>0</v>
      </c>
      <c r="P96" s="64">
        <v>1.34</v>
      </c>
      <c r="Q96" s="213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718</v>
      </c>
      <c r="B97" s="64">
        <v>13.23</v>
      </c>
      <c r="C97" s="64">
        <v>88.86</v>
      </c>
      <c r="D97" s="64">
        <v>149.77000000000001</v>
      </c>
      <c r="E97" s="64">
        <v>6.17</v>
      </c>
      <c r="F97" s="64">
        <v>13.01</v>
      </c>
      <c r="G97" s="64">
        <v>93.73</v>
      </c>
      <c r="H97" s="64">
        <v>32.61</v>
      </c>
      <c r="I97" s="64">
        <v>4.1100000000000003</v>
      </c>
      <c r="J97" s="64">
        <v>0.47</v>
      </c>
      <c r="K97" s="64">
        <v>229.38</v>
      </c>
      <c r="L97" s="64">
        <v>25.23</v>
      </c>
      <c r="M97" s="64">
        <v>33.67</v>
      </c>
      <c r="N97" s="64">
        <v>27.7</v>
      </c>
      <c r="O97" s="64">
        <v>0</v>
      </c>
      <c r="P97" s="64">
        <v>1.1499999999999999</v>
      </c>
      <c r="Q97" s="213" t="s">
        <v>42</v>
      </c>
      <c r="R97" s="198"/>
      <c r="S97" s="198"/>
      <c r="T97" s="198"/>
      <c r="U97" s="198"/>
    </row>
    <row r="98" spans="1:33" s="12" customFormat="1" x14ac:dyDescent="0.25">
      <c r="A98" s="215" t="s">
        <v>719</v>
      </c>
      <c r="B98" s="64">
        <v>19</v>
      </c>
      <c r="C98" s="64">
        <v>92.53</v>
      </c>
      <c r="D98" s="64">
        <v>147.94999999999999</v>
      </c>
      <c r="E98" s="64">
        <v>7.12</v>
      </c>
      <c r="F98" s="64">
        <v>12.64</v>
      </c>
      <c r="G98" s="64">
        <v>93.73</v>
      </c>
      <c r="H98" s="64">
        <v>32.61</v>
      </c>
      <c r="I98" s="64">
        <v>4.01</v>
      </c>
      <c r="J98" s="64">
        <v>0.49</v>
      </c>
      <c r="K98" s="64">
        <v>293.66000000000003</v>
      </c>
      <c r="L98" s="64">
        <v>24.81</v>
      </c>
      <c r="M98" s="64">
        <v>33.94</v>
      </c>
      <c r="N98" s="64">
        <v>28.2</v>
      </c>
      <c r="O98" s="64">
        <v>0</v>
      </c>
      <c r="P98" s="64">
        <v>1.28</v>
      </c>
      <c r="Q98" s="213" t="s">
        <v>42</v>
      </c>
      <c r="R98" s="198"/>
      <c r="S98" s="198"/>
      <c r="T98" s="198"/>
      <c r="U98" s="198"/>
    </row>
    <row r="99" spans="1:33" s="12" customFormat="1" x14ac:dyDescent="0.25">
      <c r="A99" s="215" t="s">
        <v>720</v>
      </c>
      <c r="B99" s="64">
        <v>23.32</v>
      </c>
      <c r="C99" s="64">
        <v>90.42</v>
      </c>
      <c r="D99" s="64">
        <v>137.27000000000001</v>
      </c>
      <c r="E99" s="64">
        <v>6.69</v>
      </c>
      <c r="F99" s="64">
        <v>12.6</v>
      </c>
      <c r="G99" s="64">
        <v>99.11</v>
      </c>
      <c r="H99" s="64">
        <v>31.97</v>
      </c>
      <c r="I99" s="64">
        <v>3.95</v>
      </c>
      <c r="J99" s="64">
        <v>0.36</v>
      </c>
      <c r="K99" s="64">
        <v>265.98</v>
      </c>
      <c r="L99" s="64">
        <v>24.36</v>
      </c>
      <c r="M99" s="64">
        <v>34.01</v>
      </c>
      <c r="N99" s="64">
        <v>28.3</v>
      </c>
      <c r="O99" s="64">
        <v>0</v>
      </c>
      <c r="P99" s="64">
        <v>1.36</v>
      </c>
      <c r="Q99" s="213" t="s">
        <v>42</v>
      </c>
      <c r="R99" s="198"/>
      <c r="S99" s="198"/>
      <c r="T99" s="198"/>
      <c r="U99" s="198"/>
    </row>
    <row r="100" spans="1:33" s="12" customFormat="1" x14ac:dyDescent="0.25">
      <c r="A100" s="215" t="s">
        <v>721</v>
      </c>
      <c r="B100" s="64">
        <v>30.93</v>
      </c>
      <c r="C100" s="64">
        <v>82.95</v>
      </c>
      <c r="D100" s="64">
        <v>111.29</v>
      </c>
      <c r="E100" s="64">
        <v>5</v>
      </c>
      <c r="F100" s="64">
        <v>11.16</v>
      </c>
      <c r="G100" s="64">
        <v>104.74</v>
      </c>
      <c r="H100" s="64">
        <v>31.28</v>
      </c>
      <c r="I100" s="64">
        <v>3.95</v>
      </c>
      <c r="J100" s="64">
        <v>0.41</v>
      </c>
      <c r="K100" s="64">
        <v>267.2</v>
      </c>
      <c r="L100" s="64">
        <v>24.14</v>
      </c>
      <c r="M100" s="64">
        <v>34.68</v>
      </c>
      <c r="N100" s="64">
        <v>28.1</v>
      </c>
      <c r="O100" s="64">
        <v>0</v>
      </c>
      <c r="P100" s="64">
        <v>1.24</v>
      </c>
      <c r="Q100" s="213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722</v>
      </c>
      <c r="B101" s="64">
        <v>20.91</v>
      </c>
      <c r="C101" s="64">
        <v>65.14</v>
      </c>
      <c r="D101" s="64">
        <v>92.57</v>
      </c>
      <c r="E101" s="64">
        <v>4.55</v>
      </c>
      <c r="F101" s="64">
        <v>14.54</v>
      </c>
      <c r="G101" s="64">
        <v>104.74</v>
      </c>
      <c r="H101" s="64">
        <v>31.28</v>
      </c>
      <c r="I101" s="64">
        <v>3.99</v>
      </c>
      <c r="J101" s="64">
        <v>0.53</v>
      </c>
      <c r="K101" s="64">
        <v>261.82</v>
      </c>
      <c r="L101" s="64">
        <v>24.09</v>
      </c>
      <c r="M101" s="64">
        <v>33.950000000000003</v>
      </c>
      <c r="N101" s="64">
        <v>28</v>
      </c>
      <c r="O101" s="64">
        <v>0</v>
      </c>
      <c r="P101" s="64">
        <v>1.05</v>
      </c>
      <c r="Q101" s="213" t="s">
        <v>42</v>
      </c>
      <c r="R101" s="198"/>
      <c r="S101" s="198"/>
      <c r="T101" s="198"/>
      <c r="U101" s="198"/>
    </row>
    <row r="102" spans="1:33" s="12" customFormat="1" x14ac:dyDescent="0.25">
      <c r="A102" s="215" t="s">
        <v>723</v>
      </c>
      <c r="B102" s="64">
        <v>23.27</v>
      </c>
      <c r="C102" s="64">
        <v>69.38</v>
      </c>
      <c r="D102" s="64">
        <v>97.07</v>
      </c>
      <c r="E102" s="64">
        <v>4.2699999999999996</v>
      </c>
      <c r="F102" s="64">
        <v>13.18</v>
      </c>
      <c r="G102" s="64">
        <v>104.74</v>
      </c>
      <c r="H102" s="64">
        <v>31.28</v>
      </c>
      <c r="I102" s="64">
        <v>4.13</v>
      </c>
      <c r="J102" s="64">
        <v>0.36</v>
      </c>
      <c r="K102" s="64">
        <v>224.06</v>
      </c>
      <c r="L102" s="64">
        <v>23.86</v>
      </c>
      <c r="M102" s="64">
        <v>34.33</v>
      </c>
      <c r="N102" s="64">
        <v>27.9</v>
      </c>
      <c r="O102" s="64">
        <v>0</v>
      </c>
      <c r="P102" s="64">
        <v>1.04</v>
      </c>
      <c r="Q102" s="213" t="s">
        <v>42</v>
      </c>
      <c r="R102" s="198"/>
      <c r="S102" s="198"/>
      <c r="T102" s="198"/>
      <c r="U102" s="198"/>
    </row>
    <row r="103" spans="1:33" s="12" customFormat="1" x14ac:dyDescent="0.25">
      <c r="A103" s="215" t="s">
        <v>724</v>
      </c>
      <c r="B103" s="64">
        <v>15.35</v>
      </c>
      <c r="C103" s="64">
        <v>55.23</v>
      </c>
      <c r="D103" s="64">
        <v>82.14</v>
      </c>
      <c r="E103" s="64">
        <v>4.37</v>
      </c>
      <c r="F103" s="64">
        <v>16.43</v>
      </c>
      <c r="G103" s="64">
        <v>97.4</v>
      </c>
      <c r="H103" s="64">
        <v>25.16</v>
      </c>
      <c r="I103" s="64">
        <v>3.96</v>
      </c>
      <c r="J103" s="64">
        <v>0.13</v>
      </c>
      <c r="K103" s="64">
        <v>228.32</v>
      </c>
      <c r="L103" s="64">
        <v>23.63</v>
      </c>
      <c r="M103" s="64">
        <v>35.17</v>
      </c>
      <c r="N103" s="64">
        <v>28.3</v>
      </c>
      <c r="O103" s="64">
        <v>0</v>
      </c>
      <c r="P103" s="64">
        <v>0.91</v>
      </c>
      <c r="Q103" s="213" t="s">
        <v>42</v>
      </c>
      <c r="R103" s="198"/>
      <c r="S103" s="198"/>
      <c r="T103" s="198"/>
      <c r="U103" s="198"/>
    </row>
    <row r="104" spans="1:33" s="12" customFormat="1" x14ac:dyDescent="0.25">
      <c r="A104" s="215" t="s">
        <v>725</v>
      </c>
      <c r="B104" s="64">
        <v>18.739999999999998</v>
      </c>
      <c r="C104" s="64">
        <v>64.040000000000006</v>
      </c>
      <c r="D104" s="64">
        <v>93.82</v>
      </c>
      <c r="E104" s="64">
        <v>3.24</v>
      </c>
      <c r="F104" s="64">
        <v>12.64</v>
      </c>
      <c r="G104" s="64">
        <v>89.71</v>
      </c>
      <c r="H104" s="64">
        <v>18.77</v>
      </c>
      <c r="I104" s="64">
        <v>3.96</v>
      </c>
      <c r="J104" s="64">
        <v>0.41</v>
      </c>
      <c r="K104" s="64">
        <v>305.39999999999998</v>
      </c>
      <c r="L104" s="64">
        <v>23.15</v>
      </c>
      <c r="M104" s="64">
        <v>37.31</v>
      </c>
      <c r="N104" s="64">
        <v>28.5</v>
      </c>
      <c r="O104" s="64">
        <v>0</v>
      </c>
      <c r="P104" s="64">
        <v>0.99</v>
      </c>
      <c r="Q104" s="213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0.42</v>
      </c>
      <c r="C106" s="67">
        <f>MIN(C9:C104)</f>
        <v>45.91</v>
      </c>
      <c r="D106" s="67">
        <f t="shared" ref="D106:Q106" si="0">MIN(D9:D104)</f>
        <v>82.14</v>
      </c>
      <c r="E106" s="67">
        <f t="shared" si="0"/>
        <v>2.1800000000000002</v>
      </c>
      <c r="F106" s="67">
        <f t="shared" si="0"/>
        <v>6.08</v>
      </c>
      <c r="G106" s="67">
        <f t="shared" si="0"/>
        <v>23.86</v>
      </c>
      <c r="H106" s="67">
        <f t="shared" si="0"/>
        <v>2.2999999999999998</v>
      </c>
      <c r="I106" s="67">
        <f t="shared" si="0"/>
        <v>3.81</v>
      </c>
      <c r="J106" s="67">
        <f t="shared" si="0"/>
        <v>0.05</v>
      </c>
      <c r="K106" s="67">
        <f t="shared" si="0"/>
        <v>151.47999999999999</v>
      </c>
      <c r="L106" s="67">
        <f t="shared" si="0"/>
        <v>19.11</v>
      </c>
      <c r="M106" s="67">
        <f t="shared" si="0"/>
        <v>14.81</v>
      </c>
      <c r="N106" s="67">
        <f t="shared" si="0"/>
        <v>27.1</v>
      </c>
      <c r="O106" s="67">
        <f t="shared" si="0"/>
        <v>0</v>
      </c>
      <c r="P106" s="67">
        <f t="shared" si="0"/>
        <v>0.37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192.78</v>
      </c>
      <c r="C107" s="66">
        <f t="shared" ref="C107:Q107" si="1">MAX(C9:C104)</f>
        <v>258.69</v>
      </c>
      <c r="D107" s="66">
        <f t="shared" si="1"/>
        <v>214.31</v>
      </c>
      <c r="E107" s="66">
        <f t="shared" si="1"/>
        <v>8.82</v>
      </c>
      <c r="F107" s="66">
        <f t="shared" si="1"/>
        <v>33.33</v>
      </c>
      <c r="G107" s="66">
        <f t="shared" si="1"/>
        <v>104.74</v>
      </c>
      <c r="H107" s="66">
        <f t="shared" si="1"/>
        <v>37.159999999999997</v>
      </c>
      <c r="I107" s="66">
        <f t="shared" si="1"/>
        <v>4.25</v>
      </c>
      <c r="J107" s="66">
        <f t="shared" si="1"/>
        <v>2.25</v>
      </c>
      <c r="K107" s="66">
        <f t="shared" si="1"/>
        <v>333.59</v>
      </c>
      <c r="L107" s="66">
        <f t="shared" si="1"/>
        <v>36.909999999999997</v>
      </c>
      <c r="M107" s="66">
        <f t="shared" si="1"/>
        <v>92.93</v>
      </c>
      <c r="N107" s="66">
        <f t="shared" si="1"/>
        <v>982.9</v>
      </c>
      <c r="O107" s="66">
        <f t="shared" si="1"/>
        <v>0</v>
      </c>
      <c r="P107" s="66">
        <f t="shared" si="1"/>
        <v>2.0699999999999998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28.646666666666668</v>
      </c>
      <c r="C108" s="67">
        <f t="shared" ref="C108:Q108" si="2">AVERAGE(C9:C104)</f>
        <v>96.543030303030321</v>
      </c>
      <c r="D108" s="67">
        <f t="shared" si="2"/>
        <v>140.81333333333333</v>
      </c>
      <c r="E108" s="67">
        <f t="shared" si="2"/>
        <v>4.3843749999999986</v>
      </c>
      <c r="F108" s="67">
        <f t="shared" si="2"/>
        <v>13.357604166666668</v>
      </c>
      <c r="G108" s="67">
        <f t="shared" si="2"/>
        <v>46.684166666666663</v>
      </c>
      <c r="H108" s="67">
        <f t="shared" si="2"/>
        <v>17.471145833333335</v>
      </c>
      <c r="I108" s="67">
        <f t="shared" si="2"/>
        <v>4.0209374999999987</v>
      </c>
      <c r="J108" s="67">
        <f t="shared" si="2"/>
        <v>1.0771874999999997</v>
      </c>
      <c r="K108" s="67">
        <f t="shared" si="2"/>
        <v>235.55572916666674</v>
      </c>
      <c r="L108" s="67">
        <f t="shared" si="2"/>
        <v>26.714791666666674</v>
      </c>
      <c r="M108" s="67">
        <f t="shared" si="2"/>
        <v>47.681770833333339</v>
      </c>
      <c r="N108" s="67">
        <f t="shared" si="2"/>
        <v>292.37708333333347</v>
      </c>
      <c r="O108" s="67">
        <f t="shared" si="2"/>
        <v>0</v>
      </c>
      <c r="P108" s="67">
        <f t="shared" si="2"/>
        <v>0.66781250000000014</v>
      </c>
      <c r="Q108" s="67">
        <f t="shared" si="2"/>
        <v>9.5790384615384614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40.007948324884978</v>
      </c>
      <c r="C109" s="67">
        <f t="shared" ref="C109:Q109" si="3">STDEV(C9:C104)</f>
        <v>48.850864596036551</v>
      </c>
      <c r="D109" s="67">
        <f t="shared" si="3"/>
        <v>42.608691577149692</v>
      </c>
      <c r="E109" s="67">
        <f t="shared" si="3"/>
        <v>1.8675640269444183</v>
      </c>
      <c r="F109" s="67">
        <f t="shared" si="3"/>
        <v>6.9742136692837615</v>
      </c>
      <c r="G109" s="67">
        <f t="shared" si="3"/>
        <v>22.462481592607858</v>
      </c>
      <c r="H109" s="67">
        <f t="shared" si="3"/>
        <v>8.3824022269453433</v>
      </c>
      <c r="I109" s="67">
        <f t="shared" si="3"/>
        <v>7.9499462096823098E-2</v>
      </c>
      <c r="J109" s="67">
        <f t="shared" si="3"/>
        <v>0.56156867344965133</v>
      </c>
      <c r="K109" s="67">
        <f t="shared" si="3"/>
        <v>50.958359362683311</v>
      </c>
      <c r="L109" s="67">
        <f t="shared" si="3"/>
        <v>5.2995650226998876</v>
      </c>
      <c r="M109" s="67">
        <f t="shared" si="3"/>
        <v>26.64219668494998</v>
      </c>
      <c r="N109" s="67">
        <f t="shared" si="3"/>
        <v>332.66954125652148</v>
      </c>
      <c r="O109" s="67">
        <f t="shared" si="3"/>
        <v>0</v>
      </c>
      <c r="P109" s="67">
        <f t="shared" si="3"/>
        <v>0.36275032191940432</v>
      </c>
      <c r="Q109" s="67">
        <f t="shared" si="3"/>
        <v>3.082268170342492E-2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33</v>
      </c>
      <c r="C110" s="66">
        <f t="shared" si="4"/>
        <v>33</v>
      </c>
      <c r="D110" s="66">
        <f t="shared" si="4"/>
        <v>33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726</v>
      </c>
      <c r="B9" s="64">
        <v>17.21</v>
      </c>
      <c r="C9" s="64">
        <v>59.87</v>
      </c>
      <c r="D9" s="64">
        <v>88.19</v>
      </c>
      <c r="E9" s="64">
        <v>3.64</v>
      </c>
      <c r="F9" s="64">
        <v>12.98</v>
      </c>
      <c r="G9" s="64">
        <v>89.71</v>
      </c>
      <c r="H9" s="64">
        <v>18.77</v>
      </c>
      <c r="I9" s="64">
        <v>4.08</v>
      </c>
      <c r="J9" s="64">
        <v>0.37</v>
      </c>
      <c r="K9" s="64">
        <v>254.66</v>
      </c>
      <c r="L9" s="64">
        <v>22.79</v>
      </c>
      <c r="M9" s="64">
        <v>37.53</v>
      </c>
      <c r="N9" s="64">
        <v>28.3</v>
      </c>
      <c r="O9" s="64">
        <v>0</v>
      </c>
      <c r="P9" s="64">
        <v>0.95</v>
      </c>
      <c r="Q9" s="213" t="s">
        <v>42</v>
      </c>
      <c r="R9" s="198"/>
      <c r="S9" s="198"/>
      <c r="T9" s="198"/>
      <c r="U9" s="198"/>
    </row>
    <row r="10" spans="1:21" s="12" customFormat="1" x14ac:dyDescent="0.25">
      <c r="A10" s="215" t="s">
        <v>727</v>
      </c>
      <c r="B10" s="64">
        <v>14.5</v>
      </c>
      <c r="C10" s="64">
        <v>56.42</v>
      </c>
      <c r="D10" s="64">
        <v>85.72</v>
      </c>
      <c r="E10" s="64">
        <v>3.1</v>
      </c>
      <c r="F10" s="64">
        <v>13.04</v>
      </c>
      <c r="G10" s="64">
        <v>89.71</v>
      </c>
      <c r="H10" s="64">
        <v>18.77</v>
      </c>
      <c r="I10" s="64">
        <v>3.97</v>
      </c>
      <c r="J10" s="64">
        <v>0.32</v>
      </c>
      <c r="K10" s="64">
        <v>223.24</v>
      </c>
      <c r="L10" s="64">
        <v>22.89</v>
      </c>
      <c r="M10" s="64">
        <v>40.08</v>
      </c>
      <c r="N10" s="64">
        <v>27.8</v>
      </c>
      <c r="O10" s="64">
        <v>0</v>
      </c>
      <c r="P10" s="64">
        <v>0.92</v>
      </c>
      <c r="Q10" s="213" t="s">
        <v>42</v>
      </c>
      <c r="R10" s="198"/>
      <c r="S10" s="198"/>
      <c r="T10" s="198"/>
      <c r="U10" s="198"/>
    </row>
    <row r="11" spans="1:21" s="12" customFormat="1" x14ac:dyDescent="0.25">
      <c r="A11" s="215" t="s">
        <v>728</v>
      </c>
      <c r="B11" s="64">
        <v>15.68</v>
      </c>
      <c r="C11" s="64">
        <v>56.69</v>
      </c>
      <c r="D11" s="64">
        <v>84.44</v>
      </c>
      <c r="E11" s="64">
        <v>3.13</v>
      </c>
      <c r="F11" s="64">
        <v>11.72</v>
      </c>
      <c r="G11" s="64">
        <v>81.31</v>
      </c>
      <c r="H11" s="64">
        <v>27.98</v>
      </c>
      <c r="I11" s="64">
        <v>3.98</v>
      </c>
      <c r="J11" s="64">
        <v>0.5</v>
      </c>
      <c r="K11" s="64">
        <v>328.24</v>
      </c>
      <c r="L11" s="64">
        <v>22.02</v>
      </c>
      <c r="M11" s="64">
        <v>50.51</v>
      </c>
      <c r="N11" s="64">
        <v>28.4</v>
      </c>
      <c r="O11" s="64">
        <v>0</v>
      </c>
      <c r="P11" s="64">
        <v>0.98</v>
      </c>
      <c r="Q11" s="213" t="s">
        <v>42</v>
      </c>
      <c r="R11" s="198"/>
      <c r="S11" s="198"/>
      <c r="T11" s="198"/>
      <c r="U11" s="198"/>
    </row>
    <row r="12" spans="1:21" s="12" customFormat="1" x14ac:dyDescent="0.25">
      <c r="A12" s="215" t="s">
        <v>729</v>
      </c>
      <c r="B12" s="64">
        <v>13.84</v>
      </c>
      <c r="C12" s="64">
        <v>52.39</v>
      </c>
      <c r="D12" s="64">
        <v>79.040000000000006</v>
      </c>
      <c r="E12" s="64">
        <v>3.25</v>
      </c>
      <c r="F12" s="64">
        <v>12.02</v>
      </c>
      <c r="G12" s="64">
        <v>72.13</v>
      </c>
      <c r="H12" s="64">
        <v>37.61</v>
      </c>
      <c r="I12" s="64">
        <v>3.98</v>
      </c>
      <c r="J12" s="64">
        <v>0.41</v>
      </c>
      <c r="K12" s="64">
        <v>326.20999999999998</v>
      </c>
      <c r="L12" s="64">
        <v>21.57</v>
      </c>
      <c r="M12" s="64">
        <v>50.92</v>
      </c>
      <c r="N12" s="64">
        <v>28.3</v>
      </c>
      <c r="O12" s="64">
        <v>0</v>
      </c>
      <c r="P12" s="64">
        <v>0.96</v>
      </c>
      <c r="Q12" s="213" t="s">
        <v>42</v>
      </c>
      <c r="R12" s="198"/>
      <c r="S12" s="198"/>
      <c r="T12" s="198"/>
      <c r="U12" s="198"/>
    </row>
    <row r="13" spans="1:21" s="12" customFormat="1" x14ac:dyDescent="0.25">
      <c r="A13" s="215" t="s">
        <v>730</v>
      </c>
      <c r="B13" s="64">
        <v>11.65</v>
      </c>
      <c r="C13" s="64">
        <v>51.37</v>
      </c>
      <c r="D13" s="64">
        <v>80.44</v>
      </c>
      <c r="E13" s="64">
        <v>3.2</v>
      </c>
      <c r="F13" s="64">
        <v>12.45</v>
      </c>
      <c r="G13" s="64">
        <v>72.13</v>
      </c>
      <c r="H13" s="64">
        <v>37.61</v>
      </c>
      <c r="I13" s="64">
        <v>3.91</v>
      </c>
      <c r="J13" s="64">
        <v>0.28000000000000003</v>
      </c>
      <c r="K13" s="64">
        <v>330.15</v>
      </c>
      <c r="L13" s="64">
        <v>21.44</v>
      </c>
      <c r="M13" s="64">
        <v>46.7</v>
      </c>
      <c r="N13" s="64">
        <v>28.4</v>
      </c>
      <c r="O13" s="64">
        <v>0</v>
      </c>
      <c r="P13" s="64">
        <v>0.86</v>
      </c>
      <c r="Q13" s="213" t="s">
        <v>42</v>
      </c>
      <c r="R13" s="198"/>
      <c r="S13" s="198"/>
      <c r="T13" s="198"/>
      <c r="U13" s="198"/>
    </row>
    <row r="14" spans="1:21" s="12" customFormat="1" x14ac:dyDescent="0.25">
      <c r="A14" s="215" t="s">
        <v>731</v>
      </c>
      <c r="B14" s="64">
        <v>23.54</v>
      </c>
      <c r="C14" s="64">
        <v>69.55</v>
      </c>
      <c r="D14" s="64">
        <v>96.98</v>
      </c>
      <c r="E14" s="64">
        <v>3.41</v>
      </c>
      <c r="F14" s="64">
        <v>9.98</v>
      </c>
      <c r="G14" s="64">
        <v>72.13</v>
      </c>
      <c r="H14" s="64">
        <v>37.61</v>
      </c>
      <c r="I14" s="64">
        <v>4.03</v>
      </c>
      <c r="J14" s="64">
        <v>0.12</v>
      </c>
      <c r="K14" s="64">
        <v>144.41999999999999</v>
      </c>
      <c r="L14" s="64">
        <v>21.25</v>
      </c>
      <c r="M14" s="64">
        <v>47.28</v>
      </c>
      <c r="N14" s="64">
        <v>28</v>
      </c>
      <c r="O14" s="64">
        <v>0</v>
      </c>
      <c r="P14" s="64">
        <v>0.85</v>
      </c>
      <c r="Q14" s="213" t="s">
        <v>42</v>
      </c>
      <c r="R14" s="198"/>
      <c r="S14" s="198"/>
      <c r="T14" s="198"/>
      <c r="U14" s="198"/>
    </row>
    <row r="15" spans="1:21" s="12" customFormat="1" x14ac:dyDescent="0.25">
      <c r="A15" s="215" t="s">
        <v>732</v>
      </c>
      <c r="B15" s="64">
        <v>8.43</v>
      </c>
      <c r="C15" s="64">
        <v>42.63</v>
      </c>
      <c r="D15" s="64">
        <v>68.650000000000006</v>
      </c>
      <c r="E15" s="64">
        <v>3.26</v>
      </c>
      <c r="F15" s="64">
        <v>15.06</v>
      </c>
      <c r="G15" s="64">
        <v>71.27</v>
      </c>
      <c r="H15" s="64">
        <v>31.72</v>
      </c>
      <c r="I15" s="64">
        <v>3.77</v>
      </c>
      <c r="J15" s="64">
        <v>0.33</v>
      </c>
      <c r="K15" s="64">
        <v>216.69</v>
      </c>
      <c r="L15" s="64">
        <v>21.58</v>
      </c>
      <c r="M15" s="64">
        <v>43.91</v>
      </c>
      <c r="N15" s="64">
        <v>27.7</v>
      </c>
      <c r="O15" s="64">
        <v>0</v>
      </c>
      <c r="P15" s="64">
        <v>0.7</v>
      </c>
      <c r="Q15" s="213" t="s">
        <v>42</v>
      </c>
      <c r="R15" s="198"/>
      <c r="S15" s="198"/>
      <c r="T15" s="198"/>
      <c r="U15" s="198"/>
    </row>
    <row r="16" spans="1:21" s="12" customFormat="1" x14ac:dyDescent="0.25">
      <c r="A16" s="215" t="s">
        <v>733</v>
      </c>
      <c r="B16" s="64">
        <v>12.63</v>
      </c>
      <c r="C16" s="64">
        <v>49.25</v>
      </c>
      <c r="D16" s="64">
        <v>74.88</v>
      </c>
      <c r="E16" s="64">
        <v>3.43</v>
      </c>
      <c r="F16" s="64">
        <v>12.58</v>
      </c>
      <c r="G16" s="64">
        <v>70.319999999999993</v>
      </c>
      <c r="H16" s="64">
        <v>25.27</v>
      </c>
      <c r="I16" s="64">
        <v>4.0199999999999996</v>
      </c>
      <c r="J16" s="64">
        <v>0.35</v>
      </c>
      <c r="K16" s="64">
        <v>264.13</v>
      </c>
      <c r="L16" s="64">
        <v>21.42</v>
      </c>
      <c r="M16" s="64">
        <v>45.8</v>
      </c>
      <c r="N16" s="64">
        <v>28.2</v>
      </c>
      <c r="O16" s="64">
        <v>0</v>
      </c>
      <c r="P16" s="64">
        <v>0.76</v>
      </c>
      <c r="Q16" s="213" t="s">
        <v>42</v>
      </c>
      <c r="R16" s="198"/>
      <c r="S16" s="198"/>
      <c r="T16" s="198"/>
      <c r="U16" s="198"/>
    </row>
    <row r="17" spans="1:21" s="12" customFormat="1" x14ac:dyDescent="0.25">
      <c r="A17" s="215" t="s">
        <v>734</v>
      </c>
      <c r="B17" s="64">
        <v>11.02</v>
      </c>
      <c r="C17" s="64">
        <v>42.55</v>
      </c>
      <c r="D17" s="64">
        <v>64.52</v>
      </c>
      <c r="E17" s="64">
        <v>3.59</v>
      </c>
      <c r="F17" s="64">
        <v>14.58</v>
      </c>
      <c r="G17" s="64">
        <v>70.319999999999993</v>
      </c>
      <c r="H17" s="64">
        <v>25.27</v>
      </c>
      <c r="I17" s="64">
        <v>3.93</v>
      </c>
      <c r="J17" s="64">
        <v>0.72</v>
      </c>
      <c r="K17" s="64">
        <v>169.18</v>
      </c>
      <c r="L17" s="64">
        <v>21.57</v>
      </c>
      <c r="M17" s="64">
        <v>41.08</v>
      </c>
      <c r="N17" s="64">
        <v>27</v>
      </c>
      <c r="O17" s="64">
        <v>0</v>
      </c>
      <c r="P17" s="64">
        <v>0.75</v>
      </c>
      <c r="Q17" s="213" t="s">
        <v>42</v>
      </c>
      <c r="R17" s="198"/>
      <c r="S17" s="198"/>
      <c r="T17" s="198"/>
      <c r="U17" s="198"/>
    </row>
    <row r="18" spans="1:21" s="12" customFormat="1" x14ac:dyDescent="0.25">
      <c r="A18" s="215" t="s">
        <v>735</v>
      </c>
      <c r="B18" s="64">
        <v>9.8800000000000008</v>
      </c>
      <c r="C18" s="64">
        <v>42.14</v>
      </c>
      <c r="D18" s="64">
        <v>65.5</v>
      </c>
      <c r="E18" s="64">
        <v>3.56</v>
      </c>
      <c r="F18" s="64">
        <v>14.9</v>
      </c>
      <c r="G18" s="64">
        <v>70.319999999999993</v>
      </c>
      <c r="H18" s="64">
        <v>25.27</v>
      </c>
      <c r="I18" s="64">
        <v>4.01</v>
      </c>
      <c r="J18" s="64">
        <v>0.46</v>
      </c>
      <c r="K18" s="64">
        <v>204.97</v>
      </c>
      <c r="L18" s="64">
        <v>21.86</v>
      </c>
      <c r="M18" s="64">
        <v>40.119999999999997</v>
      </c>
      <c r="N18" s="64">
        <v>27.7</v>
      </c>
      <c r="O18" s="64">
        <v>0</v>
      </c>
      <c r="P18" s="64">
        <v>0.89</v>
      </c>
      <c r="Q18" s="213" t="s">
        <v>42</v>
      </c>
      <c r="R18" s="198"/>
      <c r="S18" s="198"/>
      <c r="T18" s="198"/>
      <c r="U18" s="198"/>
    </row>
    <row r="19" spans="1:21" s="12" customFormat="1" x14ac:dyDescent="0.25">
      <c r="A19" s="215" t="s">
        <v>736</v>
      </c>
      <c r="B19" s="64">
        <v>8.61</v>
      </c>
      <c r="C19" s="64">
        <v>38.479999999999997</v>
      </c>
      <c r="D19" s="64">
        <v>60.44</v>
      </c>
      <c r="E19" s="64">
        <v>3.53</v>
      </c>
      <c r="F19" s="64">
        <v>15.75</v>
      </c>
      <c r="G19" s="64">
        <v>63.03</v>
      </c>
      <c r="H19" s="64">
        <v>22.92</v>
      </c>
      <c r="I19" s="64">
        <v>4.09</v>
      </c>
      <c r="J19" s="64">
        <v>0.39</v>
      </c>
      <c r="K19" s="64">
        <v>253.61</v>
      </c>
      <c r="L19" s="64">
        <v>21.67</v>
      </c>
      <c r="M19" s="64">
        <v>41.34</v>
      </c>
      <c r="N19" s="64">
        <v>28.1</v>
      </c>
      <c r="O19" s="64">
        <v>0</v>
      </c>
      <c r="P19" s="213" t="s">
        <v>42</v>
      </c>
      <c r="Q19" s="213" t="s">
        <v>42</v>
      </c>
      <c r="R19" s="198"/>
      <c r="S19" s="198"/>
      <c r="T19" s="198"/>
      <c r="U19" s="198"/>
    </row>
    <row r="20" spans="1:21" s="12" customFormat="1" x14ac:dyDescent="0.25">
      <c r="A20" s="215" t="s">
        <v>737</v>
      </c>
      <c r="B20" s="64">
        <v>6.88</v>
      </c>
      <c r="C20" s="64">
        <v>35.85</v>
      </c>
      <c r="D20" s="64">
        <v>58.07</v>
      </c>
      <c r="E20" s="64">
        <v>3.4</v>
      </c>
      <c r="F20" s="64">
        <v>15.13</v>
      </c>
      <c r="G20" s="64">
        <v>55.06</v>
      </c>
      <c r="H20" s="64">
        <v>20.350000000000001</v>
      </c>
      <c r="I20" s="64">
        <v>4.04</v>
      </c>
      <c r="J20" s="64">
        <v>0.48</v>
      </c>
      <c r="K20" s="64">
        <v>242.58</v>
      </c>
      <c r="L20" s="64">
        <v>21.61</v>
      </c>
      <c r="M20" s="64">
        <v>42.79</v>
      </c>
      <c r="N20" s="64">
        <v>28.1</v>
      </c>
      <c r="O20" s="64">
        <v>0</v>
      </c>
      <c r="P20" s="213" t="s">
        <v>42</v>
      </c>
      <c r="Q20" s="213" t="s">
        <v>42</v>
      </c>
      <c r="R20" s="198"/>
      <c r="S20" s="198"/>
      <c r="T20" s="198"/>
      <c r="U20" s="198"/>
    </row>
    <row r="21" spans="1:21" s="12" customFormat="1" x14ac:dyDescent="0.25">
      <c r="A21" s="215" t="s">
        <v>738</v>
      </c>
      <c r="B21" s="64">
        <v>8.43</v>
      </c>
      <c r="C21" s="64">
        <v>39.700000000000003</v>
      </c>
      <c r="D21" s="64">
        <v>63.05</v>
      </c>
      <c r="E21" s="64">
        <v>3.17</v>
      </c>
      <c r="F21" s="64">
        <v>13.21</v>
      </c>
      <c r="G21" s="64">
        <v>55.06</v>
      </c>
      <c r="H21" s="64">
        <v>20.350000000000001</v>
      </c>
      <c r="I21" s="64">
        <v>4.17</v>
      </c>
      <c r="J21" s="64">
        <v>0.35</v>
      </c>
      <c r="K21" s="64">
        <v>252.82</v>
      </c>
      <c r="L21" s="64">
        <v>21.06</v>
      </c>
      <c r="M21" s="64">
        <v>44.81</v>
      </c>
      <c r="N21" s="64">
        <v>28.1</v>
      </c>
      <c r="O21" s="64">
        <v>0</v>
      </c>
      <c r="P21" s="213" t="s">
        <v>42</v>
      </c>
      <c r="Q21" s="213" t="s">
        <v>42</v>
      </c>
      <c r="R21" s="198"/>
      <c r="S21" s="198"/>
      <c r="T21" s="198"/>
      <c r="U21" s="198"/>
    </row>
    <row r="22" spans="1:21" s="12" customFormat="1" x14ac:dyDescent="0.25">
      <c r="A22" s="215" t="s">
        <v>739</v>
      </c>
      <c r="B22" s="64">
        <v>12.55</v>
      </c>
      <c r="C22" s="64">
        <v>48.27</v>
      </c>
      <c r="D22" s="64">
        <v>73.13</v>
      </c>
      <c r="E22" s="64">
        <v>3.01</v>
      </c>
      <c r="F22" s="64">
        <v>8.19</v>
      </c>
      <c r="G22" s="64">
        <v>55.06</v>
      </c>
      <c r="H22" s="64">
        <v>20.350000000000001</v>
      </c>
      <c r="I22" s="64">
        <v>3.94</v>
      </c>
      <c r="J22" s="64">
        <v>0.51</v>
      </c>
      <c r="K22" s="64">
        <v>272.04000000000002</v>
      </c>
      <c r="L22" s="64">
        <v>20.81</v>
      </c>
      <c r="M22" s="64">
        <v>46.01</v>
      </c>
      <c r="N22" s="64">
        <v>28.2</v>
      </c>
      <c r="O22" s="64">
        <v>0</v>
      </c>
      <c r="P22" s="213" t="s">
        <v>42</v>
      </c>
      <c r="Q22" s="213" t="s">
        <v>42</v>
      </c>
      <c r="R22" s="198"/>
      <c r="S22" s="198"/>
      <c r="T22" s="198"/>
      <c r="U22" s="198"/>
    </row>
    <row r="23" spans="1:21" s="12" customFormat="1" x14ac:dyDescent="0.25">
      <c r="A23" s="215" t="s">
        <v>740</v>
      </c>
      <c r="B23" s="64">
        <v>14.6</v>
      </c>
      <c r="C23" s="64">
        <v>53.23</v>
      </c>
      <c r="D23" s="64">
        <v>79.47</v>
      </c>
      <c r="E23" s="64">
        <v>2.79</v>
      </c>
      <c r="F23" s="64">
        <v>7.68</v>
      </c>
      <c r="G23" s="64">
        <v>52.32</v>
      </c>
      <c r="H23" s="64">
        <v>19.13</v>
      </c>
      <c r="I23" s="64">
        <v>3.99</v>
      </c>
      <c r="J23" s="64">
        <v>0.5</v>
      </c>
      <c r="K23" s="64">
        <v>279.52999999999997</v>
      </c>
      <c r="L23" s="64">
        <v>20.399999999999999</v>
      </c>
      <c r="M23" s="64">
        <v>46.89</v>
      </c>
      <c r="N23" s="64">
        <v>27.9</v>
      </c>
      <c r="O23" s="64">
        <v>0</v>
      </c>
      <c r="P23" s="213" t="s">
        <v>42</v>
      </c>
      <c r="Q23" s="213" t="s">
        <v>42</v>
      </c>
      <c r="R23" s="198"/>
      <c r="S23" s="198"/>
      <c r="T23" s="198"/>
      <c r="U23" s="198"/>
    </row>
    <row r="24" spans="1:21" s="12" customFormat="1" x14ac:dyDescent="0.25">
      <c r="A24" s="215" t="s">
        <v>741</v>
      </c>
      <c r="B24" s="64">
        <v>14.72</v>
      </c>
      <c r="C24" s="64">
        <v>52.12</v>
      </c>
      <c r="D24" s="64">
        <v>77.16</v>
      </c>
      <c r="E24" s="64">
        <v>2.63</v>
      </c>
      <c r="F24" s="64">
        <v>9.27</v>
      </c>
      <c r="G24" s="64">
        <v>49.32</v>
      </c>
      <c r="H24" s="64">
        <v>17.8</v>
      </c>
      <c r="I24" s="64">
        <v>4.0999999999999996</v>
      </c>
      <c r="J24" s="64">
        <v>0.41</v>
      </c>
      <c r="K24" s="64">
        <v>287.47000000000003</v>
      </c>
      <c r="L24" s="64">
        <v>20.8</v>
      </c>
      <c r="M24" s="64">
        <v>46.91</v>
      </c>
      <c r="N24" s="64">
        <v>28.2</v>
      </c>
      <c r="O24" s="64">
        <v>0</v>
      </c>
      <c r="P24" s="213" t="s">
        <v>42</v>
      </c>
      <c r="Q24" s="213" t="s">
        <v>42</v>
      </c>
      <c r="R24" s="198"/>
      <c r="S24" s="198"/>
      <c r="T24" s="198"/>
      <c r="U24" s="198"/>
    </row>
    <row r="25" spans="1:21" s="12" customFormat="1" x14ac:dyDescent="0.25">
      <c r="A25" s="215" t="s">
        <v>742</v>
      </c>
      <c r="B25" s="64">
        <v>13.82</v>
      </c>
      <c r="C25" s="64">
        <v>53.77</v>
      </c>
      <c r="D25" s="64">
        <v>81.709999999999994</v>
      </c>
      <c r="E25" s="64">
        <v>2.27</v>
      </c>
      <c r="F25" s="64">
        <v>8.16</v>
      </c>
      <c r="G25" s="64">
        <v>49.32</v>
      </c>
      <c r="H25" s="64">
        <v>17.8</v>
      </c>
      <c r="I25" s="64">
        <v>3.95</v>
      </c>
      <c r="J25" s="64">
        <v>0.44</v>
      </c>
      <c r="K25" s="64">
        <v>259.64999999999998</v>
      </c>
      <c r="L25" s="64">
        <v>20.27</v>
      </c>
      <c r="M25" s="64">
        <v>47.2</v>
      </c>
      <c r="N25" s="64">
        <v>28.2</v>
      </c>
      <c r="O25" s="64">
        <v>0</v>
      </c>
      <c r="P25" s="213" t="s">
        <v>42</v>
      </c>
      <c r="Q25" s="213" t="s">
        <v>42</v>
      </c>
      <c r="R25" s="198"/>
      <c r="S25" s="198"/>
      <c r="T25" s="198"/>
      <c r="U25" s="198"/>
    </row>
    <row r="26" spans="1:21" s="12" customFormat="1" x14ac:dyDescent="0.25">
      <c r="A26" s="215" t="s">
        <v>743</v>
      </c>
      <c r="B26" s="64">
        <v>11.86</v>
      </c>
      <c r="C26" s="64">
        <v>50.42</v>
      </c>
      <c r="D26" s="64">
        <v>78.31</v>
      </c>
      <c r="E26" s="64">
        <v>2.19</v>
      </c>
      <c r="F26" s="64">
        <v>8.5500000000000007</v>
      </c>
      <c r="G26" s="64">
        <v>49.32</v>
      </c>
      <c r="H26" s="64">
        <v>17.8</v>
      </c>
      <c r="I26" s="64">
        <v>4.0199999999999996</v>
      </c>
      <c r="J26" s="64">
        <v>0.38</v>
      </c>
      <c r="K26" s="64">
        <v>202.29</v>
      </c>
      <c r="L26" s="64">
        <v>20.309999999999999</v>
      </c>
      <c r="M26" s="64">
        <v>46.56</v>
      </c>
      <c r="N26" s="64">
        <v>27.8</v>
      </c>
      <c r="O26" s="64">
        <v>0</v>
      </c>
      <c r="P26" s="213" t="s">
        <v>42</v>
      </c>
      <c r="Q26" s="213" t="s">
        <v>42</v>
      </c>
      <c r="R26" s="198"/>
      <c r="S26" s="198"/>
      <c r="T26" s="198"/>
      <c r="U26" s="198"/>
    </row>
    <row r="27" spans="1:21" s="12" customFormat="1" x14ac:dyDescent="0.25">
      <c r="A27" s="215" t="s">
        <v>744</v>
      </c>
      <c r="B27" s="64">
        <v>11.41</v>
      </c>
      <c r="C27" s="64">
        <v>53.37</v>
      </c>
      <c r="D27" s="64">
        <v>84.63</v>
      </c>
      <c r="E27" s="64">
        <v>2.74</v>
      </c>
      <c r="F27" s="64">
        <v>8.5399999999999991</v>
      </c>
      <c r="G27" s="64">
        <v>51.25</v>
      </c>
      <c r="H27" s="64">
        <v>22.32</v>
      </c>
      <c r="I27" s="64">
        <v>4.18</v>
      </c>
      <c r="J27" s="64">
        <v>0.52</v>
      </c>
      <c r="K27" s="64">
        <v>239.37</v>
      </c>
      <c r="L27" s="64">
        <v>20.14</v>
      </c>
      <c r="M27" s="64">
        <v>47.6</v>
      </c>
      <c r="N27" s="64">
        <v>27.9</v>
      </c>
      <c r="O27" s="64">
        <v>0</v>
      </c>
      <c r="P27" s="213" t="s">
        <v>42</v>
      </c>
      <c r="Q27" s="213" t="s">
        <v>42</v>
      </c>
      <c r="R27" s="198"/>
      <c r="S27" s="198"/>
      <c r="T27" s="198"/>
      <c r="U27" s="198"/>
    </row>
    <row r="28" spans="1:21" s="12" customFormat="1" x14ac:dyDescent="0.25">
      <c r="A28" s="215" t="s">
        <v>745</v>
      </c>
      <c r="B28" s="64">
        <v>12.55</v>
      </c>
      <c r="C28" s="64">
        <v>53.96</v>
      </c>
      <c r="D28" s="64">
        <v>84.01</v>
      </c>
      <c r="E28" s="64">
        <v>2.6</v>
      </c>
      <c r="F28" s="64">
        <v>8.2799999999999994</v>
      </c>
      <c r="G28" s="64">
        <v>53.36</v>
      </c>
      <c r="H28" s="64">
        <v>27.26</v>
      </c>
      <c r="I28" s="64">
        <v>3.99</v>
      </c>
      <c r="J28" s="64">
        <v>0.37</v>
      </c>
      <c r="K28" s="64">
        <v>250.55</v>
      </c>
      <c r="L28" s="64">
        <v>20.329999999999998</v>
      </c>
      <c r="M28" s="64">
        <v>47.51</v>
      </c>
      <c r="N28" s="64">
        <v>27.8</v>
      </c>
      <c r="O28" s="64">
        <v>0</v>
      </c>
      <c r="P28" s="213" t="s">
        <v>42</v>
      </c>
      <c r="Q28" s="213" t="s">
        <v>42</v>
      </c>
      <c r="R28" s="198"/>
      <c r="S28" s="198"/>
      <c r="T28" s="198"/>
      <c r="U28" s="198"/>
    </row>
    <row r="29" spans="1:21" s="12" customFormat="1" x14ac:dyDescent="0.25">
      <c r="A29" s="215" t="s">
        <v>746</v>
      </c>
      <c r="B29" s="64">
        <v>16.02</v>
      </c>
      <c r="C29" s="64">
        <v>59.24</v>
      </c>
      <c r="D29" s="64">
        <v>88.8</v>
      </c>
      <c r="E29" s="64">
        <v>2.2799999999999998</v>
      </c>
      <c r="F29" s="64">
        <v>8.0399999999999991</v>
      </c>
      <c r="G29" s="64">
        <v>53.36</v>
      </c>
      <c r="H29" s="64">
        <v>27.26</v>
      </c>
      <c r="I29" s="64">
        <v>3.97</v>
      </c>
      <c r="J29" s="64">
        <v>0.36</v>
      </c>
      <c r="K29" s="64">
        <v>273.14999999999998</v>
      </c>
      <c r="L29" s="64">
        <v>20.05</v>
      </c>
      <c r="M29" s="64">
        <v>47.22</v>
      </c>
      <c r="N29" s="64">
        <v>28</v>
      </c>
      <c r="O29" s="64">
        <v>0</v>
      </c>
      <c r="P29" s="213" t="s">
        <v>42</v>
      </c>
      <c r="Q29" s="213" t="s">
        <v>42</v>
      </c>
      <c r="R29" s="198"/>
      <c r="S29" s="198"/>
      <c r="T29" s="198"/>
      <c r="U29" s="198"/>
    </row>
    <row r="30" spans="1:21" s="12" customFormat="1" x14ac:dyDescent="0.25">
      <c r="A30" s="215" t="s">
        <v>747</v>
      </c>
      <c r="B30" s="64">
        <v>19.170000000000002</v>
      </c>
      <c r="C30" s="64">
        <v>62.75</v>
      </c>
      <c r="D30" s="64">
        <v>90.68</v>
      </c>
      <c r="E30" s="64">
        <v>2.68</v>
      </c>
      <c r="F30" s="64">
        <v>7.41</v>
      </c>
      <c r="G30" s="64">
        <v>53.36</v>
      </c>
      <c r="H30" s="64">
        <v>27.26</v>
      </c>
      <c r="I30" s="64">
        <v>3.93</v>
      </c>
      <c r="J30" s="64">
        <v>0.54</v>
      </c>
      <c r="K30" s="64">
        <v>50.14</v>
      </c>
      <c r="L30" s="64">
        <v>19.8</v>
      </c>
      <c r="M30" s="64">
        <v>50.25</v>
      </c>
      <c r="N30" s="64">
        <v>28.3</v>
      </c>
      <c r="O30" s="64">
        <v>0</v>
      </c>
      <c r="P30" s="213" t="s">
        <v>42</v>
      </c>
      <c r="Q30" s="213" t="s">
        <v>42</v>
      </c>
      <c r="R30" s="198"/>
      <c r="S30" s="198"/>
      <c r="T30" s="198"/>
      <c r="U30" s="198"/>
    </row>
    <row r="31" spans="1:21" s="12" customFormat="1" x14ac:dyDescent="0.25">
      <c r="A31" s="215" t="s">
        <v>748</v>
      </c>
      <c r="B31" s="64">
        <v>21.63</v>
      </c>
      <c r="C31" s="64">
        <v>65.319999999999993</v>
      </c>
      <c r="D31" s="64">
        <v>91.83</v>
      </c>
      <c r="E31" s="64">
        <v>2.4</v>
      </c>
      <c r="F31" s="64">
        <v>8.06</v>
      </c>
      <c r="G31" s="64">
        <v>56.05</v>
      </c>
      <c r="H31" s="64">
        <v>25.14</v>
      </c>
      <c r="I31" s="64">
        <v>4.07</v>
      </c>
      <c r="J31" s="64">
        <v>0.16</v>
      </c>
      <c r="K31" s="64">
        <v>259.67</v>
      </c>
      <c r="L31" s="64">
        <v>19.46</v>
      </c>
      <c r="M31" s="64">
        <v>54.06</v>
      </c>
      <c r="N31" s="64">
        <v>28.8</v>
      </c>
      <c r="O31" s="64">
        <v>0</v>
      </c>
      <c r="P31" s="213" t="s">
        <v>42</v>
      </c>
      <c r="Q31" s="213" t="s">
        <v>42</v>
      </c>
      <c r="R31" s="198"/>
      <c r="S31" s="198"/>
      <c r="T31" s="198"/>
      <c r="U31" s="198"/>
    </row>
    <row r="32" spans="1:21" s="12" customFormat="1" x14ac:dyDescent="0.25">
      <c r="A32" s="215" t="s">
        <v>749</v>
      </c>
      <c r="B32" s="64">
        <v>19.45</v>
      </c>
      <c r="C32" s="64">
        <v>66.849999999999994</v>
      </c>
      <c r="D32" s="64">
        <v>98.1</v>
      </c>
      <c r="E32" s="64">
        <v>2.48</v>
      </c>
      <c r="F32" s="64">
        <v>8.73</v>
      </c>
      <c r="G32" s="64">
        <v>58.99</v>
      </c>
      <c r="H32" s="64">
        <v>22.82</v>
      </c>
      <c r="I32" s="64">
        <v>4.04</v>
      </c>
      <c r="J32" s="64">
        <v>0.3</v>
      </c>
      <c r="K32" s="64">
        <v>264.06</v>
      </c>
      <c r="L32" s="64">
        <v>19.75</v>
      </c>
      <c r="M32" s="64">
        <v>53.44</v>
      </c>
      <c r="N32" s="64">
        <v>34.1</v>
      </c>
      <c r="O32" s="64">
        <v>0</v>
      </c>
      <c r="P32" s="213" t="s">
        <v>42</v>
      </c>
      <c r="Q32" s="213" t="s">
        <v>42</v>
      </c>
      <c r="R32" s="198"/>
      <c r="S32" s="198"/>
      <c r="T32" s="198"/>
      <c r="U32" s="198"/>
    </row>
    <row r="33" spans="1:21" s="12" customFormat="1" x14ac:dyDescent="0.25">
      <c r="A33" s="215" t="s">
        <v>750</v>
      </c>
      <c r="B33" s="64">
        <v>53.23</v>
      </c>
      <c r="C33" s="64">
        <v>99.92</v>
      </c>
      <c r="D33" s="64">
        <v>109.54</v>
      </c>
      <c r="E33" s="64">
        <v>2.86</v>
      </c>
      <c r="F33" s="64">
        <v>6.4</v>
      </c>
      <c r="G33" s="64">
        <v>58.99</v>
      </c>
      <c r="H33" s="64">
        <v>22.82</v>
      </c>
      <c r="I33" s="64">
        <v>3.91</v>
      </c>
      <c r="J33" s="64">
        <v>0.25</v>
      </c>
      <c r="K33" s="64">
        <v>35.630000000000003</v>
      </c>
      <c r="L33" s="64">
        <v>19.43</v>
      </c>
      <c r="M33" s="64">
        <v>56.39</v>
      </c>
      <c r="N33" s="64">
        <v>47.1</v>
      </c>
      <c r="O33" s="64">
        <v>0</v>
      </c>
      <c r="P33" s="213" t="s">
        <v>42</v>
      </c>
      <c r="Q33" s="213" t="s">
        <v>42</v>
      </c>
      <c r="R33" s="198"/>
      <c r="S33" s="198"/>
      <c r="T33" s="198"/>
      <c r="U33" s="198"/>
    </row>
    <row r="34" spans="1:21" s="12" customFormat="1" x14ac:dyDescent="0.25">
      <c r="A34" s="215" t="s">
        <v>751</v>
      </c>
      <c r="B34" s="64">
        <v>108.79</v>
      </c>
      <c r="C34" s="64">
        <v>154.22</v>
      </c>
      <c r="D34" s="64">
        <v>128.19999999999999</v>
      </c>
      <c r="E34" s="64">
        <v>3.07</v>
      </c>
      <c r="F34" s="64">
        <v>6.31</v>
      </c>
      <c r="G34" s="64">
        <v>58.99</v>
      </c>
      <c r="H34" s="64">
        <v>22.82</v>
      </c>
      <c r="I34" s="64">
        <v>3.92</v>
      </c>
      <c r="J34" s="64">
        <v>0.31</v>
      </c>
      <c r="K34" s="64">
        <v>216.49</v>
      </c>
      <c r="L34" s="64">
        <v>19.87</v>
      </c>
      <c r="M34" s="64">
        <v>56.43</v>
      </c>
      <c r="N34" s="64">
        <v>69.900000000000006</v>
      </c>
      <c r="O34" s="64">
        <v>0</v>
      </c>
      <c r="P34" s="213" t="s">
        <v>42</v>
      </c>
      <c r="Q34" s="213" t="s">
        <v>42</v>
      </c>
      <c r="R34" s="198"/>
      <c r="S34" s="198"/>
      <c r="T34" s="198"/>
      <c r="U34" s="198"/>
    </row>
    <row r="35" spans="1:21" s="12" customFormat="1" x14ac:dyDescent="0.25">
      <c r="A35" s="215" t="s">
        <v>752</v>
      </c>
      <c r="B35" s="64">
        <v>99.2</v>
      </c>
      <c r="C35" s="64">
        <v>145.55000000000001</v>
      </c>
      <c r="D35" s="64">
        <v>126.32</v>
      </c>
      <c r="E35" s="64">
        <v>3.18</v>
      </c>
      <c r="F35" s="64">
        <v>6.72</v>
      </c>
      <c r="G35" s="64">
        <v>68.08</v>
      </c>
      <c r="H35" s="64">
        <v>23.08</v>
      </c>
      <c r="I35" s="64">
        <v>4.0999999999999996</v>
      </c>
      <c r="J35" s="64">
        <v>0.59</v>
      </c>
      <c r="K35" s="64">
        <v>13.49</v>
      </c>
      <c r="L35" s="64">
        <v>20.75</v>
      </c>
      <c r="M35" s="64">
        <v>56.24</v>
      </c>
      <c r="N35" s="64">
        <v>104.5</v>
      </c>
      <c r="O35" s="64">
        <v>0</v>
      </c>
      <c r="P35" s="213" t="s">
        <v>42</v>
      </c>
      <c r="Q35" s="213" t="s">
        <v>42</v>
      </c>
      <c r="R35" s="198"/>
      <c r="S35" s="198"/>
      <c r="T35" s="198"/>
      <c r="U35" s="198"/>
    </row>
    <row r="36" spans="1:21" s="12" customFormat="1" x14ac:dyDescent="0.25">
      <c r="A36" s="215" t="s">
        <v>753</v>
      </c>
      <c r="B36" s="64">
        <v>40.43</v>
      </c>
      <c r="C36" s="64">
        <v>86.83</v>
      </c>
      <c r="D36" s="64">
        <v>104.14</v>
      </c>
      <c r="E36" s="64">
        <v>3.71</v>
      </c>
      <c r="F36" s="64">
        <v>9.4</v>
      </c>
      <c r="G36" s="64">
        <v>78.010000000000005</v>
      </c>
      <c r="H36" s="64">
        <v>23.36</v>
      </c>
      <c r="I36" s="64">
        <v>3.94</v>
      </c>
      <c r="J36" s="64">
        <v>0.3</v>
      </c>
      <c r="K36" s="64">
        <v>327.52999999999997</v>
      </c>
      <c r="L36" s="64">
        <v>22.35</v>
      </c>
      <c r="M36" s="64">
        <v>48.92</v>
      </c>
      <c r="N36" s="64">
        <v>144.69999999999999</v>
      </c>
      <c r="O36" s="64">
        <v>0</v>
      </c>
      <c r="P36" s="213" t="s">
        <v>42</v>
      </c>
      <c r="Q36" s="213" t="s">
        <v>42</v>
      </c>
      <c r="R36" s="198"/>
      <c r="S36" s="198"/>
      <c r="T36" s="198"/>
      <c r="U36" s="198"/>
    </row>
    <row r="37" spans="1:21" s="12" customFormat="1" x14ac:dyDescent="0.25">
      <c r="A37" s="215" t="s">
        <v>754</v>
      </c>
      <c r="B37" s="64">
        <v>31.14</v>
      </c>
      <c r="C37" s="64">
        <v>71.989999999999995</v>
      </c>
      <c r="D37" s="64">
        <v>89.99</v>
      </c>
      <c r="E37" s="64">
        <v>3.87</v>
      </c>
      <c r="F37" s="64">
        <v>10.75</v>
      </c>
      <c r="G37" s="64">
        <v>78.010000000000005</v>
      </c>
      <c r="H37" s="64">
        <v>23.36</v>
      </c>
      <c r="I37" s="64">
        <v>3.8</v>
      </c>
      <c r="J37" s="64">
        <v>0.62</v>
      </c>
      <c r="K37" s="64">
        <v>285.79000000000002</v>
      </c>
      <c r="L37" s="64">
        <v>24.36</v>
      </c>
      <c r="M37" s="64">
        <v>41.52</v>
      </c>
      <c r="N37" s="64">
        <v>188.7</v>
      </c>
      <c r="O37" s="64">
        <v>0</v>
      </c>
      <c r="P37" s="213" t="s">
        <v>42</v>
      </c>
      <c r="Q37" s="213" t="s">
        <v>42</v>
      </c>
      <c r="R37" s="198"/>
      <c r="S37" s="198"/>
      <c r="T37" s="198"/>
      <c r="U37" s="198"/>
    </row>
    <row r="38" spans="1:21" s="12" customFormat="1" x14ac:dyDescent="0.25">
      <c r="A38" s="215" t="s">
        <v>755</v>
      </c>
      <c r="B38" s="64">
        <v>28.33</v>
      </c>
      <c r="C38" s="64">
        <v>68.989999999999995</v>
      </c>
      <c r="D38" s="64">
        <v>88.55</v>
      </c>
      <c r="E38" s="64">
        <v>4.4800000000000004</v>
      </c>
      <c r="F38" s="64">
        <v>11.62</v>
      </c>
      <c r="G38" s="64">
        <v>78.010000000000005</v>
      </c>
      <c r="H38" s="64">
        <v>23.36</v>
      </c>
      <c r="I38" s="64">
        <v>3.93</v>
      </c>
      <c r="J38" s="64">
        <v>0.51</v>
      </c>
      <c r="K38" s="64">
        <v>279.64</v>
      </c>
      <c r="L38" s="64">
        <v>26.16</v>
      </c>
      <c r="M38" s="64">
        <v>37.53</v>
      </c>
      <c r="N38" s="64">
        <v>239.9</v>
      </c>
      <c r="O38" s="64">
        <v>0</v>
      </c>
      <c r="P38" s="213" t="s">
        <v>42</v>
      </c>
      <c r="Q38" s="213" t="s">
        <v>42</v>
      </c>
      <c r="R38" s="198"/>
      <c r="S38" s="198"/>
      <c r="T38" s="198"/>
      <c r="U38" s="198"/>
    </row>
    <row r="39" spans="1:21" s="12" customFormat="1" x14ac:dyDescent="0.25">
      <c r="A39" s="215" t="s">
        <v>756</v>
      </c>
      <c r="B39" s="64">
        <v>32.369999999999997</v>
      </c>
      <c r="C39" s="64">
        <v>74.64</v>
      </c>
      <c r="D39" s="64">
        <v>93.18</v>
      </c>
      <c r="E39" s="64">
        <v>5.44</v>
      </c>
      <c r="F39" s="64">
        <v>9.9600000000000009</v>
      </c>
      <c r="G39" s="64">
        <v>76.87</v>
      </c>
      <c r="H39" s="64">
        <v>22.37</v>
      </c>
      <c r="I39" s="64">
        <v>4.0599999999999996</v>
      </c>
      <c r="J39" s="64">
        <v>0.57999999999999996</v>
      </c>
      <c r="K39" s="64">
        <v>298.52999999999997</v>
      </c>
      <c r="L39" s="64">
        <v>27.88</v>
      </c>
      <c r="M39" s="64">
        <v>35.21</v>
      </c>
      <c r="N39" s="64">
        <v>294.7</v>
      </c>
      <c r="O39" s="64">
        <v>0</v>
      </c>
      <c r="P39" s="213" t="s">
        <v>42</v>
      </c>
      <c r="Q39" s="213" t="s">
        <v>42</v>
      </c>
      <c r="R39" s="198"/>
      <c r="S39" s="198"/>
      <c r="T39" s="198"/>
      <c r="U39" s="198"/>
    </row>
    <row r="40" spans="1:21" s="12" customFormat="1" x14ac:dyDescent="0.25">
      <c r="A40" s="215" t="s">
        <v>757</v>
      </c>
      <c r="B40" s="64">
        <v>34.08</v>
      </c>
      <c r="C40" s="64">
        <v>73.760000000000005</v>
      </c>
      <c r="D40" s="64">
        <v>88.87</v>
      </c>
      <c r="E40" s="64">
        <v>2.69</v>
      </c>
      <c r="F40" s="64">
        <v>6.32</v>
      </c>
      <c r="G40" s="64">
        <v>75.62</v>
      </c>
      <c r="H40" s="64">
        <v>21.28</v>
      </c>
      <c r="I40" s="64">
        <v>3.99</v>
      </c>
      <c r="J40" s="64">
        <v>0.81</v>
      </c>
      <c r="K40" s="64">
        <v>283.04000000000002</v>
      </c>
      <c r="L40" s="64">
        <v>28.56</v>
      </c>
      <c r="M40" s="64">
        <v>34.17</v>
      </c>
      <c r="N40" s="64">
        <v>353</v>
      </c>
      <c r="O40" s="64">
        <v>0</v>
      </c>
      <c r="P40" s="213" t="s">
        <v>42</v>
      </c>
      <c r="Q40" s="213" t="s">
        <v>42</v>
      </c>
      <c r="R40" s="198"/>
      <c r="S40" s="198"/>
      <c r="T40" s="198"/>
      <c r="U40" s="198"/>
    </row>
    <row r="41" spans="1:21" s="12" customFormat="1" x14ac:dyDescent="0.25">
      <c r="A41" s="215" t="s">
        <v>758</v>
      </c>
      <c r="B41" s="64">
        <v>30.83</v>
      </c>
      <c r="C41" s="64">
        <v>72.400000000000006</v>
      </c>
      <c r="D41" s="64">
        <v>91.25</v>
      </c>
      <c r="E41" s="64">
        <v>3.42</v>
      </c>
      <c r="F41" s="64">
        <v>6.55</v>
      </c>
      <c r="G41" s="64">
        <v>75.62</v>
      </c>
      <c r="H41" s="64">
        <v>21.28</v>
      </c>
      <c r="I41" s="64">
        <v>3.87</v>
      </c>
      <c r="J41" s="64">
        <v>0.7</v>
      </c>
      <c r="K41" s="64">
        <v>284.63</v>
      </c>
      <c r="L41" s="64">
        <v>28.76</v>
      </c>
      <c r="M41" s="64">
        <v>34.270000000000003</v>
      </c>
      <c r="N41" s="64">
        <v>410.7</v>
      </c>
      <c r="O41" s="64">
        <v>0</v>
      </c>
      <c r="P41" s="213" t="s">
        <v>42</v>
      </c>
      <c r="Q41" s="213" t="s">
        <v>42</v>
      </c>
      <c r="R41" s="198"/>
      <c r="S41" s="198"/>
      <c r="T41" s="198"/>
      <c r="U41" s="198"/>
    </row>
    <row r="42" spans="1:21" s="12" customFormat="1" x14ac:dyDescent="0.25">
      <c r="A42" s="215" t="s">
        <v>759</v>
      </c>
      <c r="B42" s="64">
        <v>25.25</v>
      </c>
      <c r="C42" s="64">
        <v>70.02</v>
      </c>
      <c r="D42" s="64">
        <v>95.26</v>
      </c>
      <c r="E42" s="64">
        <v>3.66</v>
      </c>
      <c r="F42" s="64">
        <v>7.89</v>
      </c>
      <c r="G42" s="64">
        <v>75.62</v>
      </c>
      <c r="H42" s="64">
        <v>21.28</v>
      </c>
      <c r="I42" s="64">
        <v>3.99</v>
      </c>
      <c r="J42" s="64">
        <v>0.62</v>
      </c>
      <c r="K42" s="64">
        <v>275.72000000000003</v>
      </c>
      <c r="L42" s="64">
        <v>28.98</v>
      </c>
      <c r="M42" s="64">
        <v>35.450000000000003</v>
      </c>
      <c r="N42" s="64">
        <v>461.4</v>
      </c>
      <c r="O42" s="64">
        <v>0</v>
      </c>
      <c r="P42" s="213" t="s">
        <v>42</v>
      </c>
      <c r="Q42" s="213" t="s">
        <v>42</v>
      </c>
      <c r="R42" s="198"/>
      <c r="S42" s="198"/>
      <c r="T42" s="198"/>
      <c r="U42" s="198"/>
    </row>
    <row r="43" spans="1:21" s="12" customFormat="1" x14ac:dyDescent="0.25">
      <c r="A43" s="215" t="s">
        <v>760</v>
      </c>
      <c r="B43" s="64">
        <v>22.06</v>
      </c>
      <c r="C43" s="64">
        <v>70.84</v>
      </c>
      <c r="D43" s="64">
        <v>101.73</v>
      </c>
      <c r="E43" s="64">
        <v>3.49</v>
      </c>
      <c r="F43" s="64">
        <v>8.3699999999999992</v>
      </c>
      <c r="G43" s="64">
        <v>76.33</v>
      </c>
      <c r="H43" s="64">
        <v>18.53</v>
      </c>
      <c r="I43" s="64">
        <v>3.91</v>
      </c>
      <c r="J43" s="64">
        <v>0.65</v>
      </c>
      <c r="K43" s="64">
        <v>286.95999999999998</v>
      </c>
      <c r="L43" s="64">
        <v>29.78</v>
      </c>
      <c r="M43" s="64">
        <v>35.92</v>
      </c>
      <c r="N43" s="64">
        <v>506.9</v>
      </c>
      <c r="O43" s="64">
        <v>0</v>
      </c>
      <c r="P43" s="213" t="s">
        <v>42</v>
      </c>
      <c r="Q43" s="213" t="s">
        <v>42</v>
      </c>
      <c r="R43" s="198"/>
      <c r="S43" s="198"/>
      <c r="T43" s="198"/>
      <c r="U43" s="198"/>
    </row>
    <row r="44" spans="1:21" s="12" customFormat="1" x14ac:dyDescent="0.25">
      <c r="A44" s="215" t="s">
        <v>761</v>
      </c>
      <c r="B44" s="64">
        <v>18.760000000000002</v>
      </c>
      <c r="C44" s="64">
        <v>67.06</v>
      </c>
      <c r="D44" s="64">
        <v>99.56</v>
      </c>
      <c r="E44" s="64">
        <v>3.05</v>
      </c>
      <c r="F44" s="64">
        <v>7.76</v>
      </c>
      <c r="G44" s="64">
        <v>77.11</v>
      </c>
      <c r="H44" s="64">
        <v>15.52</v>
      </c>
      <c r="I44" s="64">
        <v>4.03</v>
      </c>
      <c r="J44" s="64">
        <v>0.68</v>
      </c>
      <c r="K44" s="64">
        <v>271.8</v>
      </c>
      <c r="L44" s="64">
        <v>30.04</v>
      </c>
      <c r="M44" s="64">
        <v>36.51</v>
      </c>
      <c r="N44" s="64">
        <v>563</v>
      </c>
      <c r="O44" s="64">
        <v>0</v>
      </c>
      <c r="P44" s="213" t="s">
        <v>42</v>
      </c>
      <c r="Q44" s="213" t="s">
        <v>42</v>
      </c>
      <c r="R44" s="198"/>
      <c r="S44" s="198"/>
      <c r="T44" s="198"/>
      <c r="U44" s="198"/>
    </row>
    <row r="45" spans="1:21" s="12" customFormat="1" x14ac:dyDescent="0.25">
      <c r="A45" s="215" t="s">
        <v>762</v>
      </c>
      <c r="B45" s="64">
        <v>13.12</v>
      </c>
      <c r="C45" s="64">
        <v>63.33</v>
      </c>
      <c r="D45" s="64">
        <v>101.08</v>
      </c>
      <c r="E45" s="64">
        <v>2.97</v>
      </c>
      <c r="F45" s="64">
        <v>7.37</v>
      </c>
      <c r="G45" s="64">
        <v>77.11</v>
      </c>
      <c r="H45" s="64">
        <v>15.52</v>
      </c>
      <c r="I45" s="64">
        <v>3.96</v>
      </c>
      <c r="J45" s="64">
        <v>0.73</v>
      </c>
      <c r="K45" s="64">
        <v>255.3</v>
      </c>
      <c r="L45" s="64">
        <v>28.96</v>
      </c>
      <c r="M45" s="64">
        <v>38.08</v>
      </c>
      <c r="N45" s="64">
        <v>622.79999999999995</v>
      </c>
      <c r="O45" s="64">
        <v>0</v>
      </c>
      <c r="P45" s="213" t="s">
        <v>42</v>
      </c>
      <c r="Q45" s="213" t="s">
        <v>42</v>
      </c>
      <c r="R45" s="198"/>
      <c r="S45" s="198"/>
      <c r="T45" s="198"/>
      <c r="U45" s="198"/>
    </row>
    <row r="46" spans="1:21" s="12" customFormat="1" x14ac:dyDescent="0.25">
      <c r="A46" s="215" t="s">
        <v>763</v>
      </c>
      <c r="B46" s="64">
        <v>8.39</v>
      </c>
      <c r="C46" s="64">
        <v>59.96</v>
      </c>
      <c r="D46" s="64">
        <v>101.89</v>
      </c>
      <c r="E46" s="64">
        <v>2.79</v>
      </c>
      <c r="F46" s="64">
        <v>8.07</v>
      </c>
      <c r="G46" s="64">
        <v>77.11</v>
      </c>
      <c r="H46" s="64">
        <v>15.52</v>
      </c>
      <c r="I46" s="64">
        <v>3.87</v>
      </c>
      <c r="J46" s="64">
        <v>0.71</v>
      </c>
      <c r="K46" s="64">
        <v>283.31</v>
      </c>
      <c r="L46" s="64">
        <v>30.65</v>
      </c>
      <c r="M46" s="64">
        <v>35.409999999999997</v>
      </c>
      <c r="N46" s="64">
        <v>680.9</v>
      </c>
      <c r="O46" s="64">
        <v>0</v>
      </c>
      <c r="P46" s="213" t="s">
        <v>42</v>
      </c>
      <c r="Q46" s="213" t="s">
        <v>42</v>
      </c>
      <c r="R46" s="198"/>
      <c r="S46" s="198"/>
      <c r="T46" s="198"/>
      <c r="U46" s="198"/>
    </row>
    <row r="47" spans="1:21" s="12" customFormat="1" x14ac:dyDescent="0.25">
      <c r="A47" s="215" t="s">
        <v>764</v>
      </c>
      <c r="B47" s="64">
        <v>7.24</v>
      </c>
      <c r="C47" s="64">
        <v>59.53</v>
      </c>
      <c r="D47" s="64">
        <v>102.83</v>
      </c>
      <c r="E47" s="64">
        <v>3.29</v>
      </c>
      <c r="F47" s="64">
        <v>8.24</v>
      </c>
      <c r="G47" s="64">
        <v>72.67</v>
      </c>
      <c r="H47" s="64">
        <v>15.63</v>
      </c>
      <c r="I47" s="64">
        <v>3.97</v>
      </c>
      <c r="J47" s="64">
        <v>0.77</v>
      </c>
      <c r="K47" s="64">
        <v>284.93</v>
      </c>
      <c r="L47" s="64">
        <v>31.38</v>
      </c>
      <c r="M47" s="64">
        <v>33.76</v>
      </c>
      <c r="N47" s="64">
        <v>722.6</v>
      </c>
      <c r="O47" s="64">
        <v>0</v>
      </c>
      <c r="P47" s="213" t="s">
        <v>42</v>
      </c>
      <c r="Q47" s="213" t="s">
        <v>42</v>
      </c>
      <c r="R47" s="198"/>
      <c r="S47" s="198"/>
      <c r="T47" s="198"/>
      <c r="U47" s="198"/>
    </row>
    <row r="48" spans="1:21" s="12" customFormat="1" x14ac:dyDescent="0.25">
      <c r="A48" s="215" t="s">
        <v>765</v>
      </c>
      <c r="B48" s="64">
        <v>4.34</v>
      </c>
      <c r="C48" s="64">
        <v>56.97</v>
      </c>
      <c r="D48" s="64">
        <v>102.37</v>
      </c>
      <c r="E48" s="64">
        <v>2.76</v>
      </c>
      <c r="F48" s="64">
        <v>8.99</v>
      </c>
      <c r="G48" s="64">
        <v>67.83</v>
      </c>
      <c r="H48" s="64">
        <v>15.75</v>
      </c>
      <c r="I48" s="64">
        <v>3.95</v>
      </c>
      <c r="J48" s="64">
        <v>0.91</v>
      </c>
      <c r="K48" s="64">
        <v>289.45</v>
      </c>
      <c r="L48" s="64">
        <v>32.619999999999997</v>
      </c>
      <c r="M48" s="64">
        <v>31.06</v>
      </c>
      <c r="N48" s="64">
        <v>762.1</v>
      </c>
      <c r="O48" s="64">
        <v>0</v>
      </c>
      <c r="P48" s="213" t="s">
        <v>42</v>
      </c>
      <c r="Q48" s="213" t="s">
        <v>42</v>
      </c>
      <c r="R48" s="198"/>
      <c r="S48" s="198"/>
      <c r="T48" s="198"/>
      <c r="U48" s="198"/>
    </row>
    <row r="49" spans="1:21" s="12" customFormat="1" x14ac:dyDescent="0.25">
      <c r="A49" s="215" t="s">
        <v>766</v>
      </c>
      <c r="B49" s="64">
        <v>3.07</v>
      </c>
      <c r="C49" s="64">
        <v>55.63</v>
      </c>
      <c r="D49" s="64">
        <v>101.77</v>
      </c>
      <c r="E49" s="64">
        <v>4.57</v>
      </c>
      <c r="F49" s="64">
        <v>11.44</v>
      </c>
      <c r="G49" s="64">
        <v>67.83</v>
      </c>
      <c r="H49" s="64">
        <v>15.75</v>
      </c>
      <c r="I49" s="64">
        <v>3.94</v>
      </c>
      <c r="J49" s="64">
        <v>0.68</v>
      </c>
      <c r="K49" s="64">
        <v>268.08999999999997</v>
      </c>
      <c r="L49" s="64">
        <v>33.19</v>
      </c>
      <c r="M49" s="64">
        <v>28.97</v>
      </c>
      <c r="N49" s="64">
        <v>800.2</v>
      </c>
      <c r="O49" s="64">
        <v>0</v>
      </c>
      <c r="P49" s="213" t="s">
        <v>42</v>
      </c>
      <c r="Q49" s="213" t="s">
        <v>42</v>
      </c>
      <c r="R49" s="198"/>
      <c r="S49" s="198"/>
      <c r="T49" s="198"/>
      <c r="U49" s="198"/>
    </row>
    <row r="50" spans="1:21" s="12" customFormat="1" x14ac:dyDescent="0.25">
      <c r="A50" s="215" t="s">
        <v>767</v>
      </c>
      <c r="B50" s="64">
        <v>3.72</v>
      </c>
      <c r="C50" s="64">
        <v>55.24</v>
      </c>
      <c r="D50" s="64">
        <v>100.02</v>
      </c>
      <c r="E50" s="64">
        <v>5.63</v>
      </c>
      <c r="F50" s="64">
        <v>12.08</v>
      </c>
      <c r="G50" s="64">
        <v>67.83</v>
      </c>
      <c r="H50" s="64">
        <v>15.75</v>
      </c>
      <c r="I50" s="64">
        <v>4.13</v>
      </c>
      <c r="J50" s="64">
        <v>1.0900000000000001</v>
      </c>
      <c r="K50" s="64">
        <v>304.98</v>
      </c>
      <c r="L50" s="64">
        <v>34.15</v>
      </c>
      <c r="M50" s="64">
        <v>27.7</v>
      </c>
      <c r="N50" s="64">
        <v>833.5</v>
      </c>
      <c r="O50" s="64">
        <v>0</v>
      </c>
      <c r="P50" s="213" t="s">
        <v>42</v>
      </c>
      <c r="Q50" s="213" t="s">
        <v>42</v>
      </c>
      <c r="R50" s="198"/>
      <c r="S50" s="198"/>
      <c r="T50" s="198"/>
      <c r="U50" s="198"/>
    </row>
    <row r="51" spans="1:21" s="12" customFormat="1" x14ac:dyDescent="0.25">
      <c r="A51" s="215" t="s">
        <v>768</v>
      </c>
      <c r="B51" s="64">
        <v>1.78</v>
      </c>
      <c r="C51" s="64">
        <v>46.41</v>
      </c>
      <c r="D51" s="64">
        <v>86.08</v>
      </c>
      <c r="E51" s="64">
        <v>10.32</v>
      </c>
      <c r="F51" s="64">
        <v>22.41</v>
      </c>
      <c r="G51" s="64">
        <v>67.11</v>
      </c>
      <c r="H51" s="64">
        <v>14.12</v>
      </c>
      <c r="I51" s="64">
        <v>4.0999999999999996</v>
      </c>
      <c r="J51" s="64">
        <v>0.47</v>
      </c>
      <c r="K51" s="64">
        <v>261.8</v>
      </c>
      <c r="L51" s="64">
        <v>34.39</v>
      </c>
      <c r="M51" s="64">
        <v>26.76</v>
      </c>
      <c r="N51" s="64">
        <v>853</v>
      </c>
      <c r="O51" s="64">
        <v>0</v>
      </c>
      <c r="P51" s="213" t="s">
        <v>42</v>
      </c>
      <c r="Q51" s="213" t="s">
        <v>42</v>
      </c>
      <c r="R51" s="198"/>
      <c r="S51" s="198"/>
      <c r="T51" s="198"/>
      <c r="U51" s="198"/>
    </row>
    <row r="52" spans="1:21" s="12" customFormat="1" x14ac:dyDescent="0.25">
      <c r="A52" s="215" t="s">
        <v>769</v>
      </c>
      <c r="B52" s="64">
        <v>3.61</v>
      </c>
      <c r="C52" s="64">
        <v>53.23</v>
      </c>
      <c r="D52" s="64">
        <v>96.34</v>
      </c>
      <c r="E52" s="64">
        <v>11.15</v>
      </c>
      <c r="F52" s="64">
        <v>19.38</v>
      </c>
      <c r="G52" s="64">
        <v>66.33</v>
      </c>
      <c r="H52" s="64">
        <v>12.35</v>
      </c>
      <c r="I52" s="64">
        <v>4.2699999999999996</v>
      </c>
      <c r="J52" s="64">
        <v>0.74</v>
      </c>
      <c r="K52" s="64">
        <v>288.2</v>
      </c>
      <c r="L52" s="64">
        <v>35.44</v>
      </c>
      <c r="M52" s="64">
        <v>25.38</v>
      </c>
      <c r="N52" s="64">
        <v>865.1</v>
      </c>
      <c r="O52" s="64">
        <v>0</v>
      </c>
      <c r="P52" s="213" t="s">
        <v>42</v>
      </c>
      <c r="Q52" s="213" t="s">
        <v>42</v>
      </c>
      <c r="R52" s="198"/>
      <c r="S52" s="198"/>
      <c r="T52" s="198"/>
      <c r="U52" s="198"/>
    </row>
    <row r="53" spans="1:21" s="12" customFormat="1" x14ac:dyDescent="0.25">
      <c r="A53" s="215" t="s">
        <v>770</v>
      </c>
      <c r="B53" s="64">
        <v>2.39</v>
      </c>
      <c r="C53" s="64">
        <v>50.29</v>
      </c>
      <c r="D53" s="64">
        <v>92.6</v>
      </c>
      <c r="E53" s="64">
        <v>10.6</v>
      </c>
      <c r="F53" s="64">
        <v>22.75</v>
      </c>
      <c r="G53" s="64">
        <v>66.33</v>
      </c>
      <c r="H53" s="64">
        <v>12.35</v>
      </c>
      <c r="I53" s="64">
        <v>4.1100000000000003</v>
      </c>
      <c r="J53" s="64">
        <v>0.51</v>
      </c>
      <c r="K53" s="64">
        <v>264.3</v>
      </c>
      <c r="L53" s="64">
        <v>33.65</v>
      </c>
      <c r="M53" s="64">
        <v>25.72</v>
      </c>
      <c r="N53" s="64">
        <v>891.5</v>
      </c>
      <c r="O53" s="64">
        <v>0</v>
      </c>
      <c r="P53" s="64">
        <v>0.97</v>
      </c>
      <c r="Q53" s="213" t="s">
        <v>42</v>
      </c>
      <c r="R53" s="198"/>
      <c r="S53" s="198"/>
      <c r="T53" s="198"/>
      <c r="U53" s="198"/>
    </row>
    <row r="54" spans="1:21" s="12" customFormat="1" x14ac:dyDescent="0.25">
      <c r="A54" s="215" t="s">
        <v>771</v>
      </c>
      <c r="B54" s="64">
        <v>2.86</v>
      </c>
      <c r="C54" s="64">
        <v>51</v>
      </c>
      <c r="D54" s="64">
        <v>93.23</v>
      </c>
      <c r="E54" s="64">
        <v>11.28</v>
      </c>
      <c r="F54" s="64">
        <v>17.89</v>
      </c>
      <c r="G54" s="64">
        <v>66.33</v>
      </c>
      <c r="H54" s="64">
        <v>12.35</v>
      </c>
      <c r="I54" s="64">
        <v>3.82</v>
      </c>
      <c r="J54" s="64">
        <v>0.66</v>
      </c>
      <c r="K54" s="64">
        <v>287.11</v>
      </c>
      <c r="L54" s="64">
        <v>35.26</v>
      </c>
      <c r="M54" s="64">
        <v>23.86</v>
      </c>
      <c r="N54" s="64">
        <v>889.4</v>
      </c>
      <c r="O54" s="64">
        <v>0</v>
      </c>
      <c r="P54" s="64">
        <v>0.99</v>
      </c>
      <c r="Q54" s="213" t="s">
        <v>42</v>
      </c>
      <c r="R54" s="198"/>
      <c r="S54" s="198"/>
      <c r="T54" s="198"/>
      <c r="U54" s="198"/>
    </row>
    <row r="55" spans="1:21" s="12" customFormat="1" x14ac:dyDescent="0.25">
      <c r="A55" s="215" t="s">
        <v>772</v>
      </c>
      <c r="B55" s="64">
        <v>1.76</v>
      </c>
      <c r="C55" s="64">
        <v>43.75</v>
      </c>
      <c r="D55" s="64">
        <v>81.03</v>
      </c>
      <c r="E55" s="64">
        <v>13.52</v>
      </c>
      <c r="F55" s="64">
        <v>24.6</v>
      </c>
      <c r="G55" s="64">
        <v>65.930000000000007</v>
      </c>
      <c r="H55" s="64">
        <v>10.7</v>
      </c>
      <c r="I55" s="64">
        <v>3.91</v>
      </c>
      <c r="J55" s="64">
        <v>0.71</v>
      </c>
      <c r="K55" s="64">
        <v>196.76</v>
      </c>
      <c r="L55" s="64">
        <v>33.68</v>
      </c>
      <c r="M55" s="64">
        <v>24.34</v>
      </c>
      <c r="N55" s="64">
        <v>876.1</v>
      </c>
      <c r="O55" s="64">
        <v>0</v>
      </c>
      <c r="P55" s="64">
        <v>0.9</v>
      </c>
      <c r="Q55" s="213" t="s">
        <v>42</v>
      </c>
      <c r="R55" s="198"/>
      <c r="S55" s="198"/>
      <c r="T55" s="198"/>
      <c r="U55" s="198"/>
    </row>
    <row r="56" spans="1:21" s="12" customFormat="1" x14ac:dyDescent="0.25">
      <c r="A56" s="215" t="s">
        <v>773</v>
      </c>
      <c r="B56" s="64">
        <v>2.77</v>
      </c>
      <c r="C56" s="64">
        <v>47.05</v>
      </c>
      <c r="D56" s="64">
        <v>85.8</v>
      </c>
      <c r="E56" s="64">
        <v>11.44</v>
      </c>
      <c r="F56" s="64">
        <v>22.91</v>
      </c>
      <c r="G56" s="64">
        <v>65.5</v>
      </c>
      <c r="H56" s="64">
        <v>8.89</v>
      </c>
      <c r="I56" s="64">
        <v>3.96</v>
      </c>
      <c r="J56" s="64">
        <v>0.52</v>
      </c>
      <c r="K56" s="64">
        <v>273.68</v>
      </c>
      <c r="L56" s="64">
        <v>34.61</v>
      </c>
      <c r="M56" s="64">
        <v>23.68</v>
      </c>
      <c r="N56" s="64">
        <v>890.7</v>
      </c>
      <c r="O56" s="64">
        <v>0</v>
      </c>
      <c r="P56" s="64">
        <v>0.95</v>
      </c>
      <c r="Q56" s="213" t="s">
        <v>42</v>
      </c>
      <c r="R56" s="198"/>
      <c r="S56" s="198"/>
      <c r="T56" s="198"/>
      <c r="U56" s="198"/>
    </row>
    <row r="57" spans="1:21" s="12" customFormat="1" x14ac:dyDescent="0.25">
      <c r="A57" s="215" t="s">
        <v>774</v>
      </c>
      <c r="B57" s="64">
        <v>1.84</v>
      </c>
      <c r="C57" s="64">
        <v>45.52</v>
      </c>
      <c r="D57" s="64">
        <v>84.29</v>
      </c>
      <c r="E57" s="64">
        <v>9.56</v>
      </c>
      <c r="F57" s="64">
        <v>17.8</v>
      </c>
      <c r="G57" s="64">
        <v>65.5</v>
      </c>
      <c r="H57" s="64">
        <v>8.89</v>
      </c>
      <c r="I57" s="64">
        <v>4.09</v>
      </c>
      <c r="J57" s="64">
        <v>1.23</v>
      </c>
      <c r="K57" s="64">
        <v>162.84</v>
      </c>
      <c r="L57" s="64">
        <v>33.869999999999997</v>
      </c>
      <c r="M57" s="64">
        <v>23.46</v>
      </c>
      <c r="N57" s="64">
        <v>898.8</v>
      </c>
      <c r="O57" s="64">
        <v>0</v>
      </c>
      <c r="P57" s="64">
        <v>0.9</v>
      </c>
      <c r="Q57" s="213" t="s">
        <v>42</v>
      </c>
      <c r="R57" s="198"/>
      <c r="S57" s="198"/>
      <c r="T57" s="198"/>
      <c r="U57" s="198"/>
    </row>
    <row r="58" spans="1:21" s="12" customFormat="1" x14ac:dyDescent="0.25">
      <c r="A58" s="215" t="s">
        <v>775</v>
      </c>
      <c r="B58" s="64">
        <v>1.28</v>
      </c>
      <c r="C58" s="64">
        <v>41.4</v>
      </c>
      <c r="D58" s="64">
        <v>77.27</v>
      </c>
      <c r="E58" s="64">
        <v>7.7</v>
      </c>
      <c r="F58" s="64">
        <v>23.51</v>
      </c>
      <c r="G58" s="64">
        <v>65.5</v>
      </c>
      <c r="H58" s="64">
        <v>8.89</v>
      </c>
      <c r="I58" s="64">
        <v>4.04</v>
      </c>
      <c r="J58" s="64">
        <v>0.65</v>
      </c>
      <c r="K58" s="64">
        <v>170.94</v>
      </c>
      <c r="L58" s="64">
        <v>33.200000000000003</v>
      </c>
      <c r="M58" s="64">
        <v>22.4</v>
      </c>
      <c r="N58" s="64">
        <v>899.1</v>
      </c>
      <c r="O58" s="64">
        <v>0</v>
      </c>
      <c r="P58" s="64">
        <v>0.85</v>
      </c>
      <c r="Q58" s="213" t="s">
        <v>42</v>
      </c>
      <c r="R58" s="198"/>
      <c r="S58" s="198"/>
      <c r="T58" s="198"/>
      <c r="U58" s="198"/>
    </row>
    <row r="59" spans="1:21" s="12" customFormat="1" x14ac:dyDescent="0.25">
      <c r="A59" s="215" t="s">
        <v>776</v>
      </c>
      <c r="B59" s="64">
        <v>1.2</v>
      </c>
      <c r="C59" s="64">
        <v>38.799999999999997</v>
      </c>
      <c r="D59" s="64">
        <v>72.430000000000007</v>
      </c>
      <c r="E59" s="64">
        <v>8.14</v>
      </c>
      <c r="F59" s="64">
        <v>22.42</v>
      </c>
      <c r="G59" s="64">
        <v>66.319999999999993</v>
      </c>
      <c r="H59" s="64">
        <v>7.62</v>
      </c>
      <c r="I59" s="64">
        <v>4.0199999999999996</v>
      </c>
      <c r="J59" s="64">
        <v>1.1499999999999999</v>
      </c>
      <c r="K59" s="64">
        <v>171.48</v>
      </c>
      <c r="L59" s="64">
        <v>33.61</v>
      </c>
      <c r="M59" s="64">
        <v>21.79</v>
      </c>
      <c r="N59" s="64">
        <v>884.8</v>
      </c>
      <c r="O59" s="64">
        <v>0</v>
      </c>
      <c r="P59" s="64">
        <v>0.84</v>
      </c>
      <c r="Q59" s="213" t="s">
        <v>42</v>
      </c>
      <c r="R59" s="198"/>
      <c r="S59" s="198"/>
      <c r="T59" s="198"/>
      <c r="U59" s="198"/>
    </row>
    <row r="60" spans="1:21" s="12" customFormat="1" x14ac:dyDescent="0.25">
      <c r="A60" s="215" t="s">
        <v>777</v>
      </c>
      <c r="B60" s="64">
        <v>1.04</v>
      </c>
      <c r="C60" s="64">
        <v>39.19</v>
      </c>
      <c r="D60" s="64">
        <v>73.41</v>
      </c>
      <c r="E60" s="64">
        <v>6.94</v>
      </c>
      <c r="F60" s="64">
        <v>17.66</v>
      </c>
      <c r="G60" s="64">
        <v>67.22</v>
      </c>
      <c r="H60" s="64">
        <v>6.23</v>
      </c>
      <c r="I60" s="64">
        <v>3.95</v>
      </c>
      <c r="J60" s="64">
        <v>1.04</v>
      </c>
      <c r="K60" s="64">
        <v>196.8</v>
      </c>
      <c r="L60" s="64">
        <v>34</v>
      </c>
      <c r="M60" s="64">
        <v>19.47</v>
      </c>
      <c r="N60" s="64">
        <v>893.2</v>
      </c>
      <c r="O60" s="64">
        <v>0</v>
      </c>
      <c r="P60" s="64">
        <v>0.84</v>
      </c>
      <c r="Q60" s="213" t="s">
        <v>42</v>
      </c>
      <c r="R60" s="198"/>
      <c r="S60" s="198"/>
      <c r="T60" s="198"/>
      <c r="U60" s="198"/>
    </row>
    <row r="61" spans="1:21" s="12" customFormat="1" x14ac:dyDescent="0.25">
      <c r="A61" s="215" t="s">
        <v>778</v>
      </c>
      <c r="B61" s="64">
        <v>1.92</v>
      </c>
      <c r="C61" s="64">
        <v>38.15</v>
      </c>
      <c r="D61" s="64">
        <v>70.069999999999993</v>
      </c>
      <c r="E61" s="64">
        <v>9.25</v>
      </c>
      <c r="F61" s="64">
        <v>30.17</v>
      </c>
      <c r="G61" s="64">
        <v>67.22</v>
      </c>
      <c r="H61" s="64">
        <v>6.23</v>
      </c>
      <c r="I61" s="64">
        <v>4.12</v>
      </c>
      <c r="J61" s="64">
        <v>0.43</v>
      </c>
      <c r="K61" s="64">
        <v>153.33000000000001</v>
      </c>
      <c r="L61" s="64">
        <v>34.58</v>
      </c>
      <c r="M61" s="64">
        <v>18.77</v>
      </c>
      <c r="N61" s="64">
        <v>838.5</v>
      </c>
      <c r="O61" s="64">
        <v>0</v>
      </c>
      <c r="P61" s="64">
        <v>0.73</v>
      </c>
      <c r="Q61" s="213" t="s">
        <v>42</v>
      </c>
      <c r="R61" s="198"/>
      <c r="S61" s="198"/>
      <c r="T61" s="198"/>
      <c r="U61" s="198"/>
    </row>
    <row r="62" spans="1:21" s="12" customFormat="1" x14ac:dyDescent="0.25">
      <c r="A62" s="215" t="s">
        <v>779</v>
      </c>
      <c r="B62" s="64">
        <v>1.26</v>
      </c>
      <c r="C62" s="64">
        <v>38.86</v>
      </c>
      <c r="D62" s="64">
        <v>72.44</v>
      </c>
      <c r="E62" s="64">
        <v>8.59</v>
      </c>
      <c r="F62" s="64">
        <v>14.73</v>
      </c>
      <c r="G62" s="64">
        <v>67.22</v>
      </c>
      <c r="H62" s="64">
        <v>6.23</v>
      </c>
      <c r="I62" s="64">
        <v>4</v>
      </c>
      <c r="J62" s="64">
        <v>0.62</v>
      </c>
      <c r="K62" s="64">
        <v>282.04000000000002</v>
      </c>
      <c r="L62" s="64">
        <v>35.369999999999997</v>
      </c>
      <c r="M62" s="64">
        <v>17.28</v>
      </c>
      <c r="N62" s="64">
        <v>796.6</v>
      </c>
      <c r="O62" s="64">
        <v>0</v>
      </c>
      <c r="P62" s="64">
        <v>0.86</v>
      </c>
      <c r="Q62" s="213" t="s">
        <v>42</v>
      </c>
      <c r="R62" s="198"/>
      <c r="S62" s="198"/>
      <c r="T62" s="198"/>
      <c r="U62" s="198"/>
    </row>
    <row r="63" spans="1:21" s="12" customFormat="1" x14ac:dyDescent="0.25">
      <c r="A63" s="215" t="s">
        <v>780</v>
      </c>
      <c r="B63" s="64">
        <v>2</v>
      </c>
      <c r="C63" s="64">
        <v>34.619999999999997</v>
      </c>
      <c r="D63" s="64">
        <v>63.19</v>
      </c>
      <c r="E63" s="64">
        <v>5.31</v>
      </c>
      <c r="F63" s="64">
        <v>30.41</v>
      </c>
      <c r="G63" s="64">
        <v>64.260000000000005</v>
      </c>
      <c r="H63" s="64">
        <v>14.42</v>
      </c>
      <c r="I63" s="64">
        <v>3.99</v>
      </c>
      <c r="J63" s="64">
        <v>0.47</v>
      </c>
      <c r="K63" s="64">
        <v>4.17</v>
      </c>
      <c r="L63" s="64">
        <v>35.56</v>
      </c>
      <c r="M63" s="64">
        <v>17.27</v>
      </c>
      <c r="N63" s="64">
        <v>795.2</v>
      </c>
      <c r="O63" s="64">
        <v>0</v>
      </c>
      <c r="P63" s="64">
        <v>0.65</v>
      </c>
      <c r="Q63" s="213" t="s">
        <v>42</v>
      </c>
      <c r="R63" s="198"/>
      <c r="S63" s="198"/>
      <c r="T63" s="198"/>
      <c r="U63" s="198"/>
    </row>
    <row r="64" spans="1:21" s="12" customFormat="1" x14ac:dyDescent="0.25">
      <c r="A64" s="215" t="s">
        <v>781</v>
      </c>
      <c r="B64" s="64">
        <v>9.01</v>
      </c>
      <c r="C64" s="64">
        <v>46.82</v>
      </c>
      <c r="D64" s="64">
        <v>75.78</v>
      </c>
      <c r="E64" s="64">
        <v>5.39</v>
      </c>
      <c r="F64" s="64">
        <v>18.41</v>
      </c>
      <c r="G64" s="64">
        <v>61.04</v>
      </c>
      <c r="H64" s="64">
        <v>23.38</v>
      </c>
      <c r="I64" s="64">
        <v>3.98</v>
      </c>
      <c r="J64" s="64">
        <v>1.25</v>
      </c>
      <c r="K64" s="64">
        <v>350.38</v>
      </c>
      <c r="L64" s="64">
        <v>37.369999999999997</v>
      </c>
      <c r="M64" s="64">
        <v>11.69</v>
      </c>
      <c r="N64" s="64">
        <v>708.4</v>
      </c>
      <c r="O64" s="64">
        <v>0</v>
      </c>
      <c r="P64" s="64">
        <v>0.72</v>
      </c>
      <c r="Q64" s="213" t="s">
        <v>42</v>
      </c>
      <c r="R64" s="198"/>
      <c r="S64" s="198"/>
      <c r="T64" s="198"/>
      <c r="U64" s="198"/>
    </row>
    <row r="65" spans="1:21" s="12" customFormat="1" x14ac:dyDescent="0.25">
      <c r="A65" s="215" t="s">
        <v>782</v>
      </c>
      <c r="B65" s="64">
        <v>6.23</v>
      </c>
      <c r="C65" s="64">
        <v>37.979999999999997</v>
      </c>
      <c r="D65" s="64">
        <v>63.14</v>
      </c>
      <c r="E65" s="64">
        <v>6.7</v>
      </c>
      <c r="F65" s="64">
        <v>23.97</v>
      </c>
      <c r="G65" s="64">
        <v>61.04</v>
      </c>
      <c r="H65" s="64">
        <v>23.38</v>
      </c>
      <c r="I65" s="64">
        <v>4.0999999999999996</v>
      </c>
      <c r="J65" s="64">
        <v>0.49</v>
      </c>
      <c r="K65" s="64">
        <v>347.64</v>
      </c>
      <c r="L65" s="64">
        <v>37.619999999999997</v>
      </c>
      <c r="M65" s="64">
        <v>11.32</v>
      </c>
      <c r="N65" s="64">
        <v>547</v>
      </c>
      <c r="O65" s="64">
        <v>0</v>
      </c>
      <c r="P65" s="64">
        <v>0.57999999999999996</v>
      </c>
      <c r="Q65" s="213" t="s">
        <v>42</v>
      </c>
      <c r="R65" s="198"/>
      <c r="S65" s="198"/>
      <c r="T65" s="198"/>
      <c r="U65" s="198"/>
    </row>
    <row r="66" spans="1:21" s="12" customFormat="1" x14ac:dyDescent="0.25">
      <c r="A66" s="215" t="s">
        <v>783</v>
      </c>
      <c r="B66" s="64">
        <v>5.45</v>
      </c>
      <c r="C66" s="64">
        <v>43.26</v>
      </c>
      <c r="D66" s="64">
        <v>74.44</v>
      </c>
      <c r="E66" s="64">
        <v>5.59</v>
      </c>
      <c r="F66" s="64">
        <v>17.16</v>
      </c>
      <c r="G66" s="64">
        <v>61.04</v>
      </c>
      <c r="H66" s="64">
        <v>23.38</v>
      </c>
      <c r="I66" s="64">
        <v>4.0199999999999996</v>
      </c>
      <c r="J66" s="64">
        <v>0.63</v>
      </c>
      <c r="K66" s="64">
        <v>264.32</v>
      </c>
      <c r="L66" s="64">
        <v>36.68</v>
      </c>
      <c r="M66" s="64">
        <v>12.6</v>
      </c>
      <c r="N66" s="64">
        <v>454.1</v>
      </c>
      <c r="O66" s="64">
        <v>0</v>
      </c>
      <c r="P66" s="64">
        <v>0.66</v>
      </c>
      <c r="Q66" s="213" t="s">
        <v>42</v>
      </c>
      <c r="R66" s="198"/>
      <c r="S66" s="198"/>
      <c r="T66" s="198"/>
      <c r="U66" s="198"/>
    </row>
    <row r="67" spans="1:21" s="12" customFormat="1" x14ac:dyDescent="0.25">
      <c r="A67" s="215" t="s">
        <v>784</v>
      </c>
      <c r="B67" s="64">
        <v>3.74</v>
      </c>
      <c r="C67" s="64">
        <v>41.85</v>
      </c>
      <c r="D67" s="64">
        <v>74.36</v>
      </c>
      <c r="E67" s="64">
        <v>4.38</v>
      </c>
      <c r="F67" s="64">
        <v>19.16</v>
      </c>
      <c r="G67" s="64">
        <v>60.93</v>
      </c>
      <c r="H67" s="64">
        <v>77.739999999999995</v>
      </c>
      <c r="I67" s="64">
        <v>4.0599999999999996</v>
      </c>
      <c r="J67" s="64">
        <v>1.79</v>
      </c>
      <c r="K67" s="64">
        <v>335.13</v>
      </c>
      <c r="L67" s="64">
        <v>36.380000000000003</v>
      </c>
      <c r="M67" s="64">
        <v>13.8</v>
      </c>
      <c r="N67" s="64">
        <v>355.2</v>
      </c>
      <c r="O67" s="64">
        <v>0</v>
      </c>
      <c r="P67" s="64">
        <v>0.65</v>
      </c>
      <c r="Q67" s="213" t="s">
        <v>42</v>
      </c>
      <c r="R67" s="198"/>
      <c r="S67" s="198"/>
      <c r="T67" s="198"/>
      <c r="U67" s="198"/>
    </row>
    <row r="68" spans="1:21" s="12" customFormat="1" x14ac:dyDescent="0.25">
      <c r="A68" s="215" t="s">
        <v>785</v>
      </c>
      <c r="B68" s="64">
        <v>5.62</v>
      </c>
      <c r="C68" s="64">
        <v>34.19</v>
      </c>
      <c r="D68" s="64">
        <v>56.81</v>
      </c>
      <c r="E68" s="64">
        <v>7.88</v>
      </c>
      <c r="F68" s="64">
        <v>31.14</v>
      </c>
      <c r="G68" s="64">
        <v>60.82</v>
      </c>
      <c r="H68" s="64">
        <v>137.16</v>
      </c>
      <c r="I68" s="64">
        <v>4.05</v>
      </c>
      <c r="J68" s="64">
        <v>1.17</v>
      </c>
      <c r="K68" s="64">
        <v>355.74</v>
      </c>
      <c r="L68" s="64">
        <v>36.69</v>
      </c>
      <c r="M68" s="64">
        <v>12.65</v>
      </c>
      <c r="N68" s="64">
        <v>285.5</v>
      </c>
      <c r="O68" s="64">
        <v>0</v>
      </c>
      <c r="P68" s="64">
        <v>0.42</v>
      </c>
      <c r="Q68" s="213" t="s">
        <v>42</v>
      </c>
      <c r="R68" s="198"/>
      <c r="S68" s="198"/>
      <c r="T68" s="198"/>
      <c r="U68" s="198"/>
    </row>
    <row r="69" spans="1:21" s="12" customFormat="1" x14ac:dyDescent="0.25">
      <c r="A69" s="215" t="s">
        <v>786</v>
      </c>
      <c r="B69" s="64">
        <v>10.4</v>
      </c>
      <c r="C69" s="64">
        <v>42.74</v>
      </c>
      <c r="D69" s="64">
        <v>65.84</v>
      </c>
      <c r="E69" s="64">
        <v>8.4600000000000009</v>
      </c>
      <c r="F69" s="64">
        <v>32.35</v>
      </c>
      <c r="G69" s="64">
        <v>60.82</v>
      </c>
      <c r="H69" s="64">
        <v>137.16</v>
      </c>
      <c r="I69" s="64">
        <v>4.03</v>
      </c>
      <c r="J69" s="64">
        <v>0.52</v>
      </c>
      <c r="K69" s="64">
        <v>18.75</v>
      </c>
      <c r="L69" s="64">
        <v>35.58</v>
      </c>
      <c r="M69" s="64">
        <v>13.13</v>
      </c>
      <c r="N69" s="64">
        <v>267.60000000000002</v>
      </c>
      <c r="O69" s="64">
        <v>0</v>
      </c>
      <c r="P69" s="64">
        <v>0.41</v>
      </c>
      <c r="Q69" s="213" t="s">
        <v>42</v>
      </c>
      <c r="R69" s="198"/>
      <c r="S69" s="198"/>
      <c r="T69" s="198"/>
      <c r="U69" s="198"/>
    </row>
    <row r="70" spans="1:21" s="12" customFormat="1" x14ac:dyDescent="0.25">
      <c r="A70" s="215" t="s">
        <v>787</v>
      </c>
      <c r="B70" s="64">
        <v>10.050000000000001</v>
      </c>
      <c r="C70" s="64">
        <v>43.49</v>
      </c>
      <c r="D70" s="64">
        <v>67.81</v>
      </c>
      <c r="E70" s="64">
        <v>8.57</v>
      </c>
      <c r="F70" s="64">
        <v>32.799999999999997</v>
      </c>
      <c r="G70" s="64">
        <v>60.82</v>
      </c>
      <c r="H70" s="64">
        <v>137.16</v>
      </c>
      <c r="I70" s="64">
        <v>3.78</v>
      </c>
      <c r="J70" s="64">
        <v>0.6</v>
      </c>
      <c r="K70" s="64">
        <v>341.41</v>
      </c>
      <c r="L70" s="64">
        <v>35.549999999999997</v>
      </c>
      <c r="M70" s="64">
        <v>12.99</v>
      </c>
      <c r="N70" s="64">
        <v>238.7</v>
      </c>
      <c r="O70" s="64">
        <v>0</v>
      </c>
      <c r="P70" s="64">
        <v>0.44</v>
      </c>
      <c r="Q70" s="213" t="s">
        <v>42</v>
      </c>
      <c r="R70" s="198"/>
      <c r="S70" s="198"/>
      <c r="T70" s="198"/>
      <c r="U70" s="198"/>
    </row>
    <row r="71" spans="1:21" s="12" customFormat="1" x14ac:dyDescent="0.25">
      <c r="A71" s="215" t="s">
        <v>788</v>
      </c>
      <c r="B71" s="64">
        <v>14.66</v>
      </c>
      <c r="C71" s="64">
        <v>53.05</v>
      </c>
      <c r="D71" s="64">
        <v>79.05</v>
      </c>
      <c r="E71" s="64">
        <v>7.89</v>
      </c>
      <c r="F71" s="64">
        <v>29.42</v>
      </c>
      <c r="G71" s="64">
        <v>58.28</v>
      </c>
      <c r="H71" s="64">
        <v>81.63</v>
      </c>
      <c r="I71" s="64">
        <v>3.75</v>
      </c>
      <c r="J71" s="64">
        <v>1.1000000000000001</v>
      </c>
      <c r="K71" s="64">
        <v>347.46</v>
      </c>
      <c r="L71" s="64">
        <v>35.590000000000003</v>
      </c>
      <c r="M71" s="64">
        <v>13.29</v>
      </c>
      <c r="N71" s="64">
        <v>259</v>
      </c>
      <c r="O71" s="64">
        <v>0</v>
      </c>
      <c r="P71" s="64">
        <v>0.49</v>
      </c>
      <c r="Q71" s="213" t="s">
        <v>42</v>
      </c>
      <c r="R71" s="198"/>
      <c r="S71" s="198"/>
      <c r="T71" s="198"/>
      <c r="U71" s="198"/>
    </row>
    <row r="72" spans="1:21" s="12" customFormat="1" x14ac:dyDescent="0.25">
      <c r="A72" s="215" t="s">
        <v>789</v>
      </c>
      <c r="B72" s="64">
        <v>6.64</v>
      </c>
      <c r="C72" s="64">
        <v>38.5</v>
      </c>
      <c r="D72" s="64">
        <v>63.5</v>
      </c>
      <c r="E72" s="64">
        <v>7.95</v>
      </c>
      <c r="F72" s="64">
        <v>29.41</v>
      </c>
      <c r="G72" s="64">
        <v>55.5</v>
      </c>
      <c r="H72" s="64">
        <v>20.94</v>
      </c>
      <c r="I72" s="64">
        <v>3.99</v>
      </c>
      <c r="J72" s="64">
        <v>0.96</v>
      </c>
      <c r="K72" s="64">
        <v>343.34</v>
      </c>
      <c r="L72" s="64">
        <v>35.49</v>
      </c>
      <c r="M72" s="64">
        <v>13.15</v>
      </c>
      <c r="N72" s="64">
        <v>152.5</v>
      </c>
      <c r="O72" s="64">
        <v>0</v>
      </c>
      <c r="P72" s="64">
        <v>0.51</v>
      </c>
      <c r="Q72" s="213" t="s">
        <v>42</v>
      </c>
      <c r="R72" s="198"/>
      <c r="S72" s="198"/>
      <c r="T72" s="198"/>
      <c r="U72" s="198"/>
    </row>
    <row r="73" spans="1:21" s="12" customFormat="1" x14ac:dyDescent="0.25">
      <c r="A73" s="215" t="s">
        <v>790</v>
      </c>
      <c r="B73" s="64">
        <v>10.09</v>
      </c>
      <c r="C73" s="64">
        <v>46.82</v>
      </c>
      <c r="D73" s="64">
        <v>74.13</v>
      </c>
      <c r="E73" s="64">
        <v>10.73</v>
      </c>
      <c r="F73" s="64">
        <v>28.88</v>
      </c>
      <c r="G73" s="64">
        <v>55.5</v>
      </c>
      <c r="H73" s="64">
        <v>20.94</v>
      </c>
      <c r="I73" s="64">
        <v>3.97</v>
      </c>
      <c r="J73" s="64">
        <v>1.01</v>
      </c>
      <c r="K73" s="64">
        <v>331.4</v>
      </c>
      <c r="L73" s="64">
        <v>35.26</v>
      </c>
      <c r="M73" s="64">
        <v>13.3</v>
      </c>
      <c r="N73" s="64">
        <v>160.69999999999999</v>
      </c>
      <c r="O73" s="64">
        <v>0</v>
      </c>
      <c r="P73" s="64">
        <v>0.57999999999999996</v>
      </c>
      <c r="Q73" s="213" t="s">
        <v>42</v>
      </c>
      <c r="R73" s="198"/>
      <c r="S73" s="198"/>
      <c r="T73" s="198"/>
      <c r="U73" s="198"/>
    </row>
    <row r="74" spans="1:21" s="12" customFormat="1" x14ac:dyDescent="0.25">
      <c r="A74" s="215" t="s">
        <v>791</v>
      </c>
      <c r="B74" s="64">
        <v>4.29</v>
      </c>
      <c r="C74" s="64">
        <v>31.61</v>
      </c>
      <c r="D74" s="64">
        <v>53.92</v>
      </c>
      <c r="E74" s="64">
        <v>11.68</v>
      </c>
      <c r="F74" s="64">
        <v>34.54</v>
      </c>
      <c r="G74" s="64">
        <v>55.5</v>
      </c>
      <c r="H74" s="64">
        <v>20.94</v>
      </c>
      <c r="I74" s="64">
        <v>3.98</v>
      </c>
      <c r="J74" s="64">
        <v>0.23</v>
      </c>
      <c r="K74" s="64">
        <v>344.68</v>
      </c>
      <c r="L74" s="64">
        <v>34.61</v>
      </c>
      <c r="M74" s="64">
        <v>12.65</v>
      </c>
      <c r="N74" s="64">
        <v>118.6</v>
      </c>
      <c r="O74" s="64">
        <v>0</v>
      </c>
      <c r="P74" s="64">
        <v>0.39</v>
      </c>
      <c r="Q74" s="213" t="s">
        <v>42</v>
      </c>
      <c r="R74" s="198"/>
      <c r="S74" s="198"/>
      <c r="T74" s="198"/>
      <c r="U74" s="198"/>
    </row>
    <row r="75" spans="1:21" s="12" customFormat="1" x14ac:dyDescent="0.25">
      <c r="A75" s="215" t="s">
        <v>792</v>
      </c>
      <c r="B75" s="64">
        <v>2.0699999999999998</v>
      </c>
      <c r="C75" s="64">
        <v>24.64</v>
      </c>
      <c r="D75" s="64">
        <v>43.98</v>
      </c>
      <c r="E75" s="64">
        <v>13.37</v>
      </c>
      <c r="F75" s="64">
        <v>34.17</v>
      </c>
      <c r="G75" s="64">
        <v>53.55</v>
      </c>
      <c r="H75" s="64">
        <v>11.13</v>
      </c>
      <c r="I75" s="64">
        <v>4.07</v>
      </c>
      <c r="J75" s="64">
        <v>1.34</v>
      </c>
      <c r="K75" s="64">
        <v>104.41</v>
      </c>
      <c r="L75" s="64">
        <v>33.39</v>
      </c>
      <c r="M75" s="64">
        <v>13.58</v>
      </c>
      <c r="N75" s="64">
        <v>107.7</v>
      </c>
      <c r="O75" s="64">
        <v>0</v>
      </c>
      <c r="P75" s="64">
        <v>0.31</v>
      </c>
      <c r="Q75" s="213" t="s">
        <v>42</v>
      </c>
      <c r="R75" s="198"/>
      <c r="S75" s="198"/>
      <c r="T75" s="198"/>
      <c r="U75" s="198"/>
    </row>
    <row r="76" spans="1:21" s="12" customFormat="1" x14ac:dyDescent="0.25">
      <c r="A76" s="215" t="s">
        <v>793</v>
      </c>
      <c r="B76" s="64">
        <v>19.18</v>
      </c>
      <c r="C76" s="64">
        <v>70.900000000000006</v>
      </c>
      <c r="D76" s="64">
        <v>106.26</v>
      </c>
      <c r="E76" s="64">
        <v>12.47</v>
      </c>
      <c r="F76" s="64">
        <v>25.96</v>
      </c>
      <c r="G76" s="64">
        <v>51.51</v>
      </c>
      <c r="H76" s="64">
        <v>0.42</v>
      </c>
      <c r="I76" s="64">
        <v>4.2300000000000004</v>
      </c>
      <c r="J76" s="64">
        <v>0.55000000000000004</v>
      </c>
      <c r="K76" s="64">
        <v>62.96</v>
      </c>
      <c r="L76" s="64">
        <v>33.020000000000003</v>
      </c>
      <c r="M76" s="64">
        <v>15.44</v>
      </c>
      <c r="N76" s="64">
        <v>106.3</v>
      </c>
      <c r="O76" s="64">
        <v>0</v>
      </c>
      <c r="P76" s="64">
        <v>0.73</v>
      </c>
      <c r="Q76" s="213" t="s">
        <v>42</v>
      </c>
      <c r="R76" s="198"/>
      <c r="S76" s="198"/>
      <c r="T76" s="198"/>
      <c r="U76" s="198"/>
    </row>
    <row r="77" spans="1:21" s="12" customFormat="1" x14ac:dyDescent="0.25">
      <c r="A77" s="215" t="s">
        <v>794</v>
      </c>
      <c r="B77" s="64">
        <v>2.93</v>
      </c>
      <c r="C77" s="64">
        <v>35.200000000000003</v>
      </c>
      <c r="D77" s="64">
        <v>62.88</v>
      </c>
      <c r="E77" s="64">
        <v>14.13</v>
      </c>
      <c r="F77" s="64">
        <v>37.75</v>
      </c>
      <c r="G77" s="64">
        <v>51.51</v>
      </c>
      <c r="H77" s="64">
        <v>0.42</v>
      </c>
      <c r="I77" s="64">
        <v>3.9</v>
      </c>
      <c r="J77" s="64">
        <v>0.9</v>
      </c>
      <c r="K77" s="64">
        <v>86.9</v>
      </c>
      <c r="L77" s="64">
        <v>32.880000000000003</v>
      </c>
      <c r="M77" s="64">
        <v>14.02</v>
      </c>
      <c r="N77" s="64">
        <v>86.3</v>
      </c>
      <c r="O77" s="64">
        <v>0</v>
      </c>
      <c r="P77" s="64">
        <v>0.42</v>
      </c>
      <c r="Q77" s="213" t="s">
        <v>42</v>
      </c>
      <c r="R77" s="198"/>
      <c r="S77" s="198"/>
      <c r="T77" s="198"/>
      <c r="U77" s="198"/>
    </row>
    <row r="78" spans="1:21" s="12" customFormat="1" x14ac:dyDescent="0.25">
      <c r="A78" s="215" t="s">
        <v>795</v>
      </c>
      <c r="B78" s="64">
        <v>1.98</v>
      </c>
      <c r="C78" s="64">
        <v>28.87</v>
      </c>
      <c r="D78" s="64">
        <v>52.21</v>
      </c>
      <c r="E78" s="64">
        <v>13.42</v>
      </c>
      <c r="F78" s="64">
        <v>32.479999999999997</v>
      </c>
      <c r="G78" s="64">
        <v>51.51</v>
      </c>
      <c r="H78" s="64">
        <v>0.42</v>
      </c>
      <c r="I78" s="64">
        <v>3.96</v>
      </c>
      <c r="J78" s="64">
        <v>0.97</v>
      </c>
      <c r="K78" s="64">
        <v>115.13</v>
      </c>
      <c r="L78" s="64">
        <v>32.630000000000003</v>
      </c>
      <c r="M78" s="64">
        <v>14.15</v>
      </c>
      <c r="N78" s="64">
        <v>71</v>
      </c>
      <c r="O78" s="64">
        <v>0</v>
      </c>
      <c r="P78" s="64">
        <v>0.33</v>
      </c>
      <c r="Q78" s="213" t="s">
        <v>42</v>
      </c>
      <c r="R78" s="198"/>
      <c r="S78" s="198"/>
      <c r="T78" s="198"/>
      <c r="U78" s="198"/>
    </row>
    <row r="79" spans="1:21" s="12" customFormat="1" x14ac:dyDescent="0.25">
      <c r="A79" s="215" t="s">
        <v>796</v>
      </c>
      <c r="B79" s="64">
        <v>1.8</v>
      </c>
      <c r="C79" s="64">
        <v>35.56</v>
      </c>
      <c r="D79" s="64">
        <v>65.31</v>
      </c>
      <c r="E79" s="64">
        <v>9.15</v>
      </c>
      <c r="F79" s="64">
        <v>30.28</v>
      </c>
      <c r="G79" s="64">
        <v>50.59</v>
      </c>
      <c r="H79" s="64">
        <v>0.22</v>
      </c>
      <c r="I79" s="64">
        <v>4.1500000000000004</v>
      </c>
      <c r="J79" s="64">
        <v>0.65</v>
      </c>
      <c r="K79" s="64">
        <v>198.13</v>
      </c>
      <c r="L79" s="64">
        <v>32.24</v>
      </c>
      <c r="M79" s="64">
        <v>16.84</v>
      </c>
      <c r="N79" s="64">
        <v>57</v>
      </c>
      <c r="O79" s="64">
        <v>0</v>
      </c>
      <c r="P79" s="64">
        <v>0.41</v>
      </c>
      <c r="Q79" s="213" t="s">
        <v>42</v>
      </c>
      <c r="R79" s="198"/>
      <c r="S79" s="198"/>
      <c r="T79" s="198"/>
      <c r="U79" s="198"/>
    </row>
    <row r="80" spans="1:21" s="12" customFormat="1" x14ac:dyDescent="0.25">
      <c r="A80" s="215" t="s">
        <v>797</v>
      </c>
      <c r="B80" s="64">
        <v>1.96</v>
      </c>
      <c r="C80" s="64">
        <v>46.31</v>
      </c>
      <c r="D80" s="64">
        <v>85.64</v>
      </c>
      <c r="E80" s="64">
        <v>8.23</v>
      </c>
      <c r="F80" s="64">
        <v>24.74</v>
      </c>
      <c r="G80" s="64">
        <v>49.63</v>
      </c>
      <c r="H80" s="64">
        <v>0.02</v>
      </c>
      <c r="I80" s="64">
        <v>4.03</v>
      </c>
      <c r="J80" s="64">
        <v>0.63</v>
      </c>
      <c r="K80" s="64">
        <v>221.8</v>
      </c>
      <c r="L80" s="64">
        <v>31.66</v>
      </c>
      <c r="M80" s="64">
        <v>18.7</v>
      </c>
      <c r="N80" s="64">
        <v>44.7</v>
      </c>
      <c r="O80" s="64">
        <v>0</v>
      </c>
      <c r="P80" s="64">
        <v>0.5</v>
      </c>
      <c r="Q80" s="213" t="s">
        <v>42</v>
      </c>
      <c r="R80" s="198"/>
      <c r="S80" s="198"/>
      <c r="T80" s="198"/>
      <c r="U80" s="198"/>
    </row>
    <row r="81" spans="1:26" s="12" customFormat="1" x14ac:dyDescent="0.25">
      <c r="A81" s="215" t="s">
        <v>798</v>
      </c>
      <c r="B81" s="64">
        <v>2.2000000000000002</v>
      </c>
      <c r="C81" s="64">
        <v>55.04</v>
      </c>
      <c r="D81" s="64">
        <v>101.98</v>
      </c>
      <c r="E81" s="64">
        <v>7.79</v>
      </c>
      <c r="F81" s="64">
        <v>20.85</v>
      </c>
      <c r="G81" s="64">
        <v>49.63</v>
      </c>
      <c r="H81" s="64">
        <v>0.02</v>
      </c>
      <c r="I81" s="64">
        <v>4.0999999999999996</v>
      </c>
      <c r="J81" s="64">
        <v>0.52</v>
      </c>
      <c r="K81" s="64">
        <v>241.15</v>
      </c>
      <c r="L81" s="64">
        <v>30.83</v>
      </c>
      <c r="M81" s="64">
        <v>20.91</v>
      </c>
      <c r="N81" s="64">
        <v>35.200000000000003</v>
      </c>
      <c r="O81" s="64">
        <v>0</v>
      </c>
      <c r="P81" s="64">
        <v>0.54</v>
      </c>
      <c r="Q81" s="213" t="s">
        <v>42</v>
      </c>
      <c r="R81" s="198"/>
      <c r="S81" s="198"/>
      <c r="T81" s="198"/>
      <c r="U81" s="198"/>
    </row>
    <row r="82" spans="1:26" s="12" customFormat="1" x14ac:dyDescent="0.25">
      <c r="A82" s="215" t="s">
        <v>799</v>
      </c>
      <c r="B82" s="64">
        <v>9.86</v>
      </c>
      <c r="C82" s="64">
        <v>96.56</v>
      </c>
      <c r="D82" s="64">
        <v>169.68</v>
      </c>
      <c r="E82" s="64">
        <v>8.1</v>
      </c>
      <c r="F82" s="64">
        <v>13.08</v>
      </c>
      <c r="G82" s="64">
        <v>49.63</v>
      </c>
      <c r="H82" s="64">
        <v>0.02</v>
      </c>
      <c r="I82" s="64">
        <v>4.05</v>
      </c>
      <c r="J82" s="64">
        <v>0.46</v>
      </c>
      <c r="K82" s="64">
        <v>219.53</v>
      </c>
      <c r="L82" s="64">
        <v>30.03</v>
      </c>
      <c r="M82" s="64">
        <v>22.48</v>
      </c>
      <c r="N82" s="64">
        <v>30.9</v>
      </c>
      <c r="O82" s="64">
        <v>0</v>
      </c>
      <c r="P82" s="64">
        <v>0.66</v>
      </c>
      <c r="Q82" s="213" t="s">
        <v>42</v>
      </c>
      <c r="R82" s="198"/>
      <c r="S82" s="198"/>
      <c r="T82" s="198"/>
      <c r="U82" s="198"/>
    </row>
    <row r="83" spans="1:26" s="12" customFormat="1" x14ac:dyDescent="0.25">
      <c r="A83" s="215" t="s">
        <v>800</v>
      </c>
      <c r="B83" s="64">
        <v>13.7</v>
      </c>
      <c r="C83" s="64">
        <v>105.48</v>
      </c>
      <c r="D83" s="64">
        <v>180.87</v>
      </c>
      <c r="E83" s="64">
        <v>8.19</v>
      </c>
      <c r="F83" s="64">
        <v>11.61</v>
      </c>
      <c r="G83" s="64">
        <v>52.28</v>
      </c>
      <c r="H83" s="64">
        <v>11.99</v>
      </c>
      <c r="I83" s="64">
        <v>3.95</v>
      </c>
      <c r="J83" s="64">
        <v>0.55000000000000004</v>
      </c>
      <c r="K83" s="64">
        <v>244.24</v>
      </c>
      <c r="L83" s="64">
        <v>29.48</v>
      </c>
      <c r="M83" s="64">
        <v>22.97</v>
      </c>
      <c r="N83" s="64">
        <v>30.1</v>
      </c>
      <c r="O83" s="64">
        <v>0</v>
      </c>
      <c r="P83" s="64">
        <v>0.85</v>
      </c>
      <c r="Q83" s="213" t="s">
        <v>42</v>
      </c>
      <c r="R83" s="198"/>
      <c r="S83" s="198"/>
      <c r="T83" s="198"/>
      <c r="U83" s="198"/>
    </row>
    <row r="84" spans="1:26" s="12" customFormat="1" x14ac:dyDescent="0.25">
      <c r="A84" s="215" t="s">
        <v>801</v>
      </c>
      <c r="B84" s="64">
        <v>53.73</v>
      </c>
      <c r="C84" s="64">
        <v>146.27000000000001</v>
      </c>
      <c r="D84" s="64">
        <v>197.5</v>
      </c>
      <c r="E84" s="64">
        <v>7.95</v>
      </c>
      <c r="F84" s="64">
        <v>7.77</v>
      </c>
      <c r="G84" s="64">
        <v>55.18</v>
      </c>
      <c r="H84" s="64">
        <v>24.52</v>
      </c>
      <c r="I84" s="64">
        <v>3.96</v>
      </c>
      <c r="J84" s="64">
        <v>0.5</v>
      </c>
      <c r="K84" s="64">
        <v>255.74</v>
      </c>
      <c r="L84" s="64">
        <v>28.94</v>
      </c>
      <c r="M84" s="64">
        <v>25.29</v>
      </c>
      <c r="N84" s="64">
        <v>30.2</v>
      </c>
      <c r="O84" s="64">
        <v>0</v>
      </c>
      <c r="P84" s="64">
        <v>1.1599999999999999</v>
      </c>
      <c r="Q84" s="213" t="s">
        <v>42</v>
      </c>
      <c r="R84" s="198"/>
      <c r="S84" s="198"/>
      <c r="T84" s="198"/>
      <c r="U84" s="198"/>
    </row>
    <row r="85" spans="1:26" s="12" customFormat="1" x14ac:dyDescent="0.25">
      <c r="A85" s="215" t="s">
        <v>802</v>
      </c>
      <c r="B85" s="64">
        <v>20.67</v>
      </c>
      <c r="C85" s="64">
        <v>111.31</v>
      </c>
      <c r="D85" s="64">
        <v>181.32</v>
      </c>
      <c r="E85" s="64">
        <v>8.73</v>
      </c>
      <c r="F85" s="64">
        <v>10.66</v>
      </c>
      <c r="G85" s="64">
        <v>55.18</v>
      </c>
      <c r="H85" s="64">
        <v>24.52</v>
      </c>
      <c r="I85" s="64">
        <v>4.04</v>
      </c>
      <c r="J85" s="64">
        <v>0.46</v>
      </c>
      <c r="K85" s="64">
        <v>200.43</v>
      </c>
      <c r="L85" s="64">
        <v>28.29</v>
      </c>
      <c r="M85" s="64">
        <v>25.1</v>
      </c>
      <c r="N85" s="64">
        <v>31.8</v>
      </c>
      <c r="O85" s="64">
        <v>0</v>
      </c>
      <c r="P85" s="64">
        <v>0.96</v>
      </c>
      <c r="Q85" s="213" t="s">
        <v>42</v>
      </c>
      <c r="R85" s="198"/>
      <c r="S85" s="198"/>
      <c r="T85" s="198"/>
      <c r="U85" s="198"/>
    </row>
    <row r="86" spans="1:26" s="12" customFormat="1" x14ac:dyDescent="0.25">
      <c r="A86" s="215" t="s">
        <v>803</v>
      </c>
      <c r="B86" s="64">
        <v>58.75</v>
      </c>
      <c r="C86" s="64">
        <v>150.38999999999999</v>
      </c>
      <c r="D86" s="64">
        <v>197.67</v>
      </c>
      <c r="E86" s="64">
        <v>8.25</v>
      </c>
      <c r="F86" s="64">
        <v>8.57</v>
      </c>
      <c r="G86" s="64">
        <v>55.18</v>
      </c>
      <c r="H86" s="64">
        <v>24.52</v>
      </c>
      <c r="I86" s="64">
        <v>4.1100000000000003</v>
      </c>
      <c r="J86" s="64">
        <v>0.38</v>
      </c>
      <c r="K86" s="64">
        <v>152.44999999999999</v>
      </c>
      <c r="L86" s="64">
        <v>27.95</v>
      </c>
      <c r="M86" s="64">
        <v>26.61</v>
      </c>
      <c r="N86" s="64">
        <v>32.9</v>
      </c>
      <c r="O86" s="64">
        <v>0</v>
      </c>
      <c r="P86" s="64">
        <v>0.99</v>
      </c>
      <c r="Q86" s="213" t="s">
        <v>42</v>
      </c>
      <c r="R86" s="198"/>
      <c r="S86" s="198"/>
      <c r="T86" s="198"/>
      <c r="U86" s="198"/>
    </row>
    <row r="87" spans="1:26" s="12" customFormat="1" x14ac:dyDescent="0.25">
      <c r="A87" s="215" t="s">
        <v>804</v>
      </c>
      <c r="B87" s="64">
        <v>14.09</v>
      </c>
      <c r="C87" s="64">
        <v>85.26</v>
      </c>
      <c r="D87" s="64">
        <v>141.55000000000001</v>
      </c>
      <c r="E87" s="64">
        <v>8.64</v>
      </c>
      <c r="F87" s="64">
        <v>15.95</v>
      </c>
      <c r="G87" s="64">
        <v>60.89</v>
      </c>
      <c r="H87" s="64">
        <v>13.49</v>
      </c>
      <c r="I87" s="64">
        <v>3.9</v>
      </c>
      <c r="J87" s="64">
        <v>0.47</v>
      </c>
      <c r="K87" s="64">
        <v>202.18</v>
      </c>
      <c r="L87" s="64">
        <v>28.19</v>
      </c>
      <c r="M87" s="64">
        <v>24.73</v>
      </c>
      <c r="N87" s="64">
        <v>32.299999999999997</v>
      </c>
      <c r="O87" s="64">
        <v>0</v>
      </c>
      <c r="P87" s="64">
        <v>0.89</v>
      </c>
      <c r="Q87" s="213" t="s">
        <v>42</v>
      </c>
      <c r="R87" s="198"/>
      <c r="S87" s="198"/>
      <c r="T87" s="198"/>
      <c r="U87" s="198"/>
    </row>
    <row r="88" spans="1:26" s="12" customFormat="1" x14ac:dyDescent="0.25">
      <c r="A88" s="215" t="s">
        <v>805</v>
      </c>
      <c r="B88" s="64">
        <v>10.73</v>
      </c>
      <c r="C88" s="64">
        <v>81.61</v>
      </c>
      <c r="D88" s="64">
        <v>139.72</v>
      </c>
      <c r="E88" s="64">
        <v>8.14</v>
      </c>
      <c r="F88" s="64">
        <v>14.31</v>
      </c>
      <c r="G88" s="64">
        <v>66.849999999999994</v>
      </c>
      <c r="H88" s="64">
        <v>1.96</v>
      </c>
      <c r="I88" s="64">
        <v>4.03</v>
      </c>
      <c r="J88" s="64">
        <v>0.69</v>
      </c>
      <c r="K88" s="64">
        <v>173.48</v>
      </c>
      <c r="L88" s="64">
        <v>28.05</v>
      </c>
      <c r="M88" s="64">
        <v>25.25</v>
      </c>
      <c r="N88" s="64">
        <v>32.200000000000003</v>
      </c>
      <c r="O88" s="64">
        <v>0</v>
      </c>
      <c r="P88" s="64">
        <v>1.01</v>
      </c>
      <c r="Q88" s="213" t="s">
        <v>42</v>
      </c>
      <c r="R88" s="198"/>
      <c r="S88" s="198"/>
      <c r="T88" s="198"/>
      <c r="U88" s="198"/>
    </row>
    <row r="89" spans="1:26" s="12" customFormat="1" x14ac:dyDescent="0.25">
      <c r="A89" s="215" t="s">
        <v>806</v>
      </c>
      <c r="B89" s="64">
        <v>4.9800000000000004</v>
      </c>
      <c r="C89" s="64">
        <v>64.48</v>
      </c>
      <c r="D89" s="64">
        <v>115.77</v>
      </c>
      <c r="E89" s="64">
        <v>8.69</v>
      </c>
      <c r="F89" s="64">
        <v>17.46</v>
      </c>
      <c r="G89" s="64">
        <v>66.849999999999994</v>
      </c>
      <c r="H89" s="64">
        <v>1.96</v>
      </c>
      <c r="I89" s="64">
        <v>4.04</v>
      </c>
      <c r="J89" s="64">
        <v>0.47</v>
      </c>
      <c r="K89" s="64">
        <v>220.31</v>
      </c>
      <c r="L89" s="64">
        <v>28.11</v>
      </c>
      <c r="M89" s="64">
        <v>25.32</v>
      </c>
      <c r="N89" s="64">
        <v>33.200000000000003</v>
      </c>
      <c r="O89" s="64">
        <v>0</v>
      </c>
      <c r="P89" s="64">
        <v>0.84</v>
      </c>
      <c r="Q89" s="213" t="s">
        <v>42</v>
      </c>
      <c r="R89" s="198"/>
      <c r="S89" s="198"/>
      <c r="T89" s="198"/>
      <c r="U89" s="198"/>
    </row>
    <row r="90" spans="1:26" s="12" customFormat="1" x14ac:dyDescent="0.25">
      <c r="A90" s="215" t="s">
        <v>807</v>
      </c>
      <c r="B90" s="64">
        <v>4.49</v>
      </c>
      <c r="C90" s="64">
        <v>46.5</v>
      </c>
      <c r="D90" s="64">
        <v>82.11</v>
      </c>
      <c r="E90" s="64">
        <v>8.8699999999999992</v>
      </c>
      <c r="F90" s="64">
        <v>22.96</v>
      </c>
      <c r="G90" s="64">
        <v>66.849999999999994</v>
      </c>
      <c r="H90" s="64">
        <v>1.96</v>
      </c>
      <c r="I90" s="64">
        <v>4.08</v>
      </c>
      <c r="J90" s="64">
        <v>0.46</v>
      </c>
      <c r="K90" s="64">
        <v>259.45999999999998</v>
      </c>
      <c r="L90" s="64">
        <v>27.43</v>
      </c>
      <c r="M90" s="64">
        <v>25.48</v>
      </c>
      <c r="N90" s="64">
        <v>33.9</v>
      </c>
      <c r="O90" s="64">
        <v>0</v>
      </c>
      <c r="P90" s="64">
        <v>0.69</v>
      </c>
      <c r="Q90" s="213" t="s">
        <v>42</v>
      </c>
      <c r="R90" s="198"/>
      <c r="S90" s="198"/>
      <c r="T90" s="198"/>
      <c r="U90" s="198"/>
    </row>
    <row r="91" spans="1:26" s="12" customFormat="1" x14ac:dyDescent="0.25">
      <c r="A91" s="215" t="s">
        <v>808</v>
      </c>
      <c r="B91" s="64">
        <v>13.38</v>
      </c>
      <c r="C91" s="64">
        <v>84.53</v>
      </c>
      <c r="D91" s="64">
        <v>141.25</v>
      </c>
      <c r="E91" s="64">
        <v>8.57</v>
      </c>
      <c r="F91" s="64">
        <v>13.44</v>
      </c>
      <c r="G91" s="64">
        <v>67.790000000000006</v>
      </c>
      <c r="H91" s="64">
        <v>23.04</v>
      </c>
      <c r="I91" s="64">
        <v>4.03</v>
      </c>
      <c r="J91" s="64">
        <v>0.4</v>
      </c>
      <c r="K91" s="64">
        <v>261.24</v>
      </c>
      <c r="L91" s="64">
        <v>26.58</v>
      </c>
      <c r="M91" s="64">
        <v>28.11</v>
      </c>
      <c r="N91" s="64">
        <v>33.4</v>
      </c>
      <c r="O91" s="64">
        <v>0</v>
      </c>
      <c r="P91" s="64">
        <v>0.98</v>
      </c>
      <c r="Q91" s="213" t="s">
        <v>42</v>
      </c>
      <c r="R91" s="198"/>
      <c r="S91" s="198"/>
      <c r="T91" s="198"/>
      <c r="U91" s="198"/>
    </row>
    <row r="92" spans="1:26" s="12" customFormat="1" x14ac:dyDescent="0.25">
      <c r="A92" s="215" t="s">
        <v>809</v>
      </c>
      <c r="B92" s="64">
        <v>33.619999999999997</v>
      </c>
      <c r="C92" s="64">
        <v>112.99</v>
      </c>
      <c r="D92" s="64">
        <v>164.66</v>
      </c>
      <c r="E92" s="64">
        <v>7.76</v>
      </c>
      <c r="F92" s="64">
        <v>10.1</v>
      </c>
      <c r="G92" s="64">
        <v>68.819999999999993</v>
      </c>
      <c r="H92" s="64">
        <v>45.08</v>
      </c>
      <c r="I92" s="64">
        <v>3.96</v>
      </c>
      <c r="J92" s="64">
        <v>0.43</v>
      </c>
      <c r="K92" s="64">
        <v>260.98</v>
      </c>
      <c r="L92" s="64">
        <v>26.24</v>
      </c>
      <c r="M92" s="64">
        <v>29.7</v>
      </c>
      <c r="N92" s="64">
        <v>33.5</v>
      </c>
      <c r="O92" s="64">
        <v>0</v>
      </c>
      <c r="P92" s="64">
        <v>1.1000000000000001</v>
      </c>
      <c r="Q92" s="213" t="s">
        <v>42</v>
      </c>
      <c r="R92" s="198"/>
      <c r="S92" s="198"/>
      <c r="T92" s="198"/>
      <c r="U92" s="198"/>
    </row>
    <row r="93" spans="1:26" s="12" customFormat="1" x14ac:dyDescent="0.25">
      <c r="A93" s="215" t="s">
        <v>810</v>
      </c>
      <c r="B93" s="64">
        <v>14.39</v>
      </c>
      <c r="C93" s="64">
        <v>72.069999999999993</v>
      </c>
      <c r="D93" s="64">
        <v>115.85</v>
      </c>
      <c r="E93" s="64">
        <v>7.22</v>
      </c>
      <c r="F93" s="64">
        <v>13.24</v>
      </c>
      <c r="G93" s="64">
        <v>68.819999999999993</v>
      </c>
      <c r="H93" s="64">
        <v>45.08</v>
      </c>
      <c r="I93" s="64">
        <v>4.09</v>
      </c>
      <c r="J93" s="64">
        <v>0.56000000000000005</v>
      </c>
      <c r="K93" s="64">
        <v>170.11</v>
      </c>
      <c r="L93" s="64">
        <v>26.46</v>
      </c>
      <c r="M93" s="64">
        <v>29.57</v>
      </c>
      <c r="N93" s="64">
        <v>32.5</v>
      </c>
      <c r="O93" s="64">
        <v>0</v>
      </c>
      <c r="P93" s="64">
        <v>0.83</v>
      </c>
      <c r="Q93" s="213" t="s">
        <v>42</v>
      </c>
      <c r="R93" s="198"/>
      <c r="S93" s="198"/>
      <c r="T93" s="198"/>
      <c r="U93" s="198"/>
    </row>
    <row r="94" spans="1:26" s="12" customFormat="1" x14ac:dyDescent="0.25">
      <c r="A94" s="215" t="s">
        <v>811</v>
      </c>
      <c r="B94" s="64">
        <v>7.23</v>
      </c>
      <c r="C94" s="64">
        <v>57.65</v>
      </c>
      <c r="D94" s="64">
        <v>99.24</v>
      </c>
      <c r="E94" s="64">
        <v>7.47</v>
      </c>
      <c r="F94" s="64">
        <v>15.47</v>
      </c>
      <c r="G94" s="64">
        <v>68.819999999999993</v>
      </c>
      <c r="H94" s="64">
        <v>45.08</v>
      </c>
      <c r="I94" s="64">
        <v>4.08</v>
      </c>
      <c r="J94" s="64">
        <v>0.47</v>
      </c>
      <c r="K94" s="64">
        <v>271.27</v>
      </c>
      <c r="L94" s="64">
        <v>26.22</v>
      </c>
      <c r="M94" s="64">
        <v>30.34</v>
      </c>
      <c r="N94" s="64">
        <v>33.6</v>
      </c>
      <c r="O94" s="64">
        <v>0</v>
      </c>
      <c r="P94" s="64">
        <v>0.81</v>
      </c>
      <c r="Q94" s="213" t="s">
        <v>42</v>
      </c>
      <c r="R94" s="198"/>
      <c r="S94" s="198"/>
      <c r="T94" s="198"/>
      <c r="U94" s="198"/>
    </row>
    <row r="95" spans="1:26" s="12" customFormat="1" x14ac:dyDescent="0.25">
      <c r="A95" s="215" t="s">
        <v>812</v>
      </c>
      <c r="B95" s="64">
        <v>11.79</v>
      </c>
      <c r="C95" s="64">
        <v>77.599999999999994</v>
      </c>
      <c r="D95" s="64">
        <v>130.44</v>
      </c>
      <c r="E95" s="64">
        <v>6.95</v>
      </c>
      <c r="F95" s="64">
        <v>11.52</v>
      </c>
      <c r="G95" s="64">
        <v>71.67</v>
      </c>
      <c r="H95" s="64">
        <v>26.13</v>
      </c>
      <c r="I95" s="64">
        <v>3.86</v>
      </c>
      <c r="J95" s="64">
        <v>0.3</v>
      </c>
      <c r="K95" s="64">
        <v>259.95999999999998</v>
      </c>
      <c r="L95" s="64">
        <v>25.71</v>
      </c>
      <c r="M95" s="64">
        <v>31.81</v>
      </c>
      <c r="N95" s="64">
        <v>33.700000000000003</v>
      </c>
      <c r="O95" s="64">
        <v>0</v>
      </c>
      <c r="P95" s="64">
        <v>0.87</v>
      </c>
      <c r="Q95" s="213" t="s">
        <v>42</v>
      </c>
      <c r="R95" s="198"/>
      <c r="S95" s="198"/>
      <c r="T95" s="198"/>
      <c r="U95" s="198"/>
    </row>
    <row r="96" spans="1:26" s="12" customFormat="1" x14ac:dyDescent="0.25">
      <c r="A96" s="215" t="s">
        <v>813</v>
      </c>
      <c r="B96" s="64">
        <v>15.85</v>
      </c>
      <c r="C96" s="64">
        <v>72.459999999999994</v>
      </c>
      <c r="D96" s="64">
        <v>114.35</v>
      </c>
      <c r="E96" s="64">
        <v>6.69</v>
      </c>
      <c r="F96" s="64">
        <v>13.19</v>
      </c>
      <c r="G96" s="64">
        <v>74.64</v>
      </c>
      <c r="H96" s="64">
        <v>5.41</v>
      </c>
      <c r="I96" s="64">
        <v>4.12</v>
      </c>
      <c r="J96" s="64">
        <v>0.27</v>
      </c>
      <c r="K96" s="64">
        <v>314.26</v>
      </c>
      <c r="L96" s="64">
        <v>25.25</v>
      </c>
      <c r="M96" s="64">
        <v>38.18</v>
      </c>
      <c r="N96" s="64">
        <v>33.5</v>
      </c>
      <c r="O96" s="64">
        <v>0</v>
      </c>
      <c r="P96" s="64">
        <v>0.94</v>
      </c>
      <c r="Q96" s="213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814</v>
      </c>
      <c r="B97" s="64">
        <v>88.24</v>
      </c>
      <c r="C97" s="64">
        <v>153.77000000000001</v>
      </c>
      <c r="D97" s="64">
        <v>158.88999999999999</v>
      </c>
      <c r="E97" s="64">
        <v>6.51</v>
      </c>
      <c r="F97" s="64">
        <v>8.4600000000000009</v>
      </c>
      <c r="G97" s="64">
        <v>74.64</v>
      </c>
      <c r="H97" s="64">
        <v>5.41</v>
      </c>
      <c r="I97" s="64">
        <v>4.07</v>
      </c>
      <c r="J97" s="64">
        <v>0.53</v>
      </c>
      <c r="K97" s="64">
        <v>339.51</v>
      </c>
      <c r="L97" s="64">
        <v>23.9</v>
      </c>
      <c r="M97" s="64">
        <v>46.51</v>
      </c>
      <c r="N97" s="64">
        <v>34</v>
      </c>
      <c r="O97" s="64">
        <v>0</v>
      </c>
      <c r="P97" s="64">
        <v>1.63</v>
      </c>
      <c r="Q97" s="213" t="s">
        <v>42</v>
      </c>
      <c r="R97" s="198"/>
      <c r="S97" s="198"/>
      <c r="T97" s="198"/>
      <c r="U97" s="198"/>
    </row>
    <row r="98" spans="1:33" s="12" customFormat="1" x14ac:dyDescent="0.25">
      <c r="A98" s="215" t="s">
        <v>815</v>
      </c>
      <c r="B98" s="64">
        <v>71.44</v>
      </c>
      <c r="C98" s="64">
        <v>133.44999999999999</v>
      </c>
      <c r="D98" s="64">
        <v>145.77000000000001</v>
      </c>
      <c r="E98" s="64">
        <v>6.37</v>
      </c>
      <c r="F98" s="64">
        <v>7.35</v>
      </c>
      <c r="G98" s="64">
        <v>74.64</v>
      </c>
      <c r="H98" s="64">
        <v>5.41</v>
      </c>
      <c r="I98" s="64">
        <v>4.08</v>
      </c>
      <c r="J98" s="64">
        <v>0.56999999999999995</v>
      </c>
      <c r="K98" s="64">
        <v>347.94</v>
      </c>
      <c r="L98" s="64">
        <v>23.37</v>
      </c>
      <c r="M98" s="64">
        <v>45.77</v>
      </c>
      <c r="N98" s="64">
        <v>34</v>
      </c>
      <c r="O98" s="64">
        <v>0</v>
      </c>
      <c r="P98" s="64">
        <v>1.52</v>
      </c>
      <c r="Q98" s="213" t="s">
        <v>42</v>
      </c>
      <c r="R98" s="198"/>
      <c r="S98" s="198"/>
      <c r="T98" s="198"/>
      <c r="U98" s="198"/>
    </row>
    <row r="99" spans="1:33" s="12" customFormat="1" x14ac:dyDescent="0.25">
      <c r="A99" s="215" t="s">
        <v>816</v>
      </c>
      <c r="B99" s="64">
        <v>65.69</v>
      </c>
      <c r="C99" s="64">
        <v>125.5</v>
      </c>
      <c r="D99" s="64">
        <v>139.38</v>
      </c>
      <c r="E99" s="64">
        <v>5.96</v>
      </c>
      <c r="F99" s="64">
        <v>7.89</v>
      </c>
      <c r="G99" s="64">
        <v>78.680000000000007</v>
      </c>
      <c r="H99" s="64">
        <v>14.5</v>
      </c>
      <c r="I99" s="64">
        <v>3.95</v>
      </c>
      <c r="J99" s="64">
        <v>0.47</v>
      </c>
      <c r="K99" s="64">
        <v>347.91</v>
      </c>
      <c r="L99" s="64">
        <v>23.33</v>
      </c>
      <c r="M99" s="64">
        <v>38.67</v>
      </c>
      <c r="N99" s="64">
        <v>33.9</v>
      </c>
      <c r="O99" s="64">
        <v>0</v>
      </c>
      <c r="P99" s="64">
        <v>1.57</v>
      </c>
      <c r="Q99" s="213" t="s">
        <v>42</v>
      </c>
      <c r="R99" s="198"/>
      <c r="S99" s="198"/>
      <c r="T99" s="198"/>
      <c r="U99" s="198"/>
    </row>
    <row r="100" spans="1:33" s="12" customFormat="1" x14ac:dyDescent="0.25">
      <c r="A100" s="215" t="s">
        <v>817</v>
      </c>
      <c r="B100" s="64">
        <v>87</v>
      </c>
      <c r="C100" s="64">
        <v>142.30000000000001</v>
      </c>
      <c r="D100" s="64">
        <v>138.83000000000001</v>
      </c>
      <c r="E100" s="64">
        <v>5.74</v>
      </c>
      <c r="F100" s="64">
        <v>7.22</v>
      </c>
      <c r="G100" s="64">
        <v>83.09</v>
      </c>
      <c r="H100" s="64">
        <v>24.44</v>
      </c>
      <c r="I100" s="64">
        <v>4.09</v>
      </c>
      <c r="J100" s="64">
        <v>0.54</v>
      </c>
      <c r="K100" s="64">
        <v>338.64</v>
      </c>
      <c r="L100" s="64">
        <v>23.24</v>
      </c>
      <c r="M100" s="64">
        <v>40.380000000000003</v>
      </c>
      <c r="N100" s="64">
        <v>33.9</v>
      </c>
      <c r="O100" s="64">
        <v>0</v>
      </c>
      <c r="P100" s="64">
        <v>1.64</v>
      </c>
      <c r="Q100" s="213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818</v>
      </c>
      <c r="B101" s="64">
        <v>60.75</v>
      </c>
      <c r="C101" s="64">
        <v>118.79</v>
      </c>
      <c r="D101" s="64">
        <v>134.11000000000001</v>
      </c>
      <c r="E101" s="64">
        <v>5.9</v>
      </c>
      <c r="F101" s="64">
        <v>6.63</v>
      </c>
      <c r="G101" s="64">
        <v>83.09</v>
      </c>
      <c r="H101" s="64">
        <v>24.44</v>
      </c>
      <c r="I101" s="64">
        <v>4.18</v>
      </c>
      <c r="J101" s="64">
        <v>0.3</v>
      </c>
      <c r="K101" s="64">
        <v>334.55</v>
      </c>
      <c r="L101" s="64">
        <v>22.81</v>
      </c>
      <c r="M101" s="64">
        <v>40.85</v>
      </c>
      <c r="N101" s="64">
        <v>34</v>
      </c>
      <c r="O101" s="64">
        <v>0</v>
      </c>
      <c r="P101" s="64">
        <v>1.3</v>
      </c>
      <c r="Q101" s="213" t="s">
        <v>42</v>
      </c>
      <c r="R101" s="198"/>
      <c r="S101" s="198"/>
      <c r="T101" s="198"/>
      <c r="U101" s="198"/>
    </row>
    <row r="102" spans="1:33" s="12" customFormat="1" x14ac:dyDescent="0.25">
      <c r="A102" s="215" t="s">
        <v>819</v>
      </c>
      <c r="B102" s="64">
        <v>116.22</v>
      </c>
      <c r="C102" s="64">
        <v>175.31</v>
      </c>
      <c r="D102" s="64">
        <v>157.16999999999999</v>
      </c>
      <c r="E102" s="64">
        <v>5.88</v>
      </c>
      <c r="F102" s="64">
        <v>6.88</v>
      </c>
      <c r="G102" s="64">
        <v>83.09</v>
      </c>
      <c r="H102" s="64">
        <v>24.44</v>
      </c>
      <c r="I102" s="64">
        <v>4.0199999999999996</v>
      </c>
      <c r="J102" s="64">
        <v>0.2</v>
      </c>
      <c r="K102" s="64">
        <v>81.349999999999994</v>
      </c>
      <c r="L102" s="64">
        <v>23.1</v>
      </c>
      <c r="M102" s="64">
        <v>39.86</v>
      </c>
      <c r="N102" s="64">
        <v>33.1</v>
      </c>
      <c r="O102" s="64">
        <v>0</v>
      </c>
      <c r="P102" s="64">
        <v>1.24</v>
      </c>
      <c r="Q102" s="213" t="s">
        <v>42</v>
      </c>
      <c r="R102" s="198"/>
      <c r="S102" s="198"/>
      <c r="T102" s="198"/>
      <c r="U102" s="198"/>
    </row>
    <row r="103" spans="1:33" s="12" customFormat="1" x14ac:dyDescent="0.25">
      <c r="A103" s="215" t="s">
        <v>820</v>
      </c>
      <c r="B103" s="64">
        <v>72.42</v>
      </c>
      <c r="C103" s="64">
        <v>129.19999999999999</v>
      </c>
      <c r="D103" s="64">
        <v>136.13999999999999</v>
      </c>
      <c r="E103" s="64">
        <v>6.06</v>
      </c>
      <c r="F103" s="64">
        <v>7.7</v>
      </c>
      <c r="G103" s="64">
        <v>90.51</v>
      </c>
      <c r="H103" s="64">
        <v>37.1</v>
      </c>
      <c r="I103" s="64">
        <v>4.01</v>
      </c>
      <c r="J103" s="64">
        <v>1.05</v>
      </c>
      <c r="K103" s="64">
        <v>353.31</v>
      </c>
      <c r="L103" s="64">
        <v>22.79</v>
      </c>
      <c r="M103" s="64">
        <v>46.79</v>
      </c>
      <c r="N103" s="64">
        <v>33.5</v>
      </c>
      <c r="O103" s="64">
        <v>0</v>
      </c>
      <c r="P103" s="64">
        <v>1.42</v>
      </c>
      <c r="Q103" s="213" t="s">
        <v>42</v>
      </c>
      <c r="R103" s="198"/>
      <c r="S103" s="198"/>
      <c r="T103" s="198"/>
      <c r="U103" s="198"/>
    </row>
    <row r="104" spans="1:33" s="12" customFormat="1" x14ac:dyDescent="0.25">
      <c r="A104" s="215" t="s">
        <v>821</v>
      </c>
      <c r="B104" s="64">
        <v>21.51</v>
      </c>
      <c r="C104" s="64">
        <v>84.15</v>
      </c>
      <c r="D104" s="64">
        <v>128.04</v>
      </c>
      <c r="E104" s="64">
        <v>6.05</v>
      </c>
      <c r="F104" s="64">
        <v>10.67</v>
      </c>
      <c r="G104" s="64">
        <v>98.27</v>
      </c>
      <c r="H104" s="64">
        <v>50.33</v>
      </c>
      <c r="I104" s="64">
        <v>4.17</v>
      </c>
      <c r="J104" s="64">
        <v>0.16</v>
      </c>
      <c r="K104" s="64">
        <v>273.81</v>
      </c>
      <c r="L104" s="64">
        <v>23.26</v>
      </c>
      <c r="M104" s="64">
        <v>40.33</v>
      </c>
      <c r="N104" s="64">
        <v>33.1</v>
      </c>
      <c r="O104" s="64">
        <v>0</v>
      </c>
      <c r="P104" s="64">
        <v>1.17</v>
      </c>
      <c r="Q104" s="213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1.04</v>
      </c>
      <c r="C106" s="67">
        <f>MIN(C9:C104)</f>
        <v>24.64</v>
      </c>
      <c r="D106" s="67">
        <f t="shared" ref="D106:Q106" si="0">MIN(D9:D104)</f>
        <v>43.98</v>
      </c>
      <c r="E106" s="67">
        <f t="shared" si="0"/>
        <v>2.19</v>
      </c>
      <c r="F106" s="67">
        <f t="shared" si="0"/>
        <v>6.31</v>
      </c>
      <c r="G106" s="67">
        <f t="shared" si="0"/>
        <v>49.32</v>
      </c>
      <c r="H106" s="67">
        <f t="shared" si="0"/>
        <v>0.02</v>
      </c>
      <c r="I106" s="67">
        <f t="shared" si="0"/>
        <v>3.75</v>
      </c>
      <c r="J106" s="67">
        <f t="shared" si="0"/>
        <v>0.12</v>
      </c>
      <c r="K106" s="67">
        <f t="shared" si="0"/>
        <v>4.17</v>
      </c>
      <c r="L106" s="67">
        <f t="shared" si="0"/>
        <v>19.43</v>
      </c>
      <c r="M106" s="67">
        <f t="shared" si="0"/>
        <v>11.32</v>
      </c>
      <c r="N106" s="67">
        <f t="shared" si="0"/>
        <v>27</v>
      </c>
      <c r="O106" s="67">
        <f t="shared" si="0"/>
        <v>0</v>
      </c>
      <c r="P106" s="67">
        <f t="shared" si="0"/>
        <v>0.31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116.22</v>
      </c>
      <c r="C107" s="66">
        <f t="shared" ref="C107:Q107" si="1">MAX(C9:C104)</f>
        <v>175.31</v>
      </c>
      <c r="D107" s="66">
        <f t="shared" si="1"/>
        <v>197.67</v>
      </c>
      <c r="E107" s="66">
        <f t="shared" si="1"/>
        <v>14.13</v>
      </c>
      <c r="F107" s="66">
        <f t="shared" si="1"/>
        <v>37.75</v>
      </c>
      <c r="G107" s="66">
        <f t="shared" si="1"/>
        <v>98.27</v>
      </c>
      <c r="H107" s="66">
        <f t="shared" si="1"/>
        <v>137.16</v>
      </c>
      <c r="I107" s="66">
        <f t="shared" si="1"/>
        <v>4.2699999999999996</v>
      </c>
      <c r="J107" s="66">
        <f t="shared" si="1"/>
        <v>1.79</v>
      </c>
      <c r="K107" s="66">
        <f t="shared" si="1"/>
        <v>355.74</v>
      </c>
      <c r="L107" s="66">
        <f t="shared" si="1"/>
        <v>37.619999999999997</v>
      </c>
      <c r="M107" s="66">
        <f t="shared" si="1"/>
        <v>56.43</v>
      </c>
      <c r="N107" s="66">
        <f t="shared" si="1"/>
        <v>899.1</v>
      </c>
      <c r="O107" s="66">
        <f t="shared" si="1"/>
        <v>0</v>
      </c>
      <c r="P107" s="66">
        <f t="shared" si="1"/>
        <v>1.64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19.885104166666672</v>
      </c>
      <c r="C108" s="67">
        <f t="shared" ref="C108:Q108" si="2">AVERAGE(C9:C104)</f>
        <v>66.831249999999997</v>
      </c>
      <c r="D108" s="67">
        <f t="shared" si="2"/>
        <v>97.394062500000004</v>
      </c>
      <c r="E108" s="67">
        <f t="shared" si="2"/>
        <v>6.1764583333333336</v>
      </c>
      <c r="F108" s="67">
        <f t="shared" si="2"/>
        <v>15.320729166666665</v>
      </c>
      <c r="G108" s="67">
        <f t="shared" si="2"/>
        <v>65.701041666666697</v>
      </c>
      <c r="H108" s="67">
        <f t="shared" si="2"/>
        <v>23.687291666666681</v>
      </c>
      <c r="I108" s="67">
        <f t="shared" si="2"/>
        <v>4.0086458333333317</v>
      </c>
      <c r="J108" s="67">
        <f t="shared" si="2"/>
        <v>0.58624999999999994</v>
      </c>
      <c r="K108" s="67">
        <f t="shared" si="2"/>
        <v>243.76010416666665</v>
      </c>
      <c r="L108" s="67">
        <f t="shared" si="2"/>
        <v>27.834791666666661</v>
      </c>
      <c r="M108" s="67">
        <f t="shared" si="2"/>
        <v>32.339062500000018</v>
      </c>
      <c r="N108" s="67">
        <f t="shared" si="2"/>
        <v>255.94375000000005</v>
      </c>
      <c r="O108" s="67">
        <f t="shared" si="2"/>
        <v>0</v>
      </c>
      <c r="P108" s="67">
        <f t="shared" si="2"/>
        <v>0.84290322580645161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24.744403471228189</v>
      </c>
      <c r="C109" s="67">
        <f t="shared" ref="C109:Q109" si="3">STDEV(C9:C104)</f>
        <v>33.148754434010272</v>
      </c>
      <c r="D109" s="67">
        <f t="shared" si="3"/>
        <v>33.161895589845891</v>
      </c>
      <c r="E109" s="67">
        <f t="shared" si="3"/>
        <v>3.145777446930095</v>
      </c>
      <c r="F109" s="67">
        <f t="shared" si="3"/>
        <v>8.3319720600880451</v>
      </c>
      <c r="G109" s="67">
        <f t="shared" si="3"/>
        <v>10.848481676851208</v>
      </c>
      <c r="H109" s="67">
        <f t="shared" si="3"/>
        <v>24.697028437452754</v>
      </c>
      <c r="I109" s="67">
        <f t="shared" si="3"/>
        <v>9.6481465813979178E-2</v>
      </c>
      <c r="J109" s="67">
        <f t="shared" si="3"/>
        <v>0.28777275391311252</v>
      </c>
      <c r="K109" s="67">
        <f t="shared" si="3"/>
        <v>83.474764311324378</v>
      </c>
      <c r="L109" s="67">
        <f t="shared" si="3"/>
        <v>5.764036410850836</v>
      </c>
      <c r="M109" s="67">
        <f t="shared" si="3"/>
        <v>13.050701540177375</v>
      </c>
      <c r="N109" s="67">
        <f t="shared" si="3"/>
        <v>318.70304964851397</v>
      </c>
      <c r="O109" s="67">
        <f t="shared" si="3"/>
        <v>0</v>
      </c>
      <c r="P109" s="67">
        <f t="shared" si="3"/>
        <v>0.31075997324789129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I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ref="K110:O110" si="5">COUNT(K9:K104)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COUNT(P9:P104)+34</f>
        <v>96</v>
      </c>
      <c r="Q110" s="66">
        <f>COUNT(Q9:Q104)+96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822</v>
      </c>
      <c r="B9" s="64">
        <v>24.09</v>
      </c>
      <c r="C9" s="64">
        <v>88.66</v>
      </c>
      <c r="D9" s="64">
        <v>132.72999999999999</v>
      </c>
      <c r="E9" s="64">
        <v>5.9</v>
      </c>
      <c r="F9" s="64">
        <v>6.75</v>
      </c>
      <c r="G9" s="64">
        <v>98.27</v>
      </c>
      <c r="H9" s="64">
        <v>50.33</v>
      </c>
      <c r="I9" s="64">
        <v>4.1100000000000003</v>
      </c>
      <c r="J9" s="64">
        <v>0.28999999999999998</v>
      </c>
      <c r="K9" s="64">
        <v>213.83</v>
      </c>
      <c r="L9" s="64">
        <v>23.15</v>
      </c>
      <c r="M9" s="64">
        <v>42.05</v>
      </c>
      <c r="N9" s="64">
        <v>33.5</v>
      </c>
      <c r="O9" s="64">
        <v>0</v>
      </c>
      <c r="P9" s="64">
        <v>1.18</v>
      </c>
      <c r="Q9" s="210" t="s">
        <v>36</v>
      </c>
      <c r="R9" s="198"/>
      <c r="S9" s="198"/>
      <c r="T9" s="198"/>
      <c r="U9" s="198"/>
    </row>
    <row r="10" spans="1:21" s="12" customFormat="1" x14ac:dyDescent="0.25">
      <c r="A10" s="215" t="s">
        <v>823</v>
      </c>
      <c r="B10" s="64">
        <v>22.54</v>
      </c>
      <c r="C10" s="64">
        <v>83.25</v>
      </c>
      <c r="D10" s="64">
        <v>124.73</v>
      </c>
      <c r="E10" s="64">
        <v>5.86</v>
      </c>
      <c r="F10" s="64">
        <v>7.86</v>
      </c>
      <c r="G10" s="64">
        <v>98.27</v>
      </c>
      <c r="H10" s="64">
        <v>50.33</v>
      </c>
      <c r="I10" s="64">
        <v>4.25</v>
      </c>
      <c r="J10" s="64">
        <v>0.36</v>
      </c>
      <c r="K10" s="64">
        <v>194.72</v>
      </c>
      <c r="L10" s="64">
        <v>22.77</v>
      </c>
      <c r="M10" s="64">
        <v>42.94</v>
      </c>
      <c r="N10" s="64">
        <v>33.5</v>
      </c>
      <c r="O10" s="64">
        <v>0</v>
      </c>
      <c r="P10" s="64">
        <v>1.1399999999999999</v>
      </c>
      <c r="Q10" s="210" t="s">
        <v>36</v>
      </c>
      <c r="R10" s="198"/>
      <c r="S10" s="198"/>
      <c r="T10" s="198"/>
      <c r="U10" s="198"/>
    </row>
    <row r="11" spans="1:21" s="12" customFormat="1" x14ac:dyDescent="0.25">
      <c r="A11" s="215" t="s">
        <v>824</v>
      </c>
      <c r="B11" s="64">
        <v>51.11</v>
      </c>
      <c r="C11" s="64">
        <v>111.62</v>
      </c>
      <c r="D11" s="64">
        <v>135.19</v>
      </c>
      <c r="E11" s="64">
        <v>6.04</v>
      </c>
      <c r="F11" s="64">
        <v>7.33</v>
      </c>
      <c r="G11" s="64">
        <v>98.64</v>
      </c>
      <c r="H11" s="64">
        <v>53.17</v>
      </c>
      <c r="I11" s="64">
        <v>3.96</v>
      </c>
      <c r="J11" s="64">
        <v>0.17</v>
      </c>
      <c r="K11" s="64">
        <v>284.33999999999997</v>
      </c>
      <c r="L11" s="64">
        <v>22.48</v>
      </c>
      <c r="M11" s="64">
        <v>45.06</v>
      </c>
      <c r="N11" s="64">
        <v>34</v>
      </c>
      <c r="O11" s="64">
        <v>0</v>
      </c>
      <c r="P11" s="64">
        <v>1.4</v>
      </c>
      <c r="Q11" s="210" t="s">
        <v>36</v>
      </c>
      <c r="R11" s="198"/>
      <c r="S11" s="198"/>
      <c r="T11" s="198"/>
      <c r="U11" s="198"/>
    </row>
    <row r="12" spans="1:21" s="12" customFormat="1" x14ac:dyDescent="0.25">
      <c r="A12" s="215" t="s">
        <v>825</v>
      </c>
      <c r="B12" s="64">
        <v>42.91</v>
      </c>
      <c r="C12" s="64">
        <v>99.17</v>
      </c>
      <c r="D12" s="64">
        <v>123.95</v>
      </c>
      <c r="E12" s="64">
        <v>5.77</v>
      </c>
      <c r="F12" s="64">
        <v>6.77</v>
      </c>
      <c r="G12" s="64">
        <v>99.02</v>
      </c>
      <c r="H12" s="64">
        <v>56.14</v>
      </c>
      <c r="I12" s="64">
        <v>4.03</v>
      </c>
      <c r="J12" s="64">
        <v>0.31</v>
      </c>
      <c r="K12" s="64">
        <v>289.18</v>
      </c>
      <c r="L12" s="64">
        <v>22.15</v>
      </c>
      <c r="M12" s="64">
        <v>47.64</v>
      </c>
      <c r="N12" s="64">
        <v>33.9</v>
      </c>
      <c r="O12" s="64">
        <v>0</v>
      </c>
      <c r="P12" s="64">
        <v>1.32</v>
      </c>
      <c r="Q12" s="210" t="s">
        <v>36</v>
      </c>
      <c r="R12" s="198"/>
      <c r="S12" s="198"/>
      <c r="T12" s="198"/>
      <c r="U12" s="198"/>
    </row>
    <row r="13" spans="1:21" s="12" customFormat="1" x14ac:dyDescent="0.25">
      <c r="A13" s="215" t="s">
        <v>826</v>
      </c>
      <c r="B13" s="64">
        <v>56.99</v>
      </c>
      <c r="C13" s="64">
        <v>114.12</v>
      </c>
      <c r="D13" s="64">
        <v>130.94999999999999</v>
      </c>
      <c r="E13" s="64">
        <v>5.27</v>
      </c>
      <c r="F13" s="64">
        <v>6.46</v>
      </c>
      <c r="G13" s="64">
        <v>99.02</v>
      </c>
      <c r="H13" s="64">
        <v>56.14</v>
      </c>
      <c r="I13" s="64">
        <v>3.99</v>
      </c>
      <c r="J13" s="64">
        <v>0.35</v>
      </c>
      <c r="K13" s="64">
        <v>38.74</v>
      </c>
      <c r="L13" s="64">
        <v>21.63</v>
      </c>
      <c r="M13" s="64">
        <v>48.29</v>
      </c>
      <c r="N13" s="64">
        <v>34.1</v>
      </c>
      <c r="O13" s="64">
        <v>0</v>
      </c>
      <c r="P13" s="64">
        <v>1.26</v>
      </c>
      <c r="Q13" s="210" t="s">
        <v>36</v>
      </c>
      <c r="R13" s="198"/>
      <c r="S13" s="198"/>
      <c r="T13" s="198"/>
      <c r="U13" s="198"/>
    </row>
    <row r="14" spans="1:21" s="12" customFormat="1" x14ac:dyDescent="0.25">
      <c r="A14" s="215" t="s">
        <v>827</v>
      </c>
      <c r="B14" s="64">
        <v>45.06</v>
      </c>
      <c r="C14" s="64">
        <v>92.05</v>
      </c>
      <c r="D14" s="64">
        <v>107.02</v>
      </c>
      <c r="E14" s="64">
        <v>4.95</v>
      </c>
      <c r="F14" s="64">
        <v>6.37</v>
      </c>
      <c r="G14" s="64">
        <v>99.02</v>
      </c>
      <c r="H14" s="64">
        <v>56.14</v>
      </c>
      <c r="I14" s="64">
        <v>4.05</v>
      </c>
      <c r="J14" s="64">
        <v>0.21</v>
      </c>
      <c r="K14" s="64">
        <v>239.65</v>
      </c>
      <c r="L14" s="64">
        <v>21.45</v>
      </c>
      <c r="M14" s="64">
        <v>49.09</v>
      </c>
      <c r="N14" s="64">
        <v>33.299999999999997</v>
      </c>
      <c r="O14" s="64">
        <v>0</v>
      </c>
      <c r="P14" s="64">
        <v>1.17</v>
      </c>
      <c r="Q14" s="210" t="s">
        <v>36</v>
      </c>
      <c r="R14" s="198"/>
      <c r="S14" s="198"/>
      <c r="T14" s="198"/>
      <c r="U14" s="198"/>
    </row>
    <row r="15" spans="1:21" s="12" customFormat="1" x14ac:dyDescent="0.25">
      <c r="A15" s="215" t="s">
        <v>828</v>
      </c>
      <c r="B15" s="64">
        <v>47.28</v>
      </c>
      <c r="C15" s="64">
        <v>90.3</v>
      </c>
      <c r="D15" s="64">
        <v>100.26</v>
      </c>
      <c r="E15" s="64">
        <v>4.09</v>
      </c>
      <c r="F15" s="64">
        <v>6.92</v>
      </c>
      <c r="G15" s="64">
        <v>99.52</v>
      </c>
      <c r="H15" s="64">
        <v>48.89</v>
      </c>
      <c r="I15" s="64">
        <v>4.0599999999999996</v>
      </c>
      <c r="J15" s="64">
        <v>0.56999999999999995</v>
      </c>
      <c r="K15" s="64">
        <v>341.63</v>
      </c>
      <c r="L15" s="64">
        <v>21.47</v>
      </c>
      <c r="M15" s="64">
        <v>50.92</v>
      </c>
      <c r="N15" s="64">
        <v>34.1</v>
      </c>
      <c r="O15" s="64">
        <v>0</v>
      </c>
      <c r="P15" s="64">
        <v>1.1299999999999999</v>
      </c>
      <c r="Q15" s="210" t="s">
        <v>36</v>
      </c>
      <c r="R15" s="198"/>
      <c r="S15" s="198"/>
      <c r="T15" s="198"/>
      <c r="U15" s="198"/>
    </row>
    <row r="16" spans="1:21" s="12" customFormat="1" x14ac:dyDescent="0.25">
      <c r="A16" s="215" t="s">
        <v>829</v>
      </c>
      <c r="B16" s="64">
        <v>42.62</v>
      </c>
      <c r="C16" s="64">
        <v>86.82</v>
      </c>
      <c r="D16" s="64">
        <v>100.75</v>
      </c>
      <c r="E16" s="64">
        <v>4.1100000000000003</v>
      </c>
      <c r="F16" s="64">
        <v>7.16</v>
      </c>
      <c r="G16" s="64">
        <v>100.06</v>
      </c>
      <c r="H16" s="64">
        <v>40.97</v>
      </c>
      <c r="I16" s="64">
        <v>3.96</v>
      </c>
      <c r="J16" s="64">
        <v>0.31</v>
      </c>
      <c r="K16" s="64">
        <v>180.74</v>
      </c>
      <c r="L16" s="64">
        <v>21.05</v>
      </c>
      <c r="M16" s="64">
        <v>50.73</v>
      </c>
      <c r="N16" s="64">
        <v>32.799999999999997</v>
      </c>
      <c r="O16" s="64">
        <v>0</v>
      </c>
      <c r="P16" s="64">
        <v>1.1499999999999999</v>
      </c>
      <c r="Q16" s="210" t="s">
        <v>36</v>
      </c>
      <c r="R16" s="198"/>
      <c r="S16" s="198"/>
      <c r="T16" s="198"/>
      <c r="U16" s="198"/>
    </row>
    <row r="17" spans="1:21" s="12" customFormat="1" x14ac:dyDescent="0.25">
      <c r="A17" s="215" t="s">
        <v>830</v>
      </c>
      <c r="B17" s="64">
        <v>43.88</v>
      </c>
      <c r="C17" s="64">
        <v>85.44</v>
      </c>
      <c r="D17" s="64">
        <v>96.18</v>
      </c>
      <c r="E17" s="64">
        <v>3.51</v>
      </c>
      <c r="F17" s="64">
        <v>6.83</v>
      </c>
      <c r="G17" s="64">
        <v>100.06</v>
      </c>
      <c r="H17" s="64">
        <v>40.97</v>
      </c>
      <c r="I17" s="64">
        <v>4.09</v>
      </c>
      <c r="J17" s="64">
        <v>0.33</v>
      </c>
      <c r="K17" s="64">
        <v>266.27999999999997</v>
      </c>
      <c r="L17" s="64">
        <v>21.74</v>
      </c>
      <c r="M17" s="64">
        <v>48.02</v>
      </c>
      <c r="N17" s="64">
        <v>33.6</v>
      </c>
      <c r="O17" s="64">
        <v>0</v>
      </c>
      <c r="P17" s="64">
        <v>1.1000000000000001</v>
      </c>
      <c r="Q17" s="210" t="s">
        <v>36</v>
      </c>
      <c r="R17" s="198"/>
      <c r="S17" s="198"/>
      <c r="T17" s="198"/>
      <c r="U17" s="198"/>
    </row>
    <row r="18" spans="1:21" s="12" customFormat="1" x14ac:dyDescent="0.25">
      <c r="A18" s="215" t="s">
        <v>831</v>
      </c>
      <c r="B18" s="64">
        <v>33.15</v>
      </c>
      <c r="C18" s="64">
        <v>77.959999999999994</v>
      </c>
      <c r="D18" s="64">
        <v>98.32</v>
      </c>
      <c r="E18" s="64">
        <v>3.37</v>
      </c>
      <c r="F18" s="64">
        <v>7.6</v>
      </c>
      <c r="G18" s="64">
        <v>100.06</v>
      </c>
      <c r="H18" s="64">
        <v>40.97</v>
      </c>
      <c r="I18" s="64">
        <v>4.05</v>
      </c>
      <c r="J18" s="64">
        <v>0.39</v>
      </c>
      <c r="K18" s="64">
        <v>349.42</v>
      </c>
      <c r="L18" s="64">
        <v>21.24</v>
      </c>
      <c r="M18" s="64">
        <v>50.14</v>
      </c>
      <c r="N18" s="64">
        <v>33.9</v>
      </c>
      <c r="O18" s="64">
        <v>0</v>
      </c>
      <c r="P18" s="64">
        <v>1.04</v>
      </c>
      <c r="Q18" s="210" t="s">
        <v>36</v>
      </c>
      <c r="R18" s="198"/>
      <c r="S18" s="198"/>
      <c r="T18" s="198"/>
      <c r="U18" s="198"/>
    </row>
    <row r="19" spans="1:21" s="12" customFormat="1" x14ac:dyDescent="0.25">
      <c r="A19" s="215" t="s">
        <v>832</v>
      </c>
      <c r="B19" s="64">
        <v>31.61</v>
      </c>
      <c r="C19" s="64">
        <v>75.010000000000005</v>
      </c>
      <c r="D19" s="64">
        <v>95.07</v>
      </c>
      <c r="E19" s="64">
        <v>3.33</v>
      </c>
      <c r="F19" s="64">
        <v>7.73</v>
      </c>
      <c r="G19" s="64">
        <v>98.45</v>
      </c>
      <c r="H19" s="64">
        <v>36.159999999999997</v>
      </c>
      <c r="I19" s="64">
        <v>3.94</v>
      </c>
      <c r="J19" s="64">
        <v>0.34</v>
      </c>
      <c r="K19" s="64">
        <v>244.38</v>
      </c>
      <c r="L19" s="64">
        <v>20.87</v>
      </c>
      <c r="M19" s="64">
        <v>50.2</v>
      </c>
      <c r="N19" s="64">
        <v>33.9</v>
      </c>
      <c r="O19" s="64">
        <v>0</v>
      </c>
      <c r="P19" s="64">
        <v>1.02</v>
      </c>
      <c r="Q19" s="210" t="s">
        <v>36</v>
      </c>
      <c r="R19" s="198"/>
      <c r="S19" s="198"/>
      <c r="T19" s="198"/>
      <c r="U19" s="198"/>
    </row>
    <row r="20" spans="1:21" s="12" customFormat="1" x14ac:dyDescent="0.25">
      <c r="A20" s="215" t="s">
        <v>833</v>
      </c>
      <c r="B20" s="64">
        <v>41.99</v>
      </c>
      <c r="C20" s="64">
        <v>85.67</v>
      </c>
      <c r="D20" s="64">
        <v>99.51</v>
      </c>
      <c r="E20" s="64">
        <v>3.53</v>
      </c>
      <c r="F20" s="64">
        <v>6.84</v>
      </c>
      <c r="G20" s="64">
        <v>96.69</v>
      </c>
      <c r="H20" s="64">
        <v>30.91</v>
      </c>
      <c r="I20" s="64">
        <v>3.85</v>
      </c>
      <c r="J20" s="64">
        <v>0.21</v>
      </c>
      <c r="K20" s="64">
        <v>355.74</v>
      </c>
      <c r="L20" s="64">
        <v>20.57</v>
      </c>
      <c r="M20" s="64">
        <v>55.05</v>
      </c>
      <c r="N20" s="64">
        <v>34.200000000000003</v>
      </c>
      <c r="O20" s="64">
        <v>0</v>
      </c>
      <c r="P20" s="64">
        <v>1.06</v>
      </c>
      <c r="Q20" s="210" t="s">
        <v>36</v>
      </c>
      <c r="R20" s="198"/>
      <c r="S20" s="198"/>
      <c r="T20" s="198"/>
      <c r="U20" s="198"/>
    </row>
    <row r="21" spans="1:21" s="12" customFormat="1" x14ac:dyDescent="0.25">
      <c r="A21" s="215" t="s">
        <v>834</v>
      </c>
      <c r="B21" s="64">
        <v>32.47</v>
      </c>
      <c r="C21" s="64">
        <v>79.069999999999993</v>
      </c>
      <c r="D21" s="64">
        <v>101.51</v>
      </c>
      <c r="E21" s="64">
        <v>3.31</v>
      </c>
      <c r="F21" s="64">
        <v>6.28</v>
      </c>
      <c r="G21" s="64">
        <v>96.69</v>
      </c>
      <c r="H21" s="64">
        <v>30.91</v>
      </c>
      <c r="I21" s="64">
        <v>4.07</v>
      </c>
      <c r="J21" s="64">
        <v>0.25</v>
      </c>
      <c r="K21" s="64">
        <v>35.82</v>
      </c>
      <c r="L21" s="64">
        <v>20.18</v>
      </c>
      <c r="M21" s="64">
        <v>54.2</v>
      </c>
      <c r="N21" s="64">
        <v>34.1</v>
      </c>
      <c r="O21" s="64">
        <v>0</v>
      </c>
      <c r="P21" s="64">
        <v>1.01</v>
      </c>
      <c r="Q21" s="210" t="s">
        <v>36</v>
      </c>
      <c r="R21" s="198"/>
      <c r="S21" s="198"/>
      <c r="T21" s="198"/>
      <c r="U21" s="198"/>
    </row>
    <row r="22" spans="1:21" s="12" customFormat="1" x14ac:dyDescent="0.25">
      <c r="A22" s="215" t="s">
        <v>835</v>
      </c>
      <c r="B22" s="64">
        <v>48.89</v>
      </c>
      <c r="C22" s="64">
        <v>91.63</v>
      </c>
      <c r="D22" s="64">
        <v>100.34</v>
      </c>
      <c r="E22" s="64">
        <v>3.36</v>
      </c>
      <c r="F22" s="64">
        <v>6.77</v>
      </c>
      <c r="G22" s="64">
        <v>96.69</v>
      </c>
      <c r="H22" s="64">
        <v>30.91</v>
      </c>
      <c r="I22" s="64">
        <v>4</v>
      </c>
      <c r="J22" s="64">
        <v>0.13</v>
      </c>
      <c r="K22" s="64">
        <v>212.46</v>
      </c>
      <c r="L22" s="64">
        <v>19.98</v>
      </c>
      <c r="M22" s="64">
        <v>56.62</v>
      </c>
      <c r="N22" s="64">
        <v>34</v>
      </c>
      <c r="O22" s="64">
        <v>0</v>
      </c>
      <c r="P22" s="64">
        <v>1.04</v>
      </c>
      <c r="Q22" s="210" t="s">
        <v>36</v>
      </c>
      <c r="R22" s="198"/>
      <c r="S22" s="198"/>
      <c r="T22" s="198"/>
      <c r="U22" s="198"/>
    </row>
    <row r="23" spans="1:21" s="12" customFormat="1" x14ac:dyDescent="0.25">
      <c r="A23" s="215" t="s">
        <v>836</v>
      </c>
      <c r="B23" s="64">
        <v>38.840000000000003</v>
      </c>
      <c r="C23" s="64">
        <v>82.44</v>
      </c>
      <c r="D23" s="64">
        <v>98.17</v>
      </c>
      <c r="E23" s="64">
        <v>2.82</v>
      </c>
      <c r="F23" s="64">
        <v>6.23</v>
      </c>
      <c r="G23" s="64">
        <v>96.73</v>
      </c>
      <c r="H23" s="64">
        <v>28.29</v>
      </c>
      <c r="I23" s="64">
        <v>3.92</v>
      </c>
      <c r="J23" s="64">
        <v>0.04</v>
      </c>
      <c r="K23" s="64">
        <v>346.22</v>
      </c>
      <c r="L23" s="64">
        <v>19.670000000000002</v>
      </c>
      <c r="M23" s="64">
        <v>57.07</v>
      </c>
      <c r="N23" s="64">
        <v>33.799999999999997</v>
      </c>
      <c r="O23" s="64">
        <v>0</v>
      </c>
      <c r="P23" s="64">
        <v>0.98</v>
      </c>
      <c r="Q23" s="210" t="s">
        <v>36</v>
      </c>
      <c r="R23" s="198"/>
      <c r="S23" s="198"/>
      <c r="T23" s="198"/>
      <c r="U23" s="198"/>
    </row>
    <row r="24" spans="1:21" s="12" customFormat="1" x14ac:dyDescent="0.25">
      <c r="A24" s="215" t="s">
        <v>837</v>
      </c>
      <c r="B24" s="64">
        <v>37.42</v>
      </c>
      <c r="C24" s="64">
        <v>80.2</v>
      </c>
      <c r="D24" s="64">
        <v>96.07</v>
      </c>
      <c r="E24" s="64">
        <v>3.32</v>
      </c>
      <c r="F24" s="64">
        <v>6.5</v>
      </c>
      <c r="G24" s="64">
        <v>96.78</v>
      </c>
      <c r="H24" s="64">
        <v>25.43</v>
      </c>
      <c r="I24" s="64">
        <v>4.03</v>
      </c>
      <c r="J24" s="64">
        <v>0.48</v>
      </c>
      <c r="K24" s="64">
        <v>294.88</v>
      </c>
      <c r="L24" s="64">
        <v>19.600000000000001</v>
      </c>
      <c r="M24" s="64">
        <v>56.69</v>
      </c>
      <c r="N24" s="64">
        <v>34.1</v>
      </c>
      <c r="O24" s="64">
        <v>0</v>
      </c>
      <c r="P24" s="64">
        <v>0.92</v>
      </c>
      <c r="Q24" s="210" t="s">
        <v>36</v>
      </c>
      <c r="R24" s="198"/>
      <c r="S24" s="198"/>
      <c r="T24" s="198"/>
      <c r="U24" s="198"/>
    </row>
    <row r="25" spans="1:21" s="12" customFormat="1" x14ac:dyDescent="0.25">
      <c r="A25" s="215" t="s">
        <v>838</v>
      </c>
      <c r="B25" s="64">
        <v>65.760000000000005</v>
      </c>
      <c r="C25" s="64">
        <v>102.8</v>
      </c>
      <c r="D25" s="64">
        <v>95.83</v>
      </c>
      <c r="E25" s="64">
        <v>3.47</v>
      </c>
      <c r="F25" s="64">
        <v>7.08</v>
      </c>
      <c r="G25" s="64">
        <v>96.78</v>
      </c>
      <c r="H25" s="64">
        <v>25.43</v>
      </c>
      <c r="I25" s="64">
        <v>4.07</v>
      </c>
      <c r="J25" s="64">
        <v>0.35</v>
      </c>
      <c r="K25" s="64">
        <v>286.68</v>
      </c>
      <c r="L25" s="64">
        <v>19.420000000000002</v>
      </c>
      <c r="M25" s="64">
        <v>57.71</v>
      </c>
      <c r="N25" s="64">
        <v>34</v>
      </c>
      <c r="O25" s="64">
        <v>0</v>
      </c>
      <c r="P25" s="64">
        <v>0.94</v>
      </c>
      <c r="Q25" s="210" t="s">
        <v>36</v>
      </c>
      <c r="R25" s="198"/>
      <c r="S25" s="198"/>
      <c r="T25" s="198"/>
      <c r="U25" s="198"/>
    </row>
    <row r="26" spans="1:21" s="12" customFormat="1" x14ac:dyDescent="0.25">
      <c r="A26" s="215" t="s">
        <v>839</v>
      </c>
      <c r="B26" s="64">
        <v>65.260000000000005</v>
      </c>
      <c r="C26" s="64">
        <v>104.36</v>
      </c>
      <c r="D26" s="64">
        <v>99.57</v>
      </c>
      <c r="E26" s="64">
        <v>3.18</v>
      </c>
      <c r="F26" s="64">
        <v>6.53</v>
      </c>
      <c r="G26" s="64">
        <v>96.78</v>
      </c>
      <c r="H26" s="64">
        <v>25.43</v>
      </c>
      <c r="I26" s="64">
        <v>4.04</v>
      </c>
      <c r="J26" s="64">
        <v>0.17</v>
      </c>
      <c r="K26" s="64">
        <v>168.12</v>
      </c>
      <c r="L26" s="64">
        <v>19.48</v>
      </c>
      <c r="M26" s="64">
        <v>55.24</v>
      </c>
      <c r="N26" s="64">
        <v>33.4</v>
      </c>
      <c r="O26" s="64">
        <v>0</v>
      </c>
      <c r="P26" s="64">
        <v>0.92</v>
      </c>
      <c r="Q26" s="210" t="s">
        <v>36</v>
      </c>
      <c r="R26" s="198"/>
      <c r="S26" s="198"/>
      <c r="T26" s="198"/>
      <c r="U26" s="198"/>
    </row>
    <row r="27" spans="1:21" s="12" customFormat="1" x14ac:dyDescent="0.25">
      <c r="A27" s="215" t="s">
        <v>840</v>
      </c>
      <c r="B27" s="64">
        <v>33.369999999999997</v>
      </c>
      <c r="C27" s="64">
        <v>77.790000000000006</v>
      </c>
      <c r="D27" s="64">
        <v>97.67</v>
      </c>
      <c r="E27" s="64">
        <v>3.49</v>
      </c>
      <c r="F27" s="64">
        <v>8.56</v>
      </c>
      <c r="G27" s="64">
        <v>95.88</v>
      </c>
      <c r="H27" s="64">
        <v>26.58</v>
      </c>
      <c r="I27" s="64">
        <v>4.0599999999999996</v>
      </c>
      <c r="J27" s="64">
        <v>0.57999999999999996</v>
      </c>
      <c r="K27" s="64">
        <v>185.81</v>
      </c>
      <c r="L27" s="64">
        <v>21.22</v>
      </c>
      <c r="M27" s="64">
        <v>41.95</v>
      </c>
      <c r="N27" s="64">
        <v>31.6</v>
      </c>
      <c r="O27" s="64">
        <v>0</v>
      </c>
      <c r="P27" s="64">
        <v>0.88</v>
      </c>
      <c r="Q27" s="210" t="s">
        <v>36</v>
      </c>
      <c r="R27" s="198"/>
      <c r="S27" s="198"/>
      <c r="T27" s="198"/>
      <c r="U27" s="198"/>
    </row>
    <row r="28" spans="1:21" s="12" customFormat="1" x14ac:dyDescent="0.25">
      <c r="A28" s="215" t="s">
        <v>841</v>
      </c>
      <c r="B28" s="64">
        <v>35.76</v>
      </c>
      <c r="C28" s="64">
        <v>74.540000000000006</v>
      </c>
      <c r="D28" s="64">
        <v>87.79</v>
      </c>
      <c r="E28" s="64">
        <v>3.74</v>
      </c>
      <c r="F28" s="64">
        <v>8.1</v>
      </c>
      <c r="G28" s="64">
        <v>94.89</v>
      </c>
      <c r="H28" s="64">
        <v>27.84</v>
      </c>
      <c r="I28" s="64">
        <v>3.99</v>
      </c>
      <c r="J28" s="64">
        <v>0.72</v>
      </c>
      <c r="K28" s="64">
        <v>201.98</v>
      </c>
      <c r="L28" s="64">
        <v>21.43</v>
      </c>
      <c r="M28" s="64">
        <v>41.01</v>
      </c>
      <c r="N28" s="64">
        <v>32.9</v>
      </c>
      <c r="O28" s="64">
        <v>0</v>
      </c>
      <c r="P28" s="64">
        <v>0.95</v>
      </c>
      <c r="Q28" s="210" t="s">
        <v>36</v>
      </c>
      <c r="R28" s="198"/>
      <c r="S28" s="198"/>
      <c r="T28" s="198"/>
      <c r="U28" s="198"/>
    </row>
    <row r="29" spans="1:21" s="12" customFormat="1" x14ac:dyDescent="0.25">
      <c r="A29" s="215" t="s">
        <v>842</v>
      </c>
      <c r="B29" s="64">
        <v>34.14</v>
      </c>
      <c r="C29" s="64">
        <v>73.81</v>
      </c>
      <c r="D29" s="64">
        <v>88.87</v>
      </c>
      <c r="E29" s="64">
        <v>4.34</v>
      </c>
      <c r="F29" s="64">
        <v>9.5299999999999994</v>
      </c>
      <c r="G29" s="64">
        <v>94.89</v>
      </c>
      <c r="H29" s="64">
        <v>27.84</v>
      </c>
      <c r="I29" s="64">
        <v>3.99</v>
      </c>
      <c r="J29" s="64">
        <v>0.51</v>
      </c>
      <c r="K29" s="64">
        <v>170.08</v>
      </c>
      <c r="L29" s="64">
        <v>21.43</v>
      </c>
      <c r="M29" s="64">
        <v>41.25</v>
      </c>
      <c r="N29" s="64">
        <v>33.5</v>
      </c>
      <c r="O29" s="64">
        <v>0</v>
      </c>
      <c r="P29" s="64">
        <v>0.93</v>
      </c>
      <c r="Q29" s="210" t="s">
        <v>36</v>
      </c>
      <c r="R29" s="198"/>
      <c r="S29" s="198"/>
      <c r="T29" s="198"/>
      <c r="U29" s="198"/>
    </row>
    <row r="30" spans="1:21" s="12" customFormat="1" x14ac:dyDescent="0.25">
      <c r="A30" s="215" t="s">
        <v>843</v>
      </c>
      <c r="B30" s="64">
        <v>38.92</v>
      </c>
      <c r="C30" s="64">
        <v>73.95</v>
      </c>
      <c r="D30" s="64">
        <v>81.8</v>
      </c>
      <c r="E30" s="64">
        <v>3.67</v>
      </c>
      <c r="F30" s="64">
        <v>8.85</v>
      </c>
      <c r="G30" s="64">
        <v>94.89</v>
      </c>
      <c r="H30" s="64">
        <v>27.84</v>
      </c>
      <c r="I30" s="64">
        <v>3.96</v>
      </c>
      <c r="J30" s="64">
        <v>1.1299999999999999</v>
      </c>
      <c r="K30" s="64">
        <v>180.31</v>
      </c>
      <c r="L30" s="64">
        <v>21.29</v>
      </c>
      <c r="M30" s="64">
        <v>42.17</v>
      </c>
      <c r="N30" s="64">
        <v>33.4</v>
      </c>
      <c r="O30" s="64">
        <v>0</v>
      </c>
      <c r="P30" s="64">
        <v>0.93</v>
      </c>
      <c r="Q30" s="210" t="s">
        <v>36</v>
      </c>
      <c r="R30" s="198"/>
      <c r="S30" s="198"/>
      <c r="T30" s="198"/>
      <c r="U30" s="198"/>
    </row>
    <row r="31" spans="1:21" s="12" customFormat="1" x14ac:dyDescent="0.25">
      <c r="A31" s="215" t="s">
        <v>844</v>
      </c>
      <c r="B31" s="64">
        <v>37.979999999999997</v>
      </c>
      <c r="C31" s="64">
        <v>73.22</v>
      </c>
      <c r="D31" s="64">
        <v>81.84</v>
      </c>
      <c r="E31" s="64">
        <v>3.51</v>
      </c>
      <c r="F31" s="64">
        <v>7.38</v>
      </c>
      <c r="G31" s="64">
        <v>89.33</v>
      </c>
      <c r="H31" s="64">
        <v>30.23</v>
      </c>
      <c r="I31" s="64">
        <v>3.97</v>
      </c>
      <c r="J31" s="64">
        <v>1.52</v>
      </c>
      <c r="K31" s="64">
        <v>160.71</v>
      </c>
      <c r="L31" s="64">
        <v>21.11</v>
      </c>
      <c r="M31" s="64">
        <v>43.97</v>
      </c>
      <c r="N31" s="64">
        <v>35.1</v>
      </c>
      <c r="O31" s="64">
        <v>0</v>
      </c>
      <c r="P31" s="64">
        <v>0.93</v>
      </c>
      <c r="Q31" s="210" t="s">
        <v>36</v>
      </c>
      <c r="R31" s="198"/>
      <c r="S31" s="198"/>
      <c r="T31" s="198"/>
      <c r="U31" s="198"/>
    </row>
    <row r="32" spans="1:21" s="12" customFormat="1" x14ac:dyDescent="0.25">
      <c r="A32" s="215" t="s">
        <v>845</v>
      </c>
      <c r="B32" s="64">
        <v>37.51</v>
      </c>
      <c r="C32" s="64">
        <v>73.540000000000006</v>
      </c>
      <c r="D32" s="64">
        <v>83.18</v>
      </c>
      <c r="E32" s="64">
        <v>3.32</v>
      </c>
      <c r="F32" s="64">
        <v>6.79</v>
      </c>
      <c r="G32" s="64">
        <v>83.25</v>
      </c>
      <c r="H32" s="64">
        <v>32.85</v>
      </c>
      <c r="I32" s="64">
        <v>4.08</v>
      </c>
      <c r="J32" s="64">
        <v>0.83</v>
      </c>
      <c r="K32" s="64">
        <v>181.08</v>
      </c>
      <c r="L32" s="64">
        <v>20.350000000000001</v>
      </c>
      <c r="M32" s="64">
        <v>48.21</v>
      </c>
      <c r="N32" s="64">
        <v>42.8</v>
      </c>
      <c r="O32" s="64">
        <v>0</v>
      </c>
      <c r="P32" s="64">
        <v>0.91</v>
      </c>
      <c r="Q32" s="210" t="s">
        <v>36</v>
      </c>
      <c r="R32" s="198"/>
      <c r="S32" s="198"/>
      <c r="T32" s="198"/>
      <c r="U32" s="198"/>
    </row>
    <row r="33" spans="1:21" s="12" customFormat="1" x14ac:dyDescent="0.25">
      <c r="A33" s="215" t="s">
        <v>846</v>
      </c>
      <c r="B33" s="64">
        <v>37.799999999999997</v>
      </c>
      <c r="C33" s="64">
        <v>74.2</v>
      </c>
      <c r="D33" s="64">
        <v>84.01</v>
      </c>
      <c r="E33" s="64">
        <v>3.24</v>
      </c>
      <c r="F33" s="64">
        <v>6.81</v>
      </c>
      <c r="G33" s="64">
        <v>83.25</v>
      </c>
      <c r="H33" s="64">
        <v>32.85</v>
      </c>
      <c r="I33" s="64">
        <v>4.12</v>
      </c>
      <c r="J33" s="64">
        <v>0.54</v>
      </c>
      <c r="K33" s="64">
        <v>268.57</v>
      </c>
      <c r="L33" s="64">
        <v>19.93</v>
      </c>
      <c r="M33" s="64">
        <v>50.29</v>
      </c>
      <c r="N33" s="64">
        <v>59.3</v>
      </c>
      <c r="O33" s="64">
        <v>0</v>
      </c>
      <c r="P33" s="64">
        <v>0.92</v>
      </c>
      <c r="Q33" s="210" t="s">
        <v>36</v>
      </c>
      <c r="R33" s="198"/>
      <c r="S33" s="198"/>
      <c r="T33" s="198"/>
      <c r="U33" s="198"/>
    </row>
    <row r="34" spans="1:21" s="12" customFormat="1" x14ac:dyDescent="0.25">
      <c r="A34" s="215" t="s">
        <v>847</v>
      </c>
      <c r="B34" s="64">
        <v>35.28</v>
      </c>
      <c r="C34" s="64">
        <v>72.89</v>
      </c>
      <c r="D34" s="64">
        <v>85.37</v>
      </c>
      <c r="E34" s="64">
        <v>3.18</v>
      </c>
      <c r="F34" s="64">
        <v>6.51</v>
      </c>
      <c r="G34" s="64">
        <v>83.25</v>
      </c>
      <c r="H34" s="64">
        <v>32.85</v>
      </c>
      <c r="I34" s="64">
        <v>4.09</v>
      </c>
      <c r="J34" s="64">
        <v>0.16</v>
      </c>
      <c r="K34" s="64">
        <v>262.39</v>
      </c>
      <c r="L34" s="64">
        <v>19.829999999999998</v>
      </c>
      <c r="M34" s="64">
        <v>51.74</v>
      </c>
      <c r="N34" s="64">
        <v>84.7</v>
      </c>
      <c r="O34" s="64">
        <v>0</v>
      </c>
      <c r="P34" s="64">
        <v>0.9</v>
      </c>
      <c r="Q34" s="210" t="s">
        <v>36</v>
      </c>
      <c r="R34" s="198"/>
      <c r="S34" s="198"/>
      <c r="T34" s="198"/>
      <c r="U34" s="198"/>
    </row>
    <row r="35" spans="1:21" s="12" customFormat="1" x14ac:dyDescent="0.25">
      <c r="A35" s="215" t="s">
        <v>848</v>
      </c>
      <c r="B35" s="64">
        <v>32.06</v>
      </c>
      <c r="C35" s="64">
        <v>70.55</v>
      </c>
      <c r="D35" s="64">
        <v>85.84</v>
      </c>
      <c r="E35" s="64">
        <v>3.46</v>
      </c>
      <c r="F35" s="64">
        <v>7.23</v>
      </c>
      <c r="G35" s="64">
        <v>75.510000000000005</v>
      </c>
      <c r="H35" s="64">
        <v>25.94</v>
      </c>
      <c r="I35" s="64">
        <v>3.97</v>
      </c>
      <c r="J35" s="64">
        <v>0.34</v>
      </c>
      <c r="K35" s="64">
        <v>4.95</v>
      </c>
      <c r="L35" s="64">
        <v>20.28</v>
      </c>
      <c r="M35" s="64">
        <v>51.36</v>
      </c>
      <c r="N35" s="64">
        <v>120</v>
      </c>
      <c r="O35" s="64">
        <v>0</v>
      </c>
      <c r="P35" s="64">
        <v>0.89</v>
      </c>
      <c r="Q35" s="210" t="s">
        <v>36</v>
      </c>
      <c r="R35" s="198"/>
      <c r="S35" s="198"/>
      <c r="T35" s="198"/>
      <c r="U35" s="198"/>
    </row>
    <row r="36" spans="1:21" s="12" customFormat="1" x14ac:dyDescent="0.25">
      <c r="A36" s="215" t="s">
        <v>849</v>
      </c>
      <c r="B36" s="64">
        <v>32.67</v>
      </c>
      <c r="C36" s="64">
        <v>70.959999999999994</v>
      </c>
      <c r="D36" s="64">
        <v>85.66</v>
      </c>
      <c r="E36" s="64">
        <v>2.9</v>
      </c>
      <c r="F36" s="64">
        <v>6.7</v>
      </c>
      <c r="G36" s="64">
        <v>67.040000000000006</v>
      </c>
      <c r="H36" s="64">
        <v>18.39</v>
      </c>
      <c r="I36" s="64">
        <v>4.0199999999999996</v>
      </c>
      <c r="J36" s="64">
        <v>0.76</v>
      </c>
      <c r="K36" s="64">
        <v>172.18</v>
      </c>
      <c r="L36" s="64">
        <v>21.46</v>
      </c>
      <c r="M36" s="64">
        <v>45.95</v>
      </c>
      <c r="N36" s="64">
        <v>166.1</v>
      </c>
      <c r="O36" s="64">
        <v>0</v>
      </c>
      <c r="P36" s="64">
        <v>0.89</v>
      </c>
      <c r="Q36" s="210" t="s">
        <v>36</v>
      </c>
      <c r="R36" s="198"/>
      <c r="S36" s="198"/>
      <c r="T36" s="198"/>
      <c r="U36" s="198"/>
    </row>
    <row r="37" spans="1:21" s="12" customFormat="1" x14ac:dyDescent="0.25">
      <c r="A37" s="215" t="s">
        <v>850</v>
      </c>
      <c r="B37" s="64">
        <v>32.07</v>
      </c>
      <c r="C37" s="64">
        <v>70.45</v>
      </c>
      <c r="D37" s="64">
        <v>85.61</v>
      </c>
      <c r="E37" s="64">
        <v>2.82</v>
      </c>
      <c r="F37" s="64">
        <v>6.85</v>
      </c>
      <c r="G37" s="64">
        <v>67.040000000000006</v>
      </c>
      <c r="H37" s="64">
        <v>18.39</v>
      </c>
      <c r="I37" s="64">
        <v>4.1900000000000004</v>
      </c>
      <c r="J37" s="64">
        <v>0.92</v>
      </c>
      <c r="K37" s="64">
        <v>161.97999999999999</v>
      </c>
      <c r="L37" s="64">
        <v>22.08</v>
      </c>
      <c r="M37" s="64">
        <v>43.54</v>
      </c>
      <c r="N37" s="64">
        <v>212.6</v>
      </c>
      <c r="O37" s="64">
        <v>0</v>
      </c>
      <c r="P37" s="64">
        <v>0.85</v>
      </c>
      <c r="Q37" s="210" t="s">
        <v>36</v>
      </c>
      <c r="R37" s="198"/>
      <c r="S37" s="198"/>
      <c r="T37" s="198"/>
      <c r="U37" s="198"/>
    </row>
    <row r="38" spans="1:21" s="12" customFormat="1" x14ac:dyDescent="0.25">
      <c r="A38" s="215" t="s">
        <v>851</v>
      </c>
      <c r="B38" s="64">
        <v>29.97</v>
      </c>
      <c r="C38" s="64">
        <v>68.84</v>
      </c>
      <c r="D38" s="64">
        <v>85.76</v>
      </c>
      <c r="E38" s="64">
        <v>2.5</v>
      </c>
      <c r="F38" s="64">
        <v>7.21</v>
      </c>
      <c r="G38" s="64">
        <v>67.040000000000006</v>
      </c>
      <c r="H38" s="64">
        <v>18.39</v>
      </c>
      <c r="I38" s="64">
        <v>4</v>
      </c>
      <c r="J38" s="64">
        <v>0.82</v>
      </c>
      <c r="K38" s="64">
        <v>188.08</v>
      </c>
      <c r="L38" s="64">
        <v>22.38</v>
      </c>
      <c r="M38" s="64">
        <v>42.31</v>
      </c>
      <c r="N38" s="64">
        <v>268.39999999999998</v>
      </c>
      <c r="O38" s="64">
        <v>0</v>
      </c>
      <c r="P38" s="64">
        <v>0.86</v>
      </c>
      <c r="Q38" s="210" t="s">
        <v>36</v>
      </c>
      <c r="R38" s="198"/>
      <c r="S38" s="198"/>
      <c r="T38" s="198"/>
      <c r="U38" s="198"/>
    </row>
    <row r="39" spans="1:21" s="12" customFormat="1" x14ac:dyDescent="0.25">
      <c r="A39" s="215" t="s">
        <v>852</v>
      </c>
      <c r="B39" s="64">
        <v>28.45</v>
      </c>
      <c r="C39" s="64">
        <v>68.08</v>
      </c>
      <c r="D39" s="64">
        <v>86.64</v>
      </c>
      <c r="E39" s="64">
        <v>2.85</v>
      </c>
      <c r="F39" s="64">
        <v>7.07</v>
      </c>
      <c r="G39" s="64">
        <v>66.42</v>
      </c>
      <c r="H39" s="64">
        <v>17.600000000000001</v>
      </c>
      <c r="I39" s="64">
        <v>3.97</v>
      </c>
      <c r="J39" s="64">
        <v>1.1200000000000001</v>
      </c>
      <c r="K39" s="64">
        <v>162.43</v>
      </c>
      <c r="L39" s="64">
        <v>23.44</v>
      </c>
      <c r="M39" s="64">
        <v>40.57</v>
      </c>
      <c r="N39" s="64">
        <v>332.2</v>
      </c>
      <c r="O39" s="64">
        <v>0</v>
      </c>
      <c r="P39" s="64">
        <v>0.86</v>
      </c>
      <c r="Q39" s="210" t="s">
        <v>36</v>
      </c>
      <c r="R39" s="198"/>
      <c r="S39" s="198"/>
      <c r="T39" s="198"/>
      <c r="U39" s="198"/>
    </row>
    <row r="40" spans="1:21" s="12" customFormat="1" x14ac:dyDescent="0.25">
      <c r="A40" s="215" t="s">
        <v>853</v>
      </c>
      <c r="B40" s="64">
        <v>25.84</v>
      </c>
      <c r="C40" s="64">
        <v>66.27</v>
      </c>
      <c r="D40" s="64">
        <v>87.18</v>
      </c>
      <c r="E40" s="64">
        <v>2.78</v>
      </c>
      <c r="F40" s="64">
        <v>7.07</v>
      </c>
      <c r="G40" s="64">
        <v>65.739999999999995</v>
      </c>
      <c r="H40" s="64">
        <v>16.75</v>
      </c>
      <c r="I40" s="64">
        <v>4</v>
      </c>
      <c r="J40" s="64">
        <v>0.68</v>
      </c>
      <c r="K40" s="64">
        <v>222.62</v>
      </c>
      <c r="L40" s="64">
        <v>24.89</v>
      </c>
      <c r="M40" s="64">
        <v>36.07</v>
      </c>
      <c r="N40" s="64">
        <v>390.7</v>
      </c>
      <c r="O40" s="64">
        <v>0</v>
      </c>
      <c r="P40" s="64">
        <v>0.84</v>
      </c>
      <c r="Q40" s="210" t="s">
        <v>36</v>
      </c>
      <c r="R40" s="198"/>
      <c r="S40" s="198"/>
      <c r="T40" s="198"/>
      <c r="U40" s="198"/>
    </row>
    <row r="41" spans="1:21" s="12" customFormat="1" x14ac:dyDescent="0.25">
      <c r="A41" s="215" t="s">
        <v>854</v>
      </c>
      <c r="B41" s="64">
        <v>21.86</v>
      </c>
      <c r="C41" s="64">
        <v>62.63</v>
      </c>
      <c r="D41" s="64">
        <v>86.33</v>
      </c>
      <c r="E41" s="64">
        <v>3.09</v>
      </c>
      <c r="F41" s="64">
        <v>6.67</v>
      </c>
      <c r="G41" s="64">
        <v>65.739999999999995</v>
      </c>
      <c r="H41" s="64">
        <v>16.75</v>
      </c>
      <c r="I41" s="64">
        <v>4.1900000000000004</v>
      </c>
      <c r="J41" s="64">
        <v>0.62</v>
      </c>
      <c r="K41" s="64">
        <v>206.91</v>
      </c>
      <c r="L41" s="64">
        <v>25.74</v>
      </c>
      <c r="M41" s="64">
        <v>34.130000000000003</v>
      </c>
      <c r="N41" s="64">
        <v>438</v>
      </c>
      <c r="O41" s="64">
        <v>0</v>
      </c>
      <c r="P41" s="64">
        <v>0.82</v>
      </c>
      <c r="Q41" s="210" t="s">
        <v>36</v>
      </c>
      <c r="R41" s="198"/>
      <c r="S41" s="198"/>
      <c r="T41" s="198"/>
      <c r="U41" s="198"/>
    </row>
    <row r="42" spans="1:21" s="12" customFormat="1" x14ac:dyDescent="0.25">
      <c r="A42" s="215" t="s">
        <v>855</v>
      </c>
      <c r="B42" s="64">
        <v>19.46</v>
      </c>
      <c r="C42" s="64">
        <v>61.91</v>
      </c>
      <c r="D42" s="64">
        <v>88.63</v>
      </c>
      <c r="E42" s="64">
        <v>3.15</v>
      </c>
      <c r="F42" s="64">
        <v>8.4600000000000009</v>
      </c>
      <c r="G42" s="64">
        <v>65.739999999999995</v>
      </c>
      <c r="H42" s="64">
        <v>16.75</v>
      </c>
      <c r="I42" s="64">
        <v>4.01</v>
      </c>
      <c r="J42" s="64">
        <v>0.44</v>
      </c>
      <c r="K42" s="64">
        <v>259.08</v>
      </c>
      <c r="L42" s="64">
        <v>27.65</v>
      </c>
      <c r="M42" s="64">
        <v>30.63</v>
      </c>
      <c r="N42" s="64">
        <v>477.5</v>
      </c>
      <c r="O42" s="64">
        <v>0</v>
      </c>
      <c r="P42" s="64">
        <v>0.81</v>
      </c>
      <c r="Q42" s="210" t="s">
        <v>36</v>
      </c>
      <c r="R42" s="198"/>
      <c r="S42" s="198"/>
      <c r="T42" s="198"/>
      <c r="U42" s="198"/>
    </row>
    <row r="43" spans="1:21" s="12" customFormat="1" x14ac:dyDescent="0.25">
      <c r="A43" s="215" t="s">
        <v>856</v>
      </c>
      <c r="B43" s="64">
        <v>16</v>
      </c>
      <c r="C43" s="64">
        <v>60.69</v>
      </c>
      <c r="D43" s="64">
        <v>91.59</v>
      </c>
      <c r="E43" s="64">
        <v>3.93</v>
      </c>
      <c r="F43" s="64">
        <v>9.0500000000000007</v>
      </c>
      <c r="G43" s="64">
        <v>64.89</v>
      </c>
      <c r="H43" s="64">
        <v>20.239999999999998</v>
      </c>
      <c r="I43" s="64">
        <v>4.03</v>
      </c>
      <c r="J43" s="64">
        <v>0.65</v>
      </c>
      <c r="K43" s="64">
        <v>272.14999999999998</v>
      </c>
      <c r="L43" s="64">
        <v>28.9</v>
      </c>
      <c r="M43" s="64">
        <v>27.23</v>
      </c>
      <c r="N43" s="64">
        <v>528.1</v>
      </c>
      <c r="O43" s="64">
        <v>0</v>
      </c>
      <c r="P43" s="64">
        <v>0.83</v>
      </c>
      <c r="Q43" s="210" t="s">
        <v>36</v>
      </c>
      <c r="R43" s="198"/>
      <c r="S43" s="198"/>
      <c r="T43" s="198"/>
      <c r="U43" s="198"/>
    </row>
    <row r="44" spans="1:21" s="12" customFormat="1" x14ac:dyDescent="0.25">
      <c r="A44" s="215" t="s">
        <v>857</v>
      </c>
      <c r="B44" s="64">
        <v>13.35</v>
      </c>
      <c r="C44" s="64">
        <v>59.8</v>
      </c>
      <c r="D44" s="64">
        <v>93.98</v>
      </c>
      <c r="E44" s="64">
        <v>4.68</v>
      </c>
      <c r="F44" s="64">
        <v>9.32</v>
      </c>
      <c r="G44" s="64">
        <v>63.96</v>
      </c>
      <c r="H44" s="64">
        <v>24.06</v>
      </c>
      <c r="I44" s="64">
        <v>4.03</v>
      </c>
      <c r="J44" s="64">
        <v>0.93</v>
      </c>
      <c r="K44" s="64">
        <v>289.64</v>
      </c>
      <c r="L44" s="64">
        <v>30.94</v>
      </c>
      <c r="M44" s="64">
        <v>24.9</v>
      </c>
      <c r="N44" s="64">
        <v>562</v>
      </c>
      <c r="O44" s="64">
        <v>0</v>
      </c>
      <c r="P44" s="64">
        <v>0.87</v>
      </c>
      <c r="Q44" s="210" t="s">
        <v>36</v>
      </c>
      <c r="R44" s="198"/>
      <c r="S44" s="198"/>
      <c r="T44" s="198"/>
      <c r="U44" s="198"/>
    </row>
    <row r="45" spans="1:21" s="12" customFormat="1" x14ac:dyDescent="0.25">
      <c r="A45" s="215" t="s">
        <v>858</v>
      </c>
      <c r="B45" s="64">
        <v>11.27</v>
      </c>
      <c r="C45" s="64">
        <v>61.31</v>
      </c>
      <c r="D45" s="64">
        <v>100.04</v>
      </c>
      <c r="E45" s="64">
        <v>4.8</v>
      </c>
      <c r="F45" s="64">
        <v>8.09</v>
      </c>
      <c r="G45" s="64">
        <v>63.96</v>
      </c>
      <c r="H45" s="64">
        <v>24.06</v>
      </c>
      <c r="I45" s="64">
        <v>4.08</v>
      </c>
      <c r="J45" s="64">
        <v>0.86</v>
      </c>
      <c r="K45" s="64">
        <v>285.77</v>
      </c>
      <c r="L45" s="64">
        <v>32.06</v>
      </c>
      <c r="M45" s="64">
        <v>23.61</v>
      </c>
      <c r="N45" s="64">
        <v>598.1</v>
      </c>
      <c r="O45" s="64">
        <v>0</v>
      </c>
      <c r="P45" s="64">
        <v>0.92</v>
      </c>
      <c r="Q45" s="210" t="s">
        <v>36</v>
      </c>
      <c r="R45" s="198"/>
      <c r="S45" s="198"/>
      <c r="T45" s="198"/>
      <c r="U45" s="198"/>
    </row>
    <row r="46" spans="1:21" s="12" customFormat="1" x14ac:dyDescent="0.25">
      <c r="A46" s="215" t="s">
        <v>859</v>
      </c>
      <c r="B46" s="64">
        <v>10.199999999999999</v>
      </c>
      <c r="C46" s="64">
        <v>62.22</v>
      </c>
      <c r="D46" s="64">
        <v>103.44</v>
      </c>
      <c r="E46" s="64">
        <v>4.68</v>
      </c>
      <c r="F46" s="64">
        <v>8.3699999999999992</v>
      </c>
      <c r="G46" s="64">
        <v>63.96</v>
      </c>
      <c r="H46" s="64">
        <v>24.06</v>
      </c>
      <c r="I46" s="64">
        <v>3.89</v>
      </c>
      <c r="J46" s="64">
        <v>1.1100000000000001</v>
      </c>
      <c r="K46" s="64">
        <v>295.19</v>
      </c>
      <c r="L46" s="64">
        <v>33.840000000000003</v>
      </c>
      <c r="M46" s="64">
        <v>22.98</v>
      </c>
      <c r="N46" s="64">
        <v>653.1</v>
      </c>
      <c r="O46" s="64">
        <v>0</v>
      </c>
      <c r="P46" s="64">
        <v>0.96</v>
      </c>
      <c r="Q46" s="210" t="s">
        <v>36</v>
      </c>
      <c r="R46" s="198"/>
      <c r="S46" s="198"/>
      <c r="T46" s="198"/>
      <c r="U46" s="198"/>
    </row>
    <row r="47" spans="1:21" s="12" customFormat="1" x14ac:dyDescent="0.25">
      <c r="A47" s="215" t="s">
        <v>860</v>
      </c>
      <c r="B47" s="64">
        <v>7.96</v>
      </c>
      <c r="C47" s="64">
        <v>59.03</v>
      </c>
      <c r="D47" s="64">
        <v>100.76</v>
      </c>
      <c r="E47" s="64">
        <v>5.0199999999999996</v>
      </c>
      <c r="F47" s="64">
        <v>10.46</v>
      </c>
      <c r="G47" s="64">
        <v>70.22</v>
      </c>
      <c r="H47" s="64">
        <v>24.67</v>
      </c>
      <c r="I47" s="64">
        <v>3.97</v>
      </c>
      <c r="J47" s="64">
        <v>0.79</v>
      </c>
      <c r="K47" s="64">
        <v>283.86</v>
      </c>
      <c r="L47" s="64">
        <v>33.17</v>
      </c>
      <c r="M47" s="64">
        <v>26.05</v>
      </c>
      <c r="N47" s="64">
        <v>700.1</v>
      </c>
      <c r="O47" s="64">
        <v>0</v>
      </c>
      <c r="P47" s="64">
        <v>1.01</v>
      </c>
      <c r="Q47" s="210" t="s">
        <v>36</v>
      </c>
      <c r="R47" s="198"/>
      <c r="S47" s="198"/>
      <c r="T47" s="198"/>
      <c r="U47" s="198"/>
    </row>
    <row r="48" spans="1:21" s="12" customFormat="1" x14ac:dyDescent="0.25">
      <c r="A48" s="215" t="s">
        <v>861</v>
      </c>
      <c r="B48" s="64">
        <v>5.5</v>
      </c>
      <c r="C48" s="64">
        <v>57.79</v>
      </c>
      <c r="D48" s="64">
        <v>102.17</v>
      </c>
      <c r="E48" s="64">
        <v>5.03</v>
      </c>
      <c r="F48" s="64">
        <v>10.99</v>
      </c>
      <c r="G48" s="64">
        <v>77.069999999999993</v>
      </c>
      <c r="H48" s="64">
        <v>25.33</v>
      </c>
      <c r="I48" s="64">
        <v>4.16</v>
      </c>
      <c r="J48" s="64">
        <v>0.73</v>
      </c>
      <c r="K48" s="64">
        <v>247.39</v>
      </c>
      <c r="L48" s="64">
        <v>31.49</v>
      </c>
      <c r="M48" s="64">
        <v>28.13</v>
      </c>
      <c r="N48" s="64">
        <v>748.4</v>
      </c>
      <c r="O48" s="64">
        <v>0</v>
      </c>
      <c r="P48" s="64">
        <v>0.94</v>
      </c>
      <c r="Q48" s="210" t="s">
        <v>36</v>
      </c>
      <c r="R48" s="198"/>
      <c r="S48" s="198"/>
      <c r="T48" s="198"/>
      <c r="U48" s="198"/>
    </row>
    <row r="49" spans="1:21" s="12" customFormat="1" x14ac:dyDescent="0.25">
      <c r="A49" s="215" t="s">
        <v>862</v>
      </c>
      <c r="B49" s="64">
        <v>3.56</v>
      </c>
      <c r="C49" s="64">
        <v>54.67</v>
      </c>
      <c r="D49" s="64">
        <v>99.19</v>
      </c>
      <c r="E49" s="64">
        <v>4.91</v>
      </c>
      <c r="F49" s="64">
        <v>10.38</v>
      </c>
      <c r="G49" s="64">
        <v>77.069999999999993</v>
      </c>
      <c r="H49" s="64">
        <v>25.33</v>
      </c>
      <c r="I49" s="64">
        <v>4.12</v>
      </c>
      <c r="J49" s="64">
        <v>0.72</v>
      </c>
      <c r="K49" s="64">
        <v>272.99</v>
      </c>
      <c r="L49" s="64">
        <v>32</v>
      </c>
      <c r="M49" s="64">
        <v>27.95</v>
      </c>
      <c r="N49" s="64">
        <v>791.1</v>
      </c>
      <c r="O49" s="64">
        <v>0</v>
      </c>
      <c r="P49" s="64">
        <v>0.91</v>
      </c>
      <c r="Q49" s="210" t="s">
        <v>36</v>
      </c>
      <c r="R49" s="198"/>
      <c r="S49" s="198"/>
      <c r="T49" s="198"/>
      <c r="U49" s="198"/>
    </row>
    <row r="50" spans="1:21" s="12" customFormat="1" x14ac:dyDescent="0.25">
      <c r="A50" s="215" t="s">
        <v>863</v>
      </c>
      <c r="B50" s="64">
        <v>2.74</v>
      </c>
      <c r="C50" s="64">
        <v>55.74</v>
      </c>
      <c r="D50" s="64">
        <v>102.47</v>
      </c>
      <c r="E50" s="64">
        <v>4.54</v>
      </c>
      <c r="F50" s="64">
        <v>8.89</v>
      </c>
      <c r="G50" s="64">
        <v>77.069999999999993</v>
      </c>
      <c r="H50" s="64">
        <v>25.33</v>
      </c>
      <c r="I50" s="64">
        <v>4.1399999999999997</v>
      </c>
      <c r="J50" s="64">
        <v>1.25</v>
      </c>
      <c r="K50" s="64">
        <v>290.14999999999998</v>
      </c>
      <c r="L50" s="64">
        <v>33.79</v>
      </c>
      <c r="M50" s="64">
        <v>26.05</v>
      </c>
      <c r="N50" s="64">
        <v>842.5</v>
      </c>
      <c r="O50" s="64">
        <v>0</v>
      </c>
      <c r="P50" s="64">
        <v>0.91</v>
      </c>
      <c r="Q50" s="210" t="s">
        <v>36</v>
      </c>
      <c r="R50" s="198"/>
      <c r="S50" s="198"/>
      <c r="T50" s="198"/>
      <c r="U50" s="198"/>
    </row>
    <row r="51" spans="1:21" s="12" customFormat="1" x14ac:dyDescent="0.25">
      <c r="A51" s="215" t="s">
        <v>864</v>
      </c>
      <c r="B51" s="64">
        <v>2.2400000000000002</v>
      </c>
      <c r="C51" s="64">
        <v>55.22</v>
      </c>
      <c r="D51" s="64">
        <v>102.26</v>
      </c>
      <c r="E51" s="64">
        <v>4.03</v>
      </c>
      <c r="F51" s="64">
        <v>9.6300000000000008</v>
      </c>
      <c r="G51" s="64">
        <v>77.239999999999995</v>
      </c>
      <c r="H51" s="64">
        <v>20.99</v>
      </c>
      <c r="I51" s="64">
        <v>4.01</v>
      </c>
      <c r="J51" s="64">
        <v>0.96</v>
      </c>
      <c r="K51" s="64">
        <v>280.83999999999997</v>
      </c>
      <c r="L51" s="64">
        <v>34.43</v>
      </c>
      <c r="M51" s="64">
        <v>24.49</v>
      </c>
      <c r="N51" s="64">
        <v>868.6</v>
      </c>
      <c r="O51" s="64">
        <v>0</v>
      </c>
      <c r="P51" s="64">
        <v>0.91</v>
      </c>
      <c r="Q51" s="210" t="s">
        <v>36</v>
      </c>
      <c r="R51" s="198"/>
      <c r="S51" s="198"/>
      <c r="T51" s="198"/>
      <c r="U51" s="198"/>
    </row>
    <row r="52" spans="1:21" s="12" customFormat="1" x14ac:dyDescent="0.25">
      <c r="A52" s="215" t="s">
        <v>865</v>
      </c>
      <c r="B52" s="64">
        <v>1.88</v>
      </c>
      <c r="C52" s="64">
        <v>53.67</v>
      </c>
      <c r="D52" s="64">
        <v>99.84</v>
      </c>
      <c r="E52" s="64">
        <v>3.8</v>
      </c>
      <c r="F52" s="64">
        <v>10.83</v>
      </c>
      <c r="G52" s="64">
        <v>77.42</v>
      </c>
      <c r="H52" s="64">
        <v>16.260000000000002</v>
      </c>
      <c r="I52" s="64">
        <v>4.0599999999999996</v>
      </c>
      <c r="J52" s="64">
        <v>0.84</v>
      </c>
      <c r="K52" s="64">
        <v>280.38</v>
      </c>
      <c r="L52" s="64">
        <v>34.49</v>
      </c>
      <c r="M52" s="64">
        <v>23.49</v>
      </c>
      <c r="N52" s="64">
        <v>885</v>
      </c>
      <c r="O52" s="64">
        <v>0</v>
      </c>
      <c r="P52" s="64">
        <v>0.89</v>
      </c>
      <c r="Q52" s="210" t="s">
        <v>36</v>
      </c>
      <c r="R52" s="198"/>
      <c r="S52" s="198"/>
      <c r="T52" s="198"/>
      <c r="U52" s="198"/>
    </row>
    <row r="53" spans="1:21" s="12" customFormat="1" x14ac:dyDescent="0.25">
      <c r="A53" s="215" t="s">
        <v>866</v>
      </c>
      <c r="B53" s="64">
        <v>3.08</v>
      </c>
      <c r="C53" s="64">
        <v>54.45</v>
      </c>
      <c r="D53" s="64">
        <v>99.5</v>
      </c>
      <c r="E53" s="64">
        <v>4.93</v>
      </c>
      <c r="F53" s="64">
        <v>12.37</v>
      </c>
      <c r="G53" s="64">
        <v>77.42</v>
      </c>
      <c r="H53" s="64">
        <v>16.260000000000002</v>
      </c>
      <c r="I53" s="64">
        <v>3.92</v>
      </c>
      <c r="J53" s="64">
        <v>0.63</v>
      </c>
      <c r="K53" s="64">
        <v>293.83</v>
      </c>
      <c r="L53" s="64">
        <v>34.94</v>
      </c>
      <c r="M53" s="64">
        <v>22.71</v>
      </c>
      <c r="N53" s="64">
        <v>887.6</v>
      </c>
      <c r="O53" s="64">
        <v>0</v>
      </c>
      <c r="P53" s="64">
        <v>0.87</v>
      </c>
      <c r="Q53" s="210" t="s">
        <v>36</v>
      </c>
      <c r="R53" s="198"/>
      <c r="S53" s="198"/>
      <c r="T53" s="198"/>
      <c r="U53" s="198"/>
    </row>
    <row r="54" spans="1:21" s="12" customFormat="1" x14ac:dyDescent="0.25">
      <c r="A54" s="215" t="s">
        <v>867</v>
      </c>
      <c r="B54" s="64">
        <v>2.76</v>
      </c>
      <c r="C54" s="64">
        <v>53.25</v>
      </c>
      <c r="D54" s="64">
        <v>97.69</v>
      </c>
      <c r="E54" s="64">
        <v>4.58</v>
      </c>
      <c r="F54" s="64">
        <v>9.26</v>
      </c>
      <c r="G54" s="64">
        <v>77.42</v>
      </c>
      <c r="H54" s="64">
        <v>16.260000000000002</v>
      </c>
      <c r="I54" s="64">
        <v>3.94</v>
      </c>
      <c r="J54" s="64">
        <v>0.71</v>
      </c>
      <c r="K54" s="64">
        <v>274.95</v>
      </c>
      <c r="L54" s="64">
        <v>35.25</v>
      </c>
      <c r="M54" s="64">
        <v>22.52</v>
      </c>
      <c r="N54" s="64">
        <v>911.1</v>
      </c>
      <c r="O54" s="64">
        <v>0</v>
      </c>
      <c r="P54" s="64">
        <v>0.87</v>
      </c>
      <c r="Q54" s="210" t="s">
        <v>36</v>
      </c>
      <c r="R54" s="198"/>
      <c r="S54" s="198"/>
      <c r="T54" s="198"/>
      <c r="U54" s="198"/>
    </row>
    <row r="55" spans="1:21" s="12" customFormat="1" x14ac:dyDescent="0.25">
      <c r="A55" s="215" t="s">
        <v>868</v>
      </c>
      <c r="B55" s="64">
        <v>2.63</v>
      </c>
      <c r="C55" s="64">
        <v>53.48</v>
      </c>
      <c r="D55" s="64">
        <v>98.32</v>
      </c>
      <c r="E55" s="64">
        <v>4.1900000000000004</v>
      </c>
      <c r="F55" s="64">
        <v>10.39</v>
      </c>
      <c r="G55" s="64">
        <v>74.58</v>
      </c>
      <c r="H55" s="64">
        <v>20.78</v>
      </c>
      <c r="I55" s="64">
        <v>3.96</v>
      </c>
      <c r="J55" s="64">
        <v>0.84</v>
      </c>
      <c r="K55" s="64">
        <v>286.11</v>
      </c>
      <c r="L55" s="64">
        <v>35.58</v>
      </c>
      <c r="M55" s="64">
        <v>21.72</v>
      </c>
      <c r="N55" s="64">
        <v>936</v>
      </c>
      <c r="O55" s="64">
        <v>0</v>
      </c>
      <c r="P55" s="64">
        <v>0.86</v>
      </c>
      <c r="Q55" s="210" t="s">
        <v>36</v>
      </c>
      <c r="R55" s="198"/>
      <c r="S55" s="198"/>
      <c r="T55" s="198"/>
      <c r="U55" s="198"/>
    </row>
    <row r="56" spans="1:21" s="12" customFormat="1" x14ac:dyDescent="0.25">
      <c r="A56" s="215" t="s">
        <v>869</v>
      </c>
      <c r="B56" s="64">
        <v>3.12</v>
      </c>
      <c r="C56" s="64">
        <v>52.61</v>
      </c>
      <c r="D56" s="64">
        <v>95.91</v>
      </c>
      <c r="E56" s="64">
        <v>5.93</v>
      </c>
      <c r="F56" s="64">
        <v>15.83</v>
      </c>
      <c r="G56" s="64">
        <v>71.47</v>
      </c>
      <c r="H56" s="64">
        <v>25.73</v>
      </c>
      <c r="I56" s="64">
        <v>3.96</v>
      </c>
      <c r="J56" s="64">
        <v>0.85</v>
      </c>
      <c r="K56" s="64">
        <v>302.38</v>
      </c>
      <c r="L56" s="64">
        <v>36.700000000000003</v>
      </c>
      <c r="M56" s="64">
        <v>20.8</v>
      </c>
      <c r="N56" s="64">
        <v>940.8</v>
      </c>
      <c r="O56" s="64">
        <v>0</v>
      </c>
      <c r="P56" s="64">
        <v>0.82</v>
      </c>
      <c r="Q56" s="210" t="s">
        <v>36</v>
      </c>
      <c r="R56" s="198"/>
      <c r="S56" s="198"/>
      <c r="T56" s="198"/>
      <c r="U56" s="198"/>
    </row>
    <row r="57" spans="1:21" s="12" customFormat="1" x14ac:dyDescent="0.25">
      <c r="A57" s="215" t="s">
        <v>870</v>
      </c>
      <c r="B57" s="64">
        <v>2.12</v>
      </c>
      <c r="C57" s="64">
        <v>45.65</v>
      </c>
      <c r="D57" s="64">
        <v>84.12</v>
      </c>
      <c r="E57" s="64">
        <v>7.06</v>
      </c>
      <c r="F57" s="64">
        <v>14.32</v>
      </c>
      <c r="G57" s="64">
        <v>71.47</v>
      </c>
      <c r="H57" s="64">
        <v>25.73</v>
      </c>
      <c r="I57" s="64">
        <v>4.09</v>
      </c>
      <c r="J57" s="64">
        <v>0.81</v>
      </c>
      <c r="K57" s="64">
        <v>307.5</v>
      </c>
      <c r="L57" s="64">
        <v>37.19</v>
      </c>
      <c r="M57" s="64">
        <v>20.13</v>
      </c>
      <c r="N57" s="64">
        <v>947.5</v>
      </c>
      <c r="O57" s="64">
        <v>0</v>
      </c>
      <c r="P57" s="64">
        <v>0.75</v>
      </c>
      <c r="Q57" s="210" t="s">
        <v>36</v>
      </c>
      <c r="R57" s="198"/>
      <c r="S57" s="198"/>
      <c r="T57" s="198"/>
      <c r="U57" s="198"/>
    </row>
    <row r="58" spans="1:21" s="12" customFormat="1" x14ac:dyDescent="0.25">
      <c r="A58" s="215" t="s">
        <v>871</v>
      </c>
      <c r="B58" s="64">
        <v>4.2699999999999996</v>
      </c>
      <c r="C58" s="64">
        <v>51.7</v>
      </c>
      <c r="D58" s="64">
        <v>92.4</v>
      </c>
      <c r="E58" s="64">
        <v>6.44</v>
      </c>
      <c r="F58" s="64">
        <v>19.670000000000002</v>
      </c>
      <c r="G58" s="64">
        <v>71.47</v>
      </c>
      <c r="H58" s="64">
        <v>25.73</v>
      </c>
      <c r="I58" s="64">
        <v>4.07</v>
      </c>
      <c r="J58" s="64">
        <v>0.21</v>
      </c>
      <c r="K58" s="64">
        <v>196.69</v>
      </c>
      <c r="L58" s="64">
        <v>36.590000000000003</v>
      </c>
      <c r="M58" s="64">
        <v>19.13</v>
      </c>
      <c r="N58" s="64">
        <v>946.8</v>
      </c>
      <c r="O58" s="64">
        <v>0</v>
      </c>
      <c r="P58" s="64">
        <v>0.76</v>
      </c>
      <c r="Q58" s="210" t="s">
        <v>36</v>
      </c>
      <c r="R58" s="198"/>
      <c r="S58" s="198"/>
      <c r="T58" s="198"/>
      <c r="U58" s="198"/>
    </row>
    <row r="59" spans="1:21" s="12" customFormat="1" x14ac:dyDescent="0.25">
      <c r="A59" s="215" t="s">
        <v>872</v>
      </c>
      <c r="B59" s="64">
        <v>3.11</v>
      </c>
      <c r="C59" s="64">
        <v>44.86</v>
      </c>
      <c r="D59" s="64">
        <v>81.09</v>
      </c>
      <c r="E59" s="64">
        <v>5.97</v>
      </c>
      <c r="F59" s="64">
        <v>21.02</v>
      </c>
      <c r="G59" s="64">
        <v>69.459999999999994</v>
      </c>
      <c r="H59" s="64">
        <v>18.77</v>
      </c>
      <c r="I59" s="64">
        <v>3.93</v>
      </c>
      <c r="J59" s="64">
        <v>0.35</v>
      </c>
      <c r="K59" s="64">
        <v>295.92</v>
      </c>
      <c r="L59" s="64">
        <v>36.32</v>
      </c>
      <c r="M59" s="64">
        <v>19.059999999999999</v>
      </c>
      <c r="N59" s="64">
        <v>948.6</v>
      </c>
      <c r="O59" s="64">
        <v>0</v>
      </c>
      <c r="P59" s="64">
        <v>0.67</v>
      </c>
      <c r="Q59" s="210" t="s">
        <v>36</v>
      </c>
      <c r="R59" s="198"/>
      <c r="S59" s="198"/>
      <c r="T59" s="198"/>
      <c r="U59" s="198"/>
    </row>
    <row r="60" spans="1:21" s="12" customFormat="1" x14ac:dyDescent="0.25">
      <c r="A60" s="215" t="s">
        <v>873</v>
      </c>
      <c r="B60" s="64">
        <v>3.02</v>
      </c>
      <c r="C60" s="64">
        <v>42.07</v>
      </c>
      <c r="D60" s="64">
        <v>75.87</v>
      </c>
      <c r="E60" s="64">
        <v>7.54</v>
      </c>
      <c r="F60" s="64">
        <v>21.15</v>
      </c>
      <c r="G60" s="64">
        <v>67.27</v>
      </c>
      <c r="H60" s="64">
        <v>11.16</v>
      </c>
      <c r="I60" s="64">
        <v>4.0199999999999996</v>
      </c>
      <c r="J60" s="64">
        <v>0.53</v>
      </c>
      <c r="K60" s="64">
        <v>276.69</v>
      </c>
      <c r="L60" s="64">
        <v>36.64</v>
      </c>
      <c r="M60" s="64">
        <v>17.23</v>
      </c>
      <c r="N60" s="64">
        <v>945.7</v>
      </c>
      <c r="O60" s="64">
        <v>0</v>
      </c>
      <c r="P60" s="64">
        <v>0.64</v>
      </c>
      <c r="Q60" s="210" t="s">
        <v>36</v>
      </c>
      <c r="R60" s="198"/>
      <c r="S60" s="198"/>
      <c r="T60" s="198"/>
      <c r="U60" s="198"/>
    </row>
    <row r="61" spans="1:21" s="12" customFormat="1" x14ac:dyDescent="0.25">
      <c r="A61" s="215" t="s">
        <v>874</v>
      </c>
      <c r="B61" s="64">
        <v>3.34</v>
      </c>
      <c r="C61" s="64">
        <v>42.3</v>
      </c>
      <c r="D61" s="64">
        <v>75.83</v>
      </c>
      <c r="E61" s="64">
        <v>7.45</v>
      </c>
      <c r="F61" s="64">
        <v>24.05</v>
      </c>
      <c r="G61" s="64">
        <v>67.27</v>
      </c>
      <c r="H61" s="64">
        <v>11.16</v>
      </c>
      <c r="I61" s="64">
        <v>4.05</v>
      </c>
      <c r="J61" s="64">
        <v>0.37</v>
      </c>
      <c r="K61" s="64">
        <v>204.47</v>
      </c>
      <c r="L61" s="64">
        <v>36.85</v>
      </c>
      <c r="M61" s="64">
        <v>14.84</v>
      </c>
      <c r="N61" s="64">
        <v>930.4</v>
      </c>
      <c r="O61" s="64">
        <v>0</v>
      </c>
      <c r="P61" s="64">
        <v>0.56000000000000005</v>
      </c>
      <c r="Q61" s="210" t="s">
        <v>36</v>
      </c>
      <c r="R61" s="198"/>
      <c r="S61" s="198"/>
      <c r="T61" s="198"/>
      <c r="U61" s="198"/>
    </row>
    <row r="62" spans="1:21" s="12" customFormat="1" x14ac:dyDescent="0.25">
      <c r="A62" s="215" t="s">
        <v>875</v>
      </c>
      <c r="B62" s="64">
        <v>2.69</v>
      </c>
      <c r="C62" s="64">
        <v>39.14</v>
      </c>
      <c r="D62" s="64">
        <v>70.790000000000006</v>
      </c>
      <c r="E62" s="64">
        <v>6.79</v>
      </c>
      <c r="F62" s="64">
        <v>24.11</v>
      </c>
      <c r="G62" s="64">
        <v>67.27</v>
      </c>
      <c r="H62" s="64">
        <v>11.16</v>
      </c>
      <c r="I62" s="64">
        <v>4.0199999999999996</v>
      </c>
      <c r="J62" s="64">
        <v>0.67</v>
      </c>
      <c r="K62" s="64">
        <v>176.66</v>
      </c>
      <c r="L62" s="64">
        <v>36.159999999999997</v>
      </c>
      <c r="M62" s="64">
        <v>13.53</v>
      </c>
      <c r="N62" s="64">
        <v>894.1</v>
      </c>
      <c r="O62" s="64">
        <v>0</v>
      </c>
      <c r="P62" s="64">
        <v>0.53</v>
      </c>
      <c r="Q62" s="210" t="s">
        <v>36</v>
      </c>
      <c r="R62" s="198"/>
      <c r="S62" s="198"/>
      <c r="T62" s="198"/>
      <c r="U62" s="198"/>
    </row>
    <row r="63" spans="1:21" s="12" customFormat="1" x14ac:dyDescent="0.25">
      <c r="A63" s="215" t="s">
        <v>876</v>
      </c>
      <c r="B63" s="64">
        <v>2.06</v>
      </c>
      <c r="C63" s="64">
        <v>38.46</v>
      </c>
      <c r="D63" s="64">
        <v>70.44</v>
      </c>
      <c r="E63" s="64">
        <v>5.01</v>
      </c>
      <c r="F63" s="64">
        <v>23.66</v>
      </c>
      <c r="G63" s="64">
        <v>61.51</v>
      </c>
      <c r="H63" s="64">
        <v>20.92</v>
      </c>
      <c r="I63" s="64">
        <v>4.12</v>
      </c>
      <c r="J63" s="64">
        <v>1.64</v>
      </c>
      <c r="K63" s="64">
        <v>150.47</v>
      </c>
      <c r="L63" s="64">
        <v>35.229999999999997</v>
      </c>
      <c r="M63" s="64">
        <v>14.14</v>
      </c>
      <c r="N63" s="64">
        <v>766.4</v>
      </c>
      <c r="O63" s="64">
        <v>0</v>
      </c>
      <c r="P63" s="64">
        <v>0.56999999999999995</v>
      </c>
      <c r="Q63" s="210" t="s">
        <v>36</v>
      </c>
      <c r="R63" s="198"/>
      <c r="S63" s="198"/>
      <c r="T63" s="198"/>
      <c r="U63" s="198"/>
    </row>
    <row r="64" spans="1:21" s="12" customFormat="1" x14ac:dyDescent="0.25">
      <c r="A64" s="215" t="s">
        <v>877</v>
      </c>
      <c r="B64" s="64">
        <v>5.03</v>
      </c>
      <c r="C64" s="64">
        <v>41.77</v>
      </c>
      <c r="D64" s="64">
        <v>72.23</v>
      </c>
      <c r="E64" s="64">
        <v>10.08</v>
      </c>
      <c r="F64" s="64">
        <v>28.78</v>
      </c>
      <c r="G64" s="64">
        <v>55.48</v>
      </c>
      <c r="H64" s="64">
        <v>31.6</v>
      </c>
      <c r="I64" s="64">
        <v>4.05</v>
      </c>
      <c r="J64" s="64">
        <v>0.72</v>
      </c>
      <c r="K64" s="64">
        <v>312.68</v>
      </c>
      <c r="L64" s="64">
        <v>35.92</v>
      </c>
      <c r="M64" s="64">
        <v>14.65</v>
      </c>
      <c r="N64" s="64">
        <v>568.1</v>
      </c>
      <c r="O64" s="64">
        <v>0</v>
      </c>
      <c r="P64" s="64">
        <v>0.59</v>
      </c>
      <c r="Q64" s="210" t="s">
        <v>36</v>
      </c>
      <c r="R64" s="198"/>
      <c r="S64" s="198"/>
      <c r="T64" s="198"/>
      <c r="U64" s="198"/>
    </row>
    <row r="65" spans="1:21" s="12" customFormat="1" x14ac:dyDescent="0.25">
      <c r="A65" s="215" t="s">
        <v>878</v>
      </c>
      <c r="B65" s="64">
        <v>2.5299999999999998</v>
      </c>
      <c r="C65" s="64">
        <v>44.97</v>
      </c>
      <c r="D65" s="64">
        <v>82.19</v>
      </c>
      <c r="E65" s="64">
        <v>7.23</v>
      </c>
      <c r="F65" s="64">
        <v>12.31</v>
      </c>
      <c r="G65" s="64">
        <v>55.48</v>
      </c>
      <c r="H65" s="64">
        <v>31.6</v>
      </c>
      <c r="I65" s="64">
        <v>3.97</v>
      </c>
      <c r="J65" s="64">
        <v>1.26</v>
      </c>
      <c r="K65" s="64">
        <v>288.5</v>
      </c>
      <c r="L65" s="64">
        <v>37.270000000000003</v>
      </c>
      <c r="M65" s="64">
        <v>13.61</v>
      </c>
      <c r="N65" s="64">
        <v>601</v>
      </c>
      <c r="O65" s="64">
        <v>0</v>
      </c>
      <c r="P65" s="64">
        <v>0.65</v>
      </c>
      <c r="Q65" s="210" t="s">
        <v>36</v>
      </c>
      <c r="R65" s="198"/>
      <c r="S65" s="198"/>
      <c r="T65" s="198"/>
      <c r="U65" s="198"/>
    </row>
    <row r="66" spans="1:21" s="12" customFormat="1" x14ac:dyDescent="0.25">
      <c r="A66" s="215" t="s">
        <v>879</v>
      </c>
      <c r="B66" s="64">
        <v>2.9</v>
      </c>
      <c r="C66" s="64">
        <v>44.03</v>
      </c>
      <c r="D66" s="64">
        <v>79.81</v>
      </c>
      <c r="E66" s="64">
        <v>5.28</v>
      </c>
      <c r="F66" s="64">
        <v>16.690000000000001</v>
      </c>
      <c r="G66" s="64">
        <v>55.48</v>
      </c>
      <c r="H66" s="64">
        <v>31.6</v>
      </c>
      <c r="I66" s="64">
        <v>4.01</v>
      </c>
      <c r="J66" s="64">
        <v>0.79</v>
      </c>
      <c r="K66" s="64">
        <v>276.10000000000002</v>
      </c>
      <c r="L66" s="64">
        <v>37.42</v>
      </c>
      <c r="M66" s="64">
        <v>12.8</v>
      </c>
      <c r="N66" s="64">
        <v>469.4</v>
      </c>
      <c r="O66" s="64">
        <v>0</v>
      </c>
      <c r="P66" s="64">
        <v>0.57999999999999996</v>
      </c>
      <c r="Q66" s="210" t="s">
        <v>36</v>
      </c>
      <c r="R66" s="198"/>
      <c r="S66" s="198"/>
      <c r="T66" s="198"/>
      <c r="U66" s="198"/>
    </row>
    <row r="67" spans="1:21" s="12" customFormat="1" x14ac:dyDescent="0.25">
      <c r="A67" s="215" t="s">
        <v>880</v>
      </c>
      <c r="B67" s="64">
        <v>5.37</v>
      </c>
      <c r="C67" s="64">
        <v>38.21</v>
      </c>
      <c r="D67" s="64">
        <v>64.89</v>
      </c>
      <c r="E67" s="64">
        <v>11.47</v>
      </c>
      <c r="F67" s="64">
        <v>32.21</v>
      </c>
      <c r="G67" s="64">
        <v>53.73</v>
      </c>
      <c r="H67" s="64">
        <v>23.6</v>
      </c>
      <c r="I67" s="64">
        <v>4.16</v>
      </c>
      <c r="J67" s="64">
        <v>0.36</v>
      </c>
      <c r="K67" s="64">
        <v>244.47</v>
      </c>
      <c r="L67" s="64">
        <v>36.47</v>
      </c>
      <c r="M67" s="64">
        <v>13.59</v>
      </c>
      <c r="N67" s="64">
        <v>421.2</v>
      </c>
      <c r="O67" s="64">
        <v>0</v>
      </c>
      <c r="P67" s="64">
        <v>0.43</v>
      </c>
      <c r="Q67" s="210" t="s">
        <v>36</v>
      </c>
      <c r="R67" s="198"/>
      <c r="S67" s="198"/>
      <c r="T67" s="198"/>
      <c r="U67" s="198"/>
    </row>
    <row r="68" spans="1:21" s="12" customFormat="1" x14ac:dyDescent="0.25">
      <c r="A68" s="215" t="s">
        <v>881</v>
      </c>
      <c r="B68" s="64">
        <v>6.48</v>
      </c>
      <c r="C68" s="64">
        <v>36.68</v>
      </c>
      <c r="D68" s="64">
        <v>60.27</v>
      </c>
      <c r="E68" s="64">
        <v>12.4</v>
      </c>
      <c r="F68" s="64">
        <v>33.89</v>
      </c>
      <c r="G68" s="64">
        <v>51.82</v>
      </c>
      <c r="H68" s="64">
        <v>14.87</v>
      </c>
      <c r="I68" s="64">
        <v>4.0599999999999996</v>
      </c>
      <c r="J68" s="64">
        <v>0.23</v>
      </c>
      <c r="K68" s="64">
        <v>33.270000000000003</v>
      </c>
      <c r="L68" s="64">
        <v>36.33</v>
      </c>
      <c r="M68" s="64">
        <v>13.55</v>
      </c>
      <c r="N68" s="64">
        <v>311.3</v>
      </c>
      <c r="O68" s="64">
        <v>0</v>
      </c>
      <c r="P68" s="64">
        <v>0.37</v>
      </c>
      <c r="Q68" s="210" t="s">
        <v>36</v>
      </c>
      <c r="R68" s="198"/>
      <c r="S68" s="198"/>
      <c r="T68" s="198"/>
      <c r="U68" s="198"/>
    </row>
    <row r="69" spans="1:21" s="12" customFormat="1" x14ac:dyDescent="0.25">
      <c r="A69" s="215" t="s">
        <v>882</v>
      </c>
      <c r="B69" s="64">
        <v>9.89</v>
      </c>
      <c r="C69" s="64">
        <v>46.2</v>
      </c>
      <c r="D69" s="64">
        <v>73.25</v>
      </c>
      <c r="E69" s="64">
        <v>11.17</v>
      </c>
      <c r="F69" s="64">
        <v>28.66</v>
      </c>
      <c r="G69" s="64">
        <v>51.82</v>
      </c>
      <c r="H69" s="64">
        <v>14.87</v>
      </c>
      <c r="I69" s="64">
        <v>4.1399999999999997</v>
      </c>
      <c r="J69" s="64">
        <v>1.26</v>
      </c>
      <c r="K69" s="64">
        <v>345.21</v>
      </c>
      <c r="L69" s="64">
        <v>36.83</v>
      </c>
      <c r="M69" s="64">
        <v>13.01</v>
      </c>
      <c r="N69" s="64">
        <v>354.7</v>
      </c>
      <c r="O69" s="64">
        <v>0</v>
      </c>
      <c r="P69" s="64">
        <v>0.46</v>
      </c>
      <c r="Q69" s="210" t="s">
        <v>36</v>
      </c>
      <c r="R69" s="198"/>
      <c r="S69" s="198"/>
      <c r="T69" s="198"/>
      <c r="U69" s="198"/>
    </row>
    <row r="70" spans="1:21" s="12" customFormat="1" x14ac:dyDescent="0.25">
      <c r="A70" s="215" t="s">
        <v>883</v>
      </c>
      <c r="B70" s="64">
        <v>4.79</v>
      </c>
      <c r="C70" s="64">
        <v>40.11</v>
      </c>
      <c r="D70" s="64">
        <v>69.430000000000007</v>
      </c>
      <c r="E70" s="64">
        <v>8.1300000000000008</v>
      </c>
      <c r="F70" s="64">
        <v>27.53</v>
      </c>
      <c r="G70" s="64">
        <v>51.82</v>
      </c>
      <c r="H70" s="64">
        <v>14.87</v>
      </c>
      <c r="I70" s="64">
        <v>4.09</v>
      </c>
      <c r="J70" s="64">
        <v>0.87</v>
      </c>
      <c r="K70" s="64">
        <v>358.26</v>
      </c>
      <c r="L70" s="64">
        <v>36.450000000000003</v>
      </c>
      <c r="M70" s="64">
        <v>11.29</v>
      </c>
      <c r="N70" s="64">
        <v>255.7</v>
      </c>
      <c r="O70" s="64">
        <v>0</v>
      </c>
      <c r="P70" s="64">
        <v>0.44</v>
      </c>
      <c r="Q70" s="210" t="s">
        <v>36</v>
      </c>
      <c r="R70" s="198"/>
      <c r="S70" s="198"/>
      <c r="T70" s="198"/>
      <c r="U70" s="198"/>
    </row>
    <row r="71" spans="1:21" s="12" customFormat="1" x14ac:dyDescent="0.25">
      <c r="A71" s="215" t="s">
        <v>884</v>
      </c>
      <c r="B71" s="64">
        <v>5.17</v>
      </c>
      <c r="C71" s="64">
        <v>37.299999999999997</v>
      </c>
      <c r="D71" s="64">
        <v>63.46</v>
      </c>
      <c r="E71" s="64">
        <v>12.4</v>
      </c>
      <c r="F71" s="64">
        <v>27.84</v>
      </c>
      <c r="G71" s="64">
        <v>51.48</v>
      </c>
      <c r="H71" s="64">
        <v>17.71</v>
      </c>
      <c r="I71" s="64">
        <v>3.9</v>
      </c>
      <c r="J71" s="64">
        <v>1.1299999999999999</v>
      </c>
      <c r="K71" s="64">
        <v>23.2</v>
      </c>
      <c r="L71" s="64">
        <v>35.380000000000003</v>
      </c>
      <c r="M71" s="64">
        <v>11.34</v>
      </c>
      <c r="N71" s="64">
        <v>216.4</v>
      </c>
      <c r="O71" s="64">
        <v>0</v>
      </c>
      <c r="P71" s="64">
        <v>0.37</v>
      </c>
      <c r="Q71" s="210" t="s">
        <v>36</v>
      </c>
      <c r="R71" s="198"/>
      <c r="S71" s="198"/>
      <c r="T71" s="198"/>
      <c r="U71" s="198"/>
    </row>
    <row r="72" spans="1:21" s="12" customFormat="1" x14ac:dyDescent="0.25">
      <c r="A72" s="215" t="s">
        <v>885</v>
      </c>
      <c r="B72" s="64">
        <v>6.47</v>
      </c>
      <c r="C72" s="64">
        <v>43.21</v>
      </c>
      <c r="D72" s="64">
        <v>72.78</v>
      </c>
      <c r="E72" s="64">
        <v>6.96</v>
      </c>
      <c r="F72" s="64">
        <v>23.44</v>
      </c>
      <c r="G72" s="64">
        <v>51.1</v>
      </c>
      <c r="H72" s="64">
        <v>20.82</v>
      </c>
      <c r="I72" s="64">
        <v>3.97</v>
      </c>
      <c r="J72" s="64">
        <v>1.85</v>
      </c>
      <c r="K72" s="64">
        <v>344.25</v>
      </c>
      <c r="L72" s="64">
        <v>35.79</v>
      </c>
      <c r="M72" s="64">
        <v>11.5</v>
      </c>
      <c r="N72" s="64">
        <v>173.2</v>
      </c>
      <c r="O72" s="64">
        <v>0</v>
      </c>
      <c r="P72" s="64">
        <v>0.48</v>
      </c>
      <c r="Q72" s="210" t="s">
        <v>36</v>
      </c>
      <c r="R72" s="198"/>
      <c r="S72" s="198"/>
      <c r="T72" s="198"/>
      <c r="U72" s="198"/>
    </row>
    <row r="73" spans="1:21" s="12" customFormat="1" x14ac:dyDescent="0.25">
      <c r="A73" s="215" t="s">
        <v>886</v>
      </c>
      <c r="B73" s="64">
        <v>10.97</v>
      </c>
      <c r="C73" s="64">
        <v>50.31</v>
      </c>
      <c r="D73" s="64">
        <v>79.47</v>
      </c>
      <c r="E73" s="64">
        <v>11.2</v>
      </c>
      <c r="F73" s="64">
        <v>26.09</v>
      </c>
      <c r="G73" s="64">
        <v>0</v>
      </c>
      <c r="H73" s="64">
        <v>20.81</v>
      </c>
      <c r="I73" s="64">
        <v>3.79</v>
      </c>
      <c r="J73" s="64">
        <v>0.72</v>
      </c>
      <c r="K73" s="64">
        <v>3.03</v>
      </c>
      <c r="L73" s="64">
        <v>335.75</v>
      </c>
      <c r="M73" s="64">
        <v>10.83</v>
      </c>
      <c r="N73" s="64">
        <v>229.9</v>
      </c>
      <c r="O73" s="64">
        <v>0</v>
      </c>
      <c r="P73" s="64">
        <v>0.42</v>
      </c>
      <c r="Q73" s="210" t="s">
        <v>36</v>
      </c>
      <c r="R73" s="198"/>
      <c r="S73" s="198"/>
      <c r="T73" s="198"/>
      <c r="U73" s="198"/>
    </row>
    <row r="74" spans="1:21" s="12" customFormat="1" x14ac:dyDescent="0.25">
      <c r="A74" s="215" t="s">
        <v>887</v>
      </c>
      <c r="B74" s="64">
        <v>9.51</v>
      </c>
      <c r="C74" s="64">
        <v>46.92</v>
      </c>
      <c r="D74" s="64">
        <v>75.209999999999994</v>
      </c>
      <c r="E74" s="64">
        <v>14.59</v>
      </c>
      <c r="F74" s="64">
        <v>31.23</v>
      </c>
      <c r="G74" s="64">
        <v>51.1</v>
      </c>
      <c r="H74" s="64">
        <v>20.81</v>
      </c>
      <c r="I74" s="64">
        <v>4.0599999999999996</v>
      </c>
      <c r="J74" s="64">
        <v>1.31</v>
      </c>
      <c r="K74" s="64">
        <v>352.22</v>
      </c>
      <c r="L74" s="64">
        <v>34.93</v>
      </c>
      <c r="M74" s="64">
        <v>11.56</v>
      </c>
      <c r="N74" s="64">
        <v>132</v>
      </c>
      <c r="O74" s="64">
        <v>0</v>
      </c>
      <c r="P74" s="64">
        <v>0.45</v>
      </c>
      <c r="Q74" s="210" t="s">
        <v>36</v>
      </c>
      <c r="R74" s="198"/>
      <c r="S74" s="198"/>
      <c r="T74" s="198"/>
      <c r="U74" s="198"/>
    </row>
    <row r="75" spans="1:21" s="12" customFormat="1" x14ac:dyDescent="0.25">
      <c r="A75" s="215" t="s">
        <v>888</v>
      </c>
      <c r="B75" s="64">
        <v>26.17</v>
      </c>
      <c r="C75" s="64">
        <v>88.76</v>
      </c>
      <c r="D75" s="64">
        <v>129.72</v>
      </c>
      <c r="E75" s="64">
        <v>19.850000000000001</v>
      </c>
      <c r="F75" s="64">
        <v>26.28</v>
      </c>
      <c r="G75" s="64">
        <v>51.13</v>
      </c>
      <c r="H75" s="64">
        <v>19.62</v>
      </c>
      <c r="I75" s="64">
        <v>4.04</v>
      </c>
      <c r="J75" s="64">
        <v>0.5</v>
      </c>
      <c r="K75" s="64">
        <v>26.91</v>
      </c>
      <c r="L75" s="64">
        <v>34.47</v>
      </c>
      <c r="M75" s="64">
        <v>12.17</v>
      </c>
      <c r="N75" s="64">
        <v>122.1</v>
      </c>
      <c r="O75" s="64">
        <v>0</v>
      </c>
      <c r="P75" s="64">
        <v>0.68</v>
      </c>
      <c r="Q75" s="210" t="s">
        <v>36</v>
      </c>
      <c r="R75" s="198"/>
      <c r="S75" s="198"/>
      <c r="T75" s="198"/>
      <c r="U75" s="198"/>
    </row>
    <row r="76" spans="1:21" s="12" customFormat="1" x14ac:dyDescent="0.25">
      <c r="A76" s="215" t="s">
        <v>889</v>
      </c>
      <c r="B76" s="64">
        <v>7.46</v>
      </c>
      <c r="C76" s="64">
        <v>45.06</v>
      </c>
      <c r="D76" s="64">
        <v>74.81</v>
      </c>
      <c r="E76" s="64">
        <v>17.989999999999998</v>
      </c>
      <c r="F76" s="64">
        <v>33.159999999999997</v>
      </c>
      <c r="G76" s="64">
        <v>51.16</v>
      </c>
      <c r="H76" s="64">
        <v>18.32</v>
      </c>
      <c r="I76" s="64">
        <v>3.99</v>
      </c>
      <c r="J76" s="64">
        <v>0.78</v>
      </c>
      <c r="K76" s="64">
        <v>75.540000000000006</v>
      </c>
      <c r="L76" s="64">
        <v>33.67</v>
      </c>
      <c r="M76" s="64">
        <v>12.43</v>
      </c>
      <c r="N76" s="64">
        <v>122.1</v>
      </c>
      <c r="O76" s="64">
        <v>0</v>
      </c>
      <c r="P76" s="64">
        <v>0.35</v>
      </c>
      <c r="Q76" s="210" t="s">
        <v>36</v>
      </c>
      <c r="R76" s="198"/>
      <c r="S76" s="198"/>
      <c r="T76" s="198"/>
      <c r="U76" s="198"/>
    </row>
    <row r="77" spans="1:21" s="12" customFormat="1" x14ac:dyDescent="0.25">
      <c r="A77" s="215" t="s">
        <v>890</v>
      </c>
      <c r="B77" s="64">
        <v>20.14</v>
      </c>
      <c r="C77" s="64">
        <v>83.73</v>
      </c>
      <c r="D77" s="64">
        <v>129.36000000000001</v>
      </c>
      <c r="E77" s="64">
        <v>17.989999999999998</v>
      </c>
      <c r="F77" s="64">
        <v>25.62</v>
      </c>
      <c r="G77" s="64">
        <v>51.16</v>
      </c>
      <c r="H77" s="64">
        <v>18.32</v>
      </c>
      <c r="I77" s="64">
        <v>4.07</v>
      </c>
      <c r="J77" s="64">
        <v>0.42</v>
      </c>
      <c r="K77" s="64">
        <v>22.39</v>
      </c>
      <c r="L77" s="64">
        <v>32.6</v>
      </c>
      <c r="M77" s="64">
        <v>16.309999999999999</v>
      </c>
      <c r="N77" s="64">
        <v>101.2</v>
      </c>
      <c r="O77" s="64">
        <v>0</v>
      </c>
      <c r="P77" s="64">
        <v>0.56000000000000005</v>
      </c>
      <c r="Q77" s="210" t="s">
        <v>36</v>
      </c>
      <c r="R77" s="198"/>
      <c r="S77" s="198"/>
      <c r="T77" s="198"/>
      <c r="U77" s="198"/>
    </row>
    <row r="78" spans="1:21" s="12" customFormat="1" x14ac:dyDescent="0.25">
      <c r="A78" s="215" t="s">
        <v>891</v>
      </c>
      <c r="B78" s="64">
        <v>13.79</v>
      </c>
      <c r="C78" s="64">
        <v>59.73</v>
      </c>
      <c r="D78" s="64">
        <v>93.16</v>
      </c>
      <c r="E78" s="64">
        <v>13.56</v>
      </c>
      <c r="F78" s="64">
        <v>30.82</v>
      </c>
      <c r="G78" s="64">
        <v>51.16</v>
      </c>
      <c r="H78" s="64">
        <v>18.32</v>
      </c>
      <c r="I78" s="64">
        <v>3.92</v>
      </c>
      <c r="J78" s="64">
        <v>0.76</v>
      </c>
      <c r="K78" s="64">
        <v>75.78</v>
      </c>
      <c r="L78" s="64">
        <v>32.18</v>
      </c>
      <c r="M78" s="64">
        <v>14.8</v>
      </c>
      <c r="N78" s="64">
        <v>89.8</v>
      </c>
      <c r="O78" s="64">
        <v>0</v>
      </c>
      <c r="P78" s="64">
        <v>0.55000000000000004</v>
      </c>
      <c r="Q78" s="210" t="s">
        <v>36</v>
      </c>
      <c r="R78" s="198"/>
      <c r="S78" s="198"/>
      <c r="T78" s="198"/>
      <c r="U78" s="198"/>
    </row>
    <row r="79" spans="1:21" s="12" customFormat="1" x14ac:dyDescent="0.25">
      <c r="A79" s="215" t="s">
        <v>892</v>
      </c>
      <c r="B79" s="64">
        <v>3.94</v>
      </c>
      <c r="C79" s="64">
        <v>47.36</v>
      </c>
      <c r="D79" s="64">
        <v>84.6</v>
      </c>
      <c r="E79" s="64">
        <v>12.49</v>
      </c>
      <c r="F79" s="64">
        <v>32.78</v>
      </c>
      <c r="G79" s="64">
        <v>49.06</v>
      </c>
      <c r="H79" s="64">
        <v>16.670000000000002</v>
      </c>
      <c r="I79" s="64">
        <v>3.96</v>
      </c>
      <c r="J79" s="64">
        <v>0.71</v>
      </c>
      <c r="K79" s="64">
        <v>79.39</v>
      </c>
      <c r="L79" s="64">
        <v>32.369999999999997</v>
      </c>
      <c r="M79" s="64">
        <v>13.53</v>
      </c>
      <c r="N79" s="64">
        <v>76.400000000000006</v>
      </c>
      <c r="O79" s="64">
        <v>0</v>
      </c>
      <c r="P79" s="64">
        <v>0.42</v>
      </c>
      <c r="Q79" s="210" t="s">
        <v>36</v>
      </c>
      <c r="R79" s="198"/>
      <c r="S79" s="198"/>
      <c r="T79" s="198"/>
      <c r="U79" s="198"/>
    </row>
    <row r="80" spans="1:21" s="12" customFormat="1" x14ac:dyDescent="0.25">
      <c r="A80" s="215" t="s">
        <v>893</v>
      </c>
      <c r="B80" s="64">
        <v>2.2599999999999998</v>
      </c>
      <c r="C80" s="64">
        <v>42.37</v>
      </c>
      <c r="D80" s="64">
        <v>77.63</v>
      </c>
      <c r="E80" s="64">
        <v>11.84</v>
      </c>
      <c r="F80" s="64">
        <v>30.42</v>
      </c>
      <c r="G80" s="64">
        <v>46.76</v>
      </c>
      <c r="H80" s="64">
        <v>14.87</v>
      </c>
      <c r="I80" s="64">
        <v>3.96</v>
      </c>
      <c r="J80" s="64">
        <v>0.65</v>
      </c>
      <c r="K80" s="64">
        <v>84.17</v>
      </c>
      <c r="L80" s="64">
        <v>31.88</v>
      </c>
      <c r="M80" s="64">
        <v>14.61</v>
      </c>
      <c r="N80" s="64">
        <v>64</v>
      </c>
      <c r="O80" s="64">
        <v>0</v>
      </c>
      <c r="P80" s="64">
        <v>0.51</v>
      </c>
      <c r="Q80" s="210" t="s">
        <v>36</v>
      </c>
      <c r="R80" s="198"/>
      <c r="S80" s="198"/>
      <c r="T80" s="198"/>
      <c r="U80" s="198"/>
    </row>
    <row r="81" spans="1:26" s="12" customFormat="1" x14ac:dyDescent="0.25">
      <c r="A81" s="215" t="s">
        <v>894</v>
      </c>
      <c r="B81" s="64">
        <v>32.18</v>
      </c>
      <c r="C81" s="64">
        <v>99.58</v>
      </c>
      <c r="D81" s="64">
        <v>141.21</v>
      </c>
      <c r="E81" s="64">
        <v>12.07</v>
      </c>
      <c r="F81" s="64">
        <v>23.28</v>
      </c>
      <c r="G81" s="64">
        <v>46.76</v>
      </c>
      <c r="H81" s="64">
        <v>14.87</v>
      </c>
      <c r="I81" s="64">
        <v>4.0999999999999996</v>
      </c>
      <c r="J81" s="64">
        <v>0.34</v>
      </c>
      <c r="K81" s="64">
        <v>20.27</v>
      </c>
      <c r="L81" s="64">
        <v>31.01</v>
      </c>
      <c r="M81" s="64">
        <v>16.309999999999999</v>
      </c>
      <c r="N81" s="64">
        <v>54.5</v>
      </c>
      <c r="O81" s="64">
        <v>0</v>
      </c>
      <c r="P81" s="64">
        <v>1.1100000000000001</v>
      </c>
      <c r="Q81" s="210" t="s">
        <v>36</v>
      </c>
      <c r="R81" s="198"/>
      <c r="S81" s="198"/>
      <c r="T81" s="198"/>
      <c r="U81" s="198"/>
    </row>
    <row r="82" spans="1:26" s="12" customFormat="1" x14ac:dyDescent="0.25">
      <c r="A82" s="215" t="s">
        <v>895</v>
      </c>
      <c r="B82" s="64">
        <v>155.66999999999999</v>
      </c>
      <c r="C82" s="64">
        <v>252.62</v>
      </c>
      <c r="D82" s="64">
        <v>244.57</v>
      </c>
      <c r="E82" s="64">
        <v>10.71</v>
      </c>
      <c r="F82" s="64">
        <v>7.22</v>
      </c>
      <c r="G82" s="64">
        <v>46.76</v>
      </c>
      <c r="H82" s="64">
        <v>14.87</v>
      </c>
      <c r="I82" s="64">
        <v>3.89</v>
      </c>
      <c r="J82" s="64">
        <v>0.45</v>
      </c>
      <c r="K82" s="64">
        <v>310.10000000000002</v>
      </c>
      <c r="L82" s="64">
        <v>29.84</v>
      </c>
      <c r="M82" s="64">
        <v>22.37</v>
      </c>
      <c r="N82" s="64">
        <v>50.4</v>
      </c>
      <c r="O82" s="64">
        <v>0</v>
      </c>
      <c r="P82" s="64">
        <v>2.92</v>
      </c>
      <c r="Q82" s="210" t="s">
        <v>36</v>
      </c>
      <c r="R82" s="198"/>
      <c r="S82" s="198"/>
      <c r="T82" s="198"/>
      <c r="U82" s="198"/>
    </row>
    <row r="83" spans="1:26" s="12" customFormat="1" x14ac:dyDescent="0.25">
      <c r="A83" s="215" t="s">
        <v>896</v>
      </c>
      <c r="B83" s="64">
        <v>176.23</v>
      </c>
      <c r="C83" s="64">
        <v>261.88</v>
      </c>
      <c r="D83" s="64">
        <v>230.75</v>
      </c>
      <c r="E83" s="64">
        <v>10.06</v>
      </c>
      <c r="F83" s="64">
        <v>6.47</v>
      </c>
      <c r="G83" s="64">
        <v>52.4</v>
      </c>
      <c r="H83" s="64">
        <v>13.56</v>
      </c>
      <c r="I83" s="64">
        <v>4.2</v>
      </c>
      <c r="J83" s="64">
        <v>0.43</v>
      </c>
      <c r="K83" s="64">
        <v>298.86</v>
      </c>
      <c r="L83" s="64">
        <v>28.79</v>
      </c>
      <c r="M83" s="64">
        <v>25.04</v>
      </c>
      <c r="N83" s="64">
        <v>49.7</v>
      </c>
      <c r="O83" s="64">
        <v>0</v>
      </c>
      <c r="P83" s="64">
        <v>3.25</v>
      </c>
      <c r="Q83" s="210" t="s">
        <v>36</v>
      </c>
      <c r="R83" s="198"/>
      <c r="S83" s="198"/>
      <c r="T83" s="198"/>
      <c r="U83" s="198"/>
    </row>
    <row r="84" spans="1:26" s="12" customFormat="1" x14ac:dyDescent="0.25">
      <c r="A84" s="215" t="s">
        <v>897</v>
      </c>
      <c r="B84" s="64">
        <v>140.01</v>
      </c>
      <c r="C84" s="64">
        <v>226.59</v>
      </c>
      <c r="D84" s="64">
        <v>218.8</v>
      </c>
      <c r="E84" s="64">
        <v>9.77</v>
      </c>
      <c r="F84" s="64">
        <v>6.87</v>
      </c>
      <c r="G84" s="64">
        <v>58.57</v>
      </c>
      <c r="H84" s="64">
        <v>12.12</v>
      </c>
      <c r="I84" s="64">
        <v>4.0199999999999996</v>
      </c>
      <c r="J84" s="64">
        <v>0.35</v>
      </c>
      <c r="K84" s="64">
        <v>313.06</v>
      </c>
      <c r="L84" s="64">
        <v>28.02</v>
      </c>
      <c r="M84" s="64">
        <v>26.11</v>
      </c>
      <c r="N84" s="64">
        <v>50.3</v>
      </c>
      <c r="O84" s="64">
        <v>0</v>
      </c>
      <c r="P84" s="64">
        <v>2.95</v>
      </c>
      <c r="Q84" s="210" t="s">
        <v>36</v>
      </c>
      <c r="R84" s="198"/>
      <c r="S84" s="198"/>
      <c r="T84" s="198"/>
      <c r="U84" s="198"/>
    </row>
    <row r="85" spans="1:26" s="12" customFormat="1" x14ac:dyDescent="0.25">
      <c r="A85" s="215" t="s">
        <v>898</v>
      </c>
      <c r="B85" s="64">
        <v>238.18</v>
      </c>
      <c r="C85" s="64">
        <v>316.11</v>
      </c>
      <c r="D85" s="64">
        <v>239.45</v>
      </c>
      <c r="E85" s="64">
        <v>9.7799999999999994</v>
      </c>
      <c r="F85" s="64">
        <v>6.6</v>
      </c>
      <c r="G85" s="64">
        <v>58.57</v>
      </c>
      <c r="H85" s="64">
        <v>12.12</v>
      </c>
      <c r="I85" s="64">
        <v>3.98</v>
      </c>
      <c r="J85" s="64">
        <v>0.39</v>
      </c>
      <c r="K85" s="64">
        <v>81.52</v>
      </c>
      <c r="L85" s="64">
        <v>27.68</v>
      </c>
      <c r="M85" s="64">
        <v>26.29</v>
      </c>
      <c r="N85" s="64">
        <v>49.7</v>
      </c>
      <c r="O85" s="64">
        <v>0</v>
      </c>
      <c r="P85" s="64">
        <v>2.12</v>
      </c>
      <c r="Q85" s="210" t="s">
        <v>36</v>
      </c>
      <c r="R85" s="198"/>
      <c r="S85" s="198"/>
      <c r="T85" s="198"/>
      <c r="U85" s="198"/>
    </row>
    <row r="86" spans="1:26" s="12" customFormat="1" x14ac:dyDescent="0.25">
      <c r="A86" s="215" t="s">
        <v>899</v>
      </c>
      <c r="B86" s="64">
        <v>204.35</v>
      </c>
      <c r="C86" s="64">
        <v>283.32</v>
      </c>
      <c r="D86" s="64">
        <v>228.61</v>
      </c>
      <c r="E86" s="64">
        <v>11.4</v>
      </c>
      <c r="F86" s="64">
        <v>6.58</v>
      </c>
      <c r="G86" s="64">
        <v>58.57</v>
      </c>
      <c r="H86" s="64">
        <v>12.12</v>
      </c>
      <c r="I86" s="64">
        <v>3.98</v>
      </c>
      <c r="J86" s="64">
        <v>0.46</v>
      </c>
      <c r="K86" s="64">
        <v>91.94</v>
      </c>
      <c r="L86" s="64">
        <v>27.19</v>
      </c>
      <c r="M86" s="64">
        <v>28.17</v>
      </c>
      <c r="N86" s="64">
        <v>49.7</v>
      </c>
      <c r="O86" s="64">
        <v>0</v>
      </c>
      <c r="P86" s="64">
        <v>2.0699999999999998</v>
      </c>
      <c r="Q86" s="210" t="s">
        <v>36</v>
      </c>
      <c r="R86" s="198"/>
      <c r="S86" s="198"/>
      <c r="T86" s="198"/>
      <c r="U86" s="198"/>
    </row>
    <row r="87" spans="1:26" s="12" customFormat="1" x14ac:dyDescent="0.25">
      <c r="A87" s="215" t="s">
        <v>900</v>
      </c>
      <c r="B87" s="64">
        <v>73.69</v>
      </c>
      <c r="C87" s="64">
        <v>165.94</v>
      </c>
      <c r="D87" s="64">
        <v>204.5</v>
      </c>
      <c r="E87" s="64">
        <v>11.78</v>
      </c>
      <c r="F87" s="64">
        <v>8.27</v>
      </c>
      <c r="G87" s="64">
        <v>108.1</v>
      </c>
      <c r="H87" s="64">
        <v>20.329999999999998</v>
      </c>
      <c r="I87" s="64">
        <v>4.17</v>
      </c>
      <c r="J87" s="64">
        <v>0.47</v>
      </c>
      <c r="K87" s="64">
        <v>226.25</v>
      </c>
      <c r="L87" s="64">
        <v>28.08</v>
      </c>
      <c r="M87" s="64">
        <v>22.66</v>
      </c>
      <c r="N87" s="64">
        <v>47.5</v>
      </c>
      <c r="O87" s="64">
        <v>0</v>
      </c>
      <c r="P87" s="64">
        <v>1.83</v>
      </c>
      <c r="Q87" s="210" t="s">
        <v>36</v>
      </c>
      <c r="R87" s="198"/>
      <c r="S87" s="198"/>
      <c r="T87" s="198"/>
      <c r="U87" s="198"/>
    </row>
    <row r="88" spans="1:26" s="12" customFormat="1" x14ac:dyDescent="0.25">
      <c r="A88" s="215" t="s">
        <v>901</v>
      </c>
      <c r="B88" s="64">
        <v>31.63</v>
      </c>
      <c r="C88" s="64">
        <v>116.12</v>
      </c>
      <c r="D88" s="64">
        <v>173.71</v>
      </c>
      <c r="E88" s="64">
        <v>13.69</v>
      </c>
      <c r="F88" s="64">
        <v>12.29</v>
      </c>
      <c r="G88" s="64">
        <v>162.22999999999999</v>
      </c>
      <c r="H88" s="64">
        <v>29.29</v>
      </c>
      <c r="I88" s="64">
        <v>3.85</v>
      </c>
      <c r="J88" s="64">
        <v>0.59</v>
      </c>
      <c r="K88" s="64">
        <v>205.82</v>
      </c>
      <c r="L88" s="64">
        <v>28.89</v>
      </c>
      <c r="M88" s="64">
        <v>20.72</v>
      </c>
      <c r="N88" s="64">
        <v>48.1</v>
      </c>
      <c r="O88" s="64">
        <v>0</v>
      </c>
      <c r="P88" s="64">
        <v>1.33</v>
      </c>
      <c r="Q88" s="210" t="s">
        <v>36</v>
      </c>
      <c r="R88" s="198"/>
      <c r="S88" s="198"/>
      <c r="T88" s="198"/>
      <c r="U88" s="198"/>
    </row>
    <row r="89" spans="1:26" s="12" customFormat="1" x14ac:dyDescent="0.25">
      <c r="A89" s="215" t="s">
        <v>902</v>
      </c>
      <c r="B89" s="64">
        <v>188.34</v>
      </c>
      <c r="C89" s="64">
        <v>256.18</v>
      </c>
      <c r="D89" s="64">
        <v>201.25</v>
      </c>
      <c r="E89" s="64">
        <v>11.73</v>
      </c>
      <c r="F89" s="64">
        <v>7.69</v>
      </c>
      <c r="G89" s="64">
        <v>162.22999999999999</v>
      </c>
      <c r="H89" s="64">
        <v>29.29</v>
      </c>
      <c r="I89" s="64">
        <v>3.93</v>
      </c>
      <c r="J89" s="64">
        <v>0.43</v>
      </c>
      <c r="K89" s="64">
        <v>335.87</v>
      </c>
      <c r="L89" s="64">
        <v>28.23</v>
      </c>
      <c r="M89" s="64">
        <v>26.01</v>
      </c>
      <c r="N89" s="64">
        <v>50.2</v>
      </c>
      <c r="O89" s="64">
        <v>0</v>
      </c>
      <c r="P89" s="64">
        <v>3.19</v>
      </c>
      <c r="Q89" s="210" t="s">
        <v>36</v>
      </c>
      <c r="R89" s="198"/>
      <c r="S89" s="198"/>
      <c r="T89" s="198"/>
      <c r="U89" s="198"/>
    </row>
    <row r="90" spans="1:26" s="12" customFormat="1" x14ac:dyDescent="0.25">
      <c r="A90" s="215" t="s">
        <v>903</v>
      </c>
      <c r="B90" s="64">
        <v>248.77</v>
      </c>
      <c r="C90" s="64">
        <v>306.02</v>
      </c>
      <c r="D90" s="64">
        <v>203.88</v>
      </c>
      <c r="E90" s="64">
        <v>11.32</v>
      </c>
      <c r="F90" s="64">
        <v>6.75</v>
      </c>
      <c r="G90" s="64">
        <v>162.22999999999999</v>
      </c>
      <c r="H90" s="64">
        <v>29.29</v>
      </c>
      <c r="I90" s="64">
        <v>4.01</v>
      </c>
      <c r="J90" s="64">
        <v>0.49</v>
      </c>
      <c r="K90" s="64">
        <v>328.12</v>
      </c>
      <c r="L90" s="64">
        <v>27.16</v>
      </c>
      <c r="M90" s="64">
        <v>30.46</v>
      </c>
      <c r="N90" s="64">
        <v>50.2</v>
      </c>
      <c r="O90" s="64">
        <v>0</v>
      </c>
      <c r="P90" s="64">
        <v>3.75</v>
      </c>
      <c r="Q90" s="210" t="s">
        <v>36</v>
      </c>
      <c r="R90" s="198"/>
      <c r="S90" s="198"/>
      <c r="T90" s="198"/>
      <c r="U90" s="198"/>
    </row>
    <row r="91" spans="1:26" s="12" customFormat="1" x14ac:dyDescent="0.25">
      <c r="A91" s="215" t="s">
        <v>904</v>
      </c>
      <c r="B91" s="64">
        <v>266.19</v>
      </c>
      <c r="C91" s="64">
        <v>321.31</v>
      </c>
      <c r="D91" s="64">
        <v>206.41</v>
      </c>
      <c r="E91" s="64">
        <v>10.220000000000001</v>
      </c>
      <c r="F91" s="64">
        <v>6.76</v>
      </c>
      <c r="G91" s="64">
        <v>148.56</v>
      </c>
      <c r="H91" s="64">
        <v>30.99</v>
      </c>
      <c r="I91" s="64">
        <v>4.1100000000000003</v>
      </c>
      <c r="J91" s="64">
        <v>0.54</v>
      </c>
      <c r="K91" s="64">
        <v>351.6</v>
      </c>
      <c r="L91" s="64">
        <v>26.3</v>
      </c>
      <c r="M91" s="64">
        <v>33.56</v>
      </c>
      <c r="N91" s="64">
        <v>50.4</v>
      </c>
      <c r="O91" s="64">
        <v>0</v>
      </c>
      <c r="P91" s="64">
        <v>4.12</v>
      </c>
      <c r="Q91" s="210" t="s">
        <v>36</v>
      </c>
      <c r="R91" s="198"/>
      <c r="S91" s="198"/>
      <c r="T91" s="198"/>
      <c r="U91" s="198"/>
    </row>
    <row r="92" spans="1:26" s="12" customFormat="1" x14ac:dyDescent="0.25">
      <c r="A92" s="215" t="s">
        <v>905</v>
      </c>
      <c r="B92" s="64">
        <v>301.38</v>
      </c>
      <c r="C92" s="64">
        <v>345.95</v>
      </c>
      <c r="D92" s="64">
        <v>199.56</v>
      </c>
      <c r="E92" s="64">
        <v>9.35</v>
      </c>
      <c r="F92" s="64">
        <v>7.09</v>
      </c>
      <c r="G92" s="64">
        <v>133.62</v>
      </c>
      <c r="H92" s="64">
        <v>32.85</v>
      </c>
      <c r="I92" s="64">
        <v>3.89</v>
      </c>
      <c r="J92" s="64">
        <v>0.51</v>
      </c>
      <c r="K92" s="64">
        <v>343.7</v>
      </c>
      <c r="L92" s="64">
        <v>25.75</v>
      </c>
      <c r="M92" s="64">
        <v>35.57</v>
      </c>
      <c r="N92" s="64">
        <v>50.1</v>
      </c>
      <c r="O92" s="64">
        <v>0</v>
      </c>
      <c r="P92" s="64">
        <v>3.87</v>
      </c>
      <c r="Q92" s="210" t="s">
        <v>36</v>
      </c>
      <c r="R92" s="198"/>
      <c r="S92" s="198"/>
      <c r="T92" s="198"/>
      <c r="U92" s="198"/>
    </row>
    <row r="93" spans="1:26" s="12" customFormat="1" x14ac:dyDescent="0.25">
      <c r="A93" s="215" t="s">
        <v>906</v>
      </c>
      <c r="B93" s="64">
        <v>220.52</v>
      </c>
      <c r="C93" s="64">
        <v>277.98</v>
      </c>
      <c r="D93" s="64">
        <v>193.59</v>
      </c>
      <c r="E93" s="64">
        <v>7.9</v>
      </c>
      <c r="F93" s="64">
        <v>6.85</v>
      </c>
      <c r="G93" s="64">
        <v>133.62</v>
      </c>
      <c r="H93" s="64">
        <v>32.85</v>
      </c>
      <c r="I93" s="64">
        <v>4.07</v>
      </c>
      <c r="J93" s="64">
        <v>0.47</v>
      </c>
      <c r="K93" s="64">
        <v>353.18</v>
      </c>
      <c r="L93" s="64">
        <v>25.24</v>
      </c>
      <c r="M93" s="64">
        <v>38.26</v>
      </c>
      <c r="N93" s="64">
        <v>50.1</v>
      </c>
      <c r="O93" s="64">
        <v>0</v>
      </c>
      <c r="P93" s="64">
        <v>3.57</v>
      </c>
      <c r="Q93" s="210" t="s">
        <v>36</v>
      </c>
      <c r="R93" s="198"/>
      <c r="S93" s="198"/>
      <c r="T93" s="198"/>
      <c r="U93" s="198"/>
    </row>
    <row r="94" spans="1:26" s="12" customFormat="1" x14ac:dyDescent="0.25">
      <c r="A94" s="215" t="s">
        <v>907</v>
      </c>
      <c r="B94" s="64">
        <v>242.48</v>
      </c>
      <c r="C94" s="64">
        <v>299.31</v>
      </c>
      <c r="D94" s="64">
        <v>200.71</v>
      </c>
      <c r="E94" s="64">
        <v>8.4499999999999993</v>
      </c>
      <c r="F94" s="64">
        <v>6.93</v>
      </c>
      <c r="G94" s="64">
        <v>133.62</v>
      </c>
      <c r="H94" s="64">
        <v>32.85</v>
      </c>
      <c r="I94" s="64">
        <v>4.04</v>
      </c>
      <c r="J94" s="64">
        <v>0.33</v>
      </c>
      <c r="K94" s="64">
        <v>351.67</v>
      </c>
      <c r="L94" s="64">
        <v>24.92</v>
      </c>
      <c r="M94" s="64">
        <v>37.1</v>
      </c>
      <c r="N94" s="64">
        <v>49.7</v>
      </c>
      <c r="O94" s="64">
        <v>0</v>
      </c>
      <c r="P94" s="64">
        <v>3.66</v>
      </c>
      <c r="Q94" s="210" t="s">
        <v>36</v>
      </c>
      <c r="R94" s="198"/>
      <c r="S94" s="198"/>
      <c r="T94" s="198"/>
      <c r="U94" s="198"/>
    </row>
    <row r="95" spans="1:26" s="12" customFormat="1" x14ac:dyDescent="0.25">
      <c r="A95" s="215" t="s">
        <v>908</v>
      </c>
      <c r="B95" s="64">
        <v>304.61</v>
      </c>
      <c r="C95" s="64">
        <v>356.44</v>
      </c>
      <c r="D95" s="64">
        <v>214.68</v>
      </c>
      <c r="E95" s="64">
        <v>8.0399999999999991</v>
      </c>
      <c r="F95" s="64">
        <v>6.76</v>
      </c>
      <c r="G95" s="64">
        <v>143.37</v>
      </c>
      <c r="H95" s="64">
        <v>32.24</v>
      </c>
      <c r="I95" s="64">
        <v>3.89</v>
      </c>
      <c r="J95" s="64">
        <v>0.14000000000000001</v>
      </c>
      <c r="K95" s="64">
        <v>38.94</v>
      </c>
      <c r="L95" s="64">
        <v>25.02</v>
      </c>
      <c r="M95" s="64">
        <v>39.520000000000003</v>
      </c>
      <c r="N95" s="64">
        <v>49.7</v>
      </c>
      <c r="O95" s="64">
        <v>0</v>
      </c>
      <c r="P95" s="64">
        <v>3.88</v>
      </c>
      <c r="Q95" s="210" t="s">
        <v>36</v>
      </c>
      <c r="R95" s="198"/>
      <c r="S95" s="198"/>
      <c r="T95" s="198"/>
      <c r="U95" s="198"/>
    </row>
    <row r="96" spans="1:26" s="12" customFormat="1" x14ac:dyDescent="0.25">
      <c r="A96" s="215" t="s">
        <v>909</v>
      </c>
      <c r="B96" s="64">
        <v>286.12</v>
      </c>
      <c r="C96" s="64">
        <v>336.08</v>
      </c>
      <c r="D96" s="64">
        <v>204.09</v>
      </c>
      <c r="E96" s="64">
        <v>8.15</v>
      </c>
      <c r="F96" s="64">
        <v>6.73</v>
      </c>
      <c r="G96" s="64">
        <v>154.02000000000001</v>
      </c>
      <c r="H96" s="64">
        <v>31.58</v>
      </c>
      <c r="I96" s="64">
        <v>4.01</v>
      </c>
      <c r="J96" s="64">
        <v>0.28999999999999998</v>
      </c>
      <c r="K96" s="64">
        <v>2.0499999999999998</v>
      </c>
      <c r="L96" s="64">
        <v>24.64</v>
      </c>
      <c r="M96" s="64">
        <v>41.34</v>
      </c>
      <c r="N96" s="64">
        <v>50.3</v>
      </c>
      <c r="O96" s="64">
        <v>0</v>
      </c>
      <c r="P96" s="64">
        <v>3.56</v>
      </c>
      <c r="Q96" s="210" t="s">
        <v>36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910</v>
      </c>
      <c r="B97" s="64">
        <v>354.76</v>
      </c>
      <c r="C97" s="64">
        <v>392.16</v>
      </c>
      <c r="D97" s="64">
        <v>206.08</v>
      </c>
      <c r="E97" s="64">
        <v>8.18</v>
      </c>
      <c r="F97" s="64">
        <v>6.72</v>
      </c>
      <c r="G97" s="64">
        <v>154.02000000000001</v>
      </c>
      <c r="H97" s="64">
        <v>31.58</v>
      </c>
      <c r="I97" s="64">
        <v>4.0599999999999996</v>
      </c>
      <c r="J97" s="64">
        <v>0.35</v>
      </c>
      <c r="K97" s="64">
        <v>308.51</v>
      </c>
      <c r="L97" s="64">
        <v>24.45</v>
      </c>
      <c r="M97" s="64">
        <v>42.62</v>
      </c>
      <c r="N97" s="64">
        <v>48.6</v>
      </c>
      <c r="O97" s="64">
        <v>0</v>
      </c>
      <c r="P97" s="64">
        <v>3.87</v>
      </c>
      <c r="Q97" s="210" t="s">
        <v>36</v>
      </c>
      <c r="R97" s="198"/>
      <c r="S97" s="198"/>
      <c r="T97" s="198"/>
      <c r="U97" s="198"/>
    </row>
    <row r="98" spans="1:33" s="12" customFormat="1" x14ac:dyDescent="0.25">
      <c r="A98" s="215" t="s">
        <v>911</v>
      </c>
      <c r="B98" s="64">
        <v>284.95</v>
      </c>
      <c r="C98" s="64">
        <v>339.41</v>
      </c>
      <c r="D98" s="64">
        <v>212.27</v>
      </c>
      <c r="E98" s="64">
        <v>8.15</v>
      </c>
      <c r="F98" s="64">
        <v>6.97</v>
      </c>
      <c r="G98" s="64">
        <v>154.02000000000001</v>
      </c>
      <c r="H98" s="64">
        <v>31.58</v>
      </c>
      <c r="I98" s="64">
        <v>3.84</v>
      </c>
      <c r="J98" s="64">
        <v>0.37</v>
      </c>
      <c r="K98" s="64">
        <v>54.86</v>
      </c>
      <c r="L98" s="64">
        <v>24.43</v>
      </c>
      <c r="M98" s="64">
        <v>42.21</v>
      </c>
      <c r="N98" s="64">
        <v>47.7</v>
      </c>
      <c r="O98" s="64">
        <v>0</v>
      </c>
      <c r="P98" s="64">
        <v>3.39</v>
      </c>
      <c r="Q98" s="210" t="s">
        <v>36</v>
      </c>
      <c r="R98" s="198"/>
      <c r="S98" s="198"/>
      <c r="T98" s="198"/>
      <c r="U98" s="198"/>
    </row>
    <row r="99" spans="1:33" s="12" customFormat="1" x14ac:dyDescent="0.25">
      <c r="A99" s="215" t="s">
        <v>912</v>
      </c>
      <c r="B99" s="64">
        <v>46.67</v>
      </c>
      <c r="C99" s="64">
        <v>122.5</v>
      </c>
      <c r="D99" s="64">
        <v>162.83000000000001</v>
      </c>
      <c r="E99" s="64">
        <v>7.78</v>
      </c>
      <c r="F99" s="64">
        <v>10.83</v>
      </c>
      <c r="G99" s="64">
        <v>158.4</v>
      </c>
      <c r="H99" s="64">
        <v>31.57</v>
      </c>
      <c r="I99" s="64">
        <v>4.04</v>
      </c>
      <c r="J99" s="64">
        <v>0.81</v>
      </c>
      <c r="K99" s="64">
        <v>84.01</v>
      </c>
      <c r="L99" s="64">
        <v>26.16</v>
      </c>
      <c r="M99" s="64">
        <v>33.57</v>
      </c>
      <c r="N99" s="64">
        <v>48.1</v>
      </c>
      <c r="O99" s="64">
        <v>0</v>
      </c>
      <c r="P99" s="64">
        <v>1.35</v>
      </c>
      <c r="Q99" s="210" t="s">
        <v>36</v>
      </c>
      <c r="R99" s="198"/>
      <c r="S99" s="198"/>
      <c r="T99" s="198"/>
      <c r="U99" s="198"/>
    </row>
    <row r="100" spans="1:33" s="12" customFormat="1" x14ac:dyDescent="0.25">
      <c r="A100" s="215" t="s">
        <v>913</v>
      </c>
      <c r="B100" s="64">
        <v>90.3</v>
      </c>
      <c r="C100" s="64">
        <v>162.05000000000001</v>
      </c>
      <c r="D100" s="64">
        <v>171.57</v>
      </c>
      <c r="E100" s="64">
        <v>7.76</v>
      </c>
      <c r="F100" s="64">
        <v>9.4700000000000006</v>
      </c>
      <c r="G100" s="64">
        <v>163.16999999999999</v>
      </c>
      <c r="H100" s="64">
        <v>31.56</v>
      </c>
      <c r="I100" s="64">
        <v>3.91</v>
      </c>
      <c r="J100" s="64">
        <v>0.47</v>
      </c>
      <c r="K100" s="64">
        <v>331.43</v>
      </c>
      <c r="L100" s="64">
        <v>26.06</v>
      </c>
      <c r="M100" s="64">
        <v>35.82</v>
      </c>
      <c r="N100" s="64">
        <v>51.1</v>
      </c>
      <c r="O100" s="64">
        <v>0</v>
      </c>
      <c r="P100" s="64">
        <v>1.79</v>
      </c>
      <c r="Q100" s="210" t="s">
        <v>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914</v>
      </c>
      <c r="B101" s="64">
        <v>147.97</v>
      </c>
      <c r="C101" s="64">
        <v>215.63</v>
      </c>
      <c r="D101" s="64">
        <v>185.6</v>
      </c>
      <c r="E101" s="64">
        <v>7.48</v>
      </c>
      <c r="F101" s="64">
        <v>6.78</v>
      </c>
      <c r="G101" s="64">
        <v>163.16999999999999</v>
      </c>
      <c r="H101" s="64">
        <v>31.56</v>
      </c>
      <c r="I101" s="64">
        <v>4.07</v>
      </c>
      <c r="J101" s="64">
        <v>0.38</v>
      </c>
      <c r="K101" s="64">
        <v>270.82</v>
      </c>
      <c r="L101" s="64">
        <v>25.02</v>
      </c>
      <c r="M101" s="64">
        <v>38.11</v>
      </c>
      <c r="N101" s="64">
        <v>51.1</v>
      </c>
      <c r="O101" s="64">
        <v>0</v>
      </c>
      <c r="P101" s="64">
        <v>1.88</v>
      </c>
      <c r="Q101" s="210" t="s">
        <v>36</v>
      </c>
      <c r="R101" s="198"/>
      <c r="S101" s="198"/>
      <c r="T101" s="198"/>
      <c r="U101" s="198"/>
    </row>
    <row r="102" spans="1:33" s="12" customFormat="1" x14ac:dyDescent="0.25">
      <c r="A102" s="215" t="s">
        <v>915</v>
      </c>
      <c r="B102" s="64">
        <v>55.02</v>
      </c>
      <c r="C102" s="64">
        <v>114.91</v>
      </c>
      <c r="D102" s="64">
        <v>135.47999999999999</v>
      </c>
      <c r="E102" s="64">
        <v>7.37</v>
      </c>
      <c r="F102" s="64">
        <v>12.89</v>
      </c>
      <c r="G102" s="64">
        <v>163.16999999999999</v>
      </c>
      <c r="H102" s="64">
        <v>31.56</v>
      </c>
      <c r="I102" s="64">
        <v>3.93</v>
      </c>
      <c r="J102" s="64">
        <v>0.37</v>
      </c>
      <c r="K102" s="64">
        <v>255.69</v>
      </c>
      <c r="L102" s="64">
        <v>25.69</v>
      </c>
      <c r="M102" s="64">
        <v>32.89</v>
      </c>
      <c r="N102" s="64">
        <v>49.7</v>
      </c>
      <c r="O102" s="64">
        <v>0</v>
      </c>
      <c r="P102" s="64">
        <v>1.18</v>
      </c>
      <c r="Q102" s="210" t="s">
        <v>36</v>
      </c>
      <c r="R102" s="198"/>
      <c r="S102" s="198"/>
      <c r="T102" s="198"/>
      <c r="U102" s="198"/>
    </row>
    <row r="103" spans="1:33" s="12" customFormat="1" x14ac:dyDescent="0.25">
      <c r="A103" s="215" t="s">
        <v>916</v>
      </c>
      <c r="B103" s="64">
        <v>98.11</v>
      </c>
      <c r="C103" s="64">
        <v>158.46</v>
      </c>
      <c r="D103" s="64">
        <v>152.69999999999999</v>
      </c>
      <c r="E103" s="64">
        <v>6.56</v>
      </c>
      <c r="F103" s="64">
        <v>10.02</v>
      </c>
      <c r="G103" s="64">
        <v>125.76</v>
      </c>
      <c r="H103" s="64">
        <v>30.05</v>
      </c>
      <c r="I103" s="64">
        <v>4.07</v>
      </c>
      <c r="J103" s="64">
        <v>0.49</v>
      </c>
      <c r="K103" s="64">
        <v>323.76</v>
      </c>
      <c r="L103" s="64">
        <v>25.71</v>
      </c>
      <c r="M103" s="64">
        <v>36.97</v>
      </c>
      <c r="N103" s="64">
        <v>52.1</v>
      </c>
      <c r="O103" s="64">
        <v>0</v>
      </c>
      <c r="P103" s="64">
        <v>1.62</v>
      </c>
      <c r="Q103" s="210" t="s">
        <v>36</v>
      </c>
      <c r="R103" s="198"/>
      <c r="S103" s="198"/>
      <c r="T103" s="198"/>
      <c r="U103" s="198"/>
    </row>
    <row r="104" spans="1:33" s="12" customFormat="1" x14ac:dyDescent="0.25">
      <c r="A104" s="215" t="s">
        <v>917</v>
      </c>
      <c r="B104" s="64">
        <v>95.36</v>
      </c>
      <c r="C104" s="64">
        <v>153.61000000000001</v>
      </c>
      <c r="D104" s="64">
        <v>147.63999999999999</v>
      </c>
      <c r="E104" s="64">
        <v>4.7300000000000004</v>
      </c>
      <c r="F104" s="64">
        <v>7.64</v>
      </c>
      <c r="G104" s="64">
        <v>84.88</v>
      </c>
      <c r="H104" s="64">
        <v>28.4</v>
      </c>
      <c r="I104" s="64">
        <v>4.1399999999999997</v>
      </c>
      <c r="J104" s="64">
        <v>0.33</v>
      </c>
      <c r="K104" s="64">
        <v>336.14</v>
      </c>
      <c r="L104" s="64">
        <v>24.86</v>
      </c>
      <c r="M104" s="64">
        <v>38.25</v>
      </c>
      <c r="N104" s="64">
        <v>52.2</v>
      </c>
      <c r="O104" s="64">
        <v>0</v>
      </c>
      <c r="P104" s="64">
        <v>1.68</v>
      </c>
      <c r="Q104" s="210" t="s">
        <v>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1.88</v>
      </c>
      <c r="C106" s="67">
        <f>MIN(C9:C104)</f>
        <v>36.68</v>
      </c>
      <c r="D106" s="67">
        <f t="shared" ref="D106:Q106" si="0">MIN(D9:D104)</f>
        <v>60.27</v>
      </c>
      <c r="E106" s="67">
        <f t="shared" si="0"/>
        <v>2.5</v>
      </c>
      <c r="F106" s="67">
        <f t="shared" si="0"/>
        <v>6.23</v>
      </c>
      <c r="G106" s="67">
        <f t="shared" si="0"/>
        <v>0</v>
      </c>
      <c r="H106" s="67">
        <f t="shared" si="0"/>
        <v>11.16</v>
      </c>
      <c r="I106" s="67">
        <f t="shared" si="0"/>
        <v>3.79</v>
      </c>
      <c r="J106" s="67">
        <f t="shared" si="0"/>
        <v>0.04</v>
      </c>
      <c r="K106" s="67">
        <f t="shared" si="0"/>
        <v>2.0499999999999998</v>
      </c>
      <c r="L106" s="67">
        <f t="shared" si="0"/>
        <v>19.420000000000002</v>
      </c>
      <c r="M106" s="67">
        <f t="shared" si="0"/>
        <v>10.83</v>
      </c>
      <c r="N106" s="67">
        <f t="shared" si="0"/>
        <v>31.6</v>
      </c>
      <c r="O106" s="67">
        <f t="shared" si="0"/>
        <v>0</v>
      </c>
      <c r="P106" s="67">
        <f t="shared" si="0"/>
        <v>0.35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354.76</v>
      </c>
      <c r="C107" s="66">
        <f t="shared" ref="C107:Q107" si="1">MAX(C9:C104)</f>
        <v>392.16</v>
      </c>
      <c r="D107" s="66">
        <f t="shared" si="1"/>
        <v>244.57</v>
      </c>
      <c r="E107" s="66">
        <f t="shared" si="1"/>
        <v>19.850000000000001</v>
      </c>
      <c r="F107" s="66">
        <f t="shared" si="1"/>
        <v>33.89</v>
      </c>
      <c r="G107" s="66">
        <f t="shared" si="1"/>
        <v>163.16999999999999</v>
      </c>
      <c r="H107" s="66">
        <f t="shared" si="1"/>
        <v>56.14</v>
      </c>
      <c r="I107" s="66">
        <f t="shared" si="1"/>
        <v>4.25</v>
      </c>
      <c r="J107" s="66">
        <f t="shared" si="1"/>
        <v>1.85</v>
      </c>
      <c r="K107" s="66">
        <f t="shared" si="1"/>
        <v>358.26</v>
      </c>
      <c r="L107" s="66">
        <f t="shared" si="1"/>
        <v>335.75</v>
      </c>
      <c r="M107" s="66">
        <f t="shared" si="1"/>
        <v>57.71</v>
      </c>
      <c r="N107" s="66">
        <f t="shared" si="1"/>
        <v>948.6</v>
      </c>
      <c r="O107" s="66">
        <f t="shared" si="1"/>
        <v>0</v>
      </c>
      <c r="P107" s="66">
        <f t="shared" si="1"/>
        <v>4.12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60.606979166666669</v>
      </c>
      <c r="C108" s="67">
        <f t="shared" ref="C108:Q108" si="2">AVERAGE(C9:C104)</f>
        <v>110.1998958333333</v>
      </c>
      <c r="D108" s="67">
        <f t="shared" si="2"/>
        <v>117.89833333333331</v>
      </c>
      <c r="E108" s="67">
        <f t="shared" si="2"/>
        <v>6.9333333333333327</v>
      </c>
      <c r="F108" s="67">
        <f t="shared" si="2"/>
        <v>12.58177083333333</v>
      </c>
      <c r="G108" s="67">
        <f t="shared" si="2"/>
        <v>86.213124999999991</v>
      </c>
      <c r="H108" s="67">
        <f t="shared" si="2"/>
        <v>26.330312499999973</v>
      </c>
      <c r="I108" s="67">
        <f t="shared" si="2"/>
        <v>4.0207291666666674</v>
      </c>
      <c r="J108" s="67">
        <f t="shared" si="2"/>
        <v>0.60385416666666669</v>
      </c>
      <c r="K108" s="67">
        <f t="shared" si="2"/>
        <v>223.53708333333324</v>
      </c>
      <c r="L108" s="67">
        <f t="shared" si="2"/>
        <v>31.154374999999998</v>
      </c>
      <c r="M108" s="67">
        <f t="shared" si="2"/>
        <v>31.823020833333356</v>
      </c>
      <c r="N108" s="67">
        <f t="shared" si="2"/>
        <v>271.96562500000005</v>
      </c>
      <c r="O108" s="67">
        <f t="shared" si="2"/>
        <v>0</v>
      </c>
      <c r="P108" s="67">
        <f t="shared" si="2"/>
        <v>1.2838541666666667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84.956201509889979</v>
      </c>
      <c r="C109" s="67">
        <f t="shared" ref="C109:Q109" si="3">STDEV(C9:C104)</f>
        <v>91.225784322483094</v>
      </c>
      <c r="D109" s="67">
        <f t="shared" si="3"/>
        <v>49.292526233255217</v>
      </c>
      <c r="E109" s="67">
        <f t="shared" si="3"/>
        <v>3.8258485585530528</v>
      </c>
      <c r="F109" s="67">
        <f t="shared" si="3"/>
        <v>8.4282642272161876</v>
      </c>
      <c r="G109" s="67">
        <f t="shared" si="3"/>
        <v>34.693154559501743</v>
      </c>
      <c r="H109" s="67">
        <f t="shared" si="3"/>
        <v>10.436311654696246</v>
      </c>
      <c r="I109" s="67">
        <f t="shared" si="3"/>
        <v>8.6635896190735681E-2</v>
      </c>
      <c r="J109" s="67">
        <f t="shared" si="3"/>
        <v>0.34514488122393977</v>
      </c>
      <c r="K109" s="67">
        <f t="shared" si="3"/>
        <v>104.62998335404015</v>
      </c>
      <c r="L109" s="67">
        <f t="shared" si="3"/>
        <v>31.985636901995804</v>
      </c>
      <c r="M109" s="67">
        <f t="shared" si="3"/>
        <v>14.228902470512219</v>
      </c>
      <c r="N109" s="67">
        <f t="shared" si="3"/>
        <v>323.43023874127306</v>
      </c>
      <c r="O109" s="67">
        <f t="shared" si="3"/>
        <v>0</v>
      </c>
      <c r="P109" s="67">
        <f t="shared" si="3"/>
        <v>0.97164577668555607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COUNT(Q9:Q104)+96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918</v>
      </c>
      <c r="B9" s="64">
        <v>76.989999999999995</v>
      </c>
      <c r="C9" s="64">
        <v>133.18</v>
      </c>
      <c r="D9" s="64">
        <v>136.72</v>
      </c>
      <c r="E9" s="64">
        <v>4.8899999999999997</v>
      </c>
      <c r="F9" s="64">
        <v>8.48</v>
      </c>
      <c r="G9" s="64">
        <v>84.88</v>
      </c>
      <c r="H9" s="64">
        <v>28.4</v>
      </c>
      <c r="I9" s="64">
        <v>3.96</v>
      </c>
      <c r="J9" s="64">
        <v>0.12</v>
      </c>
      <c r="K9" s="64">
        <v>155.6</v>
      </c>
      <c r="L9" s="64">
        <v>24.34</v>
      </c>
      <c r="M9" s="64">
        <v>38.67</v>
      </c>
      <c r="N9" s="64">
        <v>51.6</v>
      </c>
      <c r="O9" s="64">
        <v>0</v>
      </c>
      <c r="P9" s="64">
        <v>1.63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919</v>
      </c>
      <c r="B10" s="64">
        <v>76.14</v>
      </c>
      <c r="C10" s="64">
        <v>130.88999999999999</v>
      </c>
      <c r="D10" s="64">
        <v>133.66</v>
      </c>
      <c r="E10" s="64">
        <v>4.13</v>
      </c>
      <c r="F10" s="64">
        <v>7.36</v>
      </c>
      <c r="G10" s="64">
        <v>84.88</v>
      </c>
      <c r="H10" s="64">
        <v>28.4</v>
      </c>
      <c r="I10" s="64">
        <v>4.0199999999999996</v>
      </c>
      <c r="J10" s="64">
        <v>0.32</v>
      </c>
      <c r="K10" s="64">
        <v>259.45</v>
      </c>
      <c r="L10" s="64">
        <v>24.31</v>
      </c>
      <c r="M10" s="64">
        <v>41.29</v>
      </c>
      <c r="N10" s="64">
        <v>51.8</v>
      </c>
      <c r="O10" s="64">
        <v>0</v>
      </c>
      <c r="P10" s="64">
        <v>1.56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920</v>
      </c>
      <c r="B11" s="64">
        <v>81.97</v>
      </c>
      <c r="C11" s="64">
        <v>137.35</v>
      </c>
      <c r="D11" s="64">
        <v>137.07</v>
      </c>
      <c r="E11" s="64">
        <v>4.42</v>
      </c>
      <c r="F11" s="64">
        <v>6.61</v>
      </c>
      <c r="G11" s="64">
        <v>94.07</v>
      </c>
      <c r="H11" s="64">
        <v>28.57</v>
      </c>
      <c r="I11" s="64">
        <v>3.94</v>
      </c>
      <c r="J11" s="64">
        <v>0.59</v>
      </c>
      <c r="K11" s="64">
        <v>331.23</v>
      </c>
      <c r="L11" s="64">
        <v>23.5</v>
      </c>
      <c r="M11" s="64">
        <v>43.62</v>
      </c>
      <c r="N11" s="64">
        <v>52.5</v>
      </c>
      <c r="O11" s="64">
        <v>0</v>
      </c>
      <c r="P11" s="64">
        <v>1.62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921</v>
      </c>
      <c r="B12" s="64">
        <v>90.58</v>
      </c>
      <c r="C12" s="64">
        <v>142.83000000000001</v>
      </c>
      <c r="D12" s="64">
        <v>134.35</v>
      </c>
      <c r="E12" s="64">
        <v>3.87</v>
      </c>
      <c r="F12" s="64">
        <v>6.55</v>
      </c>
      <c r="G12" s="64">
        <v>104.13</v>
      </c>
      <c r="H12" s="64">
        <v>28.76</v>
      </c>
      <c r="I12" s="64">
        <v>4.01</v>
      </c>
      <c r="J12" s="64">
        <v>0.43</v>
      </c>
      <c r="K12" s="64">
        <v>224.27</v>
      </c>
      <c r="L12" s="64">
        <v>23.19</v>
      </c>
      <c r="M12" s="64">
        <v>45.03</v>
      </c>
      <c r="N12" s="64">
        <v>51.6</v>
      </c>
      <c r="O12" s="64">
        <v>0</v>
      </c>
      <c r="P12" s="64">
        <v>1.61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922</v>
      </c>
      <c r="B13" s="64">
        <v>72.930000000000007</v>
      </c>
      <c r="C13" s="64">
        <v>126.33</v>
      </c>
      <c r="D13" s="64">
        <v>129.84</v>
      </c>
      <c r="E13" s="64">
        <v>4.24</v>
      </c>
      <c r="F13" s="64">
        <v>6.48</v>
      </c>
      <c r="G13" s="64">
        <v>104.13</v>
      </c>
      <c r="H13" s="64">
        <v>28.76</v>
      </c>
      <c r="I13" s="64">
        <v>4.0599999999999996</v>
      </c>
      <c r="J13" s="64">
        <v>0.5</v>
      </c>
      <c r="K13" s="64">
        <v>311.74</v>
      </c>
      <c r="L13" s="64">
        <v>23.28</v>
      </c>
      <c r="M13" s="64">
        <v>46.92</v>
      </c>
      <c r="N13" s="64">
        <v>52.3</v>
      </c>
      <c r="O13" s="64">
        <v>0</v>
      </c>
      <c r="P13" s="64">
        <v>1.1499999999999999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923</v>
      </c>
      <c r="B14" s="64">
        <v>82.81</v>
      </c>
      <c r="C14" s="64">
        <v>132.16</v>
      </c>
      <c r="D14" s="64">
        <v>125.85</v>
      </c>
      <c r="E14" s="64">
        <v>3.91</v>
      </c>
      <c r="F14" s="64">
        <v>6.25</v>
      </c>
      <c r="G14" s="64">
        <v>104.13</v>
      </c>
      <c r="H14" s="64">
        <v>28.76</v>
      </c>
      <c r="I14" s="64">
        <v>3.97</v>
      </c>
      <c r="J14" s="64">
        <v>0.37</v>
      </c>
      <c r="K14" s="64">
        <v>341.89</v>
      </c>
      <c r="L14" s="64">
        <v>22.61</v>
      </c>
      <c r="M14" s="64">
        <v>49.56</v>
      </c>
      <c r="N14" s="64">
        <v>52.4</v>
      </c>
      <c r="O14" s="64">
        <v>0</v>
      </c>
      <c r="P14" s="64">
        <v>1.33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924</v>
      </c>
      <c r="B15" s="64">
        <v>73.180000000000007</v>
      </c>
      <c r="C15" s="64">
        <v>122.16</v>
      </c>
      <c r="D15" s="64">
        <v>121.5</v>
      </c>
      <c r="E15" s="64">
        <v>4.04</v>
      </c>
      <c r="F15" s="64">
        <v>6.27</v>
      </c>
      <c r="G15" s="64">
        <v>98.15</v>
      </c>
      <c r="H15" s="64">
        <v>27.4</v>
      </c>
      <c r="I15" s="64">
        <v>4.01</v>
      </c>
      <c r="J15" s="64">
        <v>0.43</v>
      </c>
      <c r="K15" s="64">
        <v>268.27</v>
      </c>
      <c r="L15" s="64">
        <v>22.31</v>
      </c>
      <c r="M15" s="64">
        <v>50.61</v>
      </c>
      <c r="N15" s="64">
        <v>52.3</v>
      </c>
      <c r="O15" s="64">
        <v>0</v>
      </c>
      <c r="P15" s="64">
        <v>1.26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925</v>
      </c>
      <c r="B16" s="64">
        <v>77.78</v>
      </c>
      <c r="C16" s="64">
        <v>120.47</v>
      </c>
      <c r="D16" s="64">
        <v>111.19</v>
      </c>
      <c r="E16" s="64">
        <v>3.19</v>
      </c>
      <c r="F16" s="64">
        <v>7.07</v>
      </c>
      <c r="G16" s="64">
        <v>91.61</v>
      </c>
      <c r="H16" s="64">
        <v>25.91</v>
      </c>
      <c r="I16" s="64">
        <v>4.07</v>
      </c>
      <c r="J16" s="64">
        <v>0.64</v>
      </c>
      <c r="K16" s="64">
        <v>306.87</v>
      </c>
      <c r="L16" s="64">
        <v>22.02</v>
      </c>
      <c r="M16" s="64">
        <v>51.69</v>
      </c>
      <c r="N16" s="64">
        <v>52</v>
      </c>
      <c r="O16" s="64">
        <v>0</v>
      </c>
      <c r="P16" s="64">
        <v>1.32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926</v>
      </c>
      <c r="B17" s="64">
        <v>29.21</v>
      </c>
      <c r="C17" s="64">
        <v>68.67</v>
      </c>
      <c r="D17" s="64">
        <v>86.6</v>
      </c>
      <c r="E17" s="64">
        <v>3.68</v>
      </c>
      <c r="F17" s="64">
        <v>11.6</v>
      </c>
      <c r="G17" s="64">
        <v>91.61</v>
      </c>
      <c r="H17" s="64">
        <v>25.91</v>
      </c>
      <c r="I17" s="64">
        <v>4.0599999999999996</v>
      </c>
      <c r="J17" s="64">
        <v>0.36</v>
      </c>
      <c r="K17" s="64">
        <v>297.19</v>
      </c>
      <c r="L17" s="64">
        <v>22.5</v>
      </c>
      <c r="M17" s="64">
        <v>45.75</v>
      </c>
      <c r="N17" s="64">
        <v>51.7</v>
      </c>
      <c r="O17" s="64">
        <v>0</v>
      </c>
      <c r="P17" s="64">
        <v>0.77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927</v>
      </c>
      <c r="B18" s="64">
        <v>35.299999999999997</v>
      </c>
      <c r="C18" s="64">
        <v>73.16</v>
      </c>
      <c r="D18" s="64">
        <v>85.85</v>
      </c>
      <c r="E18" s="64">
        <v>3.63</v>
      </c>
      <c r="F18" s="64">
        <v>11.03</v>
      </c>
      <c r="G18" s="64">
        <v>91.61</v>
      </c>
      <c r="H18" s="64">
        <v>25.91</v>
      </c>
      <c r="I18" s="64">
        <v>3.97</v>
      </c>
      <c r="J18" s="64">
        <v>1</v>
      </c>
      <c r="K18" s="64">
        <v>100.91</v>
      </c>
      <c r="L18" s="64">
        <v>22.65</v>
      </c>
      <c r="M18" s="64">
        <v>46.05</v>
      </c>
      <c r="N18" s="64">
        <v>50.6</v>
      </c>
      <c r="O18" s="64">
        <v>0</v>
      </c>
      <c r="P18" s="64">
        <v>0.83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928</v>
      </c>
      <c r="B19" s="64">
        <v>28.86</v>
      </c>
      <c r="C19" s="64">
        <v>69.98</v>
      </c>
      <c r="D19" s="64">
        <v>89.65</v>
      </c>
      <c r="E19" s="64">
        <v>3.72</v>
      </c>
      <c r="F19" s="64">
        <v>10.39</v>
      </c>
      <c r="G19" s="64">
        <v>85.22</v>
      </c>
      <c r="H19" s="64">
        <v>25.61</v>
      </c>
      <c r="I19" s="64">
        <v>3.91</v>
      </c>
      <c r="J19" s="64">
        <v>0.53</v>
      </c>
      <c r="K19" s="64">
        <v>248.34</v>
      </c>
      <c r="L19" s="64">
        <v>23.24</v>
      </c>
      <c r="M19" s="64">
        <v>44.52</v>
      </c>
      <c r="N19" s="64">
        <v>51.9</v>
      </c>
      <c r="O19" s="64">
        <v>0</v>
      </c>
      <c r="P19" s="64">
        <v>0.74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929</v>
      </c>
      <c r="B20" s="64">
        <v>24.13</v>
      </c>
      <c r="C20" s="64">
        <v>62.58</v>
      </c>
      <c r="D20" s="64">
        <v>82.73</v>
      </c>
      <c r="E20" s="64">
        <v>3.54</v>
      </c>
      <c r="F20" s="64">
        <v>9.93</v>
      </c>
      <c r="G20" s="64">
        <v>78.23</v>
      </c>
      <c r="H20" s="64">
        <v>25.28</v>
      </c>
      <c r="I20" s="64">
        <v>4.05</v>
      </c>
      <c r="J20" s="64">
        <v>0.25</v>
      </c>
      <c r="K20" s="64">
        <v>4.53</v>
      </c>
      <c r="L20" s="64">
        <v>22.12</v>
      </c>
      <c r="M20" s="64">
        <v>50.85</v>
      </c>
      <c r="N20" s="64">
        <v>53</v>
      </c>
      <c r="O20" s="64">
        <v>0</v>
      </c>
      <c r="P20" s="64">
        <v>0.68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930</v>
      </c>
      <c r="B21" s="64">
        <v>24.27</v>
      </c>
      <c r="C21" s="64">
        <v>65.34</v>
      </c>
      <c r="D21" s="64">
        <v>87.81</v>
      </c>
      <c r="E21" s="64">
        <v>3.95</v>
      </c>
      <c r="F21" s="64">
        <v>10.4</v>
      </c>
      <c r="G21" s="64">
        <v>78.23</v>
      </c>
      <c r="H21" s="64">
        <v>25.28</v>
      </c>
      <c r="I21" s="64">
        <v>3.97</v>
      </c>
      <c r="J21" s="64">
        <v>0.36</v>
      </c>
      <c r="K21" s="64">
        <v>131.63</v>
      </c>
      <c r="L21" s="64">
        <v>22.19</v>
      </c>
      <c r="M21" s="64">
        <v>47.41</v>
      </c>
      <c r="N21" s="64">
        <v>51.7</v>
      </c>
      <c r="O21" s="64">
        <v>0</v>
      </c>
      <c r="P21" s="64">
        <v>0.66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931</v>
      </c>
      <c r="B22" s="64">
        <v>33.17</v>
      </c>
      <c r="C22" s="64">
        <v>66.709999999999994</v>
      </c>
      <c r="D22" s="64">
        <v>76.77</v>
      </c>
      <c r="E22" s="64">
        <v>4.37</v>
      </c>
      <c r="F22" s="64">
        <v>16.09</v>
      </c>
      <c r="G22" s="64">
        <v>78.23</v>
      </c>
      <c r="H22" s="64">
        <v>25.28</v>
      </c>
      <c r="I22" s="64">
        <v>4.05</v>
      </c>
      <c r="J22" s="64">
        <v>0.68</v>
      </c>
      <c r="K22" s="64">
        <v>155.16999999999999</v>
      </c>
      <c r="L22" s="64">
        <v>23.68</v>
      </c>
      <c r="M22" s="64">
        <v>37</v>
      </c>
      <c r="N22" s="64">
        <v>49.7</v>
      </c>
      <c r="O22" s="64">
        <v>0</v>
      </c>
      <c r="P22" s="64">
        <v>0.67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932</v>
      </c>
      <c r="B23" s="64">
        <v>39.659999999999997</v>
      </c>
      <c r="C23" s="64">
        <v>65.12</v>
      </c>
      <c r="D23" s="64">
        <v>63.77</v>
      </c>
      <c r="E23" s="64">
        <v>4.17</v>
      </c>
      <c r="F23" s="64">
        <v>17.22</v>
      </c>
      <c r="G23" s="64">
        <v>71.099999999999994</v>
      </c>
      <c r="H23" s="64">
        <v>24.82</v>
      </c>
      <c r="I23" s="64">
        <v>4.01</v>
      </c>
      <c r="J23" s="64">
        <v>0.8</v>
      </c>
      <c r="K23" s="64">
        <v>142.57</v>
      </c>
      <c r="L23" s="64">
        <v>24.15</v>
      </c>
      <c r="M23" s="64">
        <v>36.33</v>
      </c>
      <c r="N23" s="64">
        <v>51.4</v>
      </c>
      <c r="O23" s="64">
        <v>0</v>
      </c>
      <c r="P23" s="64">
        <v>0.75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933</v>
      </c>
      <c r="B24" s="64">
        <v>36.67</v>
      </c>
      <c r="C24" s="64">
        <v>67.790000000000006</v>
      </c>
      <c r="D24" s="64">
        <v>73.459999999999994</v>
      </c>
      <c r="E24" s="64">
        <v>4.18</v>
      </c>
      <c r="F24" s="64">
        <v>14.76</v>
      </c>
      <c r="G24" s="64">
        <v>63.31</v>
      </c>
      <c r="H24" s="64">
        <v>24.32</v>
      </c>
      <c r="I24" s="64">
        <v>4.05</v>
      </c>
      <c r="J24" s="64">
        <v>0.43</v>
      </c>
      <c r="K24" s="64">
        <v>77.930000000000007</v>
      </c>
      <c r="L24" s="64">
        <v>23.63</v>
      </c>
      <c r="M24" s="64">
        <v>38.729999999999997</v>
      </c>
      <c r="N24" s="64">
        <v>52.5</v>
      </c>
      <c r="O24" s="64">
        <v>0</v>
      </c>
      <c r="P24" s="64">
        <v>0.72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934</v>
      </c>
      <c r="B25" s="64">
        <v>58.64</v>
      </c>
      <c r="C25" s="64">
        <v>93.15</v>
      </c>
      <c r="D25" s="64">
        <v>88.28</v>
      </c>
      <c r="E25" s="64">
        <v>3.12</v>
      </c>
      <c r="F25" s="64">
        <v>9.64</v>
      </c>
      <c r="G25" s="64">
        <v>63.31</v>
      </c>
      <c r="H25" s="64">
        <v>24.32</v>
      </c>
      <c r="I25" s="64">
        <v>3.98</v>
      </c>
      <c r="J25" s="64">
        <v>0.21</v>
      </c>
      <c r="K25" s="64">
        <v>99.49</v>
      </c>
      <c r="L25" s="64">
        <v>23.36</v>
      </c>
      <c r="M25" s="64">
        <v>40.03</v>
      </c>
      <c r="N25" s="64">
        <v>52.5</v>
      </c>
      <c r="O25" s="64">
        <v>0</v>
      </c>
      <c r="P25" s="64">
        <v>1.08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935</v>
      </c>
      <c r="B26" s="64">
        <v>59.32</v>
      </c>
      <c r="C26" s="64">
        <v>95.84</v>
      </c>
      <c r="D26" s="64">
        <v>92.38</v>
      </c>
      <c r="E26" s="64">
        <v>3.13</v>
      </c>
      <c r="F26" s="64">
        <v>8.51</v>
      </c>
      <c r="G26" s="64">
        <v>63.31</v>
      </c>
      <c r="H26" s="64">
        <v>24.32</v>
      </c>
      <c r="I26" s="64">
        <v>3.89</v>
      </c>
      <c r="J26" s="64">
        <v>0.77</v>
      </c>
      <c r="K26" s="64">
        <v>170.49</v>
      </c>
      <c r="L26" s="64">
        <v>23.07</v>
      </c>
      <c r="M26" s="64">
        <v>40.99</v>
      </c>
      <c r="N26" s="64">
        <v>52.3</v>
      </c>
      <c r="O26" s="64">
        <v>0</v>
      </c>
      <c r="P26" s="64">
        <v>1.1100000000000001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936</v>
      </c>
      <c r="B27" s="64">
        <v>48.2</v>
      </c>
      <c r="C27" s="64">
        <v>85.99</v>
      </c>
      <c r="D27" s="64">
        <v>90.61</v>
      </c>
      <c r="E27" s="64">
        <v>3.2</v>
      </c>
      <c r="F27" s="64">
        <v>9.16</v>
      </c>
      <c r="G27" s="64">
        <v>57.18</v>
      </c>
      <c r="H27" s="64">
        <v>22.57</v>
      </c>
      <c r="I27" s="64">
        <v>4.09</v>
      </c>
      <c r="J27" s="64">
        <v>0.47</v>
      </c>
      <c r="K27" s="64">
        <v>196.31</v>
      </c>
      <c r="L27" s="64">
        <v>22.81</v>
      </c>
      <c r="M27" s="64">
        <v>42.97</v>
      </c>
      <c r="N27" s="64">
        <v>52.6</v>
      </c>
      <c r="O27" s="64">
        <v>0</v>
      </c>
      <c r="P27" s="64">
        <v>0.98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937</v>
      </c>
      <c r="B28" s="64">
        <v>51.97</v>
      </c>
      <c r="C28" s="64">
        <v>90.62</v>
      </c>
      <c r="D28" s="64">
        <v>93.68</v>
      </c>
      <c r="E28" s="64">
        <v>2.59</v>
      </c>
      <c r="F28" s="64">
        <v>7.49</v>
      </c>
      <c r="G28" s="64">
        <v>50.49</v>
      </c>
      <c r="H28" s="64">
        <v>20.67</v>
      </c>
      <c r="I28" s="64">
        <v>3.99</v>
      </c>
      <c r="J28" s="64">
        <v>1.4</v>
      </c>
      <c r="K28" s="64">
        <v>165.27</v>
      </c>
      <c r="L28" s="64">
        <v>22.7</v>
      </c>
      <c r="M28" s="64">
        <v>43.64</v>
      </c>
      <c r="N28" s="64">
        <v>52</v>
      </c>
      <c r="O28" s="64">
        <v>0</v>
      </c>
      <c r="P28" s="64">
        <v>1.03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938</v>
      </c>
      <c r="B29" s="64">
        <v>47.38</v>
      </c>
      <c r="C29" s="64">
        <v>86.66</v>
      </c>
      <c r="D29" s="64">
        <v>93.14</v>
      </c>
      <c r="E29" s="64">
        <v>2.58</v>
      </c>
      <c r="F29" s="64">
        <v>7</v>
      </c>
      <c r="G29" s="64">
        <v>50.49</v>
      </c>
      <c r="H29" s="64">
        <v>20.67</v>
      </c>
      <c r="I29" s="64">
        <v>3.96</v>
      </c>
      <c r="J29" s="64">
        <v>1.27</v>
      </c>
      <c r="K29" s="64">
        <v>165.08</v>
      </c>
      <c r="L29" s="64">
        <v>22.46</v>
      </c>
      <c r="M29" s="64">
        <v>44.41</v>
      </c>
      <c r="N29" s="64">
        <v>52.5</v>
      </c>
      <c r="O29" s="64">
        <v>0</v>
      </c>
      <c r="P29" s="64">
        <v>0.99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939</v>
      </c>
      <c r="B30" s="64">
        <v>43.76</v>
      </c>
      <c r="C30" s="64">
        <v>82.92</v>
      </c>
      <c r="D30" s="64">
        <v>91.54</v>
      </c>
      <c r="E30" s="64">
        <v>2.66</v>
      </c>
      <c r="F30" s="64">
        <v>6.81</v>
      </c>
      <c r="G30" s="64">
        <v>50.49</v>
      </c>
      <c r="H30" s="64">
        <v>20.67</v>
      </c>
      <c r="I30" s="64">
        <v>4</v>
      </c>
      <c r="J30" s="64">
        <v>1.56</v>
      </c>
      <c r="K30" s="64">
        <v>162.34</v>
      </c>
      <c r="L30" s="64">
        <v>22.13</v>
      </c>
      <c r="M30" s="64">
        <v>45.85</v>
      </c>
      <c r="N30" s="64">
        <v>52.7</v>
      </c>
      <c r="O30" s="64">
        <v>0</v>
      </c>
      <c r="P30" s="64">
        <v>0.94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940</v>
      </c>
      <c r="B31" s="64">
        <v>40.89</v>
      </c>
      <c r="C31" s="64">
        <v>80.819999999999993</v>
      </c>
      <c r="D31" s="64">
        <v>91.92</v>
      </c>
      <c r="E31" s="64">
        <v>2.2999999999999998</v>
      </c>
      <c r="F31" s="64">
        <v>6.64</v>
      </c>
      <c r="G31" s="64">
        <v>46.93</v>
      </c>
      <c r="H31" s="64">
        <v>19.3</v>
      </c>
      <c r="I31" s="64">
        <v>3.9</v>
      </c>
      <c r="J31" s="64">
        <v>1.18</v>
      </c>
      <c r="K31" s="64">
        <v>172.2</v>
      </c>
      <c r="L31" s="64">
        <v>21.84</v>
      </c>
      <c r="M31" s="64">
        <v>47.17</v>
      </c>
      <c r="N31" s="64">
        <v>54.1</v>
      </c>
      <c r="O31" s="64">
        <v>0</v>
      </c>
      <c r="P31" s="64">
        <v>0.9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941</v>
      </c>
      <c r="B32" s="64">
        <v>36.380000000000003</v>
      </c>
      <c r="C32" s="64">
        <v>77.95</v>
      </c>
      <c r="D32" s="64">
        <v>93.36</v>
      </c>
      <c r="E32" s="64">
        <v>2.21</v>
      </c>
      <c r="F32" s="64">
        <v>6.75</v>
      </c>
      <c r="G32" s="64">
        <v>43.05</v>
      </c>
      <c r="H32" s="64">
        <v>17.809999999999999</v>
      </c>
      <c r="I32" s="64">
        <v>3.94</v>
      </c>
      <c r="J32" s="64">
        <v>1.08</v>
      </c>
      <c r="K32" s="64">
        <v>175.24</v>
      </c>
      <c r="L32" s="64">
        <v>21.32</v>
      </c>
      <c r="M32" s="64">
        <v>50.08</v>
      </c>
      <c r="N32" s="64">
        <v>61.3</v>
      </c>
      <c r="O32" s="64">
        <v>0</v>
      </c>
      <c r="P32" s="64">
        <v>0.86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942</v>
      </c>
      <c r="B33" s="64">
        <v>31.47</v>
      </c>
      <c r="C33" s="64">
        <v>73.59</v>
      </c>
      <c r="D33" s="64">
        <v>92.55</v>
      </c>
      <c r="E33" s="64">
        <v>1.99</v>
      </c>
      <c r="F33" s="64">
        <v>6.8</v>
      </c>
      <c r="G33" s="64">
        <v>43.05</v>
      </c>
      <c r="H33" s="64">
        <v>17.809999999999999</v>
      </c>
      <c r="I33" s="64">
        <v>3.98</v>
      </c>
      <c r="J33" s="64">
        <v>0.56999999999999995</v>
      </c>
      <c r="K33" s="64">
        <v>189.28</v>
      </c>
      <c r="L33" s="64">
        <v>20.91</v>
      </c>
      <c r="M33" s="64">
        <v>53.29</v>
      </c>
      <c r="N33" s="64">
        <v>77.5</v>
      </c>
      <c r="O33" s="64">
        <v>0</v>
      </c>
      <c r="P33" s="64">
        <v>0.82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943</v>
      </c>
      <c r="B34" s="64">
        <v>28.64</v>
      </c>
      <c r="C34" s="64">
        <v>69.88</v>
      </c>
      <c r="D34" s="64">
        <v>89.79</v>
      </c>
      <c r="E34" s="64">
        <v>2.48</v>
      </c>
      <c r="F34" s="64">
        <v>7.07</v>
      </c>
      <c r="G34" s="64">
        <v>43.05</v>
      </c>
      <c r="H34" s="64">
        <v>17.809999999999999</v>
      </c>
      <c r="I34" s="64">
        <v>4.01</v>
      </c>
      <c r="J34" s="64">
        <v>0.74</v>
      </c>
      <c r="K34" s="64">
        <v>187.2</v>
      </c>
      <c r="L34" s="64">
        <v>20.9</v>
      </c>
      <c r="M34" s="64">
        <v>55.15</v>
      </c>
      <c r="N34" s="64">
        <v>99.7</v>
      </c>
      <c r="O34" s="64">
        <v>0</v>
      </c>
      <c r="P34" s="64">
        <v>0.77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944</v>
      </c>
      <c r="B35" s="64">
        <v>20.61</v>
      </c>
      <c r="C35" s="64">
        <v>58.88</v>
      </c>
      <c r="D35" s="64">
        <v>81.069999999999993</v>
      </c>
      <c r="E35" s="64">
        <v>2.72</v>
      </c>
      <c r="F35" s="64">
        <v>9.52</v>
      </c>
      <c r="G35" s="64">
        <v>43.04</v>
      </c>
      <c r="H35" s="64">
        <v>18.47</v>
      </c>
      <c r="I35" s="64">
        <v>3.94</v>
      </c>
      <c r="J35" s="64">
        <v>0.59</v>
      </c>
      <c r="K35" s="64">
        <v>218.85</v>
      </c>
      <c r="L35" s="64">
        <v>21.24</v>
      </c>
      <c r="M35" s="64">
        <v>55.39</v>
      </c>
      <c r="N35" s="64">
        <v>136.1</v>
      </c>
      <c r="O35" s="64">
        <v>0</v>
      </c>
      <c r="P35" s="64">
        <v>0.6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945</v>
      </c>
      <c r="B36" s="64">
        <v>19.71</v>
      </c>
      <c r="C36" s="64">
        <v>55.82</v>
      </c>
      <c r="D36" s="64">
        <v>76.59</v>
      </c>
      <c r="E36" s="64">
        <v>2.58</v>
      </c>
      <c r="F36" s="64">
        <v>9.3699999999999992</v>
      </c>
      <c r="G36" s="64">
        <v>43.04</v>
      </c>
      <c r="H36" s="64">
        <v>19.18</v>
      </c>
      <c r="I36" s="64">
        <v>4.13</v>
      </c>
      <c r="J36" s="64">
        <v>0.72</v>
      </c>
      <c r="K36" s="64">
        <v>177.06</v>
      </c>
      <c r="L36" s="64">
        <v>21.86</v>
      </c>
      <c r="M36" s="64">
        <v>56.11</v>
      </c>
      <c r="N36" s="64">
        <v>178.8</v>
      </c>
      <c r="O36" s="64">
        <v>0</v>
      </c>
      <c r="P36" s="64">
        <v>0.59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946</v>
      </c>
      <c r="B37" s="64">
        <v>24.98</v>
      </c>
      <c r="C37" s="64">
        <v>63.33</v>
      </c>
      <c r="D37" s="64">
        <v>82.88</v>
      </c>
      <c r="E37" s="64">
        <v>2.27</v>
      </c>
      <c r="F37" s="64">
        <v>7.26</v>
      </c>
      <c r="G37" s="64">
        <v>43.04</v>
      </c>
      <c r="H37" s="64">
        <v>19.18</v>
      </c>
      <c r="I37" s="64">
        <v>4.03</v>
      </c>
      <c r="J37" s="64">
        <v>1.42</v>
      </c>
      <c r="K37" s="64">
        <v>165.94</v>
      </c>
      <c r="L37" s="64">
        <v>22.22</v>
      </c>
      <c r="M37" s="64">
        <v>57.74</v>
      </c>
      <c r="N37" s="64">
        <v>231</v>
      </c>
      <c r="O37" s="64">
        <v>0</v>
      </c>
      <c r="P37" s="64">
        <v>0.84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947</v>
      </c>
      <c r="B38" s="64">
        <v>22.02</v>
      </c>
      <c r="C38" s="64">
        <v>61.15</v>
      </c>
      <c r="D38" s="64">
        <v>83.24</v>
      </c>
      <c r="E38" s="64">
        <v>2.4900000000000002</v>
      </c>
      <c r="F38" s="64">
        <v>7.26</v>
      </c>
      <c r="G38" s="64">
        <v>43.04</v>
      </c>
      <c r="H38" s="64">
        <v>19.18</v>
      </c>
      <c r="I38" s="64">
        <v>4.01</v>
      </c>
      <c r="J38" s="64">
        <v>1.24</v>
      </c>
      <c r="K38" s="64">
        <v>160.52000000000001</v>
      </c>
      <c r="L38" s="64">
        <v>22.92</v>
      </c>
      <c r="M38" s="64">
        <v>56.77</v>
      </c>
      <c r="N38" s="64">
        <v>287.39999999999998</v>
      </c>
      <c r="O38" s="64">
        <v>0</v>
      </c>
      <c r="P38" s="64">
        <v>0.83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948</v>
      </c>
      <c r="B39" s="64">
        <v>21.31</v>
      </c>
      <c r="C39" s="64">
        <v>62.03</v>
      </c>
      <c r="D39" s="64">
        <v>86.02</v>
      </c>
      <c r="E39" s="64">
        <v>2.2799999999999998</v>
      </c>
      <c r="F39" s="64">
        <v>8.81</v>
      </c>
      <c r="G39" s="64">
        <v>47.68</v>
      </c>
      <c r="H39" s="64">
        <v>17.46</v>
      </c>
      <c r="I39" s="64">
        <v>4.0999999999999996</v>
      </c>
      <c r="J39" s="64">
        <v>1.33</v>
      </c>
      <c r="K39" s="64">
        <v>152.57</v>
      </c>
      <c r="L39" s="64">
        <v>24.13</v>
      </c>
      <c r="M39" s="64">
        <v>53.33</v>
      </c>
      <c r="N39" s="64">
        <v>348.6</v>
      </c>
      <c r="O39" s="64">
        <v>0</v>
      </c>
      <c r="P39" s="64">
        <v>0.8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949</v>
      </c>
      <c r="B40" s="64">
        <v>19.760000000000002</v>
      </c>
      <c r="C40" s="64">
        <v>58.57</v>
      </c>
      <c r="D40" s="64">
        <v>81.760000000000005</v>
      </c>
      <c r="E40" s="64">
        <v>3.94</v>
      </c>
      <c r="F40" s="64">
        <v>11.54</v>
      </c>
      <c r="G40" s="64">
        <v>52.75</v>
      </c>
      <c r="H40" s="64">
        <v>15.59</v>
      </c>
      <c r="I40" s="64">
        <v>4.0199999999999996</v>
      </c>
      <c r="J40" s="64">
        <v>0.51</v>
      </c>
      <c r="K40" s="64">
        <v>211.1</v>
      </c>
      <c r="L40" s="64">
        <v>25.59</v>
      </c>
      <c r="M40" s="64">
        <v>49.47</v>
      </c>
      <c r="N40" s="64">
        <v>400.4</v>
      </c>
      <c r="O40" s="64">
        <v>0</v>
      </c>
      <c r="P40" s="64">
        <v>0.68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950</v>
      </c>
      <c r="B41" s="64">
        <v>14.73</v>
      </c>
      <c r="C41" s="64">
        <v>51.45</v>
      </c>
      <c r="D41" s="64">
        <v>75.849999999999994</v>
      </c>
      <c r="E41" s="64">
        <v>3.48</v>
      </c>
      <c r="F41" s="64">
        <v>11.6</v>
      </c>
      <c r="G41" s="64">
        <v>52.75</v>
      </c>
      <c r="H41" s="64">
        <v>15.59</v>
      </c>
      <c r="I41" s="64">
        <v>3.91</v>
      </c>
      <c r="J41" s="64">
        <v>0.72</v>
      </c>
      <c r="K41" s="64">
        <v>214.32</v>
      </c>
      <c r="L41" s="64">
        <v>26.39</v>
      </c>
      <c r="M41" s="64">
        <v>48.3</v>
      </c>
      <c r="N41" s="64">
        <v>458</v>
      </c>
      <c r="O41" s="64">
        <v>0</v>
      </c>
      <c r="P41" s="64">
        <v>0.69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951</v>
      </c>
      <c r="B42" s="64">
        <v>16.21</v>
      </c>
      <c r="C42" s="64">
        <v>54.68</v>
      </c>
      <c r="D42" s="64">
        <v>79.78</v>
      </c>
      <c r="E42" s="64">
        <v>3.52</v>
      </c>
      <c r="F42" s="64">
        <v>8.1</v>
      </c>
      <c r="G42" s="64">
        <v>52.75</v>
      </c>
      <c r="H42" s="64">
        <v>15.59</v>
      </c>
      <c r="I42" s="64">
        <v>3.99</v>
      </c>
      <c r="J42" s="64">
        <v>0.87</v>
      </c>
      <c r="K42" s="64">
        <v>209.27</v>
      </c>
      <c r="L42" s="64">
        <v>26.57</v>
      </c>
      <c r="M42" s="64">
        <v>48.6</v>
      </c>
      <c r="N42" s="64">
        <v>517</v>
      </c>
      <c r="O42" s="64">
        <v>0</v>
      </c>
      <c r="P42" s="64">
        <v>0.76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952</v>
      </c>
      <c r="B43" s="64">
        <v>15.58</v>
      </c>
      <c r="C43" s="64">
        <v>58.38</v>
      </c>
      <c r="D43" s="64">
        <v>87.82</v>
      </c>
      <c r="E43" s="64">
        <v>3.15</v>
      </c>
      <c r="F43" s="64">
        <v>6.88</v>
      </c>
      <c r="G43" s="64">
        <v>45.96</v>
      </c>
      <c r="H43" s="64">
        <v>17.059999999999999</v>
      </c>
      <c r="I43" s="64">
        <v>4.05</v>
      </c>
      <c r="J43" s="64">
        <v>0.81</v>
      </c>
      <c r="K43" s="64">
        <v>207.43</v>
      </c>
      <c r="L43" s="64">
        <v>27.42</v>
      </c>
      <c r="M43" s="64">
        <v>47.26</v>
      </c>
      <c r="N43" s="64">
        <v>573.1</v>
      </c>
      <c r="O43" s="64">
        <v>0</v>
      </c>
      <c r="P43" s="64">
        <v>0.75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953</v>
      </c>
      <c r="B44" s="64">
        <v>11.77</v>
      </c>
      <c r="C44" s="64">
        <v>56.04</v>
      </c>
      <c r="D44" s="64">
        <v>89.2</v>
      </c>
      <c r="E44" s="64">
        <v>3.43</v>
      </c>
      <c r="F44" s="64">
        <v>9.0500000000000007</v>
      </c>
      <c r="G44" s="64">
        <v>38.86</v>
      </c>
      <c r="H44" s="64">
        <v>18.649999999999999</v>
      </c>
      <c r="I44" s="64">
        <v>4.09</v>
      </c>
      <c r="J44" s="64">
        <v>0.71</v>
      </c>
      <c r="K44" s="64">
        <v>238.61</v>
      </c>
      <c r="L44" s="64">
        <v>27.68</v>
      </c>
      <c r="M44" s="64">
        <v>46.58</v>
      </c>
      <c r="N44" s="64">
        <v>630.70000000000005</v>
      </c>
      <c r="O44" s="64">
        <v>0</v>
      </c>
      <c r="P44" s="64">
        <v>0.71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954</v>
      </c>
      <c r="B45" s="64">
        <v>8.84</v>
      </c>
      <c r="C45" s="64">
        <v>54.66</v>
      </c>
      <c r="D45" s="64">
        <v>91.04</v>
      </c>
      <c r="E45" s="64">
        <v>2.94</v>
      </c>
      <c r="F45" s="64">
        <v>7.35</v>
      </c>
      <c r="G45" s="64">
        <v>38.86</v>
      </c>
      <c r="H45" s="64">
        <v>18.649999999999999</v>
      </c>
      <c r="I45" s="64">
        <v>4.05</v>
      </c>
      <c r="J45" s="64">
        <v>0.87</v>
      </c>
      <c r="K45" s="64">
        <v>213.92</v>
      </c>
      <c r="L45" s="64">
        <v>28.5</v>
      </c>
      <c r="M45" s="64">
        <v>44.52</v>
      </c>
      <c r="N45" s="64">
        <v>674.5</v>
      </c>
      <c r="O45" s="64">
        <v>0</v>
      </c>
      <c r="P45" s="64">
        <v>0.69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955</v>
      </c>
      <c r="B46" s="64">
        <v>6.72</v>
      </c>
      <c r="C46" s="64">
        <v>52.52</v>
      </c>
      <c r="D46" s="64">
        <v>90.21</v>
      </c>
      <c r="E46" s="64">
        <v>2.91</v>
      </c>
      <c r="F46" s="64">
        <v>8.32</v>
      </c>
      <c r="G46" s="64">
        <v>38.86</v>
      </c>
      <c r="H46" s="64">
        <v>18.649999999999999</v>
      </c>
      <c r="I46" s="64">
        <v>4.13</v>
      </c>
      <c r="J46" s="64">
        <v>1.07</v>
      </c>
      <c r="K46" s="64">
        <v>178.19</v>
      </c>
      <c r="L46" s="64">
        <v>28.48</v>
      </c>
      <c r="M46" s="64">
        <v>43.79</v>
      </c>
      <c r="N46" s="64">
        <v>705.6</v>
      </c>
      <c r="O46" s="64">
        <v>0</v>
      </c>
      <c r="P46" s="64">
        <v>0.64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956</v>
      </c>
      <c r="B47" s="64">
        <v>5.81</v>
      </c>
      <c r="C47" s="64">
        <v>53.53</v>
      </c>
      <c r="D47" s="64">
        <v>93.54</v>
      </c>
      <c r="E47" s="64">
        <v>3.24</v>
      </c>
      <c r="F47" s="64">
        <v>10.31</v>
      </c>
      <c r="G47" s="64">
        <v>37.659999999999997</v>
      </c>
      <c r="H47" s="64">
        <v>17.510000000000002</v>
      </c>
      <c r="I47" s="64">
        <v>4.18</v>
      </c>
      <c r="J47" s="64">
        <v>0.68</v>
      </c>
      <c r="K47" s="64">
        <v>187.89</v>
      </c>
      <c r="L47" s="64">
        <v>29.73</v>
      </c>
      <c r="M47" s="64">
        <v>42.06</v>
      </c>
      <c r="N47" s="64">
        <v>731.1</v>
      </c>
      <c r="O47" s="64">
        <v>0</v>
      </c>
      <c r="P47" s="64">
        <v>0.65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957</v>
      </c>
      <c r="B48" s="64">
        <v>3.82</v>
      </c>
      <c r="C48" s="64">
        <v>48.62</v>
      </c>
      <c r="D48" s="64">
        <v>87.21</v>
      </c>
      <c r="E48" s="64">
        <v>3.38</v>
      </c>
      <c r="F48" s="64">
        <v>9.26</v>
      </c>
      <c r="G48" s="64">
        <v>36.35</v>
      </c>
      <c r="H48" s="64">
        <v>16.27</v>
      </c>
      <c r="I48" s="64">
        <v>3.98</v>
      </c>
      <c r="J48" s="64">
        <v>1.01</v>
      </c>
      <c r="K48" s="64">
        <v>167.06</v>
      </c>
      <c r="L48" s="64">
        <v>29.74</v>
      </c>
      <c r="M48" s="64">
        <v>41.38</v>
      </c>
      <c r="N48" s="64">
        <v>785.1</v>
      </c>
      <c r="O48" s="64">
        <v>0</v>
      </c>
      <c r="P48" s="64">
        <v>0.6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958</v>
      </c>
      <c r="B49" s="64">
        <v>2.84</v>
      </c>
      <c r="C49" s="64">
        <v>45.6</v>
      </c>
      <c r="D49" s="64">
        <v>82.92</v>
      </c>
      <c r="E49" s="64">
        <v>3.73</v>
      </c>
      <c r="F49" s="64">
        <v>12.6</v>
      </c>
      <c r="G49" s="64">
        <v>36.35</v>
      </c>
      <c r="H49" s="64">
        <v>16.27</v>
      </c>
      <c r="I49" s="64">
        <v>3.98</v>
      </c>
      <c r="J49" s="64">
        <v>0.81</v>
      </c>
      <c r="K49" s="64">
        <v>175.29</v>
      </c>
      <c r="L49" s="64">
        <v>30.02</v>
      </c>
      <c r="M49" s="64">
        <v>40.65</v>
      </c>
      <c r="N49" s="64">
        <v>817.6</v>
      </c>
      <c r="O49" s="64">
        <v>0</v>
      </c>
      <c r="P49" s="64">
        <v>0.56000000000000005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959</v>
      </c>
      <c r="B50" s="64">
        <v>4.3099999999999996</v>
      </c>
      <c r="C50" s="64">
        <v>49.35</v>
      </c>
      <c r="D50" s="64">
        <v>87.83</v>
      </c>
      <c r="E50" s="64">
        <v>3.65</v>
      </c>
      <c r="F50" s="64">
        <v>8.77</v>
      </c>
      <c r="G50" s="64">
        <v>36.35</v>
      </c>
      <c r="H50" s="64">
        <v>16.27</v>
      </c>
      <c r="I50" s="64">
        <v>3.78</v>
      </c>
      <c r="J50" s="64">
        <v>0.55000000000000004</v>
      </c>
      <c r="K50" s="64">
        <v>294.10000000000002</v>
      </c>
      <c r="L50" s="64">
        <v>32.6</v>
      </c>
      <c r="M50" s="64">
        <v>35.049999999999997</v>
      </c>
      <c r="N50" s="64">
        <v>848.3</v>
      </c>
      <c r="O50" s="64">
        <v>0</v>
      </c>
      <c r="P50" s="64">
        <v>0.57999999999999996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960</v>
      </c>
      <c r="B51" s="64">
        <v>3.77</v>
      </c>
      <c r="C51" s="64">
        <v>47.93</v>
      </c>
      <c r="D51" s="64">
        <v>85.96</v>
      </c>
      <c r="E51" s="64">
        <v>3.63</v>
      </c>
      <c r="F51" s="64">
        <v>12.06</v>
      </c>
      <c r="G51" s="64">
        <v>37.26</v>
      </c>
      <c r="H51" s="64">
        <v>13.62</v>
      </c>
      <c r="I51" s="64">
        <v>3.82</v>
      </c>
      <c r="J51" s="64">
        <v>0.52</v>
      </c>
      <c r="K51" s="64">
        <v>193.88</v>
      </c>
      <c r="L51" s="64">
        <v>32.39</v>
      </c>
      <c r="M51" s="64">
        <v>32.65</v>
      </c>
      <c r="N51" s="64">
        <v>872.4</v>
      </c>
      <c r="O51" s="64">
        <v>0</v>
      </c>
      <c r="P51" s="64">
        <v>0.56000000000000005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961</v>
      </c>
      <c r="B52" s="64">
        <v>2.84</v>
      </c>
      <c r="C52" s="64">
        <v>46.57</v>
      </c>
      <c r="D52" s="64">
        <v>84.78</v>
      </c>
      <c r="E52" s="64">
        <v>3.32</v>
      </c>
      <c r="F52" s="64">
        <v>9.5500000000000007</v>
      </c>
      <c r="G52" s="64">
        <v>38.26</v>
      </c>
      <c r="H52" s="64">
        <v>10.73</v>
      </c>
      <c r="I52" s="64">
        <v>4</v>
      </c>
      <c r="J52" s="64">
        <v>0.56999999999999995</v>
      </c>
      <c r="K52" s="64">
        <v>182.93</v>
      </c>
      <c r="L52" s="64">
        <v>31.59</v>
      </c>
      <c r="M52" s="64">
        <v>32.340000000000003</v>
      </c>
      <c r="N52" s="64">
        <v>869.9</v>
      </c>
      <c r="O52" s="64">
        <v>0</v>
      </c>
      <c r="P52" s="64">
        <v>0.55000000000000004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962</v>
      </c>
      <c r="B53" s="64">
        <v>3.31</v>
      </c>
      <c r="C53" s="64">
        <v>44.77</v>
      </c>
      <c r="D53" s="64">
        <v>80.599999999999994</v>
      </c>
      <c r="E53" s="64">
        <v>3.58</v>
      </c>
      <c r="F53" s="64">
        <v>13.93</v>
      </c>
      <c r="G53" s="64">
        <v>38.26</v>
      </c>
      <c r="H53" s="64">
        <v>10.73</v>
      </c>
      <c r="I53" s="64">
        <v>4.17</v>
      </c>
      <c r="J53" s="64">
        <v>0.28000000000000003</v>
      </c>
      <c r="K53" s="64">
        <v>216.69</v>
      </c>
      <c r="L53" s="64">
        <v>33.32</v>
      </c>
      <c r="M53" s="64">
        <v>30.04</v>
      </c>
      <c r="N53" s="64">
        <v>877.8</v>
      </c>
      <c r="O53" s="64">
        <v>0</v>
      </c>
      <c r="P53" s="64">
        <v>0.52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963</v>
      </c>
      <c r="B54" s="64">
        <v>2.98</v>
      </c>
      <c r="C54" s="64">
        <v>43.33</v>
      </c>
      <c r="D54" s="64">
        <v>78.36</v>
      </c>
      <c r="E54" s="64">
        <v>3.68</v>
      </c>
      <c r="F54" s="64">
        <v>14.39</v>
      </c>
      <c r="G54" s="64">
        <v>38.26</v>
      </c>
      <c r="H54" s="64">
        <v>10.73</v>
      </c>
      <c r="I54" s="64">
        <v>3.87</v>
      </c>
      <c r="J54" s="64">
        <v>0.68</v>
      </c>
      <c r="K54" s="64">
        <v>296.04000000000002</v>
      </c>
      <c r="L54" s="64">
        <v>34.21</v>
      </c>
      <c r="M54" s="64">
        <v>28.67</v>
      </c>
      <c r="N54" s="64">
        <v>884.2</v>
      </c>
      <c r="O54" s="64">
        <v>0</v>
      </c>
      <c r="P54" s="64">
        <v>0.52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964</v>
      </c>
      <c r="B55" s="64">
        <v>6.91</v>
      </c>
      <c r="C55" s="64">
        <v>48.37</v>
      </c>
      <c r="D55" s="64">
        <v>81.97</v>
      </c>
      <c r="E55" s="64">
        <v>4.01</v>
      </c>
      <c r="F55" s="64">
        <v>15.38</v>
      </c>
      <c r="G55" s="64">
        <v>33.14</v>
      </c>
      <c r="H55" s="64">
        <v>9.0399999999999991</v>
      </c>
      <c r="I55" s="64">
        <v>4.03</v>
      </c>
      <c r="J55" s="64">
        <v>0.85</v>
      </c>
      <c r="K55" s="64">
        <v>303.13</v>
      </c>
      <c r="L55" s="64">
        <v>35.82</v>
      </c>
      <c r="M55" s="64">
        <v>26.43</v>
      </c>
      <c r="N55" s="64">
        <v>889.2</v>
      </c>
      <c r="O55" s="64">
        <v>0</v>
      </c>
      <c r="P55" s="64">
        <v>0.54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965</v>
      </c>
      <c r="B56" s="64">
        <v>2.38</v>
      </c>
      <c r="C56" s="64">
        <v>42.38</v>
      </c>
      <c r="D56" s="64">
        <v>77.47</v>
      </c>
      <c r="E56" s="64">
        <v>3.74</v>
      </c>
      <c r="F56" s="64">
        <v>13.22</v>
      </c>
      <c r="G56" s="64">
        <v>27.78</v>
      </c>
      <c r="H56" s="64">
        <v>7.19</v>
      </c>
      <c r="I56" s="64">
        <v>4.18</v>
      </c>
      <c r="J56" s="64">
        <v>0.59</v>
      </c>
      <c r="K56" s="64">
        <v>231.53</v>
      </c>
      <c r="L56" s="64">
        <v>33.770000000000003</v>
      </c>
      <c r="M56" s="64">
        <v>27.77</v>
      </c>
      <c r="N56" s="64">
        <v>911</v>
      </c>
      <c r="O56" s="64">
        <v>0</v>
      </c>
      <c r="P56" s="64">
        <v>0.49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966</v>
      </c>
      <c r="B57" s="64">
        <v>5.78</v>
      </c>
      <c r="C57" s="64">
        <v>45.32</v>
      </c>
      <c r="D57" s="64">
        <v>77.88</v>
      </c>
      <c r="E57" s="64">
        <v>3.52</v>
      </c>
      <c r="F57" s="64">
        <v>13.44</v>
      </c>
      <c r="G57" s="64">
        <v>27.78</v>
      </c>
      <c r="H57" s="64">
        <v>7.19</v>
      </c>
      <c r="I57" s="64">
        <v>3.94</v>
      </c>
      <c r="J57" s="64">
        <v>0.56000000000000005</v>
      </c>
      <c r="K57" s="64">
        <v>279.25</v>
      </c>
      <c r="L57" s="64">
        <v>34.15</v>
      </c>
      <c r="M57" s="64">
        <v>28.33</v>
      </c>
      <c r="N57" s="64">
        <v>898.1</v>
      </c>
      <c r="O57" s="64">
        <v>0</v>
      </c>
      <c r="P57" s="64">
        <v>0.49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967</v>
      </c>
      <c r="B58" s="64">
        <v>3.64</v>
      </c>
      <c r="C58" s="64">
        <v>45.29</v>
      </c>
      <c r="D58" s="64">
        <v>81.11</v>
      </c>
      <c r="E58" s="64">
        <v>5.1100000000000003</v>
      </c>
      <c r="F58" s="64">
        <v>18.62</v>
      </c>
      <c r="G58" s="64">
        <v>27.78</v>
      </c>
      <c r="H58" s="64">
        <v>7.19</v>
      </c>
      <c r="I58" s="64">
        <v>3.96</v>
      </c>
      <c r="J58" s="64">
        <v>1.01</v>
      </c>
      <c r="K58" s="64">
        <v>312.91000000000003</v>
      </c>
      <c r="L58" s="64">
        <v>35.51</v>
      </c>
      <c r="M58" s="64">
        <v>25</v>
      </c>
      <c r="N58" s="64">
        <v>888.4</v>
      </c>
      <c r="O58" s="64">
        <v>0</v>
      </c>
      <c r="P58" s="64">
        <v>0.52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968</v>
      </c>
      <c r="B59" s="64">
        <v>3.46</v>
      </c>
      <c r="C59" s="64">
        <v>44.46</v>
      </c>
      <c r="D59" s="64">
        <v>79.8</v>
      </c>
      <c r="E59" s="64">
        <v>5.8</v>
      </c>
      <c r="F59" s="64">
        <v>16.38</v>
      </c>
      <c r="G59" s="64">
        <v>33.15</v>
      </c>
      <c r="H59" s="64">
        <v>6.38</v>
      </c>
      <c r="I59" s="64">
        <v>3.83</v>
      </c>
      <c r="J59" s="64">
        <v>0.73</v>
      </c>
      <c r="K59" s="64">
        <v>297.83</v>
      </c>
      <c r="L59" s="64">
        <v>36.119999999999997</v>
      </c>
      <c r="M59" s="64">
        <v>21.33</v>
      </c>
      <c r="N59" s="64">
        <v>893.6</v>
      </c>
      <c r="O59" s="64">
        <v>0</v>
      </c>
      <c r="P59" s="64">
        <v>0.51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969</v>
      </c>
      <c r="B60" s="64">
        <v>1.79</v>
      </c>
      <c r="C60" s="64">
        <v>43.17</v>
      </c>
      <c r="D60" s="64">
        <v>79.88</v>
      </c>
      <c r="E60" s="64">
        <v>5.63</v>
      </c>
      <c r="F60" s="64">
        <v>16.05</v>
      </c>
      <c r="G60" s="64">
        <v>38.75</v>
      </c>
      <c r="H60" s="64">
        <v>5.49</v>
      </c>
      <c r="I60" s="64">
        <v>3.93</v>
      </c>
      <c r="J60" s="64">
        <v>0.82</v>
      </c>
      <c r="K60" s="64">
        <v>205.03</v>
      </c>
      <c r="L60" s="64">
        <v>34.53</v>
      </c>
      <c r="M60" s="64">
        <v>21.84</v>
      </c>
      <c r="N60" s="64">
        <v>856</v>
      </c>
      <c r="O60" s="64">
        <v>0</v>
      </c>
      <c r="P60" s="64">
        <v>0.5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970</v>
      </c>
      <c r="B61" s="64">
        <v>1.65</v>
      </c>
      <c r="C61" s="64">
        <v>44.82</v>
      </c>
      <c r="D61" s="64">
        <v>83.26</v>
      </c>
      <c r="E61" s="64">
        <v>6.29</v>
      </c>
      <c r="F61" s="64">
        <v>14.53</v>
      </c>
      <c r="G61" s="64">
        <v>38.75</v>
      </c>
      <c r="H61" s="64">
        <v>5.49</v>
      </c>
      <c r="I61" s="64">
        <v>4.01</v>
      </c>
      <c r="J61" s="64">
        <v>0.47</v>
      </c>
      <c r="K61" s="64">
        <v>235.67</v>
      </c>
      <c r="L61" s="64">
        <v>33.82</v>
      </c>
      <c r="M61" s="64">
        <v>23.04</v>
      </c>
      <c r="N61" s="64">
        <v>819.3</v>
      </c>
      <c r="O61" s="64">
        <v>0</v>
      </c>
      <c r="P61" s="64">
        <v>0.54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971</v>
      </c>
      <c r="B62" s="64">
        <v>1.1299999999999999</v>
      </c>
      <c r="C62" s="64">
        <v>41.49</v>
      </c>
      <c r="D62" s="64">
        <v>77.680000000000007</v>
      </c>
      <c r="E62" s="64">
        <v>6.76</v>
      </c>
      <c r="F62" s="64">
        <v>15.98</v>
      </c>
      <c r="G62" s="64">
        <v>38.75</v>
      </c>
      <c r="H62" s="64">
        <v>5.49</v>
      </c>
      <c r="I62" s="64">
        <v>3.96</v>
      </c>
      <c r="J62" s="64">
        <v>0.8</v>
      </c>
      <c r="K62" s="64">
        <v>194.14</v>
      </c>
      <c r="L62" s="64">
        <v>34.31</v>
      </c>
      <c r="M62" s="64">
        <v>23.06</v>
      </c>
      <c r="N62" s="64">
        <v>795.2</v>
      </c>
      <c r="O62" s="64">
        <v>0</v>
      </c>
      <c r="P62" s="64">
        <v>0.56999999999999995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972</v>
      </c>
      <c r="B63" s="64">
        <v>0.83</v>
      </c>
      <c r="C63" s="64">
        <v>41.33</v>
      </c>
      <c r="D63" s="64">
        <v>77.83</v>
      </c>
      <c r="E63" s="64">
        <v>6.36</v>
      </c>
      <c r="F63" s="64">
        <v>16.010000000000002</v>
      </c>
      <c r="G63" s="64">
        <v>29.58</v>
      </c>
      <c r="H63" s="64">
        <v>4.7</v>
      </c>
      <c r="I63" s="64">
        <v>3.91</v>
      </c>
      <c r="J63" s="64">
        <v>0.59</v>
      </c>
      <c r="K63" s="64">
        <v>245.95</v>
      </c>
      <c r="L63" s="64">
        <v>34.1</v>
      </c>
      <c r="M63" s="64">
        <v>23.86</v>
      </c>
      <c r="N63" s="64">
        <v>762.4</v>
      </c>
      <c r="O63" s="64">
        <v>0</v>
      </c>
      <c r="P63" s="64">
        <v>0.59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973</v>
      </c>
      <c r="B64" s="64">
        <v>2.77</v>
      </c>
      <c r="C64" s="64">
        <v>42.1</v>
      </c>
      <c r="D64" s="64">
        <v>76.34</v>
      </c>
      <c r="E64" s="64">
        <v>12.66</v>
      </c>
      <c r="F64" s="64">
        <v>33.32</v>
      </c>
      <c r="G64" s="64">
        <v>20.61</v>
      </c>
      <c r="H64" s="64">
        <v>3.84</v>
      </c>
      <c r="I64" s="64">
        <v>4.08</v>
      </c>
      <c r="J64" s="64">
        <v>0.59</v>
      </c>
      <c r="K64" s="64">
        <v>311.81</v>
      </c>
      <c r="L64" s="64">
        <v>35.99</v>
      </c>
      <c r="M64" s="64">
        <v>22.57</v>
      </c>
      <c r="N64" s="64">
        <v>717.4</v>
      </c>
      <c r="O64" s="64">
        <v>0</v>
      </c>
      <c r="P64" s="64">
        <v>0.67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974</v>
      </c>
      <c r="B65" s="64">
        <v>1.21</v>
      </c>
      <c r="C65" s="64">
        <v>38.56</v>
      </c>
      <c r="D65" s="64">
        <v>71.95</v>
      </c>
      <c r="E65" s="64">
        <v>10.62</v>
      </c>
      <c r="F65" s="64">
        <v>24.21</v>
      </c>
      <c r="G65" s="64">
        <v>20.61</v>
      </c>
      <c r="H65" s="64">
        <v>3.84</v>
      </c>
      <c r="I65" s="64">
        <v>3.96</v>
      </c>
      <c r="J65" s="64">
        <v>0.37</v>
      </c>
      <c r="K65" s="64">
        <v>201.94</v>
      </c>
      <c r="L65" s="64">
        <v>38.409999999999997</v>
      </c>
      <c r="M65" s="64">
        <v>22.2</v>
      </c>
      <c r="N65" s="64">
        <v>561.29999999999995</v>
      </c>
      <c r="O65" s="64">
        <v>0</v>
      </c>
      <c r="P65" s="64">
        <v>0.63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975</v>
      </c>
      <c r="B66" s="64">
        <v>0.57999999999999996</v>
      </c>
      <c r="C66" s="64">
        <v>36.020000000000003</v>
      </c>
      <c r="D66" s="64">
        <v>68.05</v>
      </c>
      <c r="E66" s="64">
        <v>8.1999999999999993</v>
      </c>
      <c r="F66" s="64">
        <v>24.94</v>
      </c>
      <c r="G66" s="64">
        <v>20.61</v>
      </c>
      <c r="H66" s="64">
        <v>3.84</v>
      </c>
      <c r="I66" s="64">
        <v>4.08</v>
      </c>
      <c r="J66" s="64">
        <v>0.47</v>
      </c>
      <c r="K66" s="64">
        <v>220.56</v>
      </c>
      <c r="L66" s="64">
        <v>36.96</v>
      </c>
      <c r="M66" s="64">
        <v>23.78</v>
      </c>
      <c r="N66" s="64">
        <v>499.5</v>
      </c>
      <c r="O66" s="64">
        <v>0</v>
      </c>
      <c r="P66" s="64">
        <v>0.57999999999999996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976</v>
      </c>
      <c r="B67" s="64">
        <v>0.8</v>
      </c>
      <c r="C67" s="64">
        <v>34.47</v>
      </c>
      <c r="D67" s="64">
        <v>64.739999999999995</v>
      </c>
      <c r="E67" s="64">
        <v>9.5299999999999994</v>
      </c>
      <c r="F67" s="64">
        <v>26.76</v>
      </c>
      <c r="G67" s="64">
        <v>34.26</v>
      </c>
      <c r="H67" s="64">
        <v>3.29</v>
      </c>
      <c r="I67" s="64">
        <v>4.03</v>
      </c>
      <c r="J67" s="64">
        <v>0.06</v>
      </c>
      <c r="K67" s="64">
        <v>38.43</v>
      </c>
      <c r="L67" s="64">
        <v>37.25</v>
      </c>
      <c r="M67" s="64">
        <v>23.72</v>
      </c>
      <c r="N67" s="64">
        <v>450.3</v>
      </c>
      <c r="O67" s="64">
        <v>0</v>
      </c>
      <c r="P67" s="64">
        <v>0.56000000000000005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977</v>
      </c>
      <c r="B68" s="64">
        <v>1.21</v>
      </c>
      <c r="C68" s="64">
        <v>33.53</v>
      </c>
      <c r="D68" s="64">
        <v>62.31</v>
      </c>
      <c r="E68" s="64">
        <v>10.210000000000001</v>
      </c>
      <c r="F68" s="64">
        <v>28.98</v>
      </c>
      <c r="G68" s="64">
        <v>49.18</v>
      </c>
      <c r="H68" s="64">
        <v>2.69</v>
      </c>
      <c r="I68" s="64">
        <v>3.95</v>
      </c>
      <c r="J68" s="64">
        <v>0.27</v>
      </c>
      <c r="K68" s="64">
        <v>283.76</v>
      </c>
      <c r="L68" s="64">
        <v>37</v>
      </c>
      <c r="M68" s="64">
        <v>25.71</v>
      </c>
      <c r="N68" s="64">
        <v>274.89999999999998</v>
      </c>
      <c r="O68" s="64">
        <v>0</v>
      </c>
      <c r="P68" s="64">
        <v>0.51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978</v>
      </c>
      <c r="B69" s="64">
        <v>1.5</v>
      </c>
      <c r="C69" s="64">
        <v>33.65</v>
      </c>
      <c r="D69" s="64">
        <v>62.1</v>
      </c>
      <c r="E69" s="64">
        <v>8.75</v>
      </c>
      <c r="F69" s="64">
        <v>25.83</v>
      </c>
      <c r="G69" s="64">
        <v>49.18</v>
      </c>
      <c r="H69" s="64">
        <v>2.69</v>
      </c>
      <c r="I69" s="64">
        <v>4.04</v>
      </c>
      <c r="J69" s="64">
        <v>0.41</v>
      </c>
      <c r="K69" s="64">
        <v>200.58</v>
      </c>
      <c r="L69" s="64">
        <v>37.020000000000003</v>
      </c>
      <c r="M69" s="64">
        <v>25.24</v>
      </c>
      <c r="N69" s="64">
        <v>388.7</v>
      </c>
      <c r="O69" s="64">
        <v>0</v>
      </c>
      <c r="P69" s="64">
        <v>0.48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979</v>
      </c>
      <c r="B70" s="64">
        <v>2.93</v>
      </c>
      <c r="C70" s="64">
        <v>36.35</v>
      </c>
      <c r="D70" s="64">
        <v>65.069999999999993</v>
      </c>
      <c r="E70" s="64">
        <v>7.61</v>
      </c>
      <c r="F70" s="64">
        <v>31.02</v>
      </c>
      <c r="G70" s="64">
        <v>49.18</v>
      </c>
      <c r="H70" s="64">
        <v>2.69</v>
      </c>
      <c r="I70" s="64">
        <v>3.91</v>
      </c>
      <c r="J70" s="64">
        <v>0.57999999999999996</v>
      </c>
      <c r="K70" s="64">
        <v>156.44999999999999</v>
      </c>
      <c r="L70" s="64">
        <v>35.909999999999997</v>
      </c>
      <c r="M70" s="64">
        <v>24.93</v>
      </c>
      <c r="N70" s="64">
        <v>268.2</v>
      </c>
      <c r="O70" s="64">
        <v>0</v>
      </c>
      <c r="P70" s="64">
        <v>0.5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980</v>
      </c>
      <c r="B71" s="64">
        <v>2.4</v>
      </c>
      <c r="C71" s="64">
        <v>30.85</v>
      </c>
      <c r="D71" s="64">
        <v>55.37</v>
      </c>
      <c r="E71" s="64">
        <v>12.46</v>
      </c>
      <c r="F71" s="64">
        <v>38.92</v>
      </c>
      <c r="G71" s="64">
        <v>44.42</v>
      </c>
      <c r="H71" s="64">
        <v>10.210000000000001</v>
      </c>
      <c r="I71" s="64">
        <v>3.97</v>
      </c>
      <c r="J71" s="64">
        <v>0.68</v>
      </c>
      <c r="K71" s="64">
        <v>109.09</v>
      </c>
      <c r="L71" s="64">
        <v>36.229999999999997</v>
      </c>
      <c r="M71" s="64">
        <v>25.27</v>
      </c>
      <c r="N71" s="64">
        <v>190.6</v>
      </c>
      <c r="O71" s="64">
        <v>0</v>
      </c>
      <c r="P71" s="64">
        <v>0.44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981</v>
      </c>
      <c r="B72" s="64">
        <v>0.69</v>
      </c>
      <c r="C72" s="64">
        <v>28.68</v>
      </c>
      <c r="D72" s="64">
        <v>53.82</v>
      </c>
      <c r="E72" s="64">
        <v>6.25</v>
      </c>
      <c r="F72" s="64">
        <v>28.58</v>
      </c>
      <c r="G72" s="64">
        <v>39.44</v>
      </c>
      <c r="H72" s="64">
        <v>18.43</v>
      </c>
      <c r="I72" s="64">
        <v>3.88</v>
      </c>
      <c r="J72" s="64">
        <v>1.28</v>
      </c>
      <c r="K72" s="64">
        <v>148.47</v>
      </c>
      <c r="L72" s="64">
        <v>35.78</v>
      </c>
      <c r="M72" s="64">
        <v>25.63</v>
      </c>
      <c r="N72" s="64">
        <v>213.3</v>
      </c>
      <c r="O72" s="64">
        <v>0</v>
      </c>
      <c r="P72" s="64">
        <v>0.39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982</v>
      </c>
      <c r="B73" s="64">
        <v>3.58</v>
      </c>
      <c r="C73" s="64">
        <v>36.01</v>
      </c>
      <c r="D73" s="64">
        <v>63.43</v>
      </c>
      <c r="E73" s="64">
        <v>8.0299999999999994</v>
      </c>
      <c r="F73" s="64">
        <v>33.97</v>
      </c>
      <c r="G73" s="64">
        <v>39.44</v>
      </c>
      <c r="H73" s="64">
        <v>18.43</v>
      </c>
      <c r="I73" s="64">
        <v>3.99</v>
      </c>
      <c r="J73" s="64">
        <v>0.13</v>
      </c>
      <c r="K73" s="64">
        <v>186.68</v>
      </c>
      <c r="L73" s="64">
        <v>35.74</v>
      </c>
      <c r="M73" s="64">
        <v>25.21</v>
      </c>
      <c r="N73" s="64">
        <v>194.9</v>
      </c>
      <c r="O73" s="64">
        <v>0</v>
      </c>
      <c r="P73" s="64">
        <v>0.5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983</v>
      </c>
      <c r="B74" s="64">
        <v>2.38</v>
      </c>
      <c r="C74" s="64">
        <v>32.35</v>
      </c>
      <c r="D74" s="64">
        <v>58.27</v>
      </c>
      <c r="E74" s="64">
        <v>8.5299999999999994</v>
      </c>
      <c r="F74" s="64">
        <v>32.32</v>
      </c>
      <c r="G74" s="64">
        <v>39.44</v>
      </c>
      <c r="H74" s="64">
        <v>18.43</v>
      </c>
      <c r="I74" s="64">
        <v>3.92</v>
      </c>
      <c r="J74" s="64">
        <v>0.86</v>
      </c>
      <c r="K74" s="64">
        <v>160.03</v>
      </c>
      <c r="L74" s="64">
        <v>35.76</v>
      </c>
      <c r="M74" s="64">
        <v>24.69</v>
      </c>
      <c r="N74" s="64">
        <v>150.4</v>
      </c>
      <c r="O74" s="64">
        <v>0</v>
      </c>
      <c r="P74" s="64">
        <v>0.46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984</v>
      </c>
      <c r="B75" s="64">
        <v>1.02</v>
      </c>
      <c r="C75" s="64">
        <v>30.4</v>
      </c>
      <c r="D75" s="64">
        <v>56.61</v>
      </c>
      <c r="E75" s="64">
        <v>8.4</v>
      </c>
      <c r="F75" s="64">
        <v>34.69</v>
      </c>
      <c r="G75" s="64">
        <v>46.68</v>
      </c>
      <c r="H75" s="64">
        <v>22.95</v>
      </c>
      <c r="I75" s="64">
        <v>4.03</v>
      </c>
      <c r="J75" s="64">
        <v>0.96</v>
      </c>
      <c r="K75" s="64">
        <v>165.77</v>
      </c>
      <c r="L75" s="64">
        <v>35.31</v>
      </c>
      <c r="M75" s="64">
        <v>24.83</v>
      </c>
      <c r="N75" s="64">
        <v>138.9</v>
      </c>
      <c r="O75" s="64">
        <v>0</v>
      </c>
      <c r="P75" s="64">
        <v>0.39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985</v>
      </c>
      <c r="B76" s="64">
        <v>1.96</v>
      </c>
      <c r="C76" s="64">
        <v>28.91</v>
      </c>
      <c r="D76" s="64">
        <v>52.32</v>
      </c>
      <c r="E76" s="64">
        <v>9.83</v>
      </c>
      <c r="F76" s="64">
        <v>36.36</v>
      </c>
      <c r="G76" s="64">
        <v>54.6</v>
      </c>
      <c r="H76" s="64">
        <v>27.88</v>
      </c>
      <c r="I76" s="64">
        <v>4.09</v>
      </c>
      <c r="J76" s="64">
        <v>0.52</v>
      </c>
      <c r="K76" s="64">
        <v>195.21</v>
      </c>
      <c r="L76" s="64">
        <v>35.36</v>
      </c>
      <c r="M76" s="64">
        <v>24.5</v>
      </c>
      <c r="N76" s="64">
        <v>133.4</v>
      </c>
      <c r="O76" s="64">
        <v>0</v>
      </c>
      <c r="P76" s="64">
        <v>0.45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986</v>
      </c>
      <c r="B77" s="64">
        <v>2.12</v>
      </c>
      <c r="C77" s="64">
        <v>35.479999999999997</v>
      </c>
      <c r="D77" s="64">
        <v>64.650000000000006</v>
      </c>
      <c r="E77" s="64">
        <v>9.58</v>
      </c>
      <c r="F77" s="64">
        <v>31.75</v>
      </c>
      <c r="G77" s="64">
        <v>54.6</v>
      </c>
      <c r="H77" s="64">
        <v>27.88</v>
      </c>
      <c r="I77" s="64">
        <v>3.84</v>
      </c>
      <c r="J77" s="64">
        <v>0.98</v>
      </c>
      <c r="K77" s="64">
        <v>172.97</v>
      </c>
      <c r="L77" s="64">
        <v>35.11</v>
      </c>
      <c r="M77" s="64">
        <v>24.7</v>
      </c>
      <c r="N77" s="64">
        <v>111.5</v>
      </c>
      <c r="O77" s="64">
        <v>0</v>
      </c>
      <c r="P77" s="64">
        <v>0.44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987</v>
      </c>
      <c r="B78" s="64">
        <v>2.2200000000000002</v>
      </c>
      <c r="C78" s="64">
        <v>48.21</v>
      </c>
      <c r="D78" s="64">
        <v>88.88</v>
      </c>
      <c r="E78" s="64">
        <v>6.24</v>
      </c>
      <c r="F78" s="64">
        <v>23.28</v>
      </c>
      <c r="G78" s="64">
        <v>54.6</v>
      </c>
      <c r="H78" s="64">
        <v>27.88</v>
      </c>
      <c r="I78" s="64">
        <v>4.05</v>
      </c>
      <c r="J78" s="64">
        <v>1.54</v>
      </c>
      <c r="K78" s="64">
        <v>152.06</v>
      </c>
      <c r="L78" s="64">
        <v>34.869999999999997</v>
      </c>
      <c r="M78" s="64">
        <v>24.39</v>
      </c>
      <c r="N78" s="64">
        <v>98.1</v>
      </c>
      <c r="O78" s="64">
        <v>0</v>
      </c>
      <c r="P78" s="64">
        <v>0.45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988</v>
      </c>
      <c r="B79" s="64">
        <v>1.33</v>
      </c>
      <c r="C79" s="64">
        <v>43.94</v>
      </c>
      <c r="D79" s="64">
        <v>109.73</v>
      </c>
      <c r="E79" s="64">
        <v>6.63</v>
      </c>
      <c r="F79" s="64">
        <v>25.89</v>
      </c>
      <c r="G79" s="64">
        <v>53.24</v>
      </c>
      <c r="H79" s="64">
        <v>25.58</v>
      </c>
      <c r="I79" s="64">
        <v>4.66</v>
      </c>
      <c r="J79" s="64">
        <v>1.28</v>
      </c>
      <c r="K79" s="64">
        <v>157.6</v>
      </c>
      <c r="L79" s="64">
        <v>34.43</v>
      </c>
      <c r="M79" s="64">
        <v>26.5</v>
      </c>
      <c r="N79" s="64">
        <v>76.2</v>
      </c>
      <c r="O79" s="64">
        <v>0</v>
      </c>
      <c r="P79" s="64">
        <v>0.45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989</v>
      </c>
      <c r="B80" s="64">
        <v>3.63</v>
      </c>
      <c r="C80" s="64">
        <v>70.66</v>
      </c>
      <c r="D80" s="64">
        <v>129.68</v>
      </c>
      <c r="E80" s="64">
        <v>7.37</v>
      </c>
      <c r="F80" s="64">
        <v>24.42</v>
      </c>
      <c r="G80" s="64">
        <v>53.24</v>
      </c>
      <c r="H80" s="64">
        <v>25.58</v>
      </c>
      <c r="I80" s="64">
        <v>4.03</v>
      </c>
      <c r="J80" s="64">
        <v>0.75</v>
      </c>
      <c r="K80" s="64">
        <v>163.66</v>
      </c>
      <c r="L80" s="64">
        <v>34.24</v>
      </c>
      <c r="M80" s="64">
        <v>26.88</v>
      </c>
      <c r="N80" s="64">
        <v>66.5</v>
      </c>
      <c r="O80" s="64">
        <v>0</v>
      </c>
      <c r="P80" s="64">
        <v>0.46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990</v>
      </c>
      <c r="B81" s="64">
        <v>2.2999999999999998</v>
      </c>
      <c r="C81" s="64">
        <v>64.27</v>
      </c>
      <c r="D81" s="64">
        <v>119.48</v>
      </c>
      <c r="E81" s="64">
        <v>7.95</v>
      </c>
      <c r="F81" s="64">
        <v>24.34</v>
      </c>
      <c r="G81" s="64">
        <v>53.24</v>
      </c>
      <c r="H81" s="64">
        <v>25.58</v>
      </c>
      <c r="I81" s="64">
        <v>4.09</v>
      </c>
      <c r="J81" s="64">
        <v>0.43</v>
      </c>
      <c r="K81" s="64">
        <v>220.63</v>
      </c>
      <c r="L81" s="64">
        <v>33.76</v>
      </c>
      <c r="M81" s="64">
        <v>28.36</v>
      </c>
      <c r="N81" s="64">
        <v>58.5</v>
      </c>
      <c r="O81" s="64">
        <v>0</v>
      </c>
      <c r="P81" s="64">
        <v>0.68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991</v>
      </c>
      <c r="B82" s="64">
        <v>0.93</v>
      </c>
      <c r="C82" s="64">
        <v>51.56</v>
      </c>
      <c r="D82" s="64">
        <v>97.25</v>
      </c>
      <c r="E82" s="64">
        <v>7.55</v>
      </c>
      <c r="F82" s="64">
        <v>26.14</v>
      </c>
      <c r="G82" s="64">
        <v>53.24</v>
      </c>
      <c r="H82" s="64">
        <v>25.58</v>
      </c>
      <c r="I82" s="64">
        <v>4.1100000000000003</v>
      </c>
      <c r="J82" s="64">
        <v>0.59</v>
      </c>
      <c r="K82" s="64">
        <v>236.64</v>
      </c>
      <c r="L82" s="64">
        <v>33.4</v>
      </c>
      <c r="M82" s="64">
        <v>28.94</v>
      </c>
      <c r="N82" s="64">
        <v>55</v>
      </c>
      <c r="O82" s="64">
        <v>0</v>
      </c>
      <c r="P82" s="64">
        <v>0.69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992</v>
      </c>
      <c r="B83" s="64">
        <v>29.62</v>
      </c>
      <c r="C83" s="64">
        <v>130.12</v>
      </c>
      <c r="D83" s="64">
        <v>203.58</v>
      </c>
      <c r="E83" s="64">
        <v>7.18</v>
      </c>
      <c r="F83" s="64">
        <v>12.01</v>
      </c>
      <c r="G83" s="64">
        <v>57.32</v>
      </c>
      <c r="H83" s="64">
        <v>25.1</v>
      </c>
      <c r="I83" s="64">
        <v>4.1100000000000003</v>
      </c>
      <c r="J83" s="64">
        <v>0.41</v>
      </c>
      <c r="K83" s="64">
        <v>211.04</v>
      </c>
      <c r="L83" s="64">
        <v>32.82</v>
      </c>
      <c r="M83" s="64">
        <v>31.51</v>
      </c>
      <c r="N83" s="64">
        <v>54.6</v>
      </c>
      <c r="O83" s="64">
        <v>0</v>
      </c>
      <c r="P83" s="64">
        <v>1.1599999999999999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993</v>
      </c>
      <c r="B84" s="64">
        <v>49.24</v>
      </c>
      <c r="C84" s="64">
        <v>133.41</v>
      </c>
      <c r="D84" s="64">
        <v>179.78</v>
      </c>
      <c r="E84" s="64">
        <v>7.12</v>
      </c>
      <c r="F84" s="64">
        <v>14.27</v>
      </c>
      <c r="G84" s="64">
        <v>61.77</v>
      </c>
      <c r="H84" s="64">
        <v>24.57</v>
      </c>
      <c r="I84" s="64">
        <v>4.0199999999999996</v>
      </c>
      <c r="J84" s="64">
        <v>0.3</v>
      </c>
      <c r="K84" s="64">
        <v>243.67</v>
      </c>
      <c r="L84" s="64">
        <v>32.549999999999997</v>
      </c>
      <c r="M84" s="64">
        <v>32.79</v>
      </c>
      <c r="N84" s="64">
        <v>54</v>
      </c>
      <c r="O84" s="64">
        <v>0</v>
      </c>
      <c r="P84" s="64">
        <v>1.43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994</v>
      </c>
      <c r="B85" s="64">
        <v>194.46</v>
      </c>
      <c r="C85" s="64">
        <v>276.05</v>
      </c>
      <c r="D85" s="64">
        <v>229.89</v>
      </c>
      <c r="E85" s="64">
        <v>7.41</v>
      </c>
      <c r="F85" s="64">
        <v>6.86</v>
      </c>
      <c r="G85" s="64">
        <v>61.77</v>
      </c>
      <c r="H85" s="64">
        <v>24.57</v>
      </c>
      <c r="I85" s="64">
        <v>4.0199999999999996</v>
      </c>
      <c r="J85" s="64">
        <v>0.48</v>
      </c>
      <c r="K85" s="64">
        <v>339.07</v>
      </c>
      <c r="L85" s="64">
        <v>31.79</v>
      </c>
      <c r="M85" s="64">
        <v>38.729999999999997</v>
      </c>
      <c r="N85" s="64">
        <v>54.7</v>
      </c>
      <c r="O85" s="64">
        <v>0</v>
      </c>
      <c r="P85" s="64">
        <v>3.49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995</v>
      </c>
      <c r="B86" s="64">
        <v>233.51</v>
      </c>
      <c r="C86" s="64">
        <v>296.77</v>
      </c>
      <c r="D86" s="64">
        <v>209.61</v>
      </c>
      <c r="E86" s="64">
        <v>7.51</v>
      </c>
      <c r="F86" s="64">
        <v>7.51</v>
      </c>
      <c r="G86" s="64">
        <v>61.77</v>
      </c>
      <c r="H86" s="64">
        <v>24.57</v>
      </c>
      <c r="I86" s="64">
        <v>4.04</v>
      </c>
      <c r="J86" s="64">
        <v>0.43</v>
      </c>
      <c r="K86" s="64">
        <v>338.94</v>
      </c>
      <c r="L86" s="64">
        <v>31.17</v>
      </c>
      <c r="M86" s="64">
        <v>41.12</v>
      </c>
      <c r="N86" s="64">
        <v>54.6</v>
      </c>
      <c r="O86" s="64">
        <v>0</v>
      </c>
      <c r="P86" s="64">
        <v>4.71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996</v>
      </c>
      <c r="B87" s="64">
        <v>179.5</v>
      </c>
      <c r="C87" s="64">
        <v>258.73</v>
      </c>
      <c r="D87" s="64">
        <v>219.69</v>
      </c>
      <c r="E87" s="64">
        <v>7.62</v>
      </c>
      <c r="F87" s="64">
        <v>6.93</v>
      </c>
      <c r="G87" s="64">
        <v>80.040000000000006</v>
      </c>
      <c r="H87" s="64">
        <v>25.83</v>
      </c>
      <c r="I87" s="64">
        <v>3.94</v>
      </c>
      <c r="J87" s="64">
        <v>0.25</v>
      </c>
      <c r="K87" s="64">
        <v>309.77</v>
      </c>
      <c r="L87" s="64">
        <v>30.79</v>
      </c>
      <c r="M87" s="64">
        <v>40.090000000000003</v>
      </c>
      <c r="N87" s="64">
        <v>54.4</v>
      </c>
      <c r="O87" s="64">
        <v>0</v>
      </c>
      <c r="P87" s="64">
        <v>2.9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997</v>
      </c>
      <c r="B88" s="64">
        <v>96.9</v>
      </c>
      <c r="C88" s="64">
        <v>191.69</v>
      </c>
      <c r="D88" s="64">
        <v>218.16</v>
      </c>
      <c r="E88" s="64">
        <v>7.45</v>
      </c>
      <c r="F88" s="64">
        <v>6.42</v>
      </c>
      <c r="G88" s="64">
        <v>100.01</v>
      </c>
      <c r="H88" s="64">
        <v>27.21</v>
      </c>
      <c r="I88" s="64">
        <v>3.91</v>
      </c>
      <c r="J88" s="64">
        <v>0.46</v>
      </c>
      <c r="K88" s="64">
        <v>284.89</v>
      </c>
      <c r="L88" s="64">
        <v>30.64</v>
      </c>
      <c r="M88" s="64">
        <v>38.86</v>
      </c>
      <c r="N88" s="64">
        <v>54.2</v>
      </c>
      <c r="O88" s="64">
        <v>0</v>
      </c>
      <c r="P88" s="64">
        <v>2.52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998</v>
      </c>
      <c r="B89" s="64">
        <v>216.82</v>
      </c>
      <c r="C89" s="64">
        <v>280.17</v>
      </c>
      <c r="D89" s="64">
        <v>203.46</v>
      </c>
      <c r="E89" s="64">
        <v>7.39</v>
      </c>
      <c r="F89" s="64">
        <v>6.99</v>
      </c>
      <c r="G89" s="64">
        <v>100.01</v>
      </c>
      <c r="H89" s="64">
        <v>27.21</v>
      </c>
      <c r="I89" s="64">
        <v>4.04</v>
      </c>
      <c r="J89" s="64">
        <v>0.54</v>
      </c>
      <c r="K89" s="64">
        <v>334.1</v>
      </c>
      <c r="L89" s="64">
        <v>30.67</v>
      </c>
      <c r="M89" s="64">
        <v>43.32</v>
      </c>
      <c r="N89" s="64">
        <v>54.3</v>
      </c>
      <c r="O89" s="64">
        <v>0</v>
      </c>
      <c r="P89" s="64">
        <v>4.33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999</v>
      </c>
      <c r="B90" s="64">
        <v>55.77</v>
      </c>
      <c r="C90" s="64">
        <v>113.91</v>
      </c>
      <c r="D90" s="64">
        <v>132.41999999999999</v>
      </c>
      <c r="E90" s="64">
        <v>6.93</v>
      </c>
      <c r="F90" s="64">
        <v>17.05</v>
      </c>
      <c r="G90" s="64">
        <v>100.01</v>
      </c>
      <c r="H90" s="64">
        <v>27.21</v>
      </c>
      <c r="I90" s="64">
        <v>3.83</v>
      </c>
      <c r="J90" s="64">
        <v>0.35</v>
      </c>
      <c r="K90" s="64">
        <v>99.42</v>
      </c>
      <c r="L90" s="64">
        <v>31.08</v>
      </c>
      <c r="M90" s="64">
        <v>35.56</v>
      </c>
      <c r="N90" s="64">
        <v>52.9</v>
      </c>
      <c r="O90" s="64">
        <v>0</v>
      </c>
      <c r="P90" s="64">
        <v>1.77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1000</v>
      </c>
      <c r="B91" s="64">
        <v>9.01</v>
      </c>
      <c r="C91" s="64">
        <v>63.67</v>
      </c>
      <c r="D91" s="64">
        <v>108.02</v>
      </c>
      <c r="E91" s="64">
        <v>6.87</v>
      </c>
      <c r="F91" s="64">
        <v>21.05</v>
      </c>
      <c r="G91" s="64">
        <v>104.03</v>
      </c>
      <c r="H91" s="64">
        <v>28.7</v>
      </c>
      <c r="I91" s="64">
        <v>4</v>
      </c>
      <c r="J91" s="64">
        <v>0</v>
      </c>
      <c r="K91" s="64">
        <v>112.14</v>
      </c>
      <c r="L91" s="64">
        <v>31.65</v>
      </c>
      <c r="M91" s="64">
        <v>32.840000000000003</v>
      </c>
      <c r="N91" s="64">
        <v>54</v>
      </c>
      <c r="O91" s="64">
        <v>0</v>
      </c>
      <c r="P91" s="64">
        <v>0.9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1001</v>
      </c>
      <c r="B92" s="64">
        <v>10.51</v>
      </c>
      <c r="C92" s="64">
        <v>73.36</v>
      </c>
      <c r="D92" s="64">
        <v>124.28</v>
      </c>
      <c r="E92" s="64">
        <v>6.2</v>
      </c>
      <c r="F92" s="64">
        <v>17.61</v>
      </c>
      <c r="G92" s="64">
        <v>108.42</v>
      </c>
      <c r="H92" s="64">
        <v>30.33</v>
      </c>
      <c r="I92" s="64">
        <v>4.04</v>
      </c>
      <c r="J92" s="64">
        <v>0.05</v>
      </c>
      <c r="K92" s="64">
        <v>273.72000000000003</v>
      </c>
      <c r="L92" s="64">
        <v>31.37</v>
      </c>
      <c r="M92" s="64">
        <v>34.39</v>
      </c>
      <c r="N92" s="64">
        <v>51.9</v>
      </c>
      <c r="O92" s="64">
        <v>0</v>
      </c>
      <c r="P92" s="64">
        <v>0.84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1002</v>
      </c>
      <c r="B93" s="64">
        <v>12.07</v>
      </c>
      <c r="C93" s="64">
        <v>66.12</v>
      </c>
      <c r="D93" s="64">
        <v>108.03</v>
      </c>
      <c r="E93" s="64">
        <v>6.26</v>
      </c>
      <c r="F93" s="64">
        <v>18.920000000000002</v>
      </c>
      <c r="G93" s="64">
        <v>108.42</v>
      </c>
      <c r="H93" s="64">
        <v>30.33</v>
      </c>
      <c r="I93" s="64">
        <v>3.95</v>
      </c>
      <c r="J93" s="64">
        <v>0.56000000000000005</v>
      </c>
      <c r="K93" s="64">
        <v>90.06</v>
      </c>
      <c r="L93" s="64">
        <v>31.45</v>
      </c>
      <c r="M93" s="64">
        <v>34.69</v>
      </c>
      <c r="N93" s="64">
        <v>51.4</v>
      </c>
      <c r="O93" s="64">
        <v>0</v>
      </c>
      <c r="P93" s="64">
        <v>0.82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1003</v>
      </c>
      <c r="B94" s="64">
        <v>17.510000000000002</v>
      </c>
      <c r="C94" s="64">
        <v>62.9</v>
      </c>
      <c r="D94" s="64">
        <v>93.52</v>
      </c>
      <c r="E94" s="64">
        <v>5.92</v>
      </c>
      <c r="F94" s="64">
        <v>21.7</v>
      </c>
      <c r="G94" s="64">
        <v>108.42</v>
      </c>
      <c r="H94" s="64">
        <v>30.33</v>
      </c>
      <c r="I94" s="64">
        <v>4.08</v>
      </c>
      <c r="J94" s="64">
        <v>1.03</v>
      </c>
      <c r="K94" s="64">
        <v>83.02</v>
      </c>
      <c r="L94" s="64">
        <v>31.87</v>
      </c>
      <c r="M94" s="64">
        <v>33.04</v>
      </c>
      <c r="N94" s="64">
        <v>51.3</v>
      </c>
      <c r="O94" s="64">
        <v>0</v>
      </c>
      <c r="P94" s="64">
        <v>0.79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1004</v>
      </c>
      <c r="B95" s="64">
        <v>28.81</v>
      </c>
      <c r="C95" s="64">
        <v>71.53</v>
      </c>
      <c r="D95" s="64">
        <v>92.69</v>
      </c>
      <c r="E95" s="64">
        <v>4.49</v>
      </c>
      <c r="F95" s="64">
        <v>19.73</v>
      </c>
      <c r="G95" s="64">
        <v>96.07</v>
      </c>
      <c r="H95" s="64">
        <v>26.93</v>
      </c>
      <c r="I95" s="64">
        <v>4.0999999999999996</v>
      </c>
      <c r="J95" s="64">
        <v>1.2</v>
      </c>
      <c r="K95" s="64">
        <v>89.48</v>
      </c>
      <c r="L95" s="64">
        <v>31.85</v>
      </c>
      <c r="M95" s="64">
        <v>32</v>
      </c>
      <c r="N95" s="64">
        <v>52.6</v>
      </c>
      <c r="O95" s="64">
        <v>0</v>
      </c>
      <c r="P95" s="64">
        <v>1.08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1005</v>
      </c>
      <c r="B96" s="64">
        <v>32.54</v>
      </c>
      <c r="C96" s="64">
        <v>78.61</v>
      </c>
      <c r="D96" s="64">
        <v>100.53</v>
      </c>
      <c r="E96" s="64">
        <v>3.69</v>
      </c>
      <c r="F96" s="64">
        <v>16.059999999999999</v>
      </c>
      <c r="G96" s="64">
        <v>82.56</v>
      </c>
      <c r="H96" s="64">
        <v>23.22</v>
      </c>
      <c r="I96" s="64">
        <v>4</v>
      </c>
      <c r="J96" s="64">
        <v>0.87</v>
      </c>
      <c r="K96" s="64">
        <v>83.07</v>
      </c>
      <c r="L96" s="64">
        <v>31.48</v>
      </c>
      <c r="M96" s="64">
        <v>32.770000000000003</v>
      </c>
      <c r="N96" s="64">
        <v>53.7</v>
      </c>
      <c r="O96" s="64">
        <v>0</v>
      </c>
      <c r="P96" s="64">
        <v>1.23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1006</v>
      </c>
      <c r="B97" s="64">
        <v>27.64</v>
      </c>
      <c r="C97" s="64">
        <v>75.33</v>
      </c>
      <c r="D97" s="64">
        <v>101.77</v>
      </c>
      <c r="E97" s="64">
        <v>3.68</v>
      </c>
      <c r="F97" s="64">
        <v>15.2</v>
      </c>
      <c r="G97" s="64">
        <v>82.56</v>
      </c>
      <c r="H97" s="64">
        <v>23.22</v>
      </c>
      <c r="I97" s="64">
        <v>4.13</v>
      </c>
      <c r="J97" s="64">
        <v>0.93</v>
      </c>
      <c r="K97" s="64">
        <v>93.62</v>
      </c>
      <c r="L97" s="64">
        <v>31.14</v>
      </c>
      <c r="M97" s="64">
        <v>33.450000000000003</v>
      </c>
      <c r="N97" s="64">
        <v>53.6</v>
      </c>
      <c r="O97" s="64">
        <v>0</v>
      </c>
      <c r="P97" s="64">
        <v>1.1399999999999999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1007</v>
      </c>
      <c r="B98" s="64">
        <v>23.56</v>
      </c>
      <c r="C98" s="64">
        <v>68.72</v>
      </c>
      <c r="D98" s="64">
        <v>95.37</v>
      </c>
      <c r="E98" s="64">
        <v>3.69</v>
      </c>
      <c r="F98" s="64">
        <v>14.26</v>
      </c>
      <c r="G98" s="64">
        <v>82.56</v>
      </c>
      <c r="H98" s="64">
        <v>23.22</v>
      </c>
      <c r="I98" s="64">
        <v>4.01</v>
      </c>
      <c r="J98" s="64">
        <v>0.16</v>
      </c>
      <c r="K98" s="64">
        <v>98.02</v>
      </c>
      <c r="L98" s="64">
        <v>30.72</v>
      </c>
      <c r="M98" s="64">
        <v>34.44</v>
      </c>
      <c r="N98" s="64">
        <v>53.9</v>
      </c>
      <c r="O98" s="64">
        <v>0</v>
      </c>
      <c r="P98" s="64">
        <v>1.05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1008</v>
      </c>
      <c r="B99" s="64">
        <v>18.350000000000001</v>
      </c>
      <c r="C99" s="64">
        <v>61.9</v>
      </c>
      <c r="D99" s="64">
        <v>90.31</v>
      </c>
      <c r="E99" s="64">
        <v>3.44</v>
      </c>
      <c r="F99" s="64">
        <v>15</v>
      </c>
      <c r="G99" s="64">
        <v>72.760000000000005</v>
      </c>
      <c r="H99" s="64">
        <v>22.73</v>
      </c>
      <c r="I99" s="64">
        <v>3.93</v>
      </c>
      <c r="J99" s="64">
        <v>0.53</v>
      </c>
      <c r="K99" s="64">
        <v>123.53</v>
      </c>
      <c r="L99" s="64">
        <v>30.32</v>
      </c>
      <c r="M99" s="64">
        <v>35.15</v>
      </c>
      <c r="N99" s="64">
        <v>53.7</v>
      </c>
      <c r="O99" s="64">
        <v>0</v>
      </c>
      <c r="P99" s="64">
        <v>0.86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1009</v>
      </c>
      <c r="B100" s="64">
        <v>20.04</v>
      </c>
      <c r="C100" s="64">
        <v>64.89</v>
      </c>
      <c r="D100" s="64">
        <v>93.44</v>
      </c>
      <c r="E100" s="64">
        <v>3.05</v>
      </c>
      <c r="F100" s="64">
        <v>12.21</v>
      </c>
      <c r="G100" s="64">
        <v>62.05</v>
      </c>
      <c r="H100" s="64">
        <v>22.2</v>
      </c>
      <c r="I100" s="64">
        <v>3.91</v>
      </c>
      <c r="J100" s="64">
        <v>0.98</v>
      </c>
      <c r="K100" s="64">
        <v>177.95</v>
      </c>
      <c r="L100" s="64">
        <v>30.09</v>
      </c>
      <c r="M100" s="64">
        <v>35.83</v>
      </c>
      <c r="N100" s="64">
        <v>53.5</v>
      </c>
      <c r="O100" s="64">
        <v>0</v>
      </c>
      <c r="P100" s="64">
        <v>0.98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1010</v>
      </c>
      <c r="B101" s="64">
        <v>14.96</v>
      </c>
      <c r="C101" s="64">
        <v>60.17</v>
      </c>
      <c r="D101" s="64">
        <v>92.2</v>
      </c>
      <c r="E101" s="64">
        <v>2.54</v>
      </c>
      <c r="F101" s="64">
        <v>12.44</v>
      </c>
      <c r="G101" s="64">
        <v>62.05</v>
      </c>
      <c r="H101" s="64">
        <v>22.2</v>
      </c>
      <c r="I101" s="64">
        <v>3.96</v>
      </c>
      <c r="J101" s="64">
        <v>0.84</v>
      </c>
      <c r="K101" s="64">
        <v>170.57</v>
      </c>
      <c r="L101" s="64">
        <v>29.84</v>
      </c>
      <c r="M101" s="64">
        <v>36.67</v>
      </c>
      <c r="N101" s="64">
        <v>53.7</v>
      </c>
      <c r="O101" s="64">
        <v>0</v>
      </c>
      <c r="P101" s="64">
        <v>0.92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1011</v>
      </c>
      <c r="B102" s="64">
        <v>14.54</v>
      </c>
      <c r="C102" s="64">
        <v>60.37</v>
      </c>
      <c r="D102" s="64">
        <v>93.24</v>
      </c>
      <c r="E102" s="64">
        <v>2.67</v>
      </c>
      <c r="F102" s="64">
        <v>10.17</v>
      </c>
      <c r="G102" s="64">
        <v>62.05</v>
      </c>
      <c r="H102" s="64">
        <v>22.2</v>
      </c>
      <c r="I102" s="64">
        <v>3.86</v>
      </c>
      <c r="J102" s="64">
        <v>1.2</v>
      </c>
      <c r="K102" s="64">
        <v>173.47</v>
      </c>
      <c r="L102" s="64">
        <v>29.62</v>
      </c>
      <c r="M102" s="64">
        <v>36.92</v>
      </c>
      <c r="N102" s="64">
        <v>53.4</v>
      </c>
      <c r="O102" s="64">
        <v>0</v>
      </c>
      <c r="P102" s="64">
        <v>0.98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1012</v>
      </c>
      <c r="B103" s="64">
        <v>12.99</v>
      </c>
      <c r="C103" s="64">
        <v>59.16</v>
      </c>
      <c r="D103" s="64">
        <v>93.29</v>
      </c>
      <c r="E103" s="64">
        <v>1.86</v>
      </c>
      <c r="F103" s="64">
        <v>8.51</v>
      </c>
      <c r="G103" s="64">
        <v>55.54</v>
      </c>
      <c r="H103" s="64">
        <v>21.06</v>
      </c>
      <c r="I103" s="64">
        <v>3.71</v>
      </c>
      <c r="J103" s="64">
        <v>1.91</v>
      </c>
      <c r="K103" s="64">
        <v>163.09</v>
      </c>
      <c r="L103" s="64">
        <v>29.39</v>
      </c>
      <c r="M103" s="64">
        <v>37</v>
      </c>
      <c r="N103" s="64">
        <v>53.6</v>
      </c>
      <c r="O103" s="64">
        <v>0</v>
      </c>
      <c r="P103" s="64">
        <v>0.96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1013</v>
      </c>
      <c r="B104" s="64">
        <v>9.26</v>
      </c>
      <c r="C104" s="64">
        <v>54.15</v>
      </c>
      <c r="D104" s="64">
        <v>89.43</v>
      </c>
      <c r="E104" s="64">
        <v>3.08</v>
      </c>
      <c r="F104" s="64">
        <v>9.48</v>
      </c>
      <c r="G104" s="64">
        <v>48.43</v>
      </c>
      <c r="H104" s="64">
        <v>19.82</v>
      </c>
      <c r="I104" s="64">
        <v>4.2</v>
      </c>
      <c r="J104" s="64">
        <v>1.46</v>
      </c>
      <c r="K104" s="64">
        <v>160.77000000000001</v>
      </c>
      <c r="L104" s="64">
        <v>28.98</v>
      </c>
      <c r="M104" s="64">
        <v>37.96</v>
      </c>
      <c r="N104" s="64">
        <v>54.1</v>
      </c>
      <c r="O104" s="64">
        <v>0</v>
      </c>
      <c r="P104" s="64">
        <v>0.88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0.57999999999999996</v>
      </c>
      <c r="C106" s="67">
        <f>MIN(C9:C104)</f>
        <v>28.68</v>
      </c>
      <c r="D106" s="67">
        <f t="shared" ref="D106:Q106" si="0">MIN(D9:D104)</f>
        <v>52.32</v>
      </c>
      <c r="E106" s="67">
        <f t="shared" si="0"/>
        <v>1.86</v>
      </c>
      <c r="F106" s="67">
        <f t="shared" si="0"/>
        <v>6.25</v>
      </c>
      <c r="G106" s="67">
        <f t="shared" si="0"/>
        <v>20.61</v>
      </c>
      <c r="H106" s="67">
        <f t="shared" si="0"/>
        <v>2.69</v>
      </c>
      <c r="I106" s="67">
        <f t="shared" si="0"/>
        <v>3.71</v>
      </c>
      <c r="J106" s="67">
        <f t="shared" si="0"/>
        <v>0</v>
      </c>
      <c r="K106" s="67">
        <f t="shared" si="0"/>
        <v>4.53</v>
      </c>
      <c r="L106" s="67">
        <f t="shared" si="0"/>
        <v>20.9</v>
      </c>
      <c r="M106" s="67">
        <f t="shared" si="0"/>
        <v>21.33</v>
      </c>
      <c r="N106" s="67">
        <f t="shared" si="0"/>
        <v>49.7</v>
      </c>
      <c r="O106" s="67">
        <f t="shared" si="0"/>
        <v>0</v>
      </c>
      <c r="P106" s="67">
        <f t="shared" si="0"/>
        <v>0.39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233.51</v>
      </c>
      <c r="C107" s="66">
        <f t="shared" ref="C107:Q107" si="1">MAX(C9:C104)</f>
        <v>296.77</v>
      </c>
      <c r="D107" s="66">
        <f t="shared" si="1"/>
        <v>229.89</v>
      </c>
      <c r="E107" s="66">
        <f t="shared" si="1"/>
        <v>12.66</v>
      </c>
      <c r="F107" s="66">
        <f t="shared" si="1"/>
        <v>38.92</v>
      </c>
      <c r="G107" s="66">
        <f t="shared" si="1"/>
        <v>108.42</v>
      </c>
      <c r="H107" s="66">
        <f t="shared" si="1"/>
        <v>30.33</v>
      </c>
      <c r="I107" s="66">
        <f t="shared" si="1"/>
        <v>4.66</v>
      </c>
      <c r="J107" s="66">
        <f t="shared" si="1"/>
        <v>1.91</v>
      </c>
      <c r="K107" s="66">
        <f t="shared" si="1"/>
        <v>341.89</v>
      </c>
      <c r="L107" s="66">
        <f t="shared" si="1"/>
        <v>38.409999999999997</v>
      </c>
      <c r="M107" s="66">
        <f t="shared" si="1"/>
        <v>57.74</v>
      </c>
      <c r="N107" s="66">
        <f t="shared" si="1"/>
        <v>911</v>
      </c>
      <c r="O107" s="66">
        <f t="shared" si="1"/>
        <v>0</v>
      </c>
      <c r="P107" s="66">
        <f t="shared" si="1"/>
        <v>4.71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30.551666666666677</v>
      </c>
      <c r="C108" s="67">
        <f t="shared" ref="C108:Q108" si="2">AVERAGE(C9:C104)</f>
        <v>75.455312499999977</v>
      </c>
      <c r="D108" s="67">
        <f t="shared" si="2"/>
        <v>97.816354166666727</v>
      </c>
      <c r="E108" s="67">
        <f t="shared" si="2"/>
        <v>5.0393749999999997</v>
      </c>
      <c r="F108" s="67">
        <f t="shared" si="2"/>
        <v>14.729166666666671</v>
      </c>
      <c r="G108" s="67">
        <f t="shared" si="2"/>
        <v>58.730625000000032</v>
      </c>
      <c r="H108" s="67">
        <f t="shared" si="2"/>
        <v>19.446979166666665</v>
      </c>
      <c r="I108" s="67">
        <f t="shared" si="2"/>
        <v>4.0034374999999995</v>
      </c>
      <c r="J108" s="67">
        <f t="shared" si="2"/>
        <v>0.69927083333333329</v>
      </c>
      <c r="K108" s="67">
        <f t="shared" si="2"/>
        <v>197.32645833333333</v>
      </c>
      <c r="L108" s="67">
        <f t="shared" si="2"/>
        <v>29.372499999999992</v>
      </c>
      <c r="M108" s="67">
        <f t="shared" si="2"/>
        <v>37.04322916666667</v>
      </c>
      <c r="N108" s="67">
        <f t="shared" si="2"/>
        <v>279.19479166666673</v>
      </c>
      <c r="O108" s="67">
        <f t="shared" si="2"/>
        <v>0</v>
      </c>
      <c r="P108" s="67">
        <f t="shared" si="2"/>
        <v>0.93875000000000008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44.297681646991904</v>
      </c>
      <c r="C109" s="67">
        <f t="shared" ref="C109:Q109" si="3">STDEV(C9:C104)</f>
        <v>52.377857554567697</v>
      </c>
      <c r="D109" s="67">
        <f t="shared" si="3"/>
        <v>36.862610128900769</v>
      </c>
      <c r="E109" s="67">
        <f t="shared" si="3"/>
        <v>2.4606605071766716</v>
      </c>
      <c r="F109" s="67">
        <f t="shared" si="3"/>
        <v>8.3835349492689435</v>
      </c>
      <c r="G109" s="67">
        <f t="shared" si="3"/>
        <v>23.965804709934808</v>
      </c>
      <c r="H109" s="67">
        <f t="shared" si="3"/>
        <v>7.9779112316830174</v>
      </c>
      <c r="I109" s="67">
        <f t="shared" si="3"/>
        <v>0.11141036637962422</v>
      </c>
      <c r="J109" s="67">
        <f t="shared" si="3"/>
        <v>0.37629843920866474</v>
      </c>
      <c r="K109" s="67">
        <f t="shared" si="3"/>
        <v>72.570355640928867</v>
      </c>
      <c r="L109" s="67">
        <f t="shared" si="3"/>
        <v>5.2731354898899632</v>
      </c>
      <c r="M109" s="67">
        <f t="shared" si="3"/>
        <v>10.023542970090284</v>
      </c>
      <c r="N109" s="67">
        <f t="shared" si="3"/>
        <v>313.33373375592652</v>
      </c>
      <c r="O109" s="67">
        <f t="shared" si="3"/>
        <v>0</v>
      </c>
      <c r="P109" s="67">
        <f t="shared" si="3"/>
        <v>0.72141126309915338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1014</v>
      </c>
      <c r="B9" s="64">
        <v>7.52</v>
      </c>
      <c r="C9" s="64">
        <v>52.92</v>
      </c>
      <c r="D9" s="64">
        <v>89.73</v>
      </c>
      <c r="E9" s="64">
        <v>3.58</v>
      </c>
      <c r="F9" s="64">
        <v>8.43</v>
      </c>
      <c r="G9" s="64">
        <v>48.43</v>
      </c>
      <c r="H9" s="64">
        <v>19.82</v>
      </c>
      <c r="I9" s="64">
        <v>3.89</v>
      </c>
      <c r="J9" s="64">
        <v>1.53</v>
      </c>
      <c r="K9" s="64">
        <v>156.82</v>
      </c>
      <c r="L9" s="64">
        <v>28.54</v>
      </c>
      <c r="M9" s="64">
        <v>38.03</v>
      </c>
      <c r="N9" s="64">
        <v>53.9</v>
      </c>
      <c r="O9" s="64">
        <v>0</v>
      </c>
      <c r="P9" s="64">
        <v>0.83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1015</v>
      </c>
      <c r="B10" s="64">
        <v>4.7699999999999996</v>
      </c>
      <c r="C10" s="64">
        <v>43.94</v>
      </c>
      <c r="D10" s="64">
        <v>76.78</v>
      </c>
      <c r="E10" s="64">
        <v>3.27</v>
      </c>
      <c r="F10" s="64">
        <v>10.61</v>
      </c>
      <c r="G10" s="64">
        <v>48.43</v>
      </c>
      <c r="H10" s="64">
        <v>19.82</v>
      </c>
      <c r="I10" s="64">
        <v>4.24</v>
      </c>
      <c r="J10" s="64">
        <v>1.45</v>
      </c>
      <c r="K10" s="64">
        <v>159.19</v>
      </c>
      <c r="L10" s="64">
        <v>28.39</v>
      </c>
      <c r="M10" s="64">
        <v>35.729999999999997</v>
      </c>
      <c r="N10" s="64">
        <v>53.6</v>
      </c>
      <c r="O10" s="64">
        <v>0</v>
      </c>
      <c r="P10" s="64">
        <v>0.71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1016</v>
      </c>
      <c r="B11" s="64">
        <v>3.9</v>
      </c>
      <c r="C11" s="64">
        <v>42.08</v>
      </c>
      <c r="D11" s="64">
        <v>74.55</v>
      </c>
      <c r="E11" s="64">
        <v>3.1</v>
      </c>
      <c r="F11" s="64">
        <v>13.21</v>
      </c>
      <c r="G11" s="64">
        <v>38.909999999999997</v>
      </c>
      <c r="H11" s="64">
        <v>18.309999999999999</v>
      </c>
      <c r="I11" s="64">
        <v>4.05</v>
      </c>
      <c r="J11" s="64">
        <v>1.28</v>
      </c>
      <c r="K11" s="64">
        <v>160.88999999999999</v>
      </c>
      <c r="L11" s="64">
        <v>28.21</v>
      </c>
      <c r="M11" s="64">
        <v>35.18</v>
      </c>
      <c r="N11" s="64">
        <v>53.6</v>
      </c>
      <c r="O11" s="64">
        <v>0</v>
      </c>
      <c r="P11" s="64">
        <v>0.67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1017</v>
      </c>
      <c r="B12" s="64">
        <v>3.74</v>
      </c>
      <c r="C12" s="64">
        <v>39.83</v>
      </c>
      <c r="D12" s="64">
        <v>70.5</v>
      </c>
      <c r="E12" s="64">
        <v>3.14</v>
      </c>
      <c r="F12" s="64">
        <v>12.33</v>
      </c>
      <c r="G12" s="64">
        <v>28.49</v>
      </c>
      <c r="H12" s="64">
        <v>16.66</v>
      </c>
      <c r="I12" s="64">
        <v>4.03</v>
      </c>
      <c r="J12" s="64">
        <v>1.3</v>
      </c>
      <c r="K12" s="64">
        <v>155.54</v>
      </c>
      <c r="L12" s="64">
        <v>27.98</v>
      </c>
      <c r="M12" s="64">
        <v>35.549999999999997</v>
      </c>
      <c r="N12" s="64">
        <v>52.8</v>
      </c>
      <c r="O12" s="64">
        <v>0</v>
      </c>
      <c r="P12" s="64">
        <v>0.64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1018</v>
      </c>
      <c r="B13" s="64">
        <v>3.58</v>
      </c>
      <c r="C13" s="64">
        <v>38.36</v>
      </c>
      <c r="D13" s="64">
        <v>67.930000000000007</v>
      </c>
      <c r="E13" s="64">
        <v>3.03</v>
      </c>
      <c r="F13" s="64">
        <v>13.05</v>
      </c>
      <c r="G13" s="64">
        <v>28.49</v>
      </c>
      <c r="H13" s="64">
        <v>16.66</v>
      </c>
      <c r="I13" s="64">
        <v>3.91</v>
      </c>
      <c r="J13" s="64">
        <v>1.36</v>
      </c>
      <c r="K13" s="64">
        <v>159.82</v>
      </c>
      <c r="L13" s="64">
        <v>27.73</v>
      </c>
      <c r="M13" s="64">
        <v>36.42</v>
      </c>
      <c r="N13" s="64">
        <v>52.7</v>
      </c>
      <c r="O13" s="64">
        <v>0</v>
      </c>
      <c r="P13" s="64">
        <v>0.63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1019</v>
      </c>
      <c r="B14" s="64">
        <v>2.52</v>
      </c>
      <c r="C14" s="64">
        <v>36.67</v>
      </c>
      <c r="D14" s="64">
        <v>66.31</v>
      </c>
      <c r="E14" s="64">
        <v>3.47</v>
      </c>
      <c r="F14" s="64">
        <v>13.44</v>
      </c>
      <c r="G14" s="64">
        <v>28.49</v>
      </c>
      <c r="H14" s="64">
        <v>16.66</v>
      </c>
      <c r="I14" s="64">
        <v>3.93</v>
      </c>
      <c r="J14" s="64">
        <v>1.07</v>
      </c>
      <c r="K14" s="64">
        <v>159.52000000000001</v>
      </c>
      <c r="L14" s="64">
        <v>27.47</v>
      </c>
      <c r="M14" s="64">
        <v>37.409999999999997</v>
      </c>
      <c r="N14" s="64">
        <v>52.8</v>
      </c>
      <c r="O14" s="64">
        <v>0</v>
      </c>
      <c r="P14" s="64">
        <v>0.55000000000000004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1020</v>
      </c>
      <c r="B15" s="64">
        <v>2.74</v>
      </c>
      <c r="C15" s="64">
        <v>36.29</v>
      </c>
      <c r="D15" s="64">
        <v>65.25</v>
      </c>
      <c r="E15" s="64">
        <v>3.67</v>
      </c>
      <c r="F15" s="64">
        <v>13.32</v>
      </c>
      <c r="G15" s="64">
        <v>24.91</v>
      </c>
      <c r="H15" s="64">
        <v>14.79</v>
      </c>
      <c r="I15" s="64">
        <v>3.97</v>
      </c>
      <c r="J15" s="64">
        <v>1.07</v>
      </c>
      <c r="K15" s="64">
        <v>155.13999999999999</v>
      </c>
      <c r="L15" s="64">
        <v>27.27</v>
      </c>
      <c r="M15" s="64">
        <v>38.049999999999997</v>
      </c>
      <c r="N15" s="64">
        <v>52.9</v>
      </c>
      <c r="O15" s="64">
        <v>0</v>
      </c>
      <c r="P15" s="64">
        <v>0.56999999999999995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1021</v>
      </c>
      <c r="B16" s="64">
        <v>2.75</v>
      </c>
      <c r="C16" s="64">
        <v>36.58</v>
      </c>
      <c r="D16" s="64">
        <v>65.790000000000006</v>
      </c>
      <c r="E16" s="64">
        <v>3.55</v>
      </c>
      <c r="F16" s="64">
        <v>13.09</v>
      </c>
      <c r="G16" s="64">
        <v>20.99</v>
      </c>
      <c r="H16" s="64">
        <v>12.74</v>
      </c>
      <c r="I16" s="64">
        <v>3.92</v>
      </c>
      <c r="J16" s="64">
        <v>1.08</v>
      </c>
      <c r="K16" s="64">
        <v>169.17</v>
      </c>
      <c r="L16" s="64">
        <v>27.1</v>
      </c>
      <c r="M16" s="64">
        <v>38.450000000000003</v>
      </c>
      <c r="N16" s="64">
        <v>52.9</v>
      </c>
      <c r="O16" s="64">
        <v>0</v>
      </c>
      <c r="P16" s="64">
        <v>0.59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1022</v>
      </c>
      <c r="B17" s="64">
        <v>2.5499999999999998</v>
      </c>
      <c r="C17" s="64">
        <v>34.76</v>
      </c>
      <c r="D17" s="64">
        <v>62.61</v>
      </c>
      <c r="E17" s="64">
        <v>2.76</v>
      </c>
      <c r="F17" s="64">
        <v>10.87</v>
      </c>
      <c r="G17" s="64">
        <v>20.99</v>
      </c>
      <c r="H17" s="64">
        <v>12.74</v>
      </c>
      <c r="I17" s="64">
        <v>4.01</v>
      </c>
      <c r="J17" s="64">
        <v>0.68</v>
      </c>
      <c r="K17" s="64">
        <v>161.12</v>
      </c>
      <c r="L17" s="64">
        <v>26.89</v>
      </c>
      <c r="M17" s="64">
        <v>39.26</v>
      </c>
      <c r="N17" s="64">
        <v>53.2</v>
      </c>
      <c r="O17" s="64">
        <v>0</v>
      </c>
      <c r="P17" s="64">
        <v>0.55000000000000004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1023</v>
      </c>
      <c r="B18" s="64">
        <v>3.11</v>
      </c>
      <c r="C18" s="64">
        <v>38.51</v>
      </c>
      <c r="D18" s="64">
        <v>68.94</v>
      </c>
      <c r="E18" s="64">
        <v>2.89</v>
      </c>
      <c r="F18" s="64">
        <v>8.76</v>
      </c>
      <c r="G18" s="64">
        <v>20.99</v>
      </c>
      <c r="H18" s="64">
        <v>12.74</v>
      </c>
      <c r="I18" s="64">
        <v>4.0199999999999996</v>
      </c>
      <c r="J18" s="64">
        <v>0.52</v>
      </c>
      <c r="K18" s="64">
        <v>132.08000000000001</v>
      </c>
      <c r="L18" s="64">
        <v>26.5</v>
      </c>
      <c r="M18" s="64">
        <v>40.65</v>
      </c>
      <c r="N18" s="64">
        <v>53.4</v>
      </c>
      <c r="O18" s="64">
        <v>0</v>
      </c>
      <c r="P18" s="64">
        <v>0.59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1024</v>
      </c>
      <c r="B19" s="64">
        <v>2.67</v>
      </c>
      <c r="C19" s="64">
        <v>37.53</v>
      </c>
      <c r="D19" s="64">
        <v>67.73</v>
      </c>
      <c r="E19" s="64">
        <v>3.41</v>
      </c>
      <c r="F19" s="64">
        <v>9.07</v>
      </c>
      <c r="G19" s="64">
        <v>22.72</v>
      </c>
      <c r="H19" s="64">
        <v>12.88</v>
      </c>
      <c r="I19" s="64">
        <v>3.92</v>
      </c>
      <c r="J19" s="64">
        <v>0.56999999999999995</v>
      </c>
      <c r="K19" s="64">
        <v>128.97999999999999</v>
      </c>
      <c r="L19" s="64">
        <v>26.4</v>
      </c>
      <c r="M19" s="64">
        <v>41.01</v>
      </c>
      <c r="N19" s="64">
        <v>53.1</v>
      </c>
      <c r="O19" s="64">
        <v>0</v>
      </c>
      <c r="P19" s="64">
        <v>0.53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1025</v>
      </c>
      <c r="B20" s="64">
        <v>2.48</v>
      </c>
      <c r="C20" s="64">
        <v>36.79</v>
      </c>
      <c r="D20" s="64">
        <v>66.61</v>
      </c>
      <c r="E20" s="64">
        <v>3.58</v>
      </c>
      <c r="F20" s="64">
        <v>8.83</v>
      </c>
      <c r="G20" s="64">
        <v>24.61</v>
      </c>
      <c r="H20" s="64">
        <v>13.04</v>
      </c>
      <c r="I20" s="64">
        <v>3.91</v>
      </c>
      <c r="J20" s="64">
        <v>0.51</v>
      </c>
      <c r="K20" s="64">
        <v>132.81</v>
      </c>
      <c r="L20" s="64">
        <v>26.28</v>
      </c>
      <c r="M20" s="64">
        <v>41.31</v>
      </c>
      <c r="N20" s="64">
        <v>53.1</v>
      </c>
      <c r="O20" s="64">
        <v>0</v>
      </c>
      <c r="P20" s="64">
        <v>0.52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1026</v>
      </c>
      <c r="B21" s="64">
        <v>2.06</v>
      </c>
      <c r="C21" s="64">
        <v>34.770000000000003</v>
      </c>
      <c r="D21" s="64">
        <v>63.39</v>
      </c>
      <c r="E21" s="64">
        <v>2.84</v>
      </c>
      <c r="F21" s="64">
        <v>10.050000000000001</v>
      </c>
      <c r="G21" s="64">
        <v>24.61</v>
      </c>
      <c r="H21" s="64">
        <v>13.04</v>
      </c>
      <c r="I21" s="64">
        <v>3.94</v>
      </c>
      <c r="J21" s="64">
        <v>0.35</v>
      </c>
      <c r="K21" s="64">
        <v>104.13</v>
      </c>
      <c r="L21" s="64">
        <v>26.19</v>
      </c>
      <c r="M21" s="64">
        <v>40.729999999999997</v>
      </c>
      <c r="N21" s="64">
        <v>53.3</v>
      </c>
      <c r="O21" s="64">
        <v>0</v>
      </c>
      <c r="P21" s="64">
        <v>0.49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1027</v>
      </c>
      <c r="B22" s="64">
        <v>2.0099999999999998</v>
      </c>
      <c r="C22" s="64">
        <v>36.299999999999997</v>
      </c>
      <c r="D22" s="64">
        <v>66.400000000000006</v>
      </c>
      <c r="E22" s="64">
        <v>3.51</v>
      </c>
      <c r="F22" s="64">
        <v>10.86</v>
      </c>
      <c r="G22" s="64">
        <v>24.61</v>
      </c>
      <c r="H22" s="64">
        <v>13.04</v>
      </c>
      <c r="I22" s="64">
        <v>4.17</v>
      </c>
      <c r="J22" s="64">
        <v>0.43</v>
      </c>
      <c r="K22" s="64">
        <v>145.37</v>
      </c>
      <c r="L22" s="64">
        <v>26.13</v>
      </c>
      <c r="M22" s="64">
        <v>39.89</v>
      </c>
      <c r="N22" s="64">
        <v>53.3</v>
      </c>
      <c r="O22" s="64">
        <v>0</v>
      </c>
      <c r="P22" s="64">
        <v>0.46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1028</v>
      </c>
      <c r="B23" s="64">
        <v>1.63</v>
      </c>
      <c r="C23" s="64">
        <v>33.42</v>
      </c>
      <c r="D23" s="64">
        <v>61.46</v>
      </c>
      <c r="E23" s="64">
        <v>3.31</v>
      </c>
      <c r="F23" s="64">
        <v>11.24</v>
      </c>
      <c r="G23" s="64">
        <v>21.75</v>
      </c>
      <c r="H23" s="64">
        <v>12.42</v>
      </c>
      <c r="I23" s="64">
        <v>4.07</v>
      </c>
      <c r="J23" s="64">
        <v>0.5</v>
      </c>
      <c r="K23" s="64">
        <v>168.95</v>
      </c>
      <c r="L23" s="64">
        <v>25.99</v>
      </c>
      <c r="M23" s="64">
        <v>39.82</v>
      </c>
      <c r="N23" s="64">
        <v>53.2</v>
      </c>
      <c r="O23" s="64">
        <v>0</v>
      </c>
      <c r="P23" s="64">
        <v>0.44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1029</v>
      </c>
      <c r="B24" s="64">
        <v>1.54</v>
      </c>
      <c r="C24" s="64">
        <v>33.29</v>
      </c>
      <c r="D24" s="64">
        <v>61.36</v>
      </c>
      <c r="E24" s="64">
        <v>3.3</v>
      </c>
      <c r="F24" s="64">
        <v>11.75</v>
      </c>
      <c r="G24" s="64">
        <v>18.63</v>
      </c>
      <c r="H24" s="64">
        <v>11.75</v>
      </c>
      <c r="I24" s="64">
        <v>4.09</v>
      </c>
      <c r="J24" s="64">
        <v>0.35</v>
      </c>
      <c r="K24" s="64">
        <v>139.79</v>
      </c>
      <c r="L24" s="64">
        <v>25.8</v>
      </c>
      <c r="M24" s="64">
        <v>40.19</v>
      </c>
      <c r="N24" s="64">
        <v>53.4</v>
      </c>
      <c r="O24" s="64">
        <v>0</v>
      </c>
      <c r="P24" s="64">
        <v>0.38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1030</v>
      </c>
      <c r="B25" s="64">
        <v>1.86</v>
      </c>
      <c r="C25" s="64">
        <v>35.58</v>
      </c>
      <c r="D25" s="64">
        <v>65.239999999999995</v>
      </c>
      <c r="E25" s="64">
        <v>3.09</v>
      </c>
      <c r="F25" s="64">
        <v>8.69</v>
      </c>
      <c r="G25" s="64">
        <v>18.63</v>
      </c>
      <c r="H25" s="64">
        <v>11.75</v>
      </c>
      <c r="I25" s="64">
        <v>3.88</v>
      </c>
      <c r="J25" s="64">
        <v>0.28999999999999998</v>
      </c>
      <c r="K25" s="64">
        <v>95.72</v>
      </c>
      <c r="L25" s="64">
        <v>25.57</v>
      </c>
      <c r="M25" s="64">
        <v>40.74</v>
      </c>
      <c r="N25" s="64">
        <v>53.3</v>
      </c>
      <c r="O25" s="64">
        <v>0</v>
      </c>
      <c r="P25" s="64">
        <v>0.43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1031</v>
      </c>
      <c r="B26" s="64">
        <v>1.61</v>
      </c>
      <c r="C26" s="64">
        <v>33.68</v>
      </c>
      <c r="D26" s="64">
        <v>62</v>
      </c>
      <c r="E26" s="64">
        <v>3.28</v>
      </c>
      <c r="F26" s="64">
        <v>11.48</v>
      </c>
      <c r="G26" s="64">
        <v>18.63</v>
      </c>
      <c r="H26" s="64">
        <v>11.75</v>
      </c>
      <c r="I26" s="64">
        <v>4.0599999999999996</v>
      </c>
      <c r="J26" s="64">
        <v>0.45</v>
      </c>
      <c r="K26" s="64">
        <v>123.92</v>
      </c>
      <c r="L26" s="64">
        <v>25.42</v>
      </c>
      <c r="M26" s="64">
        <v>41.28</v>
      </c>
      <c r="N26" s="64">
        <v>53.4</v>
      </c>
      <c r="O26" s="64">
        <v>0</v>
      </c>
      <c r="P26" s="64">
        <v>0.39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1032</v>
      </c>
      <c r="B27" s="64">
        <v>1.9</v>
      </c>
      <c r="C27" s="64">
        <v>36.1</v>
      </c>
      <c r="D27" s="64">
        <v>66.180000000000007</v>
      </c>
      <c r="E27" s="64">
        <v>2.99</v>
      </c>
      <c r="F27" s="64">
        <v>10.1</v>
      </c>
      <c r="G27" s="64">
        <v>21.43</v>
      </c>
      <c r="H27" s="64">
        <v>11.17</v>
      </c>
      <c r="I27" s="64">
        <v>4.03</v>
      </c>
      <c r="J27" s="64">
        <v>0.41</v>
      </c>
      <c r="K27" s="64">
        <v>172.3</v>
      </c>
      <c r="L27" s="64">
        <v>25.3</v>
      </c>
      <c r="M27" s="64">
        <v>41.71</v>
      </c>
      <c r="N27" s="64">
        <v>53.3</v>
      </c>
      <c r="O27" s="64">
        <v>0</v>
      </c>
      <c r="P27" s="64">
        <v>0.39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1033</v>
      </c>
      <c r="B28" s="64">
        <v>1.83</v>
      </c>
      <c r="C28" s="64">
        <v>35.119999999999997</v>
      </c>
      <c r="D28" s="64">
        <v>64.41</v>
      </c>
      <c r="E28" s="64">
        <v>3.01</v>
      </c>
      <c r="F28" s="64">
        <v>12.61</v>
      </c>
      <c r="G28" s="64">
        <v>24.48</v>
      </c>
      <c r="H28" s="64">
        <v>10.52</v>
      </c>
      <c r="I28" s="64">
        <v>4.1399999999999997</v>
      </c>
      <c r="J28" s="64">
        <v>0.44</v>
      </c>
      <c r="K28" s="64">
        <v>185.96</v>
      </c>
      <c r="L28" s="64">
        <v>25.11</v>
      </c>
      <c r="M28" s="64">
        <v>42.31</v>
      </c>
      <c r="N28" s="64">
        <v>53.1</v>
      </c>
      <c r="O28" s="64">
        <v>0</v>
      </c>
      <c r="P28" s="64">
        <v>0.33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1034</v>
      </c>
      <c r="B29" s="64">
        <v>3.14</v>
      </c>
      <c r="C29" s="64">
        <v>38.659999999999997</v>
      </c>
      <c r="D29" s="64">
        <v>69.16</v>
      </c>
      <c r="E29" s="64">
        <v>3.25</v>
      </c>
      <c r="F29" s="64">
        <v>13.15</v>
      </c>
      <c r="G29" s="64">
        <v>24.48</v>
      </c>
      <c r="H29" s="64">
        <v>10.52</v>
      </c>
      <c r="I29" s="64">
        <v>4.09</v>
      </c>
      <c r="J29" s="64">
        <v>0.44</v>
      </c>
      <c r="K29" s="64">
        <v>167.38</v>
      </c>
      <c r="L29" s="64">
        <v>24.96</v>
      </c>
      <c r="M29" s="64">
        <v>42.83</v>
      </c>
      <c r="N29" s="64">
        <v>53.3</v>
      </c>
      <c r="O29" s="64">
        <v>0</v>
      </c>
      <c r="P29" s="64">
        <v>0.34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1035</v>
      </c>
      <c r="B30" s="64">
        <v>2.77</v>
      </c>
      <c r="C30" s="64">
        <v>36.4</v>
      </c>
      <c r="D30" s="64">
        <v>65.42</v>
      </c>
      <c r="E30" s="64">
        <v>2.84</v>
      </c>
      <c r="F30" s="64">
        <v>11.56</v>
      </c>
      <c r="G30" s="64">
        <v>24.48</v>
      </c>
      <c r="H30" s="64">
        <v>10.52</v>
      </c>
      <c r="I30" s="64">
        <v>3.91</v>
      </c>
      <c r="J30" s="64">
        <v>0.55000000000000004</v>
      </c>
      <c r="K30" s="64">
        <v>179.06</v>
      </c>
      <c r="L30" s="64">
        <v>24.9</v>
      </c>
      <c r="M30" s="64">
        <v>42.99</v>
      </c>
      <c r="N30" s="64">
        <v>53.1</v>
      </c>
      <c r="O30" s="64">
        <v>0</v>
      </c>
      <c r="P30" s="64">
        <v>0.35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1036</v>
      </c>
      <c r="B31" s="64">
        <v>2.86</v>
      </c>
      <c r="C31" s="64">
        <v>38.07</v>
      </c>
      <c r="D31" s="64">
        <v>68.47</v>
      </c>
      <c r="E31" s="64">
        <v>3.23</v>
      </c>
      <c r="F31" s="64">
        <v>12.76</v>
      </c>
      <c r="G31" s="64">
        <v>19.78</v>
      </c>
      <c r="H31" s="64">
        <v>9.9</v>
      </c>
      <c r="I31" s="64">
        <v>4.04</v>
      </c>
      <c r="J31" s="64">
        <v>0.51</v>
      </c>
      <c r="K31" s="64">
        <v>144.9</v>
      </c>
      <c r="L31" s="64">
        <v>24.78</v>
      </c>
      <c r="M31" s="64">
        <v>43.31</v>
      </c>
      <c r="N31" s="64">
        <v>55.2</v>
      </c>
      <c r="O31" s="64">
        <v>0</v>
      </c>
      <c r="P31" s="64">
        <v>0.33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1037</v>
      </c>
      <c r="B32" s="64">
        <v>2.99</v>
      </c>
      <c r="C32" s="64">
        <v>38.04</v>
      </c>
      <c r="D32" s="64">
        <v>68.209999999999994</v>
      </c>
      <c r="E32" s="64">
        <v>3.16</v>
      </c>
      <c r="F32" s="64">
        <v>12.38</v>
      </c>
      <c r="G32" s="64">
        <v>14.65</v>
      </c>
      <c r="H32" s="64">
        <v>9.2200000000000006</v>
      </c>
      <c r="I32" s="64">
        <v>4.0999999999999996</v>
      </c>
      <c r="J32" s="64">
        <v>0.64</v>
      </c>
      <c r="K32" s="64">
        <v>168.47</v>
      </c>
      <c r="L32" s="64">
        <v>24.7</v>
      </c>
      <c r="M32" s="64">
        <v>43.77</v>
      </c>
      <c r="N32" s="64">
        <v>62.2</v>
      </c>
      <c r="O32" s="64">
        <v>0</v>
      </c>
      <c r="P32" s="64">
        <v>0.34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1038</v>
      </c>
      <c r="B33" s="64">
        <v>3.76</v>
      </c>
      <c r="C33" s="64">
        <v>41.04</v>
      </c>
      <c r="D33" s="64">
        <v>72.790000000000006</v>
      </c>
      <c r="E33" s="64">
        <v>3.61</v>
      </c>
      <c r="F33" s="64">
        <v>11.16</v>
      </c>
      <c r="G33" s="64">
        <v>14.65</v>
      </c>
      <c r="H33" s="64">
        <v>9.2200000000000006</v>
      </c>
      <c r="I33" s="64">
        <v>3.95</v>
      </c>
      <c r="J33" s="64">
        <v>0.85</v>
      </c>
      <c r="K33" s="64">
        <v>179.12</v>
      </c>
      <c r="L33" s="64">
        <v>24.81</v>
      </c>
      <c r="M33" s="64">
        <v>43.83</v>
      </c>
      <c r="N33" s="64">
        <v>79.7</v>
      </c>
      <c r="O33" s="64">
        <v>0</v>
      </c>
      <c r="P33" s="64">
        <v>0.35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1039</v>
      </c>
      <c r="B34" s="64">
        <v>4.59</v>
      </c>
      <c r="C34" s="64">
        <v>41.83</v>
      </c>
      <c r="D34" s="64">
        <v>73.03</v>
      </c>
      <c r="E34" s="64">
        <v>3.29</v>
      </c>
      <c r="F34" s="64">
        <v>8.64</v>
      </c>
      <c r="G34" s="64">
        <v>14.65</v>
      </c>
      <c r="H34" s="64">
        <v>9.2200000000000006</v>
      </c>
      <c r="I34" s="64">
        <v>4.04</v>
      </c>
      <c r="J34" s="64">
        <v>1.19</v>
      </c>
      <c r="K34" s="64">
        <v>167.3</v>
      </c>
      <c r="L34" s="64">
        <v>24.96</v>
      </c>
      <c r="M34" s="64">
        <v>43.46</v>
      </c>
      <c r="N34" s="64">
        <v>104</v>
      </c>
      <c r="O34" s="64">
        <v>0</v>
      </c>
      <c r="P34" s="64">
        <v>0.37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1040</v>
      </c>
      <c r="B35" s="64">
        <v>5.38</v>
      </c>
      <c r="C35" s="64">
        <v>43.33</v>
      </c>
      <c r="D35" s="64">
        <v>74.67</v>
      </c>
      <c r="E35" s="64">
        <v>2.62</v>
      </c>
      <c r="F35" s="64">
        <v>8.23</v>
      </c>
      <c r="G35" s="64">
        <v>19.75</v>
      </c>
      <c r="H35" s="64">
        <v>9.49</v>
      </c>
      <c r="I35" s="64">
        <v>4</v>
      </c>
      <c r="J35" s="64">
        <v>0.98</v>
      </c>
      <c r="K35" s="64">
        <v>170.82</v>
      </c>
      <c r="L35" s="64">
        <v>25.31</v>
      </c>
      <c r="M35" s="64">
        <v>42.54</v>
      </c>
      <c r="N35" s="64">
        <v>148.19999999999999</v>
      </c>
      <c r="O35" s="64">
        <v>0</v>
      </c>
      <c r="P35" s="64">
        <v>0.38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1041</v>
      </c>
      <c r="B36" s="64">
        <v>5.28</v>
      </c>
      <c r="C36" s="64">
        <v>43.49</v>
      </c>
      <c r="D36" s="64">
        <v>75.13</v>
      </c>
      <c r="E36" s="64">
        <v>2.92</v>
      </c>
      <c r="F36" s="64">
        <v>7.76</v>
      </c>
      <c r="G36" s="64">
        <v>25.33</v>
      </c>
      <c r="H36" s="64">
        <v>9.7799999999999994</v>
      </c>
      <c r="I36" s="64">
        <v>4.0599999999999996</v>
      </c>
      <c r="J36" s="64">
        <v>0.97</v>
      </c>
      <c r="K36" s="64">
        <v>156.25</v>
      </c>
      <c r="L36" s="64">
        <v>25.95</v>
      </c>
      <c r="M36" s="64">
        <v>40.96</v>
      </c>
      <c r="N36" s="64">
        <v>191.9</v>
      </c>
      <c r="O36" s="64">
        <v>0</v>
      </c>
      <c r="P36" s="64">
        <v>0.38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1042</v>
      </c>
      <c r="B37" s="64">
        <v>5.0999999999999996</v>
      </c>
      <c r="C37" s="64">
        <v>44.66</v>
      </c>
      <c r="D37" s="64">
        <v>77.64</v>
      </c>
      <c r="E37" s="64">
        <v>2.85</v>
      </c>
      <c r="F37" s="64">
        <v>8.9</v>
      </c>
      <c r="G37" s="64">
        <v>25.33</v>
      </c>
      <c r="H37" s="64">
        <v>9.7799999999999994</v>
      </c>
      <c r="I37" s="64">
        <v>3.99</v>
      </c>
      <c r="J37" s="64">
        <v>1</v>
      </c>
      <c r="K37" s="64">
        <v>158.91999999999999</v>
      </c>
      <c r="L37" s="64">
        <v>26.65</v>
      </c>
      <c r="M37" s="64">
        <v>39.880000000000003</v>
      </c>
      <c r="N37" s="64">
        <v>238.8</v>
      </c>
      <c r="O37" s="64">
        <v>0</v>
      </c>
      <c r="P37" s="64">
        <v>0.36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1043</v>
      </c>
      <c r="B38" s="64">
        <v>4.75</v>
      </c>
      <c r="C38" s="64">
        <v>44.35</v>
      </c>
      <c r="D38" s="64">
        <v>77.599999999999994</v>
      </c>
      <c r="E38" s="64">
        <v>3.06</v>
      </c>
      <c r="F38" s="64">
        <v>7.47</v>
      </c>
      <c r="G38" s="64">
        <v>25.33</v>
      </c>
      <c r="H38" s="64">
        <v>9.7799999999999994</v>
      </c>
      <c r="I38" s="64">
        <v>3.98</v>
      </c>
      <c r="J38" s="64">
        <v>1.58</v>
      </c>
      <c r="K38" s="64">
        <v>154.16999999999999</v>
      </c>
      <c r="L38" s="64">
        <v>27</v>
      </c>
      <c r="M38" s="64">
        <v>40.590000000000003</v>
      </c>
      <c r="N38" s="64">
        <v>296.2</v>
      </c>
      <c r="O38" s="64">
        <v>0</v>
      </c>
      <c r="P38" s="64">
        <v>0.38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1044</v>
      </c>
      <c r="B39" s="64">
        <v>4.46</v>
      </c>
      <c r="C39" s="64">
        <v>44.44</v>
      </c>
      <c r="D39" s="64">
        <v>78.209999999999994</v>
      </c>
      <c r="E39" s="64">
        <v>2.89</v>
      </c>
      <c r="F39" s="64">
        <v>7.92</v>
      </c>
      <c r="G39" s="64">
        <v>27.44</v>
      </c>
      <c r="H39" s="64">
        <v>10.050000000000001</v>
      </c>
      <c r="I39" s="64">
        <v>3.71</v>
      </c>
      <c r="J39" s="64">
        <v>1.2</v>
      </c>
      <c r="K39" s="64">
        <v>155.25</v>
      </c>
      <c r="L39" s="64">
        <v>27.27</v>
      </c>
      <c r="M39" s="64">
        <v>41.96</v>
      </c>
      <c r="N39" s="64">
        <v>355</v>
      </c>
      <c r="O39" s="64">
        <v>0</v>
      </c>
      <c r="P39" s="64">
        <v>0.38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1045</v>
      </c>
      <c r="B40" s="64">
        <v>3.92</v>
      </c>
      <c r="C40" s="64">
        <v>43.24</v>
      </c>
      <c r="D40" s="64">
        <v>76.760000000000005</v>
      </c>
      <c r="E40" s="64">
        <v>2.59</v>
      </c>
      <c r="F40" s="64">
        <v>7.88</v>
      </c>
      <c r="G40" s="64">
        <v>29.74</v>
      </c>
      <c r="H40" s="64">
        <v>10.35</v>
      </c>
      <c r="I40" s="64">
        <v>4.13</v>
      </c>
      <c r="J40" s="64">
        <v>0.67</v>
      </c>
      <c r="K40" s="64">
        <v>203.3</v>
      </c>
      <c r="L40" s="64">
        <v>28.33</v>
      </c>
      <c r="M40" s="64">
        <v>41.08</v>
      </c>
      <c r="N40" s="64">
        <v>412.7</v>
      </c>
      <c r="O40" s="64">
        <v>0</v>
      </c>
      <c r="P40" s="64">
        <v>0.38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1046</v>
      </c>
      <c r="B41" s="64">
        <v>3.75</v>
      </c>
      <c r="C41" s="64">
        <v>43.63</v>
      </c>
      <c r="D41" s="64">
        <v>77.75</v>
      </c>
      <c r="E41" s="64">
        <v>2.89</v>
      </c>
      <c r="F41" s="64">
        <v>6.63</v>
      </c>
      <c r="G41" s="64">
        <v>29.74</v>
      </c>
      <c r="H41" s="64">
        <v>10.35</v>
      </c>
      <c r="I41" s="64">
        <v>4.04</v>
      </c>
      <c r="J41" s="64">
        <v>0.99</v>
      </c>
      <c r="K41" s="64">
        <v>189.98</v>
      </c>
      <c r="L41" s="64">
        <v>28.5</v>
      </c>
      <c r="M41" s="64">
        <v>42.86</v>
      </c>
      <c r="N41" s="64">
        <v>466</v>
      </c>
      <c r="O41" s="64">
        <v>0</v>
      </c>
      <c r="P41" s="64">
        <v>0.38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1047</v>
      </c>
      <c r="B42" s="64">
        <v>3.24</v>
      </c>
      <c r="C42" s="64">
        <v>43.21</v>
      </c>
      <c r="D42" s="64">
        <v>77.72</v>
      </c>
      <c r="E42" s="64">
        <v>2.99</v>
      </c>
      <c r="F42" s="64">
        <v>8.06</v>
      </c>
      <c r="G42" s="64">
        <v>29.74</v>
      </c>
      <c r="H42" s="64">
        <v>10.35</v>
      </c>
      <c r="I42" s="64">
        <v>3.92</v>
      </c>
      <c r="J42" s="64">
        <v>0.64</v>
      </c>
      <c r="K42" s="64">
        <v>248.99</v>
      </c>
      <c r="L42" s="64">
        <v>29.07</v>
      </c>
      <c r="M42" s="64">
        <v>43.03</v>
      </c>
      <c r="N42" s="64">
        <v>505.1</v>
      </c>
      <c r="O42" s="64">
        <v>0</v>
      </c>
      <c r="P42" s="64">
        <v>0.37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1048</v>
      </c>
      <c r="B43" s="64">
        <v>2.78</v>
      </c>
      <c r="C43" s="64">
        <v>42.8</v>
      </c>
      <c r="D43" s="64">
        <v>77.650000000000006</v>
      </c>
      <c r="E43" s="64">
        <v>3.23</v>
      </c>
      <c r="F43" s="64">
        <v>7.73</v>
      </c>
      <c r="G43" s="64">
        <v>30.36</v>
      </c>
      <c r="H43" s="64">
        <v>10.31</v>
      </c>
      <c r="I43" s="64">
        <v>4.03</v>
      </c>
      <c r="J43" s="64">
        <v>0.8</v>
      </c>
      <c r="K43" s="64">
        <v>176.38</v>
      </c>
      <c r="L43" s="64">
        <v>29.75</v>
      </c>
      <c r="M43" s="64">
        <v>42.31</v>
      </c>
      <c r="N43" s="64">
        <v>557.5</v>
      </c>
      <c r="O43" s="64">
        <v>0</v>
      </c>
      <c r="P43" s="64">
        <v>0.37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1049</v>
      </c>
      <c r="B44" s="64">
        <v>3.35</v>
      </c>
      <c r="C44" s="64">
        <v>45.04</v>
      </c>
      <c r="D44" s="64">
        <v>81.06</v>
      </c>
      <c r="E44" s="64">
        <v>3.16</v>
      </c>
      <c r="F44" s="64">
        <v>7.56</v>
      </c>
      <c r="G44" s="64">
        <v>31.03</v>
      </c>
      <c r="H44" s="64">
        <v>10.28</v>
      </c>
      <c r="I44" s="64">
        <v>3.95</v>
      </c>
      <c r="J44" s="64">
        <v>0.36</v>
      </c>
      <c r="K44" s="64">
        <v>268.83</v>
      </c>
      <c r="L44" s="64">
        <v>31.15</v>
      </c>
      <c r="M44" s="64">
        <v>39.67</v>
      </c>
      <c r="N44" s="64">
        <v>609.29999999999995</v>
      </c>
      <c r="O44" s="64">
        <v>0</v>
      </c>
      <c r="P44" s="64">
        <v>0.4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1050</v>
      </c>
      <c r="B45" s="64">
        <v>4.66</v>
      </c>
      <c r="C45" s="64">
        <v>45.81</v>
      </c>
      <c r="D45" s="64">
        <v>80.540000000000006</v>
      </c>
      <c r="E45" s="64">
        <v>3.51</v>
      </c>
      <c r="F45" s="64">
        <v>8.4700000000000006</v>
      </c>
      <c r="G45" s="64">
        <v>31.03</v>
      </c>
      <c r="H45" s="64">
        <v>10.28</v>
      </c>
      <c r="I45" s="64">
        <v>4</v>
      </c>
      <c r="J45" s="64">
        <v>0.65</v>
      </c>
      <c r="K45" s="64">
        <v>281.06</v>
      </c>
      <c r="L45" s="64">
        <v>32.96</v>
      </c>
      <c r="M45" s="64">
        <v>36.56</v>
      </c>
      <c r="N45" s="64">
        <v>650.4</v>
      </c>
      <c r="O45" s="64">
        <v>0</v>
      </c>
      <c r="P45" s="64">
        <v>0.44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1051</v>
      </c>
      <c r="B46" s="64">
        <v>4.68</v>
      </c>
      <c r="C46" s="64">
        <v>45.52</v>
      </c>
      <c r="D46" s="64">
        <v>79.95</v>
      </c>
      <c r="E46" s="64">
        <v>3.77</v>
      </c>
      <c r="F46" s="64">
        <v>9.77</v>
      </c>
      <c r="G46" s="64">
        <v>31.03</v>
      </c>
      <c r="H46" s="64">
        <v>10.28</v>
      </c>
      <c r="I46" s="64">
        <v>4.0599999999999996</v>
      </c>
      <c r="J46" s="64">
        <v>0.82</v>
      </c>
      <c r="K46" s="64">
        <v>280.13</v>
      </c>
      <c r="L46" s="64">
        <v>34.659999999999997</v>
      </c>
      <c r="M46" s="64">
        <v>32.61</v>
      </c>
      <c r="N46" s="64">
        <v>683.4</v>
      </c>
      <c r="O46" s="64">
        <v>0</v>
      </c>
      <c r="P46" s="64">
        <v>0.49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1052</v>
      </c>
      <c r="B47" s="64">
        <v>3.7</v>
      </c>
      <c r="C47" s="64">
        <v>45.44</v>
      </c>
      <c r="D47" s="64">
        <v>81.3</v>
      </c>
      <c r="E47" s="64">
        <v>4.1900000000000004</v>
      </c>
      <c r="F47" s="64">
        <v>8.66</v>
      </c>
      <c r="G47" s="64">
        <v>34.81</v>
      </c>
      <c r="H47" s="64">
        <v>11.02</v>
      </c>
      <c r="I47" s="64">
        <v>4.0199999999999996</v>
      </c>
      <c r="J47" s="64">
        <v>1.19</v>
      </c>
      <c r="K47" s="64">
        <v>296.23</v>
      </c>
      <c r="L47" s="64">
        <v>34.299999999999997</v>
      </c>
      <c r="M47" s="64">
        <v>33.200000000000003</v>
      </c>
      <c r="N47" s="64">
        <v>748.5</v>
      </c>
      <c r="O47" s="64">
        <v>0</v>
      </c>
      <c r="P47" s="64">
        <v>0.54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1053</v>
      </c>
      <c r="B48" s="64">
        <v>4.47</v>
      </c>
      <c r="C48" s="64">
        <v>48.07</v>
      </c>
      <c r="D48" s="64">
        <v>85.15</v>
      </c>
      <c r="E48" s="64">
        <v>4.1500000000000004</v>
      </c>
      <c r="F48" s="64">
        <v>10.45</v>
      </c>
      <c r="G48" s="64">
        <v>38.950000000000003</v>
      </c>
      <c r="H48" s="64">
        <v>11.8</v>
      </c>
      <c r="I48" s="64">
        <v>3.78</v>
      </c>
      <c r="J48" s="64">
        <v>1.08</v>
      </c>
      <c r="K48" s="64">
        <v>304.08999999999997</v>
      </c>
      <c r="L48" s="64">
        <v>36.24</v>
      </c>
      <c r="M48" s="64">
        <v>30.39</v>
      </c>
      <c r="N48" s="64">
        <v>792</v>
      </c>
      <c r="O48" s="64">
        <v>0</v>
      </c>
      <c r="P48" s="64">
        <v>0.63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1054</v>
      </c>
      <c r="B49" s="64">
        <v>4.03</v>
      </c>
      <c r="C49" s="64">
        <v>47.68</v>
      </c>
      <c r="D49" s="64">
        <v>85.07</v>
      </c>
      <c r="E49" s="64">
        <v>4.45</v>
      </c>
      <c r="F49" s="64">
        <v>9.7799999999999994</v>
      </c>
      <c r="G49" s="64">
        <v>38.950000000000003</v>
      </c>
      <c r="H49" s="64">
        <v>11.8</v>
      </c>
      <c r="I49" s="64">
        <v>4.07</v>
      </c>
      <c r="J49" s="64">
        <v>1.1200000000000001</v>
      </c>
      <c r="K49" s="64">
        <v>303.79000000000002</v>
      </c>
      <c r="L49" s="64">
        <v>36.799999999999997</v>
      </c>
      <c r="M49" s="64">
        <v>30.1</v>
      </c>
      <c r="N49" s="64">
        <v>835.2</v>
      </c>
      <c r="O49" s="64">
        <v>0</v>
      </c>
      <c r="P49" s="64">
        <v>0.62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1055</v>
      </c>
      <c r="B50" s="64">
        <v>3</v>
      </c>
      <c r="C50" s="64">
        <v>46.86</v>
      </c>
      <c r="D50" s="64">
        <v>85.09</v>
      </c>
      <c r="E50" s="64">
        <v>5.78</v>
      </c>
      <c r="F50" s="64">
        <v>12.64</v>
      </c>
      <c r="G50" s="64">
        <v>38.950000000000003</v>
      </c>
      <c r="H50" s="64">
        <v>11.8</v>
      </c>
      <c r="I50" s="64">
        <v>3.91</v>
      </c>
      <c r="J50" s="64">
        <v>0.57999999999999996</v>
      </c>
      <c r="K50" s="64">
        <v>250.09</v>
      </c>
      <c r="L50" s="64">
        <v>34.17</v>
      </c>
      <c r="M50" s="64">
        <v>33.200000000000003</v>
      </c>
      <c r="N50" s="64">
        <v>875</v>
      </c>
      <c r="O50" s="64">
        <v>0</v>
      </c>
      <c r="P50" s="64">
        <v>0.67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1056</v>
      </c>
      <c r="B51" s="64">
        <v>3.05</v>
      </c>
      <c r="C51" s="64">
        <v>45.78</v>
      </c>
      <c r="D51" s="64">
        <v>82.95</v>
      </c>
      <c r="E51" s="64">
        <v>7.67</v>
      </c>
      <c r="F51" s="64">
        <v>14.32</v>
      </c>
      <c r="G51" s="64">
        <v>41.66</v>
      </c>
      <c r="H51" s="64">
        <v>12.78</v>
      </c>
      <c r="I51" s="64">
        <v>4.09</v>
      </c>
      <c r="J51" s="64">
        <v>0.69</v>
      </c>
      <c r="K51" s="64">
        <v>243.14</v>
      </c>
      <c r="L51" s="64">
        <v>34.58</v>
      </c>
      <c r="M51" s="64">
        <v>31.75</v>
      </c>
      <c r="N51" s="64">
        <v>882.3</v>
      </c>
      <c r="O51" s="64">
        <v>0</v>
      </c>
      <c r="P51" s="64">
        <v>0.75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1057</v>
      </c>
      <c r="B52" s="64">
        <v>2.2999999999999998</v>
      </c>
      <c r="C52" s="64">
        <v>42.99</v>
      </c>
      <c r="D52" s="64">
        <v>78.75</v>
      </c>
      <c r="E52" s="64">
        <v>7.35</v>
      </c>
      <c r="F52" s="64">
        <v>13.23</v>
      </c>
      <c r="G52" s="64">
        <v>44.63</v>
      </c>
      <c r="H52" s="64">
        <v>13.85</v>
      </c>
      <c r="I52" s="64">
        <v>4.03</v>
      </c>
      <c r="J52" s="64">
        <v>0.46</v>
      </c>
      <c r="K52" s="64">
        <v>226.64</v>
      </c>
      <c r="L52" s="64">
        <v>34.39</v>
      </c>
      <c r="M52" s="64">
        <v>31.32</v>
      </c>
      <c r="N52" s="64">
        <v>908.5</v>
      </c>
      <c r="O52" s="64">
        <v>0</v>
      </c>
      <c r="P52" s="64">
        <v>0.69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1058</v>
      </c>
      <c r="B53" s="64">
        <v>2.59</v>
      </c>
      <c r="C53" s="64">
        <v>46.62</v>
      </c>
      <c r="D53" s="64">
        <v>85.26</v>
      </c>
      <c r="E53" s="64">
        <v>4.62</v>
      </c>
      <c r="F53" s="64">
        <v>10.39</v>
      </c>
      <c r="G53" s="64">
        <v>44.63</v>
      </c>
      <c r="H53" s="64">
        <v>13.85</v>
      </c>
      <c r="I53" s="64">
        <v>3.97</v>
      </c>
      <c r="J53" s="64">
        <v>0.53</v>
      </c>
      <c r="K53" s="64">
        <v>245.02</v>
      </c>
      <c r="L53" s="64">
        <v>35.47</v>
      </c>
      <c r="M53" s="64">
        <v>29.64</v>
      </c>
      <c r="N53" s="64">
        <v>922.9</v>
      </c>
      <c r="O53" s="64">
        <v>0</v>
      </c>
      <c r="P53" s="64">
        <v>0.67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1059</v>
      </c>
      <c r="B54" s="64">
        <v>2.02</v>
      </c>
      <c r="C54" s="64">
        <v>45.1</v>
      </c>
      <c r="D54" s="64">
        <v>83.23</v>
      </c>
      <c r="E54" s="64">
        <v>3.97</v>
      </c>
      <c r="F54" s="64">
        <v>8.86</v>
      </c>
      <c r="G54" s="64">
        <v>44.63</v>
      </c>
      <c r="H54" s="64">
        <v>13.85</v>
      </c>
      <c r="I54" s="64">
        <v>3.72</v>
      </c>
      <c r="J54" s="64">
        <v>1.03</v>
      </c>
      <c r="K54" s="64">
        <v>292.47000000000003</v>
      </c>
      <c r="L54" s="64">
        <v>36.46</v>
      </c>
      <c r="M54" s="64">
        <v>28.84</v>
      </c>
      <c r="N54" s="64">
        <v>936.9</v>
      </c>
      <c r="O54" s="64">
        <v>0</v>
      </c>
      <c r="P54" s="64">
        <v>0.68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1060</v>
      </c>
      <c r="B55" s="64">
        <v>1.71</v>
      </c>
      <c r="C55" s="64">
        <v>45.03</v>
      </c>
      <c r="D55" s="64">
        <v>83.56</v>
      </c>
      <c r="E55" s="64">
        <v>3.82</v>
      </c>
      <c r="F55" s="64">
        <v>8.34</v>
      </c>
      <c r="G55" s="64">
        <v>45.13</v>
      </c>
      <c r="H55" s="64">
        <v>13.71</v>
      </c>
      <c r="I55" s="64">
        <v>4</v>
      </c>
      <c r="J55" s="64">
        <v>1.1100000000000001</v>
      </c>
      <c r="K55" s="64">
        <v>299.68</v>
      </c>
      <c r="L55" s="64">
        <v>37.54</v>
      </c>
      <c r="M55" s="64">
        <v>27.93</v>
      </c>
      <c r="N55" s="64">
        <v>936.2</v>
      </c>
      <c r="O55" s="64">
        <v>0</v>
      </c>
      <c r="P55" s="64">
        <v>0.72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1061</v>
      </c>
      <c r="B56" s="64">
        <v>2.42</v>
      </c>
      <c r="C56" s="64">
        <v>46.88</v>
      </c>
      <c r="D56" s="64">
        <v>86.02</v>
      </c>
      <c r="E56" s="64">
        <v>3.68</v>
      </c>
      <c r="F56" s="64">
        <v>8.44</v>
      </c>
      <c r="G56" s="64">
        <v>45.69</v>
      </c>
      <c r="H56" s="64">
        <v>13.57</v>
      </c>
      <c r="I56" s="64">
        <v>4.0999999999999996</v>
      </c>
      <c r="J56" s="64">
        <v>1.02</v>
      </c>
      <c r="K56" s="64">
        <v>304.52</v>
      </c>
      <c r="L56" s="64">
        <v>37.9</v>
      </c>
      <c r="M56" s="64">
        <v>27.23</v>
      </c>
      <c r="N56" s="64">
        <v>946.3</v>
      </c>
      <c r="O56" s="64">
        <v>0</v>
      </c>
      <c r="P56" s="64">
        <v>0.74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1062</v>
      </c>
      <c r="B57" s="64">
        <v>1.84</v>
      </c>
      <c r="C57" s="64">
        <v>46.58</v>
      </c>
      <c r="D57" s="64">
        <v>86.33</v>
      </c>
      <c r="E57" s="64">
        <v>4.32</v>
      </c>
      <c r="F57" s="64">
        <v>9.59</v>
      </c>
      <c r="G57" s="64">
        <v>45.69</v>
      </c>
      <c r="H57" s="64">
        <v>13.57</v>
      </c>
      <c r="I57" s="64">
        <v>3.93</v>
      </c>
      <c r="J57" s="64">
        <v>0.87</v>
      </c>
      <c r="K57" s="64">
        <v>277.87</v>
      </c>
      <c r="L57" s="64">
        <v>37.33</v>
      </c>
      <c r="M57" s="64">
        <v>27.45</v>
      </c>
      <c r="N57" s="64">
        <v>940.4</v>
      </c>
      <c r="O57" s="64">
        <v>0</v>
      </c>
      <c r="P57" s="64">
        <v>0.75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1063</v>
      </c>
      <c r="B58" s="64">
        <v>1.5</v>
      </c>
      <c r="C58" s="64">
        <v>46.02</v>
      </c>
      <c r="D58" s="64">
        <v>85.79</v>
      </c>
      <c r="E58" s="64">
        <v>3.86</v>
      </c>
      <c r="F58" s="64">
        <v>10.42</v>
      </c>
      <c r="G58" s="64">
        <v>45.69</v>
      </c>
      <c r="H58" s="64">
        <v>13.57</v>
      </c>
      <c r="I58" s="64">
        <v>3.96</v>
      </c>
      <c r="J58" s="64">
        <v>0.62</v>
      </c>
      <c r="K58" s="64">
        <v>248.73</v>
      </c>
      <c r="L58" s="64">
        <v>37.15</v>
      </c>
      <c r="M58" s="64">
        <v>26.33</v>
      </c>
      <c r="N58" s="64">
        <v>929.3</v>
      </c>
      <c r="O58" s="64">
        <v>0</v>
      </c>
      <c r="P58" s="64">
        <v>0.74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1064</v>
      </c>
      <c r="B59" s="64">
        <v>1.04</v>
      </c>
      <c r="C59" s="64">
        <v>42.98</v>
      </c>
      <c r="D59" s="64">
        <v>80.680000000000007</v>
      </c>
      <c r="E59" s="64">
        <v>5.13</v>
      </c>
      <c r="F59" s="64">
        <v>16.91</v>
      </c>
      <c r="G59" s="64">
        <v>47.75</v>
      </c>
      <c r="H59" s="64">
        <v>13.54</v>
      </c>
      <c r="I59" s="64">
        <v>3.87</v>
      </c>
      <c r="J59" s="64">
        <v>1</v>
      </c>
      <c r="K59" s="64">
        <v>177.09</v>
      </c>
      <c r="L59" s="64">
        <v>35.549999999999997</v>
      </c>
      <c r="M59" s="64">
        <v>28.01</v>
      </c>
      <c r="N59" s="64">
        <v>925.3</v>
      </c>
      <c r="O59" s="64">
        <v>0</v>
      </c>
      <c r="P59" s="64">
        <v>0.73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1065</v>
      </c>
      <c r="B60" s="64">
        <v>1.47</v>
      </c>
      <c r="C60" s="64">
        <v>42.23</v>
      </c>
      <c r="D60" s="64">
        <v>78.569999999999993</v>
      </c>
      <c r="E60" s="64">
        <v>5.1100000000000003</v>
      </c>
      <c r="F60" s="64">
        <v>12.37</v>
      </c>
      <c r="G60" s="64">
        <v>50</v>
      </c>
      <c r="H60" s="64">
        <v>13.5</v>
      </c>
      <c r="I60" s="64">
        <v>4</v>
      </c>
      <c r="J60" s="64">
        <v>0.63</v>
      </c>
      <c r="K60" s="64">
        <v>216.91</v>
      </c>
      <c r="L60" s="64">
        <v>36.229999999999997</v>
      </c>
      <c r="M60" s="64">
        <v>27.03</v>
      </c>
      <c r="N60" s="64">
        <v>902.6</v>
      </c>
      <c r="O60" s="64">
        <v>0</v>
      </c>
      <c r="P60" s="64">
        <v>0.71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1066</v>
      </c>
      <c r="B61" s="64">
        <v>0.94</v>
      </c>
      <c r="C61" s="64">
        <v>38.74</v>
      </c>
      <c r="D61" s="64">
        <v>72.7</v>
      </c>
      <c r="E61" s="64">
        <v>5.82</v>
      </c>
      <c r="F61" s="64">
        <v>16.920000000000002</v>
      </c>
      <c r="G61" s="64">
        <v>50</v>
      </c>
      <c r="H61" s="64">
        <v>13.5</v>
      </c>
      <c r="I61" s="64">
        <v>3.97</v>
      </c>
      <c r="J61" s="64">
        <v>0.57999999999999996</v>
      </c>
      <c r="K61" s="64">
        <v>208.11</v>
      </c>
      <c r="L61" s="64">
        <v>36.18</v>
      </c>
      <c r="M61" s="64">
        <v>26.99</v>
      </c>
      <c r="N61" s="64">
        <v>866.6</v>
      </c>
      <c r="O61" s="64">
        <v>0</v>
      </c>
      <c r="P61" s="64">
        <v>0.65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1067</v>
      </c>
      <c r="B62" s="64">
        <v>1.04</v>
      </c>
      <c r="C62" s="64">
        <v>38.43</v>
      </c>
      <c r="D62" s="64">
        <v>71.959999999999994</v>
      </c>
      <c r="E62" s="64">
        <v>7.17</v>
      </c>
      <c r="F62" s="64">
        <v>17.37</v>
      </c>
      <c r="G62" s="64">
        <v>50</v>
      </c>
      <c r="H62" s="64">
        <v>13.5</v>
      </c>
      <c r="I62" s="64">
        <v>3.94</v>
      </c>
      <c r="J62" s="64">
        <v>1</v>
      </c>
      <c r="K62" s="64">
        <v>164.06</v>
      </c>
      <c r="L62" s="64">
        <v>36.450000000000003</v>
      </c>
      <c r="M62" s="64">
        <v>27.18</v>
      </c>
      <c r="N62" s="64">
        <v>858.7</v>
      </c>
      <c r="O62" s="64">
        <v>0</v>
      </c>
      <c r="P62" s="64">
        <v>0.68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1068</v>
      </c>
      <c r="B63" s="64">
        <v>1.48</v>
      </c>
      <c r="C63" s="64">
        <v>35.97</v>
      </c>
      <c r="D63" s="64">
        <v>66.569999999999993</v>
      </c>
      <c r="E63" s="64">
        <v>6</v>
      </c>
      <c r="F63" s="64">
        <v>20.9</v>
      </c>
      <c r="G63" s="64">
        <v>50.53</v>
      </c>
      <c r="H63" s="64">
        <v>12.79</v>
      </c>
      <c r="I63" s="64">
        <v>3.94</v>
      </c>
      <c r="J63" s="64">
        <v>0.71</v>
      </c>
      <c r="K63" s="64">
        <v>181.59</v>
      </c>
      <c r="L63" s="64">
        <v>36.32</v>
      </c>
      <c r="M63" s="64">
        <v>27.03</v>
      </c>
      <c r="N63" s="64">
        <v>830</v>
      </c>
      <c r="O63" s="64">
        <v>0</v>
      </c>
      <c r="P63" s="64">
        <v>0.65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1069</v>
      </c>
      <c r="B64" s="64">
        <v>1.5</v>
      </c>
      <c r="C64" s="64">
        <v>33.549999999999997</v>
      </c>
      <c r="D64" s="64">
        <v>61.92</v>
      </c>
      <c r="E64" s="64">
        <v>8.34</v>
      </c>
      <c r="F64" s="64">
        <v>29.43</v>
      </c>
      <c r="G64" s="64">
        <v>51.1</v>
      </c>
      <c r="H64" s="64">
        <v>12.02</v>
      </c>
      <c r="I64" s="64">
        <v>4.0999999999999996</v>
      </c>
      <c r="J64" s="64">
        <v>0.4</v>
      </c>
      <c r="K64" s="64">
        <v>299.42</v>
      </c>
      <c r="L64" s="64">
        <v>37.119999999999997</v>
      </c>
      <c r="M64" s="64">
        <v>26.24</v>
      </c>
      <c r="N64" s="64">
        <v>769.7</v>
      </c>
      <c r="O64" s="64">
        <v>0</v>
      </c>
      <c r="P64" s="64">
        <v>0.67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1070</v>
      </c>
      <c r="B65" s="64">
        <v>1.28</v>
      </c>
      <c r="C65" s="64">
        <v>32.520000000000003</v>
      </c>
      <c r="D65" s="64">
        <v>60.29</v>
      </c>
      <c r="E65" s="64">
        <v>9.7200000000000006</v>
      </c>
      <c r="F65" s="64">
        <v>25.13</v>
      </c>
      <c r="G65" s="64">
        <v>51.1</v>
      </c>
      <c r="H65" s="64">
        <v>12.02</v>
      </c>
      <c r="I65" s="64">
        <v>3.84</v>
      </c>
      <c r="J65" s="64">
        <v>0.5</v>
      </c>
      <c r="K65" s="64">
        <v>209.3</v>
      </c>
      <c r="L65" s="64">
        <v>36.68</v>
      </c>
      <c r="M65" s="64">
        <v>26.12</v>
      </c>
      <c r="N65" s="64">
        <v>640</v>
      </c>
      <c r="O65" s="64">
        <v>0</v>
      </c>
      <c r="P65" s="64">
        <v>0.63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1071</v>
      </c>
      <c r="B66" s="64">
        <v>2.2000000000000002</v>
      </c>
      <c r="C66" s="64">
        <v>39.03</v>
      </c>
      <c r="D66" s="64">
        <v>71.34</v>
      </c>
      <c r="E66" s="64">
        <v>7.64</v>
      </c>
      <c r="F66" s="64">
        <v>26.12</v>
      </c>
      <c r="G66" s="64">
        <v>51.1</v>
      </c>
      <c r="H66" s="64">
        <v>12.02</v>
      </c>
      <c r="I66" s="64">
        <v>4.07</v>
      </c>
      <c r="J66" s="64">
        <v>0.71</v>
      </c>
      <c r="K66" s="64">
        <v>175.61</v>
      </c>
      <c r="L66" s="64">
        <v>36.49</v>
      </c>
      <c r="M66" s="64">
        <v>26.07</v>
      </c>
      <c r="N66" s="64">
        <v>416.1</v>
      </c>
      <c r="O66" s="64">
        <v>0</v>
      </c>
      <c r="P66" s="64">
        <v>0.63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1072</v>
      </c>
      <c r="B67" s="64">
        <v>1.41</v>
      </c>
      <c r="C67" s="64">
        <v>32.4</v>
      </c>
      <c r="D67" s="64">
        <v>59.85</v>
      </c>
      <c r="E67" s="64">
        <v>9.59</v>
      </c>
      <c r="F67" s="64">
        <v>29.93</v>
      </c>
      <c r="G67" s="64">
        <v>49.15</v>
      </c>
      <c r="H67" s="64">
        <v>14.01</v>
      </c>
      <c r="I67" s="64">
        <v>4.08</v>
      </c>
      <c r="J67" s="64">
        <v>0.71</v>
      </c>
      <c r="K67" s="64">
        <v>146.80000000000001</v>
      </c>
      <c r="L67" s="64">
        <v>35.89</v>
      </c>
      <c r="M67" s="64">
        <v>27.33</v>
      </c>
      <c r="N67" s="64">
        <v>472.6</v>
      </c>
      <c r="O67" s="64">
        <v>0</v>
      </c>
      <c r="P67" s="64">
        <v>0.55000000000000004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1073</v>
      </c>
      <c r="B68" s="64">
        <v>1.17</v>
      </c>
      <c r="C68" s="64">
        <v>34.75</v>
      </c>
      <c r="D68" s="64">
        <v>64.72</v>
      </c>
      <c r="E68" s="64">
        <v>7.44</v>
      </c>
      <c r="F68" s="64">
        <v>24.23</v>
      </c>
      <c r="G68" s="64">
        <v>47.01</v>
      </c>
      <c r="H68" s="64">
        <v>16.09</v>
      </c>
      <c r="I68" s="64">
        <v>3.9</v>
      </c>
      <c r="J68" s="64">
        <v>1.03</v>
      </c>
      <c r="K68" s="64">
        <v>168.56</v>
      </c>
      <c r="L68" s="64">
        <v>35.93</v>
      </c>
      <c r="M68" s="64">
        <v>26.71</v>
      </c>
      <c r="N68" s="64">
        <v>297.2</v>
      </c>
      <c r="O68" s="64">
        <v>0</v>
      </c>
      <c r="P68" s="64">
        <v>0.59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1074</v>
      </c>
      <c r="B69" s="64">
        <v>2.25</v>
      </c>
      <c r="C69" s="64">
        <v>32.81</v>
      </c>
      <c r="D69" s="64">
        <v>59.33</v>
      </c>
      <c r="E69" s="64">
        <v>8.57</v>
      </c>
      <c r="F69" s="64">
        <v>27.19</v>
      </c>
      <c r="G69" s="64">
        <v>47.01</v>
      </c>
      <c r="H69" s="64">
        <v>16.09</v>
      </c>
      <c r="I69" s="64">
        <v>3.97</v>
      </c>
      <c r="J69" s="64">
        <v>0.71</v>
      </c>
      <c r="K69" s="64">
        <v>152.91</v>
      </c>
      <c r="L69" s="64">
        <v>35.36</v>
      </c>
      <c r="M69" s="64">
        <v>28.13</v>
      </c>
      <c r="N69" s="64">
        <v>395.2</v>
      </c>
      <c r="O69" s="64">
        <v>0</v>
      </c>
      <c r="P69" s="64">
        <v>0.55000000000000004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1075</v>
      </c>
      <c r="B70" s="64">
        <v>0.81</v>
      </c>
      <c r="C70" s="64">
        <v>27.93</v>
      </c>
      <c r="D70" s="64">
        <v>52.23</v>
      </c>
      <c r="E70" s="64">
        <v>8.94</v>
      </c>
      <c r="F70" s="64">
        <v>31.8</v>
      </c>
      <c r="G70" s="64">
        <v>47.01</v>
      </c>
      <c r="H70" s="64">
        <v>16.09</v>
      </c>
      <c r="I70" s="64">
        <v>4.0999999999999996</v>
      </c>
      <c r="J70" s="64">
        <v>1.06</v>
      </c>
      <c r="K70" s="64">
        <v>151.75</v>
      </c>
      <c r="L70" s="64">
        <v>35.33</v>
      </c>
      <c r="M70" s="64">
        <v>27.57</v>
      </c>
      <c r="N70" s="64">
        <v>249</v>
      </c>
      <c r="O70" s="64">
        <v>0</v>
      </c>
      <c r="P70" s="64">
        <v>0.53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1076</v>
      </c>
      <c r="B71" s="64">
        <v>1</v>
      </c>
      <c r="C71" s="64">
        <v>32.94</v>
      </c>
      <c r="D71" s="64">
        <v>61.52</v>
      </c>
      <c r="E71" s="64">
        <v>6.85</v>
      </c>
      <c r="F71" s="64">
        <v>29.2</v>
      </c>
      <c r="G71" s="64">
        <v>45.43</v>
      </c>
      <c r="H71" s="64">
        <v>15.12</v>
      </c>
      <c r="I71" s="64">
        <v>3.9</v>
      </c>
      <c r="J71" s="64">
        <v>1.07</v>
      </c>
      <c r="K71" s="64">
        <v>147</v>
      </c>
      <c r="L71" s="64">
        <v>35.19</v>
      </c>
      <c r="M71" s="64">
        <v>27.99</v>
      </c>
      <c r="N71" s="64">
        <v>176.4</v>
      </c>
      <c r="O71" s="64">
        <v>0</v>
      </c>
      <c r="P71" s="64">
        <v>0.52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1077</v>
      </c>
      <c r="B72" s="64">
        <v>1.03</v>
      </c>
      <c r="C72" s="64">
        <v>34.76</v>
      </c>
      <c r="D72" s="64">
        <v>64.95</v>
      </c>
      <c r="E72" s="64">
        <v>4.87</v>
      </c>
      <c r="F72" s="64">
        <v>21.76</v>
      </c>
      <c r="G72" s="64">
        <v>43.79</v>
      </c>
      <c r="H72" s="64">
        <v>14.11</v>
      </c>
      <c r="I72" s="64">
        <v>4.2</v>
      </c>
      <c r="J72" s="64">
        <v>1.17</v>
      </c>
      <c r="K72" s="64">
        <v>146.53</v>
      </c>
      <c r="L72" s="64">
        <v>35.200000000000003</v>
      </c>
      <c r="M72" s="64">
        <v>27.51</v>
      </c>
      <c r="N72" s="64">
        <v>233.8</v>
      </c>
      <c r="O72" s="64">
        <v>0</v>
      </c>
      <c r="P72" s="64">
        <v>0.57999999999999996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1078</v>
      </c>
      <c r="B73" s="64">
        <v>1.1399999999999999</v>
      </c>
      <c r="C73" s="64">
        <v>35.04</v>
      </c>
      <c r="D73" s="64">
        <v>65.319999999999993</v>
      </c>
      <c r="E73" s="64">
        <v>6.26</v>
      </c>
      <c r="F73" s="64">
        <v>25.38</v>
      </c>
      <c r="G73" s="64">
        <v>43.79</v>
      </c>
      <c r="H73" s="64">
        <v>14.11</v>
      </c>
      <c r="I73" s="64">
        <v>4.04</v>
      </c>
      <c r="J73" s="64">
        <v>1.31</v>
      </c>
      <c r="K73" s="64">
        <v>158.9</v>
      </c>
      <c r="L73" s="64">
        <v>34.909999999999997</v>
      </c>
      <c r="M73" s="64">
        <v>28.23</v>
      </c>
      <c r="N73" s="64">
        <v>177.9</v>
      </c>
      <c r="O73" s="64">
        <v>0</v>
      </c>
      <c r="P73" s="64">
        <v>0.54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1079</v>
      </c>
      <c r="B74" s="64">
        <v>0.85</v>
      </c>
      <c r="C74" s="64">
        <v>32.72</v>
      </c>
      <c r="D74" s="64">
        <v>61.32</v>
      </c>
      <c r="E74" s="64">
        <v>5.61</v>
      </c>
      <c r="F74" s="64">
        <v>24.58</v>
      </c>
      <c r="G74" s="64">
        <v>43.79</v>
      </c>
      <c r="H74" s="64">
        <v>14.11</v>
      </c>
      <c r="I74" s="64">
        <v>3.89</v>
      </c>
      <c r="J74" s="64">
        <v>1.1100000000000001</v>
      </c>
      <c r="K74" s="64">
        <v>159.08000000000001</v>
      </c>
      <c r="L74" s="64">
        <v>34.76</v>
      </c>
      <c r="M74" s="64">
        <v>28.42</v>
      </c>
      <c r="N74" s="64">
        <v>140.4</v>
      </c>
      <c r="O74" s="64">
        <v>0</v>
      </c>
      <c r="P74" s="64">
        <v>0.49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1080</v>
      </c>
      <c r="B75" s="64">
        <v>0.77</v>
      </c>
      <c r="C75" s="64">
        <v>29.83</v>
      </c>
      <c r="D75" s="64">
        <v>55.92</v>
      </c>
      <c r="E75" s="64">
        <v>7.72</v>
      </c>
      <c r="F75" s="64">
        <v>31.19</v>
      </c>
      <c r="G75" s="64">
        <v>43.98</v>
      </c>
      <c r="H75" s="64">
        <v>14.84</v>
      </c>
      <c r="I75" s="64">
        <v>4.03</v>
      </c>
      <c r="J75" s="64">
        <v>0.99</v>
      </c>
      <c r="K75" s="64">
        <v>147.97</v>
      </c>
      <c r="L75" s="64">
        <v>34.81</v>
      </c>
      <c r="M75" s="64">
        <v>27.76</v>
      </c>
      <c r="N75" s="64">
        <v>128.4</v>
      </c>
      <c r="O75" s="64">
        <v>0</v>
      </c>
      <c r="P75" s="64">
        <v>0.45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1081</v>
      </c>
      <c r="B76" s="64">
        <v>1.1299999999999999</v>
      </c>
      <c r="C76" s="64">
        <v>38.32</v>
      </c>
      <c r="D76" s="64">
        <v>71.61</v>
      </c>
      <c r="E76" s="64">
        <v>6.04</v>
      </c>
      <c r="F76" s="64">
        <v>25.73</v>
      </c>
      <c r="G76" s="64">
        <v>44.18</v>
      </c>
      <c r="H76" s="64">
        <v>15.61</v>
      </c>
      <c r="I76" s="64">
        <v>4.0199999999999996</v>
      </c>
      <c r="J76" s="64">
        <v>1.49</v>
      </c>
      <c r="K76" s="64">
        <v>157.03</v>
      </c>
      <c r="L76" s="64">
        <v>34.64</v>
      </c>
      <c r="M76" s="64">
        <v>28.06</v>
      </c>
      <c r="N76" s="64">
        <v>119.2</v>
      </c>
      <c r="O76" s="64">
        <v>0</v>
      </c>
      <c r="P76" s="64">
        <v>0.49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1082</v>
      </c>
      <c r="B77" s="64">
        <v>0.94</v>
      </c>
      <c r="C77" s="64">
        <v>34.39</v>
      </c>
      <c r="D77" s="64">
        <v>64.38</v>
      </c>
      <c r="E77" s="64">
        <v>6.4</v>
      </c>
      <c r="F77" s="64">
        <v>26.64</v>
      </c>
      <c r="G77" s="64">
        <v>44.18</v>
      </c>
      <c r="H77" s="64">
        <v>15.61</v>
      </c>
      <c r="I77" s="64">
        <v>3.86</v>
      </c>
      <c r="J77" s="64">
        <v>1.19</v>
      </c>
      <c r="K77" s="64">
        <v>152.58000000000001</v>
      </c>
      <c r="L77" s="64">
        <v>34.5</v>
      </c>
      <c r="M77" s="64">
        <v>28.03</v>
      </c>
      <c r="N77" s="64">
        <v>101.1</v>
      </c>
      <c r="O77" s="64">
        <v>0</v>
      </c>
      <c r="P77" s="64">
        <v>0.45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1083</v>
      </c>
      <c r="B78" s="64">
        <v>1.02</v>
      </c>
      <c r="C78" s="64">
        <v>36.92</v>
      </c>
      <c r="D78" s="64">
        <v>69.09</v>
      </c>
      <c r="E78" s="64">
        <v>5.81</v>
      </c>
      <c r="F78" s="64">
        <v>20.85</v>
      </c>
      <c r="G78" s="64">
        <v>44.18</v>
      </c>
      <c r="H78" s="64">
        <v>15.61</v>
      </c>
      <c r="I78" s="64">
        <v>3.91</v>
      </c>
      <c r="J78" s="64">
        <v>1.21</v>
      </c>
      <c r="K78" s="64">
        <v>168.46</v>
      </c>
      <c r="L78" s="64">
        <v>34.28</v>
      </c>
      <c r="M78" s="64">
        <v>28.36</v>
      </c>
      <c r="N78" s="64">
        <v>86.7</v>
      </c>
      <c r="O78" s="64">
        <v>0</v>
      </c>
      <c r="P78" s="64">
        <v>0.47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1084</v>
      </c>
      <c r="B79" s="64">
        <v>1.26</v>
      </c>
      <c r="C79" s="64">
        <v>43.2</v>
      </c>
      <c r="D79" s="64">
        <v>80.75</v>
      </c>
      <c r="E79" s="64">
        <v>3.78</v>
      </c>
      <c r="F79" s="64">
        <v>15.95</v>
      </c>
      <c r="G79" s="64">
        <v>45.02</v>
      </c>
      <c r="H79" s="64">
        <v>14.56</v>
      </c>
      <c r="I79" s="64">
        <v>3.98</v>
      </c>
      <c r="J79" s="64">
        <v>1.44</v>
      </c>
      <c r="K79" s="64">
        <v>159.47999999999999</v>
      </c>
      <c r="L79" s="64">
        <v>33.86</v>
      </c>
      <c r="M79" s="64">
        <v>30.16</v>
      </c>
      <c r="N79" s="64">
        <v>71</v>
      </c>
      <c r="O79" s="64">
        <v>0</v>
      </c>
      <c r="P79" s="64">
        <v>0.48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1085</v>
      </c>
      <c r="B80" s="64">
        <v>1.1499999999999999</v>
      </c>
      <c r="C80" s="64">
        <v>41.62</v>
      </c>
      <c r="D80" s="64">
        <v>77.900000000000006</v>
      </c>
      <c r="E80" s="64">
        <v>3.46</v>
      </c>
      <c r="F80" s="64">
        <v>13.47</v>
      </c>
      <c r="G80" s="64">
        <v>45.93</v>
      </c>
      <c r="H80" s="64">
        <v>13.46</v>
      </c>
      <c r="I80" s="64">
        <v>3.96</v>
      </c>
      <c r="J80" s="64">
        <v>1.81</v>
      </c>
      <c r="K80" s="64">
        <v>154.72</v>
      </c>
      <c r="L80" s="64">
        <v>33.42</v>
      </c>
      <c r="M80" s="64">
        <v>30.25</v>
      </c>
      <c r="N80" s="64">
        <v>53.8</v>
      </c>
      <c r="O80" s="64">
        <v>0</v>
      </c>
      <c r="P80" s="64">
        <v>0.5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1086</v>
      </c>
      <c r="B81" s="64">
        <v>1.1599999999999999</v>
      </c>
      <c r="C81" s="64">
        <v>41.98</v>
      </c>
      <c r="D81" s="64">
        <v>78.58</v>
      </c>
      <c r="E81" s="64">
        <v>3.23</v>
      </c>
      <c r="F81" s="64">
        <v>16.59</v>
      </c>
      <c r="G81" s="64">
        <v>45.93</v>
      </c>
      <c r="H81" s="64">
        <v>13.46</v>
      </c>
      <c r="I81" s="64">
        <v>3.99</v>
      </c>
      <c r="J81" s="64">
        <v>1.38</v>
      </c>
      <c r="K81" s="64">
        <v>173.28</v>
      </c>
      <c r="L81" s="64">
        <v>33.130000000000003</v>
      </c>
      <c r="M81" s="64">
        <v>30.23</v>
      </c>
      <c r="N81" s="64">
        <v>48.4</v>
      </c>
      <c r="O81" s="64">
        <v>0</v>
      </c>
      <c r="P81" s="64">
        <v>0.48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1087</v>
      </c>
      <c r="B82" s="64">
        <v>1.0900000000000001</v>
      </c>
      <c r="C82" s="64">
        <v>40.18</v>
      </c>
      <c r="D82" s="64">
        <v>75.23</v>
      </c>
      <c r="E82" s="64">
        <v>3.85</v>
      </c>
      <c r="F82" s="64">
        <v>17.71</v>
      </c>
      <c r="G82" s="64">
        <v>45.93</v>
      </c>
      <c r="H82" s="64">
        <v>13.46</v>
      </c>
      <c r="I82" s="64">
        <v>4.05</v>
      </c>
      <c r="J82" s="64">
        <v>1.42</v>
      </c>
      <c r="K82" s="64">
        <v>156.91999999999999</v>
      </c>
      <c r="L82" s="64">
        <v>32.82</v>
      </c>
      <c r="M82" s="64">
        <v>30.84</v>
      </c>
      <c r="N82" s="64">
        <v>45.8</v>
      </c>
      <c r="O82" s="64">
        <v>0</v>
      </c>
      <c r="P82" s="64">
        <v>0.47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1088</v>
      </c>
      <c r="B83" s="64">
        <v>1.82</v>
      </c>
      <c r="C83" s="64">
        <v>44</v>
      </c>
      <c r="D83" s="64">
        <v>81.42</v>
      </c>
      <c r="E83" s="64">
        <v>4.13</v>
      </c>
      <c r="F83" s="64">
        <v>20.25</v>
      </c>
      <c r="G83" s="64">
        <v>46.46</v>
      </c>
      <c r="H83" s="64">
        <v>14.67</v>
      </c>
      <c r="I83" s="64">
        <v>3.9</v>
      </c>
      <c r="J83" s="64">
        <v>1.34</v>
      </c>
      <c r="K83" s="64">
        <v>154.88</v>
      </c>
      <c r="L83" s="64">
        <v>32.6</v>
      </c>
      <c r="M83" s="64">
        <v>31.61</v>
      </c>
      <c r="N83" s="64">
        <v>45.2</v>
      </c>
      <c r="O83" s="64">
        <v>0</v>
      </c>
      <c r="P83" s="64">
        <v>0.48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1089</v>
      </c>
      <c r="B84" s="64">
        <v>4.07</v>
      </c>
      <c r="C84" s="64">
        <v>45.41</v>
      </c>
      <c r="D84" s="64">
        <v>80.680000000000007</v>
      </c>
      <c r="E84" s="64">
        <v>4.43</v>
      </c>
      <c r="F84" s="64">
        <v>16.68</v>
      </c>
      <c r="G84" s="64">
        <v>47.04</v>
      </c>
      <c r="H84" s="64">
        <v>15.93</v>
      </c>
      <c r="I84" s="64">
        <v>4.08</v>
      </c>
      <c r="J84" s="64">
        <v>0.6</v>
      </c>
      <c r="K84" s="64">
        <v>258.06</v>
      </c>
      <c r="L84" s="64">
        <v>32.32</v>
      </c>
      <c r="M84" s="64">
        <v>32.86</v>
      </c>
      <c r="N84" s="64">
        <v>45.8</v>
      </c>
      <c r="O84" s="64">
        <v>0</v>
      </c>
      <c r="P84" s="64">
        <v>0.53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1090</v>
      </c>
      <c r="B85" s="64">
        <v>3.2</v>
      </c>
      <c r="C85" s="64">
        <v>44.15</v>
      </c>
      <c r="D85" s="64">
        <v>79.58</v>
      </c>
      <c r="E85" s="64">
        <v>2.81</v>
      </c>
      <c r="F85" s="64">
        <v>8.4600000000000009</v>
      </c>
      <c r="G85" s="64">
        <v>47.04</v>
      </c>
      <c r="H85" s="64">
        <v>15.93</v>
      </c>
      <c r="I85" s="64">
        <v>4.03</v>
      </c>
      <c r="J85" s="64">
        <v>2.7</v>
      </c>
      <c r="K85" s="64">
        <v>307.75</v>
      </c>
      <c r="L85" s="64">
        <v>30.71</v>
      </c>
      <c r="M85" s="64">
        <v>33.76</v>
      </c>
      <c r="N85" s="64">
        <v>48.7</v>
      </c>
      <c r="O85" s="64">
        <v>0</v>
      </c>
      <c r="P85" s="64">
        <v>0.49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1091</v>
      </c>
      <c r="B86" s="64">
        <v>2.57</v>
      </c>
      <c r="C86" s="64">
        <v>43.06</v>
      </c>
      <c r="D86" s="64">
        <v>78.48</v>
      </c>
      <c r="E86" s="64">
        <v>3.16</v>
      </c>
      <c r="F86" s="64">
        <v>8.86</v>
      </c>
      <c r="G86" s="64">
        <v>47.04</v>
      </c>
      <c r="H86" s="64">
        <v>15.93</v>
      </c>
      <c r="I86" s="64">
        <v>4.0599999999999996</v>
      </c>
      <c r="J86" s="64">
        <v>2.54</v>
      </c>
      <c r="K86" s="64">
        <v>309.42</v>
      </c>
      <c r="L86" s="64">
        <v>29.49</v>
      </c>
      <c r="M86" s="64">
        <v>38.57</v>
      </c>
      <c r="N86" s="64">
        <v>47</v>
      </c>
      <c r="O86" s="64">
        <v>0</v>
      </c>
      <c r="P86" s="64">
        <v>0.5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1092</v>
      </c>
      <c r="B87" s="64">
        <v>2.11</v>
      </c>
      <c r="C87" s="64">
        <v>42.52</v>
      </c>
      <c r="D87" s="64">
        <v>78.150000000000006</v>
      </c>
      <c r="E87" s="64">
        <v>3.02</v>
      </c>
      <c r="F87" s="64">
        <v>7.48</v>
      </c>
      <c r="G87" s="64">
        <v>57.64</v>
      </c>
      <c r="H87" s="64">
        <v>16.12</v>
      </c>
      <c r="I87" s="64">
        <v>4.05</v>
      </c>
      <c r="J87" s="64">
        <v>2.42</v>
      </c>
      <c r="K87" s="64">
        <v>309.13</v>
      </c>
      <c r="L87" s="64">
        <v>28.87</v>
      </c>
      <c r="M87" s="64">
        <v>38.19</v>
      </c>
      <c r="N87" s="64">
        <v>46</v>
      </c>
      <c r="O87" s="64">
        <v>0</v>
      </c>
      <c r="P87" s="64">
        <v>0.49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1093</v>
      </c>
      <c r="B88" s="64">
        <v>3.09</v>
      </c>
      <c r="C88" s="64">
        <v>43.14</v>
      </c>
      <c r="D88" s="64">
        <v>77.83</v>
      </c>
      <c r="E88" s="64">
        <v>2.96</v>
      </c>
      <c r="F88" s="64">
        <v>8.7100000000000009</v>
      </c>
      <c r="G88" s="64">
        <v>69.23</v>
      </c>
      <c r="H88" s="64">
        <v>16.309999999999999</v>
      </c>
      <c r="I88" s="64">
        <v>4.0199999999999996</v>
      </c>
      <c r="J88" s="64">
        <v>3.32</v>
      </c>
      <c r="K88" s="64">
        <v>318.35000000000002</v>
      </c>
      <c r="L88" s="64">
        <v>28.65</v>
      </c>
      <c r="M88" s="64">
        <v>35.75</v>
      </c>
      <c r="N88" s="64">
        <v>45.6</v>
      </c>
      <c r="O88" s="64">
        <v>0</v>
      </c>
      <c r="P88" s="64">
        <v>0.49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1094</v>
      </c>
      <c r="B89" s="64">
        <v>5.13</v>
      </c>
      <c r="C89" s="64">
        <v>48.06</v>
      </c>
      <c r="D89" s="64">
        <v>84.1</v>
      </c>
      <c r="E89" s="64">
        <v>3.78</v>
      </c>
      <c r="F89" s="64">
        <v>8.42</v>
      </c>
      <c r="G89" s="64">
        <v>69.23</v>
      </c>
      <c r="H89" s="64">
        <v>16.309999999999999</v>
      </c>
      <c r="I89" s="64">
        <v>3.92</v>
      </c>
      <c r="J89" s="64">
        <v>3.38</v>
      </c>
      <c r="K89" s="64">
        <v>324.06</v>
      </c>
      <c r="L89" s="64">
        <v>28.64</v>
      </c>
      <c r="M89" s="64">
        <v>36.32</v>
      </c>
      <c r="N89" s="64">
        <v>45.6</v>
      </c>
      <c r="O89" s="64">
        <v>0</v>
      </c>
      <c r="P89" s="64">
        <v>0.5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1095</v>
      </c>
      <c r="B90" s="64">
        <v>2.92</v>
      </c>
      <c r="C90" s="64">
        <v>45.01</v>
      </c>
      <c r="D90" s="64">
        <v>81.67</v>
      </c>
      <c r="E90" s="64">
        <v>3.14</v>
      </c>
      <c r="F90" s="64">
        <v>9.18</v>
      </c>
      <c r="G90" s="64">
        <v>69.23</v>
      </c>
      <c r="H90" s="64">
        <v>16.309999999999999</v>
      </c>
      <c r="I90" s="64">
        <v>4.09</v>
      </c>
      <c r="J90" s="64">
        <v>3.29</v>
      </c>
      <c r="K90" s="64">
        <v>314.58</v>
      </c>
      <c r="L90" s="64">
        <v>28.52</v>
      </c>
      <c r="M90" s="64">
        <v>36.24</v>
      </c>
      <c r="N90" s="64">
        <v>45.9</v>
      </c>
      <c r="O90" s="64">
        <v>0</v>
      </c>
      <c r="P90" s="64">
        <v>0.51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1096</v>
      </c>
      <c r="B91" s="64">
        <v>2</v>
      </c>
      <c r="C91" s="64">
        <v>44.37</v>
      </c>
      <c r="D91" s="64">
        <v>81.849999999999994</v>
      </c>
      <c r="E91" s="64">
        <v>3.23</v>
      </c>
      <c r="F91" s="64">
        <v>9.2200000000000006</v>
      </c>
      <c r="G91" s="64">
        <v>75.52</v>
      </c>
      <c r="H91" s="64">
        <v>17.23</v>
      </c>
      <c r="I91" s="64">
        <v>4.09</v>
      </c>
      <c r="J91" s="64">
        <v>3.38</v>
      </c>
      <c r="K91" s="64">
        <v>318.08</v>
      </c>
      <c r="L91" s="64">
        <v>28.22</v>
      </c>
      <c r="M91" s="64">
        <v>37.520000000000003</v>
      </c>
      <c r="N91" s="64">
        <v>46.6</v>
      </c>
      <c r="O91" s="64">
        <v>0</v>
      </c>
      <c r="P91" s="64">
        <v>0.5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1097</v>
      </c>
      <c r="B92" s="64">
        <v>1.61</v>
      </c>
      <c r="C92" s="64">
        <v>43.44</v>
      </c>
      <c r="D92" s="64">
        <v>80.680000000000007</v>
      </c>
      <c r="E92" s="64">
        <v>2.96</v>
      </c>
      <c r="F92" s="64">
        <v>8.73</v>
      </c>
      <c r="G92" s="64">
        <v>82.1</v>
      </c>
      <c r="H92" s="64">
        <v>18.2</v>
      </c>
      <c r="I92" s="64">
        <v>4.04</v>
      </c>
      <c r="J92" s="64">
        <v>4.1399999999999997</v>
      </c>
      <c r="K92" s="64">
        <v>320.07</v>
      </c>
      <c r="L92" s="64">
        <v>26.31</v>
      </c>
      <c r="M92" s="64">
        <v>49.95</v>
      </c>
      <c r="N92" s="64">
        <v>48.5</v>
      </c>
      <c r="O92" s="64">
        <v>0</v>
      </c>
      <c r="P92" s="64">
        <v>0.49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1098</v>
      </c>
      <c r="B93" s="64">
        <v>1.36</v>
      </c>
      <c r="C93" s="64">
        <v>41.54</v>
      </c>
      <c r="D93" s="64">
        <v>77.42</v>
      </c>
      <c r="E93" s="64">
        <v>2.82</v>
      </c>
      <c r="F93" s="64">
        <v>9.16</v>
      </c>
      <c r="G93" s="64">
        <v>82.1</v>
      </c>
      <c r="H93" s="64">
        <v>18.2</v>
      </c>
      <c r="I93" s="64">
        <v>4.0199999999999996</v>
      </c>
      <c r="J93" s="64">
        <v>4.24</v>
      </c>
      <c r="K93" s="64">
        <v>327.57</v>
      </c>
      <c r="L93" s="64">
        <v>24.84</v>
      </c>
      <c r="M93" s="64">
        <v>55.74</v>
      </c>
      <c r="N93" s="64">
        <v>46.9</v>
      </c>
      <c r="O93" s="64">
        <v>0</v>
      </c>
      <c r="P93" s="64">
        <v>0.46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1099</v>
      </c>
      <c r="B94" s="64">
        <v>1.49</v>
      </c>
      <c r="C94" s="64">
        <v>41.43</v>
      </c>
      <c r="D94" s="64">
        <v>77</v>
      </c>
      <c r="E94" s="64">
        <v>3.01</v>
      </c>
      <c r="F94" s="64">
        <v>9.6199999999999992</v>
      </c>
      <c r="G94" s="64">
        <v>82.1</v>
      </c>
      <c r="H94" s="64">
        <v>18.2</v>
      </c>
      <c r="I94" s="64">
        <v>3.99</v>
      </c>
      <c r="J94" s="64">
        <v>4.2699999999999996</v>
      </c>
      <c r="K94" s="64">
        <v>316.82</v>
      </c>
      <c r="L94" s="64">
        <v>24.6</v>
      </c>
      <c r="M94" s="64">
        <v>54.5</v>
      </c>
      <c r="N94" s="64">
        <v>45.6</v>
      </c>
      <c r="O94" s="64">
        <v>0</v>
      </c>
      <c r="P94" s="64">
        <v>0.45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1100</v>
      </c>
      <c r="B95" s="64">
        <v>1.23</v>
      </c>
      <c r="C95" s="64">
        <v>40.479999999999997</v>
      </c>
      <c r="D95" s="64">
        <v>75.58</v>
      </c>
      <c r="E95" s="64">
        <v>2.66</v>
      </c>
      <c r="F95" s="64">
        <v>10.41</v>
      </c>
      <c r="G95" s="64">
        <v>85.46</v>
      </c>
      <c r="H95" s="64">
        <v>15.48</v>
      </c>
      <c r="I95" s="64">
        <v>4.08</v>
      </c>
      <c r="J95" s="64">
        <v>4.34</v>
      </c>
      <c r="K95" s="64">
        <v>317.51</v>
      </c>
      <c r="L95" s="64">
        <v>24.54</v>
      </c>
      <c r="M95" s="64">
        <v>55.07</v>
      </c>
      <c r="N95" s="64">
        <v>46.4</v>
      </c>
      <c r="O95" s="64">
        <v>0</v>
      </c>
      <c r="P95" s="64">
        <v>0.43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1101</v>
      </c>
      <c r="B96" s="64">
        <v>1.1200000000000001</v>
      </c>
      <c r="C96" s="64">
        <v>39.479999999999997</v>
      </c>
      <c r="D96" s="64">
        <v>73.84</v>
      </c>
      <c r="E96" s="64">
        <v>2.57</v>
      </c>
      <c r="F96" s="64">
        <v>10.54</v>
      </c>
      <c r="G96" s="64">
        <v>89.13</v>
      </c>
      <c r="H96" s="64">
        <v>12.65</v>
      </c>
      <c r="I96" s="64">
        <v>3.97</v>
      </c>
      <c r="J96" s="64">
        <v>3.28</v>
      </c>
      <c r="K96" s="64">
        <v>323.24</v>
      </c>
      <c r="L96" s="64">
        <v>24.31</v>
      </c>
      <c r="M96" s="64">
        <v>55.76</v>
      </c>
      <c r="N96" s="64">
        <v>44.8</v>
      </c>
      <c r="O96" s="64">
        <v>0</v>
      </c>
      <c r="P96" s="64">
        <v>0.42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1102</v>
      </c>
      <c r="B97" s="64">
        <v>1.83</v>
      </c>
      <c r="C97" s="64">
        <v>40.299999999999997</v>
      </c>
      <c r="D97" s="64">
        <v>74.319999999999993</v>
      </c>
      <c r="E97" s="64">
        <v>2.89</v>
      </c>
      <c r="F97" s="64">
        <v>9.51</v>
      </c>
      <c r="G97" s="64">
        <v>89.13</v>
      </c>
      <c r="H97" s="64">
        <v>12.65</v>
      </c>
      <c r="I97" s="64">
        <v>3.83</v>
      </c>
      <c r="J97" s="64">
        <v>2.79</v>
      </c>
      <c r="K97" s="64">
        <v>336.72</v>
      </c>
      <c r="L97" s="64">
        <v>24.79</v>
      </c>
      <c r="M97" s="64">
        <v>51.57</v>
      </c>
      <c r="N97" s="64">
        <v>44.7</v>
      </c>
      <c r="O97" s="64">
        <v>0</v>
      </c>
      <c r="P97" s="64">
        <v>0.41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1103</v>
      </c>
      <c r="B98" s="64">
        <v>1.79</v>
      </c>
      <c r="C98" s="64">
        <v>41.36</v>
      </c>
      <c r="D98" s="64">
        <v>76.400000000000006</v>
      </c>
      <c r="E98" s="64">
        <v>3.27</v>
      </c>
      <c r="F98" s="64">
        <v>10.130000000000001</v>
      </c>
      <c r="G98" s="64">
        <v>89.13</v>
      </c>
      <c r="H98" s="64">
        <v>12.65</v>
      </c>
      <c r="I98" s="64">
        <v>3.98</v>
      </c>
      <c r="J98" s="64">
        <v>3.51</v>
      </c>
      <c r="K98" s="64">
        <v>344.82</v>
      </c>
      <c r="L98" s="64">
        <v>25.32</v>
      </c>
      <c r="M98" s="64">
        <v>46.21</v>
      </c>
      <c r="N98" s="64">
        <v>44.4</v>
      </c>
      <c r="O98" s="64">
        <v>0</v>
      </c>
      <c r="P98" s="64">
        <v>0.41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1104</v>
      </c>
      <c r="B99" s="64">
        <v>2.38</v>
      </c>
      <c r="C99" s="64">
        <v>41.11</v>
      </c>
      <c r="D99" s="64">
        <v>75.05</v>
      </c>
      <c r="E99" s="64">
        <v>3.34</v>
      </c>
      <c r="F99" s="64">
        <v>8.1300000000000008</v>
      </c>
      <c r="G99" s="64">
        <v>79.540000000000006</v>
      </c>
      <c r="H99" s="64">
        <v>10.75</v>
      </c>
      <c r="I99" s="64">
        <v>4.12</v>
      </c>
      <c r="J99" s="64">
        <v>3.45</v>
      </c>
      <c r="K99" s="64">
        <v>328.17</v>
      </c>
      <c r="L99" s="64">
        <v>25.78</v>
      </c>
      <c r="M99" s="64">
        <v>45.5</v>
      </c>
      <c r="N99" s="64">
        <v>45.4</v>
      </c>
      <c r="O99" s="64">
        <v>0</v>
      </c>
      <c r="P99" s="64">
        <v>0.4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1105</v>
      </c>
      <c r="B100" s="64">
        <v>3.45</v>
      </c>
      <c r="C100" s="64">
        <v>44.12</v>
      </c>
      <c r="D100" s="64">
        <v>79.14</v>
      </c>
      <c r="E100" s="64">
        <v>5.78</v>
      </c>
      <c r="F100" s="64">
        <v>8.2799999999999994</v>
      </c>
      <c r="G100" s="64">
        <v>69.06</v>
      </c>
      <c r="H100" s="64">
        <v>8.7799999999999994</v>
      </c>
      <c r="I100" s="64">
        <v>3.97</v>
      </c>
      <c r="J100" s="64">
        <v>2.96</v>
      </c>
      <c r="K100" s="64">
        <v>343.74</v>
      </c>
      <c r="L100" s="64">
        <v>26.35</v>
      </c>
      <c r="M100" s="64">
        <v>39.44</v>
      </c>
      <c r="N100" s="64">
        <v>44.8</v>
      </c>
      <c r="O100" s="64">
        <v>0</v>
      </c>
      <c r="P100" s="64">
        <v>0.41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1106</v>
      </c>
      <c r="B101" s="64">
        <v>3.97</v>
      </c>
      <c r="C101" s="64">
        <v>48.73</v>
      </c>
      <c r="D101" s="64">
        <v>87.18</v>
      </c>
      <c r="E101" s="64">
        <v>11.48</v>
      </c>
      <c r="F101" s="64">
        <v>11.66</v>
      </c>
      <c r="G101" s="64">
        <v>69.06</v>
      </c>
      <c r="H101" s="64">
        <v>8.7799999999999994</v>
      </c>
      <c r="I101" s="64">
        <v>4.04</v>
      </c>
      <c r="J101" s="64">
        <v>1.6</v>
      </c>
      <c r="K101" s="64">
        <v>353.21</v>
      </c>
      <c r="L101" s="64">
        <v>26.85</v>
      </c>
      <c r="M101" s="64">
        <v>36.909999999999997</v>
      </c>
      <c r="N101" s="64">
        <v>45.9</v>
      </c>
      <c r="O101" s="64">
        <v>0</v>
      </c>
      <c r="P101" s="64">
        <v>0.43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1107</v>
      </c>
      <c r="B102" s="64">
        <v>5.47</v>
      </c>
      <c r="C102" s="64">
        <v>46.67</v>
      </c>
      <c r="D102" s="64">
        <v>80.930000000000007</v>
      </c>
      <c r="E102" s="64">
        <v>9.44</v>
      </c>
      <c r="F102" s="64">
        <v>12.66</v>
      </c>
      <c r="G102" s="64">
        <v>69.06</v>
      </c>
      <c r="H102" s="64">
        <v>8.7799999999999994</v>
      </c>
      <c r="I102" s="64">
        <v>4.08</v>
      </c>
      <c r="J102" s="64">
        <v>1.3</v>
      </c>
      <c r="K102" s="64">
        <v>333.76</v>
      </c>
      <c r="L102" s="64">
        <v>27.51</v>
      </c>
      <c r="M102" s="64">
        <v>32.799999999999997</v>
      </c>
      <c r="N102" s="64">
        <v>45.7</v>
      </c>
      <c r="O102" s="64">
        <v>0</v>
      </c>
      <c r="P102" s="64">
        <v>0.4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1108</v>
      </c>
      <c r="B103" s="64">
        <v>7.93</v>
      </c>
      <c r="C103" s="64">
        <v>51.54</v>
      </c>
      <c r="D103" s="64">
        <v>86.48</v>
      </c>
      <c r="E103" s="64">
        <v>23.36</v>
      </c>
      <c r="F103" s="64">
        <v>18.64</v>
      </c>
      <c r="G103" s="64">
        <v>67.510000000000005</v>
      </c>
      <c r="H103" s="64">
        <v>10.69</v>
      </c>
      <c r="I103" s="64">
        <v>3.96</v>
      </c>
      <c r="J103" s="64">
        <v>1.19</v>
      </c>
      <c r="K103" s="64">
        <v>359.77</v>
      </c>
      <c r="L103" s="64">
        <v>27.54</v>
      </c>
      <c r="M103" s="64">
        <v>34.31</v>
      </c>
      <c r="N103" s="64">
        <v>46.6</v>
      </c>
      <c r="O103" s="64">
        <v>0</v>
      </c>
      <c r="P103" s="64">
        <v>0.48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1109</v>
      </c>
      <c r="B104" s="64">
        <v>8.56</v>
      </c>
      <c r="C104" s="64">
        <v>61.4</v>
      </c>
      <c r="D104" s="64">
        <v>104.39</v>
      </c>
      <c r="E104" s="64">
        <v>33.590000000000003</v>
      </c>
      <c r="F104" s="64">
        <v>17.23</v>
      </c>
      <c r="G104" s="64">
        <v>65.89</v>
      </c>
      <c r="H104" s="64">
        <v>12.79</v>
      </c>
      <c r="I104" s="64">
        <v>3.82</v>
      </c>
      <c r="J104" s="64">
        <v>0.51</v>
      </c>
      <c r="K104" s="64">
        <v>31.13</v>
      </c>
      <c r="L104" s="64">
        <v>26.97</v>
      </c>
      <c r="M104" s="64">
        <v>35.35</v>
      </c>
      <c r="N104" s="64">
        <v>46.7</v>
      </c>
      <c r="O104" s="64">
        <v>0</v>
      </c>
      <c r="P104" s="64">
        <v>0.72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0.77</v>
      </c>
      <c r="C106" s="67">
        <f>MIN(C9:C104)</f>
        <v>27.93</v>
      </c>
      <c r="D106" s="67">
        <f t="shared" ref="D106:Q106" si="0">MIN(D9:D104)</f>
        <v>52.23</v>
      </c>
      <c r="E106" s="67">
        <f t="shared" si="0"/>
        <v>2.57</v>
      </c>
      <c r="F106" s="67">
        <f t="shared" si="0"/>
        <v>6.63</v>
      </c>
      <c r="G106" s="67">
        <f t="shared" si="0"/>
        <v>14.65</v>
      </c>
      <c r="H106" s="67">
        <f t="shared" si="0"/>
        <v>8.7799999999999994</v>
      </c>
      <c r="I106" s="67">
        <f t="shared" si="0"/>
        <v>3.71</v>
      </c>
      <c r="J106" s="67">
        <f t="shared" si="0"/>
        <v>0.28999999999999998</v>
      </c>
      <c r="K106" s="67">
        <f t="shared" si="0"/>
        <v>31.13</v>
      </c>
      <c r="L106" s="67">
        <f t="shared" si="0"/>
        <v>24.31</v>
      </c>
      <c r="M106" s="67">
        <f t="shared" si="0"/>
        <v>26.07</v>
      </c>
      <c r="N106" s="67">
        <f t="shared" si="0"/>
        <v>44.4</v>
      </c>
      <c r="O106" s="67">
        <f t="shared" si="0"/>
        <v>0</v>
      </c>
      <c r="P106" s="67">
        <f t="shared" si="0"/>
        <v>0.33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8.56</v>
      </c>
      <c r="C107" s="66">
        <f t="shared" ref="C107:Q107" si="1">MAX(C9:C104)</f>
        <v>61.4</v>
      </c>
      <c r="D107" s="66">
        <f t="shared" si="1"/>
        <v>104.39</v>
      </c>
      <c r="E107" s="66">
        <f t="shared" si="1"/>
        <v>33.590000000000003</v>
      </c>
      <c r="F107" s="66">
        <f t="shared" si="1"/>
        <v>31.8</v>
      </c>
      <c r="G107" s="66">
        <f t="shared" si="1"/>
        <v>89.13</v>
      </c>
      <c r="H107" s="66">
        <f t="shared" si="1"/>
        <v>19.82</v>
      </c>
      <c r="I107" s="66">
        <f t="shared" si="1"/>
        <v>4.24</v>
      </c>
      <c r="J107" s="66">
        <f t="shared" si="1"/>
        <v>4.34</v>
      </c>
      <c r="K107" s="66">
        <f t="shared" si="1"/>
        <v>359.77</v>
      </c>
      <c r="L107" s="66">
        <f t="shared" si="1"/>
        <v>37.9</v>
      </c>
      <c r="M107" s="66">
        <f t="shared" si="1"/>
        <v>55.76</v>
      </c>
      <c r="N107" s="66">
        <f t="shared" si="1"/>
        <v>946.3</v>
      </c>
      <c r="O107" s="66">
        <f t="shared" si="1"/>
        <v>0</v>
      </c>
      <c r="P107" s="66">
        <f t="shared" si="1"/>
        <v>0.83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2.6988541666666657</v>
      </c>
      <c r="C108" s="67">
        <f t="shared" ref="C108:Q108" si="2">AVERAGE(C9:C104)</f>
        <v>40.871770833333322</v>
      </c>
      <c r="D108" s="67">
        <f t="shared" si="2"/>
        <v>74.086770833333347</v>
      </c>
      <c r="E108" s="67">
        <f t="shared" si="2"/>
        <v>4.8924999999999992</v>
      </c>
      <c r="F108" s="67">
        <f t="shared" si="2"/>
        <v>13.565104166666673</v>
      </c>
      <c r="G108" s="67">
        <f t="shared" si="2"/>
        <v>43.362083333333324</v>
      </c>
      <c r="H108" s="67">
        <f t="shared" si="2"/>
        <v>13.226250000000002</v>
      </c>
      <c r="I108" s="67">
        <f t="shared" si="2"/>
        <v>3.9948958333333326</v>
      </c>
      <c r="J108" s="67">
        <f t="shared" si="2"/>
        <v>1.3120833333333335</v>
      </c>
      <c r="K108" s="67">
        <f t="shared" si="2"/>
        <v>213.4864583333333</v>
      </c>
      <c r="L108" s="67">
        <f t="shared" si="2"/>
        <v>30.323854166666674</v>
      </c>
      <c r="M108" s="67">
        <f t="shared" si="2"/>
        <v>36.140833333333354</v>
      </c>
      <c r="N108" s="67">
        <f t="shared" si="2"/>
        <v>283.94270833333331</v>
      </c>
      <c r="O108" s="67">
        <f t="shared" si="2"/>
        <v>0</v>
      </c>
      <c r="P108" s="67">
        <f t="shared" si="2"/>
        <v>0.51635416666666656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1.5864398207384236</v>
      </c>
      <c r="C109" s="67">
        <f t="shared" ref="C109:Q109" si="3">STDEV(C9:C104)</f>
        <v>5.4427141052182257</v>
      </c>
      <c r="D109" s="67">
        <f t="shared" si="3"/>
        <v>8.9000209928541008</v>
      </c>
      <c r="E109" s="67">
        <f t="shared" si="3"/>
        <v>4.0437455279402608</v>
      </c>
      <c r="F109" s="67">
        <f t="shared" si="3"/>
        <v>6.4952871975385795</v>
      </c>
      <c r="G109" s="67">
        <f t="shared" si="3"/>
        <v>19.135786695512188</v>
      </c>
      <c r="H109" s="67">
        <f t="shared" si="3"/>
        <v>2.6418451486553134</v>
      </c>
      <c r="I109" s="67">
        <f t="shared" si="3"/>
        <v>9.408836598663553E-2</v>
      </c>
      <c r="J109" s="67">
        <f t="shared" si="3"/>
        <v>1.0164954414340186</v>
      </c>
      <c r="K109" s="67">
        <f t="shared" si="3"/>
        <v>75.774927904310914</v>
      </c>
      <c r="L109" s="67">
        <f t="shared" si="3"/>
        <v>4.4678195246477701</v>
      </c>
      <c r="M109" s="67">
        <f t="shared" si="3"/>
        <v>7.4437992091851166</v>
      </c>
      <c r="N109" s="67">
        <f t="shared" si="3"/>
        <v>327.55137443405772</v>
      </c>
      <c r="O109" s="67">
        <f t="shared" si="3"/>
        <v>0</v>
      </c>
      <c r="P109" s="67">
        <f t="shared" si="3"/>
        <v>0.12241533952441176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1110</v>
      </c>
      <c r="B9" s="64">
        <v>7.63</v>
      </c>
      <c r="C9" s="64">
        <v>60.73</v>
      </c>
      <c r="D9" s="64">
        <v>104.52</v>
      </c>
      <c r="E9" s="64">
        <v>54.26</v>
      </c>
      <c r="F9" s="64">
        <v>15.51</v>
      </c>
      <c r="G9" s="64">
        <v>65.89</v>
      </c>
      <c r="H9" s="64">
        <v>12.79</v>
      </c>
      <c r="I9" s="64">
        <v>4.2</v>
      </c>
      <c r="J9" s="64">
        <v>0.46</v>
      </c>
      <c r="K9" s="64">
        <v>64.11</v>
      </c>
      <c r="L9" s="64">
        <v>26.57</v>
      </c>
      <c r="M9" s="64">
        <v>37.450000000000003</v>
      </c>
      <c r="N9" s="64">
        <v>46.5</v>
      </c>
      <c r="O9" s="64">
        <v>0</v>
      </c>
      <c r="P9" s="64">
        <v>0.64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1111</v>
      </c>
      <c r="B10" s="64">
        <v>3.59</v>
      </c>
      <c r="C10" s="64">
        <v>51.32</v>
      </c>
      <c r="D10" s="64">
        <v>92.73</v>
      </c>
      <c r="E10" s="64">
        <v>20.49</v>
      </c>
      <c r="F10" s="64">
        <v>11.33</v>
      </c>
      <c r="G10" s="64">
        <v>65.89</v>
      </c>
      <c r="H10" s="64">
        <v>12.79</v>
      </c>
      <c r="I10" s="64">
        <v>4.05</v>
      </c>
      <c r="J10" s="64">
        <v>0.92</v>
      </c>
      <c r="K10" s="64">
        <v>146.21</v>
      </c>
      <c r="L10" s="64">
        <v>26.93</v>
      </c>
      <c r="M10" s="64">
        <v>35.93</v>
      </c>
      <c r="N10" s="64">
        <v>45.2</v>
      </c>
      <c r="O10" s="64">
        <v>0</v>
      </c>
      <c r="P10" s="64">
        <v>0.49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1112</v>
      </c>
      <c r="B11" s="64">
        <v>3.74</v>
      </c>
      <c r="C11" s="64">
        <v>49.48</v>
      </c>
      <c r="D11" s="64">
        <v>88.96</v>
      </c>
      <c r="E11" s="64">
        <v>7.94</v>
      </c>
      <c r="F11" s="64">
        <v>10.75</v>
      </c>
      <c r="G11" s="64">
        <v>60.99</v>
      </c>
      <c r="H11" s="64">
        <v>13.03</v>
      </c>
      <c r="I11" s="64">
        <v>4.1100000000000003</v>
      </c>
      <c r="J11" s="64">
        <v>0.25</v>
      </c>
      <c r="K11" s="64">
        <v>158</v>
      </c>
      <c r="L11" s="64">
        <v>27.85</v>
      </c>
      <c r="M11" s="64">
        <v>31.89</v>
      </c>
      <c r="N11" s="64">
        <v>45.8</v>
      </c>
      <c r="O11" s="64">
        <v>0</v>
      </c>
      <c r="P11" s="64">
        <v>0.41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1113</v>
      </c>
      <c r="B12" s="64">
        <v>2.39</v>
      </c>
      <c r="C12" s="64">
        <v>42.22</v>
      </c>
      <c r="D12" s="64">
        <v>77.13</v>
      </c>
      <c r="E12" s="64">
        <v>8.76</v>
      </c>
      <c r="F12" s="64">
        <v>15.04</v>
      </c>
      <c r="G12" s="64">
        <v>55.87</v>
      </c>
      <c r="H12" s="64">
        <v>13.29</v>
      </c>
      <c r="I12" s="64">
        <v>3.99</v>
      </c>
      <c r="J12" s="64">
        <v>0.44</v>
      </c>
      <c r="K12" s="64">
        <v>107.44</v>
      </c>
      <c r="L12" s="64">
        <v>27.71</v>
      </c>
      <c r="M12" s="64">
        <v>31.69</v>
      </c>
      <c r="N12" s="64">
        <v>46.1</v>
      </c>
      <c r="O12" s="64">
        <v>0</v>
      </c>
      <c r="P12" s="64">
        <v>0.34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1114</v>
      </c>
      <c r="B13" s="64">
        <v>3.97</v>
      </c>
      <c r="C13" s="64">
        <v>52.91</v>
      </c>
      <c r="D13" s="64">
        <v>95.19</v>
      </c>
      <c r="E13" s="64">
        <v>5.13</v>
      </c>
      <c r="F13" s="64">
        <v>8.16</v>
      </c>
      <c r="G13" s="64">
        <v>55.87</v>
      </c>
      <c r="H13" s="64">
        <v>13.29</v>
      </c>
      <c r="I13" s="64">
        <v>3.97</v>
      </c>
      <c r="J13" s="64">
        <v>0.99</v>
      </c>
      <c r="K13" s="64">
        <v>172.05</v>
      </c>
      <c r="L13" s="64">
        <v>27.08</v>
      </c>
      <c r="M13" s="64">
        <v>34.409999999999997</v>
      </c>
      <c r="N13" s="64">
        <v>46.1</v>
      </c>
      <c r="O13" s="64">
        <v>0</v>
      </c>
      <c r="P13" s="64">
        <v>0.38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1115</v>
      </c>
      <c r="B14" s="64">
        <v>3.66</v>
      </c>
      <c r="C14" s="64">
        <v>48.65</v>
      </c>
      <c r="D14" s="64">
        <v>87.5</v>
      </c>
      <c r="E14" s="64">
        <v>2.85</v>
      </c>
      <c r="F14" s="64">
        <v>7.1</v>
      </c>
      <c r="G14" s="64">
        <v>55.87</v>
      </c>
      <c r="H14" s="64">
        <v>13.29</v>
      </c>
      <c r="I14" s="64">
        <v>3.92</v>
      </c>
      <c r="J14" s="64">
        <v>2.16</v>
      </c>
      <c r="K14" s="64">
        <v>160.84</v>
      </c>
      <c r="L14" s="64">
        <v>26.49</v>
      </c>
      <c r="M14" s="64">
        <v>37.81</v>
      </c>
      <c r="N14" s="64">
        <v>46.9</v>
      </c>
      <c r="O14" s="64">
        <v>0</v>
      </c>
      <c r="P14" s="64">
        <v>0.42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1116</v>
      </c>
      <c r="B15" s="64">
        <v>2.63</v>
      </c>
      <c r="C15" s="64">
        <v>43.56</v>
      </c>
      <c r="D15" s="64">
        <v>79.34</v>
      </c>
      <c r="E15" s="64">
        <v>3.46</v>
      </c>
      <c r="F15" s="64">
        <v>10.65</v>
      </c>
      <c r="G15" s="64">
        <v>51.35</v>
      </c>
      <c r="H15" s="64">
        <v>13.54</v>
      </c>
      <c r="I15" s="64">
        <v>4.12</v>
      </c>
      <c r="J15" s="64">
        <v>0.39</v>
      </c>
      <c r="K15" s="64">
        <v>100.67</v>
      </c>
      <c r="L15" s="64">
        <v>26.05</v>
      </c>
      <c r="M15" s="64">
        <v>41.54</v>
      </c>
      <c r="N15" s="64">
        <v>47</v>
      </c>
      <c r="O15" s="64">
        <v>0</v>
      </c>
      <c r="P15" s="64">
        <v>0.38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1117</v>
      </c>
      <c r="B16" s="64">
        <v>2.1</v>
      </c>
      <c r="C16" s="64">
        <v>40.69</v>
      </c>
      <c r="D16" s="64">
        <v>74.650000000000006</v>
      </c>
      <c r="E16" s="64">
        <v>4</v>
      </c>
      <c r="F16" s="64">
        <v>10.06</v>
      </c>
      <c r="G16" s="64">
        <v>46.41</v>
      </c>
      <c r="H16" s="64">
        <v>13.82</v>
      </c>
      <c r="I16" s="64">
        <v>4.0999999999999996</v>
      </c>
      <c r="J16" s="64">
        <v>0.66</v>
      </c>
      <c r="K16" s="64">
        <v>94.51</v>
      </c>
      <c r="L16" s="64">
        <v>25.54</v>
      </c>
      <c r="M16" s="64">
        <v>42.69</v>
      </c>
      <c r="N16" s="64">
        <v>46.2</v>
      </c>
      <c r="O16" s="64">
        <v>0</v>
      </c>
      <c r="P16" s="64">
        <v>0.35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1118</v>
      </c>
      <c r="B17" s="64">
        <v>2.71</v>
      </c>
      <c r="C17" s="64">
        <v>40.869999999999997</v>
      </c>
      <c r="D17" s="64">
        <v>74.06</v>
      </c>
      <c r="E17" s="64">
        <v>4.43</v>
      </c>
      <c r="F17" s="64">
        <v>8.4600000000000009</v>
      </c>
      <c r="G17" s="64">
        <v>46.41</v>
      </c>
      <c r="H17" s="64">
        <v>13.82</v>
      </c>
      <c r="I17" s="64">
        <v>3.99</v>
      </c>
      <c r="J17" s="64">
        <v>0.18</v>
      </c>
      <c r="K17" s="64">
        <v>321.39999999999998</v>
      </c>
      <c r="L17" s="64">
        <v>25.43</v>
      </c>
      <c r="M17" s="64">
        <v>43.22</v>
      </c>
      <c r="N17" s="64">
        <v>46.4</v>
      </c>
      <c r="O17" s="64">
        <v>0</v>
      </c>
      <c r="P17" s="64">
        <v>0.34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1119</v>
      </c>
      <c r="B18" s="64">
        <v>3.48</v>
      </c>
      <c r="C18" s="64">
        <v>47.19</v>
      </c>
      <c r="D18" s="64">
        <v>84.98</v>
      </c>
      <c r="E18" s="64">
        <v>3.98</v>
      </c>
      <c r="F18" s="64">
        <v>8.82</v>
      </c>
      <c r="G18" s="64">
        <v>46.41</v>
      </c>
      <c r="H18" s="64">
        <v>13.82</v>
      </c>
      <c r="I18" s="64">
        <v>4.03</v>
      </c>
      <c r="J18" s="64">
        <v>0.61</v>
      </c>
      <c r="K18" s="64">
        <v>296.79000000000002</v>
      </c>
      <c r="L18" s="64">
        <v>24.96</v>
      </c>
      <c r="M18" s="64">
        <v>44.9</v>
      </c>
      <c r="N18" s="64">
        <v>46.2</v>
      </c>
      <c r="O18" s="64">
        <v>0</v>
      </c>
      <c r="P18" s="64">
        <v>0.35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1120</v>
      </c>
      <c r="B19" s="64">
        <v>2.99</v>
      </c>
      <c r="C19" s="64">
        <v>44.08</v>
      </c>
      <c r="D19" s="64">
        <v>79.77</v>
      </c>
      <c r="E19" s="64">
        <v>3.12</v>
      </c>
      <c r="F19" s="64">
        <v>8.1999999999999993</v>
      </c>
      <c r="G19" s="64">
        <v>44.15</v>
      </c>
      <c r="H19" s="64">
        <v>12.88</v>
      </c>
      <c r="I19" s="64">
        <v>3.98</v>
      </c>
      <c r="J19" s="64">
        <v>0.3</v>
      </c>
      <c r="K19" s="64">
        <v>297.10000000000002</v>
      </c>
      <c r="L19" s="64">
        <v>25.13</v>
      </c>
      <c r="M19" s="64">
        <v>46.16</v>
      </c>
      <c r="N19" s="64">
        <v>46.4</v>
      </c>
      <c r="O19" s="64">
        <v>0</v>
      </c>
      <c r="P19" s="64">
        <v>0.36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1121</v>
      </c>
      <c r="B20" s="64">
        <v>2.74</v>
      </c>
      <c r="C20" s="64">
        <v>43.11</v>
      </c>
      <c r="D20" s="64">
        <v>78.3</v>
      </c>
      <c r="E20" s="64">
        <v>3.04</v>
      </c>
      <c r="F20" s="64">
        <v>7.88</v>
      </c>
      <c r="G20" s="64">
        <v>41.69</v>
      </c>
      <c r="H20" s="64">
        <v>11.86</v>
      </c>
      <c r="I20" s="64">
        <v>3.92</v>
      </c>
      <c r="J20" s="64">
        <v>0.99</v>
      </c>
      <c r="K20" s="64">
        <v>294.58</v>
      </c>
      <c r="L20" s="64">
        <v>24.53</v>
      </c>
      <c r="M20" s="64">
        <v>46.27</v>
      </c>
      <c r="N20" s="64">
        <v>46.1</v>
      </c>
      <c r="O20" s="64">
        <v>0</v>
      </c>
      <c r="P20" s="64">
        <v>0.36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1122</v>
      </c>
      <c r="B21" s="64">
        <v>2.88</v>
      </c>
      <c r="C21" s="64">
        <v>40.96</v>
      </c>
      <c r="D21" s="64">
        <v>73.959999999999994</v>
      </c>
      <c r="E21" s="64">
        <v>3.29</v>
      </c>
      <c r="F21" s="64">
        <v>8.0299999999999994</v>
      </c>
      <c r="G21" s="64">
        <v>41.69</v>
      </c>
      <c r="H21" s="64">
        <v>11.86</v>
      </c>
      <c r="I21" s="64">
        <v>4.0199999999999996</v>
      </c>
      <c r="J21" s="64">
        <v>0.71</v>
      </c>
      <c r="K21" s="64">
        <v>295.8</v>
      </c>
      <c r="L21" s="64">
        <v>24.37</v>
      </c>
      <c r="M21" s="64">
        <v>48.33</v>
      </c>
      <c r="N21" s="64">
        <v>46.4</v>
      </c>
      <c r="O21" s="64">
        <v>0</v>
      </c>
      <c r="P21" s="64">
        <v>0.33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1123</v>
      </c>
      <c r="B22" s="64">
        <v>1.85</v>
      </c>
      <c r="C22" s="64">
        <v>33.78</v>
      </c>
      <c r="D22" s="64">
        <v>61.82</v>
      </c>
      <c r="E22" s="64">
        <v>4.0199999999999996</v>
      </c>
      <c r="F22" s="64">
        <v>14.92</v>
      </c>
      <c r="G22" s="64">
        <v>41.69</v>
      </c>
      <c r="H22" s="64">
        <v>11.86</v>
      </c>
      <c r="I22" s="64">
        <v>4.03</v>
      </c>
      <c r="J22" s="64">
        <v>0.61</v>
      </c>
      <c r="K22" s="64">
        <v>210.73</v>
      </c>
      <c r="L22" s="64">
        <v>24.47</v>
      </c>
      <c r="M22" s="64">
        <v>47.65</v>
      </c>
      <c r="N22" s="64">
        <v>46</v>
      </c>
      <c r="O22" s="64">
        <v>0</v>
      </c>
      <c r="P22" s="64">
        <v>0.28000000000000003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1124</v>
      </c>
      <c r="B23" s="64">
        <v>1.34</v>
      </c>
      <c r="C23" s="64">
        <v>28.25</v>
      </c>
      <c r="D23" s="64">
        <v>52.03</v>
      </c>
      <c r="E23" s="64">
        <v>4.9800000000000004</v>
      </c>
      <c r="F23" s="64">
        <v>20.3</v>
      </c>
      <c r="G23" s="64">
        <v>38.17</v>
      </c>
      <c r="H23" s="64">
        <v>10.26</v>
      </c>
      <c r="I23" s="64">
        <v>4.05</v>
      </c>
      <c r="J23" s="64">
        <v>0.23</v>
      </c>
      <c r="K23" s="64">
        <v>127.94</v>
      </c>
      <c r="L23" s="64">
        <v>24.24</v>
      </c>
      <c r="M23" s="64">
        <v>48.13</v>
      </c>
      <c r="N23" s="64">
        <v>46.3</v>
      </c>
      <c r="O23" s="64">
        <v>0</v>
      </c>
      <c r="P23" s="64">
        <v>0.22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1125</v>
      </c>
      <c r="B24" s="64">
        <v>5.54</v>
      </c>
      <c r="C24" s="64">
        <v>35.590000000000003</v>
      </c>
      <c r="D24" s="64">
        <v>59.62</v>
      </c>
      <c r="E24" s="64">
        <v>5.16</v>
      </c>
      <c r="F24" s="64">
        <v>14.99</v>
      </c>
      <c r="G24" s="64">
        <v>34.32</v>
      </c>
      <c r="H24" s="64">
        <v>8.51</v>
      </c>
      <c r="I24" s="64">
        <v>4.01</v>
      </c>
      <c r="J24" s="64">
        <v>0.47</v>
      </c>
      <c r="K24" s="64">
        <v>312.58</v>
      </c>
      <c r="L24" s="64">
        <v>23.73</v>
      </c>
      <c r="M24" s="64">
        <v>51.57</v>
      </c>
      <c r="N24" s="64">
        <v>46.6</v>
      </c>
      <c r="O24" s="64">
        <v>0</v>
      </c>
      <c r="P24" s="64">
        <v>0.24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1126</v>
      </c>
      <c r="B25" s="64">
        <v>5.81</v>
      </c>
      <c r="C25" s="64">
        <v>36.86</v>
      </c>
      <c r="D25" s="64">
        <v>61.63</v>
      </c>
      <c r="E25" s="64">
        <v>5.12</v>
      </c>
      <c r="F25" s="64">
        <v>12.01</v>
      </c>
      <c r="G25" s="64">
        <v>34.32</v>
      </c>
      <c r="H25" s="64">
        <v>8.51</v>
      </c>
      <c r="I25" s="64">
        <v>4.0199999999999996</v>
      </c>
      <c r="J25" s="64">
        <v>0.97</v>
      </c>
      <c r="K25" s="64">
        <v>322.94</v>
      </c>
      <c r="L25" s="64">
        <v>23.47</v>
      </c>
      <c r="M25" s="64">
        <v>50.68</v>
      </c>
      <c r="N25" s="64">
        <v>45.8</v>
      </c>
      <c r="O25" s="64">
        <v>0</v>
      </c>
      <c r="P25" s="64">
        <v>0.3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1127</v>
      </c>
      <c r="B26" s="64">
        <v>4.8600000000000003</v>
      </c>
      <c r="C26" s="64">
        <v>38.03</v>
      </c>
      <c r="D26" s="64">
        <v>65.33</v>
      </c>
      <c r="E26" s="64">
        <v>6.12</v>
      </c>
      <c r="F26" s="64">
        <v>11.86</v>
      </c>
      <c r="G26" s="64">
        <v>34.32</v>
      </c>
      <c r="H26" s="64">
        <v>8.51</v>
      </c>
      <c r="I26" s="64">
        <v>4.0199999999999996</v>
      </c>
      <c r="J26" s="64">
        <v>0.86</v>
      </c>
      <c r="K26" s="64">
        <v>320.51</v>
      </c>
      <c r="L26" s="64">
        <v>23.43</v>
      </c>
      <c r="M26" s="64">
        <v>50.8</v>
      </c>
      <c r="N26" s="64">
        <v>46.1</v>
      </c>
      <c r="O26" s="64">
        <v>0</v>
      </c>
      <c r="P26" s="64">
        <v>0.38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1128</v>
      </c>
      <c r="B27" s="64">
        <v>10.4</v>
      </c>
      <c r="C27" s="64">
        <v>47.88</v>
      </c>
      <c r="D27" s="64">
        <v>75.680000000000007</v>
      </c>
      <c r="E27" s="64">
        <v>9.9</v>
      </c>
      <c r="F27" s="64">
        <v>13.2</v>
      </c>
      <c r="G27" s="64">
        <v>32.200000000000003</v>
      </c>
      <c r="H27" s="64">
        <v>9.82</v>
      </c>
      <c r="I27" s="64">
        <v>4.17</v>
      </c>
      <c r="J27" s="64">
        <v>0.45</v>
      </c>
      <c r="K27" s="64">
        <v>335.46</v>
      </c>
      <c r="L27" s="64">
        <v>23.34</v>
      </c>
      <c r="M27" s="64">
        <v>51.35</v>
      </c>
      <c r="N27" s="64">
        <v>46.5</v>
      </c>
      <c r="O27" s="64">
        <v>0</v>
      </c>
      <c r="P27" s="64">
        <v>0.59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1129</v>
      </c>
      <c r="B28" s="64">
        <v>10.48</v>
      </c>
      <c r="C28" s="64">
        <v>50</v>
      </c>
      <c r="D28" s="64">
        <v>79.61</v>
      </c>
      <c r="E28" s="64">
        <v>5.52</v>
      </c>
      <c r="F28" s="64">
        <v>8.32</v>
      </c>
      <c r="G28" s="64">
        <v>29.88</v>
      </c>
      <c r="H28" s="64">
        <v>11.25</v>
      </c>
      <c r="I28" s="64">
        <v>3.85</v>
      </c>
      <c r="J28" s="64">
        <v>0.76</v>
      </c>
      <c r="K28" s="64">
        <v>354.44</v>
      </c>
      <c r="L28" s="64">
        <v>23.18</v>
      </c>
      <c r="M28" s="64">
        <v>53.05</v>
      </c>
      <c r="N28" s="64">
        <v>46.3</v>
      </c>
      <c r="O28" s="64">
        <v>0</v>
      </c>
      <c r="P28" s="64">
        <v>0.39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1130</v>
      </c>
      <c r="B29" s="64">
        <v>7.92</v>
      </c>
      <c r="C29" s="64">
        <v>46.82</v>
      </c>
      <c r="D29" s="64">
        <v>77.459999999999994</v>
      </c>
      <c r="E29" s="64">
        <v>3.04</v>
      </c>
      <c r="F29" s="64">
        <v>7.05</v>
      </c>
      <c r="G29" s="64">
        <v>29.88</v>
      </c>
      <c r="H29" s="64">
        <v>11.25</v>
      </c>
      <c r="I29" s="64">
        <v>4.01</v>
      </c>
      <c r="J29" s="64">
        <v>0.64</v>
      </c>
      <c r="K29" s="64">
        <v>332.83</v>
      </c>
      <c r="L29" s="64">
        <v>22.85</v>
      </c>
      <c r="M29" s="64">
        <v>56.55</v>
      </c>
      <c r="N29" s="64">
        <v>46.4</v>
      </c>
      <c r="O29" s="64">
        <v>0</v>
      </c>
      <c r="P29" s="64">
        <v>0.37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1131</v>
      </c>
      <c r="B30" s="64">
        <v>10.87</v>
      </c>
      <c r="C30" s="64">
        <v>51.47</v>
      </c>
      <c r="D30" s="64">
        <v>81.84</v>
      </c>
      <c r="E30" s="64">
        <v>3.86</v>
      </c>
      <c r="F30" s="64">
        <v>7.87</v>
      </c>
      <c r="G30" s="64">
        <v>29.88</v>
      </c>
      <c r="H30" s="64">
        <v>11.25</v>
      </c>
      <c r="I30" s="64">
        <v>4.04</v>
      </c>
      <c r="J30" s="64">
        <v>0.18</v>
      </c>
      <c r="K30" s="64">
        <v>270.86</v>
      </c>
      <c r="L30" s="64">
        <v>22.59</v>
      </c>
      <c r="M30" s="64">
        <v>58.04</v>
      </c>
      <c r="N30" s="64">
        <v>46.4</v>
      </c>
      <c r="O30" s="64">
        <v>0</v>
      </c>
      <c r="P30" s="64">
        <v>0.38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1132</v>
      </c>
      <c r="B31" s="64">
        <v>8.99</v>
      </c>
      <c r="C31" s="64">
        <v>50.22</v>
      </c>
      <c r="D31" s="64">
        <v>82.32</v>
      </c>
      <c r="E31" s="64">
        <v>4.1500000000000004</v>
      </c>
      <c r="F31" s="64">
        <v>7.22</v>
      </c>
      <c r="G31" s="64">
        <v>34.200000000000003</v>
      </c>
      <c r="H31" s="64">
        <v>12.97</v>
      </c>
      <c r="I31" s="64">
        <v>3.87</v>
      </c>
      <c r="J31" s="64">
        <v>0.33</v>
      </c>
      <c r="K31" s="64">
        <v>199.77</v>
      </c>
      <c r="L31" s="64">
        <v>22.85</v>
      </c>
      <c r="M31" s="64">
        <v>56.12</v>
      </c>
      <c r="N31" s="64">
        <v>47.8</v>
      </c>
      <c r="O31" s="64">
        <v>0</v>
      </c>
      <c r="P31" s="64">
        <v>0.4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1133</v>
      </c>
      <c r="B32" s="64">
        <v>11.53</v>
      </c>
      <c r="C32" s="64">
        <v>52.45</v>
      </c>
      <c r="D32" s="64">
        <v>82.68</v>
      </c>
      <c r="E32" s="64">
        <v>3.65</v>
      </c>
      <c r="F32" s="64">
        <v>6.76</v>
      </c>
      <c r="G32" s="64">
        <v>38.909999999999997</v>
      </c>
      <c r="H32" s="64">
        <v>14.84</v>
      </c>
      <c r="I32" s="64">
        <v>3.76</v>
      </c>
      <c r="J32" s="64">
        <v>0.49</v>
      </c>
      <c r="K32" s="64">
        <v>306</v>
      </c>
      <c r="L32" s="64">
        <v>22.66</v>
      </c>
      <c r="M32" s="64">
        <v>58.43</v>
      </c>
      <c r="N32" s="64">
        <v>56.3</v>
      </c>
      <c r="O32" s="64">
        <v>0</v>
      </c>
      <c r="P32" s="64">
        <v>0.41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1134</v>
      </c>
      <c r="B33" s="64">
        <v>28.41</v>
      </c>
      <c r="C33" s="64">
        <v>68.150000000000006</v>
      </c>
      <c r="D33" s="64">
        <v>86.84</v>
      </c>
      <c r="E33" s="64">
        <v>3.04</v>
      </c>
      <c r="F33" s="64">
        <v>6.55</v>
      </c>
      <c r="G33" s="64">
        <v>38.909999999999997</v>
      </c>
      <c r="H33" s="64">
        <v>14.84</v>
      </c>
      <c r="I33" s="64">
        <v>4.1100000000000003</v>
      </c>
      <c r="J33" s="64">
        <v>0.18</v>
      </c>
      <c r="K33" s="64">
        <v>285.36</v>
      </c>
      <c r="L33" s="64">
        <v>22.63</v>
      </c>
      <c r="M33" s="64">
        <v>59.85</v>
      </c>
      <c r="N33" s="64">
        <v>74.900000000000006</v>
      </c>
      <c r="O33" s="64">
        <v>0</v>
      </c>
      <c r="P33" s="64">
        <v>0.51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1135</v>
      </c>
      <c r="B34" s="64">
        <v>19.57</v>
      </c>
      <c r="C34" s="64">
        <v>59.96</v>
      </c>
      <c r="D34" s="64">
        <v>84.71</v>
      </c>
      <c r="E34" s="64">
        <v>3.28</v>
      </c>
      <c r="F34" s="64">
        <v>6.75</v>
      </c>
      <c r="G34" s="64">
        <v>38.909999999999997</v>
      </c>
      <c r="H34" s="64">
        <v>14.84</v>
      </c>
      <c r="I34" s="64">
        <v>3.91</v>
      </c>
      <c r="J34" s="64">
        <v>0.33</v>
      </c>
      <c r="K34" s="64">
        <v>252.03</v>
      </c>
      <c r="L34" s="64">
        <v>23.64</v>
      </c>
      <c r="M34" s="64">
        <v>54.88</v>
      </c>
      <c r="N34" s="64">
        <v>99.3</v>
      </c>
      <c r="O34" s="64">
        <v>0</v>
      </c>
      <c r="P34" s="64">
        <v>0.48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1136</v>
      </c>
      <c r="B35" s="64">
        <v>22.46</v>
      </c>
      <c r="C35" s="64">
        <v>65.61</v>
      </c>
      <c r="D35" s="64">
        <v>91.1</v>
      </c>
      <c r="E35" s="64">
        <v>3.04</v>
      </c>
      <c r="F35" s="64">
        <v>6.79</v>
      </c>
      <c r="G35" s="64">
        <v>43.33</v>
      </c>
      <c r="H35" s="64">
        <v>15.14</v>
      </c>
      <c r="I35" s="64">
        <v>3.9</v>
      </c>
      <c r="J35" s="64">
        <v>0.28999999999999998</v>
      </c>
      <c r="K35" s="64">
        <v>179.38</v>
      </c>
      <c r="L35" s="64">
        <v>24.65</v>
      </c>
      <c r="M35" s="64">
        <v>52.47</v>
      </c>
      <c r="N35" s="64">
        <v>143.6</v>
      </c>
      <c r="O35" s="64">
        <v>0</v>
      </c>
      <c r="P35" s="64">
        <v>0.46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1137</v>
      </c>
      <c r="B36" s="64">
        <v>19.16</v>
      </c>
      <c r="C36" s="64">
        <v>61.07</v>
      </c>
      <c r="D36" s="64">
        <v>87.49</v>
      </c>
      <c r="E36" s="64">
        <v>3.54</v>
      </c>
      <c r="F36" s="64">
        <v>7.58</v>
      </c>
      <c r="G36" s="64">
        <v>48.16</v>
      </c>
      <c r="H36" s="64">
        <v>15.46</v>
      </c>
      <c r="I36" s="64">
        <v>3.97</v>
      </c>
      <c r="J36" s="64">
        <v>0.27</v>
      </c>
      <c r="K36" s="64">
        <v>236.28</v>
      </c>
      <c r="L36" s="64">
        <v>26.38</v>
      </c>
      <c r="M36" s="64">
        <v>46.3</v>
      </c>
      <c r="N36" s="64">
        <v>197.6</v>
      </c>
      <c r="O36" s="64">
        <v>0</v>
      </c>
      <c r="P36" s="64">
        <v>0.46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1138</v>
      </c>
      <c r="B37" s="64">
        <v>18.47</v>
      </c>
      <c r="C37" s="64">
        <v>59.02</v>
      </c>
      <c r="D37" s="64">
        <v>84.61</v>
      </c>
      <c r="E37" s="64">
        <v>3.22</v>
      </c>
      <c r="F37" s="64">
        <v>7.82</v>
      </c>
      <c r="G37" s="64">
        <v>48.16</v>
      </c>
      <c r="H37" s="64">
        <v>15.46</v>
      </c>
      <c r="I37" s="64">
        <v>4.01</v>
      </c>
      <c r="J37" s="64">
        <v>0.45</v>
      </c>
      <c r="K37" s="64">
        <v>275.70999999999998</v>
      </c>
      <c r="L37" s="64">
        <v>27.94</v>
      </c>
      <c r="M37" s="64">
        <v>40.11</v>
      </c>
      <c r="N37" s="64">
        <v>259.10000000000002</v>
      </c>
      <c r="O37" s="64">
        <v>0</v>
      </c>
      <c r="P37" s="64">
        <v>0.43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1139</v>
      </c>
      <c r="B38" s="64">
        <v>15.58</v>
      </c>
      <c r="C38" s="64">
        <v>55.74</v>
      </c>
      <c r="D38" s="64">
        <v>82.77</v>
      </c>
      <c r="E38" s="64">
        <v>3.62</v>
      </c>
      <c r="F38" s="64">
        <v>10.45</v>
      </c>
      <c r="G38" s="64">
        <v>48.16</v>
      </c>
      <c r="H38" s="64">
        <v>15.46</v>
      </c>
      <c r="I38" s="64">
        <v>4.0599999999999996</v>
      </c>
      <c r="J38" s="64">
        <v>0.64</v>
      </c>
      <c r="K38" s="64">
        <v>282.12</v>
      </c>
      <c r="L38" s="64">
        <v>29.88</v>
      </c>
      <c r="M38" s="64">
        <v>36.89</v>
      </c>
      <c r="N38" s="64">
        <v>316.2</v>
      </c>
      <c r="O38" s="64">
        <v>0</v>
      </c>
      <c r="P38" s="64">
        <v>0.46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1140</v>
      </c>
      <c r="B39" s="64">
        <v>18.11</v>
      </c>
      <c r="C39" s="64">
        <v>57.14</v>
      </c>
      <c r="D39" s="64">
        <v>81.569999999999993</v>
      </c>
      <c r="E39" s="64">
        <v>4.6100000000000003</v>
      </c>
      <c r="F39" s="64">
        <v>11.39</v>
      </c>
      <c r="G39" s="64">
        <v>49.42</v>
      </c>
      <c r="H39" s="64">
        <v>16.61</v>
      </c>
      <c r="I39" s="64">
        <v>3.97</v>
      </c>
      <c r="J39" s="64">
        <v>0.45</v>
      </c>
      <c r="K39" s="64">
        <v>295.32</v>
      </c>
      <c r="L39" s="64">
        <v>30.65</v>
      </c>
      <c r="M39" s="64">
        <v>35.65</v>
      </c>
      <c r="N39" s="64">
        <v>374.6</v>
      </c>
      <c r="O39" s="64">
        <v>0</v>
      </c>
      <c r="P39" s="64">
        <v>0.49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1141</v>
      </c>
      <c r="B40" s="64">
        <v>19.2</v>
      </c>
      <c r="C40" s="64">
        <v>60.29</v>
      </c>
      <c r="D40" s="64">
        <v>85.93</v>
      </c>
      <c r="E40" s="64">
        <v>4.4800000000000004</v>
      </c>
      <c r="F40" s="64">
        <v>11.32</v>
      </c>
      <c r="G40" s="64">
        <v>50.81</v>
      </c>
      <c r="H40" s="64">
        <v>17.86</v>
      </c>
      <c r="I40" s="64">
        <v>3.92</v>
      </c>
      <c r="J40" s="64">
        <v>0.54</v>
      </c>
      <c r="K40" s="64">
        <v>316.58999999999997</v>
      </c>
      <c r="L40" s="64">
        <v>32.61</v>
      </c>
      <c r="M40" s="64">
        <v>31.65</v>
      </c>
      <c r="N40" s="64">
        <v>429.7</v>
      </c>
      <c r="O40" s="64">
        <v>0</v>
      </c>
      <c r="P40" s="64">
        <v>0.48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1142</v>
      </c>
      <c r="B41" s="64">
        <v>12.48</v>
      </c>
      <c r="C41" s="64">
        <v>48.83</v>
      </c>
      <c r="D41" s="64">
        <v>74.31</v>
      </c>
      <c r="E41" s="64">
        <v>4.21</v>
      </c>
      <c r="F41" s="64">
        <v>10.38</v>
      </c>
      <c r="G41" s="64">
        <v>50.81</v>
      </c>
      <c r="H41" s="64">
        <v>17.86</v>
      </c>
      <c r="I41" s="64">
        <v>4.18</v>
      </c>
      <c r="J41" s="64">
        <v>0.66</v>
      </c>
      <c r="K41" s="64">
        <v>179.75</v>
      </c>
      <c r="L41" s="64">
        <v>30.28</v>
      </c>
      <c r="M41" s="64">
        <v>35.119999999999997</v>
      </c>
      <c r="N41" s="64">
        <v>495.1</v>
      </c>
      <c r="O41" s="64">
        <v>0</v>
      </c>
      <c r="P41" s="64">
        <v>0.43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1143</v>
      </c>
      <c r="B42" s="64">
        <v>10.3</v>
      </c>
      <c r="C42" s="64">
        <v>45.54</v>
      </c>
      <c r="D42" s="64">
        <v>71.349999999999994</v>
      </c>
      <c r="E42" s="64">
        <v>3.93</v>
      </c>
      <c r="F42" s="64">
        <v>12.07</v>
      </c>
      <c r="G42" s="64">
        <v>50.81</v>
      </c>
      <c r="H42" s="64">
        <v>17.86</v>
      </c>
      <c r="I42" s="64">
        <v>4.0199999999999996</v>
      </c>
      <c r="J42" s="64">
        <v>1</v>
      </c>
      <c r="K42" s="64">
        <v>161.97999999999999</v>
      </c>
      <c r="L42" s="64">
        <v>30.17</v>
      </c>
      <c r="M42" s="64">
        <v>35.36</v>
      </c>
      <c r="N42" s="64">
        <v>548</v>
      </c>
      <c r="O42" s="64">
        <v>0</v>
      </c>
      <c r="P42" s="64">
        <v>0.4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1144</v>
      </c>
      <c r="B43" s="64">
        <v>9.8800000000000008</v>
      </c>
      <c r="C43" s="64">
        <v>46.36</v>
      </c>
      <c r="D43" s="64">
        <v>73.569999999999993</v>
      </c>
      <c r="E43" s="64">
        <v>4.55</v>
      </c>
      <c r="F43" s="64">
        <v>12.16</v>
      </c>
      <c r="G43" s="64">
        <v>48.21</v>
      </c>
      <c r="H43" s="64">
        <v>15.13</v>
      </c>
      <c r="I43" s="64">
        <v>4.1399999999999997</v>
      </c>
      <c r="J43" s="64">
        <v>0.61</v>
      </c>
      <c r="K43" s="64">
        <v>192.1</v>
      </c>
      <c r="L43" s="64">
        <v>30.89</v>
      </c>
      <c r="M43" s="64">
        <v>33.1</v>
      </c>
      <c r="N43" s="64">
        <v>605.79999999999995</v>
      </c>
      <c r="O43" s="64">
        <v>0</v>
      </c>
      <c r="P43" s="64">
        <v>0.4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1145</v>
      </c>
      <c r="B44" s="64">
        <v>17.690000000000001</v>
      </c>
      <c r="C44" s="64">
        <v>57.53</v>
      </c>
      <c r="D44" s="64">
        <v>82.96</v>
      </c>
      <c r="E44" s="64">
        <v>4.79</v>
      </c>
      <c r="F44" s="64">
        <v>10.76</v>
      </c>
      <c r="G44" s="64">
        <v>45.38</v>
      </c>
      <c r="H44" s="64">
        <v>12.15</v>
      </c>
      <c r="I44" s="64">
        <v>4.0599999999999996</v>
      </c>
      <c r="J44" s="64">
        <v>0.46</v>
      </c>
      <c r="K44" s="64">
        <v>167.91</v>
      </c>
      <c r="L44" s="64">
        <v>31.87</v>
      </c>
      <c r="M44" s="64">
        <v>32</v>
      </c>
      <c r="N44" s="64">
        <v>654.9</v>
      </c>
      <c r="O44" s="64">
        <v>0</v>
      </c>
      <c r="P44" s="64">
        <v>0.41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1146</v>
      </c>
      <c r="B45" s="64">
        <v>18.22</v>
      </c>
      <c r="C45" s="64">
        <v>59.65</v>
      </c>
      <c r="D45" s="64">
        <v>86.2</v>
      </c>
      <c r="E45" s="64">
        <v>5.13</v>
      </c>
      <c r="F45" s="64">
        <v>11.99</v>
      </c>
      <c r="G45" s="64">
        <v>45.38</v>
      </c>
      <c r="H45" s="64">
        <v>12.15</v>
      </c>
      <c r="I45" s="64">
        <v>4.04</v>
      </c>
      <c r="J45" s="64">
        <v>0.51</v>
      </c>
      <c r="K45" s="64">
        <v>296.55</v>
      </c>
      <c r="L45" s="64">
        <v>34.770000000000003</v>
      </c>
      <c r="M45" s="64">
        <v>27.7</v>
      </c>
      <c r="N45" s="64">
        <v>696.3</v>
      </c>
      <c r="O45" s="64">
        <v>0</v>
      </c>
      <c r="P45" s="64">
        <v>0.46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1147</v>
      </c>
      <c r="B46" s="64">
        <v>11.93</v>
      </c>
      <c r="C46" s="64">
        <v>52.4</v>
      </c>
      <c r="D46" s="64">
        <v>81.98</v>
      </c>
      <c r="E46" s="64">
        <v>3.64</v>
      </c>
      <c r="F46" s="64">
        <v>8.93</v>
      </c>
      <c r="G46" s="64">
        <v>45.38</v>
      </c>
      <c r="H46" s="64">
        <v>12.15</v>
      </c>
      <c r="I46" s="64">
        <v>4.3099999999999996</v>
      </c>
      <c r="J46" s="64">
        <v>1.03</v>
      </c>
      <c r="K46" s="64">
        <v>161.78</v>
      </c>
      <c r="L46" s="64">
        <v>32.71</v>
      </c>
      <c r="M46" s="64">
        <v>29.42</v>
      </c>
      <c r="N46" s="64">
        <v>757.9</v>
      </c>
      <c r="O46" s="64">
        <v>0</v>
      </c>
      <c r="P46" s="64">
        <v>0.43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1148</v>
      </c>
      <c r="B47" s="64">
        <v>8.6999999999999993</v>
      </c>
      <c r="C47" s="64">
        <v>50.94</v>
      </c>
      <c r="D47" s="64">
        <v>84.15</v>
      </c>
      <c r="E47" s="64">
        <v>3.46</v>
      </c>
      <c r="F47" s="64">
        <v>8.35</v>
      </c>
      <c r="G47" s="64">
        <v>43.51</v>
      </c>
      <c r="H47" s="64">
        <v>11.88</v>
      </c>
      <c r="I47" s="64">
        <v>3.91</v>
      </c>
      <c r="J47" s="64">
        <v>1.03</v>
      </c>
      <c r="K47" s="64">
        <v>167.87</v>
      </c>
      <c r="L47" s="64">
        <v>32.21</v>
      </c>
      <c r="M47" s="64">
        <v>29.87</v>
      </c>
      <c r="N47" s="64">
        <v>798.4</v>
      </c>
      <c r="O47" s="64">
        <v>0</v>
      </c>
      <c r="P47" s="64">
        <v>0.42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1149</v>
      </c>
      <c r="B48" s="64">
        <v>5.04</v>
      </c>
      <c r="C48" s="64">
        <v>46.57</v>
      </c>
      <c r="D48" s="64">
        <v>81.39</v>
      </c>
      <c r="E48" s="64">
        <v>3.17</v>
      </c>
      <c r="F48" s="64">
        <v>8.77</v>
      </c>
      <c r="G48" s="64">
        <v>41.47</v>
      </c>
      <c r="H48" s="64">
        <v>11.59</v>
      </c>
      <c r="I48" s="64">
        <v>3.99</v>
      </c>
      <c r="J48" s="64">
        <v>0.96</v>
      </c>
      <c r="K48" s="64">
        <v>170.2</v>
      </c>
      <c r="L48" s="64">
        <v>32.82</v>
      </c>
      <c r="M48" s="64">
        <v>29.09</v>
      </c>
      <c r="N48" s="64">
        <v>846.5</v>
      </c>
      <c r="O48" s="64">
        <v>0</v>
      </c>
      <c r="P48" s="64">
        <v>0.4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1150</v>
      </c>
      <c r="B49" s="64">
        <v>3.91</v>
      </c>
      <c r="C49" s="64">
        <v>46.73</v>
      </c>
      <c r="D49" s="64">
        <v>83.43</v>
      </c>
      <c r="E49" s="64">
        <v>2.94</v>
      </c>
      <c r="F49" s="64">
        <v>9.51</v>
      </c>
      <c r="G49" s="64">
        <v>41.47</v>
      </c>
      <c r="H49" s="64">
        <v>11.59</v>
      </c>
      <c r="I49" s="64">
        <v>4.07</v>
      </c>
      <c r="J49" s="64">
        <v>1.23</v>
      </c>
      <c r="K49" s="64">
        <v>154.46</v>
      </c>
      <c r="L49" s="64">
        <v>32.53</v>
      </c>
      <c r="M49" s="64">
        <v>28.99</v>
      </c>
      <c r="N49" s="64">
        <v>881</v>
      </c>
      <c r="O49" s="64">
        <v>0</v>
      </c>
      <c r="P49" s="64">
        <v>0.4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1151</v>
      </c>
      <c r="B50" s="64">
        <v>3.31</v>
      </c>
      <c r="C50" s="64">
        <v>45.75</v>
      </c>
      <c r="D50" s="64">
        <v>82.49</v>
      </c>
      <c r="E50" s="64">
        <v>2.64</v>
      </c>
      <c r="F50" s="64">
        <v>9.1300000000000008</v>
      </c>
      <c r="G50" s="64">
        <v>41.47</v>
      </c>
      <c r="H50" s="64">
        <v>11.59</v>
      </c>
      <c r="I50" s="64">
        <v>4.05</v>
      </c>
      <c r="J50" s="64">
        <v>2.0099999999999998</v>
      </c>
      <c r="K50" s="64">
        <v>150.56</v>
      </c>
      <c r="L50" s="64">
        <v>32.74</v>
      </c>
      <c r="M50" s="64">
        <v>29.23</v>
      </c>
      <c r="N50" s="64">
        <v>924</v>
      </c>
      <c r="O50" s="64">
        <v>0</v>
      </c>
      <c r="P50" s="64">
        <v>0.39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1152</v>
      </c>
      <c r="B51" s="64">
        <v>1.96</v>
      </c>
      <c r="C51" s="64">
        <v>43.62</v>
      </c>
      <c r="D51" s="64">
        <v>80.48</v>
      </c>
      <c r="E51" s="64">
        <v>2.82</v>
      </c>
      <c r="F51" s="64">
        <v>11.6</v>
      </c>
      <c r="G51" s="64">
        <v>39.369999999999997</v>
      </c>
      <c r="H51" s="64">
        <v>10.52</v>
      </c>
      <c r="I51" s="64">
        <v>4.0199999999999996</v>
      </c>
      <c r="J51" s="64">
        <v>1.3</v>
      </c>
      <c r="K51" s="64">
        <v>160.44</v>
      </c>
      <c r="L51" s="64">
        <v>32.71</v>
      </c>
      <c r="M51" s="64">
        <v>30.38</v>
      </c>
      <c r="N51" s="64">
        <v>931.2</v>
      </c>
      <c r="O51" s="64">
        <v>0</v>
      </c>
      <c r="P51" s="64">
        <v>0.38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1153</v>
      </c>
      <c r="B52" s="64">
        <v>1.51</v>
      </c>
      <c r="C52" s="64">
        <v>41.84</v>
      </c>
      <c r="D52" s="64">
        <v>77.75</v>
      </c>
      <c r="E52" s="64">
        <v>3.24</v>
      </c>
      <c r="F52" s="64">
        <v>11.09</v>
      </c>
      <c r="G52" s="64">
        <v>37.08</v>
      </c>
      <c r="H52" s="64">
        <v>9.35</v>
      </c>
      <c r="I52" s="64">
        <v>4.0599999999999996</v>
      </c>
      <c r="J52" s="64">
        <v>1.01</v>
      </c>
      <c r="K52" s="64">
        <v>155.87</v>
      </c>
      <c r="L52" s="64">
        <v>33.72</v>
      </c>
      <c r="M52" s="64">
        <v>29.73</v>
      </c>
      <c r="N52" s="64">
        <v>937.3</v>
      </c>
      <c r="O52" s="64">
        <v>0</v>
      </c>
      <c r="P52" s="64">
        <v>0.37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1154</v>
      </c>
      <c r="B53" s="64">
        <v>4.0199999999999996</v>
      </c>
      <c r="C53" s="64">
        <v>44.51</v>
      </c>
      <c r="D53" s="64">
        <v>79.02</v>
      </c>
      <c r="E53" s="64">
        <v>3.7</v>
      </c>
      <c r="F53" s="64">
        <v>12.36</v>
      </c>
      <c r="G53" s="64">
        <v>37.08</v>
      </c>
      <c r="H53" s="64">
        <v>9.35</v>
      </c>
      <c r="I53" s="64">
        <v>4.04</v>
      </c>
      <c r="J53" s="64">
        <v>0.44</v>
      </c>
      <c r="K53" s="64">
        <v>275.61</v>
      </c>
      <c r="L53" s="64">
        <v>35.5</v>
      </c>
      <c r="M53" s="64">
        <v>27.6</v>
      </c>
      <c r="N53" s="64">
        <v>943.5</v>
      </c>
      <c r="O53" s="64">
        <v>0</v>
      </c>
      <c r="P53" s="64">
        <v>0.38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1155</v>
      </c>
      <c r="B54" s="64">
        <v>1.64</v>
      </c>
      <c r="C54" s="64">
        <v>41.99</v>
      </c>
      <c r="D54" s="64">
        <v>77.86</v>
      </c>
      <c r="E54" s="64">
        <v>2.71</v>
      </c>
      <c r="F54" s="64">
        <v>9.3800000000000008</v>
      </c>
      <c r="G54" s="64">
        <v>37.08</v>
      </c>
      <c r="H54" s="64">
        <v>9.35</v>
      </c>
      <c r="I54" s="64">
        <v>4.05</v>
      </c>
      <c r="J54" s="64">
        <v>0.53</v>
      </c>
      <c r="K54" s="64">
        <v>222.2</v>
      </c>
      <c r="L54" s="64">
        <v>35.5</v>
      </c>
      <c r="M54" s="64">
        <v>27.77</v>
      </c>
      <c r="N54" s="64">
        <v>965.9</v>
      </c>
      <c r="O54" s="64">
        <v>0</v>
      </c>
      <c r="P54" s="64">
        <v>0.38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1156</v>
      </c>
      <c r="B55" s="64">
        <v>3.48</v>
      </c>
      <c r="C55" s="64">
        <v>45.08</v>
      </c>
      <c r="D55" s="64">
        <v>80.94</v>
      </c>
      <c r="E55" s="64">
        <v>2.86</v>
      </c>
      <c r="F55" s="64">
        <v>13.69</v>
      </c>
      <c r="G55" s="64">
        <v>36.72</v>
      </c>
      <c r="H55" s="64">
        <v>10.210000000000001</v>
      </c>
      <c r="I55" s="64">
        <v>4.12</v>
      </c>
      <c r="J55" s="64">
        <v>0.44</v>
      </c>
      <c r="K55" s="64">
        <v>278.27</v>
      </c>
      <c r="L55" s="64">
        <v>37.22</v>
      </c>
      <c r="M55" s="64">
        <v>25.38</v>
      </c>
      <c r="N55" s="64">
        <v>975.7</v>
      </c>
      <c r="O55" s="64">
        <v>0</v>
      </c>
      <c r="P55" s="64">
        <v>0.4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1157</v>
      </c>
      <c r="B56" s="64">
        <v>3.91</v>
      </c>
      <c r="C56" s="64">
        <v>38.21</v>
      </c>
      <c r="D56" s="64">
        <v>67.14</v>
      </c>
      <c r="E56" s="64">
        <v>4.21</v>
      </c>
      <c r="F56" s="64">
        <v>24.38</v>
      </c>
      <c r="G56" s="64">
        <v>36.33</v>
      </c>
      <c r="H56" s="64">
        <v>11.15</v>
      </c>
      <c r="I56" s="64">
        <v>4.03</v>
      </c>
      <c r="J56" s="64">
        <v>0.16</v>
      </c>
      <c r="K56" s="64">
        <v>109.64</v>
      </c>
      <c r="L56" s="64">
        <v>36.520000000000003</v>
      </c>
      <c r="M56" s="64">
        <v>25.97</v>
      </c>
      <c r="N56" s="64">
        <v>970.5</v>
      </c>
      <c r="O56" s="64">
        <v>0</v>
      </c>
      <c r="P56" s="64">
        <v>0.41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1158</v>
      </c>
      <c r="B57" s="64">
        <v>1.8</v>
      </c>
      <c r="C57" s="64">
        <v>39.979999999999997</v>
      </c>
      <c r="D57" s="64">
        <v>73.760000000000005</v>
      </c>
      <c r="E57" s="64">
        <v>3.3</v>
      </c>
      <c r="F57" s="64">
        <v>16.59</v>
      </c>
      <c r="G57" s="64">
        <v>36.33</v>
      </c>
      <c r="H57" s="64">
        <v>11.15</v>
      </c>
      <c r="I57" s="64">
        <v>4.16</v>
      </c>
      <c r="J57" s="64">
        <v>0.49</v>
      </c>
      <c r="K57" s="64">
        <v>243.91</v>
      </c>
      <c r="L57" s="64">
        <v>35.979999999999997</v>
      </c>
      <c r="M57" s="64">
        <v>26.51</v>
      </c>
      <c r="N57" s="64">
        <v>961.9</v>
      </c>
      <c r="O57" s="64">
        <v>0</v>
      </c>
      <c r="P57" s="64">
        <v>0.39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1159</v>
      </c>
      <c r="B58" s="64">
        <v>5.33</v>
      </c>
      <c r="C58" s="64">
        <v>42.6</v>
      </c>
      <c r="D58" s="64">
        <v>73.36</v>
      </c>
      <c r="E58" s="64">
        <v>5.32</v>
      </c>
      <c r="F58" s="64">
        <v>24.45</v>
      </c>
      <c r="G58" s="64">
        <v>36.33</v>
      </c>
      <c r="H58" s="64">
        <v>11.15</v>
      </c>
      <c r="I58" s="64">
        <v>3.94</v>
      </c>
      <c r="J58" s="64">
        <v>0.94</v>
      </c>
      <c r="K58" s="64">
        <v>326.22000000000003</v>
      </c>
      <c r="L58" s="64">
        <v>38.06</v>
      </c>
      <c r="M58" s="64">
        <v>24.52</v>
      </c>
      <c r="N58" s="64">
        <v>941.3</v>
      </c>
      <c r="O58" s="64">
        <v>0</v>
      </c>
      <c r="P58" s="64">
        <v>0.46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1160</v>
      </c>
      <c r="B59" s="64">
        <v>3.12</v>
      </c>
      <c r="C59" s="64">
        <v>38.119999999999997</v>
      </c>
      <c r="D59" s="64">
        <v>68.17</v>
      </c>
      <c r="E59" s="64">
        <v>7.98</v>
      </c>
      <c r="F59" s="64">
        <v>23.81</v>
      </c>
      <c r="G59" s="64">
        <v>37.69</v>
      </c>
      <c r="H59" s="64">
        <v>11.18</v>
      </c>
      <c r="I59" s="64">
        <v>3.82</v>
      </c>
      <c r="J59" s="64">
        <v>0.86</v>
      </c>
      <c r="K59" s="64">
        <v>316.52999999999997</v>
      </c>
      <c r="L59" s="64">
        <v>39.18</v>
      </c>
      <c r="M59" s="64">
        <v>22.02</v>
      </c>
      <c r="N59" s="64">
        <v>901.2</v>
      </c>
      <c r="O59" s="64">
        <v>0</v>
      </c>
      <c r="P59" s="64">
        <v>0.48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1161</v>
      </c>
      <c r="B60" s="64">
        <v>2.25</v>
      </c>
      <c r="C60" s="64">
        <v>39.46</v>
      </c>
      <c r="D60" s="64">
        <v>72.08</v>
      </c>
      <c r="E60" s="64">
        <v>8.3699999999999992</v>
      </c>
      <c r="F60" s="64">
        <v>24.94</v>
      </c>
      <c r="G60" s="64">
        <v>39.159999999999997</v>
      </c>
      <c r="H60" s="64">
        <v>11.22</v>
      </c>
      <c r="I60" s="64">
        <v>4.03</v>
      </c>
      <c r="J60" s="64">
        <v>0.72</v>
      </c>
      <c r="K60" s="64">
        <v>297.45</v>
      </c>
      <c r="L60" s="64">
        <v>39.090000000000003</v>
      </c>
      <c r="M60" s="64">
        <v>21.41</v>
      </c>
      <c r="N60" s="64">
        <v>893.7</v>
      </c>
      <c r="O60" s="64">
        <v>0</v>
      </c>
      <c r="P60" s="64">
        <v>0.51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1162</v>
      </c>
      <c r="B61" s="64">
        <v>3.21</v>
      </c>
      <c r="C61" s="64">
        <v>44.81</v>
      </c>
      <c r="D61" s="64">
        <v>80.83</v>
      </c>
      <c r="E61" s="64">
        <v>11.52</v>
      </c>
      <c r="F61" s="64">
        <v>28.43</v>
      </c>
      <c r="G61" s="64">
        <v>39.159999999999997</v>
      </c>
      <c r="H61" s="64">
        <v>11.22</v>
      </c>
      <c r="I61" s="64">
        <v>3.98</v>
      </c>
      <c r="J61" s="64">
        <v>0.55000000000000004</v>
      </c>
      <c r="K61" s="64">
        <v>298.54000000000002</v>
      </c>
      <c r="L61" s="64">
        <v>39.19</v>
      </c>
      <c r="M61" s="64">
        <v>20.77</v>
      </c>
      <c r="N61" s="64">
        <v>877.8</v>
      </c>
      <c r="O61" s="64">
        <v>0</v>
      </c>
      <c r="P61" s="64">
        <v>0.57999999999999996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1163</v>
      </c>
      <c r="B62" s="64">
        <v>1.65</v>
      </c>
      <c r="C62" s="64">
        <v>38.869999999999997</v>
      </c>
      <c r="D62" s="64">
        <v>71.86</v>
      </c>
      <c r="E62" s="64">
        <v>10.43</v>
      </c>
      <c r="F62" s="64">
        <v>23.79</v>
      </c>
      <c r="G62" s="64">
        <v>39.159999999999997</v>
      </c>
      <c r="H62" s="64">
        <v>11.22</v>
      </c>
      <c r="I62" s="64">
        <v>4.09</v>
      </c>
      <c r="J62" s="64">
        <v>0.35</v>
      </c>
      <c r="K62" s="64">
        <v>231.99</v>
      </c>
      <c r="L62" s="64">
        <v>38.85</v>
      </c>
      <c r="M62" s="64">
        <v>20.350000000000001</v>
      </c>
      <c r="N62" s="64">
        <v>851.2</v>
      </c>
      <c r="O62" s="64">
        <v>0</v>
      </c>
      <c r="P62" s="64">
        <v>0.63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1164</v>
      </c>
      <c r="B63" s="64">
        <v>3.29</v>
      </c>
      <c r="C63" s="64">
        <v>48</v>
      </c>
      <c r="D63" s="64">
        <v>86.83</v>
      </c>
      <c r="E63" s="64">
        <v>3.57</v>
      </c>
      <c r="F63" s="64">
        <v>12.03</v>
      </c>
      <c r="G63" s="64">
        <v>39.299999999999997</v>
      </c>
      <c r="H63" s="64">
        <v>11.58</v>
      </c>
      <c r="I63" s="64">
        <v>4.0999999999999996</v>
      </c>
      <c r="J63" s="64">
        <v>0.87</v>
      </c>
      <c r="K63" s="64">
        <v>282.08999999999997</v>
      </c>
      <c r="L63" s="64">
        <v>39.32</v>
      </c>
      <c r="M63" s="64">
        <v>19.53</v>
      </c>
      <c r="N63" s="64">
        <v>831.2</v>
      </c>
      <c r="O63" s="64">
        <v>0</v>
      </c>
      <c r="P63" s="64">
        <v>0.54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1165</v>
      </c>
      <c r="B64" s="64">
        <v>1.95</v>
      </c>
      <c r="C64" s="64">
        <v>40.72</v>
      </c>
      <c r="D64" s="64">
        <v>74.94</v>
      </c>
      <c r="E64" s="64">
        <v>4.6500000000000004</v>
      </c>
      <c r="F64" s="64">
        <v>17.86</v>
      </c>
      <c r="G64" s="64">
        <v>39.450000000000003</v>
      </c>
      <c r="H64" s="64">
        <v>11.98</v>
      </c>
      <c r="I64" s="64">
        <v>4.03</v>
      </c>
      <c r="J64" s="64">
        <v>0.86</v>
      </c>
      <c r="K64" s="64">
        <v>281.74</v>
      </c>
      <c r="L64" s="64">
        <v>38.44</v>
      </c>
      <c r="M64" s="64">
        <v>20.71</v>
      </c>
      <c r="N64" s="64">
        <v>777.7</v>
      </c>
      <c r="O64" s="64">
        <v>0</v>
      </c>
      <c r="P64" s="64">
        <v>0.51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1166</v>
      </c>
      <c r="B65" s="64">
        <v>1.63</v>
      </c>
      <c r="C65" s="64">
        <v>37.18</v>
      </c>
      <c r="D65" s="64">
        <v>68.67</v>
      </c>
      <c r="E65" s="64">
        <v>5.33</v>
      </c>
      <c r="F65" s="64">
        <v>20.99</v>
      </c>
      <c r="G65" s="64">
        <v>39.450000000000003</v>
      </c>
      <c r="H65" s="64">
        <v>11.98</v>
      </c>
      <c r="I65" s="64">
        <v>4.0599999999999996</v>
      </c>
      <c r="J65" s="64">
        <v>0.44</v>
      </c>
      <c r="K65" s="64">
        <v>238.01</v>
      </c>
      <c r="L65" s="64">
        <v>37.78</v>
      </c>
      <c r="M65" s="64">
        <v>21.24</v>
      </c>
      <c r="N65" s="64">
        <v>571.4</v>
      </c>
      <c r="O65" s="64">
        <v>0</v>
      </c>
      <c r="P65" s="64">
        <v>0.5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1167</v>
      </c>
      <c r="B66" s="64">
        <v>3.76</v>
      </c>
      <c r="C66" s="64">
        <v>40.28</v>
      </c>
      <c r="D66" s="64">
        <v>71.33</v>
      </c>
      <c r="E66" s="64">
        <v>7.49</v>
      </c>
      <c r="F66" s="64">
        <v>23.29</v>
      </c>
      <c r="G66" s="64">
        <v>39.450000000000003</v>
      </c>
      <c r="H66" s="64">
        <v>11.98</v>
      </c>
      <c r="I66" s="64">
        <v>3.85</v>
      </c>
      <c r="J66" s="64">
        <v>1.26</v>
      </c>
      <c r="K66" s="64">
        <v>319.20999999999998</v>
      </c>
      <c r="L66" s="64">
        <v>39.049999999999997</v>
      </c>
      <c r="M66" s="64">
        <v>20.68</v>
      </c>
      <c r="N66" s="64">
        <v>490.6</v>
      </c>
      <c r="O66" s="64">
        <v>0</v>
      </c>
      <c r="P66" s="64">
        <v>0.52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1168</v>
      </c>
      <c r="B67" s="64">
        <v>4.29</v>
      </c>
      <c r="C67" s="64">
        <v>46.66</v>
      </c>
      <c r="D67" s="64">
        <v>82.72</v>
      </c>
      <c r="E67" s="64">
        <v>4.96</v>
      </c>
      <c r="F67" s="64">
        <v>19.04</v>
      </c>
      <c r="G67" s="64">
        <v>39.75</v>
      </c>
      <c r="H67" s="64">
        <v>12.1</v>
      </c>
      <c r="I67" s="64">
        <v>4.07</v>
      </c>
      <c r="J67" s="64">
        <v>0.87</v>
      </c>
      <c r="K67" s="64">
        <v>298.57</v>
      </c>
      <c r="L67" s="64">
        <v>39.68</v>
      </c>
      <c r="M67" s="64">
        <v>19.09</v>
      </c>
      <c r="N67" s="64">
        <v>466.2</v>
      </c>
      <c r="O67" s="64">
        <v>0</v>
      </c>
      <c r="P67" s="64">
        <v>0.51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1169</v>
      </c>
      <c r="B68" s="64">
        <v>8.7899999999999991</v>
      </c>
      <c r="C68" s="64">
        <v>47.68</v>
      </c>
      <c r="D68" s="64">
        <v>77.77</v>
      </c>
      <c r="E68" s="64">
        <v>5.9</v>
      </c>
      <c r="F68" s="64">
        <v>24.56</v>
      </c>
      <c r="G68" s="64">
        <v>40.08</v>
      </c>
      <c r="H68" s="64">
        <v>12.24</v>
      </c>
      <c r="I68" s="64">
        <v>3.97</v>
      </c>
      <c r="J68" s="64">
        <v>0.55000000000000004</v>
      </c>
      <c r="K68" s="64">
        <v>312.76</v>
      </c>
      <c r="L68" s="64">
        <v>38.85</v>
      </c>
      <c r="M68" s="64">
        <v>19.100000000000001</v>
      </c>
      <c r="N68" s="64">
        <v>436.5</v>
      </c>
      <c r="O68" s="64">
        <v>0</v>
      </c>
      <c r="P68" s="64">
        <v>0.41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1170</v>
      </c>
      <c r="B69" s="64">
        <v>3.72</v>
      </c>
      <c r="C69" s="64">
        <v>41.35</v>
      </c>
      <c r="D69" s="64">
        <v>73.430000000000007</v>
      </c>
      <c r="E69" s="64">
        <v>4.68</v>
      </c>
      <c r="F69" s="64">
        <v>21.97</v>
      </c>
      <c r="G69" s="64">
        <v>40.08</v>
      </c>
      <c r="H69" s="64">
        <v>12.24</v>
      </c>
      <c r="I69" s="64">
        <v>4</v>
      </c>
      <c r="J69" s="64">
        <v>0.86</v>
      </c>
      <c r="K69" s="64">
        <v>306.77999999999997</v>
      </c>
      <c r="L69" s="64">
        <v>38.270000000000003</v>
      </c>
      <c r="M69" s="64">
        <v>19.899999999999999</v>
      </c>
      <c r="N69" s="64">
        <v>451.5</v>
      </c>
      <c r="O69" s="64">
        <v>0</v>
      </c>
      <c r="P69" s="64">
        <v>0.46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1171</v>
      </c>
      <c r="B70" s="64">
        <v>7.14</v>
      </c>
      <c r="C70" s="64">
        <v>44.3</v>
      </c>
      <c r="D70" s="64">
        <v>73.83</v>
      </c>
      <c r="E70" s="64">
        <v>5.25</v>
      </c>
      <c r="F70" s="64">
        <v>26.72</v>
      </c>
      <c r="G70" s="64">
        <v>40.08</v>
      </c>
      <c r="H70" s="64">
        <v>12.24</v>
      </c>
      <c r="I70" s="64">
        <v>3.97</v>
      </c>
      <c r="J70" s="64">
        <v>1.46</v>
      </c>
      <c r="K70" s="64">
        <v>334.85</v>
      </c>
      <c r="L70" s="64">
        <v>38.53</v>
      </c>
      <c r="M70" s="64">
        <v>19.95</v>
      </c>
      <c r="N70" s="64">
        <v>276.5</v>
      </c>
      <c r="O70" s="64">
        <v>0</v>
      </c>
      <c r="P70" s="64">
        <v>0.47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1172</v>
      </c>
      <c r="B71" s="64">
        <v>6.43</v>
      </c>
      <c r="C71" s="64">
        <v>46.47</v>
      </c>
      <c r="D71" s="64">
        <v>79.069999999999993</v>
      </c>
      <c r="E71" s="64">
        <v>4.59</v>
      </c>
      <c r="F71" s="64">
        <v>25.45</v>
      </c>
      <c r="G71" s="64">
        <v>39.28</v>
      </c>
      <c r="H71" s="64">
        <v>11.79</v>
      </c>
      <c r="I71" s="64">
        <v>3.86</v>
      </c>
      <c r="J71" s="64">
        <v>1.37</v>
      </c>
      <c r="K71" s="64">
        <v>324.36</v>
      </c>
      <c r="L71" s="64">
        <v>38.58</v>
      </c>
      <c r="M71" s="64">
        <v>19.87</v>
      </c>
      <c r="N71" s="64">
        <v>181.2</v>
      </c>
      <c r="O71" s="64">
        <v>0</v>
      </c>
      <c r="P71" s="64">
        <v>0.49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1173</v>
      </c>
      <c r="B72" s="64">
        <v>3.3</v>
      </c>
      <c r="C72" s="64">
        <v>41.58</v>
      </c>
      <c r="D72" s="64">
        <v>74.53</v>
      </c>
      <c r="E72" s="64">
        <v>4.42</v>
      </c>
      <c r="F72" s="64">
        <v>23.58</v>
      </c>
      <c r="G72" s="64">
        <v>38.4</v>
      </c>
      <c r="H72" s="64">
        <v>11.29</v>
      </c>
      <c r="I72" s="64">
        <v>4.12</v>
      </c>
      <c r="J72" s="64">
        <v>1.1599999999999999</v>
      </c>
      <c r="K72" s="64">
        <v>313.44</v>
      </c>
      <c r="L72" s="64">
        <v>38.200000000000003</v>
      </c>
      <c r="M72" s="64">
        <v>20.52</v>
      </c>
      <c r="N72" s="64">
        <v>190</v>
      </c>
      <c r="O72" s="64">
        <v>0</v>
      </c>
      <c r="P72" s="64">
        <v>0.49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1174</v>
      </c>
      <c r="B73" s="64">
        <v>4.7699999999999996</v>
      </c>
      <c r="C73" s="64">
        <v>39.39</v>
      </c>
      <c r="D73" s="64">
        <v>68.08</v>
      </c>
      <c r="E73" s="64">
        <v>4.9800000000000004</v>
      </c>
      <c r="F73" s="64">
        <v>29.66</v>
      </c>
      <c r="G73" s="64">
        <v>38.4</v>
      </c>
      <c r="H73" s="64">
        <v>11.29</v>
      </c>
      <c r="I73" s="64">
        <v>4.01</v>
      </c>
      <c r="J73" s="64">
        <v>0.72</v>
      </c>
      <c r="K73" s="64">
        <v>335.52</v>
      </c>
      <c r="L73" s="64">
        <v>37.6</v>
      </c>
      <c r="M73" s="64">
        <v>20.8</v>
      </c>
      <c r="N73" s="64">
        <v>183.2</v>
      </c>
      <c r="O73" s="64">
        <v>0</v>
      </c>
      <c r="P73" s="64">
        <v>0.48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1175</v>
      </c>
      <c r="B74" s="64">
        <v>5.36</v>
      </c>
      <c r="C74" s="64">
        <v>41.71</v>
      </c>
      <c r="D74" s="64">
        <v>71.61</v>
      </c>
      <c r="E74" s="64">
        <v>5.95</v>
      </c>
      <c r="F74" s="64">
        <v>30.77</v>
      </c>
      <c r="G74" s="64">
        <v>38.4</v>
      </c>
      <c r="H74" s="64">
        <v>11.29</v>
      </c>
      <c r="I74" s="64">
        <v>4.03</v>
      </c>
      <c r="J74" s="64">
        <v>0.4</v>
      </c>
      <c r="K74" s="64">
        <v>309.99</v>
      </c>
      <c r="L74" s="64">
        <v>36.82</v>
      </c>
      <c r="M74" s="64">
        <v>22.05</v>
      </c>
      <c r="N74" s="64">
        <v>137</v>
      </c>
      <c r="O74" s="64">
        <v>0</v>
      </c>
      <c r="P74" s="64">
        <v>0.54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1176</v>
      </c>
      <c r="B75" s="64">
        <v>2.61</v>
      </c>
      <c r="C75" s="64">
        <v>37.22</v>
      </c>
      <c r="D75" s="64">
        <v>67.23</v>
      </c>
      <c r="E75" s="64">
        <v>5.03</v>
      </c>
      <c r="F75" s="64">
        <v>31.17</v>
      </c>
      <c r="G75" s="64">
        <v>38.200000000000003</v>
      </c>
      <c r="H75" s="64">
        <v>11.19</v>
      </c>
      <c r="I75" s="64">
        <v>3.99</v>
      </c>
      <c r="J75" s="64">
        <v>0.33</v>
      </c>
      <c r="K75" s="64">
        <v>241.27</v>
      </c>
      <c r="L75" s="64">
        <v>36.53</v>
      </c>
      <c r="M75" s="64">
        <v>20.66</v>
      </c>
      <c r="N75" s="64">
        <v>131.6</v>
      </c>
      <c r="O75" s="64">
        <v>0</v>
      </c>
      <c r="P75" s="64">
        <v>0.45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1177</v>
      </c>
      <c r="B76" s="64">
        <v>4.1100000000000003</v>
      </c>
      <c r="C76" s="64">
        <v>41.98</v>
      </c>
      <c r="D76" s="64">
        <v>74.05</v>
      </c>
      <c r="E76" s="64">
        <v>5.4</v>
      </c>
      <c r="F76" s="64">
        <v>27.17</v>
      </c>
      <c r="G76" s="64">
        <v>37.97</v>
      </c>
      <c r="H76" s="64">
        <v>11.07</v>
      </c>
      <c r="I76" s="64">
        <v>3.86</v>
      </c>
      <c r="J76" s="64">
        <v>0.63</v>
      </c>
      <c r="K76" s="64">
        <v>290.83999999999997</v>
      </c>
      <c r="L76" s="64">
        <v>36.33</v>
      </c>
      <c r="M76" s="64">
        <v>20.58</v>
      </c>
      <c r="N76" s="64">
        <v>114.6</v>
      </c>
      <c r="O76" s="64">
        <v>0</v>
      </c>
      <c r="P76" s="64">
        <v>0.53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1178</v>
      </c>
      <c r="B77" s="64">
        <v>10.199999999999999</v>
      </c>
      <c r="C77" s="64">
        <v>58.68</v>
      </c>
      <c r="D77" s="64">
        <v>96.66</v>
      </c>
      <c r="E77" s="64">
        <v>4.88</v>
      </c>
      <c r="F77" s="64">
        <v>24.86</v>
      </c>
      <c r="G77" s="64">
        <v>37.97</v>
      </c>
      <c r="H77" s="64">
        <v>11.07</v>
      </c>
      <c r="I77" s="64">
        <v>4.09</v>
      </c>
      <c r="J77" s="64">
        <v>0.79</v>
      </c>
      <c r="K77" s="64">
        <v>295.11</v>
      </c>
      <c r="L77" s="64">
        <v>36.130000000000003</v>
      </c>
      <c r="M77" s="64">
        <v>21.51</v>
      </c>
      <c r="N77" s="64">
        <v>104.7</v>
      </c>
      <c r="O77" s="64">
        <v>0</v>
      </c>
      <c r="P77" s="64">
        <v>0.6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1179</v>
      </c>
      <c r="B78" s="64">
        <v>3.48</v>
      </c>
      <c r="C78" s="64">
        <v>43.72</v>
      </c>
      <c r="D78" s="64">
        <v>78.34</v>
      </c>
      <c r="E78" s="64">
        <v>6.46</v>
      </c>
      <c r="F78" s="64">
        <v>33.4</v>
      </c>
      <c r="G78" s="64">
        <v>37.97</v>
      </c>
      <c r="H78" s="64">
        <v>11.07</v>
      </c>
      <c r="I78" s="64">
        <v>3.86</v>
      </c>
      <c r="J78" s="64">
        <v>0.32</v>
      </c>
      <c r="K78" s="64">
        <v>271.3</v>
      </c>
      <c r="L78" s="64">
        <v>35.729999999999997</v>
      </c>
      <c r="M78" s="64">
        <v>21.44</v>
      </c>
      <c r="N78" s="64">
        <v>93</v>
      </c>
      <c r="O78" s="64">
        <v>0</v>
      </c>
      <c r="P78" s="64">
        <v>0.57999999999999996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1180</v>
      </c>
      <c r="B79" s="64">
        <v>0.71</v>
      </c>
      <c r="C79" s="64">
        <v>34.590000000000003</v>
      </c>
      <c r="D79" s="64">
        <v>65.12</v>
      </c>
      <c r="E79" s="64">
        <v>8.1300000000000008</v>
      </c>
      <c r="F79" s="64">
        <v>35.29</v>
      </c>
      <c r="G79" s="64">
        <v>38.729999999999997</v>
      </c>
      <c r="H79" s="64">
        <v>10.33</v>
      </c>
      <c r="I79" s="64">
        <v>3.93</v>
      </c>
      <c r="J79" s="64">
        <v>0.61</v>
      </c>
      <c r="K79" s="64">
        <v>212.06</v>
      </c>
      <c r="L79" s="64">
        <v>35.33</v>
      </c>
      <c r="M79" s="64">
        <v>21.96</v>
      </c>
      <c r="N79" s="64">
        <v>81.599999999999994</v>
      </c>
      <c r="O79" s="64">
        <v>0</v>
      </c>
      <c r="P79" s="64">
        <v>0.44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1181</v>
      </c>
      <c r="B80" s="64">
        <v>1.17</v>
      </c>
      <c r="C80" s="64">
        <v>56.61</v>
      </c>
      <c r="D80" s="64">
        <v>106.56</v>
      </c>
      <c r="E80" s="64">
        <v>8.75</v>
      </c>
      <c r="F80" s="64">
        <v>26.87</v>
      </c>
      <c r="G80" s="64">
        <v>39.57</v>
      </c>
      <c r="H80" s="64">
        <v>9.5500000000000007</v>
      </c>
      <c r="I80" s="64">
        <v>3.95</v>
      </c>
      <c r="J80" s="64">
        <v>0.57999999999999996</v>
      </c>
      <c r="K80" s="64">
        <v>188.85</v>
      </c>
      <c r="L80" s="64">
        <v>34.78</v>
      </c>
      <c r="M80" s="64">
        <v>24.54</v>
      </c>
      <c r="N80" s="64">
        <v>69.099999999999994</v>
      </c>
      <c r="O80" s="64">
        <v>0</v>
      </c>
      <c r="P80" s="64">
        <v>0.56000000000000005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1182</v>
      </c>
      <c r="B81" s="64">
        <v>1.18</v>
      </c>
      <c r="C81" s="64">
        <v>72.069999999999993</v>
      </c>
      <c r="D81" s="64">
        <v>136.12</v>
      </c>
      <c r="E81" s="64">
        <v>11.89</v>
      </c>
      <c r="F81" s="64">
        <v>25.75</v>
      </c>
      <c r="G81" s="64">
        <v>39.57</v>
      </c>
      <c r="H81" s="64">
        <v>9.5500000000000007</v>
      </c>
      <c r="I81" s="64">
        <v>3.93</v>
      </c>
      <c r="J81" s="64">
        <v>0.42</v>
      </c>
      <c r="K81" s="64">
        <v>207.96</v>
      </c>
      <c r="L81" s="64">
        <v>34.130000000000003</v>
      </c>
      <c r="M81" s="64">
        <v>25.65</v>
      </c>
      <c r="N81" s="64">
        <v>61.5</v>
      </c>
      <c r="O81" s="64">
        <v>0</v>
      </c>
      <c r="P81" s="64">
        <v>0.73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1183</v>
      </c>
      <c r="B82" s="64">
        <v>2.57</v>
      </c>
      <c r="C82" s="64">
        <v>83.75</v>
      </c>
      <c r="D82" s="64">
        <v>156.36000000000001</v>
      </c>
      <c r="E82" s="64">
        <v>11.83</v>
      </c>
      <c r="F82" s="64">
        <v>22.15</v>
      </c>
      <c r="G82" s="64">
        <v>39.57</v>
      </c>
      <c r="H82" s="64">
        <v>9.5500000000000007</v>
      </c>
      <c r="I82" s="64">
        <v>4.01</v>
      </c>
      <c r="J82" s="64">
        <v>0.48</v>
      </c>
      <c r="K82" s="64">
        <v>226.09</v>
      </c>
      <c r="L82" s="64">
        <v>33.53</v>
      </c>
      <c r="M82" s="64">
        <v>27.36</v>
      </c>
      <c r="N82" s="64">
        <v>56.4</v>
      </c>
      <c r="O82" s="64">
        <v>0</v>
      </c>
      <c r="P82" s="64">
        <v>0.9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1184</v>
      </c>
      <c r="B83" s="64">
        <v>4.9400000000000004</v>
      </c>
      <c r="C83" s="64">
        <v>105.82</v>
      </c>
      <c r="D83" s="64">
        <v>194.97</v>
      </c>
      <c r="E83" s="64">
        <v>11.3</v>
      </c>
      <c r="F83" s="64">
        <v>14.87</v>
      </c>
      <c r="G83" s="64">
        <v>42.39</v>
      </c>
      <c r="H83" s="64">
        <v>12.36</v>
      </c>
      <c r="I83" s="64">
        <v>4.0199999999999996</v>
      </c>
      <c r="J83" s="64">
        <v>0.5</v>
      </c>
      <c r="K83" s="64">
        <v>218.78</v>
      </c>
      <c r="L83" s="64">
        <v>32.96</v>
      </c>
      <c r="M83" s="64">
        <v>29.36</v>
      </c>
      <c r="N83" s="64">
        <v>55.6</v>
      </c>
      <c r="O83" s="64">
        <v>0</v>
      </c>
      <c r="P83" s="64">
        <v>1.23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1185</v>
      </c>
      <c r="B84" s="64">
        <v>17.63</v>
      </c>
      <c r="C84" s="64">
        <v>127.89</v>
      </c>
      <c r="D84" s="64">
        <v>217.72</v>
      </c>
      <c r="E84" s="64">
        <v>9.5500000000000007</v>
      </c>
      <c r="F84" s="64">
        <v>10.95</v>
      </c>
      <c r="G84" s="64">
        <v>44.03</v>
      </c>
      <c r="H84" s="64">
        <v>15.44</v>
      </c>
      <c r="I84" s="64">
        <v>3.91</v>
      </c>
      <c r="J84" s="64">
        <v>0.47</v>
      </c>
      <c r="K84" s="64">
        <v>253.55</v>
      </c>
      <c r="L84" s="64">
        <v>32.51</v>
      </c>
      <c r="M84" s="64">
        <v>30.43</v>
      </c>
      <c r="N84" s="64">
        <v>55.3</v>
      </c>
      <c r="O84" s="64">
        <v>0</v>
      </c>
      <c r="P84" s="64">
        <v>1.38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1186</v>
      </c>
      <c r="B85" s="64">
        <v>0.98</v>
      </c>
      <c r="C85" s="64">
        <v>67.73</v>
      </c>
      <c r="D85" s="64">
        <v>128.13999999999999</v>
      </c>
      <c r="E85" s="64">
        <v>9.7899999999999991</v>
      </c>
      <c r="F85" s="64">
        <v>22.9</v>
      </c>
      <c r="G85" s="64">
        <v>44.03</v>
      </c>
      <c r="H85" s="64">
        <v>15.44</v>
      </c>
      <c r="I85" s="64">
        <v>3.99</v>
      </c>
      <c r="J85" s="64">
        <v>0.68</v>
      </c>
      <c r="K85" s="64">
        <v>236.93</v>
      </c>
      <c r="L85" s="64">
        <v>32.369999999999997</v>
      </c>
      <c r="M85" s="64">
        <v>29.41</v>
      </c>
      <c r="N85" s="64">
        <v>54.7</v>
      </c>
      <c r="O85" s="64">
        <v>0</v>
      </c>
      <c r="P85" s="64">
        <v>0.88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1187</v>
      </c>
      <c r="B86" s="64">
        <v>1.89</v>
      </c>
      <c r="C86" s="64">
        <v>74.92</v>
      </c>
      <c r="D86" s="64">
        <v>140.49</v>
      </c>
      <c r="E86" s="64">
        <v>9.6199999999999992</v>
      </c>
      <c r="F86" s="64">
        <v>20.27</v>
      </c>
      <c r="G86" s="64">
        <v>44.03</v>
      </c>
      <c r="H86" s="64">
        <v>15.44</v>
      </c>
      <c r="I86" s="64">
        <v>4</v>
      </c>
      <c r="J86" s="64">
        <v>0.38</v>
      </c>
      <c r="K86" s="64">
        <v>234.69</v>
      </c>
      <c r="L86" s="64">
        <v>32.1</v>
      </c>
      <c r="M86" s="64">
        <v>30.37</v>
      </c>
      <c r="N86" s="64">
        <v>55.3</v>
      </c>
      <c r="O86" s="64">
        <v>0</v>
      </c>
      <c r="P86" s="64">
        <v>0.96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1188</v>
      </c>
      <c r="B87" s="64">
        <v>7.12</v>
      </c>
      <c r="C87" s="64">
        <v>78.930000000000007</v>
      </c>
      <c r="D87" s="64">
        <v>140.16</v>
      </c>
      <c r="E87" s="64">
        <v>8.7799999999999994</v>
      </c>
      <c r="F87" s="64">
        <v>16.489999999999998</v>
      </c>
      <c r="G87" s="64">
        <v>57.03</v>
      </c>
      <c r="H87" s="64">
        <v>13.1</v>
      </c>
      <c r="I87" s="64">
        <v>3.94</v>
      </c>
      <c r="J87" s="64">
        <v>0.56999999999999995</v>
      </c>
      <c r="K87" s="64">
        <v>291.32</v>
      </c>
      <c r="L87" s="64">
        <v>31.74</v>
      </c>
      <c r="M87" s="64">
        <v>31.55</v>
      </c>
      <c r="N87" s="64">
        <v>55</v>
      </c>
      <c r="O87" s="64">
        <v>0</v>
      </c>
      <c r="P87" s="64">
        <v>1.33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1189</v>
      </c>
      <c r="B88" s="64">
        <v>4.1100000000000003</v>
      </c>
      <c r="C88" s="64">
        <v>67.62</v>
      </c>
      <c r="D88" s="64">
        <v>123.12</v>
      </c>
      <c r="E88" s="64">
        <v>6.19</v>
      </c>
      <c r="F88" s="64">
        <v>12.2</v>
      </c>
      <c r="G88" s="64">
        <v>71.23</v>
      </c>
      <c r="H88" s="64">
        <v>10.54</v>
      </c>
      <c r="I88" s="64">
        <v>4.05</v>
      </c>
      <c r="J88" s="64">
        <v>0.85</v>
      </c>
      <c r="K88" s="64">
        <v>301.76</v>
      </c>
      <c r="L88" s="64">
        <v>31.45</v>
      </c>
      <c r="M88" s="64">
        <v>28.97</v>
      </c>
      <c r="N88" s="64">
        <v>54.6</v>
      </c>
      <c r="O88" s="64">
        <v>0</v>
      </c>
      <c r="P88" s="64">
        <v>1.01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1190</v>
      </c>
      <c r="B89" s="64">
        <v>21.12</v>
      </c>
      <c r="C89" s="64">
        <v>87.42</v>
      </c>
      <c r="D89" s="64">
        <v>134.91999999999999</v>
      </c>
      <c r="E89" s="64">
        <v>8.16</v>
      </c>
      <c r="F89" s="64">
        <v>15.8</v>
      </c>
      <c r="G89" s="64">
        <v>71.23</v>
      </c>
      <c r="H89" s="64">
        <v>10.54</v>
      </c>
      <c r="I89" s="64">
        <v>3.96</v>
      </c>
      <c r="J89" s="64">
        <v>0.44</v>
      </c>
      <c r="K89" s="64">
        <v>78.45</v>
      </c>
      <c r="L89" s="64">
        <v>31.13</v>
      </c>
      <c r="M89" s="64">
        <v>28.26</v>
      </c>
      <c r="N89" s="64">
        <v>55.6</v>
      </c>
      <c r="O89" s="64">
        <v>0</v>
      </c>
      <c r="P89" s="64">
        <v>1.1399999999999999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1191</v>
      </c>
      <c r="B90" s="64">
        <v>43.26</v>
      </c>
      <c r="C90" s="64">
        <v>122.59</v>
      </c>
      <c r="D90" s="64">
        <v>168.24</v>
      </c>
      <c r="E90" s="64">
        <v>8.8000000000000007</v>
      </c>
      <c r="F90" s="64">
        <v>9.9700000000000006</v>
      </c>
      <c r="G90" s="64">
        <v>71.23</v>
      </c>
      <c r="H90" s="64">
        <v>10.54</v>
      </c>
      <c r="I90" s="64">
        <v>3.9</v>
      </c>
      <c r="J90" s="64">
        <v>0.63</v>
      </c>
      <c r="K90" s="64">
        <v>23.06</v>
      </c>
      <c r="L90" s="64">
        <v>30.91</v>
      </c>
      <c r="M90" s="64">
        <v>29.74</v>
      </c>
      <c r="N90" s="64">
        <v>55.2</v>
      </c>
      <c r="O90" s="64">
        <v>0</v>
      </c>
      <c r="P90" s="64">
        <v>2.0099999999999998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1192</v>
      </c>
      <c r="B91" s="64">
        <v>33.86</v>
      </c>
      <c r="C91" s="64">
        <v>101.45</v>
      </c>
      <c r="D91" s="64">
        <v>142.21</v>
      </c>
      <c r="E91" s="64">
        <v>12.58</v>
      </c>
      <c r="F91" s="64">
        <v>13.41</v>
      </c>
      <c r="G91" s="64">
        <v>71.64</v>
      </c>
      <c r="H91" s="64">
        <v>11.94</v>
      </c>
      <c r="I91" s="64">
        <v>3.89</v>
      </c>
      <c r="J91" s="64">
        <v>1.25</v>
      </c>
      <c r="K91" s="64">
        <v>353.07</v>
      </c>
      <c r="L91" s="64">
        <v>31.3</v>
      </c>
      <c r="M91" s="64">
        <v>27.62</v>
      </c>
      <c r="N91" s="64">
        <v>54.1</v>
      </c>
      <c r="O91" s="64">
        <v>0</v>
      </c>
      <c r="P91" s="64">
        <v>1.37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1193</v>
      </c>
      <c r="B92" s="64">
        <v>16.73</v>
      </c>
      <c r="C92" s="64">
        <v>80.150000000000006</v>
      </c>
      <c r="D92" s="64">
        <v>127.74</v>
      </c>
      <c r="E92" s="64">
        <v>17.55</v>
      </c>
      <c r="F92" s="64">
        <v>11.84</v>
      </c>
      <c r="G92" s="64">
        <v>72.069999999999993</v>
      </c>
      <c r="H92" s="64">
        <v>13.46</v>
      </c>
      <c r="I92" s="64">
        <v>4.0199999999999996</v>
      </c>
      <c r="J92" s="64">
        <v>0.55000000000000004</v>
      </c>
      <c r="K92" s="64">
        <v>37.450000000000003</v>
      </c>
      <c r="L92" s="64">
        <v>31.24</v>
      </c>
      <c r="M92" s="64">
        <v>28.78</v>
      </c>
      <c r="N92" s="64">
        <v>55.2</v>
      </c>
      <c r="O92" s="64">
        <v>0</v>
      </c>
      <c r="P92" s="64">
        <v>1.2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1194</v>
      </c>
      <c r="B93" s="64">
        <v>13.28</v>
      </c>
      <c r="C93" s="64">
        <v>72.290000000000006</v>
      </c>
      <c r="D93" s="64">
        <v>117.98</v>
      </c>
      <c r="E93" s="64">
        <v>11.35</v>
      </c>
      <c r="F93" s="64">
        <v>12.86</v>
      </c>
      <c r="G93" s="64">
        <v>72.069999999999993</v>
      </c>
      <c r="H93" s="64">
        <v>13.46</v>
      </c>
      <c r="I93" s="64">
        <v>3.88</v>
      </c>
      <c r="J93" s="64">
        <v>0.59</v>
      </c>
      <c r="K93" s="64">
        <v>48.02</v>
      </c>
      <c r="L93" s="64">
        <v>31.15</v>
      </c>
      <c r="M93" s="64">
        <v>29.32</v>
      </c>
      <c r="N93" s="64">
        <v>55.2</v>
      </c>
      <c r="O93" s="64">
        <v>0</v>
      </c>
      <c r="P93" s="64">
        <v>0.96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1195</v>
      </c>
      <c r="B94" s="64">
        <v>27.1</v>
      </c>
      <c r="C94" s="64">
        <v>78.680000000000007</v>
      </c>
      <c r="D94" s="64">
        <v>108.99</v>
      </c>
      <c r="E94" s="64">
        <v>10.7</v>
      </c>
      <c r="F94" s="64">
        <v>14.4</v>
      </c>
      <c r="G94" s="64">
        <v>72.069999999999993</v>
      </c>
      <c r="H94" s="64">
        <v>13.46</v>
      </c>
      <c r="I94" s="64">
        <v>4.09</v>
      </c>
      <c r="J94" s="64">
        <v>0.7</v>
      </c>
      <c r="K94" s="64">
        <v>11.89</v>
      </c>
      <c r="L94" s="64">
        <v>31.16</v>
      </c>
      <c r="M94" s="64">
        <v>25.99</v>
      </c>
      <c r="N94" s="64">
        <v>55.4</v>
      </c>
      <c r="O94" s="64">
        <v>0</v>
      </c>
      <c r="P94" s="64">
        <v>0.95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1196</v>
      </c>
      <c r="B95" s="64">
        <v>21.48</v>
      </c>
      <c r="C95" s="64">
        <v>74.540000000000006</v>
      </c>
      <c r="D95" s="64">
        <v>109.7</v>
      </c>
      <c r="E95" s="64">
        <v>12.13</v>
      </c>
      <c r="F95" s="64">
        <v>13.57</v>
      </c>
      <c r="G95" s="64">
        <v>71.489999999999995</v>
      </c>
      <c r="H95" s="64">
        <v>11.53</v>
      </c>
      <c r="I95" s="64">
        <v>4.04</v>
      </c>
      <c r="J95" s="64">
        <v>0.78</v>
      </c>
      <c r="K95" s="64">
        <v>76.39</v>
      </c>
      <c r="L95" s="64">
        <v>30.75</v>
      </c>
      <c r="M95" s="64">
        <v>27.19</v>
      </c>
      <c r="N95" s="64">
        <v>56.1</v>
      </c>
      <c r="O95" s="64">
        <v>0</v>
      </c>
      <c r="P95" s="64">
        <v>0.85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1197</v>
      </c>
      <c r="B96" s="64">
        <v>10.07</v>
      </c>
      <c r="C96" s="64">
        <v>58.16</v>
      </c>
      <c r="D96" s="64">
        <v>95.86</v>
      </c>
      <c r="E96" s="64">
        <v>7.36</v>
      </c>
      <c r="F96" s="64">
        <v>12.44</v>
      </c>
      <c r="G96" s="64">
        <v>70.88</v>
      </c>
      <c r="H96" s="64">
        <v>9.42</v>
      </c>
      <c r="I96" s="64">
        <v>3.95</v>
      </c>
      <c r="J96" s="64">
        <v>1.84</v>
      </c>
      <c r="K96" s="64">
        <v>100.09</v>
      </c>
      <c r="L96" s="64">
        <v>30.31</v>
      </c>
      <c r="M96" s="64">
        <v>28.88</v>
      </c>
      <c r="N96" s="64">
        <v>56</v>
      </c>
      <c r="O96" s="64">
        <v>0</v>
      </c>
      <c r="P96" s="64">
        <v>0.85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1198</v>
      </c>
      <c r="B97" s="64">
        <v>9.2200000000000006</v>
      </c>
      <c r="C97" s="64">
        <v>56.84</v>
      </c>
      <c r="D97" s="64">
        <v>94.63</v>
      </c>
      <c r="E97" s="64">
        <v>5.49</v>
      </c>
      <c r="F97" s="64">
        <v>12.07</v>
      </c>
      <c r="G97" s="64">
        <v>70.88</v>
      </c>
      <c r="H97" s="64">
        <v>9.42</v>
      </c>
      <c r="I97" s="64">
        <v>4.04</v>
      </c>
      <c r="J97" s="64">
        <v>2.2799999999999998</v>
      </c>
      <c r="K97" s="64">
        <v>96.1</v>
      </c>
      <c r="L97" s="64">
        <v>29.9</v>
      </c>
      <c r="M97" s="64">
        <v>30.1</v>
      </c>
      <c r="N97" s="64">
        <v>56</v>
      </c>
      <c r="O97" s="64">
        <v>0</v>
      </c>
      <c r="P97" s="64">
        <v>0.9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1199</v>
      </c>
      <c r="B98" s="64">
        <v>6.81</v>
      </c>
      <c r="C98" s="64">
        <v>48.27</v>
      </c>
      <c r="D98" s="64">
        <v>81.94</v>
      </c>
      <c r="E98" s="64">
        <v>6.64</v>
      </c>
      <c r="F98" s="64">
        <v>15.84</v>
      </c>
      <c r="G98" s="64">
        <v>70.88</v>
      </c>
      <c r="H98" s="64">
        <v>9.42</v>
      </c>
      <c r="I98" s="64">
        <v>3.98</v>
      </c>
      <c r="J98" s="64">
        <v>1.34</v>
      </c>
      <c r="K98" s="64">
        <v>88.53</v>
      </c>
      <c r="L98" s="64">
        <v>29.48</v>
      </c>
      <c r="M98" s="64">
        <v>31.43</v>
      </c>
      <c r="N98" s="64">
        <v>56</v>
      </c>
      <c r="O98" s="64">
        <v>0</v>
      </c>
      <c r="P98" s="64">
        <v>0.73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1200</v>
      </c>
      <c r="B99" s="64">
        <v>9.5399999999999991</v>
      </c>
      <c r="C99" s="64">
        <v>57.62</v>
      </c>
      <c r="D99" s="64">
        <v>95.65</v>
      </c>
      <c r="E99" s="64">
        <v>6.4</v>
      </c>
      <c r="F99" s="64">
        <v>11.26</v>
      </c>
      <c r="G99" s="64">
        <v>71.47</v>
      </c>
      <c r="H99" s="64">
        <v>12.73</v>
      </c>
      <c r="I99" s="64">
        <v>4.1399999999999997</v>
      </c>
      <c r="J99" s="64">
        <v>0.78</v>
      </c>
      <c r="K99" s="64">
        <v>58.93</v>
      </c>
      <c r="L99" s="64">
        <v>29.21</v>
      </c>
      <c r="M99" s="64">
        <v>31.93</v>
      </c>
      <c r="N99" s="64">
        <v>55.8</v>
      </c>
      <c r="O99" s="64">
        <v>0</v>
      </c>
      <c r="P99" s="64">
        <v>0.79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1201</v>
      </c>
      <c r="B100" s="64">
        <v>10.220000000000001</v>
      </c>
      <c r="C100" s="64">
        <v>55.91</v>
      </c>
      <c r="D100" s="64">
        <v>91.33</v>
      </c>
      <c r="E100" s="64">
        <v>5.7</v>
      </c>
      <c r="F100" s="64">
        <v>11.56</v>
      </c>
      <c r="G100" s="64">
        <v>72.099999999999994</v>
      </c>
      <c r="H100" s="64">
        <v>16.34</v>
      </c>
      <c r="I100" s="64">
        <v>4.1399999999999997</v>
      </c>
      <c r="J100" s="64">
        <v>0.81</v>
      </c>
      <c r="K100" s="64">
        <v>67.819999999999993</v>
      </c>
      <c r="L100" s="64">
        <v>28.95</v>
      </c>
      <c r="M100" s="64">
        <v>32.39</v>
      </c>
      <c r="N100" s="64">
        <v>55.6</v>
      </c>
      <c r="O100" s="64">
        <v>0</v>
      </c>
      <c r="P100" s="64">
        <v>0.78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1202</v>
      </c>
      <c r="B101" s="64">
        <v>7.49</v>
      </c>
      <c r="C101" s="64">
        <v>52.46</v>
      </c>
      <c r="D101" s="64">
        <v>88.92</v>
      </c>
      <c r="E101" s="64">
        <v>3.84</v>
      </c>
      <c r="F101" s="64">
        <v>7.22</v>
      </c>
      <c r="G101" s="64">
        <v>72.099999999999994</v>
      </c>
      <c r="H101" s="64">
        <v>16.34</v>
      </c>
      <c r="I101" s="64">
        <v>4.04</v>
      </c>
      <c r="J101" s="64">
        <v>2.0499999999999998</v>
      </c>
      <c r="K101" s="64">
        <v>101.97</v>
      </c>
      <c r="L101" s="64">
        <v>28.79</v>
      </c>
      <c r="M101" s="64">
        <v>33.25</v>
      </c>
      <c r="N101" s="64">
        <v>55.1</v>
      </c>
      <c r="O101" s="64">
        <v>0</v>
      </c>
      <c r="P101" s="64">
        <v>0.83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1203</v>
      </c>
      <c r="B102" s="64">
        <v>6.7</v>
      </c>
      <c r="C102" s="64">
        <v>53</v>
      </c>
      <c r="D102" s="64">
        <v>91.15</v>
      </c>
      <c r="E102" s="64">
        <v>3.66</v>
      </c>
      <c r="F102" s="64">
        <v>6.87</v>
      </c>
      <c r="G102" s="64">
        <v>72.099999999999994</v>
      </c>
      <c r="H102" s="64">
        <v>16.34</v>
      </c>
      <c r="I102" s="64">
        <v>3.98</v>
      </c>
      <c r="J102" s="64">
        <v>2.8</v>
      </c>
      <c r="K102" s="64">
        <v>105.53</v>
      </c>
      <c r="L102" s="64">
        <v>28.97</v>
      </c>
      <c r="M102" s="64">
        <v>33.11</v>
      </c>
      <c r="N102" s="64">
        <v>54.9</v>
      </c>
      <c r="O102" s="64">
        <v>0</v>
      </c>
      <c r="P102" s="64">
        <v>0.77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1204</v>
      </c>
      <c r="B103" s="64">
        <v>4.82</v>
      </c>
      <c r="C103" s="64">
        <v>48.91</v>
      </c>
      <c r="D103" s="64">
        <v>86.21</v>
      </c>
      <c r="E103" s="64">
        <v>3.95</v>
      </c>
      <c r="F103" s="64">
        <v>8.8699999999999992</v>
      </c>
      <c r="G103" s="64">
        <v>70.239999999999995</v>
      </c>
      <c r="H103" s="64">
        <v>16.260000000000002</v>
      </c>
      <c r="I103" s="64">
        <v>3.99</v>
      </c>
      <c r="J103" s="64">
        <v>2.34</v>
      </c>
      <c r="K103" s="64">
        <v>100.41</v>
      </c>
      <c r="L103" s="64">
        <v>28.78</v>
      </c>
      <c r="M103" s="64">
        <v>34.33</v>
      </c>
      <c r="N103" s="64">
        <v>56.1</v>
      </c>
      <c r="O103" s="64">
        <v>0</v>
      </c>
      <c r="P103" s="64">
        <v>0.7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1205</v>
      </c>
      <c r="B104" s="64">
        <v>4.1100000000000003</v>
      </c>
      <c r="C104" s="64">
        <v>48.25</v>
      </c>
      <c r="D104" s="64">
        <v>86.04</v>
      </c>
      <c r="E104" s="64">
        <v>3.07</v>
      </c>
      <c r="F104" s="64">
        <v>7.98</v>
      </c>
      <c r="G104" s="64">
        <v>68.3</v>
      </c>
      <c r="H104" s="64">
        <v>16.170000000000002</v>
      </c>
      <c r="I104" s="64">
        <v>4.0999999999999996</v>
      </c>
      <c r="J104" s="64">
        <v>2.73</v>
      </c>
      <c r="K104" s="64">
        <v>101.27</v>
      </c>
      <c r="L104" s="64">
        <v>28.5</v>
      </c>
      <c r="M104" s="64">
        <v>37.479999999999997</v>
      </c>
      <c r="N104" s="64">
        <v>56.1</v>
      </c>
      <c r="O104" s="64">
        <v>0</v>
      </c>
      <c r="P104" s="64">
        <v>0.68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0.71</v>
      </c>
      <c r="C106" s="67">
        <f>MIN(C9:C104)</f>
        <v>28.25</v>
      </c>
      <c r="D106" s="67">
        <f t="shared" ref="D106:Q106" si="0">MIN(D9:D104)</f>
        <v>52.03</v>
      </c>
      <c r="E106" s="67">
        <f t="shared" si="0"/>
        <v>2.64</v>
      </c>
      <c r="F106" s="67">
        <f t="shared" si="0"/>
        <v>6.55</v>
      </c>
      <c r="G106" s="67">
        <f t="shared" si="0"/>
        <v>29.88</v>
      </c>
      <c r="H106" s="67">
        <f t="shared" si="0"/>
        <v>8.51</v>
      </c>
      <c r="I106" s="67">
        <f t="shared" si="0"/>
        <v>3.76</v>
      </c>
      <c r="J106" s="67">
        <f t="shared" si="0"/>
        <v>0.16</v>
      </c>
      <c r="K106" s="67">
        <f t="shared" si="0"/>
        <v>11.89</v>
      </c>
      <c r="L106" s="67">
        <f t="shared" si="0"/>
        <v>22.59</v>
      </c>
      <c r="M106" s="67">
        <f t="shared" si="0"/>
        <v>19.09</v>
      </c>
      <c r="N106" s="67">
        <f t="shared" si="0"/>
        <v>45.2</v>
      </c>
      <c r="O106" s="67">
        <f t="shared" si="0"/>
        <v>0</v>
      </c>
      <c r="P106" s="67">
        <f t="shared" si="0"/>
        <v>0.22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43.26</v>
      </c>
      <c r="C107" s="66">
        <f t="shared" ref="C107:Q107" si="1">MAX(C9:C104)</f>
        <v>127.89</v>
      </c>
      <c r="D107" s="66">
        <f t="shared" si="1"/>
        <v>217.72</v>
      </c>
      <c r="E107" s="66">
        <f t="shared" si="1"/>
        <v>54.26</v>
      </c>
      <c r="F107" s="66">
        <f t="shared" si="1"/>
        <v>35.29</v>
      </c>
      <c r="G107" s="66">
        <f t="shared" si="1"/>
        <v>72.099999999999994</v>
      </c>
      <c r="H107" s="66">
        <f t="shared" si="1"/>
        <v>17.86</v>
      </c>
      <c r="I107" s="66">
        <f t="shared" si="1"/>
        <v>4.3099999999999996</v>
      </c>
      <c r="J107" s="66">
        <f t="shared" si="1"/>
        <v>2.8</v>
      </c>
      <c r="K107" s="66">
        <f t="shared" si="1"/>
        <v>354.44</v>
      </c>
      <c r="L107" s="66">
        <f t="shared" si="1"/>
        <v>39.68</v>
      </c>
      <c r="M107" s="66">
        <f t="shared" si="1"/>
        <v>59.85</v>
      </c>
      <c r="N107" s="66">
        <f t="shared" si="1"/>
        <v>975.7</v>
      </c>
      <c r="O107" s="66">
        <f t="shared" si="1"/>
        <v>0</v>
      </c>
      <c r="P107" s="66">
        <f t="shared" si="1"/>
        <v>2.0099999999999998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8.1597916666666688</v>
      </c>
      <c r="C108" s="67">
        <f t="shared" ref="C108:Q108" si="2">AVERAGE(C9:C104)</f>
        <v>53.40499999999998</v>
      </c>
      <c r="D108" s="67">
        <f t="shared" si="2"/>
        <v>89.693437499999959</v>
      </c>
      <c r="E108" s="67">
        <f t="shared" si="2"/>
        <v>6.4663541666666662</v>
      </c>
      <c r="F108" s="67">
        <f t="shared" si="2"/>
        <v>14.957499999999994</v>
      </c>
      <c r="G108" s="67">
        <f t="shared" si="2"/>
        <v>47.423541666666686</v>
      </c>
      <c r="H108" s="67">
        <f t="shared" si="2"/>
        <v>12.404895833333336</v>
      </c>
      <c r="I108" s="67">
        <f t="shared" si="2"/>
        <v>4.0096875000000001</v>
      </c>
      <c r="J108" s="67">
        <f t="shared" si="2"/>
        <v>0.78989583333333335</v>
      </c>
      <c r="K108" s="67">
        <f t="shared" si="2"/>
        <v>218.98947916666665</v>
      </c>
      <c r="L108" s="67">
        <f t="shared" si="2"/>
        <v>31.183437499999997</v>
      </c>
      <c r="M108" s="67">
        <f t="shared" si="2"/>
        <v>33.039375</v>
      </c>
      <c r="N108" s="67">
        <f t="shared" si="2"/>
        <v>294.79479166666653</v>
      </c>
      <c r="O108" s="67">
        <f t="shared" si="2"/>
        <v>0</v>
      </c>
      <c r="P108" s="67">
        <f t="shared" si="2"/>
        <v>0.57708333333333328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7.7836685950935438</v>
      </c>
      <c r="C109" s="67">
        <f t="shared" ref="C109:Q109" si="3">STDEV(C9:C104)</f>
        <v>17.648700384537094</v>
      </c>
      <c r="D109" s="67">
        <f t="shared" si="3"/>
        <v>27.400954413962662</v>
      </c>
      <c r="E109" s="67">
        <f t="shared" si="3"/>
        <v>5.9144163069734104</v>
      </c>
      <c r="F109" s="67">
        <f t="shared" si="3"/>
        <v>7.3144779286303985</v>
      </c>
      <c r="G109" s="67">
        <f t="shared" si="3"/>
        <v>12.965958667474824</v>
      </c>
      <c r="H109" s="67">
        <f t="shared" si="3"/>
        <v>2.2378796330886077</v>
      </c>
      <c r="I109" s="67">
        <f t="shared" si="3"/>
        <v>9.0640447866687374E-2</v>
      </c>
      <c r="J109" s="67">
        <f t="shared" si="3"/>
        <v>0.54401721101192491</v>
      </c>
      <c r="K109" s="67">
        <f t="shared" si="3"/>
        <v>92.135284713293245</v>
      </c>
      <c r="L109" s="67">
        <f t="shared" si="3"/>
        <v>5.1617703670706456</v>
      </c>
      <c r="M109" s="67">
        <f t="shared" si="3"/>
        <v>10.981099054619641</v>
      </c>
      <c r="N109" s="67">
        <f t="shared" si="3"/>
        <v>337.94627582059371</v>
      </c>
      <c r="O109" s="67">
        <f t="shared" si="3"/>
        <v>0</v>
      </c>
      <c r="P109" s="67">
        <f t="shared" si="3"/>
        <v>0.29508577403034475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1206</v>
      </c>
      <c r="B9" s="64">
        <v>3.36</v>
      </c>
      <c r="C9" s="64">
        <v>45.49</v>
      </c>
      <c r="D9" s="64">
        <v>81.91</v>
      </c>
      <c r="E9" s="64">
        <v>3.57</v>
      </c>
      <c r="F9" s="64">
        <v>8.39</v>
      </c>
      <c r="G9" s="64">
        <v>68.3</v>
      </c>
      <c r="H9" s="64">
        <v>16.170000000000002</v>
      </c>
      <c r="I9" s="64">
        <v>3.93</v>
      </c>
      <c r="J9" s="64">
        <v>3.76</v>
      </c>
      <c r="K9" s="64">
        <v>103.42</v>
      </c>
      <c r="L9" s="64">
        <v>28.23</v>
      </c>
      <c r="M9" s="64">
        <v>42.28</v>
      </c>
      <c r="N9" s="64">
        <v>56.3</v>
      </c>
      <c r="O9" s="64">
        <v>0</v>
      </c>
      <c r="P9" s="64">
        <v>0.64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1207</v>
      </c>
      <c r="B10" s="64">
        <v>2.65</v>
      </c>
      <c r="C10" s="64">
        <v>45.93</v>
      </c>
      <c r="D10" s="64">
        <v>83.85</v>
      </c>
      <c r="E10" s="64">
        <v>3.02</v>
      </c>
      <c r="F10" s="64">
        <v>7.88</v>
      </c>
      <c r="G10" s="64">
        <v>68.3</v>
      </c>
      <c r="H10" s="64">
        <v>16.170000000000002</v>
      </c>
      <c r="I10" s="64">
        <v>4.1399999999999997</v>
      </c>
      <c r="J10" s="64">
        <v>3.93</v>
      </c>
      <c r="K10" s="64">
        <v>104.22</v>
      </c>
      <c r="L10" s="64">
        <v>27.91</v>
      </c>
      <c r="M10" s="64">
        <v>44.82</v>
      </c>
      <c r="N10" s="64">
        <v>56.3</v>
      </c>
      <c r="O10" s="64">
        <v>0</v>
      </c>
      <c r="P10" s="64">
        <v>0.6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1208</v>
      </c>
      <c r="B11" s="64">
        <v>1.84</v>
      </c>
      <c r="C11" s="64">
        <v>44.36</v>
      </c>
      <c r="D11" s="64">
        <v>82.08</v>
      </c>
      <c r="E11" s="64">
        <v>2.48</v>
      </c>
      <c r="F11" s="64">
        <v>8.09</v>
      </c>
      <c r="G11" s="64">
        <v>76.64</v>
      </c>
      <c r="H11" s="64">
        <v>14.82</v>
      </c>
      <c r="I11" s="64">
        <v>4.05</v>
      </c>
      <c r="J11" s="64">
        <v>3.76</v>
      </c>
      <c r="K11" s="64">
        <v>105.77</v>
      </c>
      <c r="L11" s="64">
        <v>27.52</v>
      </c>
      <c r="M11" s="64">
        <v>46.36</v>
      </c>
      <c r="N11" s="64">
        <v>56.4</v>
      </c>
      <c r="O11" s="64">
        <v>0</v>
      </c>
      <c r="P11" s="64">
        <v>0.53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1209</v>
      </c>
      <c r="B12" s="64">
        <v>1.25</v>
      </c>
      <c r="C12" s="64">
        <v>42.46</v>
      </c>
      <c r="D12" s="64">
        <v>79.36</v>
      </c>
      <c r="E12" s="64">
        <v>3.16</v>
      </c>
      <c r="F12" s="64">
        <v>8.16</v>
      </c>
      <c r="G12" s="64">
        <v>85.76</v>
      </c>
      <c r="H12" s="64">
        <v>13.35</v>
      </c>
      <c r="I12" s="64">
        <v>3.81</v>
      </c>
      <c r="J12" s="64">
        <v>3.96</v>
      </c>
      <c r="K12" s="64">
        <v>98.06</v>
      </c>
      <c r="L12" s="64">
        <v>27.26</v>
      </c>
      <c r="M12" s="64">
        <v>46.08</v>
      </c>
      <c r="N12" s="64">
        <v>56</v>
      </c>
      <c r="O12" s="64">
        <v>0</v>
      </c>
      <c r="P12" s="64">
        <v>0.49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1210</v>
      </c>
      <c r="B13" s="64">
        <v>0.94</v>
      </c>
      <c r="C13" s="64">
        <v>40.020000000000003</v>
      </c>
      <c r="D13" s="64">
        <v>75.150000000000006</v>
      </c>
      <c r="E13" s="64">
        <v>2.91</v>
      </c>
      <c r="F13" s="64">
        <v>8.19</v>
      </c>
      <c r="G13" s="64">
        <v>85.76</v>
      </c>
      <c r="H13" s="64">
        <v>13.35</v>
      </c>
      <c r="I13" s="64">
        <v>4</v>
      </c>
      <c r="J13" s="64">
        <v>3.64</v>
      </c>
      <c r="K13" s="64">
        <v>99.58</v>
      </c>
      <c r="L13" s="64">
        <v>27.03</v>
      </c>
      <c r="M13" s="64">
        <v>46.19</v>
      </c>
      <c r="N13" s="64">
        <v>56</v>
      </c>
      <c r="O13" s="64">
        <v>0</v>
      </c>
      <c r="P13" s="64">
        <v>0.45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1211</v>
      </c>
      <c r="B14" s="64">
        <v>0.7</v>
      </c>
      <c r="C14" s="64">
        <v>35.07</v>
      </c>
      <c r="D14" s="64">
        <v>66.05</v>
      </c>
      <c r="E14" s="64">
        <v>2.8</v>
      </c>
      <c r="F14" s="64">
        <v>9.6199999999999992</v>
      </c>
      <c r="G14" s="64">
        <v>85.76</v>
      </c>
      <c r="H14" s="64">
        <v>13.35</v>
      </c>
      <c r="I14" s="64">
        <v>4.1100000000000003</v>
      </c>
      <c r="J14" s="64">
        <v>3.27</v>
      </c>
      <c r="K14" s="64">
        <v>97.04</v>
      </c>
      <c r="L14" s="64">
        <v>27</v>
      </c>
      <c r="M14" s="64">
        <v>46.17</v>
      </c>
      <c r="N14" s="64">
        <v>55.6</v>
      </c>
      <c r="O14" s="64">
        <v>0</v>
      </c>
      <c r="P14" s="64">
        <v>0.44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1212</v>
      </c>
      <c r="B15" s="64">
        <v>0.72</v>
      </c>
      <c r="C15" s="64">
        <v>33.94</v>
      </c>
      <c r="D15" s="64">
        <v>63.85</v>
      </c>
      <c r="E15" s="64">
        <v>2.72</v>
      </c>
      <c r="F15" s="64">
        <v>11.43</v>
      </c>
      <c r="G15" s="64">
        <v>84.92</v>
      </c>
      <c r="H15" s="64">
        <v>13.86</v>
      </c>
      <c r="I15" s="64">
        <v>4.04</v>
      </c>
      <c r="J15" s="64">
        <v>2.68</v>
      </c>
      <c r="K15" s="64">
        <v>90.46</v>
      </c>
      <c r="L15" s="64">
        <v>26.92</v>
      </c>
      <c r="M15" s="64">
        <v>46.44</v>
      </c>
      <c r="N15" s="64">
        <v>55.8</v>
      </c>
      <c r="O15" s="64">
        <v>0</v>
      </c>
      <c r="P15" s="64">
        <v>0.42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1213</v>
      </c>
      <c r="B16" s="64">
        <v>0.89</v>
      </c>
      <c r="C16" s="64">
        <v>34.39</v>
      </c>
      <c r="D16" s="64">
        <v>64.459999999999994</v>
      </c>
      <c r="E16" s="64">
        <v>2.79</v>
      </c>
      <c r="F16" s="64">
        <v>9.2899999999999991</v>
      </c>
      <c r="G16" s="64">
        <v>84</v>
      </c>
      <c r="H16" s="64">
        <v>14.41</v>
      </c>
      <c r="I16" s="64">
        <v>3.88</v>
      </c>
      <c r="J16" s="64">
        <v>2.39</v>
      </c>
      <c r="K16" s="64">
        <v>95.36</v>
      </c>
      <c r="L16" s="64">
        <v>26.72</v>
      </c>
      <c r="M16" s="64">
        <v>47.39</v>
      </c>
      <c r="N16" s="64">
        <v>55.8</v>
      </c>
      <c r="O16" s="64">
        <v>0</v>
      </c>
      <c r="P16" s="64">
        <v>0.4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1214</v>
      </c>
      <c r="B17" s="64">
        <v>0.92</v>
      </c>
      <c r="C17" s="64">
        <v>32.14</v>
      </c>
      <c r="D17" s="64">
        <v>60.11</v>
      </c>
      <c r="E17" s="64">
        <v>3.29</v>
      </c>
      <c r="F17" s="64">
        <v>11.06</v>
      </c>
      <c r="G17" s="64">
        <v>84</v>
      </c>
      <c r="H17" s="64">
        <v>14.41</v>
      </c>
      <c r="I17" s="64">
        <v>3.93</v>
      </c>
      <c r="J17" s="64">
        <v>1.45</v>
      </c>
      <c r="K17" s="64">
        <v>95.41</v>
      </c>
      <c r="L17" s="64">
        <v>26.62</v>
      </c>
      <c r="M17" s="64">
        <v>47.09</v>
      </c>
      <c r="N17" s="64">
        <v>55.7</v>
      </c>
      <c r="O17" s="64">
        <v>0</v>
      </c>
      <c r="P17" s="64">
        <v>0.38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1215</v>
      </c>
      <c r="B18" s="64">
        <v>0.94</v>
      </c>
      <c r="C18" s="64">
        <v>31</v>
      </c>
      <c r="D18" s="64">
        <v>57.89</v>
      </c>
      <c r="E18" s="64">
        <v>3.31</v>
      </c>
      <c r="F18" s="64">
        <v>13.87</v>
      </c>
      <c r="G18" s="64">
        <v>84</v>
      </c>
      <c r="H18" s="64">
        <v>14.41</v>
      </c>
      <c r="I18" s="64">
        <v>3.98</v>
      </c>
      <c r="J18" s="64">
        <v>1.22</v>
      </c>
      <c r="K18" s="64">
        <v>92.72</v>
      </c>
      <c r="L18" s="64">
        <v>26.55</v>
      </c>
      <c r="M18" s="64">
        <v>47.07</v>
      </c>
      <c r="N18" s="64">
        <v>55.7</v>
      </c>
      <c r="O18" s="64">
        <v>0</v>
      </c>
      <c r="P18" s="64">
        <v>0.34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1216</v>
      </c>
      <c r="B19" s="64">
        <v>1.06</v>
      </c>
      <c r="C19" s="64">
        <v>30.29</v>
      </c>
      <c r="D19" s="64">
        <v>56.35</v>
      </c>
      <c r="E19" s="64">
        <v>3.65</v>
      </c>
      <c r="F19" s="64">
        <v>15.37</v>
      </c>
      <c r="G19" s="64">
        <v>77.89</v>
      </c>
      <c r="H19" s="64">
        <v>13.83</v>
      </c>
      <c r="I19" s="64">
        <v>4.1500000000000004</v>
      </c>
      <c r="J19" s="64">
        <v>0.77</v>
      </c>
      <c r="K19" s="64">
        <v>86.69</v>
      </c>
      <c r="L19" s="64">
        <v>26.44</v>
      </c>
      <c r="M19" s="64">
        <v>47.17</v>
      </c>
      <c r="N19" s="64">
        <v>55.7</v>
      </c>
      <c r="O19" s="64">
        <v>0</v>
      </c>
      <c r="P19" s="64">
        <v>0.33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1217</v>
      </c>
      <c r="B20" s="64">
        <v>1.1299999999999999</v>
      </c>
      <c r="C20" s="64">
        <v>29.63</v>
      </c>
      <c r="D20" s="64">
        <v>54.99</v>
      </c>
      <c r="E20" s="64">
        <v>3.29</v>
      </c>
      <c r="F20" s="64">
        <v>10.97</v>
      </c>
      <c r="G20" s="64">
        <v>71.209999999999994</v>
      </c>
      <c r="H20" s="64">
        <v>13.21</v>
      </c>
      <c r="I20" s="64">
        <v>4</v>
      </c>
      <c r="J20" s="64">
        <v>1.33</v>
      </c>
      <c r="K20" s="64">
        <v>90.24</v>
      </c>
      <c r="L20" s="64">
        <v>26.33</v>
      </c>
      <c r="M20" s="64">
        <v>47.61</v>
      </c>
      <c r="N20" s="64">
        <v>55.6</v>
      </c>
      <c r="O20" s="64">
        <v>0</v>
      </c>
      <c r="P20" s="64">
        <v>0.33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1218</v>
      </c>
      <c r="B21" s="64">
        <v>1.48</v>
      </c>
      <c r="C21" s="64">
        <v>34.380000000000003</v>
      </c>
      <c r="D21" s="64">
        <v>63.54</v>
      </c>
      <c r="E21" s="64">
        <v>3.05</v>
      </c>
      <c r="F21" s="64">
        <v>9.3699999999999992</v>
      </c>
      <c r="G21" s="64">
        <v>71.209999999999994</v>
      </c>
      <c r="H21" s="64">
        <v>13.21</v>
      </c>
      <c r="I21" s="64">
        <v>4.1100000000000003</v>
      </c>
      <c r="J21" s="64">
        <v>0.78</v>
      </c>
      <c r="K21" s="64">
        <v>79.13</v>
      </c>
      <c r="L21" s="64">
        <v>26.17</v>
      </c>
      <c r="M21" s="64">
        <v>48.5</v>
      </c>
      <c r="N21" s="64">
        <v>55.9</v>
      </c>
      <c r="O21" s="64">
        <v>0</v>
      </c>
      <c r="P21" s="64">
        <v>0.34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1219</v>
      </c>
      <c r="B22" s="64">
        <v>1.27</v>
      </c>
      <c r="C22" s="64">
        <v>32.869999999999997</v>
      </c>
      <c r="D22" s="64">
        <v>60.96</v>
      </c>
      <c r="E22" s="64">
        <v>3.43</v>
      </c>
      <c r="F22" s="64">
        <v>9.6199999999999992</v>
      </c>
      <c r="G22" s="64">
        <v>71.209999999999994</v>
      </c>
      <c r="H22" s="64">
        <v>13.21</v>
      </c>
      <c r="I22" s="64">
        <v>4.0999999999999996</v>
      </c>
      <c r="J22" s="64">
        <v>1.07</v>
      </c>
      <c r="K22" s="64">
        <v>92.78</v>
      </c>
      <c r="L22" s="64">
        <v>25.9</v>
      </c>
      <c r="M22" s="64">
        <v>49.63</v>
      </c>
      <c r="N22" s="64">
        <v>55.8</v>
      </c>
      <c r="O22" s="64">
        <v>0</v>
      </c>
      <c r="P22" s="64">
        <v>0.33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1220</v>
      </c>
      <c r="B23" s="64">
        <v>1.42</v>
      </c>
      <c r="C23" s="64">
        <v>34.78</v>
      </c>
      <c r="D23" s="64">
        <v>64.400000000000006</v>
      </c>
      <c r="E23" s="64">
        <v>3.14</v>
      </c>
      <c r="F23" s="64">
        <v>8.39</v>
      </c>
      <c r="G23" s="64">
        <v>66.8</v>
      </c>
      <c r="H23" s="64">
        <v>13.92</v>
      </c>
      <c r="I23" s="64">
        <v>3.86</v>
      </c>
      <c r="J23" s="64">
        <v>1.36</v>
      </c>
      <c r="K23" s="64">
        <v>92.09</v>
      </c>
      <c r="L23" s="64">
        <v>25.91</v>
      </c>
      <c r="M23" s="64">
        <v>49.57</v>
      </c>
      <c r="N23" s="64">
        <v>55.4</v>
      </c>
      <c r="O23" s="64">
        <v>0</v>
      </c>
      <c r="P23" s="64">
        <v>0.32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1221</v>
      </c>
      <c r="B24" s="64">
        <v>1.44</v>
      </c>
      <c r="C24" s="64">
        <v>35.83</v>
      </c>
      <c r="D24" s="64">
        <v>66.36</v>
      </c>
      <c r="E24" s="64">
        <v>3.17</v>
      </c>
      <c r="F24" s="64">
        <v>7.38</v>
      </c>
      <c r="G24" s="64">
        <v>61.98</v>
      </c>
      <c r="H24" s="64">
        <v>14.7</v>
      </c>
      <c r="I24" s="64">
        <v>4.18</v>
      </c>
      <c r="J24" s="64">
        <v>0.97</v>
      </c>
      <c r="K24" s="64">
        <v>92.79</v>
      </c>
      <c r="L24" s="64">
        <v>25.73</v>
      </c>
      <c r="M24" s="64">
        <v>50.25</v>
      </c>
      <c r="N24" s="64">
        <v>55.9</v>
      </c>
      <c r="O24" s="64">
        <v>0</v>
      </c>
      <c r="P24" s="64">
        <v>0.33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1222</v>
      </c>
      <c r="B25" s="64">
        <v>1.63</v>
      </c>
      <c r="C25" s="64">
        <v>36.22</v>
      </c>
      <c r="D25" s="64">
        <v>66.819999999999993</v>
      </c>
      <c r="E25" s="64">
        <v>2.79</v>
      </c>
      <c r="F25" s="64">
        <v>9.17</v>
      </c>
      <c r="G25" s="64">
        <v>61.98</v>
      </c>
      <c r="H25" s="64">
        <v>14.7</v>
      </c>
      <c r="I25" s="64">
        <v>4.01</v>
      </c>
      <c r="J25" s="64">
        <v>0.38</v>
      </c>
      <c r="K25" s="64">
        <v>126.98</v>
      </c>
      <c r="L25" s="64">
        <v>25.49</v>
      </c>
      <c r="M25" s="64">
        <v>50.91</v>
      </c>
      <c r="N25" s="64">
        <v>55.9</v>
      </c>
      <c r="O25" s="64">
        <v>0</v>
      </c>
      <c r="P25" s="64">
        <v>0.33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1223</v>
      </c>
      <c r="B26" s="64">
        <v>1.4</v>
      </c>
      <c r="C26" s="64">
        <v>34.85</v>
      </c>
      <c r="D26" s="64">
        <v>64.540000000000006</v>
      </c>
      <c r="E26" s="64">
        <v>3.04</v>
      </c>
      <c r="F26" s="64">
        <v>7.67</v>
      </c>
      <c r="G26" s="64">
        <v>61.98</v>
      </c>
      <c r="H26" s="64">
        <v>14.7</v>
      </c>
      <c r="I26" s="64">
        <v>4.04</v>
      </c>
      <c r="J26" s="64">
        <v>0.46</v>
      </c>
      <c r="K26" s="64">
        <v>117.82</v>
      </c>
      <c r="L26" s="64">
        <v>25.31</v>
      </c>
      <c r="M26" s="64">
        <v>51.25</v>
      </c>
      <c r="N26" s="64">
        <v>55.8</v>
      </c>
      <c r="O26" s="64">
        <v>0</v>
      </c>
      <c r="P26" s="64">
        <v>0.31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1224</v>
      </c>
      <c r="B27" s="64">
        <v>1.65</v>
      </c>
      <c r="C27" s="64">
        <v>36.69</v>
      </c>
      <c r="D27" s="64">
        <v>67.680000000000007</v>
      </c>
      <c r="E27" s="64">
        <v>2.57</v>
      </c>
      <c r="F27" s="64">
        <v>8.2200000000000006</v>
      </c>
      <c r="G27" s="64">
        <v>59.84</v>
      </c>
      <c r="H27" s="64">
        <v>15.34</v>
      </c>
      <c r="I27" s="64">
        <v>3.84</v>
      </c>
      <c r="J27" s="64">
        <v>0.76</v>
      </c>
      <c r="K27" s="64">
        <v>102.45</v>
      </c>
      <c r="L27" s="64">
        <v>25.16</v>
      </c>
      <c r="M27" s="64">
        <v>51.42</v>
      </c>
      <c r="N27" s="64">
        <v>55.8</v>
      </c>
      <c r="O27" s="64">
        <v>0</v>
      </c>
      <c r="P27" s="64">
        <v>0.31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1225</v>
      </c>
      <c r="B28" s="64">
        <v>1.81</v>
      </c>
      <c r="C28" s="64">
        <v>37.35</v>
      </c>
      <c r="D28" s="64">
        <v>68.7</v>
      </c>
      <c r="E28" s="64">
        <v>2.58</v>
      </c>
      <c r="F28" s="64">
        <v>8.73</v>
      </c>
      <c r="G28" s="64">
        <v>57.49</v>
      </c>
      <c r="H28" s="64">
        <v>16.03</v>
      </c>
      <c r="I28" s="64">
        <v>4.04</v>
      </c>
      <c r="J28" s="64">
        <v>1.19</v>
      </c>
      <c r="K28" s="64">
        <v>79.14</v>
      </c>
      <c r="L28" s="64">
        <v>25.15</v>
      </c>
      <c r="M28" s="64">
        <v>51.28</v>
      </c>
      <c r="N28" s="64">
        <v>55.7</v>
      </c>
      <c r="O28" s="64">
        <v>0</v>
      </c>
      <c r="P28" s="64">
        <v>0.3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1226</v>
      </c>
      <c r="B29" s="64">
        <v>1.8</v>
      </c>
      <c r="C29" s="64">
        <v>37.14</v>
      </c>
      <c r="D29" s="64">
        <v>68.33</v>
      </c>
      <c r="E29" s="64">
        <v>2.73</v>
      </c>
      <c r="F29" s="64">
        <v>8.0299999999999994</v>
      </c>
      <c r="G29" s="64">
        <v>57.49</v>
      </c>
      <c r="H29" s="64">
        <v>16.03</v>
      </c>
      <c r="I29" s="64">
        <v>3.99</v>
      </c>
      <c r="J29" s="64">
        <v>1.1299999999999999</v>
      </c>
      <c r="K29" s="64">
        <v>95.65</v>
      </c>
      <c r="L29" s="64">
        <v>24.92</v>
      </c>
      <c r="M29" s="64">
        <v>52.58</v>
      </c>
      <c r="N29" s="64">
        <v>56</v>
      </c>
      <c r="O29" s="64">
        <v>0</v>
      </c>
      <c r="P29" s="64">
        <v>0.3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1227</v>
      </c>
      <c r="B30" s="64">
        <v>1.98</v>
      </c>
      <c r="C30" s="64">
        <v>38.11</v>
      </c>
      <c r="D30" s="64">
        <v>69.900000000000006</v>
      </c>
      <c r="E30" s="64">
        <v>3.01</v>
      </c>
      <c r="F30" s="64">
        <v>6.66</v>
      </c>
      <c r="G30" s="64">
        <v>57.49</v>
      </c>
      <c r="H30" s="64">
        <v>16.03</v>
      </c>
      <c r="I30" s="64">
        <v>4.0199999999999996</v>
      </c>
      <c r="J30" s="64">
        <v>1.74</v>
      </c>
      <c r="K30" s="64">
        <v>98.34</v>
      </c>
      <c r="L30" s="64">
        <v>24.8</v>
      </c>
      <c r="M30" s="64">
        <v>52.87</v>
      </c>
      <c r="N30" s="64">
        <v>55.8</v>
      </c>
      <c r="O30" s="64">
        <v>0</v>
      </c>
      <c r="P30" s="64">
        <v>0.3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1228</v>
      </c>
      <c r="B31" s="64">
        <v>1.48</v>
      </c>
      <c r="C31" s="64">
        <v>33.619999999999997</v>
      </c>
      <c r="D31" s="64">
        <v>62.07</v>
      </c>
      <c r="E31" s="64">
        <v>3.65</v>
      </c>
      <c r="F31" s="64">
        <v>13.8</v>
      </c>
      <c r="G31" s="64">
        <v>53.35</v>
      </c>
      <c r="H31" s="64">
        <v>14.11</v>
      </c>
      <c r="I31" s="64">
        <v>3.99</v>
      </c>
      <c r="J31" s="64">
        <v>1.06</v>
      </c>
      <c r="K31" s="64">
        <v>95.07</v>
      </c>
      <c r="L31" s="64">
        <v>24.7</v>
      </c>
      <c r="M31" s="64">
        <v>53.38</v>
      </c>
      <c r="N31" s="64">
        <v>57.1</v>
      </c>
      <c r="O31" s="64">
        <v>0</v>
      </c>
      <c r="P31" s="64">
        <v>0.28000000000000003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1229</v>
      </c>
      <c r="B32" s="64">
        <v>3.2</v>
      </c>
      <c r="C32" s="64">
        <v>35.18</v>
      </c>
      <c r="D32" s="64">
        <v>62.41</v>
      </c>
      <c r="E32" s="64">
        <v>3.59</v>
      </c>
      <c r="F32" s="64">
        <v>15.11</v>
      </c>
      <c r="G32" s="64">
        <v>48.81</v>
      </c>
      <c r="H32" s="64">
        <v>12.01</v>
      </c>
      <c r="I32" s="64">
        <v>3.91</v>
      </c>
      <c r="J32" s="64">
        <v>0.56000000000000005</v>
      </c>
      <c r="K32" s="64">
        <v>84.56</v>
      </c>
      <c r="L32" s="64">
        <v>24.64</v>
      </c>
      <c r="M32" s="64">
        <v>53.67</v>
      </c>
      <c r="N32" s="64">
        <v>60.1</v>
      </c>
      <c r="O32" s="64">
        <v>0</v>
      </c>
      <c r="P32" s="64">
        <v>0.28999999999999998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1230</v>
      </c>
      <c r="B33" s="64">
        <v>14.72</v>
      </c>
      <c r="C33" s="64">
        <v>57.75</v>
      </c>
      <c r="D33" s="64">
        <v>87.95</v>
      </c>
      <c r="E33" s="64">
        <v>4.5</v>
      </c>
      <c r="F33" s="64">
        <v>11.78</v>
      </c>
      <c r="G33" s="64">
        <v>48.81</v>
      </c>
      <c r="H33" s="64">
        <v>12.01</v>
      </c>
      <c r="I33" s="64">
        <v>3.98</v>
      </c>
      <c r="J33" s="64">
        <v>0.38</v>
      </c>
      <c r="K33" s="64">
        <v>26.13</v>
      </c>
      <c r="L33" s="64">
        <v>24.54</v>
      </c>
      <c r="M33" s="64">
        <v>55.1</v>
      </c>
      <c r="N33" s="64">
        <v>69.2</v>
      </c>
      <c r="O33" s="64">
        <v>0</v>
      </c>
      <c r="P33" s="64">
        <v>0.47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1231</v>
      </c>
      <c r="B34" s="64">
        <v>4.16</v>
      </c>
      <c r="C34" s="64">
        <v>36.04</v>
      </c>
      <c r="D34" s="64">
        <v>62.59</v>
      </c>
      <c r="E34" s="64">
        <v>4.17</v>
      </c>
      <c r="F34" s="64">
        <v>14.47</v>
      </c>
      <c r="G34" s="64">
        <v>48.81</v>
      </c>
      <c r="H34" s="64">
        <v>12.01</v>
      </c>
      <c r="I34" s="64">
        <v>3.98</v>
      </c>
      <c r="J34" s="64">
        <v>0.59</v>
      </c>
      <c r="K34" s="64">
        <v>57.73</v>
      </c>
      <c r="L34" s="64">
        <v>24.51</v>
      </c>
      <c r="M34" s="64">
        <v>55.32</v>
      </c>
      <c r="N34" s="64">
        <v>90.8</v>
      </c>
      <c r="O34" s="64">
        <v>0</v>
      </c>
      <c r="P34" s="64">
        <v>0.35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1232</v>
      </c>
      <c r="B35" s="64">
        <v>12.03</v>
      </c>
      <c r="C35" s="64">
        <v>49.83</v>
      </c>
      <c r="D35" s="64">
        <v>76.900000000000006</v>
      </c>
      <c r="E35" s="64">
        <v>4.9800000000000004</v>
      </c>
      <c r="F35" s="64">
        <v>11.6</v>
      </c>
      <c r="G35" s="64">
        <v>47.42</v>
      </c>
      <c r="H35" s="64">
        <v>12.76</v>
      </c>
      <c r="I35" s="64">
        <v>3.87</v>
      </c>
      <c r="J35" s="64">
        <v>0.3</v>
      </c>
      <c r="K35" s="64">
        <v>44.24</v>
      </c>
      <c r="L35" s="64">
        <v>24.8</v>
      </c>
      <c r="M35" s="64">
        <v>54.42</v>
      </c>
      <c r="N35" s="64">
        <v>122.6</v>
      </c>
      <c r="O35" s="64">
        <v>0</v>
      </c>
      <c r="P35" s="64">
        <v>0.38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1233</v>
      </c>
      <c r="B36" s="64">
        <v>17.5</v>
      </c>
      <c r="C36" s="64">
        <v>56.99</v>
      </c>
      <c r="D36" s="64">
        <v>82.21</v>
      </c>
      <c r="E36" s="64">
        <v>4.99</v>
      </c>
      <c r="F36" s="64">
        <v>9.26</v>
      </c>
      <c r="G36" s="64">
        <v>45.91</v>
      </c>
      <c r="H36" s="64">
        <v>13.57</v>
      </c>
      <c r="I36" s="64">
        <v>3.9</v>
      </c>
      <c r="J36" s="64">
        <v>0.47</v>
      </c>
      <c r="K36" s="64">
        <v>55.62</v>
      </c>
      <c r="L36" s="64">
        <v>25.31</v>
      </c>
      <c r="M36" s="64">
        <v>53.76</v>
      </c>
      <c r="N36" s="64">
        <v>164.2</v>
      </c>
      <c r="O36" s="64">
        <v>0</v>
      </c>
      <c r="P36" s="64">
        <v>0.43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1234</v>
      </c>
      <c r="B37" s="64">
        <v>9.01</v>
      </c>
      <c r="C37" s="64">
        <v>44.12</v>
      </c>
      <c r="D37" s="64">
        <v>70.61</v>
      </c>
      <c r="E37" s="64">
        <v>5.49</v>
      </c>
      <c r="F37" s="64">
        <v>10.4</v>
      </c>
      <c r="G37" s="64">
        <v>45.91</v>
      </c>
      <c r="H37" s="64">
        <v>13.57</v>
      </c>
      <c r="I37" s="64">
        <v>3.96</v>
      </c>
      <c r="J37" s="64">
        <v>0.78</v>
      </c>
      <c r="K37" s="64">
        <v>65.88</v>
      </c>
      <c r="L37" s="64">
        <v>25.56</v>
      </c>
      <c r="M37" s="64">
        <v>53.5</v>
      </c>
      <c r="N37" s="64">
        <v>182.9</v>
      </c>
      <c r="O37" s="64">
        <v>0</v>
      </c>
      <c r="P37" s="64">
        <v>0.4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1235</v>
      </c>
      <c r="B38" s="64">
        <v>7.52</v>
      </c>
      <c r="C38" s="64">
        <v>42.03</v>
      </c>
      <c r="D38" s="64">
        <v>68.91</v>
      </c>
      <c r="E38" s="64">
        <v>5.47</v>
      </c>
      <c r="F38" s="64">
        <v>9.8699999999999992</v>
      </c>
      <c r="G38" s="64">
        <v>45.91</v>
      </c>
      <c r="H38" s="64">
        <v>13.57</v>
      </c>
      <c r="I38" s="64">
        <v>4.0199999999999996</v>
      </c>
      <c r="J38" s="64">
        <v>0.46</v>
      </c>
      <c r="K38" s="64">
        <v>33.28</v>
      </c>
      <c r="L38" s="64">
        <v>25.95</v>
      </c>
      <c r="M38" s="64">
        <v>52.98</v>
      </c>
      <c r="N38" s="64">
        <v>269.2</v>
      </c>
      <c r="O38" s="64">
        <v>0</v>
      </c>
      <c r="P38" s="64">
        <v>0.38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1236</v>
      </c>
      <c r="B39" s="64">
        <v>8.18</v>
      </c>
      <c r="C39" s="64">
        <v>44.38</v>
      </c>
      <c r="D39" s="64">
        <v>72.400000000000006</v>
      </c>
      <c r="E39" s="64">
        <v>3.88</v>
      </c>
      <c r="F39" s="64">
        <v>7.06</v>
      </c>
      <c r="G39" s="64">
        <v>49.55</v>
      </c>
      <c r="H39" s="64">
        <v>13.31</v>
      </c>
      <c r="I39" s="64">
        <v>3.82</v>
      </c>
      <c r="J39" s="64">
        <v>0.65</v>
      </c>
      <c r="K39" s="64">
        <v>70.59</v>
      </c>
      <c r="L39" s="64">
        <v>26.9</v>
      </c>
      <c r="M39" s="64">
        <v>50.8</v>
      </c>
      <c r="N39" s="64">
        <v>316.89999999999998</v>
      </c>
      <c r="O39" s="64">
        <v>0</v>
      </c>
      <c r="P39" s="64">
        <v>0.36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1237</v>
      </c>
      <c r="B40" s="64">
        <v>8.44</v>
      </c>
      <c r="C40" s="64">
        <v>47.36</v>
      </c>
      <c r="D40" s="64">
        <v>77.69</v>
      </c>
      <c r="E40" s="64">
        <v>3.34</v>
      </c>
      <c r="F40" s="64">
        <v>7.72</v>
      </c>
      <c r="G40" s="64">
        <v>53.53</v>
      </c>
      <c r="H40" s="64">
        <v>13.03</v>
      </c>
      <c r="I40" s="64">
        <v>3.95</v>
      </c>
      <c r="J40" s="64">
        <v>1.01</v>
      </c>
      <c r="K40" s="64">
        <v>99.15</v>
      </c>
      <c r="L40" s="64">
        <v>26.94</v>
      </c>
      <c r="M40" s="64">
        <v>50.46</v>
      </c>
      <c r="N40" s="64">
        <v>352.8</v>
      </c>
      <c r="O40" s="64">
        <v>0</v>
      </c>
      <c r="P40" s="64">
        <v>0.37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1238</v>
      </c>
      <c r="B41" s="64">
        <v>7.12</v>
      </c>
      <c r="C41" s="64">
        <v>45.82</v>
      </c>
      <c r="D41" s="64">
        <v>76.790000000000006</v>
      </c>
      <c r="E41" s="64">
        <v>4.12</v>
      </c>
      <c r="F41" s="64">
        <v>7.19</v>
      </c>
      <c r="G41" s="64">
        <v>53.53</v>
      </c>
      <c r="H41" s="64">
        <v>13.03</v>
      </c>
      <c r="I41" s="64">
        <v>3.88</v>
      </c>
      <c r="J41" s="64">
        <v>1.1100000000000001</v>
      </c>
      <c r="K41" s="64">
        <v>102.18</v>
      </c>
      <c r="L41" s="64">
        <v>27.34</v>
      </c>
      <c r="M41" s="64">
        <v>49.28</v>
      </c>
      <c r="N41" s="64">
        <v>392.3</v>
      </c>
      <c r="O41" s="64">
        <v>0</v>
      </c>
      <c r="P41" s="64">
        <v>0.37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1239</v>
      </c>
      <c r="B42" s="64">
        <v>8.86</v>
      </c>
      <c r="C42" s="64">
        <v>49.41</v>
      </c>
      <c r="D42" s="64">
        <v>80.98</v>
      </c>
      <c r="E42" s="64">
        <v>4.1900000000000004</v>
      </c>
      <c r="F42" s="64">
        <v>7.83</v>
      </c>
      <c r="G42" s="64">
        <v>53.53</v>
      </c>
      <c r="H42" s="64">
        <v>13.03</v>
      </c>
      <c r="I42" s="64">
        <v>3.95</v>
      </c>
      <c r="J42" s="64">
        <v>0.87</v>
      </c>
      <c r="K42" s="64">
        <v>88.67</v>
      </c>
      <c r="L42" s="64">
        <v>28.2</v>
      </c>
      <c r="M42" s="64">
        <v>46.28</v>
      </c>
      <c r="N42" s="64">
        <v>512.70000000000005</v>
      </c>
      <c r="O42" s="64">
        <v>0</v>
      </c>
      <c r="P42" s="64">
        <v>0.38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1240</v>
      </c>
      <c r="B43" s="64">
        <v>7.36</v>
      </c>
      <c r="C43" s="64">
        <v>48.16</v>
      </c>
      <c r="D43" s="64">
        <v>80.88</v>
      </c>
      <c r="E43" s="64">
        <v>4.37</v>
      </c>
      <c r="F43" s="64">
        <v>8.06</v>
      </c>
      <c r="G43" s="64">
        <v>52.29</v>
      </c>
      <c r="H43" s="64">
        <v>12.64</v>
      </c>
      <c r="I43" s="64">
        <v>4.0599999999999996</v>
      </c>
      <c r="J43" s="64">
        <v>0.72</v>
      </c>
      <c r="K43" s="64">
        <v>99.17</v>
      </c>
      <c r="L43" s="64">
        <v>29.02</v>
      </c>
      <c r="M43" s="64">
        <v>44.15</v>
      </c>
      <c r="N43" s="64">
        <v>564.70000000000005</v>
      </c>
      <c r="O43" s="64">
        <v>0</v>
      </c>
      <c r="P43" s="64">
        <v>0.38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1241</v>
      </c>
      <c r="B44" s="64">
        <v>6.08</v>
      </c>
      <c r="C44" s="64">
        <v>45.83</v>
      </c>
      <c r="D44" s="64">
        <v>78.38</v>
      </c>
      <c r="E44" s="64">
        <v>4.3099999999999996</v>
      </c>
      <c r="F44" s="64">
        <v>8.5</v>
      </c>
      <c r="G44" s="64">
        <v>50.94</v>
      </c>
      <c r="H44" s="64">
        <v>12.22</v>
      </c>
      <c r="I44" s="64">
        <v>4</v>
      </c>
      <c r="J44" s="64">
        <v>0.53</v>
      </c>
      <c r="K44" s="64">
        <v>127.82</v>
      </c>
      <c r="L44" s="64">
        <v>30</v>
      </c>
      <c r="M44" s="64">
        <v>40.83</v>
      </c>
      <c r="N44" s="64">
        <v>595.1</v>
      </c>
      <c r="O44" s="64">
        <v>0</v>
      </c>
      <c r="P44" s="64">
        <v>0.38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1242</v>
      </c>
      <c r="B45" s="64">
        <v>6.35</v>
      </c>
      <c r="C45" s="64">
        <v>47.96</v>
      </c>
      <c r="D45" s="64">
        <v>82.05</v>
      </c>
      <c r="E45" s="64">
        <v>3.74</v>
      </c>
      <c r="F45" s="64">
        <v>7.25</v>
      </c>
      <c r="G45" s="64">
        <v>50.94</v>
      </c>
      <c r="H45" s="64">
        <v>12.22</v>
      </c>
      <c r="I45" s="64">
        <v>4.0999999999999996</v>
      </c>
      <c r="J45" s="64">
        <v>0.49</v>
      </c>
      <c r="K45" s="64">
        <v>164.16</v>
      </c>
      <c r="L45" s="64">
        <v>30.54</v>
      </c>
      <c r="M45" s="64">
        <v>39.04</v>
      </c>
      <c r="N45" s="64">
        <v>654.6</v>
      </c>
      <c r="O45" s="64">
        <v>0</v>
      </c>
      <c r="P45" s="64">
        <v>0.41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1243</v>
      </c>
      <c r="B46" s="64">
        <v>4.58</v>
      </c>
      <c r="C46" s="64">
        <v>45.43</v>
      </c>
      <c r="D46" s="64">
        <v>79.91</v>
      </c>
      <c r="E46" s="64">
        <v>3.3</v>
      </c>
      <c r="F46" s="64">
        <v>7.75</v>
      </c>
      <c r="G46" s="64">
        <v>50.94</v>
      </c>
      <c r="H46" s="64">
        <v>12.22</v>
      </c>
      <c r="I46" s="64">
        <v>3.76</v>
      </c>
      <c r="J46" s="64">
        <v>0.57999999999999996</v>
      </c>
      <c r="K46" s="64">
        <v>151.91</v>
      </c>
      <c r="L46" s="64">
        <v>30.99</v>
      </c>
      <c r="M46" s="64">
        <v>37.83</v>
      </c>
      <c r="N46" s="64">
        <v>699.6</v>
      </c>
      <c r="O46" s="64">
        <v>0</v>
      </c>
      <c r="P46" s="64">
        <v>0.39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1244</v>
      </c>
      <c r="B47" s="64">
        <v>5.41</v>
      </c>
      <c r="C47" s="64">
        <v>44.76</v>
      </c>
      <c r="D47" s="64">
        <v>77.37</v>
      </c>
      <c r="E47" s="64">
        <v>3.95</v>
      </c>
      <c r="F47" s="64">
        <v>9.15</v>
      </c>
      <c r="G47" s="64">
        <v>48.46</v>
      </c>
      <c r="H47" s="64">
        <v>11.77</v>
      </c>
      <c r="I47" s="64">
        <v>3.85</v>
      </c>
      <c r="J47" s="64">
        <v>0.5</v>
      </c>
      <c r="K47" s="64">
        <v>313.48</v>
      </c>
      <c r="L47" s="64">
        <v>33.5</v>
      </c>
      <c r="M47" s="64">
        <v>33.450000000000003</v>
      </c>
      <c r="N47" s="64">
        <v>738.9</v>
      </c>
      <c r="O47" s="64">
        <v>0</v>
      </c>
      <c r="P47" s="64">
        <v>0.41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1245</v>
      </c>
      <c r="B48" s="64">
        <v>4.84</v>
      </c>
      <c r="C48" s="64">
        <v>46.62</v>
      </c>
      <c r="D48" s="64">
        <v>81.8</v>
      </c>
      <c r="E48" s="64">
        <v>3.32</v>
      </c>
      <c r="F48" s="64">
        <v>7.71</v>
      </c>
      <c r="G48" s="64">
        <v>45.75</v>
      </c>
      <c r="H48" s="64">
        <v>11.27</v>
      </c>
      <c r="I48" s="64">
        <v>4.01</v>
      </c>
      <c r="J48" s="64">
        <v>0.68</v>
      </c>
      <c r="K48" s="64">
        <v>293.20999999999998</v>
      </c>
      <c r="L48" s="64">
        <v>33.57</v>
      </c>
      <c r="M48" s="64">
        <v>33.36</v>
      </c>
      <c r="N48" s="64">
        <v>764</v>
      </c>
      <c r="O48" s="64">
        <v>0</v>
      </c>
      <c r="P48" s="64">
        <v>0.41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1246</v>
      </c>
      <c r="B49" s="64">
        <v>3.05</v>
      </c>
      <c r="C49" s="64">
        <v>44.14</v>
      </c>
      <c r="D49" s="64">
        <v>79.81</v>
      </c>
      <c r="E49" s="64">
        <v>3.77</v>
      </c>
      <c r="F49" s="64">
        <v>8.48</v>
      </c>
      <c r="G49" s="64">
        <v>45.75</v>
      </c>
      <c r="H49" s="64">
        <v>11.27</v>
      </c>
      <c r="I49" s="64">
        <v>3.98</v>
      </c>
      <c r="J49" s="64">
        <v>0.61</v>
      </c>
      <c r="K49" s="64">
        <v>294.81</v>
      </c>
      <c r="L49" s="64">
        <v>34.58</v>
      </c>
      <c r="M49" s="64">
        <v>31.86</v>
      </c>
      <c r="N49" s="64">
        <v>802.4</v>
      </c>
      <c r="O49" s="64">
        <v>0</v>
      </c>
      <c r="P49" s="64">
        <v>0.42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1247</v>
      </c>
      <c r="B50" s="64">
        <v>2.2200000000000002</v>
      </c>
      <c r="C50" s="64">
        <v>45.29</v>
      </c>
      <c r="D50" s="64">
        <v>83.27</v>
      </c>
      <c r="E50" s="64">
        <v>3.38</v>
      </c>
      <c r="F50" s="64">
        <v>7.52</v>
      </c>
      <c r="G50" s="64">
        <v>45.75</v>
      </c>
      <c r="H50" s="64">
        <v>11.27</v>
      </c>
      <c r="I50" s="64">
        <v>4.0599999999999996</v>
      </c>
      <c r="J50" s="64">
        <v>0.55000000000000004</v>
      </c>
      <c r="K50" s="64">
        <v>240</v>
      </c>
      <c r="L50" s="64">
        <v>33.299999999999997</v>
      </c>
      <c r="M50" s="64">
        <v>33.89</v>
      </c>
      <c r="N50" s="64">
        <v>828.6</v>
      </c>
      <c r="O50" s="64">
        <v>0</v>
      </c>
      <c r="P50" s="64">
        <v>0.44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1248</v>
      </c>
      <c r="B51" s="64">
        <v>1.46</v>
      </c>
      <c r="C51" s="64">
        <v>45.87</v>
      </c>
      <c r="D51" s="64">
        <v>85.55</v>
      </c>
      <c r="E51" s="64">
        <v>3.35</v>
      </c>
      <c r="F51" s="64">
        <v>7.54</v>
      </c>
      <c r="G51" s="64">
        <v>49.4</v>
      </c>
      <c r="H51" s="64">
        <v>12.64</v>
      </c>
      <c r="I51" s="64">
        <v>4.0199999999999996</v>
      </c>
      <c r="J51" s="64">
        <v>1.03</v>
      </c>
      <c r="K51" s="64">
        <v>277.10000000000002</v>
      </c>
      <c r="L51" s="64">
        <v>34.479999999999997</v>
      </c>
      <c r="M51" s="64">
        <v>32.130000000000003</v>
      </c>
      <c r="N51" s="64">
        <v>855.5</v>
      </c>
      <c r="O51" s="64">
        <v>0</v>
      </c>
      <c r="P51" s="64">
        <v>0.46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1249</v>
      </c>
      <c r="B52" s="64">
        <v>1.17</v>
      </c>
      <c r="C52" s="64">
        <v>46.47</v>
      </c>
      <c r="D52" s="64">
        <v>87.15</v>
      </c>
      <c r="E52" s="64">
        <v>4.1399999999999997</v>
      </c>
      <c r="F52" s="64">
        <v>9.16</v>
      </c>
      <c r="G52" s="64">
        <v>53.39</v>
      </c>
      <c r="H52" s="64">
        <v>14.13</v>
      </c>
      <c r="I52" s="64">
        <v>3.9</v>
      </c>
      <c r="J52" s="64">
        <v>0.8</v>
      </c>
      <c r="K52" s="64">
        <v>255.94</v>
      </c>
      <c r="L52" s="64">
        <v>34.43</v>
      </c>
      <c r="M52" s="64">
        <v>31.05</v>
      </c>
      <c r="N52" s="64">
        <v>843.8</v>
      </c>
      <c r="O52" s="64">
        <v>0</v>
      </c>
      <c r="P52" s="64">
        <v>0.52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1250</v>
      </c>
      <c r="B53" s="64">
        <v>1.22</v>
      </c>
      <c r="C53" s="64">
        <v>47.91</v>
      </c>
      <c r="D53" s="64">
        <v>89.83</v>
      </c>
      <c r="E53" s="64">
        <v>4.51</v>
      </c>
      <c r="F53" s="64">
        <v>9.4600000000000009</v>
      </c>
      <c r="G53" s="64">
        <v>53.39</v>
      </c>
      <c r="H53" s="64">
        <v>14.13</v>
      </c>
      <c r="I53" s="64">
        <v>4.05</v>
      </c>
      <c r="J53" s="64">
        <v>1.07</v>
      </c>
      <c r="K53" s="64">
        <v>300.83999999999997</v>
      </c>
      <c r="L53" s="64">
        <v>36.630000000000003</v>
      </c>
      <c r="M53" s="64">
        <v>28.75</v>
      </c>
      <c r="N53" s="64">
        <v>843.5</v>
      </c>
      <c r="O53" s="64">
        <v>0</v>
      </c>
      <c r="P53" s="64">
        <v>0.61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1251</v>
      </c>
      <c r="B54" s="64">
        <v>1.22</v>
      </c>
      <c r="C54" s="64">
        <v>50.28</v>
      </c>
      <c r="D54" s="64">
        <v>94.36</v>
      </c>
      <c r="E54" s="64">
        <v>4.25</v>
      </c>
      <c r="F54" s="64">
        <v>11.09</v>
      </c>
      <c r="G54" s="64">
        <v>53.39</v>
      </c>
      <c r="H54" s="64">
        <v>14.13</v>
      </c>
      <c r="I54" s="64">
        <v>3.79</v>
      </c>
      <c r="J54" s="64">
        <v>0.79</v>
      </c>
      <c r="K54" s="64">
        <v>292.33</v>
      </c>
      <c r="L54" s="64">
        <v>38.06</v>
      </c>
      <c r="M54" s="64">
        <v>26.89</v>
      </c>
      <c r="N54" s="64">
        <v>853.1</v>
      </c>
      <c r="O54" s="64">
        <v>0</v>
      </c>
      <c r="P54" s="64">
        <v>0.68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1252</v>
      </c>
      <c r="B55" s="64">
        <v>3.19</v>
      </c>
      <c r="C55" s="64">
        <v>54.14</v>
      </c>
      <c r="D55" s="64">
        <v>98.72</v>
      </c>
      <c r="E55" s="64">
        <v>7.86</v>
      </c>
      <c r="F55" s="64">
        <v>15.02</v>
      </c>
      <c r="G55" s="64">
        <v>61.15</v>
      </c>
      <c r="H55" s="64">
        <v>14.23</v>
      </c>
      <c r="I55" s="64">
        <v>3.93</v>
      </c>
      <c r="J55" s="64">
        <v>1.19</v>
      </c>
      <c r="K55" s="64">
        <v>330.77</v>
      </c>
      <c r="L55" s="64">
        <v>38.31</v>
      </c>
      <c r="M55" s="64">
        <v>26.8</v>
      </c>
      <c r="N55" s="64">
        <v>841.6</v>
      </c>
      <c r="O55" s="64">
        <v>0</v>
      </c>
      <c r="P55" s="64">
        <v>0.79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1253</v>
      </c>
      <c r="B56" s="64">
        <v>2.2200000000000002</v>
      </c>
      <c r="C56" s="64">
        <v>53.94</v>
      </c>
      <c r="D56" s="64">
        <v>99.83</v>
      </c>
      <c r="E56" s="64">
        <v>8.34</v>
      </c>
      <c r="F56" s="64">
        <v>11.98</v>
      </c>
      <c r="G56" s="64">
        <v>69.63</v>
      </c>
      <c r="H56" s="64">
        <v>14.34</v>
      </c>
      <c r="I56" s="64">
        <v>4.17</v>
      </c>
      <c r="J56" s="64">
        <v>0.6</v>
      </c>
      <c r="K56" s="64">
        <v>282.55</v>
      </c>
      <c r="L56" s="64">
        <v>38.36</v>
      </c>
      <c r="M56" s="64">
        <v>25.8</v>
      </c>
      <c r="N56" s="64">
        <v>830.4</v>
      </c>
      <c r="O56" s="64">
        <v>0</v>
      </c>
      <c r="P56" s="64">
        <v>0.83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1254</v>
      </c>
      <c r="B57" s="64">
        <v>0.9</v>
      </c>
      <c r="C57" s="64">
        <v>51.01</v>
      </c>
      <c r="D57" s="64">
        <v>96.24</v>
      </c>
      <c r="E57" s="64">
        <v>7.93</v>
      </c>
      <c r="F57" s="64">
        <v>16.37</v>
      </c>
      <c r="G57" s="64">
        <v>69.63</v>
      </c>
      <c r="H57" s="64">
        <v>14.34</v>
      </c>
      <c r="I57" s="64">
        <v>3.99</v>
      </c>
      <c r="J57" s="64">
        <v>0.46</v>
      </c>
      <c r="K57" s="64">
        <v>275.79000000000002</v>
      </c>
      <c r="L57" s="64">
        <v>36.909999999999997</v>
      </c>
      <c r="M57" s="64">
        <v>27.62</v>
      </c>
      <c r="N57" s="64">
        <v>819.3</v>
      </c>
      <c r="O57" s="64">
        <v>0</v>
      </c>
      <c r="P57" s="64">
        <v>0.89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1255</v>
      </c>
      <c r="B58" s="64">
        <v>1.72</v>
      </c>
      <c r="C58" s="64">
        <v>51.52</v>
      </c>
      <c r="D58" s="64">
        <v>95.97</v>
      </c>
      <c r="E58" s="64">
        <v>9.2200000000000006</v>
      </c>
      <c r="F58" s="64">
        <v>10.82</v>
      </c>
      <c r="G58" s="64">
        <v>69.63</v>
      </c>
      <c r="H58" s="64">
        <v>14.34</v>
      </c>
      <c r="I58" s="64">
        <v>4.12</v>
      </c>
      <c r="J58" s="64">
        <v>0.83</v>
      </c>
      <c r="K58" s="64">
        <v>305.01</v>
      </c>
      <c r="L58" s="64">
        <v>38.36</v>
      </c>
      <c r="M58" s="64">
        <v>25.1</v>
      </c>
      <c r="N58" s="64">
        <v>841.4</v>
      </c>
      <c r="O58" s="64">
        <v>0</v>
      </c>
      <c r="P58" s="64">
        <v>0.88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1256</v>
      </c>
      <c r="B59" s="64">
        <v>2.08</v>
      </c>
      <c r="C59" s="64">
        <v>44.82</v>
      </c>
      <c r="D59" s="64">
        <v>82.59</v>
      </c>
      <c r="E59" s="64">
        <v>16.47</v>
      </c>
      <c r="F59" s="64">
        <v>26.49</v>
      </c>
      <c r="G59" s="64">
        <v>75.459999999999994</v>
      </c>
      <c r="H59" s="64">
        <v>12.29</v>
      </c>
      <c r="I59" s="64">
        <v>4.01</v>
      </c>
      <c r="J59" s="64">
        <v>0.44</v>
      </c>
      <c r="K59" s="64">
        <v>258.45</v>
      </c>
      <c r="L59" s="64">
        <v>38.520000000000003</v>
      </c>
      <c r="M59" s="64">
        <v>23.27</v>
      </c>
      <c r="N59" s="64">
        <v>847.3</v>
      </c>
      <c r="O59" s="64">
        <v>0</v>
      </c>
      <c r="P59" s="64">
        <v>0.85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1257</v>
      </c>
      <c r="B60" s="64">
        <v>1.7</v>
      </c>
      <c r="C60" s="64">
        <v>45.67</v>
      </c>
      <c r="D60" s="64">
        <v>84.79</v>
      </c>
      <c r="E60" s="64">
        <v>11.45</v>
      </c>
      <c r="F60" s="64">
        <v>24.93</v>
      </c>
      <c r="G60" s="64">
        <v>81.83</v>
      </c>
      <c r="H60" s="64">
        <v>10.039999999999999</v>
      </c>
      <c r="I60" s="64">
        <v>4.0599999999999996</v>
      </c>
      <c r="J60" s="64">
        <v>0.57999999999999996</v>
      </c>
      <c r="K60" s="64">
        <v>265.37</v>
      </c>
      <c r="L60" s="64">
        <v>37.4</v>
      </c>
      <c r="M60" s="64">
        <v>24.26</v>
      </c>
      <c r="N60" s="64">
        <v>819</v>
      </c>
      <c r="O60" s="64">
        <v>0</v>
      </c>
      <c r="P60" s="64">
        <v>0.81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1258</v>
      </c>
      <c r="B61" s="64">
        <v>0.97</v>
      </c>
      <c r="C61" s="64">
        <v>45.44</v>
      </c>
      <c r="D61" s="64">
        <v>85.48</v>
      </c>
      <c r="E61" s="64">
        <v>6.95</v>
      </c>
      <c r="F61" s="64">
        <v>13.39</v>
      </c>
      <c r="G61" s="64">
        <v>81.83</v>
      </c>
      <c r="H61" s="64">
        <v>10.039999999999999</v>
      </c>
      <c r="I61" s="64">
        <v>4.07</v>
      </c>
      <c r="J61" s="64">
        <v>1.35</v>
      </c>
      <c r="K61" s="64">
        <v>310.05</v>
      </c>
      <c r="L61" s="64">
        <v>39.5</v>
      </c>
      <c r="M61" s="64">
        <v>21.85</v>
      </c>
      <c r="N61" s="64">
        <v>815</v>
      </c>
      <c r="O61" s="64">
        <v>0</v>
      </c>
      <c r="P61" s="64">
        <v>0.82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1259</v>
      </c>
      <c r="B62" s="64">
        <v>1.85</v>
      </c>
      <c r="C62" s="64">
        <v>45.17</v>
      </c>
      <c r="D62" s="64">
        <v>83.6</v>
      </c>
      <c r="E62" s="64">
        <v>6.17</v>
      </c>
      <c r="F62" s="64">
        <v>17.36</v>
      </c>
      <c r="G62" s="64">
        <v>81.83</v>
      </c>
      <c r="H62" s="64">
        <v>10.039999999999999</v>
      </c>
      <c r="I62" s="64">
        <v>4.01</v>
      </c>
      <c r="J62" s="64">
        <v>1.1399999999999999</v>
      </c>
      <c r="K62" s="64">
        <v>314.14</v>
      </c>
      <c r="L62" s="64">
        <v>40.159999999999997</v>
      </c>
      <c r="M62" s="64">
        <v>19.760000000000002</v>
      </c>
      <c r="N62" s="64">
        <v>794.1</v>
      </c>
      <c r="O62" s="64">
        <v>0</v>
      </c>
      <c r="P62" s="64">
        <v>0.78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1260</v>
      </c>
      <c r="B63" s="64">
        <v>2.95</v>
      </c>
      <c r="C63" s="64">
        <v>49.23</v>
      </c>
      <c r="D63" s="64">
        <v>89.7</v>
      </c>
      <c r="E63" s="64">
        <v>4.2699999999999996</v>
      </c>
      <c r="F63" s="64">
        <v>18.78</v>
      </c>
      <c r="G63" s="64">
        <v>80.63</v>
      </c>
      <c r="H63" s="64">
        <v>17.78</v>
      </c>
      <c r="I63" s="64">
        <v>3.95</v>
      </c>
      <c r="J63" s="64">
        <v>0.99</v>
      </c>
      <c r="K63" s="64">
        <v>316.83</v>
      </c>
      <c r="L63" s="64">
        <v>40.19</v>
      </c>
      <c r="M63" s="64">
        <v>19.09</v>
      </c>
      <c r="N63" s="64">
        <v>776.7</v>
      </c>
      <c r="O63" s="64">
        <v>0</v>
      </c>
      <c r="P63" s="64">
        <v>0.76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1261</v>
      </c>
      <c r="B64" s="64">
        <v>2.5299999999999998</v>
      </c>
      <c r="C64" s="64">
        <v>39.950000000000003</v>
      </c>
      <c r="D64" s="64">
        <v>72.569999999999993</v>
      </c>
      <c r="E64" s="64">
        <v>8.61</v>
      </c>
      <c r="F64" s="64">
        <v>24.98</v>
      </c>
      <c r="G64" s="64">
        <v>79.33</v>
      </c>
      <c r="H64" s="64">
        <v>26.24</v>
      </c>
      <c r="I64" s="64">
        <v>3.96</v>
      </c>
      <c r="J64" s="64">
        <v>1.08</v>
      </c>
      <c r="K64" s="64">
        <v>319.02999999999997</v>
      </c>
      <c r="L64" s="64">
        <v>40.020000000000003</v>
      </c>
      <c r="M64" s="64">
        <v>18.86</v>
      </c>
      <c r="N64" s="64">
        <v>731.7</v>
      </c>
      <c r="O64" s="64">
        <v>0</v>
      </c>
      <c r="P64" s="64">
        <v>0.65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1262</v>
      </c>
      <c r="B65" s="64">
        <v>2.63</v>
      </c>
      <c r="C65" s="64">
        <v>42.13</v>
      </c>
      <c r="D65" s="64">
        <v>76.61</v>
      </c>
      <c r="E65" s="64">
        <v>7.88</v>
      </c>
      <c r="F65" s="64">
        <v>20.149999999999999</v>
      </c>
      <c r="G65" s="64">
        <v>79.33</v>
      </c>
      <c r="H65" s="64">
        <v>26.24</v>
      </c>
      <c r="I65" s="64">
        <v>4.08</v>
      </c>
      <c r="J65" s="64">
        <v>1.82</v>
      </c>
      <c r="K65" s="64">
        <v>326.95</v>
      </c>
      <c r="L65" s="64">
        <v>40.1</v>
      </c>
      <c r="M65" s="64">
        <v>18.63</v>
      </c>
      <c r="N65" s="64">
        <v>501</v>
      </c>
      <c r="O65" s="64">
        <v>0</v>
      </c>
      <c r="P65" s="64">
        <v>0.73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1263</v>
      </c>
      <c r="B66" s="64">
        <v>6.4</v>
      </c>
      <c r="C66" s="64">
        <v>45.87</v>
      </c>
      <c r="D66" s="64">
        <v>77.98</v>
      </c>
      <c r="E66" s="64">
        <v>10.42</v>
      </c>
      <c r="F66" s="64">
        <v>24.68</v>
      </c>
      <c r="G66" s="64">
        <v>79.33</v>
      </c>
      <c r="H66" s="64">
        <v>26.24</v>
      </c>
      <c r="I66" s="64">
        <v>4.01</v>
      </c>
      <c r="J66" s="64">
        <v>0.89</v>
      </c>
      <c r="K66" s="64">
        <v>347.83</v>
      </c>
      <c r="L66" s="64">
        <v>39.340000000000003</v>
      </c>
      <c r="M66" s="64">
        <v>18.71</v>
      </c>
      <c r="N66" s="64">
        <v>488.5</v>
      </c>
      <c r="O66" s="64">
        <v>0</v>
      </c>
      <c r="P66" s="64">
        <v>0.7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1264</v>
      </c>
      <c r="B67" s="64">
        <v>2.1</v>
      </c>
      <c r="C67" s="64">
        <v>40.770000000000003</v>
      </c>
      <c r="D67" s="64">
        <v>74.8</v>
      </c>
      <c r="E67" s="64">
        <v>7.35</v>
      </c>
      <c r="F67" s="64">
        <v>20.79</v>
      </c>
      <c r="G67" s="64">
        <v>72.489999999999995</v>
      </c>
      <c r="H67" s="64">
        <v>26.33</v>
      </c>
      <c r="I67" s="64">
        <v>3.9</v>
      </c>
      <c r="J67" s="64">
        <v>0.95</v>
      </c>
      <c r="K67" s="64">
        <v>320.52</v>
      </c>
      <c r="L67" s="64">
        <v>39.53</v>
      </c>
      <c r="M67" s="64">
        <v>17.78</v>
      </c>
      <c r="N67" s="64">
        <v>457.4</v>
      </c>
      <c r="O67" s="64">
        <v>0</v>
      </c>
      <c r="P67" s="64">
        <v>0.68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1265</v>
      </c>
      <c r="B68" s="64">
        <v>5.18</v>
      </c>
      <c r="C68" s="64">
        <v>46.16</v>
      </c>
      <c r="D68" s="64">
        <v>80.39</v>
      </c>
      <c r="E68" s="64">
        <v>7.23</v>
      </c>
      <c r="F68" s="64">
        <v>19.96</v>
      </c>
      <c r="G68" s="64">
        <v>65.02</v>
      </c>
      <c r="H68" s="64">
        <v>26.44</v>
      </c>
      <c r="I68" s="64">
        <v>4.04</v>
      </c>
      <c r="J68" s="64">
        <v>1.1299999999999999</v>
      </c>
      <c r="K68" s="64">
        <v>330.75</v>
      </c>
      <c r="L68" s="64">
        <v>39.659999999999997</v>
      </c>
      <c r="M68" s="64">
        <v>16.03</v>
      </c>
      <c r="N68" s="64">
        <v>359.3</v>
      </c>
      <c r="O68" s="64">
        <v>0</v>
      </c>
      <c r="P68" s="64">
        <v>0.7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1266</v>
      </c>
      <c r="B69" s="64">
        <v>8.0299999999999994</v>
      </c>
      <c r="C69" s="64">
        <v>54.6</v>
      </c>
      <c r="D69" s="64">
        <v>92.18</v>
      </c>
      <c r="E69" s="64">
        <v>5.79</v>
      </c>
      <c r="F69" s="64">
        <v>11.86</v>
      </c>
      <c r="G69" s="64">
        <v>65.02</v>
      </c>
      <c r="H69" s="64">
        <v>26.44</v>
      </c>
      <c r="I69" s="64">
        <v>3.92</v>
      </c>
      <c r="J69" s="64">
        <v>1.6</v>
      </c>
      <c r="K69" s="64">
        <v>325.93</v>
      </c>
      <c r="L69" s="64">
        <v>39.15</v>
      </c>
      <c r="M69" s="64">
        <v>17.079999999999998</v>
      </c>
      <c r="N69" s="64">
        <v>390</v>
      </c>
      <c r="O69" s="64">
        <v>0</v>
      </c>
      <c r="P69" s="64">
        <v>0.72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1267</v>
      </c>
      <c r="B70" s="64">
        <v>4.8</v>
      </c>
      <c r="C70" s="64">
        <v>44.02</v>
      </c>
      <c r="D70" s="64">
        <v>76.89</v>
      </c>
      <c r="E70" s="64">
        <v>7.04</v>
      </c>
      <c r="F70" s="64">
        <v>24.68</v>
      </c>
      <c r="G70" s="64">
        <v>65.02</v>
      </c>
      <c r="H70" s="64">
        <v>26.44</v>
      </c>
      <c r="I70" s="64">
        <v>4.05</v>
      </c>
      <c r="J70" s="64">
        <v>1.21</v>
      </c>
      <c r="K70" s="64">
        <v>352.29</v>
      </c>
      <c r="L70" s="64">
        <v>38.4</v>
      </c>
      <c r="M70" s="64">
        <v>17.55</v>
      </c>
      <c r="N70" s="64">
        <v>260.7</v>
      </c>
      <c r="O70" s="64">
        <v>0</v>
      </c>
      <c r="P70" s="64">
        <v>0.68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1268</v>
      </c>
      <c r="B71" s="64">
        <v>7.25</v>
      </c>
      <c r="C71" s="64">
        <v>52.31</v>
      </c>
      <c r="D71" s="64">
        <v>89.01</v>
      </c>
      <c r="E71" s="64">
        <v>11.16</v>
      </c>
      <c r="F71" s="64">
        <v>25.68</v>
      </c>
      <c r="G71" s="64">
        <v>60.19</v>
      </c>
      <c r="H71" s="64">
        <v>22.6</v>
      </c>
      <c r="I71" s="64">
        <v>4.07</v>
      </c>
      <c r="J71" s="64">
        <v>1.27</v>
      </c>
      <c r="K71" s="64">
        <v>326.8</v>
      </c>
      <c r="L71" s="64">
        <v>38.51</v>
      </c>
      <c r="M71" s="64">
        <v>18.57</v>
      </c>
      <c r="N71" s="64">
        <v>185.5</v>
      </c>
      <c r="O71" s="64">
        <v>0</v>
      </c>
      <c r="P71" s="64">
        <v>0.8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1269</v>
      </c>
      <c r="B72" s="64">
        <v>2.72</v>
      </c>
      <c r="C72" s="64">
        <v>43.41</v>
      </c>
      <c r="D72" s="64">
        <v>78.91</v>
      </c>
      <c r="E72" s="64">
        <v>6.77</v>
      </c>
      <c r="F72" s="64">
        <v>27.9</v>
      </c>
      <c r="G72" s="64">
        <v>54.91</v>
      </c>
      <c r="H72" s="64">
        <v>18.41</v>
      </c>
      <c r="I72" s="64">
        <v>3.92</v>
      </c>
      <c r="J72" s="64">
        <v>1.04</v>
      </c>
      <c r="K72" s="64">
        <v>353.86</v>
      </c>
      <c r="L72" s="64">
        <v>37.81</v>
      </c>
      <c r="M72" s="64">
        <v>18.41</v>
      </c>
      <c r="N72" s="64">
        <v>218.7</v>
      </c>
      <c r="O72" s="64">
        <v>0</v>
      </c>
      <c r="P72" s="64">
        <v>0.69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1270</v>
      </c>
      <c r="B73" s="64">
        <v>8.44</v>
      </c>
      <c r="C73" s="64">
        <v>53.1</v>
      </c>
      <c r="D73" s="64">
        <v>88.68</v>
      </c>
      <c r="E73" s="64">
        <v>8.41</v>
      </c>
      <c r="F73" s="64">
        <v>23.05</v>
      </c>
      <c r="G73" s="64">
        <v>54.91</v>
      </c>
      <c r="H73" s="64">
        <v>18.41</v>
      </c>
      <c r="I73" s="64">
        <v>4.1399999999999997</v>
      </c>
      <c r="J73" s="64">
        <v>1.26</v>
      </c>
      <c r="K73" s="64">
        <v>329.07</v>
      </c>
      <c r="L73" s="64">
        <v>37.590000000000003</v>
      </c>
      <c r="M73" s="64">
        <v>18.66</v>
      </c>
      <c r="N73" s="64">
        <v>173.4</v>
      </c>
      <c r="O73" s="64">
        <v>0</v>
      </c>
      <c r="P73" s="64">
        <v>0.72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1271</v>
      </c>
      <c r="B74" s="64">
        <v>4.0999999999999996</v>
      </c>
      <c r="C74" s="64">
        <v>48.85</v>
      </c>
      <c r="D74" s="64">
        <v>87.2</v>
      </c>
      <c r="E74" s="64">
        <v>7.51</v>
      </c>
      <c r="F74" s="64">
        <v>22.33</v>
      </c>
      <c r="G74" s="64">
        <v>54.91</v>
      </c>
      <c r="H74" s="64">
        <v>18.41</v>
      </c>
      <c r="I74" s="64">
        <v>4.16</v>
      </c>
      <c r="J74" s="64">
        <v>1.52</v>
      </c>
      <c r="K74" s="64">
        <v>331.68</v>
      </c>
      <c r="L74" s="64">
        <v>37.270000000000003</v>
      </c>
      <c r="M74" s="64">
        <v>19.07</v>
      </c>
      <c r="N74" s="64">
        <v>142.6</v>
      </c>
      <c r="O74" s="64">
        <v>0</v>
      </c>
      <c r="P74" s="64">
        <v>0.76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1272</v>
      </c>
      <c r="B75" s="64">
        <v>0.71</v>
      </c>
      <c r="C75" s="64">
        <v>27.7</v>
      </c>
      <c r="D75" s="64">
        <v>51.92</v>
      </c>
      <c r="E75" s="64">
        <v>11.58</v>
      </c>
      <c r="F75" s="64">
        <v>36.979999999999997</v>
      </c>
      <c r="G75" s="64">
        <v>59.39</v>
      </c>
      <c r="H75" s="64">
        <v>22.41</v>
      </c>
      <c r="I75" s="64">
        <v>3.87</v>
      </c>
      <c r="J75" s="64">
        <v>0.74</v>
      </c>
      <c r="K75" s="64">
        <v>108.35</v>
      </c>
      <c r="L75" s="64">
        <v>36.06</v>
      </c>
      <c r="M75" s="64">
        <v>19.23</v>
      </c>
      <c r="N75" s="64">
        <v>129.9</v>
      </c>
      <c r="O75" s="64">
        <v>0</v>
      </c>
      <c r="P75" s="64">
        <v>0.44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1273</v>
      </c>
      <c r="B76" s="64">
        <v>0.23</v>
      </c>
      <c r="C76" s="64">
        <v>23.41</v>
      </c>
      <c r="D76" s="64">
        <v>44.45</v>
      </c>
      <c r="E76" s="64">
        <v>14.1</v>
      </c>
      <c r="F76" s="64">
        <v>38.81</v>
      </c>
      <c r="G76" s="64">
        <v>64.08</v>
      </c>
      <c r="H76" s="64">
        <v>26.77</v>
      </c>
      <c r="I76" s="64">
        <v>3.84</v>
      </c>
      <c r="J76" s="64">
        <v>0.89</v>
      </c>
      <c r="K76" s="64">
        <v>84.78</v>
      </c>
      <c r="L76" s="64">
        <v>35.26</v>
      </c>
      <c r="M76" s="64">
        <v>20.079999999999998</v>
      </c>
      <c r="N76" s="64">
        <v>116.1</v>
      </c>
      <c r="O76" s="64">
        <v>0</v>
      </c>
      <c r="P76" s="64">
        <v>0.34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1274</v>
      </c>
      <c r="B77" s="64">
        <v>2.27</v>
      </c>
      <c r="C77" s="64">
        <v>37.43</v>
      </c>
      <c r="D77" s="64">
        <v>68.150000000000006</v>
      </c>
      <c r="E77" s="64">
        <v>15.17</v>
      </c>
      <c r="F77" s="64">
        <v>33.770000000000003</v>
      </c>
      <c r="G77" s="64">
        <v>64.08</v>
      </c>
      <c r="H77" s="64">
        <v>26.77</v>
      </c>
      <c r="I77" s="64">
        <v>4.1100000000000003</v>
      </c>
      <c r="J77" s="64">
        <v>0.7</v>
      </c>
      <c r="K77" s="64">
        <v>70.22</v>
      </c>
      <c r="L77" s="64">
        <v>34.99</v>
      </c>
      <c r="M77" s="64">
        <v>21.18</v>
      </c>
      <c r="N77" s="64">
        <v>108.1</v>
      </c>
      <c r="O77" s="64">
        <v>0</v>
      </c>
      <c r="P77" s="64">
        <v>0.45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1275</v>
      </c>
      <c r="B78" s="64">
        <v>2.23</v>
      </c>
      <c r="C78" s="64">
        <v>39.78</v>
      </c>
      <c r="D78" s="64">
        <v>72.709999999999994</v>
      </c>
      <c r="E78" s="64">
        <v>19.87</v>
      </c>
      <c r="F78" s="64">
        <v>34.18</v>
      </c>
      <c r="G78" s="64">
        <v>64.08</v>
      </c>
      <c r="H78" s="64">
        <v>26.77</v>
      </c>
      <c r="I78" s="64">
        <v>4.1100000000000003</v>
      </c>
      <c r="J78" s="64">
        <v>0.82</v>
      </c>
      <c r="K78" s="64">
        <v>92.58</v>
      </c>
      <c r="L78" s="64">
        <v>34.86</v>
      </c>
      <c r="M78" s="64">
        <v>21.88</v>
      </c>
      <c r="N78" s="64">
        <v>94.3</v>
      </c>
      <c r="O78" s="64">
        <v>0</v>
      </c>
      <c r="P78" s="64">
        <v>0.55000000000000004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1276</v>
      </c>
      <c r="B79" s="64">
        <v>0.41</v>
      </c>
      <c r="C79" s="64">
        <v>32.700000000000003</v>
      </c>
      <c r="D79" s="64">
        <v>61.96</v>
      </c>
      <c r="E79" s="64">
        <v>22.55</v>
      </c>
      <c r="F79" s="64">
        <v>35.200000000000003</v>
      </c>
      <c r="G79" s="64">
        <v>61.78</v>
      </c>
      <c r="H79" s="6" t="s">
        <v>42</v>
      </c>
      <c r="I79" s="64">
        <v>4</v>
      </c>
      <c r="J79" s="64">
        <v>1</v>
      </c>
      <c r="K79" s="64">
        <v>92.2</v>
      </c>
      <c r="L79" s="64">
        <v>34.380000000000003</v>
      </c>
      <c r="M79" s="64">
        <v>23.3</v>
      </c>
      <c r="N79" s="64">
        <v>81.8</v>
      </c>
      <c r="O79" s="64">
        <v>0</v>
      </c>
      <c r="P79" s="64">
        <v>0.47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1277</v>
      </c>
      <c r="B80" s="64">
        <v>0.79</v>
      </c>
      <c r="C80" s="64">
        <v>36.6</v>
      </c>
      <c r="D80" s="64">
        <v>68.849999999999994</v>
      </c>
      <c r="E80" s="64">
        <v>22.09</v>
      </c>
      <c r="F80" s="64">
        <v>32.25</v>
      </c>
      <c r="G80" s="64">
        <v>59.26</v>
      </c>
      <c r="H80" s="6" t="s">
        <v>42</v>
      </c>
      <c r="I80" s="64">
        <v>3.99</v>
      </c>
      <c r="J80" s="64">
        <v>0.88</v>
      </c>
      <c r="K80" s="64">
        <v>87.24</v>
      </c>
      <c r="L80" s="64">
        <v>34.020000000000003</v>
      </c>
      <c r="M80" s="64">
        <v>24.77</v>
      </c>
      <c r="N80" s="64">
        <v>68.8</v>
      </c>
      <c r="O80" s="64">
        <v>0</v>
      </c>
      <c r="P80" s="64">
        <v>0.66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1278</v>
      </c>
      <c r="B81" s="64">
        <v>1.56</v>
      </c>
      <c r="C81" s="64">
        <v>58.52</v>
      </c>
      <c r="D81" s="64">
        <v>109.61</v>
      </c>
      <c r="E81" s="64">
        <v>22.9</v>
      </c>
      <c r="F81" s="64">
        <v>27.86</v>
      </c>
      <c r="G81" s="64">
        <v>59.26</v>
      </c>
      <c r="H81" s="6" t="s">
        <v>42</v>
      </c>
      <c r="I81" s="64">
        <v>4</v>
      </c>
      <c r="J81" s="64">
        <v>0.74</v>
      </c>
      <c r="K81" s="64">
        <v>86.34</v>
      </c>
      <c r="L81" s="64">
        <v>33.630000000000003</v>
      </c>
      <c r="M81" s="64">
        <v>26.33</v>
      </c>
      <c r="N81" s="64">
        <v>58.5</v>
      </c>
      <c r="O81" s="64">
        <v>0</v>
      </c>
      <c r="P81" s="64">
        <v>1.03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1279</v>
      </c>
      <c r="B82" s="64">
        <v>0.36</v>
      </c>
      <c r="C82" s="64">
        <v>42.59</v>
      </c>
      <c r="D82" s="64">
        <v>80.959999999999994</v>
      </c>
      <c r="E82" s="64">
        <v>19.57</v>
      </c>
      <c r="F82" s="64">
        <v>29.78</v>
      </c>
      <c r="G82" s="64">
        <v>59.26</v>
      </c>
      <c r="H82" s="6" t="s">
        <v>42</v>
      </c>
      <c r="I82" s="64">
        <v>4.07</v>
      </c>
      <c r="J82" s="64">
        <v>1.1399999999999999</v>
      </c>
      <c r="K82" s="64">
        <v>102.71</v>
      </c>
      <c r="L82" s="64">
        <v>33.369999999999997</v>
      </c>
      <c r="M82" s="64">
        <v>27.18</v>
      </c>
      <c r="N82" s="64">
        <v>53.8</v>
      </c>
      <c r="O82" s="64">
        <v>0</v>
      </c>
      <c r="P82" s="64">
        <v>0.71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1280</v>
      </c>
      <c r="B83" s="64">
        <v>0.55000000000000004</v>
      </c>
      <c r="C83" s="64">
        <v>51.97</v>
      </c>
      <c r="D83" s="64">
        <v>98.63</v>
      </c>
      <c r="E83" s="64">
        <v>19.260000000000002</v>
      </c>
      <c r="F83" s="64">
        <v>28.72</v>
      </c>
      <c r="G83" s="64">
        <v>60.24</v>
      </c>
      <c r="H83" s="6" t="s">
        <v>42</v>
      </c>
      <c r="I83" s="64">
        <v>3.91</v>
      </c>
      <c r="J83" s="64">
        <v>0.77</v>
      </c>
      <c r="K83" s="64">
        <v>92.33</v>
      </c>
      <c r="L83" s="64">
        <v>33.14</v>
      </c>
      <c r="M83" s="64">
        <v>27.53</v>
      </c>
      <c r="N83" s="64">
        <v>53.1</v>
      </c>
      <c r="O83" s="64">
        <v>0</v>
      </c>
      <c r="P83" s="64">
        <v>0.76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1281</v>
      </c>
      <c r="B84" s="64">
        <v>5.17</v>
      </c>
      <c r="C84" s="64">
        <v>89.09</v>
      </c>
      <c r="D84" s="64">
        <v>162.58000000000001</v>
      </c>
      <c r="E84" s="64">
        <v>17.18</v>
      </c>
      <c r="F84" s="64">
        <v>17.2</v>
      </c>
      <c r="G84" s="64">
        <v>61.27</v>
      </c>
      <c r="H84" s="6" t="s">
        <v>42</v>
      </c>
      <c r="I84" s="64">
        <v>4.03</v>
      </c>
      <c r="J84" s="64">
        <v>0.25</v>
      </c>
      <c r="K84" s="64">
        <v>189.67</v>
      </c>
      <c r="L84" s="64">
        <v>32.81</v>
      </c>
      <c r="M84" s="64">
        <v>28.27</v>
      </c>
      <c r="N84" s="64">
        <v>53.4</v>
      </c>
      <c r="O84" s="64">
        <v>0</v>
      </c>
      <c r="P84" s="64">
        <v>0.96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1282</v>
      </c>
      <c r="B85" s="64">
        <v>57.89</v>
      </c>
      <c r="C85" s="64">
        <v>150.12</v>
      </c>
      <c r="D85" s="64">
        <v>198.47</v>
      </c>
      <c r="E85" s="64">
        <v>15</v>
      </c>
      <c r="F85" s="64">
        <v>11.03</v>
      </c>
      <c r="G85" s="64">
        <v>61.27</v>
      </c>
      <c r="H85" s="6" t="s">
        <v>42</v>
      </c>
      <c r="I85" s="64">
        <v>3.92</v>
      </c>
      <c r="J85" s="64">
        <v>0.38</v>
      </c>
      <c r="K85" s="64">
        <v>323.55</v>
      </c>
      <c r="L85" s="64">
        <v>32.21</v>
      </c>
      <c r="M85" s="64">
        <v>31.5</v>
      </c>
      <c r="N85" s="64">
        <v>53.7</v>
      </c>
      <c r="O85" s="64">
        <v>0</v>
      </c>
      <c r="P85" s="64">
        <v>2.27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1283</v>
      </c>
      <c r="B86" s="64">
        <v>85.37</v>
      </c>
      <c r="C86" s="64">
        <v>178.11</v>
      </c>
      <c r="D86" s="64">
        <v>209.87</v>
      </c>
      <c r="E86" s="64">
        <v>12.53</v>
      </c>
      <c r="F86" s="64">
        <v>8.74</v>
      </c>
      <c r="G86" s="64">
        <v>61.27</v>
      </c>
      <c r="H86" s="6" t="s">
        <v>42</v>
      </c>
      <c r="I86" s="64">
        <v>3.86</v>
      </c>
      <c r="J86" s="64">
        <v>0.46</v>
      </c>
      <c r="K86" s="64">
        <v>293.97000000000003</v>
      </c>
      <c r="L86" s="64">
        <v>31.32</v>
      </c>
      <c r="M86" s="64">
        <v>34.729999999999997</v>
      </c>
      <c r="N86" s="64">
        <v>53.8</v>
      </c>
      <c r="O86" s="64">
        <v>0</v>
      </c>
      <c r="P86" s="64">
        <v>2.81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1284</v>
      </c>
      <c r="B87" s="64">
        <v>126.07</v>
      </c>
      <c r="C87" s="64">
        <v>216.08</v>
      </c>
      <c r="D87" s="64">
        <v>220.07</v>
      </c>
      <c r="E87" s="64">
        <v>13.35</v>
      </c>
      <c r="F87" s="64">
        <v>8.0500000000000007</v>
      </c>
      <c r="G87" s="64">
        <v>70.91</v>
      </c>
      <c r="H87" s="6" t="s">
        <v>42</v>
      </c>
      <c r="I87" s="64">
        <v>3.9</v>
      </c>
      <c r="J87" s="64">
        <v>0.46</v>
      </c>
      <c r="K87" s="64">
        <v>257.31</v>
      </c>
      <c r="L87" s="64">
        <v>30.96</v>
      </c>
      <c r="M87" s="64">
        <v>34.25</v>
      </c>
      <c r="N87" s="64">
        <v>53.1</v>
      </c>
      <c r="O87" s="64">
        <v>0</v>
      </c>
      <c r="P87" s="64">
        <v>2.36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1285</v>
      </c>
      <c r="B88" s="64">
        <v>17.62</v>
      </c>
      <c r="C88" s="64">
        <v>104.77</v>
      </c>
      <c r="D88" s="64">
        <v>173.5</v>
      </c>
      <c r="E88" s="64">
        <v>13.34</v>
      </c>
      <c r="F88" s="64">
        <v>10.96</v>
      </c>
      <c r="G88" s="64">
        <v>81.45</v>
      </c>
      <c r="H88" s="6" t="s">
        <v>42</v>
      </c>
      <c r="I88" s="64">
        <v>4.0999999999999996</v>
      </c>
      <c r="J88" s="64">
        <v>0.41</v>
      </c>
      <c r="K88" s="64">
        <v>176.81</v>
      </c>
      <c r="L88" s="64">
        <v>31.43</v>
      </c>
      <c r="M88" s="64">
        <v>31.83</v>
      </c>
      <c r="N88" s="64">
        <v>52.4</v>
      </c>
      <c r="O88" s="64">
        <v>0</v>
      </c>
      <c r="P88" s="64">
        <v>1.6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1286</v>
      </c>
      <c r="B89" s="64">
        <v>15.09</v>
      </c>
      <c r="C89" s="64">
        <v>101.12</v>
      </c>
      <c r="D89" s="64">
        <v>170.39</v>
      </c>
      <c r="E89" s="64">
        <v>14.7</v>
      </c>
      <c r="F89" s="64">
        <v>12.29</v>
      </c>
      <c r="G89" s="64">
        <v>81.45</v>
      </c>
      <c r="H89" s="6" t="s">
        <v>42</v>
      </c>
      <c r="I89" s="64">
        <v>3.91</v>
      </c>
      <c r="J89" s="64">
        <v>0.46</v>
      </c>
      <c r="K89" s="64">
        <v>243.26</v>
      </c>
      <c r="L89" s="64">
        <v>31.29</v>
      </c>
      <c r="M89" s="64">
        <v>31.35</v>
      </c>
      <c r="N89" s="64">
        <v>53.1</v>
      </c>
      <c r="O89" s="64">
        <v>0</v>
      </c>
      <c r="P89" s="64">
        <v>1.4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1287</v>
      </c>
      <c r="B90" s="64">
        <v>8.27</v>
      </c>
      <c r="C90" s="64">
        <v>79.05</v>
      </c>
      <c r="D90" s="64">
        <v>138.6</v>
      </c>
      <c r="E90" s="64">
        <v>13.88</v>
      </c>
      <c r="F90" s="64">
        <v>15.49</v>
      </c>
      <c r="G90" s="64">
        <v>81.45</v>
      </c>
      <c r="H90" s="6" t="s">
        <v>42</v>
      </c>
      <c r="I90" s="64">
        <v>4.08</v>
      </c>
      <c r="J90" s="64">
        <v>0.4</v>
      </c>
      <c r="K90" s="64">
        <v>233.06</v>
      </c>
      <c r="L90" s="64">
        <v>30.84</v>
      </c>
      <c r="M90" s="64">
        <v>32.200000000000003</v>
      </c>
      <c r="N90" s="64">
        <v>53.4</v>
      </c>
      <c r="O90" s="64">
        <v>0</v>
      </c>
      <c r="P90" s="64">
        <v>1.37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1288</v>
      </c>
      <c r="B91" s="64">
        <v>15.32</v>
      </c>
      <c r="C91" s="64">
        <v>88.82</v>
      </c>
      <c r="D91" s="64">
        <v>146.5</v>
      </c>
      <c r="E91" s="64">
        <v>11.79</v>
      </c>
      <c r="F91" s="64">
        <v>12.51</v>
      </c>
      <c r="G91" s="64">
        <v>89.26</v>
      </c>
      <c r="H91" s="213" t="s">
        <v>42</v>
      </c>
      <c r="I91" s="64">
        <v>4.05</v>
      </c>
      <c r="J91" s="64">
        <v>0.84</v>
      </c>
      <c r="K91" s="64">
        <v>148.03</v>
      </c>
      <c r="L91" s="64">
        <v>30.65</v>
      </c>
      <c r="M91" s="64">
        <v>32.659999999999997</v>
      </c>
      <c r="N91" s="64">
        <v>52.7</v>
      </c>
      <c r="O91" s="64">
        <v>0</v>
      </c>
      <c r="P91" s="64">
        <v>1.1100000000000001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1289</v>
      </c>
      <c r="B92" s="64">
        <v>11.92</v>
      </c>
      <c r="C92" s="64">
        <v>91.94</v>
      </c>
      <c r="D92" s="64">
        <v>157.68</v>
      </c>
      <c r="E92" s="64">
        <v>12.74</v>
      </c>
      <c r="F92" s="64">
        <v>12.43</v>
      </c>
      <c r="G92" s="64">
        <v>97.81</v>
      </c>
      <c r="H92" s="213" t="s">
        <v>42</v>
      </c>
      <c r="I92" s="64">
        <v>4.1100000000000003</v>
      </c>
      <c r="J92" s="64">
        <v>0.22</v>
      </c>
      <c r="K92" s="64">
        <v>276.49</v>
      </c>
      <c r="L92" s="64">
        <v>30.36</v>
      </c>
      <c r="M92" s="64">
        <v>33.94</v>
      </c>
      <c r="N92" s="64">
        <v>53.5</v>
      </c>
      <c r="O92" s="64">
        <v>0</v>
      </c>
      <c r="P92" s="64">
        <v>1.21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1290</v>
      </c>
      <c r="B93" s="64">
        <v>10.69</v>
      </c>
      <c r="C93" s="64">
        <v>86.27</v>
      </c>
      <c r="D93" s="64">
        <v>148.72</v>
      </c>
      <c r="E93" s="64">
        <v>11.54</v>
      </c>
      <c r="F93" s="64">
        <v>14.14</v>
      </c>
      <c r="G93" s="64">
        <v>97.81</v>
      </c>
      <c r="H93" s="213" t="s">
        <v>42</v>
      </c>
      <c r="I93" s="64">
        <v>3.94</v>
      </c>
      <c r="J93" s="64">
        <v>0.51</v>
      </c>
      <c r="K93" s="64">
        <v>260.02</v>
      </c>
      <c r="L93" s="64">
        <v>29.88</v>
      </c>
      <c r="M93" s="64">
        <v>35.72</v>
      </c>
      <c r="N93" s="64">
        <v>53.7</v>
      </c>
      <c r="O93" s="64">
        <v>0</v>
      </c>
      <c r="P93" s="64">
        <v>1.31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1291</v>
      </c>
      <c r="B94" s="64">
        <v>14.02</v>
      </c>
      <c r="C94" s="64">
        <v>104.96</v>
      </c>
      <c r="D94" s="64">
        <v>179.38</v>
      </c>
      <c r="E94" s="64">
        <v>11.75</v>
      </c>
      <c r="F94" s="64">
        <v>12.19</v>
      </c>
      <c r="G94" s="64">
        <v>97.81</v>
      </c>
      <c r="H94" s="213" t="s">
        <v>42</v>
      </c>
      <c r="I94" s="64">
        <v>3.98</v>
      </c>
      <c r="J94" s="64">
        <v>0.51</v>
      </c>
      <c r="K94" s="64">
        <v>290.35000000000002</v>
      </c>
      <c r="L94" s="64">
        <v>29.54</v>
      </c>
      <c r="M94" s="64">
        <v>36.79</v>
      </c>
      <c r="N94" s="64">
        <v>53.5</v>
      </c>
      <c r="O94" s="64">
        <v>0</v>
      </c>
      <c r="P94" s="64">
        <v>1.51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1292</v>
      </c>
      <c r="B95" s="64">
        <v>6.22</v>
      </c>
      <c r="C95" s="64">
        <v>81.48</v>
      </c>
      <c r="D95" s="64">
        <v>146.41</v>
      </c>
      <c r="E95" s="64">
        <v>12.12</v>
      </c>
      <c r="F95" s="64">
        <v>16.2</v>
      </c>
      <c r="G95" s="64">
        <v>99.33</v>
      </c>
      <c r="H95" s="213" t="s">
        <v>42</v>
      </c>
      <c r="I95" s="64">
        <v>3.98</v>
      </c>
      <c r="J95" s="64">
        <v>0.38</v>
      </c>
      <c r="K95" s="64">
        <v>184.63</v>
      </c>
      <c r="L95" s="64">
        <v>29.64</v>
      </c>
      <c r="M95" s="64">
        <v>37.4</v>
      </c>
      <c r="N95" s="64">
        <v>53.8</v>
      </c>
      <c r="O95" s="64">
        <v>0</v>
      </c>
      <c r="P95" s="64">
        <v>1.18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1293</v>
      </c>
      <c r="B96" s="64">
        <v>3.52</v>
      </c>
      <c r="C96" s="64">
        <v>74.62</v>
      </c>
      <c r="D96" s="64">
        <v>137.41999999999999</v>
      </c>
      <c r="E96" s="64">
        <v>11.69</v>
      </c>
      <c r="F96" s="64">
        <v>16.93</v>
      </c>
      <c r="G96" s="64">
        <v>100.99</v>
      </c>
      <c r="H96" s="213" t="s">
        <v>42</v>
      </c>
      <c r="I96" s="64">
        <v>3.97</v>
      </c>
      <c r="J96" s="64">
        <v>0.48</v>
      </c>
      <c r="K96" s="64">
        <v>281.5</v>
      </c>
      <c r="L96" s="64">
        <v>29.31</v>
      </c>
      <c r="M96" s="64">
        <v>38.380000000000003</v>
      </c>
      <c r="N96" s="64">
        <v>56.5</v>
      </c>
      <c r="O96" s="64">
        <v>0</v>
      </c>
      <c r="P96" s="64">
        <v>1.04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1294</v>
      </c>
      <c r="B97" s="64">
        <v>5.0999999999999996</v>
      </c>
      <c r="C97" s="64">
        <v>70.599999999999994</v>
      </c>
      <c r="D97" s="64">
        <v>127.3</v>
      </c>
      <c r="E97" s="64">
        <v>11.78</v>
      </c>
      <c r="F97" s="64">
        <v>18.05</v>
      </c>
      <c r="G97" s="64">
        <v>100.99</v>
      </c>
      <c r="H97" s="213" t="s">
        <v>42</v>
      </c>
      <c r="I97" s="64">
        <v>3.93</v>
      </c>
      <c r="J97" s="64">
        <v>0.5</v>
      </c>
      <c r="K97" s="64">
        <v>260.06</v>
      </c>
      <c r="L97" s="64">
        <v>29.15</v>
      </c>
      <c r="M97" s="64">
        <v>38.229999999999997</v>
      </c>
      <c r="N97" s="64">
        <v>56.2</v>
      </c>
      <c r="O97" s="64">
        <v>0</v>
      </c>
      <c r="P97" s="64">
        <v>0.95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1295</v>
      </c>
      <c r="B98" s="64">
        <v>10.74</v>
      </c>
      <c r="C98" s="64">
        <v>75.84</v>
      </c>
      <c r="D98" s="64">
        <v>128.66</v>
      </c>
      <c r="E98" s="64">
        <v>11.69</v>
      </c>
      <c r="F98" s="64">
        <v>19.21</v>
      </c>
      <c r="G98" s="64">
        <v>100.99</v>
      </c>
      <c r="H98" s="213" t="s">
        <v>42</v>
      </c>
      <c r="I98" s="64">
        <v>4</v>
      </c>
      <c r="J98" s="64">
        <v>0.49</v>
      </c>
      <c r="K98" s="64">
        <v>291.41000000000003</v>
      </c>
      <c r="L98" s="64">
        <v>28.86</v>
      </c>
      <c r="M98" s="64">
        <v>38.83</v>
      </c>
      <c r="N98" s="64">
        <v>56.5</v>
      </c>
      <c r="O98" s="64">
        <v>0</v>
      </c>
      <c r="P98" s="64">
        <v>1.1100000000000001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1296</v>
      </c>
      <c r="B99" s="64">
        <v>12.6</v>
      </c>
      <c r="C99" s="64">
        <v>72.650000000000006</v>
      </c>
      <c r="D99" s="64">
        <v>119.72</v>
      </c>
      <c r="E99" s="64">
        <v>10.87</v>
      </c>
      <c r="F99" s="64">
        <v>19.32</v>
      </c>
      <c r="G99" s="64">
        <v>101.29</v>
      </c>
      <c r="H99" s="64">
        <v>85.52</v>
      </c>
      <c r="I99" s="64">
        <v>4.12</v>
      </c>
      <c r="J99" s="64">
        <v>0.44</v>
      </c>
      <c r="K99" s="64">
        <v>243.25</v>
      </c>
      <c r="L99" s="64">
        <v>28.53</v>
      </c>
      <c r="M99" s="64">
        <v>40.25</v>
      </c>
      <c r="N99" s="64">
        <v>56.1</v>
      </c>
      <c r="O99" s="64">
        <v>0</v>
      </c>
      <c r="P99" s="64">
        <v>1.1100000000000001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1297</v>
      </c>
      <c r="B100" s="64">
        <v>3.77</v>
      </c>
      <c r="C100" s="64">
        <v>44.12</v>
      </c>
      <c r="D100" s="64">
        <v>78.67</v>
      </c>
      <c r="E100" s="64">
        <v>9.74</v>
      </c>
      <c r="F100" s="64">
        <v>22.97</v>
      </c>
      <c r="G100" s="64">
        <v>101.6</v>
      </c>
      <c r="H100" s="64">
        <v>26.35</v>
      </c>
      <c r="I100" s="64">
        <v>4.1900000000000004</v>
      </c>
      <c r="J100" s="64">
        <v>0.33</v>
      </c>
      <c r="K100" s="64">
        <v>231.12</v>
      </c>
      <c r="L100" s="64">
        <v>28.4</v>
      </c>
      <c r="M100" s="64">
        <v>40.46</v>
      </c>
      <c r="N100" s="64">
        <v>56</v>
      </c>
      <c r="O100" s="64">
        <v>0</v>
      </c>
      <c r="P100" s="64">
        <v>0.78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1298</v>
      </c>
      <c r="B101" s="64">
        <v>4.83</v>
      </c>
      <c r="C101" s="64">
        <v>44.28</v>
      </c>
      <c r="D101" s="64">
        <v>77.34</v>
      </c>
      <c r="E101" s="64">
        <v>9.2200000000000006</v>
      </c>
      <c r="F101" s="64">
        <v>20.29</v>
      </c>
      <c r="G101" s="64">
        <v>101.6</v>
      </c>
      <c r="H101" s="64">
        <v>26.35</v>
      </c>
      <c r="I101" s="64">
        <v>3.95</v>
      </c>
      <c r="J101" s="64">
        <v>0.33</v>
      </c>
      <c r="K101" s="64">
        <v>188.43</v>
      </c>
      <c r="L101" s="64">
        <v>28.32</v>
      </c>
      <c r="M101" s="64">
        <v>40.03</v>
      </c>
      <c r="N101" s="64">
        <v>55.6</v>
      </c>
      <c r="O101" s="64">
        <v>0</v>
      </c>
      <c r="P101" s="64">
        <v>0.72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1299</v>
      </c>
      <c r="B102" s="64">
        <v>8.51</v>
      </c>
      <c r="C102" s="64">
        <v>54.14</v>
      </c>
      <c r="D102" s="64">
        <v>90.57</v>
      </c>
      <c r="E102" s="64">
        <v>5.59</v>
      </c>
      <c r="F102" s="64">
        <v>12.13</v>
      </c>
      <c r="G102" s="64">
        <v>101.6</v>
      </c>
      <c r="H102" s="64">
        <v>26.35</v>
      </c>
      <c r="I102" s="64">
        <v>3.84</v>
      </c>
      <c r="J102" s="64">
        <v>0.91</v>
      </c>
      <c r="K102" s="64">
        <v>155.44999999999999</v>
      </c>
      <c r="L102" s="64">
        <v>28.26</v>
      </c>
      <c r="M102" s="64">
        <v>40.96</v>
      </c>
      <c r="N102" s="64">
        <v>55.5</v>
      </c>
      <c r="O102" s="64">
        <v>0</v>
      </c>
      <c r="P102" s="64">
        <v>1.04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1300</v>
      </c>
      <c r="B103" s="64">
        <v>7.38</v>
      </c>
      <c r="C103" s="64">
        <v>52.81</v>
      </c>
      <c r="D103" s="64">
        <v>89.76</v>
      </c>
      <c r="E103" s="64">
        <v>5.68</v>
      </c>
      <c r="F103" s="64">
        <v>14.22</v>
      </c>
      <c r="G103" s="64">
        <v>95.82</v>
      </c>
      <c r="H103" s="64">
        <v>26.31</v>
      </c>
      <c r="I103" s="64">
        <v>3.92</v>
      </c>
      <c r="J103" s="64">
        <v>1.08</v>
      </c>
      <c r="K103" s="64">
        <v>160.75</v>
      </c>
      <c r="L103" s="64">
        <v>28.02</v>
      </c>
      <c r="M103" s="64">
        <v>41.8</v>
      </c>
      <c r="N103" s="64">
        <v>55.8</v>
      </c>
      <c r="O103" s="64">
        <v>0</v>
      </c>
      <c r="P103" s="64">
        <v>1.03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1301</v>
      </c>
      <c r="B104" s="64">
        <v>6.41</v>
      </c>
      <c r="C104" s="64">
        <v>51.78</v>
      </c>
      <c r="D104" s="64">
        <v>89.26</v>
      </c>
      <c r="E104" s="64">
        <v>3.74</v>
      </c>
      <c r="F104" s="64">
        <v>10.41</v>
      </c>
      <c r="G104" s="64">
        <v>89.78</v>
      </c>
      <c r="H104" s="64">
        <v>26.27</v>
      </c>
      <c r="I104" s="64">
        <v>3.85</v>
      </c>
      <c r="J104" s="64">
        <v>0.8</v>
      </c>
      <c r="K104" s="64">
        <v>176.13</v>
      </c>
      <c r="L104" s="64">
        <v>27.76</v>
      </c>
      <c r="M104" s="64">
        <v>42.45</v>
      </c>
      <c r="N104" s="64">
        <v>56</v>
      </c>
      <c r="O104" s="64">
        <v>0</v>
      </c>
      <c r="P104" s="64">
        <v>1.03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0.23</v>
      </c>
      <c r="C106" s="67">
        <f>MIN(C9:C104)</f>
        <v>23.41</v>
      </c>
      <c r="D106" s="67">
        <f t="shared" ref="D106:Q106" si="0">MIN(D9:D104)</f>
        <v>44.45</v>
      </c>
      <c r="E106" s="67">
        <f t="shared" si="0"/>
        <v>2.48</v>
      </c>
      <c r="F106" s="67">
        <f t="shared" si="0"/>
        <v>6.66</v>
      </c>
      <c r="G106" s="67">
        <f t="shared" si="0"/>
        <v>45.75</v>
      </c>
      <c r="H106" s="67">
        <f t="shared" si="0"/>
        <v>10.039999999999999</v>
      </c>
      <c r="I106" s="67">
        <f t="shared" si="0"/>
        <v>3.76</v>
      </c>
      <c r="J106" s="67">
        <f t="shared" si="0"/>
        <v>0.22</v>
      </c>
      <c r="K106" s="67">
        <f t="shared" si="0"/>
        <v>26.13</v>
      </c>
      <c r="L106" s="67">
        <f t="shared" si="0"/>
        <v>24.51</v>
      </c>
      <c r="M106" s="67">
        <f t="shared" si="0"/>
        <v>16.03</v>
      </c>
      <c r="N106" s="67">
        <f t="shared" si="0"/>
        <v>52.4</v>
      </c>
      <c r="O106" s="67">
        <f t="shared" si="0"/>
        <v>0</v>
      </c>
      <c r="P106" s="67">
        <f t="shared" si="0"/>
        <v>0.28000000000000003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126.07</v>
      </c>
      <c r="C107" s="66">
        <f t="shared" ref="C107:Q107" si="1">MAX(C9:C104)</f>
        <v>216.08</v>
      </c>
      <c r="D107" s="66">
        <f t="shared" si="1"/>
        <v>220.07</v>
      </c>
      <c r="E107" s="66">
        <f t="shared" si="1"/>
        <v>22.9</v>
      </c>
      <c r="F107" s="66">
        <f t="shared" si="1"/>
        <v>38.81</v>
      </c>
      <c r="G107" s="66">
        <f t="shared" si="1"/>
        <v>101.6</v>
      </c>
      <c r="H107" s="66">
        <f t="shared" si="1"/>
        <v>85.52</v>
      </c>
      <c r="I107" s="66">
        <f t="shared" si="1"/>
        <v>4.1900000000000004</v>
      </c>
      <c r="J107" s="66">
        <f t="shared" si="1"/>
        <v>3.96</v>
      </c>
      <c r="K107" s="66">
        <f t="shared" si="1"/>
        <v>353.86</v>
      </c>
      <c r="L107" s="66">
        <f t="shared" si="1"/>
        <v>40.19</v>
      </c>
      <c r="M107" s="66">
        <f t="shared" si="1"/>
        <v>55.32</v>
      </c>
      <c r="N107" s="66">
        <f t="shared" si="1"/>
        <v>855.5</v>
      </c>
      <c r="O107" s="66">
        <f t="shared" si="1"/>
        <v>0</v>
      </c>
      <c r="P107" s="66">
        <f t="shared" si="1"/>
        <v>2.81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7.2587500000000027</v>
      </c>
      <c r="C108" s="67">
        <f t="shared" ref="C108:Q108" si="2">AVERAGE(C9:C104)</f>
        <v>53.329687499999984</v>
      </c>
      <c r="D108" s="67">
        <f t="shared" si="2"/>
        <v>90.93125000000002</v>
      </c>
      <c r="E108" s="67">
        <f t="shared" si="2"/>
        <v>7.6989583333333345</v>
      </c>
      <c r="F108" s="67">
        <f t="shared" si="2"/>
        <v>14.966979166666667</v>
      </c>
      <c r="G108" s="67">
        <f t="shared" si="2"/>
        <v>68.840937500000024</v>
      </c>
      <c r="H108" s="67">
        <f t="shared" si="2"/>
        <v>17.429473684210517</v>
      </c>
      <c r="I108" s="67">
        <f t="shared" si="2"/>
        <v>3.9905208333333344</v>
      </c>
      <c r="J108" s="67">
        <f t="shared" si="2"/>
        <v>1.0235416666666659</v>
      </c>
      <c r="K108" s="67">
        <f t="shared" si="2"/>
        <v>185.16333333333338</v>
      </c>
      <c r="L108" s="67">
        <f t="shared" si="2"/>
        <v>31.248958333333345</v>
      </c>
      <c r="M108" s="67">
        <f t="shared" si="2"/>
        <v>36.370000000000012</v>
      </c>
      <c r="N108" s="67">
        <f t="shared" si="2"/>
        <v>271.51874999999995</v>
      </c>
      <c r="O108" s="67">
        <f t="shared" si="2"/>
        <v>0</v>
      </c>
      <c r="P108" s="67">
        <f t="shared" si="2"/>
        <v>0.69833333333333336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16.25810083101894</v>
      </c>
      <c r="C109" s="67">
        <f t="shared" ref="C109:Q109" si="3">STDEV(C9:C104)</f>
        <v>29.023889958487107</v>
      </c>
      <c r="D109" s="67">
        <f t="shared" si="3"/>
        <v>35.21280073017703</v>
      </c>
      <c r="E109" s="67">
        <f t="shared" si="3"/>
        <v>5.26008134401114</v>
      </c>
      <c r="F109" s="67">
        <f t="shared" si="3"/>
        <v>8.0059155917808216</v>
      </c>
      <c r="G109" s="67">
        <f t="shared" si="3"/>
        <v>16.823241947916962</v>
      </c>
      <c r="H109" s="67">
        <f t="shared" si="3"/>
        <v>9.5852992851535461</v>
      </c>
      <c r="I109" s="67">
        <f t="shared" si="3"/>
        <v>9.6052286108487137E-2</v>
      </c>
      <c r="J109" s="67">
        <f t="shared" si="3"/>
        <v>0.82070698555596144</v>
      </c>
      <c r="K109" s="67">
        <f t="shared" si="3"/>
        <v>101.41463891700579</v>
      </c>
      <c r="L109" s="67">
        <f t="shared" si="3"/>
        <v>5.0105645189185362</v>
      </c>
      <c r="M109" s="67">
        <f t="shared" si="3"/>
        <v>12.082097935636618</v>
      </c>
      <c r="N109" s="67">
        <f t="shared" si="3"/>
        <v>301.72705069055547</v>
      </c>
      <c r="O109" s="67">
        <f t="shared" si="3"/>
        <v>0</v>
      </c>
      <c r="P109" s="67">
        <f t="shared" si="3"/>
        <v>0.44875891233880671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1302</v>
      </c>
      <c r="B9" s="64">
        <v>5.89</v>
      </c>
      <c r="C9" s="64">
        <v>51.02</v>
      </c>
      <c r="D9" s="64">
        <v>88.62</v>
      </c>
      <c r="E9" s="64">
        <v>3.11</v>
      </c>
      <c r="F9" s="64">
        <v>11.11</v>
      </c>
      <c r="G9" s="64">
        <v>89.78</v>
      </c>
      <c r="H9" s="64">
        <v>26.27</v>
      </c>
      <c r="I9" s="64">
        <v>4.22</v>
      </c>
      <c r="J9" s="64">
        <v>0.81</v>
      </c>
      <c r="K9" s="64">
        <v>160.13999999999999</v>
      </c>
      <c r="L9" s="64">
        <v>27.48</v>
      </c>
      <c r="M9" s="64">
        <v>43.45</v>
      </c>
      <c r="N9" s="64">
        <v>56</v>
      </c>
      <c r="O9" s="64">
        <v>0</v>
      </c>
      <c r="P9" s="64">
        <v>1.01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1303</v>
      </c>
      <c r="B10" s="64">
        <v>4.03</v>
      </c>
      <c r="C10" s="64">
        <v>46.49</v>
      </c>
      <c r="D10" s="64">
        <v>82.8</v>
      </c>
      <c r="E10" s="64">
        <v>3.19</v>
      </c>
      <c r="F10" s="64">
        <v>10.37</v>
      </c>
      <c r="G10" s="64">
        <v>89.78</v>
      </c>
      <c r="H10" s="64">
        <v>26.27</v>
      </c>
      <c r="I10" s="64">
        <v>3.97</v>
      </c>
      <c r="J10" s="64">
        <v>0.36</v>
      </c>
      <c r="K10" s="64">
        <v>168.21</v>
      </c>
      <c r="L10" s="64">
        <v>27.26</v>
      </c>
      <c r="M10" s="64">
        <v>43.62</v>
      </c>
      <c r="N10" s="64">
        <v>56.2</v>
      </c>
      <c r="O10" s="64">
        <v>0</v>
      </c>
      <c r="P10" s="64">
        <v>0.91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1304</v>
      </c>
      <c r="B11" s="64">
        <v>2.56</v>
      </c>
      <c r="C11" s="64">
        <v>40.28</v>
      </c>
      <c r="D11" s="64">
        <v>73.17</v>
      </c>
      <c r="E11" s="64">
        <v>3.8</v>
      </c>
      <c r="F11" s="64">
        <v>15.68</v>
      </c>
      <c r="G11" s="64">
        <v>81.16</v>
      </c>
      <c r="H11" s="64">
        <v>22.22</v>
      </c>
      <c r="I11" s="64">
        <v>4.1399999999999997</v>
      </c>
      <c r="J11" s="64">
        <v>0.5</v>
      </c>
      <c r="K11" s="64">
        <v>4.38</v>
      </c>
      <c r="L11" s="64">
        <v>26.95</v>
      </c>
      <c r="M11" s="64">
        <v>44.79</v>
      </c>
      <c r="N11" s="64">
        <v>56.5</v>
      </c>
      <c r="O11" s="64">
        <v>0</v>
      </c>
      <c r="P11" s="64">
        <v>0.8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1305</v>
      </c>
      <c r="B12" s="64">
        <v>3.36</v>
      </c>
      <c r="C12" s="64">
        <v>43.39</v>
      </c>
      <c r="D12" s="64">
        <v>77.88</v>
      </c>
      <c r="E12" s="64">
        <v>3.12</v>
      </c>
      <c r="F12" s="64">
        <v>11.37</v>
      </c>
      <c r="G12" s="64">
        <v>71.73</v>
      </c>
      <c r="H12" s="64">
        <v>17.78</v>
      </c>
      <c r="I12" s="64">
        <v>4.0199999999999996</v>
      </c>
      <c r="J12" s="64">
        <v>0.51</v>
      </c>
      <c r="K12" s="64">
        <v>97.05</v>
      </c>
      <c r="L12" s="64">
        <v>27.21</v>
      </c>
      <c r="M12" s="64">
        <v>41.97</v>
      </c>
      <c r="N12" s="64">
        <v>55.2</v>
      </c>
      <c r="O12" s="64">
        <v>0</v>
      </c>
      <c r="P12" s="64">
        <v>0.85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1306</v>
      </c>
      <c r="B13" s="64">
        <v>2.85</v>
      </c>
      <c r="C13" s="64">
        <v>43.6</v>
      </c>
      <c r="D13" s="64">
        <v>79.09</v>
      </c>
      <c r="E13" s="64">
        <v>2.71</v>
      </c>
      <c r="F13" s="64">
        <v>10.32</v>
      </c>
      <c r="G13" s="64">
        <v>71.73</v>
      </c>
      <c r="H13" s="64">
        <v>17.78</v>
      </c>
      <c r="I13" s="64">
        <v>3.88</v>
      </c>
      <c r="J13" s="64">
        <v>1.04</v>
      </c>
      <c r="K13" s="64">
        <v>159.22999999999999</v>
      </c>
      <c r="L13" s="64">
        <v>27.69</v>
      </c>
      <c r="M13" s="64">
        <v>39.380000000000003</v>
      </c>
      <c r="N13" s="64">
        <v>54.9</v>
      </c>
      <c r="O13" s="64">
        <v>0</v>
      </c>
      <c r="P13" s="64">
        <v>0.75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1307</v>
      </c>
      <c r="B14" s="64">
        <v>2.0699999999999998</v>
      </c>
      <c r="C14" s="64">
        <v>39.479999999999997</v>
      </c>
      <c r="D14" s="64">
        <v>72.37</v>
      </c>
      <c r="E14" s="64">
        <v>2.64</v>
      </c>
      <c r="F14" s="64">
        <v>11.91</v>
      </c>
      <c r="G14" s="64">
        <v>71.73</v>
      </c>
      <c r="H14" s="64">
        <v>17.78</v>
      </c>
      <c r="I14" s="64">
        <v>4.0599999999999996</v>
      </c>
      <c r="J14" s="64">
        <v>1.1499999999999999</v>
      </c>
      <c r="K14" s="64">
        <v>88.74</v>
      </c>
      <c r="L14" s="64">
        <v>27.85</v>
      </c>
      <c r="M14" s="64">
        <v>38.21</v>
      </c>
      <c r="N14" s="64">
        <v>55.3</v>
      </c>
      <c r="O14" s="64">
        <v>0</v>
      </c>
      <c r="P14" s="64">
        <v>0.73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1308</v>
      </c>
      <c r="B15" s="64">
        <v>1.51</v>
      </c>
      <c r="C15" s="64">
        <v>37.200000000000003</v>
      </c>
      <c r="D15" s="64">
        <v>68.88</v>
      </c>
      <c r="E15" s="64">
        <v>2.59</v>
      </c>
      <c r="F15" s="64">
        <v>14.34</v>
      </c>
      <c r="G15" s="64">
        <v>61.92</v>
      </c>
      <c r="H15" s="64">
        <v>10.25</v>
      </c>
      <c r="I15" s="64">
        <v>4.03</v>
      </c>
      <c r="J15" s="64">
        <v>0.19</v>
      </c>
      <c r="K15" s="64">
        <v>144.12</v>
      </c>
      <c r="L15" s="64">
        <v>27.9</v>
      </c>
      <c r="M15" s="64">
        <v>38.020000000000003</v>
      </c>
      <c r="N15" s="64">
        <v>56.2</v>
      </c>
      <c r="O15" s="64">
        <v>0</v>
      </c>
      <c r="P15" s="64">
        <v>0.61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1309</v>
      </c>
      <c r="B16" s="64">
        <v>0.52</v>
      </c>
      <c r="C16" s="64">
        <v>30.38</v>
      </c>
      <c r="D16" s="64">
        <v>57.36</v>
      </c>
      <c r="E16" s="64">
        <v>3.65</v>
      </c>
      <c r="F16" s="64">
        <v>19.8</v>
      </c>
      <c r="G16" s="64">
        <v>51.2</v>
      </c>
      <c r="H16" s="64">
        <v>2.0299999999999998</v>
      </c>
      <c r="I16" s="64">
        <v>3.99</v>
      </c>
      <c r="J16" s="64">
        <v>0.42</v>
      </c>
      <c r="K16" s="64">
        <v>109.77</v>
      </c>
      <c r="L16" s="64">
        <v>27.92</v>
      </c>
      <c r="M16" s="64">
        <v>37.409999999999997</v>
      </c>
      <c r="N16" s="64">
        <v>55.9</v>
      </c>
      <c r="O16" s="64">
        <v>0</v>
      </c>
      <c r="P16" s="64">
        <v>0.42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1310</v>
      </c>
      <c r="B17" s="64">
        <v>0.9</v>
      </c>
      <c r="C17" s="64">
        <v>30.49</v>
      </c>
      <c r="D17" s="64">
        <v>56.97</v>
      </c>
      <c r="E17" s="64">
        <v>3.83</v>
      </c>
      <c r="F17" s="64">
        <v>19.12</v>
      </c>
      <c r="G17" s="64">
        <v>51.2</v>
      </c>
      <c r="H17" s="64">
        <v>2.0299999999999998</v>
      </c>
      <c r="I17" s="64">
        <v>4.01</v>
      </c>
      <c r="J17" s="64">
        <v>1.08</v>
      </c>
      <c r="K17" s="64">
        <v>94.96</v>
      </c>
      <c r="L17" s="64">
        <v>28.16</v>
      </c>
      <c r="M17" s="64">
        <v>37.11</v>
      </c>
      <c r="N17" s="64">
        <v>55.6</v>
      </c>
      <c r="O17" s="64">
        <v>0</v>
      </c>
      <c r="P17" s="64">
        <v>0.48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1311</v>
      </c>
      <c r="B18" s="64">
        <v>1.45</v>
      </c>
      <c r="C18" s="64">
        <v>33.94</v>
      </c>
      <c r="D18" s="64">
        <v>62.74</v>
      </c>
      <c r="E18" s="64">
        <v>4.0199999999999996</v>
      </c>
      <c r="F18" s="64">
        <v>15.98</v>
      </c>
      <c r="G18" s="64">
        <v>51.2</v>
      </c>
      <c r="H18" s="64">
        <v>2.0299999999999998</v>
      </c>
      <c r="I18" s="64">
        <v>3.99</v>
      </c>
      <c r="J18" s="64">
        <v>1.41</v>
      </c>
      <c r="K18" s="64">
        <v>96.32</v>
      </c>
      <c r="L18" s="64">
        <v>28.08</v>
      </c>
      <c r="M18" s="64">
        <v>38.15</v>
      </c>
      <c r="N18" s="64">
        <v>56.2</v>
      </c>
      <c r="O18" s="64">
        <v>0</v>
      </c>
      <c r="P18" s="64">
        <v>0.55000000000000004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1312</v>
      </c>
      <c r="B19" s="64">
        <v>1.02</v>
      </c>
      <c r="C19" s="64">
        <v>32.630000000000003</v>
      </c>
      <c r="D19" s="64">
        <v>60.9</v>
      </c>
      <c r="E19" s="64">
        <v>5.01</v>
      </c>
      <c r="F19" s="64">
        <v>17.39</v>
      </c>
      <c r="G19" s="64">
        <v>50.14</v>
      </c>
      <c r="H19" s="64">
        <v>8.32</v>
      </c>
      <c r="I19" s="64">
        <v>4.09</v>
      </c>
      <c r="J19" s="64">
        <v>0.95</v>
      </c>
      <c r="K19" s="64">
        <v>97.45</v>
      </c>
      <c r="L19" s="64">
        <v>27.62</v>
      </c>
      <c r="M19" s="64">
        <v>40</v>
      </c>
      <c r="N19" s="64">
        <v>57</v>
      </c>
      <c r="O19" s="64">
        <v>0</v>
      </c>
      <c r="P19" s="64">
        <v>0.47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1313</v>
      </c>
      <c r="B20" s="64">
        <v>1.54</v>
      </c>
      <c r="C20" s="64">
        <v>32.590000000000003</v>
      </c>
      <c r="D20" s="64">
        <v>60</v>
      </c>
      <c r="E20" s="64">
        <v>4.04</v>
      </c>
      <c r="F20" s="64">
        <v>15.15</v>
      </c>
      <c r="G20" s="64">
        <v>48.97</v>
      </c>
      <c r="H20" s="64">
        <v>15.2</v>
      </c>
      <c r="I20" s="64">
        <v>3.83</v>
      </c>
      <c r="J20" s="64">
        <v>1.08</v>
      </c>
      <c r="K20" s="64">
        <v>93.51</v>
      </c>
      <c r="L20" s="64">
        <v>27.17</v>
      </c>
      <c r="M20" s="64">
        <v>41.2</v>
      </c>
      <c r="N20" s="64">
        <v>56.8</v>
      </c>
      <c r="O20" s="64">
        <v>0</v>
      </c>
      <c r="P20" s="64">
        <v>0.55000000000000004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1314</v>
      </c>
      <c r="B21" s="64">
        <v>1.4</v>
      </c>
      <c r="C21" s="64">
        <v>30.62</v>
      </c>
      <c r="D21" s="64">
        <v>56.46</v>
      </c>
      <c r="E21" s="64">
        <v>3.7</v>
      </c>
      <c r="F21" s="64">
        <v>14.82</v>
      </c>
      <c r="G21" s="64">
        <v>48.97</v>
      </c>
      <c r="H21" s="64">
        <v>15.2</v>
      </c>
      <c r="I21" s="64">
        <v>4.01</v>
      </c>
      <c r="J21" s="64">
        <v>0.63</v>
      </c>
      <c r="K21" s="64">
        <v>109.2</v>
      </c>
      <c r="L21" s="64">
        <v>27.02</v>
      </c>
      <c r="M21" s="64">
        <v>40.770000000000003</v>
      </c>
      <c r="N21" s="64">
        <v>56.8</v>
      </c>
      <c r="O21" s="64">
        <v>0</v>
      </c>
      <c r="P21" s="64">
        <v>0.53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1315</v>
      </c>
      <c r="B22" s="64">
        <v>1.75</v>
      </c>
      <c r="C22" s="64">
        <v>30.66</v>
      </c>
      <c r="D22" s="64">
        <v>56.01</v>
      </c>
      <c r="E22" s="64">
        <v>3.47</v>
      </c>
      <c r="F22" s="64">
        <v>15.41</v>
      </c>
      <c r="G22" s="64">
        <v>48.97</v>
      </c>
      <c r="H22" s="64">
        <v>15.2</v>
      </c>
      <c r="I22" s="64">
        <v>4.0199999999999996</v>
      </c>
      <c r="J22" s="64">
        <v>0.75</v>
      </c>
      <c r="K22" s="64">
        <v>94.31</v>
      </c>
      <c r="L22" s="64">
        <v>26.98</v>
      </c>
      <c r="M22" s="64">
        <v>40.299999999999997</v>
      </c>
      <c r="N22" s="64">
        <v>56.4</v>
      </c>
      <c r="O22" s="64">
        <v>0</v>
      </c>
      <c r="P22" s="64">
        <v>0.52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1316</v>
      </c>
      <c r="B23" s="64">
        <v>2.29</v>
      </c>
      <c r="C23" s="64">
        <v>30.56</v>
      </c>
      <c r="D23" s="64">
        <v>54.98</v>
      </c>
      <c r="E23" s="64">
        <v>3.84</v>
      </c>
      <c r="F23" s="64">
        <v>14.73</v>
      </c>
      <c r="G23" s="64">
        <v>47.33</v>
      </c>
      <c r="H23" s="64">
        <v>16.27</v>
      </c>
      <c r="I23" s="64">
        <v>3.98</v>
      </c>
      <c r="J23" s="64">
        <v>0.28000000000000003</v>
      </c>
      <c r="K23" s="64">
        <v>63.96</v>
      </c>
      <c r="L23" s="64">
        <v>26.83</v>
      </c>
      <c r="M23" s="64">
        <v>40.82</v>
      </c>
      <c r="N23" s="64">
        <v>56.6</v>
      </c>
      <c r="O23" s="64">
        <v>0</v>
      </c>
      <c r="P23" s="64">
        <v>0.49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1317</v>
      </c>
      <c r="B24" s="64">
        <v>3.45</v>
      </c>
      <c r="C24" s="64">
        <v>36.25</v>
      </c>
      <c r="D24" s="64">
        <v>64.08</v>
      </c>
      <c r="E24" s="64">
        <v>3.58</v>
      </c>
      <c r="F24" s="64">
        <v>12.77</v>
      </c>
      <c r="G24" s="64">
        <v>45.52</v>
      </c>
      <c r="H24" s="64">
        <v>17.43</v>
      </c>
      <c r="I24" s="64">
        <v>3.98</v>
      </c>
      <c r="J24" s="64">
        <v>0.42</v>
      </c>
      <c r="K24" s="64">
        <v>41.7</v>
      </c>
      <c r="L24" s="64">
        <v>26.61</v>
      </c>
      <c r="M24" s="64">
        <v>43.06</v>
      </c>
      <c r="N24" s="64">
        <v>56.9</v>
      </c>
      <c r="O24" s="64">
        <v>0</v>
      </c>
      <c r="P24" s="64">
        <v>0.53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1318</v>
      </c>
      <c r="B25" s="64">
        <v>2.0099999999999998</v>
      </c>
      <c r="C25" s="64">
        <v>32.61</v>
      </c>
      <c r="D25" s="64">
        <v>59.32</v>
      </c>
      <c r="E25" s="64">
        <v>3.19</v>
      </c>
      <c r="F25" s="64">
        <v>12.72</v>
      </c>
      <c r="G25" s="64">
        <v>45.52</v>
      </c>
      <c r="H25" s="64">
        <v>17.43</v>
      </c>
      <c r="I25" s="64">
        <v>3.86</v>
      </c>
      <c r="J25" s="64">
        <v>0.82</v>
      </c>
      <c r="K25" s="64">
        <v>104.16</v>
      </c>
      <c r="L25" s="64">
        <v>26.82</v>
      </c>
      <c r="M25" s="64">
        <v>41.78</v>
      </c>
      <c r="N25" s="64">
        <v>56.1</v>
      </c>
      <c r="O25" s="64">
        <v>0</v>
      </c>
      <c r="P25" s="64">
        <v>0.52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1319</v>
      </c>
      <c r="B26" s="64">
        <v>1.86</v>
      </c>
      <c r="C26" s="64">
        <v>36.19</v>
      </c>
      <c r="D26" s="64">
        <v>66.41</v>
      </c>
      <c r="E26" s="64">
        <v>2.99</v>
      </c>
      <c r="F26" s="64">
        <v>7.93</v>
      </c>
      <c r="G26" s="64">
        <v>45.52</v>
      </c>
      <c r="H26" s="64">
        <v>17.43</v>
      </c>
      <c r="I26" s="64">
        <v>3.87</v>
      </c>
      <c r="J26" s="64">
        <v>0.91</v>
      </c>
      <c r="K26" s="64">
        <v>89.55</v>
      </c>
      <c r="L26" s="64">
        <v>26.75</v>
      </c>
      <c r="M26" s="64">
        <v>41.71</v>
      </c>
      <c r="N26" s="64">
        <v>55.9</v>
      </c>
      <c r="O26" s="64">
        <v>0</v>
      </c>
      <c r="P26" s="64">
        <v>0.56999999999999995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1320</v>
      </c>
      <c r="B27" s="64">
        <v>2.0499999999999998</v>
      </c>
      <c r="C27" s="64">
        <v>38.79</v>
      </c>
      <c r="D27" s="64">
        <v>71.099999999999994</v>
      </c>
      <c r="E27" s="64">
        <v>2.65</v>
      </c>
      <c r="F27" s="64">
        <v>8.4499999999999993</v>
      </c>
      <c r="G27" s="64">
        <v>43.99</v>
      </c>
      <c r="H27" s="64">
        <v>15.17</v>
      </c>
      <c r="I27" s="64">
        <v>4.0599999999999996</v>
      </c>
      <c r="J27" s="64">
        <v>0.5</v>
      </c>
      <c r="K27" s="64">
        <v>79.569999999999993</v>
      </c>
      <c r="L27" s="64">
        <v>26.69</v>
      </c>
      <c r="M27" s="64">
        <v>42.01</v>
      </c>
      <c r="N27" s="64">
        <v>56.2</v>
      </c>
      <c r="O27" s="64">
        <v>0</v>
      </c>
      <c r="P27" s="64">
        <v>0.53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1321</v>
      </c>
      <c r="B28" s="64">
        <v>2.54</v>
      </c>
      <c r="C28" s="64">
        <v>40.85</v>
      </c>
      <c r="D28" s="64">
        <v>74.290000000000006</v>
      </c>
      <c r="E28" s="64">
        <v>1.99</v>
      </c>
      <c r="F28" s="64">
        <v>7.01</v>
      </c>
      <c r="G28" s="64">
        <v>42.32</v>
      </c>
      <c r="H28" s="64">
        <v>12.7</v>
      </c>
      <c r="I28" s="64">
        <v>3.96</v>
      </c>
      <c r="J28" s="64">
        <v>0.53</v>
      </c>
      <c r="K28" s="64">
        <v>312.19</v>
      </c>
      <c r="L28" s="64">
        <v>26.11</v>
      </c>
      <c r="M28" s="64">
        <v>48.73</v>
      </c>
      <c r="N28" s="64">
        <v>57.4</v>
      </c>
      <c r="O28" s="64">
        <v>0</v>
      </c>
      <c r="P28" s="64">
        <v>0.57999999999999996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1322</v>
      </c>
      <c r="B29" s="64">
        <v>1.47</v>
      </c>
      <c r="C29" s="64">
        <v>35.479999999999997</v>
      </c>
      <c r="D29" s="64">
        <v>65.650000000000006</v>
      </c>
      <c r="E29" s="64">
        <v>2.95</v>
      </c>
      <c r="F29" s="64">
        <v>11.24</v>
      </c>
      <c r="G29" s="64">
        <v>42.32</v>
      </c>
      <c r="H29" s="64">
        <v>12.7</v>
      </c>
      <c r="I29" s="64">
        <v>4.16</v>
      </c>
      <c r="J29" s="64">
        <v>1.34</v>
      </c>
      <c r="K29" s="64">
        <v>109.52</v>
      </c>
      <c r="L29" s="64">
        <v>26.15</v>
      </c>
      <c r="M29" s="64">
        <v>46.69</v>
      </c>
      <c r="N29" s="64">
        <v>55.7</v>
      </c>
      <c r="O29" s="64">
        <v>0</v>
      </c>
      <c r="P29" s="64">
        <v>0.47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1323</v>
      </c>
      <c r="B30" s="64">
        <v>3.02</v>
      </c>
      <c r="C30" s="64">
        <v>41.75</v>
      </c>
      <c r="D30" s="64">
        <v>75.27</v>
      </c>
      <c r="E30" s="64">
        <v>2.36</v>
      </c>
      <c r="F30" s="64">
        <v>7.23</v>
      </c>
      <c r="G30" s="64">
        <v>42.32</v>
      </c>
      <c r="H30" s="64">
        <v>12.7</v>
      </c>
      <c r="I30" s="64">
        <v>3.99</v>
      </c>
      <c r="J30" s="64">
        <v>0.34</v>
      </c>
      <c r="K30" s="64">
        <v>103.03</v>
      </c>
      <c r="L30" s="64">
        <v>26.55</v>
      </c>
      <c r="M30" s="64">
        <v>46.13</v>
      </c>
      <c r="N30" s="64">
        <v>56.7</v>
      </c>
      <c r="O30" s="64">
        <v>0</v>
      </c>
      <c r="P30" s="64">
        <v>0.54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1324</v>
      </c>
      <c r="B31" s="64">
        <v>10.54</v>
      </c>
      <c r="C31" s="64">
        <v>57.71</v>
      </c>
      <c r="D31" s="64">
        <v>94.27</v>
      </c>
      <c r="E31" s="64">
        <v>2.97</v>
      </c>
      <c r="F31" s="64">
        <v>8.84</v>
      </c>
      <c r="G31" s="64">
        <v>40.9</v>
      </c>
      <c r="H31" s="64">
        <v>7.62</v>
      </c>
      <c r="I31" s="64">
        <v>4.08</v>
      </c>
      <c r="J31" s="64">
        <v>0.48</v>
      </c>
      <c r="K31" s="64">
        <v>257.58999999999997</v>
      </c>
      <c r="L31" s="64">
        <v>25.95</v>
      </c>
      <c r="M31" s="64">
        <v>47.71</v>
      </c>
      <c r="N31" s="64">
        <v>59.2</v>
      </c>
      <c r="O31" s="64">
        <v>0</v>
      </c>
      <c r="P31" s="64">
        <v>0.51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1325</v>
      </c>
      <c r="B32" s="64">
        <v>10.8</v>
      </c>
      <c r="C32" s="64">
        <v>53.24</v>
      </c>
      <c r="D32" s="64">
        <v>85.33</v>
      </c>
      <c r="E32" s="64">
        <v>2.38</v>
      </c>
      <c r="F32" s="64">
        <v>6.47</v>
      </c>
      <c r="G32" s="64">
        <v>39.340000000000003</v>
      </c>
      <c r="H32" s="64">
        <v>2.0699999999999998</v>
      </c>
      <c r="I32" s="64">
        <v>3.91</v>
      </c>
      <c r="J32" s="64">
        <v>0.76</v>
      </c>
      <c r="K32" s="64">
        <v>309.3</v>
      </c>
      <c r="L32" s="64">
        <v>25.57</v>
      </c>
      <c r="M32" s="64">
        <v>53.07</v>
      </c>
      <c r="N32" s="64">
        <v>66.5</v>
      </c>
      <c r="O32" s="64">
        <v>0</v>
      </c>
      <c r="P32" s="64">
        <v>0.55000000000000004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1326</v>
      </c>
      <c r="B33" s="64">
        <v>18.38</v>
      </c>
      <c r="C33" s="64">
        <v>58.72</v>
      </c>
      <c r="D33" s="64">
        <v>84.18</v>
      </c>
      <c r="E33" s="64">
        <v>2.5099999999999998</v>
      </c>
      <c r="F33" s="64">
        <v>7.67</v>
      </c>
      <c r="G33" s="64">
        <v>39.340000000000003</v>
      </c>
      <c r="H33" s="64">
        <v>2.0699999999999998</v>
      </c>
      <c r="I33" s="64">
        <v>4.05</v>
      </c>
      <c r="J33" s="64">
        <v>0.56999999999999995</v>
      </c>
      <c r="K33" s="64">
        <v>323.95999999999998</v>
      </c>
      <c r="L33" s="64">
        <v>25.31</v>
      </c>
      <c r="M33" s="64">
        <v>52.28</v>
      </c>
      <c r="N33" s="64">
        <v>81.099999999999994</v>
      </c>
      <c r="O33" s="64">
        <v>0</v>
      </c>
      <c r="P33" s="64">
        <v>0.64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1327</v>
      </c>
      <c r="B34" s="64">
        <v>19.86</v>
      </c>
      <c r="C34" s="64">
        <v>60.48</v>
      </c>
      <c r="D34" s="64">
        <v>85.29</v>
      </c>
      <c r="E34" s="64">
        <v>3.84</v>
      </c>
      <c r="F34" s="64">
        <v>7.8</v>
      </c>
      <c r="G34" s="64">
        <v>39.340000000000003</v>
      </c>
      <c r="H34" s="64">
        <v>2.0699999999999998</v>
      </c>
      <c r="I34" s="64">
        <v>4.05</v>
      </c>
      <c r="J34" s="64">
        <v>0.13</v>
      </c>
      <c r="K34" s="64">
        <v>191.61</v>
      </c>
      <c r="L34" s="64">
        <v>25.39</v>
      </c>
      <c r="M34" s="64">
        <v>52.62</v>
      </c>
      <c r="N34" s="64">
        <v>110.6</v>
      </c>
      <c r="O34" s="64">
        <v>0</v>
      </c>
      <c r="P34" s="64">
        <v>0.75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1328</v>
      </c>
      <c r="B35" s="64">
        <v>30.44</v>
      </c>
      <c r="C35" s="64">
        <v>72.150000000000006</v>
      </c>
      <c r="D35" s="64">
        <v>91.38</v>
      </c>
      <c r="E35" s="64">
        <v>4.49</v>
      </c>
      <c r="F35" s="64">
        <v>7.85</v>
      </c>
      <c r="G35" s="64">
        <v>47.98</v>
      </c>
      <c r="H35" s="64">
        <v>11.1</v>
      </c>
      <c r="I35" s="64">
        <v>4.16</v>
      </c>
      <c r="J35" s="64">
        <v>0.34</v>
      </c>
      <c r="K35" s="64">
        <v>315.38</v>
      </c>
      <c r="L35" s="64">
        <v>25.98</v>
      </c>
      <c r="M35" s="64">
        <v>53.18</v>
      </c>
      <c r="N35" s="64">
        <v>137.5</v>
      </c>
      <c r="O35" s="64">
        <v>0</v>
      </c>
      <c r="P35" s="64">
        <v>0.8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1329</v>
      </c>
      <c r="B36" s="64">
        <v>28.68</v>
      </c>
      <c r="C36" s="64">
        <v>69.260000000000005</v>
      </c>
      <c r="D36" s="64">
        <v>88.55</v>
      </c>
      <c r="E36" s="64">
        <v>4.33</v>
      </c>
      <c r="F36" s="64">
        <v>7.3</v>
      </c>
      <c r="G36" s="64">
        <v>57.43</v>
      </c>
      <c r="H36" s="64">
        <v>20.98</v>
      </c>
      <c r="I36" s="64">
        <v>4.1100000000000003</v>
      </c>
      <c r="J36" s="64">
        <v>0.37</v>
      </c>
      <c r="K36" s="64">
        <v>302.22000000000003</v>
      </c>
      <c r="L36" s="64">
        <v>26.92</v>
      </c>
      <c r="M36" s="64">
        <v>52.79</v>
      </c>
      <c r="N36" s="64">
        <v>184.5</v>
      </c>
      <c r="O36" s="64">
        <v>0</v>
      </c>
      <c r="P36" s="64">
        <v>0.84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1330</v>
      </c>
      <c r="B37" s="64">
        <v>24.21</v>
      </c>
      <c r="C37" s="64">
        <v>65.23</v>
      </c>
      <c r="D37" s="64">
        <v>87.7</v>
      </c>
      <c r="E37" s="64">
        <v>5.52</v>
      </c>
      <c r="F37" s="64">
        <v>8.7200000000000006</v>
      </c>
      <c r="G37" s="64">
        <v>57.43</v>
      </c>
      <c r="H37" s="64">
        <v>20.98</v>
      </c>
      <c r="I37" s="64">
        <v>4.0599999999999996</v>
      </c>
      <c r="J37" s="64">
        <v>0.53</v>
      </c>
      <c r="K37" s="64">
        <v>333.03</v>
      </c>
      <c r="L37" s="64">
        <v>27.9</v>
      </c>
      <c r="M37" s="64">
        <v>48.25</v>
      </c>
      <c r="N37" s="64">
        <v>152.4</v>
      </c>
      <c r="O37" s="64">
        <v>0</v>
      </c>
      <c r="P37" s="64">
        <v>0.78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1331</v>
      </c>
      <c r="B38" s="64">
        <v>23.53</v>
      </c>
      <c r="C38" s="64">
        <v>68.760000000000005</v>
      </c>
      <c r="D38" s="64">
        <v>95.5</v>
      </c>
      <c r="E38" s="64">
        <v>6.09</v>
      </c>
      <c r="F38" s="64">
        <v>9.7899999999999991</v>
      </c>
      <c r="G38" s="64">
        <v>57.43</v>
      </c>
      <c r="H38" s="64">
        <v>20.98</v>
      </c>
      <c r="I38" s="64">
        <v>4</v>
      </c>
      <c r="J38" s="64">
        <v>0.11</v>
      </c>
      <c r="K38" s="64">
        <v>34.18</v>
      </c>
      <c r="L38" s="64">
        <v>27.5</v>
      </c>
      <c r="M38" s="64">
        <v>49.38</v>
      </c>
      <c r="N38" s="64">
        <v>130.6</v>
      </c>
      <c r="O38" s="64">
        <v>0</v>
      </c>
      <c r="P38" s="64">
        <v>0.94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1332</v>
      </c>
      <c r="B39" s="64">
        <v>14.77</v>
      </c>
      <c r="C39" s="64">
        <v>60.15</v>
      </c>
      <c r="D39" s="64">
        <v>92.45</v>
      </c>
      <c r="E39" s="64">
        <v>6.65</v>
      </c>
      <c r="F39" s="64">
        <v>9.7899999999999991</v>
      </c>
      <c r="G39" s="64">
        <v>63.07</v>
      </c>
      <c r="H39" s="64">
        <v>27.1</v>
      </c>
      <c r="I39" s="64">
        <v>4.1100000000000003</v>
      </c>
      <c r="J39" s="64">
        <v>0.65</v>
      </c>
      <c r="K39" s="64">
        <v>225.84</v>
      </c>
      <c r="L39" s="64">
        <v>26.92</v>
      </c>
      <c r="M39" s="64">
        <v>50.8</v>
      </c>
      <c r="N39" s="64">
        <v>135.30000000000001</v>
      </c>
      <c r="O39" s="64">
        <v>0</v>
      </c>
      <c r="P39" s="64">
        <v>0.82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1333</v>
      </c>
      <c r="B40" s="64">
        <v>16.98</v>
      </c>
      <c r="C40" s="64">
        <v>59.79</v>
      </c>
      <c r="D40" s="64">
        <v>88.38</v>
      </c>
      <c r="E40" s="64">
        <v>6.12</v>
      </c>
      <c r="F40" s="64">
        <v>8.74</v>
      </c>
      <c r="G40" s="64">
        <v>69.239999999999995</v>
      </c>
      <c r="H40" s="64">
        <v>33.79</v>
      </c>
      <c r="I40" s="64">
        <v>3.9</v>
      </c>
      <c r="J40" s="64">
        <v>0.81</v>
      </c>
      <c r="K40" s="64">
        <v>172.91</v>
      </c>
      <c r="L40" s="64">
        <v>26.48</v>
      </c>
      <c r="M40" s="64">
        <v>55.75</v>
      </c>
      <c r="N40" s="64">
        <v>206.5</v>
      </c>
      <c r="O40" s="64">
        <v>0</v>
      </c>
      <c r="P40" s="64">
        <v>0.91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1334</v>
      </c>
      <c r="B41" s="64">
        <v>18.760000000000002</v>
      </c>
      <c r="C41" s="64">
        <v>60.71</v>
      </c>
      <c r="D41" s="64">
        <v>87.41</v>
      </c>
      <c r="E41" s="64">
        <v>5.89</v>
      </c>
      <c r="F41" s="64">
        <v>7.83</v>
      </c>
      <c r="G41" s="64">
        <v>69.239999999999995</v>
      </c>
      <c r="H41" s="64">
        <v>33.79</v>
      </c>
      <c r="I41" s="64">
        <v>3.85</v>
      </c>
      <c r="J41" s="64">
        <v>0.8</v>
      </c>
      <c r="K41" s="64">
        <v>145.09</v>
      </c>
      <c r="L41" s="64">
        <v>28.21</v>
      </c>
      <c r="M41" s="64">
        <v>47.69</v>
      </c>
      <c r="N41" s="64">
        <v>403.4</v>
      </c>
      <c r="O41" s="64">
        <v>0</v>
      </c>
      <c r="P41" s="64">
        <v>0.78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1335</v>
      </c>
      <c r="B42" s="64">
        <v>15.15</v>
      </c>
      <c r="C42" s="64">
        <v>55.95</v>
      </c>
      <c r="D42" s="64">
        <v>83.83</v>
      </c>
      <c r="E42" s="64">
        <v>5.78</v>
      </c>
      <c r="F42" s="64">
        <v>8.82</v>
      </c>
      <c r="G42" s="64">
        <v>69.239999999999995</v>
      </c>
      <c r="H42" s="64">
        <v>33.79</v>
      </c>
      <c r="I42" s="64">
        <v>3.99</v>
      </c>
      <c r="J42" s="64">
        <v>0.33</v>
      </c>
      <c r="K42" s="64">
        <v>149</v>
      </c>
      <c r="L42" s="64">
        <v>30.17</v>
      </c>
      <c r="M42" s="64">
        <v>41.52</v>
      </c>
      <c r="N42" s="64">
        <v>470.2</v>
      </c>
      <c r="O42" s="64">
        <v>0</v>
      </c>
      <c r="P42" s="64">
        <v>0.74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1336</v>
      </c>
      <c r="B43" s="64">
        <v>16.66</v>
      </c>
      <c r="C43" s="64">
        <v>62.24</v>
      </c>
      <c r="D43" s="64">
        <v>93.54</v>
      </c>
      <c r="E43" s="64">
        <v>6.07</v>
      </c>
      <c r="F43" s="64">
        <v>7.18</v>
      </c>
      <c r="G43" s="64">
        <v>76.540000000000006</v>
      </c>
      <c r="H43" s="64">
        <v>29.05</v>
      </c>
      <c r="I43" s="64">
        <v>3.94</v>
      </c>
      <c r="J43" s="64">
        <v>0.72</v>
      </c>
      <c r="K43" s="64">
        <v>316.10000000000002</v>
      </c>
      <c r="L43" s="64">
        <v>32.32</v>
      </c>
      <c r="M43" s="64">
        <v>38.130000000000003</v>
      </c>
      <c r="N43" s="64">
        <v>512.20000000000005</v>
      </c>
      <c r="O43" s="64">
        <v>0</v>
      </c>
      <c r="P43" s="64">
        <v>0.8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1337</v>
      </c>
      <c r="B44" s="64">
        <v>16.72</v>
      </c>
      <c r="C44" s="64">
        <v>61.06</v>
      </c>
      <c r="D44" s="64">
        <v>91.19</v>
      </c>
      <c r="E44" s="64">
        <v>4.84</v>
      </c>
      <c r="F44" s="64">
        <v>7.81</v>
      </c>
      <c r="G44" s="64">
        <v>84.52</v>
      </c>
      <c r="H44" s="64">
        <v>23.88</v>
      </c>
      <c r="I44" s="64">
        <v>4.04</v>
      </c>
      <c r="J44" s="64">
        <v>1.45</v>
      </c>
      <c r="K44" s="64">
        <v>322.74</v>
      </c>
      <c r="L44" s="64">
        <v>34.49</v>
      </c>
      <c r="M44" s="64">
        <v>35.31</v>
      </c>
      <c r="N44" s="64">
        <v>546.4</v>
      </c>
      <c r="O44" s="64">
        <v>0</v>
      </c>
      <c r="P44" s="64">
        <v>0.8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1338</v>
      </c>
      <c r="B45" s="64">
        <v>17.63</v>
      </c>
      <c r="C45" s="64">
        <v>63.57</v>
      </c>
      <c r="D45" s="64">
        <v>94.62</v>
      </c>
      <c r="E45" s="64">
        <v>6.54</v>
      </c>
      <c r="F45" s="64">
        <v>8.07</v>
      </c>
      <c r="G45" s="64">
        <v>84.52</v>
      </c>
      <c r="H45" s="64">
        <v>23.88</v>
      </c>
      <c r="I45" s="64">
        <v>4.09</v>
      </c>
      <c r="J45" s="64">
        <v>1.42</v>
      </c>
      <c r="K45" s="64">
        <v>338.77</v>
      </c>
      <c r="L45" s="64">
        <v>34.869999999999997</v>
      </c>
      <c r="M45" s="64">
        <v>35.67</v>
      </c>
      <c r="N45" s="64">
        <v>597.29999999999995</v>
      </c>
      <c r="O45" s="64">
        <v>0</v>
      </c>
      <c r="P45" s="64">
        <v>0.85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1339</v>
      </c>
      <c r="B46" s="64">
        <v>15.79</v>
      </c>
      <c r="C46" s="64">
        <v>61.86</v>
      </c>
      <c r="D46" s="64">
        <v>94.17</v>
      </c>
      <c r="E46" s="64">
        <v>6.28</v>
      </c>
      <c r="F46" s="64">
        <v>7.99</v>
      </c>
      <c r="G46" s="64">
        <v>84.52</v>
      </c>
      <c r="H46" s="64">
        <v>23.88</v>
      </c>
      <c r="I46" s="64">
        <v>3.97</v>
      </c>
      <c r="J46" s="64">
        <v>1.42</v>
      </c>
      <c r="K46" s="64">
        <v>329.45</v>
      </c>
      <c r="L46" s="64">
        <v>35.56</v>
      </c>
      <c r="M46" s="64">
        <v>32.9</v>
      </c>
      <c r="N46" s="64">
        <v>631.5</v>
      </c>
      <c r="O46" s="64">
        <v>0</v>
      </c>
      <c r="P46" s="64">
        <v>0.86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1340</v>
      </c>
      <c r="B47" s="64">
        <v>15.93</v>
      </c>
      <c r="C47" s="64">
        <v>61.63</v>
      </c>
      <c r="D47" s="64">
        <v>93.52</v>
      </c>
      <c r="E47" s="64">
        <v>7.83</v>
      </c>
      <c r="F47" s="64">
        <v>9.14</v>
      </c>
      <c r="G47" s="64">
        <v>95.37</v>
      </c>
      <c r="H47" s="64">
        <v>27.21</v>
      </c>
      <c r="I47" s="64">
        <v>3.89</v>
      </c>
      <c r="J47" s="64">
        <v>1.1000000000000001</v>
      </c>
      <c r="K47" s="64">
        <v>334.2</v>
      </c>
      <c r="L47" s="64">
        <v>36.44</v>
      </c>
      <c r="M47" s="64">
        <v>30.91</v>
      </c>
      <c r="N47" s="64">
        <v>669.1</v>
      </c>
      <c r="O47" s="64">
        <v>0</v>
      </c>
      <c r="P47" s="64">
        <v>0.9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1341</v>
      </c>
      <c r="B48" s="64">
        <v>19.27</v>
      </c>
      <c r="C48" s="64">
        <v>67.14</v>
      </c>
      <c r="D48" s="64">
        <v>98.93</v>
      </c>
      <c r="E48" s="64">
        <v>12.73</v>
      </c>
      <c r="F48" s="64">
        <v>9.8000000000000007</v>
      </c>
      <c r="G48" s="64">
        <v>107.23</v>
      </c>
      <c r="H48" s="64">
        <v>30.84</v>
      </c>
      <c r="I48" s="64">
        <v>4</v>
      </c>
      <c r="J48" s="64">
        <v>1.3</v>
      </c>
      <c r="K48" s="64">
        <v>340.33</v>
      </c>
      <c r="L48" s="64">
        <v>36.380000000000003</v>
      </c>
      <c r="M48" s="64">
        <v>31.08</v>
      </c>
      <c r="N48" s="64">
        <v>722.6</v>
      </c>
      <c r="O48" s="64">
        <v>0</v>
      </c>
      <c r="P48" s="64">
        <v>0.96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1342</v>
      </c>
      <c r="B49" s="64">
        <v>14.67</v>
      </c>
      <c r="C49" s="64">
        <v>62.75</v>
      </c>
      <c r="D49" s="64">
        <v>97.58</v>
      </c>
      <c r="E49" s="64">
        <v>10.27</v>
      </c>
      <c r="F49" s="64">
        <v>9.59</v>
      </c>
      <c r="G49" s="64">
        <v>107.23</v>
      </c>
      <c r="H49" s="64">
        <v>30.84</v>
      </c>
      <c r="I49" s="64">
        <v>4.05</v>
      </c>
      <c r="J49" s="64">
        <v>1.46</v>
      </c>
      <c r="K49" s="64">
        <v>333.91</v>
      </c>
      <c r="L49" s="64">
        <v>37.25</v>
      </c>
      <c r="M49" s="64">
        <v>27.98</v>
      </c>
      <c r="N49" s="64">
        <v>766.7</v>
      </c>
      <c r="O49" s="64">
        <v>0</v>
      </c>
      <c r="P49" s="64">
        <v>0.93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1343</v>
      </c>
      <c r="B50" s="64">
        <v>11.79</v>
      </c>
      <c r="C50" s="64">
        <v>59.73</v>
      </c>
      <c r="D50" s="64">
        <v>96.23</v>
      </c>
      <c r="E50" s="64">
        <v>7.27</v>
      </c>
      <c r="F50" s="64">
        <v>10.39</v>
      </c>
      <c r="G50" s="64">
        <v>107.23</v>
      </c>
      <c r="H50" s="64">
        <v>30.84</v>
      </c>
      <c r="I50" s="64">
        <v>4.07</v>
      </c>
      <c r="J50" s="64">
        <v>0.81</v>
      </c>
      <c r="K50" s="64">
        <v>318.13</v>
      </c>
      <c r="L50" s="64">
        <v>36.18</v>
      </c>
      <c r="M50" s="64">
        <v>32.26</v>
      </c>
      <c r="N50" s="64">
        <v>617.1</v>
      </c>
      <c r="O50" s="64">
        <v>0</v>
      </c>
      <c r="P50" s="64">
        <v>0.94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1344</v>
      </c>
      <c r="B51" s="64">
        <v>9.57</v>
      </c>
      <c r="C51" s="64">
        <v>58.39</v>
      </c>
      <c r="D51" s="64">
        <v>97.06</v>
      </c>
      <c r="E51" s="64">
        <v>10.55</v>
      </c>
      <c r="F51" s="64">
        <v>13.2</v>
      </c>
      <c r="G51" s="64">
        <v>109.81</v>
      </c>
      <c r="H51" s="64">
        <v>33.69</v>
      </c>
      <c r="I51" s="64">
        <v>4.07</v>
      </c>
      <c r="J51" s="64">
        <v>0.46</v>
      </c>
      <c r="K51" s="64">
        <v>303.81</v>
      </c>
      <c r="L51" s="64">
        <v>34.83</v>
      </c>
      <c r="M51" s="64">
        <v>31.34</v>
      </c>
      <c r="N51" s="64">
        <v>493.6</v>
      </c>
      <c r="O51" s="64">
        <v>0</v>
      </c>
      <c r="P51" s="64">
        <v>0.92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1345</v>
      </c>
      <c r="B52" s="64">
        <v>6.98</v>
      </c>
      <c r="C52" s="64">
        <v>51.83</v>
      </c>
      <c r="D52" s="64">
        <v>88.49</v>
      </c>
      <c r="E52" s="64">
        <v>8.32</v>
      </c>
      <c r="F52" s="64">
        <v>16.02</v>
      </c>
      <c r="G52" s="64">
        <v>112.62</v>
      </c>
      <c r="H52" s="64">
        <v>36.81</v>
      </c>
      <c r="I52" s="64">
        <v>4.03</v>
      </c>
      <c r="J52" s="64">
        <v>0.6</v>
      </c>
      <c r="K52" s="64">
        <v>286.89999999999998</v>
      </c>
      <c r="L52" s="64">
        <v>35.28</v>
      </c>
      <c r="M52" s="64">
        <v>29.47</v>
      </c>
      <c r="N52" s="64">
        <v>719.8</v>
      </c>
      <c r="O52" s="64">
        <v>0</v>
      </c>
      <c r="P52" s="64">
        <v>0.87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1346</v>
      </c>
      <c r="B53" s="64">
        <v>9.9700000000000006</v>
      </c>
      <c r="C53" s="64">
        <v>58.79</v>
      </c>
      <c r="D53" s="64">
        <v>97.23</v>
      </c>
      <c r="E53" s="64">
        <v>6.84</v>
      </c>
      <c r="F53" s="64">
        <v>11.76</v>
      </c>
      <c r="G53" s="64">
        <v>112.62</v>
      </c>
      <c r="H53" s="64">
        <v>36.81</v>
      </c>
      <c r="I53" s="64">
        <v>4.16</v>
      </c>
      <c r="J53" s="64">
        <v>1.18</v>
      </c>
      <c r="K53" s="64">
        <v>318.95</v>
      </c>
      <c r="L53" s="64">
        <v>35.72</v>
      </c>
      <c r="M53" s="64">
        <v>28.72</v>
      </c>
      <c r="N53" s="64">
        <v>508</v>
      </c>
      <c r="O53" s="64">
        <v>0</v>
      </c>
      <c r="P53" s="64">
        <v>0.93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1347</v>
      </c>
      <c r="B54" s="64">
        <v>7.39</v>
      </c>
      <c r="C54" s="64">
        <v>58.33</v>
      </c>
      <c r="D54" s="64">
        <v>100.3</v>
      </c>
      <c r="E54" s="64">
        <v>7.72</v>
      </c>
      <c r="F54" s="64">
        <v>14.2</v>
      </c>
      <c r="G54" s="64">
        <v>112.62</v>
      </c>
      <c r="H54" s="64">
        <v>36.81</v>
      </c>
      <c r="I54" s="64">
        <v>4.03</v>
      </c>
      <c r="J54" s="64">
        <v>0.9</v>
      </c>
      <c r="K54" s="64">
        <v>307.62</v>
      </c>
      <c r="L54" s="64">
        <v>36.61</v>
      </c>
      <c r="M54" s="64">
        <v>27.6</v>
      </c>
      <c r="N54" s="64">
        <v>831.4</v>
      </c>
      <c r="O54" s="64">
        <v>0</v>
      </c>
      <c r="P54" s="64">
        <v>0.94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1348</v>
      </c>
      <c r="B55" s="64">
        <v>4.78</v>
      </c>
      <c r="C55" s="64">
        <v>52.31</v>
      </c>
      <c r="D55" s="64">
        <v>92.78</v>
      </c>
      <c r="E55" s="64">
        <v>14.72</v>
      </c>
      <c r="F55" s="64">
        <v>17.68</v>
      </c>
      <c r="G55" s="64">
        <v>105.11</v>
      </c>
      <c r="H55" s="64">
        <v>31.62</v>
      </c>
      <c r="I55" s="64">
        <v>4</v>
      </c>
      <c r="J55" s="64">
        <v>0.4</v>
      </c>
      <c r="K55" s="64">
        <v>269.89999999999998</v>
      </c>
      <c r="L55" s="64">
        <v>36.229999999999997</v>
      </c>
      <c r="M55" s="64">
        <v>27.17</v>
      </c>
      <c r="N55" s="64">
        <v>870.5</v>
      </c>
      <c r="O55" s="64">
        <v>0</v>
      </c>
      <c r="P55" s="64">
        <v>0.88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1349</v>
      </c>
      <c r="B56" s="64">
        <v>5.07</v>
      </c>
      <c r="C56" s="64">
        <v>54.59</v>
      </c>
      <c r="D56" s="64">
        <v>96.7</v>
      </c>
      <c r="E56" s="64">
        <v>10.48</v>
      </c>
      <c r="F56" s="64">
        <v>17.940000000000001</v>
      </c>
      <c r="G56" s="64">
        <v>96.89</v>
      </c>
      <c r="H56" s="64">
        <v>25.95</v>
      </c>
      <c r="I56" s="64">
        <v>4.07</v>
      </c>
      <c r="J56" s="64">
        <v>0.85</v>
      </c>
      <c r="K56" s="64">
        <v>325.75</v>
      </c>
      <c r="L56" s="64">
        <v>36.92</v>
      </c>
      <c r="M56" s="64">
        <v>26.69</v>
      </c>
      <c r="N56" s="64">
        <v>880.2</v>
      </c>
      <c r="O56" s="64">
        <v>0</v>
      </c>
      <c r="P56" s="64">
        <v>0.92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1350</v>
      </c>
      <c r="B57" s="64">
        <v>2.92</v>
      </c>
      <c r="C57" s="64">
        <v>46.27</v>
      </c>
      <c r="D57" s="64">
        <v>84.07</v>
      </c>
      <c r="E57" s="64">
        <v>12.71</v>
      </c>
      <c r="F57" s="64">
        <v>22.29</v>
      </c>
      <c r="G57" s="64">
        <v>96.89</v>
      </c>
      <c r="H57" s="64">
        <v>25.95</v>
      </c>
      <c r="I57" s="64">
        <v>3.94</v>
      </c>
      <c r="J57" s="64">
        <v>0.51</v>
      </c>
      <c r="K57" s="64">
        <v>303.12</v>
      </c>
      <c r="L57" s="64">
        <v>36.97</v>
      </c>
      <c r="M57" s="64">
        <v>24.78</v>
      </c>
      <c r="N57" s="64">
        <v>891.4</v>
      </c>
      <c r="O57" s="64">
        <v>0</v>
      </c>
      <c r="P57" s="64">
        <v>0.81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1351</v>
      </c>
      <c r="B58" s="64">
        <v>2.63</v>
      </c>
      <c r="C58" s="64">
        <v>48.77</v>
      </c>
      <c r="D58" s="64">
        <v>89.31</v>
      </c>
      <c r="E58" s="64">
        <v>7.73</v>
      </c>
      <c r="F58" s="64">
        <v>16.63</v>
      </c>
      <c r="G58" s="64">
        <v>96.89</v>
      </c>
      <c r="H58" s="64">
        <v>25.95</v>
      </c>
      <c r="I58" s="64">
        <v>4.1100000000000003</v>
      </c>
      <c r="J58" s="64">
        <v>0.92</v>
      </c>
      <c r="K58" s="64">
        <v>308.70999999999998</v>
      </c>
      <c r="L58" s="64">
        <v>37.54</v>
      </c>
      <c r="M58" s="64">
        <v>23.78</v>
      </c>
      <c r="N58" s="64">
        <v>735.9</v>
      </c>
      <c r="O58" s="64">
        <v>0</v>
      </c>
      <c r="P58" s="64">
        <v>0.85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1352</v>
      </c>
      <c r="B59" s="64">
        <v>2.21</v>
      </c>
      <c r="C59" s="64">
        <v>52.54</v>
      </c>
      <c r="D59" s="64">
        <v>97.17</v>
      </c>
      <c r="E59" s="64">
        <v>7.35</v>
      </c>
      <c r="F59" s="64">
        <v>17.61</v>
      </c>
      <c r="G59" s="64">
        <v>88.55</v>
      </c>
      <c r="H59" s="64">
        <v>27.09</v>
      </c>
      <c r="I59" s="64">
        <v>4.09</v>
      </c>
      <c r="J59" s="64">
        <v>0.69</v>
      </c>
      <c r="K59" s="64">
        <v>323.33</v>
      </c>
      <c r="L59" s="64">
        <v>37.020000000000003</v>
      </c>
      <c r="M59" s="64">
        <v>26.33</v>
      </c>
      <c r="N59" s="64">
        <v>627.6</v>
      </c>
      <c r="O59" s="64">
        <v>0</v>
      </c>
      <c r="P59" s="64">
        <v>0.84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1353</v>
      </c>
      <c r="B60" s="64">
        <v>0.76</v>
      </c>
      <c r="C60" s="64">
        <v>42.86</v>
      </c>
      <c r="D60" s="64">
        <v>80.87</v>
      </c>
      <c r="E60" s="64">
        <v>11.38</v>
      </c>
      <c r="F60" s="64">
        <v>22.47</v>
      </c>
      <c r="G60" s="64">
        <v>79.42</v>
      </c>
      <c r="H60" s="64">
        <v>28.34</v>
      </c>
      <c r="I60" s="64">
        <v>4.0199999999999996</v>
      </c>
      <c r="J60" s="64">
        <v>0.31</v>
      </c>
      <c r="K60" s="64">
        <v>43.65</v>
      </c>
      <c r="L60" s="64">
        <v>37.04</v>
      </c>
      <c r="M60" s="64">
        <v>22.24</v>
      </c>
      <c r="N60" s="64">
        <v>844.7</v>
      </c>
      <c r="O60" s="64">
        <v>0</v>
      </c>
      <c r="P60" s="64">
        <v>0.76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1354</v>
      </c>
      <c r="B61" s="64">
        <v>0.97</v>
      </c>
      <c r="C61" s="64">
        <v>47.5</v>
      </c>
      <c r="D61" s="64">
        <v>89.42</v>
      </c>
      <c r="E61" s="64">
        <v>8.51</v>
      </c>
      <c r="F61" s="64">
        <v>16.809999999999999</v>
      </c>
      <c r="G61" s="64">
        <v>79.42</v>
      </c>
      <c r="H61" s="64">
        <v>28.34</v>
      </c>
      <c r="I61" s="64">
        <v>3.93</v>
      </c>
      <c r="J61" s="64">
        <v>0.39</v>
      </c>
      <c r="K61" s="64">
        <v>202.17</v>
      </c>
      <c r="L61" s="64">
        <v>37.49</v>
      </c>
      <c r="M61" s="64">
        <v>19.62</v>
      </c>
      <c r="N61" s="64">
        <v>811.6</v>
      </c>
      <c r="O61" s="64">
        <v>0</v>
      </c>
      <c r="P61" s="64">
        <v>0.76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1355</v>
      </c>
      <c r="B62" s="64">
        <v>2.5099999999999998</v>
      </c>
      <c r="C62" s="64">
        <v>49.51</v>
      </c>
      <c r="D62" s="64">
        <v>90.92</v>
      </c>
      <c r="E62" s="64">
        <v>6.38</v>
      </c>
      <c r="F62" s="64">
        <v>13.97</v>
      </c>
      <c r="G62" s="64">
        <v>79.42</v>
      </c>
      <c r="H62" s="64">
        <v>28.34</v>
      </c>
      <c r="I62" s="64">
        <v>4.03</v>
      </c>
      <c r="J62" s="64">
        <v>0.7</v>
      </c>
      <c r="K62" s="64">
        <v>308.83999999999997</v>
      </c>
      <c r="L62" s="64">
        <v>40</v>
      </c>
      <c r="M62" s="64">
        <v>16.46</v>
      </c>
      <c r="N62" s="64">
        <v>776.1</v>
      </c>
      <c r="O62" s="64">
        <v>0</v>
      </c>
      <c r="P62" s="64">
        <v>0.78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1356</v>
      </c>
      <c r="B63" s="64">
        <v>2.78</v>
      </c>
      <c r="C63" s="64">
        <v>50.3</v>
      </c>
      <c r="D63" s="64">
        <v>92.01</v>
      </c>
      <c r="E63" s="64">
        <v>6.81</v>
      </c>
      <c r="F63" s="64">
        <v>13.75</v>
      </c>
      <c r="G63" s="64">
        <v>73.59</v>
      </c>
      <c r="H63" s="64">
        <v>28.4</v>
      </c>
      <c r="I63" s="64">
        <v>4.12</v>
      </c>
      <c r="J63" s="64">
        <v>0.75</v>
      </c>
      <c r="K63" s="64">
        <v>284.8</v>
      </c>
      <c r="L63" s="64">
        <v>40.29</v>
      </c>
      <c r="M63" s="64">
        <v>15.11</v>
      </c>
      <c r="N63" s="64">
        <v>718.1</v>
      </c>
      <c r="O63" s="64">
        <v>0</v>
      </c>
      <c r="P63" s="64">
        <v>0.76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1357</v>
      </c>
      <c r="B64" s="64">
        <v>0.9</v>
      </c>
      <c r="C64" s="64">
        <v>43.82</v>
      </c>
      <c r="D64" s="64">
        <v>82.49</v>
      </c>
      <c r="E64" s="64">
        <v>6.01</v>
      </c>
      <c r="F64" s="64">
        <v>13.13</v>
      </c>
      <c r="G64" s="64">
        <v>67.5</v>
      </c>
      <c r="H64" s="64">
        <v>28.47</v>
      </c>
      <c r="I64" s="64">
        <v>4.01</v>
      </c>
      <c r="J64" s="64">
        <v>0.55000000000000004</v>
      </c>
      <c r="K64" s="64">
        <v>274.89999999999998</v>
      </c>
      <c r="L64" s="64">
        <v>38.020000000000003</v>
      </c>
      <c r="M64" s="64">
        <v>16.57</v>
      </c>
      <c r="N64" s="64">
        <v>488.8</v>
      </c>
      <c r="O64" s="64">
        <v>0</v>
      </c>
      <c r="P64" s="64">
        <v>0.75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1358</v>
      </c>
      <c r="B65" s="64">
        <v>1.27</v>
      </c>
      <c r="C65" s="64">
        <v>43.3</v>
      </c>
      <c r="D65" s="64">
        <v>80.92</v>
      </c>
      <c r="E65" s="64">
        <v>6.04</v>
      </c>
      <c r="F65" s="64">
        <v>15.94</v>
      </c>
      <c r="G65" s="64">
        <v>67.5</v>
      </c>
      <c r="H65" s="64">
        <v>28.47</v>
      </c>
      <c r="I65" s="64">
        <v>3.93</v>
      </c>
      <c r="J65" s="64">
        <v>0.78</v>
      </c>
      <c r="K65" s="64">
        <v>286.77999999999997</v>
      </c>
      <c r="L65" s="64">
        <v>38.32</v>
      </c>
      <c r="M65" s="64">
        <v>17.04</v>
      </c>
      <c r="N65" s="64">
        <v>347</v>
      </c>
      <c r="O65" s="64">
        <v>0</v>
      </c>
      <c r="P65" s="64">
        <v>0.71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1359</v>
      </c>
      <c r="B66" s="64">
        <v>0.48</v>
      </c>
      <c r="C66" s="64">
        <v>45.01</v>
      </c>
      <c r="D66" s="64">
        <v>85.41</v>
      </c>
      <c r="E66" s="64">
        <v>3.93</v>
      </c>
      <c r="F66" s="64">
        <v>10.08</v>
      </c>
      <c r="G66" s="64">
        <v>67.5</v>
      </c>
      <c r="H66" s="64">
        <v>28.47</v>
      </c>
      <c r="I66" s="64">
        <v>3.9</v>
      </c>
      <c r="J66" s="64">
        <v>1.18</v>
      </c>
      <c r="K66" s="64">
        <v>294.77</v>
      </c>
      <c r="L66" s="64">
        <v>36.380000000000003</v>
      </c>
      <c r="M66" s="64">
        <v>21.8</v>
      </c>
      <c r="N66" s="64">
        <v>283</v>
      </c>
      <c r="O66" s="64">
        <v>0</v>
      </c>
      <c r="P66" s="64">
        <v>0.73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1360</v>
      </c>
      <c r="B67" s="64">
        <v>0.33</v>
      </c>
      <c r="C67" s="64">
        <v>43.41</v>
      </c>
      <c r="D67" s="64">
        <v>82.58</v>
      </c>
      <c r="E67" s="64">
        <v>6.96</v>
      </c>
      <c r="F67" s="64">
        <v>15.46</v>
      </c>
      <c r="G67" s="64">
        <v>60.74</v>
      </c>
      <c r="H67" s="64">
        <v>24.1</v>
      </c>
      <c r="I67" s="64">
        <v>4.04</v>
      </c>
      <c r="J67" s="64">
        <v>0.57999999999999996</v>
      </c>
      <c r="K67" s="64">
        <v>256.97000000000003</v>
      </c>
      <c r="L67" s="64">
        <v>36.4</v>
      </c>
      <c r="M67" s="64">
        <v>18.45</v>
      </c>
      <c r="N67" s="64">
        <v>366</v>
      </c>
      <c r="O67" s="64">
        <v>0</v>
      </c>
      <c r="P67" s="64">
        <v>0.69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1361</v>
      </c>
      <c r="B68" s="64">
        <v>0.4</v>
      </c>
      <c r="C68" s="64">
        <v>42.38</v>
      </c>
      <c r="D68" s="64">
        <v>80.5</v>
      </c>
      <c r="E68" s="64">
        <v>10.36</v>
      </c>
      <c r="F68" s="64">
        <v>20.28</v>
      </c>
      <c r="G68" s="64">
        <v>53.68</v>
      </c>
      <c r="H68" s="64">
        <v>19.329999999999998</v>
      </c>
      <c r="I68" s="64">
        <v>3.96</v>
      </c>
      <c r="J68" s="64">
        <v>0.59</v>
      </c>
      <c r="K68" s="64">
        <v>209.69</v>
      </c>
      <c r="L68" s="64">
        <v>36.42</v>
      </c>
      <c r="M68" s="64">
        <v>17.18</v>
      </c>
      <c r="N68" s="64">
        <v>310.10000000000002</v>
      </c>
      <c r="O68" s="64">
        <v>0</v>
      </c>
      <c r="P68" s="64">
        <v>0.67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1362</v>
      </c>
      <c r="B69" s="64">
        <v>1.17</v>
      </c>
      <c r="C69" s="64">
        <v>38.15</v>
      </c>
      <c r="D69" s="64">
        <v>71.23</v>
      </c>
      <c r="E69" s="64">
        <v>21.59</v>
      </c>
      <c r="F69" s="64">
        <v>31.79</v>
      </c>
      <c r="G69" s="64">
        <v>53.68</v>
      </c>
      <c r="H69" s="64">
        <v>19.329999999999998</v>
      </c>
      <c r="I69" s="64">
        <v>3.91</v>
      </c>
      <c r="J69" s="64">
        <v>0.56000000000000005</v>
      </c>
      <c r="K69" s="64">
        <v>206.34</v>
      </c>
      <c r="L69" s="64">
        <v>36.51</v>
      </c>
      <c r="M69" s="64">
        <v>16.95</v>
      </c>
      <c r="N69" s="64">
        <v>294.5</v>
      </c>
      <c r="O69" s="64">
        <v>0</v>
      </c>
      <c r="P69" s="64">
        <v>0.65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1363</v>
      </c>
      <c r="B70" s="64">
        <v>1.32</v>
      </c>
      <c r="C70" s="64">
        <v>37.159999999999997</v>
      </c>
      <c r="D70" s="64">
        <v>69.09</v>
      </c>
      <c r="E70" s="64">
        <v>18.420000000000002</v>
      </c>
      <c r="F70" s="64">
        <v>29.16</v>
      </c>
      <c r="G70" s="64">
        <v>53.68</v>
      </c>
      <c r="H70" s="64">
        <v>19.329999999999998</v>
      </c>
      <c r="I70" s="64">
        <v>3.87</v>
      </c>
      <c r="J70" s="64">
        <v>0.43</v>
      </c>
      <c r="K70" s="64">
        <v>227.84</v>
      </c>
      <c r="L70" s="64">
        <v>36.840000000000003</v>
      </c>
      <c r="M70" s="64">
        <v>16.12</v>
      </c>
      <c r="N70" s="64">
        <v>275.5</v>
      </c>
      <c r="O70" s="64">
        <v>0</v>
      </c>
      <c r="P70" s="64">
        <v>0.6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1364</v>
      </c>
      <c r="B71" s="64">
        <v>1.74</v>
      </c>
      <c r="C71" s="64">
        <v>41.2</v>
      </c>
      <c r="D71" s="64">
        <v>76.19</v>
      </c>
      <c r="E71" s="64">
        <v>13.95</v>
      </c>
      <c r="F71" s="64">
        <v>23.31</v>
      </c>
      <c r="G71" s="64">
        <v>54.81</v>
      </c>
      <c r="H71" s="64">
        <v>22.4</v>
      </c>
      <c r="I71" s="64">
        <v>4.07</v>
      </c>
      <c r="J71" s="64">
        <v>0.64</v>
      </c>
      <c r="K71" s="64">
        <v>264.95</v>
      </c>
      <c r="L71" s="64">
        <v>37.22</v>
      </c>
      <c r="M71" s="64">
        <v>16.100000000000001</v>
      </c>
      <c r="N71" s="64">
        <v>201.2</v>
      </c>
      <c r="O71" s="64">
        <v>0</v>
      </c>
      <c r="P71" s="64">
        <v>0.6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1365</v>
      </c>
      <c r="B72" s="64">
        <v>0.76</v>
      </c>
      <c r="C72" s="64">
        <v>40.11</v>
      </c>
      <c r="D72" s="64">
        <v>75.61</v>
      </c>
      <c r="E72" s="64">
        <v>4.45</v>
      </c>
      <c r="F72" s="64">
        <v>19.2</v>
      </c>
      <c r="G72" s="64">
        <v>56.05</v>
      </c>
      <c r="H72" s="64">
        <v>25.75</v>
      </c>
      <c r="I72" s="64">
        <v>3.87</v>
      </c>
      <c r="J72" s="64">
        <v>0.77</v>
      </c>
      <c r="K72" s="64">
        <v>265.83999999999997</v>
      </c>
      <c r="L72" s="64">
        <v>36.86</v>
      </c>
      <c r="M72" s="64">
        <v>16.79</v>
      </c>
      <c r="N72" s="64">
        <v>236.5</v>
      </c>
      <c r="O72" s="64">
        <v>0</v>
      </c>
      <c r="P72" s="64">
        <v>0.63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1366</v>
      </c>
      <c r="B73" s="64">
        <v>3.33</v>
      </c>
      <c r="C73" s="64">
        <v>46.29</v>
      </c>
      <c r="D73" s="64">
        <v>83.49</v>
      </c>
      <c r="E73" s="64">
        <v>6.09</v>
      </c>
      <c r="F73" s="64">
        <v>20.54</v>
      </c>
      <c r="G73" s="64">
        <v>56.05</v>
      </c>
      <c r="H73" s="64">
        <v>25.75</v>
      </c>
      <c r="I73" s="64">
        <v>4.0599999999999996</v>
      </c>
      <c r="J73" s="64">
        <v>0.71</v>
      </c>
      <c r="K73" s="64">
        <v>291.37</v>
      </c>
      <c r="L73" s="64">
        <v>36.71</v>
      </c>
      <c r="M73" s="64">
        <v>16.61</v>
      </c>
      <c r="N73" s="64">
        <v>163.80000000000001</v>
      </c>
      <c r="O73" s="64">
        <v>0</v>
      </c>
      <c r="P73" s="64">
        <v>0.63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1367</v>
      </c>
      <c r="B74" s="64">
        <v>2.23</v>
      </c>
      <c r="C74" s="64">
        <v>42.22</v>
      </c>
      <c r="D74" s="64">
        <v>77.39</v>
      </c>
      <c r="E74" s="64">
        <v>8.75</v>
      </c>
      <c r="F74" s="64">
        <v>26.67</v>
      </c>
      <c r="G74" s="64">
        <v>56.05</v>
      </c>
      <c r="H74" s="64">
        <v>25.75</v>
      </c>
      <c r="I74" s="64">
        <v>3.92</v>
      </c>
      <c r="J74" s="64">
        <v>0.45</v>
      </c>
      <c r="K74" s="64">
        <v>242.24</v>
      </c>
      <c r="L74" s="64">
        <v>36.64</v>
      </c>
      <c r="M74" s="64">
        <v>16.260000000000002</v>
      </c>
      <c r="N74" s="64">
        <v>145.4</v>
      </c>
      <c r="O74" s="64">
        <v>0</v>
      </c>
      <c r="P74" s="64">
        <v>0.57999999999999996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1368</v>
      </c>
      <c r="B75" s="64">
        <v>4.8499999999999996</v>
      </c>
      <c r="C75" s="64">
        <v>44.42</v>
      </c>
      <c r="D75" s="64">
        <v>77.58</v>
      </c>
      <c r="E75" s="64">
        <v>6.13</v>
      </c>
      <c r="F75" s="64">
        <v>21.12</v>
      </c>
      <c r="G75" s="64">
        <v>52.57</v>
      </c>
      <c r="H75" s="64">
        <v>22.76</v>
      </c>
      <c r="I75" s="64">
        <v>3.98</v>
      </c>
      <c r="J75" s="64">
        <v>0.51</v>
      </c>
      <c r="K75" s="64">
        <v>271.38</v>
      </c>
      <c r="L75" s="64">
        <v>36.33</v>
      </c>
      <c r="M75" s="64">
        <v>14.47</v>
      </c>
      <c r="N75" s="64">
        <v>127.8</v>
      </c>
      <c r="O75" s="64">
        <v>0</v>
      </c>
      <c r="P75" s="64">
        <v>0.56999999999999995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1369</v>
      </c>
      <c r="B76" s="64">
        <v>3.12</v>
      </c>
      <c r="C76" s="64">
        <v>45.74</v>
      </c>
      <c r="D76" s="64">
        <v>82.77</v>
      </c>
      <c r="E76" s="64">
        <v>8.5</v>
      </c>
      <c r="F76" s="64">
        <v>16.64</v>
      </c>
      <c r="G76" s="64">
        <v>48.92</v>
      </c>
      <c r="H76" s="64">
        <v>19.489999999999998</v>
      </c>
      <c r="I76" s="64">
        <v>3.99</v>
      </c>
      <c r="J76" s="64">
        <v>0.54</v>
      </c>
      <c r="K76" s="64">
        <v>262.27</v>
      </c>
      <c r="L76" s="64">
        <v>36.1</v>
      </c>
      <c r="M76" s="64">
        <v>13.94</v>
      </c>
      <c r="N76" s="64">
        <v>117.7</v>
      </c>
      <c r="O76" s="64">
        <v>0</v>
      </c>
      <c r="P76" s="64">
        <v>0.65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1370</v>
      </c>
      <c r="B77" s="64">
        <v>5.29</v>
      </c>
      <c r="C77" s="64">
        <v>53.51</v>
      </c>
      <c r="D77" s="64">
        <v>94.3</v>
      </c>
      <c r="E77" s="64">
        <v>8.08</v>
      </c>
      <c r="F77" s="64">
        <v>11.5</v>
      </c>
      <c r="G77" s="64">
        <v>48.92</v>
      </c>
      <c r="H77" s="64">
        <v>19.489999999999998</v>
      </c>
      <c r="I77" s="64">
        <v>4.0199999999999996</v>
      </c>
      <c r="J77" s="64">
        <v>0.84</v>
      </c>
      <c r="K77" s="64">
        <v>295.01</v>
      </c>
      <c r="L77" s="64">
        <v>35.6</v>
      </c>
      <c r="M77" s="64">
        <v>15.33</v>
      </c>
      <c r="N77" s="64">
        <v>102.7</v>
      </c>
      <c r="O77" s="64">
        <v>0</v>
      </c>
      <c r="P77" s="64">
        <v>0.69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1371</v>
      </c>
      <c r="B78" s="64">
        <v>3.21</v>
      </c>
      <c r="C78" s="64">
        <v>52.32</v>
      </c>
      <c r="D78" s="64">
        <v>95.21</v>
      </c>
      <c r="E78" s="64">
        <v>4.26</v>
      </c>
      <c r="F78" s="64">
        <v>9.35</v>
      </c>
      <c r="G78" s="64">
        <v>48.92</v>
      </c>
      <c r="H78" s="64">
        <v>19.489999999999998</v>
      </c>
      <c r="I78" s="64">
        <v>3.98</v>
      </c>
      <c r="J78" s="64">
        <v>0.89</v>
      </c>
      <c r="K78" s="64">
        <v>297.01</v>
      </c>
      <c r="L78" s="64">
        <v>35.049999999999997</v>
      </c>
      <c r="M78" s="64">
        <v>15.37</v>
      </c>
      <c r="N78" s="64">
        <v>101.1</v>
      </c>
      <c r="O78" s="64">
        <v>0</v>
      </c>
      <c r="P78" s="64">
        <v>0.68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1372</v>
      </c>
      <c r="B79" s="64">
        <v>47.11</v>
      </c>
      <c r="C79" s="64">
        <v>99.31</v>
      </c>
      <c r="D79" s="64">
        <v>117.77</v>
      </c>
      <c r="E79" s="64">
        <v>4.8499999999999996</v>
      </c>
      <c r="F79" s="64">
        <v>11.54</v>
      </c>
      <c r="G79" s="64">
        <v>52.82</v>
      </c>
      <c r="H79" s="64">
        <v>20.47</v>
      </c>
      <c r="I79" s="64">
        <v>3.99</v>
      </c>
      <c r="J79" s="64">
        <v>0.67</v>
      </c>
      <c r="K79" s="64">
        <v>298.79000000000002</v>
      </c>
      <c r="L79" s="64">
        <v>34.67</v>
      </c>
      <c r="M79" s="64">
        <v>15.9</v>
      </c>
      <c r="N79" s="64">
        <v>84.7</v>
      </c>
      <c r="O79" s="64">
        <v>0</v>
      </c>
      <c r="P79" s="64">
        <v>0.78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1373</v>
      </c>
      <c r="B80" s="64">
        <v>16.940000000000001</v>
      </c>
      <c r="C80" s="64">
        <v>75.81</v>
      </c>
      <c r="D80" s="64">
        <v>119.1</v>
      </c>
      <c r="E80" s="64">
        <v>5.99</v>
      </c>
      <c r="F80" s="64">
        <v>15.71</v>
      </c>
      <c r="G80" s="64">
        <v>57.07</v>
      </c>
      <c r="H80" s="64">
        <v>21.54</v>
      </c>
      <c r="I80" s="64">
        <v>3.83</v>
      </c>
      <c r="J80" s="64">
        <v>0.4</v>
      </c>
      <c r="K80" s="64">
        <v>300.70999999999998</v>
      </c>
      <c r="L80" s="64">
        <v>34.200000000000003</v>
      </c>
      <c r="M80" s="64">
        <v>16.350000000000001</v>
      </c>
      <c r="N80" s="64">
        <v>69.2</v>
      </c>
      <c r="O80" s="64">
        <v>0</v>
      </c>
      <c r="P80" s="64">
        <v>0.97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1374</v>
      </c>
      <c r="B81" s="64">
        <v>12.75</v>
      </c>
      <c r="C81" s="64">
        <v>77.180000000000007</v>
      </c>
      <c r="D81" s="64">
        <v>128.15</v>
      </c>
      <c r="E81" s="64">
        <v>6.96</v>
      </c>
      <c r="F81" s="64">
        <v>19.05</v>
      </c>
      <c r="G81" s="64">
        <v>57.07</v>
      </c>
      <c r="H81" s="64">
        <v>21.54</v>
      </c>
      <c r="I81" s="64">
        <v>4.0999999999999996</v>
      </c>
      <c r="J81" s="64">
        <v>0.43</v>
      </c>
      <c r="K81" s="64">
        <v>250.22</v>
      </c>
      <c r="L81" s="64">
        <v>33.770000000000003</v>
      </c>
      <c r="M81" s="64">
        <v>16.52</v>
      </c>
      <c r="N81" s="64">
        <v>56.3</v>
      </c>
      <c r="O81" s="64">
        <v>0</v>
      </c>
      <c r="P81" s="64">
        <v>1.04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1375</v>
      </c>
      <c r="B82" s="64">
        <v>8.09</v>
      </c>
      <c r="C82" s="64">
        <v>71.44</v>
      </c>
      <c r="D82" s="64">
        <v>124.31</v>
      </c>
      <c r="E82" s="64">
        <v>7.11</v>
      </c>
      <c r="F82" s="64">
        <v>17.43</v>
      </c>
      <c r="G82" s="64">
        <v>57.07</v>
      </c>
      <c r="H82" s="64">
        <v>21.54</v>
      </c>
      <c r="I82" s="64">
        <v>3.99</v>
      </c>
      <c r="J82" s="64">
        <v>0.48</v>
      </c>
      <c r="K82" s="64">
        <v>224.25</v>
      </c>
      <c r="L82" s="64">
        <v>33.25</v>
      </c>
      <c r="M82" s="64">
        <v>17.899999999999999</v>
      </c>
      <c r="N82" s="64">
        <v>50.4</v>
      </c>
      <c r="O82" s="64">
        <v>0</v>
      </c>
      <c r="P82" s="64">
        <v>1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1376</v>
      </c>
      <c r="B83" s="64">
        <v>115.69</v>
      </c>
      <c r="C83" s="64">
        <v>196.5</v>
      </c>
      <c r="D83" s="64">
        <v>198.52</v>
      </c>
      <c r="E83" s="64">
        <v>7.91</v>
      </c>
      <c r="F83" s="64">
        <v>8.93</v>
      </c>
      <c r="G83" s="64">
        <v>61.44</v>
      </c>
      <c r="H83" s="64">
        <v>22.43</v>
      </c>
      <c r="I83" s="64">
        <v>3.94</v>
      </c>
      <c r="J83" s="64">
        <v>0.51</v>
      </c>
      <c r="K83" s="64">
        <v>300.29000000000002</v>
      </c>
      <c r="L83" s="64">
        <v>32.14</v>
      </c>
      <c r="M83" s="64">
        <v>21.39</v>
      </c>
      <c r="N83" s="64">
        <v>50</v>
      </c>
      <c r="O83" s="64">
        <v>0</v>
      </c>
      <c r="P83" s="64">
        <v>2.79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1377</v>
      </c>
      <c r="B84" s="64">
        <v>48.73</v>
      </c>
      <c r="C84" s="64">
        <v>128.86000000000001</v>
      </c>
      <c r="D84" s="64">
        <v>171.83</v>
      </c>
      <c r="E84" s="64">
        <v>11.69</v>
      </c>
      <c r="F84" s="64">
        <v>11.18</v>
      </c>
      <c r="G84" s="64">
        <v>66</v>
      </c>
      <c r="H84" s="64">
        <v>23.35</v>
      </c>
      <c r="I84" s="64">
        <v>3.94</v>
      </c>
      <c r="J84" s="64">
        <v>0.4</v>
      </c>
      <c r="K84" s="64">
        <v>285.06</v>
      </c>
      <c r="L84" s="64">
        <v>31.71</v>
      </c>
      <c r="M84" s="64">
        <v>21.59</v>
      </c>
      <c r="N84" s="64">
        <v>49.3</v>
      </c>
      <c r="O84" s="64">
        <v>0</v>
      </c>
      <c r="P84" s="64">
        <v>2.17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1378</v>
      </c>
      <c r="B85" s="64">
        <v>51.38</v>
      </c>
      <c r="C85" s="64">
        <v>132.31</v>
      </c>
      <c r="D85" s="64">
        <v>174.38</v>
      </c>
      <c r="E85" s="64">
        <v>13.52</v>
      </c>
      <c r="F85" s="64">
        <v>10.23</v>
      </c>
      <c r="G85" s="64">
        <v>66</v>
      </c>
      <c r="H85" s="64">
        <v>23.35</v>
      </c>
      <c r="I85" s="64">
        <v>4</v>
      </c>
      <c r="J85" s="64">
        <v>0.41</v>
      </c>
      <c r="K85" s="64">
        <v>277.98</v>
      </c>
      <c r="L85" s="64">
        <v>31.76</v>
      </c>
      <c r="M85" s="64">
        <v>20.49</v>
      </c>
      <c r="N85" s="64">
        <v>49</v>
      </c>
      <c r="O85" s="64">
        <v>0</v>
      </c>
      <c r="P85" s="64">
        <v>2.23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1379</v>
      </c>
      <c r="B86" s="64">
        <v>23.74</v>
      </c>
      <c r="C86" s="64">
        <v>91.38</v>
      </c>
      <c r="D86" s="64">
        <v>138.46</v>
      </c>
      <c r="E86" s="64">
        <v>8.19</v>
      </c>
      <c r="F86" s="64">
        <v>12.4</v>
      </c>
      <c r="G86" s="64">
        <v>66</v>
      </c>
      <c r="H86" s="64">
        <v>23.35</v>
      </c>
      <c r="I86" s="64">
        <v>3.99</v>
      </c>
      <c r="J86" s="64">
        <v>0.12</v>
      </c>
      <c r="K86" s="64">
        <v>301.95999999999998</v>
      </c>
      <c r="L86" s="64">
        <v>31.73</v>
      </c>
      <c r="M86" s="64">
        <v>19.809999999999999</v>
      </c>
      <c r="N86" s="64">
        <v>48.9</v>
      </c>
      <c r="O86" s="64">
        <v>0</v>
      </c>
      <c r="P86" s="64">
        <v>1.5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1380</v>
      </c>
      <c r="B87" s="64">
        <v>37.89</v>
      </c>
      <c r="C87" s="64">
        <v>102.85</v>
      </c>
      <c r="D87" s="64">
        <v>138.69999999999999</v>
      </c>
      <c r="E87" s="64">
        <v>7.2</v>
      </c>
      <c r="F87" s="64">
        <v>11.96</v>
      </c>
      <c r="G87" s="64">
        <v>71.58</v>
      </c>
      <c r="H87" s="64">
        <v>25.19</v>
      </c>
      <c r="I87" s="64">
        <v>4.05</v>
      </c>
      <c r="J87" s="64">
        <v>0.44</v>
      </c>
      <c r="K87" s="64">
        <v>292.49</v>
      </c>
      <c r="L87" s="64">
        <v>31.48</v>
      </c>
      <c r="M87" s="64">
        <v>20.41</v>
      </c>
      <c r="N87" s="64">
        <v>49.9</v>
      </c>
      <c r="O87" s="64">
        <v>0</v>
      </c>
      <c r="P87" s="64">
        <v>1.79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1381</v>
      </c>
      <c r="B88" s="64">
        <v>68.12</v>
      </c>
      <c r="C88" s="64">
        <v>135.9</v>
      </c>
      <c r="D88" s="64">
        <v>155.56</v>
      </c>
      <c r="E88" s="64">
        <v>5.8</v>
      </c>
      <c r="F88" s="64">
        <v>10.49</v>
      </c>
      <c r="G88" s="64">
        <v>77.67</v>
      </c>
      <c r="H88" s="64">
        <v>27.12</v>
      </c>
      <c r="I88" s="64">
        <v>4.01</v>
      </c>
      <c r="J88" s="64">
        <v>0.39</v>
      </c>
      <c r="K88" s="64">
        <v>288.58999999999997</v>
      </c>
      <c r="L88" s="64">
        <v>31.34</v>
      </c>
      <c r="M88" s="64">
        <v>20.52</v>
      </c>
      <c r="N88" s="64">
        <v>50.5</v>
      </c>
      <c r="O88" s="64">
        <v>0</v>
      </c>
      <c r="P88" s="64">
        <v>1.54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1382</v>
      </c>
      <c r="B89" s="64">
        <v>32.409999999999997</v>
      </c>
      <c r="C89" s="64">
        <v>98.08</v>
      </c>
      <c r="D89" s="64">
        <v>137.97</v>
      </c>
      <c r="E89" s="64">
        <v>5.88</v>
      </c>
      <c r="F89" s="64">
        <v>11.21</v>
      </c>
      <c r="G89" s="64">
        <v>77.67</v>
      </c>
      <c r="H89" s="64">
        <v>27.12</v>
      </c>
      <c r="I89" s="64">
        <v>4.1900000000000004</v>
      </c>
      <c r="J89" s="64">
        <v>0.38</v>
      </c>
      <c r="K89" s="64">
        <v>279.97000000000003</v>
      </c>
      <c r="L89" s="64">
        <v>31.19</v>
      </c>
      <c r="M89" s="64">
        <v>20.8</v>
      </c>
      <c r="N89" s="64">
        <v>50.6</v>
      </c>
      <c r="O89" s="64">
        <v>0</v>
      </c>
      <c r="P89" s="64">
        <v>1.56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1383</v>
      </c>
      <c r="B90" s="64">
        <v>43.32</v>
      </c>
      <c r="C90" s="64">
        <v>106.43</v>
      </c>
      <c r="D90" s="64">
        <v>137.22</v>
      </c>
      <c r="E90" s="64">
        <v>6.4</v>
      </c>
      <c r="F90" s="64">
        <v>10.59</v>
      </c>
      <c r="G90" s="64">
        <v>77.67</v>
      </c>
      <c r="H90" s="64">
        <v>27.12</v>
      </c>
      <c r="I90" s="64">
        <v>4.0199999999999996</v>
      </c>
      <c r="J90" s="64">
        <v>0.42</v>
      </c>
      <c r="K90" s="64">
        <v>293.42</v>
      </c>
      <c r="L90" s="64">
        <v>31.13</v>
      </c>
      <c r="M90" s="64">
        <v>20.66</v>
      </c>
      <c r="N90" s="64">
        <v>50.7</v>
      </c>
      <c r="O90" s="64">
        <v>0</v>
      </c>
      <c r="P90" s="64">
        <v>1.69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1384</v>
      </c>
      <c r="B91" s="64">
        <v>51.97</v>
      </c>
      <c r="C91" s="64">
        <v>107.28</v>
      </c>
      <c r="D91" s="64">
        <v>125.58</v>
      </c>
      <c r="E91" s="64">
        <v>6.12</v>
      </c>
      <c r="F91" s="64">
        <v>10.44</v>
      </c>
      <c r="G91" s="64">
        <v>75.98</v>
      </c>
      <c r="H91" s="64">
        <v>26.11</v>
      </c>
      <c r="I91" s="64">
        <v>4.28</v>
      </c>
      <c r="J91" s="64">
        <v>1.31</v>
      </c>
      <c r="K91" s="64">
        <v>317.8</v>
      </c>
      <c r="L91" s="64">
        <v>30.62</v>
      </c>
      <c r="M91" s="64">
        <v>22.9</v>
      </c>
      <c r="N91" s="64">
        <v>50.1</v>
      </c>
      <c r="O91" s="64">
        <v>0</v>
      </c>
      <c r="P91" s="64">
        <v>1.52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1385</v>
      </c>
      <c r="B92" s="64">
        <v>28.76</v>
      </c>
      <c r="C92" s="64">
        <v>75.34</v>
      </c>
      <c r="D92" s="64">
        <v>100.05</v>
      </c>
      <c r="E92" s="64">
        <v>3.35</v>
      </c>
      <c r="F92" s="64">
        <v>9.68</v>
      </c>
      <c r="G92" s="64">
        <v>74.209999999999994</v>
      </c>
      <c r="H92" s="64">
        <v>25</v>
      </c>
      <c r="I92" s="64">
        <v>3.86</v>
      </c>
      <c r="J92" s="64">
        <v>1.45</v>
      </c>
      <c r="K92" s="64">
        <v>316.29000000000002</v>
      </c>
      <c r="L92" s="64">
        <v>30.32</v>
      </c>
      <c r="M92" s="64">
        <v>23.96</v>
      </c>
      <c r="N92" s="64">
        <v>49.7</v>
      </c>
      <c r="O92" s="64">
        <v>0</v>
      </c>
      <c r="P92" s="64">
        <v>1.28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1386</v>
      </c>
      <c r="B93" s="64">
        <v>29.08</v>
      </c>
      <c r="C93" s="64">
        <v>76.52</v>
      </c>
      <c r="D93" s="64">
        <v>101.83</v>
      </c>
      <c r="E93" s="64">
        <v>4.7</v>
      </c>
      <c r="F93" s="64">
        <v>10.62</v>
      </c>
      <c r="G93" s="64">
        <v>74.209999999999994</v>
      </c>
      <c r="H93" s="64">
        <v>25</v>
      </c>
      <c r="I93" s="64">
        <v>3.97</v>
      </c>
      <c r="J93" s="64">
        <v>1.4</v>
      </c>
      <c r="K93" s="64">
        <v>322.14999999999998</v>
      </c>
      <c r="L93" s="64">
        <v>30.03</v>
      </c>
      <c r="M93" s="64">
        <v>23.59</v>
      </c>
      <c r="N93" s="64">
        <v>50.7</v>
      </c>
      <c r="O93" s="64">
        <v>0</v>
      </c>
      <c r="P93" s="64">
        <v>1.1599999999999999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1387</v>
      </c>
      <c r="B94" s="64">
        <v>61.19</v>
      </c>
      <c r="C94" s="64">
        <v>115.26</v>
      </c>
      <c r="D94" s="64">
        <v>126.69</v>
      </c>
      <c r="E94" s="64">
        <v>6.93</v>
      </c>
      <c r="F94" s="64">
        <v>11.4</v>
      </c>
      <c r="G94" s="64">
        <v>74.209999999999994</v>
      </c>
      <c r="H94" s="64">
        <v>25</v>
      </c>
      <c r="I94" s="64">
        <v>4.24</v>
      </c>
      <c r="J94" s="64">
        <v>0.6</v>
      </c>
      <c r="K94" s="64">
        <v>344.78</v>
      </c>
      <c r="L94" s="64">
        <v>29.57</v>
      </c>
      <c r="M94" s="64">
        <v>24.5</v>
      </c>
      <c r="N94" s="64">
        <v>51.5</v>
      </c>
      <c r="O94" s="64">
        <v>0</v>
      </c>
      <c r="P94" s="64">
        <v>1.22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1388</v>
      </c>
      <c r="B95" s="64">
        <v>71.180000000000007</v>
      </c>
      <c r="C95" s="64">
        <v>132.05000000000001</v>
      </c>
      <c r="D95" s="64">
        <v>143.47999999999999</v>
      </c>
      <c r="E95" s="64">
        <v>8.5500000000000007</v>
      </c>
      <c r="F95" s="64">
        <v>8.98</v>
      </c>
      <c r="G95" s="64">
        <v>70.180000000000007</v>
      </c>
      <c r="H95" s="64">
        <v>23.97</v>
      </c>
      <c r="I95" s="64">
        <v>4.2</v>
      </c>
      <c r="J95" s="64">
        <v>0.46</v>
      </c>
      <c r="K95" s="64">
        <v>88.19</v>
      </c>
      <c r="L95" s="64">
        <v>29.26</v>
      </c>
      <c r="M95" s="64">
        <v>24.8</v>
      </c>
      <c r="N95" s="64">
        <v>51.2</v>
      </c>
      <c r="O95" s="64">
        <v>0</v>
      </c>
      <c r="P95" s="64">
        <v>1.44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1389</v>
      </c>
      <c r="B96" s="64">
        <v>121.92</v>
      </c>
      <c r="C96" s="64">
        <v>170.03</v>
      </c>
      <c r="D96" s="64">
        <v>138.30000000000001</v>
      </c>
      <c r="E96" s="64">
        <v>7.98</v>
      </c>
      <c r="F96" s="64">
        <v>8.11</v>
      </c>
      <c r="G96" s="64">
        <v>65.97</v>
      </c>
      <c r="H96" s="64">
        <v>22.89</v>
      </c>
      <c r="I96" s="64">
        <v>4.0199999999999996</v>
      </c>
      <c r="J96" s="64">
        <v>0.34</v>
      </c>
      <c r="K96" s="64">
        <v>281.33999999999997</v>
      </c>
      <c r="L96" s="64">
        <v>28.61</v>
      </c>
      <c r="M96" s="64">
        <v>28.44</v>
      </c>
      <c r="N96" s="64">
        <v>51.2</v>
      </c>
      <c r="O96" s="64">
        <v>0</v>
      </c>
      <c r="P96" s="64">
        <v>1.92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1390</v>
      </c>
      <c r="B97" s="64">
        <v>85.01</v>
      </c>
      <c r="C97" s="64">
        <v>133.13</v>
      </c>
      <c r="D97" s="64">
        <v>124.34</v>
      </c>
      <c r="E97" s="64">
        <v>5.33</v>
      </c>
      <c r="F97" s="64">
        <v>7.07</v>
      </c>
      <c r="G97" s="64">
        <v>65.97</v>
      </c>
      <c r="H97" s="64">
        <v>22.89</v>
      </c>
      <c r="I97" s="64">
        <v>3.79</v>
      </c>
      <c r="J97" s="64">
        <v>0.45</v>
      </c>
      <c r="K97" s="64">
        <v>306.44</v>
      </c>
      <c r="L97" s="64">
        <v>27.89</v>
      </c>
      <c r="M97" s="64">
        <v>33.229999999999997</v>
      </c>
      <c r="N97" s="64">
        <v>51.2</v>
      </c>
      <c r="O97" s="64">
        <v>0</v>
      </c>
      <c r="P97" s="64">
        <v>1.72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1391</v>
      </c>
      <c r="B98" s="64">
        <v>74.099999999999994</v>
      </c>
      <c r="C98" s="64">
        <v>127.87</v>
      </c>
      <c r="D98" s="64">
        <v>131.02000000000001</v>
      </c>
      <c r="E98" s="64">
        <v>6.91</v>
      </c>
      <c r="F98" s="64">
        <v>7.38</v>
      </c>
      <c r="G98" s="64">
        <v>65.97</v>
      </c>
      <c r="H98" s="64">
        <v>22.89</v>
      </c>
      <c r="I98" s="64">
        <v>4.07</v>
      </c>
      <c r="J98" s="64">
        <v>0.36</v>
      </c>
      <c r="K98" s="64">
        <v>291.49</v>
      </c>
      <c r="L98" s="64">
        <v>27.95</v>
      </c>
      <c r="M98" s="64">
        <v>30.16</v>
      </c>
      <c r="N98" s="64">
        <v>50.5</v>
      </c>
      <c r="O98" s="64">
        <v>0</v>
      </c>
      <c r="P98" s="64">
        <v>1.64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1392</v>
      </c>
      <c r="B99" s="64">
        <v>74.75</v>
      </c>
      <c r="C99" s="64">
        <v>125.06</v>
      </c>
      <c r="D99" s="64">
        <v>124.64</v>
      </c>
      <c r="E99" s="64">
        <v>5.41</v>
      </c>
      <c r="F99" s="64">
        <v>7.61</v>
      </c>
      <c r="G99" s="64">
        <v>71.319999999999993</v>
      </c>
      <c r="H99" s="64">
        <v>21.56</v>
      </c>
      <c r="I99" s="64">
        <v>4.0999999999999996</v>
      </c>
      <c r="J99" s="64">
        <v>0.33</v>
      </c>
      <c r="K99" s="64">
        <v>354.12</v>
      </c>
      <c r="L99" s="64">
        <v>28.16</v>
      </c>
      <c r="M99" s="64">
        <v>29.61</v>
      </c>
      <c r="N99" s="64">
        <v>50.8</v>
      </c>
      <c r="O99" s="64">
        <v>0</v>
      </c>
      <c r="P99" s="64">
        <v>1.32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1393</v>
      </c>
      <c r="B100" s="64">
        <v>63.26</v>
      </c>
      <c r="C100" s="64">
        <v>121.32</v>
      </c>
      <c r="D100" s="64">
        <v>135.1</v>
      </c>
      <c r="E100" s="64">
        <v>7.07</v>
      </c>
      <c r="F100" s="64">
        <v>7.61</v>
      </c>
      <c r="G100" s="64">
        <v>76.91</v>
      </c>
      <c r="H100" s="64">
        <v>20.100000000000001</v>
      </c>
      <c r="I100" s="64">
        <v>3.9</v>
      </c>
      <c r="J100" s="64">
        <v>0.15</v>
      </c>
      <c r="K100" s="64">
        <v>171.64</v>
      </c>
      <c r="L100" s="64">
        <v>28.12</v>
      </c>
      <c r="M100" s="64">
        <v>27.52</v>
      </c>
      <c r="N100" s="64">
        <v>50.7</v>
      </c>
      <c r="O100" s="64">
        <v>0</v>
      </c>
      <c r="P100" s="64">
        <v>1.1499999999999999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1394</v>
      </c>
      <c r="B101" s="64">
        <v>41</v>
      </c>
      <c r="C101" s="64">
        <v>98.92</v>
      </c>
      <c r="D101" s="64">
        <v>126.4</v>
      </c>
      <c r="E101" s="64">
        <v>5.33</v>
      </c>
      <c r="F101" s="64">
        <v>8.75</v>
      </c>
      <c r="G101" s="64">
        <v>76.91</v>
      </c>
      <c r="H101" s="64">
        <v>20.100000000000001</v>
      </c>
      <c r="I101" s="64">
        <v>3.87</v>
      </c>
      <c r="J101" s="64">
        <v>0.78</v>
      </c>
      <c r="K101" s="64">
        <v>202.04</v>
      </c>
      <c r="L101" s="64">
        <v>28.09</v>
      </c>
      <c r="M101" s="64">
        <v>29.1</v>
      </c>
      <c r="N101" s="64">
        <v>50</v>
      </c>
      <c r="O101" s="64">
        <v>0</v>
      </c>
      <c r="P101" s="64">
        <v>1.01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1395</v>
      </c>
      <c r="B102" s="64">
        <v>48.5</v>
      </c>
      <c r="C102" s="64">
        <v>94.49</v>
      </c>
      <c r="D102" s="64">
        <v>106.42</v>
      </c>
      <c r="E102" s="64">
        <v>3.62</v>
      </c>
      <c r="F102" s="64">
        <v>7.81</v>
      </c>
      <c r="G102" s="64">
        <v>76.91</v>
      </c>
      <c r="H102" s="64">
        <v>20.100000000000001</v>
      </c>
      <c r="I102" s="64">
        <v>4.08</v>
      </c>
      <c r="J102" s="64">
        <v>0.86</v>
      </c>
      <c r="K102" s="64">
        <v>174.54</v>
      </c>
      <c r="L102" s="64">
        <v>28.06</v>
      </c>
      <c r="M102" s="64">
        <v>29.05</v>
      </c>
      <c r="N102" s="64">
        <v>50.4</v>
      </c>
      <c r="O102" s="64">
        <v>0</v>
      </c>
      <c r="P102" s="64">
        <v>1.22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1396</v>
      </c>
      <c r="B103" s="64">
        <v>43.5</v>
      </c>
      <c r="C103" s="64">
        <v>86.72</v>
      </c>
      <c r="D103" s="64">
        <v>99.2</v>
      </c>
      <c r="E103" s="64">
        <v>2.84</v>
      </c>
      <c r="F103" s="64">
        <v>8.83</v>
      </c>
      <c r="G103" s="64">
        <v>76.11</v>
      </c>
      <c r="H103" s="64">
        <v>20.91</v>
      </c>
      <c r="I103" s="64">
        <v>4.03</v>
      </c>
      <c r="J103" s="64">
        <v>0.81</v>
      </c>
      <c r="K103" s="64">
        <v>171.13</v>
      </c>
      <c r="L103" s="64">
        <v>27.55</v>
      </c>
      <c r="M103" s="64">
        <v>30.68</v>
      </c>
      <c r="N103" s="64">
        <v>51</v>
      </c>
      <c r="O103" s="64">
        <v>0</v>
      </c>
      <c r="P103" s="64">
        <v>1.17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1397</v>
      </c>
      <c r="B104" s="64">
        <v>33.65</v>
      </c>
      <c r="C104" s="64">
        <v>73.09</v>
      </c>
      <c r="D104" s="64">
        <v>88.25</v>
      </c>
      <c r="E104" s="64">
        <v>4.26</v>
      </c>
      <c r="F104" s="64">
        <v>10.25</v>
      </c>
      <c r="G104" s="64">
        <v>75.239999999999995</v>
      </c>
      <c r="H104" s="64">
        <v>21.77</v>
      </c>
      <c r="I104" s="64">
        <v>3.96</v>
      </c>
      <c r="J104" s="64">
        <v>1.1000000000000001</v>
      </c>
      <c r="K104" s="64">
        <v>160.38999999999999</v>
      </c>
      <c r="L104" s="64">
        <v>27.26</v>
      </c>
      <c r="M104" s="64">
        <v>31.52</v>
      </c>
      <c r="N104" s="64">
        <v>50.6</v>
      </c>
      <c r="O104" s="64">
        <v>0</v>
      </c>
      <c r="P104" s="64">
        <v>0.93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0.33</v>
      </c>
      <c r="C106" s="67">
        <f>MIN(C9:C104)</f>
        <v>30.38</v>
      </c>
      <c r="D106" s="67">
        <f t="shared" ref="D106:Q106" si="0">MIN(D9:D104)</f>
        <v>54.98</v>
      </c>
      <c r="E106" s="67">
        <f t="shared" si="0"/>
        <v>1.99</v>
      </c>
      <c r="F106" s="67">
        <f t="shared" si="0"/>
        <v>6.47</v>
      </c>
      <c r="G106" s="67">
        <f t="shared" si="0"/>
        <v>39.340000000000003</v>
      </c>
      <c r="H106" s="67">
        <f t="shared" si="0"/>
        <v>2.0299999999999998</v>
      </c>
      <c r="I106" s="67">
        <f t="shared" si="0"/>
        <v>3.79</v>
      </c>
      <c r="J106" s="67">
        <f t="shared" si="0"/>
        <v>0.11</v>
      </c>
      <c r="K106" s="67">
        <f t="shared" si="0"/>
        <v>4.38</v>
      </c>
      <c r="L106" s="67">
        <f t="shared" si="0"/>
        <v>25.31</v>
      </c>
      <c r="M106" s="67">
        <f t="shared" si="0"/>
        <v>13.94</v>
      </c>
      <c r="N106" s="67">
        <f t="shared" si="0"/>
        <v>48.9</v>
      </c>
      <c r="O106" s="67">
        <f t="shared" si="0"/>
        <v>0</v>
      </c>
      <c r="P106" s="67">
        <f t="shared" si="0"/>
        <v>0.42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121.92</v>
      </c>
      <c r="C107" s="66">
        <f t="shared" ref="C107:Q107" si="1">MAX(C9:C104)</f>
        <v>196.5</v>
      </c>
      <c r="D107" s="66">
        <f t="shared" si="1"/>
        <v>198.52</v>
      </c>
      <c r="E107" s="66">
        <f t="shared" si="1"/>
        <v>21.59</v>
      </c>
      <c r="F107" s="66">
        <f t="shared" si="1"/>
        <v>31.79</v>
      </c>
      <c r="G107" s="66">
        <f t="shared" si="1"/>
        <v>112.62</v>
      </c>
      <c r="H107" s="66">
        <f t="shared" si="1"/>
        <v>36.81</v>
      </c>
      <c r="I107" s="66">
        <f t="shared" si="1"/>
        <v>4.28</v>
      </c>
      <c r="J107" s="66">
        <f t="shared" si="1"/>
        <v>1.46</v>
      </c>
      <c r="K107" s="66">
        <f t="shared" si="1"/>
        <v>354.12</v>
      </c>
      <c r="L107" s="66">
        <f t="shared" si="1"/>
        <v>40.29</v>
      </c>
      <c r="M107" s="66">
        <f t="shared" si="1"/>
        <v>55.75</v>
      </c>
      <c r="N107" s="66">
        <f t="shared" si="1"/>
        <v>891.4</v>
      </c>
      <c r="O107" s="66">
        <f t="shared" si="1"/>
        <v>0</v>
      </c>
      <c r="P107" s="66">
        <f t="shared" si="1"/>
        <v>2.79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19.094583333333336</v>
      </c>
      <c r="C108" s="67">
        <f t="shared" ref="C108:Q108" si="2">AVERAGE(C9:C104)</f>
        <v>65.01604166666668</v>
      </c>
      <c r="D108" s="67">
        <f t="shared" si="2"/>
        <v>95.132916666666674</v>
      </c>
      <c r="E108" s="67">
        <f t="shared" si="2"/>
        <v>6.393229166666667</v>
      </c>
      <c r="F108" s="67">
        <f t="shared" si="2"/>
        <v>12.793749999999998</v>
      </c>
      <c r="G108" s="67">
        <f t="shared" si="2"/>
        <v>68.114999999999995</v>
      </c>
      <c r="H108" s="67">
        <f t="shared" si="2"/>
        <v>21.89416666666666</v>
      </c>
      <c r="I108" s="67">
        <f t="shared" si="2"/>
        <v>4.0101041666666664</v>
      </c>
      <c r="J108" s="67">
        <f t="shared" si="2"/>
        <v>0.68447916666666675</v>
      </c>
      <c r="K108" s="67">
        <f t="shared" si="2"/>
        <v>231.72697916666672</v>
      </c>
      <c r="L108" s="67">
        <f t="shared" si="2"/>
        <v>31.508229166666677</v>
      </c>
      <c r="M108" s="67">
        <f t="shared" si="2"/>
        <v>30.982083333333332</v>
      </c>
      <c r="N108" s="67">
        <f t="shared" si="2"/>
        <v>240.37812500000004</v>
      </c>
      <c r="O108" s="67">
        <f t="shared" si="2"/>
        <v>0</v>
      </c>
      <c r="P108" s="67">
        <f t="shared" si="2"/>
        <v>0.91791666666666683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25.290409703728724</v>
      </c>
      <c r="C109" s="67">
        <f t="shared" ref="C109:Q109" si="3">STDEV(C9:C104)</f>
        <v>32.982311893663187</v>
      </c>
      <c r="D109" s="67">
        <f t="shared" si="3"/>
        <v>27.644045972311936</v>
      </c>
      <c r="E109" s="67">
        <f t="shared" si="3"/>
        <v>3.4578589343823358</v>
      </c>
      <c r="F109" s="67">
        <f t="shared" si="3"/>
        <v>5.1631286414751569</v>
      </c>
      <c r="G109" s="67">
        <f t="shared" si="3"/>
        <v>19.117358769343305</v>
      </c>
      <c r="H109" s="67">
        <f t="shared" si="3"/>
        <v>7.9010823597872175</v>
      </c>
      <c r="I109" s="67">
        <f t="shared" si="3"/>
        <v>9.5073321197425176E-2</v>
      </c>
      <c r="J109" s="67">
        <f t="shared" si="3"/>
        <v>0.34642495896367287</v>
      </c>
      <c r="K109" s="67">
        <f t="shared" si="3"/>
        <v>93.467727288421145</v>
      </c>
      <c r="L109" s="67">
        <f t="shared" si="3"/>
        <v>4.3908886511649765</v>
      </c>
      <c r="M109" s="67">
        <f t="shared" si="3"/>
        <v>11.88331664820069</v>
      </c>
      <c r="N109" s="67">
        <f t="shared" si="3"/>
        <v>269.63909922753561</v>
      </c>
      <c r="O109" s="67">
        <f t="shared" si="3"/>
        <v>0</v>
      </c>
      <c r="P109" s="67">
        <f t="shared" si="3"/>
        <v>0.42505458885744529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1398</v>
      </c>
      <c r="B9" s="64">
        <v>22.9</v>
      </c>
      <c r="C9" s="64">
        <v>57.48</v>
      </c>
      <c r="D9" s="64">
        <v>74.86</v>
      </c>
      <c r="E9" s="64">
        <v>4.75</v>
      </c>
      <c r="F9" s="64">
        <v>12.6</v>
      </c>
      <c r="G9" s="64">
        <v>75.239999999999995</v>
      </c>
      <c r="H9" s="64">
        <v>21.77</v>
      </c>
      <c r="I9" s="64">
        <v>4.05</v>
      </c>
      <c r="J9" s="64">
        <v>0.94</v>
      </c>
      <c r="K9" s="64">
        <v>166.96</v>
      </c>
      <c r="L9" s="64">
        <v>27.12</v>
      </c>
      <c r="M9" s="64">
        <v>30.57</v>
      </c>
      <c r="N9" s="64">
        <v>50.5</v>
      </c>
      <c r="O9" s="64">
        <v>0</v>
      </c>
      <c r="P9" s="64">
        <v>0.73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1399</v>
      </c>
      <c r="B10" s="64">
        <v>19.54</v>
      </c>
      <c r="C10" s="64">
        <v>54.96</v>
      </c>
      <c r="D10" s="64">
        <v>75.209999999999994</v>
      </c>
      <c r="E10" s="64">
        <v>4.2699999999999996</v>
      </c>
      <c r="F10" s="64">
        <v>12.54</v>
      </c>
      <c r="G10" s="64">
        <v>75.239999999999995</v>
      </c>
      <c r="H10" s="64">
        <v>21.77</v>
      </c>
      <c r="I10" s="64">
        <v>3.83</v>
      </c>
      <c r="J10" s="64">
        <v>0.67</v>
      </c>
      <c r="K10" s="64">
        <v>184.69</v>
      </c>
      <c r="L10" s="64">
        <v>27.13</v>
      </c>
      <c r="M10" s="64">
        <v>30.01</v>
      </c>
      <c r="N10" s="64">
        <v>50.6</v>
      </c>
      <c r="O10" s="64">
        <v>0</v>
      </c>
      <c r="P10" s="64">
        <v>0.66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1400</v>
      </c>
      <c r="B11" s="64">
        <v>17.010000000000002</v>
      </c>
      <c r="C11" s="64">
        <v>56.11</v>
      </c>
      <c r="D11" s="64">
        <v>81.3</v>
      </c>
      <c r="E11" s="64">
        <v>5.65</v>
      </c>
      <c r="F11" s="64">
        <v>13.05</v>
      </c>
      <c r="G11" s="64">
        <v>66.8</v>
      </c>
      <c r="H11" s="64">
        <v>18.11</v>
      </c>
      <c r="I11" s="64">
        <v>4</v>
      </c>
      <c r="J11" s="64">
        <v>0.68</v>
      </c>
      <c r="K11" s="64">
        <v>172.04</v>
      </c>
      <c r="L11" s="64">
        <v>27.27</v>
      </c>
      <c r="M11" s="64">
        <v>29.67</v>
      </c>
      <c r="N11" s="64">
        <v>50.5</v>
      </c>
      <c r="O11" s="64">
        <v>0</v>
      </c>
      <c r="P11" s="64">
        <v>0.57999999999999996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1401</v>
      </c>
      <c r="B12" s="64">
        <v>24.25</v>
      </c>
      <c r="C12" s="64">
        <v>59.44</v>
      </c>
      <c r="D12" s="64">
        <v>76.53</v>
      </c>
      <c r="E12" s="64">
        <v>4.1100000000000003</v>
      </c>
      <c r="F12" s="64">
        <v>10.96</v>
      </c>
      <c r="G12" s="64">
        <v>57.58</v>
      </c>
      <c r="H12" s="64">
        <v>14.28</v>
      </c>
      <c r="I12" s="64">
        <v>4.1900000000000004</v>
      </c>
      <c r="J12" s="64">
        <v>0.91</v>
      </c>
      <c r="K12" s="64">
        <v>164.94</v>
      </c>
      <c r="L12" s="64">
        <v>26.98</v>
      </c>
      <c r="M12" s="64">
        <v>30.19</v>
      </c>
      <c r="N12" s="64">
        <v>50.5</v>
      </c>
      <c r="O12" s="64">
        <v>0</v>
      </c>
      <c r="P12" s="64">
        <v>0.78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1402</v>
      </c>
      <c r="B13" s="64">
        <v>13.89</v>
      </c>
      <c r="C13" s="64">
        <v>47.46</v>
      </c>
      <c r="D13" s="64">
        <v>69.510000000000005</v>
      </c>
      <c r="E13" s="64">
        <v>4.67</v>
      </c>
      <c r="F13" s="64">
        <v>13.53</v>
      </c>
      <c r="G13" s="64">
        <v>57.58</v>
      </c>
      <c r="H13" s="64">
        <v>14.28</v>
      </c>
      <c r="I13" s="64">
        <v>4</v>
      </c>
      <c r="J13" s="64">
        <v>0.32</v>
      </c>
      <c r="K13" s="64">
        <v>87.11</v>
      </c>
      <c r="L13" s="64">
        <v>26.73</v>
      </c>
      <c r="M13" s="64">
        <v>31.58</v>
      </c>
      <c r="N13" s="64">
        <v>51.2</v>
      </c>
      <c r="O13" s="64">
        <v>0</v>
      </c>
      <c r="P13" s="64">
        <v>0.53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1403</v>
      </c>
      <c r="B14" s="64">
        <v>12.24</v>
      </c>
      <c r="C14" s="64">
        <v>43.54</v>
      </c>
      <c r="D14" s="64">
        <v>64.540000000000006</v>
      </c>
      <c r="E14" s="64">
        <v>5.25</v>
      </c>
      <c r="F14" s="64">
        <v>14.95</v>
      </c>
      <c r="G14" s="64">
        <v>57.58</v>
      </c>
      <c r="H14" s="64">
        <v>14.28</v>
      </c>
      <c r="I14" s="64">
        <v>3.95</v>
      </c>
      <c r="J14" s="64">
        <v>0.17</v>
      </c>
      <c r="K14" s="64">
        <v>3.95</v>
      </c>
      <c r="L14" s="64">
        <v>26.36</v>
      </c>
      <c r="M14" s="64">
        <v>35.1</v>
      </c>
      <c r="N14" s="64">
        <v>51.5</v>
      </c>
      <c r="O14" s="64">
        <v>0</v>
      </c>
      <c r="P14" s="64">
        <v>0.5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1404</v>
      </c>
      <c r="B15" s="64">
        <v>25.76</v>
      </c>
      <c r="C15" s="64">
        <v>63.16</v>
      </c>
      <c r="D15" s="64">
        <v>81.349999999999994</v>
      </c>
      <c r="E15" s="64">
        <v>3.53</v>
      </c>
      <c r="F15" s="64">
        <v>9.36</v>
      </c>
      <c r="G15" s="64">
        <v>58.2</v>
      </c>
      <c r="H15" s="64">
        <v>12.65</v>
      </c>
      <c r="I15" s="64">
        <v>4.03</v>
      </c>
      <c r="J15" s="64">
        <v>1.34</v>
      </c>
      <c r="K15" s="64">
        <v>153.6</v>
      </c>
      <c r="L15" s="64">
        <v>26.61</v>
      </c>
      <c r="M15" s="64">
        <v>33.4</v>
      </c>
      <c r="N15" s="64">
        <v>49.5</v>
      </c>
      <c r="O15" s="64">
        <v>0</v>
      </c>
      <c r="P15" s="64">
        <v>0.81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1405</v>
      </c>
      <c r="B16" s="64">
        <v>22.9</v>
      </c>
      <c r="C16" s="64">
        <v>61.69</v>
      </c>
      <c r="D16" s="64">
        <v>82.91</v>
      </c>
      <c r="E16" s="64">
        <v>4.37</v>
      </c>
      <c r="F16" s="64">
        <v>10.14</v>
      </c>
      <c r="G16" s="64">
        <v>58.89</v>
      </c>
      <c r="H16" s="64">
        <v>10.95</v>
      </c>
      <c r="I16" s="64">
        <v>4.04</v>
      </c>
      <c r="J16" s="64">
        <v>0.53</v>
      </c>
      <c r="K16" s="64">
        <v>173.87</v>
      </c>
      <c r="L16" s="64">
        <v>26.36</v>
      </c>
      <c r="M16" s="64">
        <v>33.85</v>
      </c>
      <c r="N16" s="64">
        <v>50.9</v>
      </c>
      <c r="O16" s="64">
        <v>0</v>
      </c>
      <c r="P16" s="64">
        <v>0.71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1406</v>
      </c>
      <c r="B17" s="64">
        <v>21.34</v>
      </c>
      <c r="C17" s="64">
        <v>58.22</v>
      </c>
      <c r="D17" s="64">
        <v>78.67</v>
      </c>
      <c r="E17" s="64">
        <v>3.82</v>
      </c>
      <c r="F17" s="64">
        <v>10.17</v>
      </c>
      <c r="G17" s="64">
        <v>58.89</v>
      </c>
      <c r="H17" s="64">
        <v>10.95</v>
      </c>
      <c r="I17" s="64">
        <v>3.92</v>
      </c>
      <c r="J17" s="64">
        <v>0.27</v>
      </c>
      <c r="K17" s="64">
        <v>184.6</v>
      </c>
      <c r="L17" s="64">
        <v>26.09</v>
      </c>
      <c r="M17" s="64">
        <v>34.86</v>
      </c>
      <c r="N17" s="64">
        <v>51.3</v>
      </c>
      <c r="O17" s="64">
        <v>0</v>
      </c>
      <c r="P17" s="64">
        <v>0.73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1407</v>
      </c>
      <c r="B18" s="64">
        <v>17.829999999999998</v>
      </c>
      <c r="C18" s="64">
        <v>54.37</v>
      </c>
      <c r="D18" s="64">
        <v>76.69</v>
      </c>
      <c r="E18" s="64">
        <v>3.88</v>
      </c>
      <c r="F18" s="64">
        <v>10.26</v>
      </c>
      <c r="G18" s="64">
        <v>58.89</v>
      </c>
      <c r="H18" s="64">
        <v>10.95</v>
      </c>
      <c r="I18" s="64">
        <v>4.08</v>
      </c>
      <c r="J18" s="64">
        <v>0.28999999999999998</v>
      </c>
      <c r="K18" s="64">
        <v>214.86</v>
      </c>
      <c r="L18" s="64">
        <v>25.51</v>
      </c>
      <c r="M18" s="64">
        <v>36.25</v>
      </c>
      <c r="N18" s="64">
        <v>51.5</v>
      </c>
      <c r="O18" s="64">
        <v>0</v>
      </c>
      <c r="P18" s="64">
        <v>0.67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1408</v>
      </c>
      <c r="B19" s="64">
        <v>21.49</v>
      </c>
      <c r="C19" s="64">
        <v>62.4</v>
      </c>
      <c r="D19" s="64">
        <v>86.44</v>
      </c>
      <c r="E19" s="64">
        <v>3.07</v>
      </c>
      <c r="F19" s="64">
        <v>7.45</v>
      </c>
      <c r="G19" s="64">
        <v>55.27</v>
      </c>
      <c r="H19" s="64">
        <v>12.43</v>
      </c>
      <c r="I19" s="64">
        <v>4.03</v>
      </c>
      <c r="J19" s="64">
        <v>0.18</v>
      </c>
      <c r="K19" s="64">
        <v>181.59</v>
      </c>
      <c r="L19" s="64">
        <v>25.24</v>
      </c>
      <c r="M19" s="64">
        <v>40.700000000000003</v>
      </c>
      <c r="N19" s="64">
        <v>51.5</v>
      </c>
      <c r="O19" s="64">
        <v>0</v>
      </c>
      <c r="P19" s="64">
        <v>0.75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1409</v>
      </c>
      <c r="B20" s="64">
        <v>14.01</v>
      </c>
      <c r="C20" s="64">
        <v>51.91</v>
      </c>
      <c r="D20" s="64">
        <v>77.849999999999994</v>
      </c>
      <c r="E20" s="64">
        <v>4</v>
      </c>
      <c r="F20" s="64">
        <v>10.68</v>
      </c>
      <c r="G20" s="64">
        <v>51.31</v>
      </c>
      <c r="H20" s="64">
        <v>13.98</v>
      </c>
      <c r="I20" s="64">
        <v>3.95</v>
      </c>
      <c r="J20" s="64">
        <v>0.42</v>
      </c>
      <c r="K20" s="64">
        <v>358.21</v>
      </c>
      <c r="L20" s="64">
        <v>24.48</v>
      </c>
      <c r="M20" s="64">
        <v>40.97</v>
      </c>
      <c r="N20" s="64">
        <v>51.2</v>
      </c>
      <c r="O20" s="64">
        <v>0</v>
      </c>
      <c r="P20" s="64">
        <v>0.63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1410</v>
      </c>
      <c r="B21" s="64">
        <v>12.67</v>
      </c>
      <c r="C21" s="64">
        <v>49.4</v>
      </c>
      <c r="D21" s="64">
        <v>75.099999999999994</v>
      </c>
      <c r="E21" s="64">
        <v>3.25</v>
      </c>
      <c r="F21" s="64">
        <v>9.7799999999999994</v>
      </c>
      <c r="G21" s="64">
        <v>51.31</v>
      </c>
      <c r="H21" s="64">
        <v>13.98</v>
      </c>
      <c r="I21" s="64">
        <v>4.07</v>
      </c>
      <c r="J21" s="64">
        <v>0.32</v>
      </c>
      <c r="K21" s="64">
        <v>251.19</v>
      </c>
      <c r="L21" s="64">
        <v>24.19</v>
      </c>
      <c r="M21" s="64">
        <v>43.23</v>
      </c>
      <c r="N21" s="64">
        <v>51.3</v>
      </c>
      <c r="O21" s="64">
        <v>0</v>
      </c>
      <c r="P21" s="64">
        <v>0.59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1411</v>
      </c>
      <c r="B22" s="64">
        <v>13.05</v>
      </c>
      <c r="C22" s="64">
        <v>55.59</v>
      </c>
      <c r="D22" s="64">
        <v>86.37</v>
      </c>
      <c r="E22" s="64">
        <v>2.94</v>
      </c>
      <c r="F22" s="64">
        <v>7.45</v>
      </c>
      <c r="G22" s="64">
        <v>51.31</v>
      </c>
      <c r="H22" s="64">
        <v>13.98</v>
      </c>
      <c r="I22" s="64">
        <v>3.99</v>
      </c>
      <c r="J22" s="64">
        <v>0.39</v>
      </c>
      <c r="K22" s="64">
        <v>138.41</v>
      </c>
      <c r="L22" s="64">
        <v>24.47</v>
      </c>
      <c r="M22" s="64">
        <v>40.65</v>
      </c>
      <c r="N22" s="64">
        <v>50.2</v>
      </c>
      <c r="O22" s="64">
        <v>0</v>
      </c>
      <c r="P22" s="64">
        <v>0.66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1412</v>
      </c>
      <c r="B23" s="64">
        <v>10.95</v>
      </c>
      <c r="C23" s="64">
        <v>50.77</v>
      </c>
      <c r="D23" s="64">
        <v>80.38</v>
      </c>
      <c r="E23" s="64">
        <v>2.93</v>
      </c>
      <c r="F23" s="64">
        <v>9.48</v>
      </c>
      <c r="G23" s="64">
        <v>49.82</v>
      </c>
      <c r="H23" s="64">
        <v>12.27</v>
      </c>
      <c r="I23" s="64">
        <v>4</v>
      </c>
      <c r="J23" s="64">
        <v>0.41</v>
      </c>
      <c r="K23" s="64">
        <v>262.89999999999998</v>
      </c>
      <c r="L23" s="64">
        <v>24.89</v>
      </c>
      <c r="M23" s="64">
        <v>41.04</v>
      </c>
      <c r="N23" s="64">
        <v>51.1</v>
      </c>
      <c r="O23" s="64">
        <v>0</v>
      </c>
      <c r="P23" s="64">
        <v>0.59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1413</v>
      </c>
      <c r="B24" s="64">
        <v>14.97</v>
      </c>
      <c r="C24" s="64">
        <v>59.26</v>
      </c>
      <c r="D24" s="64">
        <v>90.43</v>
      </c>
      <c r="E24" s="64">
        <v>3.13</v>
      </c>
      <c r="F24" s="64">
        <v>8.32</v>
      </c>
      <c r="G24" s="64">
        <v>48.19</v>
      </c>
      <c r="H24" s="64">
        <v>10.48</v>
      </c>
      <c r="I24" s="64">
        <v>3.88</v>
      </c>
      <c r="J24" s="64">
        <v>0.42</v>
      </c>
      <c r="K24" s="64">
        <v>332.25</v>
      </c>
      <c r="L24" s="64">
        <v>23.84</v>
      </c>
      <c r="M24" s="64">
        <v>47.01</v>
      </c>
      <c r="N24" s="64">
        <v>51.7</v>
      </c>
      <c r="O24" s="64">
        <v>0</v>
      </c>
      <c r="P24" s="64">
        <v>0.59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1414</v>
      </c>
      <c r="B25" s="64">
        <v>16.309999999999999</v>
      </c>
      <c r="C25" s="64">
        <v>62.62</v>
      </c>
      <c r="D25" s="64">
        <v>94.81</v>
      </c>
      <c r="E25" s="64">
        <v>3.12</v>
      </c>
      <c r="F25" s="64">
        <v>6.96</v>
      </c>
      <c r="G25" s="64">
        <v>48.19</v>
      </c>
      <c r="H25" s="64">
        <v>10.48</v>
      </c>
      <c r="I25" s="64">
        <v>4.17</v>
      </c>
      <c r="J25" s="64">
        <v>0.3</v>
      </c>
      <c r="K25" s="64">
        <v>261.08</v>
      </c>
      <c r="L25" s="64">
        <v>23.34</v>
      </c>
      <c r="M25" s="64">
        <v>47.68</v>
      </c>
      <c r="N25" s="64">
        <v>51.3</v>
      </c>
      <c r="O25" s="64">
        <v>0</v>
      </c>
      <c r="P25" s="64">
        <v>0.59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1415</v>
      </c>
      <c r="B26" s="64">
        <v>16.89</v>
      </c>
      <c r="C26" s="64">
        <v>68.98</v>
      </c>
      <c r="D26" s="64">
        <v>106.09</v>
      </c>
      <c r="E26" s="64">
        <v>3.24</v>
      </c>
      <c r="F26" s="64">
        <v>7.35</v>
      </c>
      <c r="G26" s="64">
        <v>48.19</v>
      </c>
      <c r="H26" s="64">
        <v>10.48</v>
      </c>
      <c r="I26" s="64">
        <v>4.07</v>
      </c>
      <c r="J26" s="64">
        <v>0.36</v>
      </c>
      <c r="K26" s="64">
        <v>309.24</v>
      </c>
      <c r="L26" s="64">
        <v>23.23</v>
      </c>
      <c r="M26" s="64">
        <v>47.53</v>
      </c>
      <c r="N26" s="64">
        <v>51.5</v>
      </c>
      <c r="O26" s="64">
        <v>0</v>
      </c>
      <c r="P26" s="64">
        <v>0.56000000000000005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1416</v>
      </c>
      <c r="B27" s="64">
        <v>20.2</v>
      </c>
      <c r="C27" s="64">
        <v>67.63</v>
      </c>
      <c r="D27" s="64">
        <v>98.44</v>
      </c>
      <c r="E27" s="64">
        <v>3.56</v>
      </c>
      <c r="F27" s="64">
        <v>7.91</v>
      </c>
      <c r="G27" s="64">
        <v>55.89</v>
      </c>
      <c r="H27" s="64">
        <v>14.31</v>
      </c>
      <c r="I27" s="64">
        <v>4.0599999999999996</v>
      </c>
      <c r="J27" s="64">
        <v>0.41</v>
      </c>
      <c r="K27" s="64">
        <v>333.81</v>
      </c>
      <c r="L27" s="64">
        <v>23.12</v>
      </c>
      <c r="M27" s="64">
        <v>50.86</v>
      </c>
      <c r="N27" s="64">
        <v>51.9</v>
      </c>
      <c r="O27" s="64">
        <v>0</v>
      </c>
      <c r="P27" s="64">
        <v>0.56999999999999995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1417</v>
      </c>
      <c r="B28" s="64">
        <v>15.95</v>
      </c>
      <c r="C28" s="64">
        <v>61.5</v>
      </c>
      <c r="D28" s="64">
        <v>93.22</v>
      </c>
      <c r="E28" s="64">
        <v>3.58</v>
      </c>
      <c r="F28" s="64">
        <v>8.1199999999999992</v>
      </c>
      <c r="G28" s="64">
        <v>64.31</v>
      </c>
      <c r="H28" s="64">
        <v>18.309999999999999</v>
      </c>
      <c r="I28" s="64">
        <v>4.04</v>
      </c>
      <c r="J28" s="64">
        <v>0.41</v>
      </c>
      <c r="K28" s="64">
        <v>210.65</v>
      </c>
      <c r="L28" s="64">
        <v>23.09</v>
      </c>
      <c r="M28" s="64">
        <v>49.01</v>
      </c>
      <c r="N28" s="64">
        <v>50.9</v>
      </c>
      <c r="O28" s="64">
        <v>0</v>
      </c>
      <c r="P28" s="64">
        <v>0.56999999999999995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1418</v>
      </c>
      <c r="B29" s="64">
        <v>29.44</v>
      </c>
      <c r="C29" s="64">
        <v>75.819999999999993</v>
      </c>
      <c r="D29" s="64">
        <v>99.94</v>
      </c>
      <c r="E29" s="64">
        <v>3.58</v>
      </c>
      <c r="F29" s="64">
        <v>6.65</v>
      </c>
      <c r="G29" s="64">
        <v>64.31</v>
      </c>
      <c r="H29" s="64">
        <v>18.309999999999999</v>
      </c>
      <c r="I29" s="64">
        <v>4.08</v>
      </c>
      <c r="J29" s="64">
        <v>0.88</v>
      </c>
      <c r="K29" s="64">
        <v>182.56</v>
      </c>
      <c r="L29" s="64">
        <v>24.06</v>
      </c>
      <c r="M29" s="64">
        <v>46.04</v>
      </c>
      <c r="N29" s="64">
        <v>49.6</v>
      </c>
      <c r="O29" s="64">
        <v>0</v>
      </c>
      <c r="P29" s="64">
        <v>0.59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1419</v>
      </c>
      <c r="B30" s="64">
        <v>15.71</v>
      </c>
      <c r="C30" s="64">
        <v>57.97</v>
      </c>
      <c r="D30" s="64">
        <v>86.85</v>
      </c>
      <c r="E30" s="64">
        <v>2.92</v>
      </c>
      <c r="F30" s="64">
        <v>8.5299999999999994</v>
      </c>
      <c r="G30" s="64">
        <v>64.31</v>
      </c>
      <c r="H30" s="64">
        <v>18.309999999999999</v>
      </c>
      <c r="I30" s="64">
        <v>3.9</v>
      </c>
      <c r="J30" s="64">
        <v>0.87</v>
      </c>
      <c r="K30" s="64">
        <v>165.08</v>
      </c>
      <c r="L30" s="64">
        <v>24.63</v>
      </c>
      <c r="M30" s="64">
        <v>42.45</v>
      </c>
      <c r="N30" s="64">
        <v>50.8</v>
      </c>
      <c r="O30" s="64">
        <v>0</v>
      </c>
      <c r="P30" s="64">
        <v>0.53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1420</v>
      </c>
      <c r="B31" s="64">
        <v>11.16</v>
      </c>
      <c r="C31" s="64">
        <v>49.7</v>
      </c>
      <c r="D31" s="64">
        <v>77.989999999999995</v>
      </c>
      <c r="E31" s="64">
        <v>3.45</v>
      </c>
      <c r="F31" s="64">
        <v>10.81</v>
      </c>
      <c r="G31" s="64">
        <v>63.01</v>
      </c>
      <c r="H31" s="64">
        <v>17.84</v>
      </c>
      <c r="I31" s="64">
        <v>3.88</v>
      </c>
      <c r="J31" s="64">
        <v>0.59</v>
      </c>
      <c r="K31" s="64">
        <v>192.43</v>
      </c>
      <c r="L31" s="64">
        <v>24.39</v>
      </c>
      <c r="M31" s="64">
        <v>43.45</v>
      </c>
      <c r="N31" s="64">
        <v>53.5</v>
      </c>
      <c r="O31" s="64">
        <v>0</v>
      </c>
      <c r="P31" s="64">
        <v>0.45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1421</v>
      </c>
      <c r="B32" s="64">
        <v>13.42</v>
      </c>
      <c r="C32" s="64">
        <v>50.7</v>
      </c>
      <c r="D32" s="64">
        <v>76.44</v>
      </c>
      <c r="E32" s="64">
        <v>3.77</v>
      </c>
      <c r="F32" s="64">
        <v>10.51</v>
      </c>
      <c r="G32" s="64">
        <v>61.6</v>
      </c>
      <c r="H32" s="64">
        <v>17.32</v>
      </c>
      <c r="I32" s="64">
        <v>4.03</v>
      </c>
      <c r="J32" s="64">
        <v>0.45</v>
      </c>
      <c r="K32" s="64">
        <v>238.13</v>
      </c>
      <c r="L32" s="64">
        <v>24.09</v>
      </c>
      <c r="M32" s="64">
        <v>44.61</v>
      </c>
      <c r="N32" s="64">
        <v>62.9</v>
      </c>
      <c r="O32" s="64">
        <v>0</v>
      </c>
      <c r="P32" s="64">
        <v>0.52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1422</v>
      </c>
      <c r="B33" s="64">
        <v>25.7</v>
      </c>
      <c r="C33" s="64">
        <v>67.849999999999994</v>
      </c>
      <c r="D33" s="64">
        <v>90.41</v>
      </c>
      <c r="E33" s="64">
        <v>4.0199999999999996</v>
      </c>
      <c r="F33" s="64">
        <v>8.8800000000000008</v>
      </c>
      <c r="G33" s="64">
        <v>61.6</v>
      </c>
      <c r="H33" s="64">
        <v>17.32</v>
      </c>
      <c r="I33" s="64">
        <v>4.01</v>
      </c>
      <c r="J33" s="64">
        <v>0.24</v>
      </c>
      <c r="K33" s="64">
        <v>263.51</v>
      </c>
      <c r="L33" s="64">
        <v>24.11</v>
      </c>
      <c r="M33" s="64">
        <v>44.62</v>
      </c>
      <c r="N33" s="64">
        <v>83</v>
      </c>
      <c r="O33" s="64">
        <v>0</v>
      </c>
      <c r="P33" s="64">
        <v>0.6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1423</v>
      </c>
      <c r="B34" s="64">
        <v>20.059999999999999</v>
      </c>
      <c r="C34" s="64">
        <v>59.53</v>
      </c>
      <c r="D34" s="64">
        <v>83.15</v>
      </c>
      <c r="E34" s="64">
        <v>3.01</v>
      </c>
      <c r="F34" s="64">
        <v>7.26</v>
      </c>
      <c r="G34" s="64">
        <v>61.6</v>
      </c>
      <c r="H34" s="64">
        <v>17.32</v>
      </c>
      <c r="I34" s="64">
        <v>4.1100000000000003</v>
      </c>
      <c r="J34" s="64">
        <v>0.43</v>
      </c>
      <c r="K34" s="64">
        <v>268.98</v>
      </c>
      <c r="L34" s="64">
        <v>24.6</v>
      </c>
      <c r="M34" s="64">
        <v>43.01</v>
      </c>
      <c r="N34" s="64">
        <v>119.6</v>
      </c>
      <c r="O34" s="64">
        <v>0</v>
      </c>
      <c r="P34" s="64">
        <v>0.56999999999999995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1424</v>
      </c>
      <c r="B35" s="64">
        <v>28.04</v>
      </c>
      <c r="C35" s="64">
        <v>71.61</v>
      </c>
      <c r="D35" s="64">
        <v>94.02</v>
      </c>
      <c r="E35" s="64">
        <v>3.3</v>
      </c>
      <c r="F35" s="64">
        <v>6.88</v>
      </c>
      <c r="G35" s="64">
        <v>60.53</v>
      </c>
      <c r="H35" s="64">
        <v>16.690000000000001</v>
      </c>
      <c r="I35" s="64">
        <v>3.99</v>
      </c>
      <c r="J35" s="64">
        <v>0.2</v>
      </c>
      <c r="K35" s="64">
        <v>122.71</v>
      </c>
      <c r="L35" s="64">
        <v>25.78</v>
      </c>
      <c r="M35" s="64">
        <v>41.06</v>
      </c>
      <c r="N35" s="64">
        <v>145.4</v>
      </c>
      <c r="O35" s="64">
        <v>0</v>
      </c>
      <c r="P35" s="64">
        <v>0.6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1425</v>
      </c>
      <c r="B36" s="64">
        <v>40.46</v>
      </c>
      <c r="C36" s="64">
        <v>87.11</v>
      </c>
      <c r="D36" s="64">
        <v>104.64</v>
      </c>
      <c r="E36" s="64">
        <v>3.34</v>
      </c>
      <c r="F36" s="64">
        <v>7.07</v>
      </c>
      <c r="G36" s="64">
        <v>59.37</v>
      </c>
      <c r="H36" s="64">
        <v>15.99</v>
      </c>
      <c r="I36" s="64">
        <v>4.0199999999999996</v>
      </c>
      <c r="J36" s="64">
        <v>0.16</v>
      </c>
      <c r="K36" s="64">
        <v>257.76</v>
      </c>
      <c r="L36" s="64">
        <v>27.22</v>
      </c>
      <c r="M36" s="64">
        <v>40.090000000000003</v>
      </c>
      <c r="N36" s="64">
        <v>211</v>
      </c>
      <c r="O36" s="64">
        <v>0</v>
      </c>
      <c r="P36" s="64">
        <v>0.67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1426</v>
      </c>
      <c r="B37" s="64">
        <v>25.64</v>
      </c>
      <c r="C37" s="64">
        <v>66.94</v>
      </c>
      <c r="D37" s="64">
        <v>88.78</v>
      </c>
      <c r="E37" s="64">
        <v>3.01</v>
      </c>
      <c r="F37" s="64">
        <v>7.44</v>
      </c>
      <c r="G37" s="64">
        <v>59.37</v>
      </c>
      <c r="H37" s="64">
        <v>15.99</v>
      </c>
      <c r="I37" s="64">
        <v>4.03</v>
      </c>
      <c r="J37" s="64">
        <v>0.45</v>
      </c>
      <c r="K37" s="64">
        <v>245.78</v>
      </c>
      <c r="L37" s="64">
        <v>28.41</v>
      </c>
      <c r="M37" s="64">
        <v>34.22</v>
      </c>
      <c r="N37" s="64">
        <v>266.8</v>
      </c>
      <c r="O37" s="64">
        <v>0</v>
      </c>
      <c r="P37" s="64">
        <v>0.64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1427</v>
      </c>
      <c r="B38" s="64">
        <v>24.49</v>
      </c>
      <c r="C38" s="64">
        <v>67.62</v>
      </c>
      <c r="D38" s="64">
        <v>91.83</v>
      </c>
      <c r="E38" s="64">
        <v>2.69</v>
      </c>
      <c r="F38" s="64">
        <v>6.81</v>
      </c>
      <c r="G38" s="64">
        <v>59.37</v>
      </c>
      <c r="H38" s="64">
        <v>15.99</v>
      </c>
      <c r="I38" s="64">
        <v>4.03</v>
      </c>
      <c r="J38" s="64">
        <v>0.46</v>
      </c>
      <c r="K38" s="64">
        <v>281.08</v>
      </c>
      <c r="L38" s="64">
        <v>29.55</v>
      </c>
      <c r="M38" s="64">
        <v>32.130000000000003</v>
      </c>
      <c r="N38" s="64">
        <v>323.5</v>
      </c>
      <c r="O38" s="64">
        <v>0</v>
      </c>
      <c r="P38" s="64">
        <v>0.67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1428</v>
      </c>
      <c r="B39" s="64">
        <v>23.54</v>
      </c>
      <c r="C39" s="64">
        <v>69.150000000000006</v>
      </c>
      <c r="D39" s="64">
        <v>96.23</v>
      </c>
      <c r="E39" s="64">
        <v>3.05</v>
      </c>
      <c r="F39" s="64">
        <v>8.65</v>
      </c>
      <c r="G39" s="64">
        <v>60.7</v>
      </c>
      <c r="H39" s="64">
        <v>18.010000000000002</v>
      </c>
      <c r="I39" s="64">
        <v>4.0599999999999996</v>
      </c>
      <c r="J39" s="64">
        <v>0.42</v>
      </c>
      <c r="K39" s="64">
        <v>255.66</v>
      </c>
      <c r="L39" s="64">
        <v>29.9</v>
      </c>
      <c r="M39" s="64">
        <v>32.14</v>
      </c>
      <c r="N39" s="64">
        <v>379.4</v>
      </c>
      <c r="O39" s="64">
        <v>0</v>
      </c>
      <c r="P39" s="64">
        <v>0.68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1429</v>
      </c>
      <c r="B40" s="64">
        <v>18.86</v>
      </c>
      <c r="C40" s="64">
        <v>62.6</v>
      </c>
      <c r="D40" s="64">
        <v>90.88</v>
      </c>
      <c r="E40" s="64">
        <v>3.73</v>
      </c>
      <c r="F40" s="64">
        <v>7.71</v>
      </c>
      <c r="G40" s="64">
        <v>62.16</v>
      </c>
      <c r="H40" s="64">
        <v>20.12</v>
      </c>
      <c r="I40" s="64">
        <v>4.07</v>
      </c>
      <c r="J40" s="64">
        <v>0.51</v>
      </c>
      <c r="K40" s="64">
        <v>244.38</v>
      </c>
      <c r="L40" s="64">
        <v>29.82</v>
      </c>
      <c r="M40" s="64">
        <v>33.53</v>
      </c>
      <c r="N40" s="64">
        <v>434.4</v>
      </c>
      <c r="O40" s="64">
        <v>0</v>
      </c>
      <c r="P40" s="64">
        <v>0.67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1430</v>
      </c>
      <c r="B41" s="64">
        <v>17.350000000000001</v>
      </c>
      <c r="C41" s="64">
        <v>62.09</v>
      </c>
      <c r="D41" s="64">
        <v>92.21</v>
      </c>
      <c r="E41" s="64">
        <v>3.52</v>
      </c>
      <c r="F41" s="64">
        <v>7.1</v>
      </c>
      <c r="G41" s="64">
        <v>62.16</v>
      </c>
      <c r="H41" s="64">
        <v>20.12</v>
      </c>
      <c r="I41" s="64">
        <v>4.26</v>
      </c>
      <c r="J41" s="64">
        <v>0.53</v>
      </c>
      <c r="K41" s="64">
        <v>277.81</v>
      </c>
      <c r="L41" s="64">
        <v>31.85</v>
      </c>
      <c r="M41" s="64">
        <v>30.43</v>
      </c>
      <c r="N41" s="64">
        <v>486.3</v>
      </c>
      <c r="O41" s="64">
        <v>0</v>
      </c>
      <c r="P41" s="64">
        <v>0.66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1431</v>
      </c>
      <c r="B42" s="64">
        <v>15.95</v>
      </c>
      <c r="C42" s="64">
        <v>61.17</v>
      </c>
      <c r="D42" s="64">
        <v>92.6</v>
      </c>
      <c r="E42" s="64">
        <v>3.68</v>
      </c>
      <c r="F42" s="64">
        <v>7.64</v>
      </c>
      <c r="G42" s="64">
        <v>62.16</v>
      </c>
      <c r="H42" s="64">
        <v>20.12</v>
      </c>
      <c r="I42" s="64">
        <v>4.03</v>
      </c>
      <c r="J42" s="64">
        <v>0.78</v>
      </c>
      <c r="K42" s="64">
        <v>289.07</v>
      </c>
      <c r="L42" s="64">
        <v>33.35</v>
      </c>
      <c r="M42" s="64">
        <v>27.03</v>
      </c>
      <c r="N42" s="64">
        <v>524.20000000000005</v>
      </c>
      <c r="O42" s="64">
        <v>0</v>
      </c>
      <c r="P42" s="64">
        <v>0.66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1432</v>
      </c>
      <c r="B43" s="64">
        <v>13.77</v>
      </c>
      <c r="C43" s="64">
        <v>60.91</v>
      </c>
      <c r="D43" s="64">
        <v>95.45</v>
      </c>
      <c r="E43" s="64">
        <v>3.47</v>
      </c>
      <c r="F43" s="64">
        <v>8.1199999999999992</v>
      </c>
      <c r="G43" s="64">
        <v>61.21</v>
      </c>
      <c r="H43" s="64">
        <v>18.239999999999998</v>
      </c>
      <c r="I43" s="64">
        <v>3.99</v>
      </c>
      <c r="J43" s="64">
        <v>0.71</v>
      </c>
      <c r="K43" s="64">
        <v>286.02999999999997</v>
      </c>
      <c r="L43" s="64">
        <v>34.6</v>
      </c>
      <c r="M43" s="64">
        <v>25.06</v>
      </c>
      <c r="N43" s="64">
        <v>553.79999999999995</v>
      </c>
      <c r="O43" s="64">
        <v>0</v>
      </c>
      <c r="P43" s="64">
        <v>0.64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1433</v>
      </c>
      <c r="B44" s="64">
        <v>9.16</v>
      </c>
      <c r="C44" s="64">
        <v>55.89</v>
      </c>
      <c r="D44" s="64">
        <v>92.92</v>
      </c>
      <c r="E44" s="64">
        <v>7.52</v>
      </c>
      <c r="F44" s="64">
        <v>12.61</v>
      </c>
      <c r="G44" s="64">
        <v>60.18</v>
      </c>
      <c r="H44" s="64">
        <v>16.29</v>
      </c>
      <c r="I44" s="64">
        <v>4.18</v>
      </c>
      <c r="J44" s="64">
        <v>0.71</v>
      </c>
      <c r="K44" s="64">
        <v>286.75</v>
      </c>
      <c r="L44" s="64">
        <v>34.76</v>
      </c>
      <c r="M44" s="64">
        <v>25.91</v>
      </c>
      <c r="N44" s="64">
        <v>595</v>
      </c>
      <c r="O44" s="64">
        <v>0</v>
      </c>
      <c r="P44" s="64">
        <v>0.77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1434</v>
      </c>
      <c r="B45" s="64">
        <v>10.91</v>
      </c>
      <c r="C45" s="64">
        <v>62.85</v>
      </c>
      <c r="D45" s="64">
        <v>103.55</v>
      </c>
      <c r="E45" s="64">
        <v>11.12</v>
      </c>
      <c r="F45" s="64">
        <v>12.46</v>
      </c>
      <c r="G45" s="64">
        <v>60.18</v>
      </c>
      <c r="H45" s="64">
        <v>16.29</v>
      </c>
      <c r="I45" s="64">
        <v>3.96</v>
      </c>
      <c r="J45" s="64">
        <v>0.63</v>
      </c>
      <c r="K45" s="64">
        <v>276.56</v>
      </c>
      <c r="L45" s="64">
        <v>35.4</v>
      </c>
      <c r="M45" s="64">
        <v>24.39</v>
      </c>
      <c r="N45" s="64">
        <v>642.70000000000005</v>
      </c>
      <c r="O45" s="64">
        <v>0</v>
      </c>
      <c r="P45" s="64">
        <v>0.96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1435</v>
      </c>
      <c r="B46" s="64">
        <v>6.77</v>
      </c>
      <c r="C46" s="64">
        <v>55.86</v>
      </c>
      <c r="D46" s="64">
        <v>96.52</v>
      </c>
      <c r="E46" s="64">
        <v>12.47</v>
      </c>
      <c r="F46" s="64">
        <v>13.48</v>
      </c>
      <c r="G46" s="64">
        <v>60.18</v>
      </c>
      <c r="H46" s="64">
        <v>16.29</v>
      </c>
      <c r="I46" s="64">
        <v>3.97</v>
      </c>
      <c r="J46" s="64">
        <v>0.88</v>
      </c>
      <c r="K46" s="64">
        <v>296.10000000000002</v>
      </c>
      <c r="L46" s="64">
        <v>36.22</v>
      </c>
      <c r="M46" s="64">
        <v>22.7</v>
      </c>
      <c r="N46" s="64">
        <v>672</v>
      </c>
      <c r="O46" s="64">
        <v>0</v>
      </c>
      <c r="P46" s="64">
        <v>0.91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1436</v>
      </c>
      <c r="B47" s="64">
        <v>6.74</v>
      </c>
      <c r="C47" s="64">
        <v>59.25</v>
      </c>
      <c r="D47" s="64">
        <v>103.07</v>
      </c>
      <c r="E47" s="64">
        <v>8.31</v>
      </c>
      <c r="F47" s="64">
        <v>11.19</v>
      </c>
      <c r="G47" s="64">
        <v>61.46</v>
      </c>
      <c r="H47" s="64">
        <v>17.22</v>
      </c>
      <c r="I47" s="64">
        <v>4.07</v>
      </c>
      <c r="J47" s="64">
        <v>0.84</v>
      </c>
      <c r="K47" s="64">
        <v>296.89999999999998</v>
      </c>
      <c r="L47" s="64">
        <v>37.03</v>
      </c>
      <c r="M47" s="64">
        <v>21.11</v>
      </c>
      <c r="N47" s="64">
        <v>718.1</v>
      </c>
      <c r="O47" s="64">
        <v>0</v>
      </c>
      <c r="P47" s="64">
        <v>0.84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1437</v>
      </c>
      <c r="B48" s="64">
        <v>9.07</v>
      </c>
      <c r="C48" s="64">
        <v>60.91</v>
      </c>
      <c r="D48" s="64">
        <v>102.66</v>
      </c>
      <c r="E48" s="64">
        <v>6.22</v>
      </c>
      <c r="F48" s="64">
        <v>11.95</v>
      </c>
      <c r="G48" s="64">
        <v>62.85</v>
      </c>
      <c r="H48" s="64">
        <v>18.239999999999998</v>
      </c>
      <c r="I48" s="64">
        <v>4</v>
      </c>
      <c r="J48" s="64">
        <v>0.9</v>
      </c>
      <c r="K48" s="64">
        <v>309.45999999999998</v>
      </c>
      <c r="L48" s="64">
        <v>38.06</v>
      </c>
      <c r="M48" s="64">
        <v>19.670000000000002</v>
      </c>
      <c r="N48" s="64">
        <v>763.8</v>
      </c>
      <c r="O48" s="64">
        <v>0</v>
      </c>
      <c r="P48" s="64">
        <v>0.86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1438</v>
      </c>
      <c r="B49" s="64">
        <v>5.47</v>
      </c>
      <c r="C49" s="64">
        <v>54.06</v>
      </c>
      <c r="D49" s="64">
        <v>95.08</v>
      </c>
      <c r="E49" s="64">
        <v>8.94</v>
      </c>
      <c r="F49" s="64">
        <v>16.47</v>
      </c>
      <c r="G49" s="64">
        <v>62.85</v>
      </c>
      <c r="H49" s="64">
        <v>18.239999999999998</v>
      </c>
      <c r="I49" s="64">
        <v>4.01</v>
      </c>
      <c r="J49" s="64">
        <v>0.52</v>
      </c>
      <c r="K49" s="64">
        <v>272.70999999999998</v>
      </c>
      <c r="L49" s="64">
        <v>38.31</v>
      </c>
      <c r="M49" s="64">
        <v>17.55</v>
      </c>
      <c r="N49" s="64">
        <v>796</v>
      </c>
      <c r="O49" s="64">
        <v>0</v>
      </c>
      <c r="P49" s="64">
        <v>0.79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1439</v>
      </c>
      <c r="B50" s="64">
        <v>3.54</v>
      </c>
      <c r="C50" s="64">
        <v>48.31</v>
      </c>
      <c r="D50" s="64">
        <v>87.04</v>
      </c>
      <c r="E50" s="64">
        <v>8.56</v>
      </c>
      <c r="F50" s="64">
        <v>18.25</v>
      </c>
      <c r="G50" s="64">
        <v>62.85</v>
      </c>
      <c r="H50" s="64">
        <v>18.239999999999998</v>
      </c>
      <c r="I50" s="64">
        <v>3.93</v>
      </c>
      <c r="J50" s="64">
        <v>0.56999999999999995</v>
      </c>
      <c r="K50" s="64">
        <v>224.29</v>
      </c>
      <c r="L50" s="64">
        <v>35.56</v>
      </c>
      <c r="M50" s="64">
        <v>19.38</v>
      </c>
      <c r="N50" s="64">
        <v>718.5</v>
      </c>
      <c r="O50" s="64">
        <v>0</v>
      </c>
      <c r="P50" s="64">
        <v>0.68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1440</v>
      </c>
      <c r="B51" s="64">
        <v>1.91</v>
      </c>
      <c r="C51" s="64">
        <v>48.34</v>
      </c>
      <c r="D51" s="64">
        <v>89.58</v>
      </c>
      <c r="E51" s="64">
        <v>6.77</v>
      </c>
      <c r="F51" s="64">
        <v>12.33</v>
      </c>
      <c r="G51" s="64">
        <v>62.04</v>
      </c>
      <c r="H51" s="64">
        <v>18.87</v>
      </c>
      <c r="I51" s="64">
        <v>4.07</v>
      </c>
      <c r="J51" s="64">
        <v>0.75</v>
      </c>
      <c r="K51" s="64">
        <v>208.79</v>
      </c>
      <c r="L51" s="64">
        <v>35.659999999999997</v>
      </c>
      <c r="M51" s="64">
        <v>18.97</v>
      </c>
      <c r="N51" s="64">
        <v>716.7</v>
      </c>
      <c r="O51" s="64">
        <v>0</v>
      </c>
      <c r="P51" s="64">
        <v>0.75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1441</v>
      </c>
      <c r="B52" s="64">
        <v>1.1200000000000001</v>
      </c>
      <c r="C52" s="64">
        <v>46.11</v>
      </c>
      <c r="D52" s="64">
        <v>86.53</v>
      </c>
      <c r="E52" s="64">
        <v>6.63</v>
      </c>
      <c r="F52" s="64">
        <v>17.34</v>
      </c>
      <c r="G52" s="64">
        <v>61.14</v>
      </c>
      <c r="H52" s="64">
        <v>19.54</v>
      </c>
      <c r="I52" s="64">
        <v>3.93</v>
      </c>
      <c r="J52" s="64">
        <v>0.35</v>
      </c>
      <c r="K52" s="64">
        <v>118.81</v>
      </c>
      <c r="L52" s="64">
        <v>35.51</v>
      </c>
      <c r="M52" s="64">
        <v>19.579999999999998</v>
      </c>
      <c r="N52" s="64">
        <v>515.4</v>
      </c>
      <c r="O52" s="64">
        <v>0</v>
      </c>
      <c r="P52" s="64">
        <v>0.71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1442</v>
      </c>
      <c r="B53" s="64">
        <v>0.67</v>
      </c>
      <c r="C53" s="64">
        <v>43.46</v>
      </c>
      <c r="D53" s="64">
        <v>82.15</v>
      </c>
      <c r="E53" s="64">
        <v>5.87</v>
      </c>
      <c r="F53" s="64">
        <v>17.43</v>
      </c>
      <c r="G53" s="64">
        <v>61.14</v>
      </c>
      <c r="H53" s="64">
        <v>19.54</v>
      </c>
      <c r="I53" s="64">
        <v>4.09</v>
      </c>
      <c r="J53" s="64">
        <v>1.4</v>
      </c>
      <c r="K53" s="64">
        <v>94.98</v>
      </c>
      <c r="L53" s="64">
        <v>34.97</v>
      </c>
      <c r="M53" s="64">
        <v>20.99</v>
      </c>
      <c r="N53" s="64">
        <v>859</v>
      </c>
      <c r="O53" s="64">
        <v>0</v>
      </c>
      <c r="P53" s="64">
        <v>0.72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1443</v>
      </c>
      <c r="B54" s="64">
        <v>0.53</v>
      </c>
      <c r="C54" s="64">
        <v>41.41</v>
      </c>
      <c r="D54" s="64">
        <v>78.45</v>
      </c>
      <c r="E54" s="64">
        <v>6.42</v>
      </c>
      <c r="F54" s="64">
        <v>18.91</v>
      </c>
      <c r="G54" s="64">
        <v>61.14</v>
      </c>
      <c r="H54" s="64">
        <v>19.54</v>
      </c>
      <c r="I54" s="64">
        <v>4.05</v>
      </c>
      <c r="J54" s="64">
        <v>0.43</v>
      </c>
      <c r="K54" s="64">
        <v>121.56</v>
      </c>
      <c r="L54" s="64">
        <v>36</v>
      </c>
      <c r="M54" s="64">
        <v>19.05</v>
      </c>
      <c r="N54" s="64">
        <v>906</v>
      </c>
      <c r="O54" s="64">
        <v>0</v>
      </c>
      <c r="P54" s="64">
        <v>0.67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1444</v>
      </c>
      <c r="B55" s="64">
        <v>2.13</v>
      </c>
      <c r="C55" s="64">
        <v>45.93</v>
      </c>
      <c r="D55" s="64">
        <v>84.65</v>
      </c>
      <c r="E55" s="64">
        <v>9.2799999999999994</v>
      </c>
      <c r="F55" s="64">
        <v>19.59</v>
      </c>
      <c r="G55" s="64">
        <v>58.68</v>
      </c>
      <c r="H55" s="64">
        <v>18.98</v>
      </c>
      <c r="I55" s="64">
        <v>4.0999999999999996</v>
      </c>
      <c r="J55" s="64">
        <v>0.52</v>
      </c>
      <c r="K55" s="64">
        <v>21.04</v>
      </c>
      <c r="L55" s="64">
        <v>37.04</v>
      </c>
      <c r="M55" s="64">
        <v>19.260000000000002</v>
      </c>
      <c r="N55" s="64">
        <v>917.7</v>
      </c>
      <c r="O55" s="64">
        <v>0</v>
      </c>
      <c r="P55" s="64">
        <v>0.7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1445</v>
      </c>
      <c r="B56" s="64">
        <v>1.1399999999999999</v>
      </c>
      <c r="C56" s="64">
        <v>44.42</v>
      </c>
      <c r="D56" s="64">
        <v>83.27</v>
      </c>
      <c r="E56" s="64">
        <v>6.77</v>
      </c>
      <c r="F56" s="64">
        <v>18.47</v>
      </c>
      <c r="G56" s="64">
        <v>55.98</v>
      </c>
      <c r="H56" s="64">
        <v>18.39</v>
      </c>
      <c r="I56" s="64">
        <v>4.1100000000000003</v>
      </c>
      <c r="J56" s="64">
        <v>0.61</v>
      </c>
      <c r="K56" s="64">
        <v>26.84</v>
      </c>
      <c r="L56" s="64">
        <v>38.6</v>
      </c>
      <c r="M56" s="64">
        <v>17.79</v>
      </c>
      <c r="N56" s="64">
        <v>910.1</v>
      </c>
      <c r="O56" s="64">
        <v>0</v>
      </c>
      <c r="P56" s="64">
        <v>0.73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1446</v>
      </c>
      <c r="B57" s="64">
        <v>0.87</v>
      </c>
      <c r="C57" s="64">
        <v>43.7</v>
      </c>
      <c r="D57" s="64">
        <v>82.31</v>
      </c>
      <c r="E57" s="64">
        <v>5.32</v>
      </c>
      <c r="F57" s="64">
        <v>12.53</v>
      </c>
      <c r="G57" s="64">
        <v>55.98</v>
      </c>
      <c r="H57" s="64">
        <v>18.39</v>
      </c>
      <c r="I57" s="64">
        <v>3.97</v>
      </c>
      <c r="J57" s="64">
        <v>1.56</v>
      </c>
      <c r="K57" s="64">
        <v>329.12</v>
      </c>
      <c r="L57" s="64">
        <v>38.9</v>
      </c>
      <c r="M57" s="64">
        <v>17.940000000000001</v>
      </c>
      <c r="N57" s="64">
        <v>913.2</v>
      </c>
      <c r="O57" s="64">
        <v>0</v>
      </c>
      <c r="P57" s="64">
        <v>0.73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1447</v>
      </c>
      <c r="B58" s="64">
        <v>8.16</v>
      </c>
      <c r="C58" s="64">
        <v>56.93</v>
      </c>
      <c r="D58" s="64">
        <v>96.43</v>
      </c>
      <c r="E58" s="64">
        <v>10.92</v>
      </c>
      <c r="F58" s="64">
        <v>17.3</v>
      </c>
      <c r="G58" s="64">
        <v>55.98</v>
      </c>
      <c r="H58" s="64">
        <v>18.39</v>
      </c>
      <c r="I58" s="64">
        <v>4.1100000000000003</v>
      </c>
      <c r="J58" s="64">
        <v>1.37</v>
      </c>
      <c r="K58" s="64">
        <v>355.95</v>
      </c>
      <c r="L58" s="64">
        <v>39.409999999999997</v>
      </c>
      <c r="M58" s="64">
        <v>18.43</v>
      </c>
      <c r="N58" s="64">
        <v>901.4</v>
      </c>
      <c r="O58" s="64">
        <v>0</v>
      </c>
      <c r="P58" s="64">
        <v>0.72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1448</v>
      </c>
      <c r="B59" s="64">
        <v>4.8600000000000003</v>
      </c>
      <c r="C59" s="64">
        <v>54.69</v>
      </c>
      <c r="D59" s="64">
        <v>97.21</v>
      </c>
      <c r="E59" s="64">
        <v>13.53</v>
      </c>
      <c r="F59" s="64">
        <v>18.16</v>
      </c>
      <c r="G59" s="64">
        <v>60.81</v>
      </c>
      <c r="H59" s="64">
        <v>19.38</v>
      </c>
      <c r="I59" s="64">
        <v>3.9</v>
      </c>
      <c r="J59" s="64">
        <v>1.59</v>
      </c>
      <c r="K59" s="64">
        <v>341.71</v>
      </c>
      <c r="L59" s="64">
        <v>39.380000000000003</v>
      </c>
      <c r="M59" s="64">
        <v>18.8</v>
      </c>
      <c r="N59" s="64">
        <v>799</v>
      </c>
      <c r="O59" s="64">
        <v>0</v>
      </c>
      <c r="P59" s="64">
        <v>0.73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1449</v>
      </c>
      <c r="B60" s="64">
        <v>2.35</v>
      </c>
      <c r="C60" s="64">
        <v>51.46</v>
      </c>
      <c r="D60" s="64">
        <v>94.9</v>
      </c>
      <c r="E60" s="64">
        <v>14.61</v>
      </c>
      <c r="F60" s="64">
        <v>21.46</v>
      </c>
      <c r="G60" s="64">
        <v>66.099999999999994</v>
      </c>
      <c r="H60" s="64">
        <v>20.420000000000002</v>
      </c>
      <c r="I60" s="64">
        <v>4.01</v>
      </c>
      <c r="J60" s="64">
        <v>1.84</v>
      </c>
      <c r="K60" s="64">
        <v>348.51</v>
      </c>
      <c r="L60" s="64">
        <v>39.61</v>
      </c>
      <c r="M60" s="64">
        <v>19.329999999999998</v>
      </c>
      <c r="N60" s="64">
        <v>787.3</v>
      </c>
      <c r="O60" s="64">
        <v>0</v>
      </c>
      <c r="P60" s="64">
        <v>0.75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1450</v>
      </c>
      <c r="B61" s="64">
        <v>1.99</v>
      </c>
      <c r="C61" s="64">
        <v>53.01</v>
      </c>
      <c r="D61" s="64">
        <v>98.4</v>
      </c>
      <c r="E61" s="64">
        <v>22.73</v>
      </c>
      <c r="F61" s="64">
        <v>23.53</v>
      </c>
      <c r="G61" s="64">
        <v>66.099999999999994</v>
      </c>
      <c r="H61" s="64">
        <v>20.420000000000002</v>
      </c>
      <c r="I61" s="64">
        <v>4.05</v>
      </c>
      <c r="J61" s="64">
        <v>1.68</v>
      </c>
      <c r="K61" s="64">
        <v>344.2</v>
      </c>
      <c r="L61" s="64">
        <v>40</v>
      </c>
      <c r="M61" s="64">
        <v>18.79</v>
      </c>
      <c r="N61" s="64">
        <v>796.5</v>
      </c>
      <c r="O61" s="64">
        <v>0</v>
      </c>
      <c r="P61" s="64">
        <v>0.75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1451</v>
      </c>
      <c r="B62" s="64">
        <v>5.73</v>
      </c>
      <c r="C62" s="64">
        <v>55.7</v>
      </c>
      <c r="D62" s="64">
        <v>97.81</v>
      </c>
      <c r="E62" s="64">
        <v>17.48</v>
      </c>
      <c r="F62" s="64">
        <v>24.86</v>
      </c>
      <c r="G62" s="64">
        <v>66.099999999999994</v>
      </c>
      <c r="H62" s="64">
        <v>20.420000000000002</v>
      </c>
      <c r="I62" s="64">
        <v>4.04</v>
      </c>
      <c r="J62" s="64">
        <v>1.72</v>
      </c>
      <c r="K62" s="64">
        <v>343.78</v>
      </c>
      <c r="L62" s="64">
        <v>39.68</v>
      </c>
      <c r="M62" s="64">
        <v>18.59</v>
      </c>
      <c r="N62" s="64">
        <v>780.2</v>
      </c>
      <c r="O62" s="64">
        <v>0</v>
      </c>
      <c r="P62" s="64">
        <v>0.75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1452</v>
      </c>
      <c r="B63" s="64">
        <v>2.0499999999999998</v>
      </c>
      <c r="C63" s="64">
        <v>42.52</v>
      </c>
      <c r="D63" s="64">
        <v>78.23</v>
      </c>
      <c r="E63" s="64">
        <v>15.84</v>
      </c>
      <c r="F63" s="64">
        <v>35</v>
      </c>
      <c r="G63" s="64">
        <v>73.8</v>
      </c>
      <c r="H63" s="64">
        <v>20.18</v>
      </c>
      <c r="I63" s="64">
        <v>4</v>
      </c>
      <c r="J63" s="64">
        <v>0.95</v>
      </c>
      <c r="K63" s="64">
        <v>81.81</v>
      </c>
      <c r="L63" s="64">
        <v>37.69</v>
      </c>
      <c r="M63" s="64">
        <v>19.64</v>
      </c>
      <c r="N63" s="64">
        <v>767.8</v>
      </c>
      <c r="O63" s="64">
        <v>0</v>
      </c>
      <c r="P63" s="64">
        <v>0.67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1453</v>
      </c>
      <c r="B64" s="64">
        <v>3.21</v>
      </c>
      <c r="C64" s="64">
        <v>52.65</v>
      </c>
      <c r="D64" s="64">
        <v>95.86</v>
      </c>
      <c r="E64" s="64">
        <v>21.96</v>
      </c>
      <c r="F64" s="64">
        <v>21.79</v>
      </c>
      <c r="G64" s="64">
        <v>82.22</v>
      </c>
      <c r="H64" s="64">
        <v>19.920000000000002</v>
      </c>
      <c r="I64" s="64">
        <v>4.13</v>
      </c>
      <c r="J64" s="64">
        <v>1.49</v>
      </c>
      <c r="K64" s="64">
        <v>332.83</v>
      </c>
      <c r="L64" s="64">
        <v>38.200000000000003</v>
      </c>
      <c r="M64" s="64">
        <v>17.170000000000002</v>
      </c>
      <c r="N64" s="64">
        <v>721.7</v>
      </c>
      <c r="O64" s="64">
        <v>0</v>
      </c>
      <c r="P64" s="64">
        <v>0.73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1454</v>
      </c>
      <c r="B65" s="64">
        <v>2.65</v>
      </c>
      <c r="C65" s="64">
        <v>41.82</v>
      </c>
      <c r="D65" s="64">
        <v>75.97</v>
      </c>
      <c r="E65" s="64">
        <v>28.26</v>
      </c>
      <c r="F65" s="64">
        <v>29.8</v>
      </c>
      <c r="G65" s="64">
        <v>82.22</v>
      </c>
      <c r="H65" s="64">
        <v>19.920000000000002</v>
      </c>
      <c r="I65" s="64">
        <v>3.95</v>
      </c>
      <c r="J65" s="64">
        <v>0.74</v>
      </c>
      <c r="K65" s="64">
        <v>352.7</v>
      </c>
      <c r="L65" s="64">
        <v>38.44</v>
      </c>
      <c r="M65" s="64">
        <v>15.31</v>
      </c>
      <c r="N65" s="64">
        <v>383.9</v>
      </c>
      <c r="O65" s="64">
        <v>0</v>
      </c>
      <c r="P65" s="64">
        <v>0.61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1455</v>
      </c>
      <c r="B66" s="64">
        <v>10.130000000000001</v>
      </c>
      <c r="C66" s="64">
        <v>54.28</v>
      </c>
      <c r="D66" s="64">
        <v>88.35</v>
      </c>
      <c r="E66" s="64">
        <v>22.25</v>
      </c>
      <c r="F66" s="64">
        <v>24.2</v>
      </c>
      <c r="G66" s="64">
        <v>82.22</v>
      </c>
      <c r="H66" s="64">
        <v>19.920000000000002</v>
      </c>
      <c r="I66" s="64">
        <v>3.89</v>
      </c>
      <c r="J66" s="64">
        <v>0.78</v>
      </c>
      <c r="K66" s="64">
        <v>23.6</v>
      </c>
      <c r="L66" s="64">
        <v>37.56</v>
      </c>
      <c r="M66" s="64">
        <v>14.02</v>
      </c>
      <c r="N66" s="64">
        <v>549.4</v>
      </c>
      <c r="O66" s="64">
        <v>0</v>
      </c>
      <c r="P66" s="64">
        <v>0.66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1456</v>
      </c>
      <c r="B67" s="64">
        <v>7.87</v>
      </c>
      <c r="C67" s="64">
        <v>45.19</v>
      </c>
      <c r="D67" s="64">
        <v>74.41</v>
      </c>
      <c r="E67" s="64">
        <v>26.63</v>
      </c>
      <c r="F67" s="64">
        <v>33.01</v>
      </c>
      <c r="G67" s="64">
        <v>80.3</v>
      </c>
      <c r="H67" s="64">
        <v>21.39</v>
      </c>
      <c r="I67" s="64">
        <v>3.99</v>
      </c>
      <c r="J67" s="64">
        <v>1.01</v>
      </c>
      <c r="K67" s="64">
        <v>359.08</v>
      </c>
      <c r="L67" s="64">
        <v>37.94</v>
      </c>
      <c r="M67" s="64">
        <v>13.8</v>
      </c>
      <c r="N67" s="64">
        <v>310.89999999999998</v>
      </c>
      <c r="O67" s="64">
        <v>0</v>
      </c>
      <c r="P67" s="64">
        <v>0.6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1457</v>
      </c>
      <c r="B68" s="64">
        <v>7.78</v>
      </c>
      <c r="C68" s="64">
        <v>46.41</v>
      </c>
      <c r="D68" s="64">
        <v>76.89</v>
      </c>
      <c r="E68" s="64">
        <v>26.34</v>
      </c>
      <c r="F68" s="64">
        <v>31.77</v>
      </c>
      <c r="G68" s="64">
        <v>78.209999999999994</v>
      </c>
      <c r="H68" s="64">
        <v>22.92</v>
      </c>
      <c r="I68" s="64">
        <v>3.98</v>
      </c>
      <c r="J68" s="64">
        <v>0.77</v>
      </c>
      <c r="K68" s="64">
        <v>80.739999999999995</v>
      </c>
      <c r="L68" s="64">
        <v>36.89</v>
      </c>
      <c r="M68" s="64">
        <v>14.92</v>
      </c>
      <c r="N68" s="64">
        <v>294.39999999999998</v>
      </c>
      <c r="O68" s="64">
        <v>0</v>
      </c>
      <c r="P68" s="64">
        <v>0.53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1458</v>
      </c>
      <c r="B69" s="64">
        <v>1.9</v>
      </c>
      <c r="C69" s="64">
        <v>43.54</v>
      </c>
      <c r="D69" s="64">
        <v>80.430000000000007</v>
      </c>
      <c r="E69" s="64">
        <v>12.66</v>
      </c>
      <c r="F69" s="64">
        <v>23.87</v>
      </c>
      <c r="G69" s="64">
        <v>78.209999999999994</v>
      </c>
      <c r="H69" s="64">
        <v>22.92</v>
      </c>
      <c r="I69" s="64">
        <v>3.93</v>
      </c>
      <c r="J69" s="64">
        <v>1.26</v>
      </c>
      <c r="K69" s="64">
        <v>94.72</v>
      </c>
      <c r="L69" s="64">
        <v>35.83</v>
      </c>
      <c r="M69" s="64">
        <v>15.49</v>
      </c>
      <c r="N69" s="64">
        <v>271.39999999999998</v>
      </c>
      <c r="O69" s="64">
        <v>0</v>
      </c>
      <c r="P69" s="64">
        <v>0.6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1459</v>
      </c>
      <c r="B70" s="64">
        <v>1.1299999999999999</v>
      </c>
      <c r="C70" s="64">
        <v>35.49</v>
      </c>
      <c r="D70" s="64">
        <v>66.19</v>
      </c>
      <c r="E70" s="64">
        <v>24.24</v>
      </c>
      <c r="F70" s="64">
        <v>26.65</v>
      </c>
      <c r="G70" s="64">
        <v>78.209999999999994</v>
      </c>
      <c r="H70" s="64">
        <v>22.92</v>
      </c>
      <c r="I70" s="64">
        <v>4.1500000000000004</v>
      </c>
      <c r="J70" s="64">
        <v>0.93</v>
      </c>
      <c r="K70" s="64">
        <v>87.29</v>
      </c>
      <c r="L70" s="64">
        <v>35.450000000000003</v>
      </c>
      <c r="M70" s="64">
        <v>15.3</v>
      </c>
      <c r="N70" s="64">
        <v>188.3</v>
      </c>
      <c r="O70" s="64">
        <v>0</v>
      </c>
      <c r="P70" s="64">
        <v>0.51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1460</v>
      </c>
      <c r="B71" s="64">
        <v>1.47</v>
      </c>
      <c r="C71" s="64">
        <v>35.28</v>
      </c>
      <c r="D71" s="64">
        <v>65.27</v>
      </c>
      <c r="E71" s="64">
        <v>18.98</v>
      </c>
      <c r="F71" s="64">
        <v>26.24</v>
      </c>
      <c r="G71" s="64">
        <v>74.11</v>
      </c>
      <c r="H71" s="64">
        <v>22.93</v>
      </c>
      <c r="I71" s="64">
        <v>4.0599999999999996</v>
      </c>
      <c r="J71" s="64">
        <v>1.1399999999999999</v>
      </c>
      <c r="K71" s="64">
        <v>93.77</v>
      </c>
      <c r="L71" s="64">
        <v>35.01</v>
      </c>
      <c r="M71" s="64">
        <v>15.71</v>
      </c>
      <c r="N71" s="64">
        <v>170.8</v>
      </c>
      <c r="O71" s="64">
        <v>0</v>
      </c>
      <c r="P71" s="64">
        <v>0.47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1461</v>
      </c>
      <c r="B72" s="64">
        <v>5.15</v>
      </c>
      <c r="C72" s="64">
        <v>45.14</v>
      </c>
      <c r="D72" s="64">
        <v>78.5</v>
      </c>
      <c r="E72" s="64">
        <v>14.71</v>
      </c>
      <c r="F72" s="64">
        <v>24.11</v>
      </c>
      <c r="G72" s="64">
        <v>69.64</v>
      </c>
      <c r="H72" s="64">
        <v>22.94</v>
      </c>
      <c r="I72" s="64">
        <v>3.96</v>
      </c>
      <c r="J72" s="64">
        <v>1.1399999999999999</v>
      </c>
      <c r="K72" s="64">
        <v>340.73</v>
      </c>
      <c r="L72" s="64">
        <v>35.51</v>
      </c>
      <c r="M72" s="64">
        <v>16.989999999999998</v>
      </c>
      <c r="N72" s="64">
        <v>172.5</v>
      </c>
      <c r="O72" s="64">
        <v>0</v>
      </c>
      <c r="P72" s="64">
        <v>0.54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1462</v>
      </c>
      <c r="B73" s="64">
        <v>6.78</v>
      </c>
      <c r="C73" s="64">
        <v>47.65</v>
      </c>
      <c r="D73" s="64">
        <v>80.78</v>
      </c>
      <c r="E73" s="64">
        <v>16.23</v>
      </c>
      <c r="F73" s="64">
        <v>25.29</v>
      </c>
      <c r="G73" s="64">
        <v>69.64</v>
      </c>
      <c r="H73" s="64">
        <v>22.94</v>
      </c>
      <c r="I73" s="64">
        <v>4.07</v>
      </c>
      <c r="J73" s="64">
        <v>1.3</v>
      </c>
      <c r="K73" s="64">
        <v>340.44</v>
      </c>
      <c r="L73" s="64">
        <v>35.78</v>
      </c>
      <c r="M73" s="64">
        <v>16.53</v>
      </c>
      <c r="N73" s="64">
        <v>132.30000000000001</v>
      </c>
      <c r="O73" s="64">
        <v>0</v>
      </c>
      <c r="P73" s="64">
        <v>0.6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1463</v>
      </c>
      <c r="B74" s="64">
        <v>12.84</v>
      </c>
      <c r="C74" s="64">
        <v>65.010000000000005</v>
      </c>
      <c r="D74" s="64">
        <v>104.72</v>
      </c>
      <c r="E74" s="64">
        <v>17.059999999999999</v>
      </c>
      <c r="F74" s="64">
        <v>24.45</v>
      </c>
      <c r="G74" s="64">
        <v>69.64</v>
      </c>
      <c r="H74" s="64">
        <v>22.94</v>
      </c>
      <c r="I74" s="64">
        <v>3.93</v>
      </c>
      <c r="J74" s="64">
        <v>0.82</v>
      </c>
      <c r="K74" s="64">
        <v>334.69</v>
      </c>
      <c r="L74" s="64">
        <v>35.53</v>
      </c>
      <c r="M74" s="64">
        <v>17.739999999999998</v>
      </c>
      <c r="N74" s="64">
        <v>100.1</v>
      </c>
      <c r="O74" s="64">
        <v>0</v>
      </c>
      <c r="P74" s="64">
        <v>0.7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1464</v>
      </c>
      <c r="B75" s="64">
        <v>10.07</v>
      </c>
      <c r="C75" s="64">
        <v>62.86</v>
      </c>
      <c r="D75" s="64">
        <v>104.85</v>
      </c>
      <c r="E75" s="64">
        <v>25.49</v>
      </c>
      <c r="F75" s="64">
        <v>27.19</v>
      </c>
      <c r="G75" s="64">
        <v>66.62</v>
      </c>
      <c r="H75" s="64">
        <v>21.95</v>
      </c>
      <c r="I75" s="64">
        <v>3.96</v>
      </c>
      <c r="J75" s="64">
        <v>0.79</v>
      </c>
      <c r="K75" s="64">
        <v>350.43</v>
      </c>
      <c r="L75" s="64">
        <v>35.22</v>
      </c>
      <c r="M75" s="64">
        <v>17.600000000000001</v>
      </c>
      <c r="N75" s="64">
        <v>97.5</v>
      </c>
      <c r="O75" s="64">
        <v>0</v>
      </c>
      <c r="P75" s="64">
        <v>0.76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1465</v>
      </c>
      <c r="B76" s="64">
        <v>14</v>
      </c>
      <c r="C76" s="64">
        <v>72.239999999999995</v>
      </c>
      <c r="D76" s="64">
        <v>116.78</v>
      </c>
      <c r="E76" s="64">
        <v>25.77</v>
      </c>
      <c r="F76" s="64">
        <v>23.42</v>
      </c>
      <c r="G76" s="64">
        <v>63.31</v>
      </c>
      <c r="H76" s="64">
        <v>20.92</v>
      </c>
      <c r="I76" s="64">
        <v>3.99</v>
      </c>
      <c r="J76" s="64">
        <v>0.97</v>
      </c>
      <c r="K76" s="64">
        <v>341.7</v>
      </c>
      <c r="L76" s="64">
        <v>35.15</v>
      </c>
      <c r="M76" s="64">
        <v>18.95</v>
      </c>
      <c r="N76" s="64">
        <v>123.6</v>
      </c>
      <c r="O76" s="64">
        <v>0</v>
      </c>
      <c r="P76" s="64">
        <v>0.96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1466</v>
      </c>
      <c r="B77" s="64">
        <v>18.510000000000002</v>
      </c>
      <c r="C77" s="64">
        <v>78.48</v>
      </c>
      <c r="D77" s="64">
        <v>121.8</v>
      </c>
      <c r="E77" s="64">
        <v>24.65</v>
      </c>
      <c r="F77" s="64">
        <v>24.91</v>
      </c>
      <c r="G77" s="64">
        <v>63.31</v>
      </c>
      <c r="H77" s="64">
        <v>20.92</v>
      </c>
      <c r="I77" s="64">
        <v>3.9</v>
      </c>
      <c r="J77" s="64">
        <v>0.67</v>
      </c>
      <c r="K77" s="64">
        <v>10.9</v>
      </c>
      <c r="L77" s="64">
        <v>35.36</v>
      </c>
      <c r="M77" s="64">
        <v>17.149999999999999</v>
      </c>
      <c r="N77" s="64">
        <v>141.4</v>
      </c>
      <c r="O77" s="64">
        <v>0</v>
      </c>
      <c r="P77" s="64">
        <v>0.81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1467</v>
      </c>
      <c r="B78" s="64">
        <v>8.75</v>
      </c>
      <c r="C78" s="64">
        <v>62.39</v>
      </c>
      <c r="D78" s="64">
        <v>105.99</v>
      </c>
      <c r="E78" s="64">
        <v>22.88</v>
      </c>
      <c r="F78" s="64">
        <v>20.69</v>
      </c>
      <c r="G78" s="64">
        <v>63.31</v>
      </c>
      <c r="H78" s="64">
        <v>20.92</v>
      </c>
      <c r="I78" s="64">
        <v>3.96</v>
      </c>
      <c r="J78" s="64">
        <v>1.1000000000000001</v>
      </c>
      <c r="K78" s="64">
        <v>12.99</v>
      </c>
      <c r="L78" s="64">
        <v>34.92</v>
      </c>
      <c r="M78" s="64">
        <v>17.62</v>
      </c>
      <c r="N78" s="64">
        <v>113.5</v>
      </c>
      <c r="O78" s="64">
        <v>0</v>
      </c>
      <c r="P78" s="64">
        <v>0.82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1468</v>
      </c>
      <c r="B79" s="64">
        <v>3.98</v>
      </c>
      <c r="C79" s="64">
        <v>55.1</v>
      </c>
      <c r="D79" s="64">
        <v>99.37</v>
      </c>
      <c r="E79" s="64">
        <v>10.99</v>
      </c>
      <c r="F79" s="64">
        <v>12.23</v>
      </c>
      <c r="G79" s="64">
        <v>71.19</v>
      </c>
      <c r="H79" s="64">
        <v>21.45</v>
      </c>
      <c r="I79" s="64">
        <v>4.1100000000000003</v>
      </c>
      <c r="J79" s="64">
        <v>2.58</v>
      </c>
      <c r="K79" s="64">
        <v>4.1900000000000004</v>
      </c>
      <c r="L79" s="64">
        <v>32.21</v>
      </c>
      <c r="M79" s="64">
        <v>25</v>
      </c>
      <c r="N79" s="64">
        <v>76.3</v>
      </c>
      <c r="O79" s="64">
        <v>0</v>
      </c>
      <c r="P79" s="64">
        <v>0.71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1469</v>
      </c>
      <c r="B80" s="64">
        <v>4.8</v>
      </c>
      <c r="C80" s="64">
        <v>52.71</v>
      </c>
      <c r="D80" s="64">
        <v>93.52</v>
      </c>
      <c r="E80" s="64">
        <v>11.55</v>
      </c>
      <c r="F80" s="64">
        <v>12.58</v>
      </c>
      <c r="G80" s="64">
        <v>79.81</v>
      </c>
      <c r="H80" s="64">
        <v>22.01</v>
      </c>
      <c r="I80" s="64">
        <v>3.97</v>
      </c>
      <c r="J80" s="64">
        <v>2.09</v>
      </c>
      <c r="K80" s="64">
        <v>358.37</v>
      </c>
      <c r="L80" s="64">
        <v>30.81</v>
      </c>
      <c r="M80" s="64">
        <v>26.99</v>
      </c>
      <c r="N80" s="64">
        <v>58.3</v>
      </c>
      <c r="O80" s="64">
        <v>0</v>
      </c>
      <c r="P80" s="64">
        <v>0.69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1470</v>
      </c>
      <c r="B81" s="64">
        <v>4.08</v>
      </c>
      <c r="C81" s="64">
        <v>52.93</v>
      </c>
      <c r="D81" s="64">
        <v>95.05</v>
      </c>
      <c r="E81" s="64">
        <v>6.67</v>
      </c>
      <c r="F81" s="64">
        <v>13.24</v>
      </c>
      <c r="G81" s="64">
        <v>79.81</v>
      </c>
      <c r="H81" s="64">
        <v>22.01</v>
      </c>
      <c r="I81" s="64">
        <v>4.01</v>
      </c>
      <c r="J81" s="64">
        <v>2.63</v>
      </c>
      <c r="K81" s="64">
        <v>358.09</v>
      </c>
      <c r="L81" s="64">
        <v>30.26</v>
      </c>
      <c r="M81" s="64">
        <v>27.97</v>
      </c>
      <c r="N81" s="64">
        <v>50</v>
      </c>
      <c r="O81" s="64">
        <v>0</v>
      </c>
      <c r="P81" s="64">
        <v>0.67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1471</v>
      </c>
      <c r="B82" s="64">
        <v>4.91</v>
      </c>
      <c r="C82" s="64">
        <v>54.88</v>
      </c>
      <c r="D82" s="64">
        <v>97.5</v>
      </c>
      <c r="E82" s="64">
        <v>7</v>
      </c>
      <c r="F82" s="64">
        <v>8.23</v>
      </c>
      <c r="G82" s="64">
        <v>79.81</v>
      </c>
      <c r="H82" s="64">
        <v>22.01</v>
      </c>
      <c r="I82" s="64">
        <v>3.85</v>
      </c>
      <c r="J82" s="64">
        <v>3.89</v>
      </c>
      <c r="K82" s="64">
        <v>357.92</v>
      </c>
      <c r="L82" s="64">
        <v>29.83</v>
      </c>
      <c r="M82" s="64">
        <v>29.45</v>
      </c>
      <c r="N82" s="64">
        <v>48.1</v>
      </c>
      <c r="O82" s="64">
        <v>0</v>
      </c>
      <c r="P82" s="64">
        <v>0.7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1472</v>
      </c>
      <c r="B83" s="64">
        <v>2.62</v>
      </c>
      <c r="C83" s="64">
        <v>50.72</v>
      </c>
      <c r="D83" s="64">
        <v>93.06</v>
      </c>
      <c r="E83" s="64">
        <v>4.33</v>
      </c>
      <c r="F83" s="64">
        <v>8.77</v>
      </c>
      <c r="G83" s="64">
        <v>123.17</v>
      </c>
      <c r="H83" s="64">
        <v>23.36</v>
      </c>
      <c r="I83" s="64">
        <v>4.24</v>
      </c>
      <c r="J83" s="64">
        <v>4.8899999999999997</v>
      </c>
      <c r="K83" s="64">
        <v>352.03</v>
      </c>
      <c r="L83" s="64">
        <v>28.65</v>
      </c>
      <c r="M83" s="64">
        <v>32.340000000000003</v>
      </c>
      <c r="N83" s="64">
        <v>48.3</v>
      </c>
      <c r="O83" s="64">
        <v>0</v>
      </c>
      <c r="P83" s="64">
        <v>0.64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1473</v>
      </c>
      <c r="B84" s="64">
        <v>1.65</v>
      </c>
      <c r="C84" s="64">
        <v>48.45</v>
      </c>
      <c r="D84" s="64">
        <v>90.21</v>
      </c>
      <c r="E84" s="64">
        <v>4.12</v>
      </c>
      <c r="F84" s="64">
        <v>9.98</v>
      </c>
      <c r="G84" s="64">
        <v>170.57</v>
      </c>
      <c r="H84" s="64">
        <v>24.77</v>
      </c>
      <c r="I84" s="64">
        <v>4.0599999999999996</v>
      </c>
      <c r="J84" s="64">
        <v>4.62</v>
      </c>
      <c r="K84" s="64">
        <v>359.52</v>
      </c>
      <c r="L84" s="64">
        <v>28.06</v>
      </c>
      <c r="M84" s="64">
        <v>33.04</v>
      </c>
      <c r="N84" s="64">
        <v>47.4</v>
      </c>
      <c r="O84" s="64">
        <v>0</v>
      </c>
      <c r="P84" s="64">
        <v>0.59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1474</v>
      </c>
      <c r="B85" s="64">
        <v>1.21</v>
      </c>
      <c r="C85" s="64">
        <v>44.85</v>
      </c>
      <c r="D85" s="64">
        <v>83.98</v>
      </c>
      <c r="E85" s="64">
        <v>4.28</v>
      </c>
      <c r="F85" s="64">
        <v>10.78</v>
      </c>
      <c r="G85" s="64">
        <v>170.57</v>
      </c>
      <c r="H85" s="64">
        <v>24.77</v>
      </c>
      <c r="I85" s="64">
        <v>4.1900000000000004</v>
      </c>
      <c r="J85" s="64">
        <v>3.25</v>
      </c>
      <c r="K85" s="64">
        <v>354.96</v>
      </c>
      <c r="L85" s="64">
        <v>27.73</v>
      </c>
      <c r="M85" s="64">
        <v>33.49</v>
      </c>
      <c r="N85" s="64">
        <v>46.8</v>
      </c>
      <c r="O85" s="64">
        <v>0</v>
      </c>
      <c r="P85" s="64">
        <v>0.52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1475</v>
      </c>
      <c r="B86" s="64">
        <v>3.31</v>
      </c>
      <c r="C86" s="64">
        <v>46.4</v>
      </c>
      <c r="D86" s="64">
        <v>83.72</v>
      </c>
      <c r="E86" s="64">
        <v>6.89</v>
      </c>
      <c r="F86" s="64">
        <v>10.32</v>
      </c>
      <c r="G86" s="64">
        <v>170.57</v>
      </c>
      <c r="H86" s="64">
        <v>24.77</v>
      </c>
      <c r="I86" s="64">
        <v>3.94</v>
      </c>
      <c r="J86" s="64">
        <v>2.35</v>
      </c>
      <c r="K86" s="64">
        <v>357.91</v>
      </c>
      <c r="L86" s="64">
        <v>27.68</v>
      </c>
      <c r="M86" s="64">
        <v>33.729999999999997</v>
      </c>
      <c r="N86" s="64">
        <v>46.6</v>
      </c>
      <c r="O86" s="64">
        <v>0</v>
      </c>
      <c r="P86" s="64">
        <v>0.53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1476</v>
      </c>
      <c r="B87" s="64">
        <v>2.97</v>
      </c>
      <c r="C87" s="64">
        <v>48.77</v>
      </c>
      <c r="D87" s="64">
        <v>88.8</v>
      </c>
      <c r="E87" s="64">
        <v>6.13</v>
      </c>
      <c r="F87" s="64">
        <v>9.34</v>
      </c>
      <c r="G87" s="64">
        <v>168.39</v>
      </c>
      <c r="H87" s="64">
        <v>24.26</v>
      </c>
      <c r="I87" s="64">
        <v>4.0199999999999996</v>
      </c>
      <c r="J87" s="64">
        <v>1.52</v>
      </c>
      <c r="K87" s="64">
        <v>359.18</v>
      </c>
      <c r="L87" s="64">
        <v>27.45</v>
      </c>
      <c r="M87" s="64">
        <v>34.369999999999997</v>
      </c>
      <c r="N87" s="64">
        <v>46.6</v>
      </c>
      <c r="O87" s="64">
        <v>0</v>
      </c>
      <c r="P87" s="64">
        <v>0.55000000000000004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1477</v>
      </c>
      <c r="B88" s="64">
        <v>2.08</v>
      </c>
      <c r="C88" s="64">
        <v>49.35</v>
      </c>
      <c r="D88" s="64">
        <v>91.26</v>
      </c>
      <c r="E88" s="64">
        <v>6.86</v>
      </c>
      <c r="F88" s="64">
        <v>8.07</v>
      </c>
      <c r="G88" s="64">
        <v>166.01</v>
      </c>
      <c r="H88" s="64">
        <v>23.73</v>
      </c>
      <c r="I88" s="64">
        <v>3.97</v>
      </c>
      <c r="J88" s="64">
        <v>0.71</v>
      </c>
      <c r="K88" s="64">
        <v>30.63</v>
      </c>
      <c r="L88" s="64">
        <v>27.31</v>
      </c>
      <c r="M88" s="64">
        <v>34.94</v>
      </c>
      <c r="N88" s="64">
        <v>46.5</v>
      </c>
      <c r="O88" s="64">
        <v>0</v>
      </c>
      <c r="P88" s="64">
        <v>0.57999999999999996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1478</v>
      </c>
      <c r="B89" s="64">
        <v>2.5499999999999998</v>
      </c>
      <c r="C89" s="64">
        <v>49.9</v>
      </c>
      <c r="D89" s="64">
        <v>91.6</v>
      </c>
      <c r="E89" s="64">
        <v>6.09</v>
      </c>
      <c r="F89" s="64">
        <v>11.21</v>
      </c>
      <c r="G89" s="64">
        <v>166.01</v>
      </c>
      <c r="H89" s="64">
        <v>23.73</v>
      </c>
      <c r="I89" s="64">
        <v>3.98</v>
      </c>
      <c r="J89" s="64">
        <v>0.52</v>
      </c>
      <c r="K89" s="64">
        <v>16.3</v>
      </c>
      <c r="L89" s="64">
        <v>27.16</v>
      </c>
      <c r="M89" s="64">
        <v>35.33</v>
      </c>
      <c r="N89" s="64">
        <v>46.3</v>
      </c>
      <c r="O89" s="64">
        <v>0</v>
      </c>
      <c r="P89" s="64">
        <v>0.56000000000000005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1479</v>
      </c>
      <c r="B90" s="64">
        <v>1.8</v>
      </c>
      <c r="C90" s="64">
        <v>45.71</v>
      </c>
      <c r="D90" s="64">
        <v>84.72</v>
      </c>
      <c r="E90" s="64">
        <v>5.08</v>
      </c>
      <c r="F90" s="64">
        <v>10.02</v>
      </c>
      <c r="G90" s="64">
        <v>166.01</v>
      </c>
      <c r="H90" s="64">
        <v>23.73</v>
      </c>
      <c r="I90" s="64">
        <v>4.0999999999999996</v>
      </c>
      <c r="J90" s="64">
        <v>0.78</v>
      </c>
      <c r="K90" s="64">
        <v>84.35</v>
      </c>
      <c r="L90" s="64">
        <v>26.88</v>
      </c>
      <c r="M90" s="64">
        <v>36.229999999999997</v>
      </c>
      <c r="N90" s="64">
        <v>46.3</v>
      </c>
      <c r="O90" s="64">
        <v>0</v>
      </c>
      <c r="P90" s="64">
        <v>0.56999999999999995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1480</v>
      </c>
      <c r="B91" s="64">
        <v>3.6</v>
      </c>
      <c r="C91" s="64">
        <v>51.66</v>
      </c>
      <c r="D91" s="64">
        <v>93.34</v>
      </c>
      <c r="E91" s="64">
        <v>6.01</v>
      </c>
      <c r="F91" s="64">
        <v>10.75</v>
      </c>
      <c r="G91" s="64">
        <v>110.26</v>
      </c>
      <c r="H91" s="64">
        <v>22.08</v>
      </c>
      <c r="I91" s="64">
        <v>3.95</v>
      </c>
      <c r="J91" s="64">
        <v>0.89</v>
      </c>
      <c r="K91" s="64">
        <v>100.5</v>
      </c>
      <c r="L91" s="64">
        <v>26.64</v>
      </c>
      <c r="M91" s="64">
        <v>36.799999999999997</v>
      </c>
      <c r="N91" s="64">
        <v>45.9</v>
      </c>
      <c r="O91" s="64">
        <v>0</v>
      </c>
      <c r="P91" s="64">
        <v>0.59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1481</v>
      </c>
      <c r="B92" s="64">
        <v>3.59</v>
      </c>
      <c r="C92" s="64">
        <v>47.14</v>
      </c>
      <c r="D92" s="64">
        <v>84.7</v>
      </c>
      <c r="E92" s="64">
        <v>4.82</v>
      </c>
      <c r="F92" s="64">
        <v>10.35</v>
      </c>
      <c r="G92" s="64">
        <v>49.33</v>
      </c>
      <c r="H92" s="64">
        <v>20.36</v>
      </c>
      <c r="I92" s="64">
        <v>4.0199999999999996</v>
      </c>
      <c r="J92" s="64">
        <v>1.34</v>
      </c>
      <c r="K92" s="64">
        <v>104.62</v>
      </c>
      <c r="L92" s="64">
        <v>26.75</v>
      </c>
      <c r="M92" s="64">
        <v>36.67</v>
      </c>
      <c r="N92" s="64">
        <v>45.8</v>
      </c>
      <c r="O92" s="64">
        <v>0</v>
      </c>
      <c r="P92" s="64">
        <v>0.54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1482</v>
      </c>
      <c r="B93" s="64">
        <v>2.8</v>
      </c>
      <c r="C93" s="64">
        <v>52.34</v>
      </c>
      <c r="D93" s="64">
        <v>95.89</v>
      </c>
      <c r="E93" s="64">
        <v>4.4400000000000004</v>
      </c>
      <c r="F93" s="64">
        <v>8.0399999999999991</v>
      </c>
      <c r="G93" s="64">
        <v>49.33</v>
      </c>
      <c r="H93" s="64">
        <v>20.36</v>
      </c>
      <c r="I93" s="64">
        <v>3.98</v>
      </c>
      <c r="J93" s="64">
        <v>0.83</v>
      </c>
      <c r="K93" s="64">
        <v>125.4</v>
      </c>
      <c r="L93" s="64">
        <v>26.85</v>
      </c>
      <c r="M93" s="64">
        <v>35.96</v>
      </c>
      <c r="N93" s="64">
        <v>45.9</v>
      </c>
      <c r="O93" s="64">
        <v>0</v>
      </c>
      <c r="P93" s="64">
        <v>0.53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1483</v>
      </c>
      <c r="B94" s="64">
        <v>3.33</v>
      </c>
      <c r="C94" s="64">
        <v>52.2</v>
      </c>
      <c r="D94" s="64">
        <v>94.8</v>
      </c>
      <c r="E94" s="64">
        <v>4.12</v>
      </c>
      <c r="F94" s="64">
        <v>9.1</v>
      </c>
      <c r="G94" s="64">
        <v>49.33</v>
      </c>
      <c r="H94" s="64">
        <v>20.36</v>
      </c>
      <c r="I94" s="64">
        <v>3.9</v>
      </c>
      <c r="J94" s="64">
        <v>0.45</v>
      </c>
      <c r="K94" s="64">
        <v>156.34</v>
      </c>
      <c r="L94" s="64">
        <v>26.79</v>
      </c>
      <c r="M94" s="64">
        <v>36.07</v>
      </c>
      <c r="N94" s="64">
        <v>46.4</v>
      </c>
      <c r="O94" s="64">
        <v>0</v>
      </c>
      <c r="P94" s="64">
        <v>0.52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1484</v>
      </c>
      <c r="B95" s="64">
        <v>6.41</v>
      </c>
      <c r="C95" s="64">
        <v>54.88</v>
      </c>
      <c r="D95" s="64">
        <v>95.22</v>
      </c>
      <c r="E95" s="64">
        <v>5.61</v>
      </c>
      <c r="F95" s="64">
        <v>9.5299999999999994</v>
      </c>
      <c r="G95" s="64">
        <v>46.25</v>
      </c>
      <c r="H95" s="64">
        <v>18.170000000000002</v>
      </c>
      <c r="I95" s="64">
        <v>3.98</v>
      </c>
      <c r="J95" s="64">
        <v>0.61</v>
      </c>
      <c r="K95" s="64">
        <v>313.76</v>
      </c>
      <c r="L95" s="64">
        <v>26.54</v>
      </c>
      <c r="M95" s="64">
        <v>38.92</v>
      </c>
      <c r="N95" s="64">
        <v>46.9</v>
      </c>
      <c r="O95" s="64">
        <v>0</v>
      </c>
      <c r="P95" s="64">
        <v>0.55000000000000004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1485</v>
      </c>
      <c r="B96" s="64">
        <v>5.65</v>
      </c>
      <c r="C96" s="64">
        <v>55.53</v>
      </c>
      <c r="D96" s="64">
        <v>97.61</v>
      </c>
      <c r="E96" s="64">
        <v>5.45</v>
      </c>
      <c r="F96" s="64">
        <v>10.16</v>
      </c>
      <c r="G96" s="64">
        <v>42.88</v>
      </c>
      <c r="H96" s="64">
        <v>15.88</v>
      </c>
      <c r="I96" s="64">
        <v>4.12</v>
      </c>
      <c r="J96" s="64">
        <v>0.26</v>
      </c>
      <c r="K96" s="64">
        <v>332.27</v>
      </c>
      <c r="L96" s="64">
        <v>26.07</v>
      </c>
      <c r="M96" s="64">
        <v>38.840000000000003</v>
      </c>
      <c r="N96" s="64">
        <v>46.2</v>
      </c>
      <c r="O96" s="64">
        <v>0</v>
      </c>
      <c r="P96" s="64">
        <v>0.59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1486</v>
      </c>
      <c r="B97" s="64">
        <v>14.91</v>
      </c>
      <c r="C97" s="64">
        <v>62.56</v>
      </c>
      <c r="D97" s="64">
        <v>96.86</v>
      </c>
      <c r="E97" s="64">
        <v>6.02</v>
      </c>
      <c r="F97" s="64">
        <v>10.039999999999999</v>
      </c>
      <c r="G97" s="64">
        <v>42.88</v>
      </c>
      <c r="H97" s="64">
        <v>15.88</v>
      </c>
      <c r="I97" s="64">
        <v>3.98</v>
      </c>
      <c r="J97" s="64">
        <v>0.79</v>
      </c>
      <c r="K97" s="64">
        <v>319.64999999999998</v>
      </c>
      <c r="L97" s="64">
        <v>25.76</v>
      </c>
      <c r="M97" s="64">
        <v>41.48</v>
      </c>
      <c r="N97" s="64">
        <v>46.9</v>
      </c>
      <c r="O97" s="64">
        <v>0</v>
      </c>
      <c r="P97" s="64">
        <v>0.74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1487</v>
      </c>
      <c r="B98" s="64">
        <v>9.5</v>
      </c>
      <c r="C98" s="64">
        <v>51.59</v>
      </c>
      <c r="D98" s="64">
        <v>84.17</v>
      </c>
      <c r="E98" s="64">
        <v>6.14</v>
      </c>
      <c r="F98" s="64">
        <v>11.91</v>
      </c>
      <c r="G98" s="64">
        <v>42.88</v>
      </c>
      <c r="H98" s="64">
        <v>15.88</v>
      </c>
      <c r="I98" s="64">
        <v>3.94</v>
      </c>
      <c r="J98" s="64">
        <v>0.56000000000000005</v>
      </c>
      <c r="K98" s="64">
        <v>293.38</v>
      </c>
      <c r="L98" s="64">
        <v>25.76</v>
      </c>
      <c r="M98" s="64">
        <v>41.1</v>
      </c>
      <c r="N98" s="64">
        <v>46.5</v>
      </c>
      <c r="O98" s="64">
        <v>0</v>
      </c>
      <c r="P98" s="64">
        <v>0.56999999999999995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1488</v>
      </c>
      <c r="B99" s="64">
        <v>15.93</v>
      </c>
      <c r="C99" s="64">
        <v>57.44</v>
      </c>
      <c r="D99" s="64">
        <v>85.48</v>
      </c>
      <c r="E99" s="64">
        <v>8.66</v>
      </c>
      <c r="F99" s="64">
        <v>12.22</v>
      </c>
      <c r="G99" s="64">
        <v>48.86</v>
      </c>
      <c r="H99" s="64">
        <v>15.57</v>
      </c>
      <c r="I99" s="64">
        <v>3.89</v>
      </c>
      <c r="J99" s="64">
        <v>0.66</v>
      </c>
      <c r="K99" s="64">
        <v>320.39999999999998</v>
      </c>
      <c r="L99" s="64">
        <v>25.33</v>
      </c>
      <c r="M99" s="64">
        <v>43.64</v>
      </c>
      <c r="N99" s="64">
        <v>46.7</v>
      </c>
      <c r="O99" s="64">
        <v>0</v>
      </c>
      <c r="P99" s="64">
        <v>0.63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1489</v>
      </c>
      <c r="B100" s="64">
        <v>16.7</v>
      </c>
      <c r="C100" s="64">
        <v>62.25</v>
      </c>
      <c r="D100" s="64">
        <v>93.51</v>
      </c>
      <c r="E100" s="64">
        <v>16.309999999999999</v>
      </c>
      <c r="F100" s="64">
        <v>12.34</v>
      </c>
      <c r="G100" s="64">
        <v>55.11</v>
      </c>
      <c r="H100" s="64">
        <v>15.24</v>
      </c>
      <c r="I100" s="64">
        <v>3.95</v>
      </c>
      <c r="J100" s="64">
        <v>0.35</v>
      </c>
      <c r="K100" s="64">
        <v>142.91</v>
      </c>
      <c r="L100" s="64">
        <v>25.09</v>
      </c>
      <c r="M100" s="64">
        <v>43.35</v>
      </c>
      <c r="N100" s="64">
        <v>46.5</v>
      </c>
      <c r="O100" s="64">
        <v>0</v>
      </c>
      <c r="P100" s="64">
        <v>0.68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1490</v>
      </c>
      <c r="B101" s="64">
        <v>26.41</v>
      </c>
      <c r="C101" s="64">
        <v>77.2</v>
      </c>
      <c r="D101" s="64">
        <v>107.23</v>
      </c>
      <c r="E101" s="64">
        <v>17.3</v>
      </c>
      <c r="F101" s="64">
        <v>9.75</v>
      </c>
      <c r="G101" s="64">
        <v>55.11</v>
      </c>
      <c r="H101" s="64">
        <v>15.24</v>
      </c>
      <c r="I101" s="64">
        <v>3.97</v>
      </c>
      <c r="J101" s="64">
        <v>0.52</v>
      </c>
      <c r="K101" s="64">
        <v>193.26</v>
      </c>
      <c r="L101" s="64">
        <v>25.27</v>
      </c>
      <c r="M101" s="64">
        <v>43.48</v>
      </c>
      <c r="N101" s="64">
        <v>46.2</v>
      </c>
      <c r="O101" s="64">
        <v>0</v>
      </c>
      <c r="P101" s="64">
        <v>0.61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1491</v>
      </c>
      <c r="B102" s="64">
        <v>5.67</v>
      </c>
      <c r="C102" s="64">
        <v>49.38</v>
      </c>
      <c r="D102" s="64">
        <v>85.81</v>
      </c>
      <c r="E102" s="64">
        <v>15.95</v>
      </c>
      <c r="F102" s="64">
        <v>12.75</v>
      </c>
      <c r="G102" s="64">
        <v>55.11</v>
      </c>
      <c r="H102" s="64">
        <v>15.24</v>
      </c>
      <c r="I102" s="64">
        <v>4.1399999999999997</v>
      </c>
      <c r="J102" s="64">
        <v>0.59</v>
      </c>
      <c r="K102" s="64">
        <v>203.27</v>
      </c>
      <c r="L102" s="64">
        <v>25.48</v>
      </c>
      <c r="M102" s="64">
        <v>41.58</v>
      </c>
      <c r="N102" s="64">
        <v>46</v>
      </c>
      <c r="O102" s="64">
        <v>0</v>
      </c>
      <c r="P102" s="64">
        <v>0.54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1492</v>
      </c>
      <c r="B103" s="64">
        <v>4</v>
      </c>
      <c r="C103" s="64">
        <v>46.01</v>
      </c>
      <c r="D103" s="64">
        <v>81.93</v>
      </c>
      <c r="E103" s="64">
        <v>14.63</v>
      </c>
      <c r="F103" s="64">
        <v>12.12</v>
      </c>
      <c r="G103" s="64">
        <v>60.43</v>
      </c>
      <c r="H103" s="64">
        <v>17.3</v>
      </c>
      <c r="I103" s="64">
        <v>3.93</v>
      </c>
      <c r="J103" s="64">
        <v>0.64</v>
      </c>
      <c r="K103" s="64">
        <v>201.16</v>
      </c>
      <c r="L103" s="64">
        <v>25.42</v>
      </c>
      <c r="M103" s="64">
        <v>42.34</v>
      </c>
      <c r="N103" s="64">
        <v>46.2</v>
      </c>
      <c r="O103" s="64">
        <v>0</v>
      </c>
      <c r="P103" s="64">
        <v>0.49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1493</v>
      </c>
      <c r="B104" s="64">
        <v>5.62</v>
      </c>
      <c r="C104" s="64">
        <v>45.36</v>
      </c>
      <c r="D104" s="64">
        <v>78.2</v>
      </c>
      <c r="E104" s="64">
        <v>5.46</v>
      </c>
      <c r="F104" s="64">
        <v>10.29</v>
      </c>
      <c r="G104" s="64">
        <v>65.989999999999995</v>
      </c>
      <c r="H104" s="64">
        <v>19.45</v>
      </c>
      <c r="I104" s="64">
        <v>3.9</v>
      </c>
      <c r="J104" s="64">
        <v>0.95</v>
      </c>
      <c r="K104" s="64">
        <v>166.41</v>
      </c>
      <c r="L104" s="64">
        <v>25.2</v>
      </c>
      <c r="M104" s="64">
        <v>43.47</v>
      </c>
      <c r="N104" s="64">
        <v>46.2</v>
      </c>
      <c r="O104" s="64">
        <v>0</v>
      </c>
      <c r="P104" s="64">
        <v>0.51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0.53</v>
      </c>
      <c r="C106" s="67">
        <f>MIN(C9:C104)</f>
        <v>35.28</v>
      </c>
      <c r="D106" s="67">
        <f t="shared" ref="D106:Q106" si="0">MIN(D9:D104)</f>
        <v>64.540000000000006</v>
      </c>
      <c r="E106" s="67">
        <f t="shared" si="0"/>
        <v>2.69</v>
      </c>
      <c r="F106" s="67">
        <f t="shared" si="0"/>
        <v>6.65</v>
      </c>
      <c r="G106" s="67">
        <f t="shared" si="0"/>
        <v>42.88</v>
      </c>
      <c r="H106" s="67">
        <f t="shared" si="0"/>
        <v>10.48</v>
      </c>
      <c r="I106" s="67">
        <f t="shared" si="0"/>
        <v>3.83</v>
      </c>
      <c r="J106" s="67">
        <f t="shared" si="0"/>
        <v>0.16</v>
      </c>
      <c r="K106" s="67">
        <f t="shared" si="0"/>
        <v>3.95</v>
      </c>
      <c r="L106" s="67">
        <f t="shared" si="0"/>
        <v>23.09</v>
      </c>
      <c r="M106" s="67">
        <f t="shared" si="0"/>
        <v>13.8</v>
      </c>
      <c r="N106" s="67">
        <f t="shared" si="0"/>
        <v>45.8</v>
      </c>
      <c r="O106" s="67">
        <f t="shared" si="0"/>
        <v>0</v>
      </c>
      <c r="P106" s="67">
        <f t="shared" si="0"/>
        <v>0.45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40.46</v>
      </c>
      <c r="C107" s="66">
        <f t="shared" ref="C107:Q107" si="1">MAX(C9:C104)</f>
        <v>87.11</v>
      </c>
      <c r="D107" s="66">
        <f t="shared" si="1"/>
        <v>121.8</v>
      </c>
      <c r="E107" s="66">
        <f t="shared" si="1"/>
        <v>28.26</v>
      </c>
      <c r="F107" s="66">
        <f t="shared" si="1"/>
        <v>35</v>
      </c>
      <c r="G107" s="66">
        <f t="shared" si="1"/>
        <v>170.57</v>
      </c>
      <c r="H107" s="66">
        <f t="shared" si="1"/>
        <v>24.77</v>
      </c>
      <c r="I107" s="66">
        <f t="shared" si="1"/>
        <v>4.26</v>
      </c>
      <c r="J107" s="66">
        <f t="shared" si="1"/>
        <v>4.8899999999999997</v>
      </c>
      <c r="K107" s="66">
        <f t="shared" si="1"/>
        <v>359.52</v>
      </c>
      <c r="L107" s="66">
        <f t="shared" si="1"/>
        <v>40</v>
      </c>
      <c r="M107" s="66">
        <f t="shared" si="1"/>
        <v>50.86</v>
      </c>
      <c r="N107" s="66">
        <f t="shared" si="1"/>
        <v>917.7</v>
      </c>
      <c r="O107" s="66">
        <f t="shared" si="1"/>
        <v>0</v>
      </c>
      <c r="P107" s="66">
        <f t="shared" si="1"/>
        <v>0.96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10.783645833333329</v>
      </c>
      <c r="C108" s="67">
        <f t="shared" ref="C108:Q108" si="2">AVERAGE(C9:C104)</f>
        <v>55.164687499999992</v>
      </c>
      <c r="D108" s="67">
        <f t="shared" si="2"/>
        <v>89.033437500000034</v>
      </c>
      <c r="E108" s="67">
        <f t="shared" si="2"/>
        <v>8.9790624999999995</v>
      </c>
      <c r="F108" s="67">
        <f t="shared" si="2"/>
        <v>13.916145833333326</v>
      </c>
      <c r="G108" s="67">
        <f t="shared" si="2"/>
        <v>70.77624999999999</v>
      </c>
      <c r="H108" s="67">
        <f t="shared" si="2"/>
        <v>18.496145833333333</v>
      </c>
      <c r="I108" s="67">
        <f t="shared" si="2"/>
        <v>4.0138541666666674</v>
      </c>
      <c r="J108" s="67">
        <f t="shared" si="2"/>
        <v>0.95229166666666654</v>
      </c>
      <c r="K108" s="67">
        <f t="shared" si="2"/>
        <v>224.37687500000004</v>
      </c>
      <c r="L108" s="67">
        <f t="shared" si="2"/>
        <v>30.416354166666668</v>
      </c>
      <c r="M108" s="67">
        <f t="shared" si="2"/>
        <v>30.445624999999996</v>
      </c>
      <c r="N108" s="67">
        <f t="shared" si="2"/>
        <v>263.2156250000001</v>
      </c>
      <c r="O108" s="67">
        <f t="shared" si="2"/>
        <v>0</v>
      </c>
      <c r="P108" s="67">
        <f t="shared" si="2"/>
        <v>0.65041666666666687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8.53669369249954</v>
      </c>
      <c r="C109" s="67">
        <f t="shared" ref="C109:Q109" si="3">STDEV(C9:C104)</f>
        <v>9.4587966245990227</v>
      </c>
      <c r="D109" s="67">
        <f t="shared" si="3"/>
        <v>10.645880134994883</v>
      </c>
      <c r="E109" s="67">
        <f t="shared" si="3"/>
        <v>7.0499669395454756</v>
      </c>
      <c r="F109" s="67">
        <f t="shared" si="3"/>
        <v>6.8706439397577546</v>
      </c>
      <c r="G109" s="67">
        <f t="shared" si="3"/>
        <v>30.034332679013982</v>
      </c>
      <c r="H109" s="67">
        <f t="shared" si="3"/>
        <v>3.6533287977986109</v>
      </c>
      <c r="I109" s="67">
        <f t="shared" si="3"/>
        <v>8.4882206822677039E-2</v>
      </c>
      <c r="J109" s="67">
        <f t="shared" si="3"/>
        <v>0.85331363909565305</v>
      </c>
      <c r="K109" s="67">
        <f t="shared" si="3"/>
        <v>109.87623131038696</v>
      </c>
      <c r="L109" s="67">
        <f t="shared" si="3"/>
        <v>5.3956733387510383</v>
      </c>
      <c r="M109" s="67">
        <f t="shared" si="3"/>
        <v>10.612966430144253</v>
      </c>
      <c r="N109" s="67">
        <f t="shared" si="3"/>
        <v>299.25836129659103</v>
      </c>
      <c r="O109" s="67">
        <f t="shared" si="3"/>
        <v>0</v>
      </c>
      <c r="P109" s="67">
        <f t="shared" si="3"/>
        <v>0.10551045512341942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</f>
        <v>105</v>
      </c>
      <c r="I110" s="66">
        <f>COUNT(I9:I104)+7</f>
        <v>103</v>
      </c>
      <c r="J110" s="66">
        <f>COUNT(J9:J104)+7</f>
        <v>103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215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1494</v>
      </c>
      <c r="B9" s="64">
        <v>8.7799999999999994</v>
      </c>
      <c r="C9" s="64">
        <v>52.46</v>
      </c>
      <c r="D9" s="64">
        <v>86.93</v>
      </c>
      <c r="E9" s="64">
        <v>3.48</v>
      </c>
      <c r="F9" s="64">
        <v>7.35</v>
      </c>
      <c r="G9" s="64">
        <v>65.989999999999995</v>
      </c>
      <c r="H9" s="64">
        <v>19.45</v>
      </c>
      <c r="I9" s="64">
        <v>4</v>
      </c>
      <c r="J9" s="64">
        <v>0.64</v>
      </c>
      <c r="K9" s="64">
        <v>183.91</v>
      </c>
      <c r="L9" s="64">
        <v>25.26</v>
      </c>
      <c r="M9" s="64">
        <v>42.92</v>
      </c>
      <c r="N9" s="64">
        <v>46.3</v>
      </c>
      <c r="O9" s="64">
        <v>0</v>
      </c>
      <c r="P9" s="64">
        <v>0.56999999999999995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1495</v>
      </c>
      <c r="B10" s="64">
        <v>7.12</v>
      </c>
      <c r="C10" s="64">
        <v>49.44</v>
      </c>
      <c r="D10" s="64">
        <v>83.7</v>
      </c>
      <c r="E10" s="64">
        <v>3.49</v>
      </c>
      <c r="F10" s="64">
        <v>7.56</v>
      </c>
      <c r="G10" s="64">
        <v>65.989999999999995</v>
      </c>
      <c r="H10" s="64">
        <v>19.45</v>
      </c>
      <c r="I10" s="64">
        <v>4.1500000000000004</v>
      </c>
      <c r="J10" s="64">
        <v>0.78</v>
      </c>
      <c r="K10" s="64">
        <v>210.22</v>
      </c>
      <c r="L10" s="64">
        <v>25.01</v>
      </c>
      <c r="M10" s="64">
        <v>43.32</v>
      </c>
      <c r="N10" s="64">
        <v>46.7</v>
      </c>
      <c r="O10" s="64">
        <v>0</v>
      </c>
      <c r="P10" s="64">
        <v>0.54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1496</v>
      </c>
      <c r="B11" s="64">
        <v>6.21</v>
      </c>
      <c r="C11" s="64">
        <v>48.16</v>
      </c>
      <c r="D11" s="64">
        <v>82.65</v>
      </c>
      <c r="E11" s="64">
        <v>3.3</v>
      </c>
      <c r="F11" s="64">
        <v>7.62</v>
      </c>
      <c r="G11" s="64">
        <v>66.44</v>
      </c>
      <c r="H11" s="64">
        <v>18.079999999999998</v>
      </c>
      <c r="I11" s="64">
        <v>3.96</v>
      </c>
      <c r="J11" s="64">
        <v>1.19</v>
      </c>
      <c r="K11" s="64">
        <v>161</v>
      </c>
      <c r="L11" s="64">
        <v>24.85</v>
      </c>
      <c r="M11" s="64">
        <v>44.6</v>
      </c>
      <c r="N11" s="64">
        <v>46.7</v>
      </c>
      <c r="O11" s="64">
        <v>0</v>
      </c>
      <c r="P11" s="64">
        <v>0.53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1497</v>
      </c>
      <c r="B12" s="64">
        <v>5.92</v>
      </c>
      <c r="C12" s="64">
        <v>48.62</v>
      </c>
      <c r="D12" s="64">
        <v>83.97</v>
      </c>
      <c r="E12" s="64">
        <v>2.99</v>
      </c>
      <c r="F12" s="64">
        <v>7.74</v>
      </c>
      <c r="G12" s="64">
        <v>66.91</v>
      </c>
      <c r="H12" s="64">
        <v>16.579999999999998</v>
      </c>
      <c r="I12" s="64">
        <v>4.08</v>
      </c>
      <c r="J12" s="64">
        <v>0.89</v>
      </c>
      <c r="K12" s="64">
        <v>178.11</v>
      </c>
      <c r="L12" s="64">
        <v>24.77</v>
      </c>
      <c r="M12" s="64">
        <v>44.19</v>
      </c>
      <c r="N12" s="64">
        <v>46.5</v>
      </c>
      <c r="O12" s="64">
        <v>0</v>
      </c>
      <c r="P12" s="64">
        <v>0.52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1498</v>
      </c>
      <c r="B13" s="64">
        <v>4.63</v>
      </c>
      <c r="C13" s="64">
        <v>45.9</v>
      </c>
      <c r="D13" s="64">
        <v>80.739999999999995</v>
      </c>
      <c r="E13" s="64">
        <v>2.61</v>
      </c>
      <c r="F13" s="64">
        <v>7.57</v>
      </c>
      <c r="G13" s="64">
        <v>66.91</v>
      </c>
      <c r="H13" s="64">
        <v>16.579999999999998</v>
      </c>
      <c r="I13" s="64">
        <v>4.04</v>
      </c>
      <c r="J13" s="64">
        <v>1.07</v>
      </c>
      <c r="K13" s="64">
        <v>172.3</v>
      </c>
      <c r="L13" s="64">
        <v>24.81</v>
      </c>
      <c r="M13" s="64">
        <v>43.63</v>
      </c>
      <c r="N13" s="64">
        <v>46.2</v>
      </c>
      <c r="O13" s="64">
        <v>0</v>
      </c>
      <c r="P13" s="64">
        <v>0.49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1499</v>
      </c>
      <c r="B14" s="64">
        <v>3.62</v>
      </c>
      <c r="C14" s="64">
        <v>44.11</v>
      </c>
      <c r="D14" s="64">
        <v>78.88</v>
      </c>
      <c r="E14" s="64">
        <v>2.4900000000000002</v>
      </c>
      <c r="F14" s="64">
        <v>8.06</v>
      </c>
      <c r="G14" s="64">
        <v>66.91</v>
      </c>
      <c r="H14" s="64">
        <v>16.579999999999998</v>
      </c>
      <c r="I14" s="64">
        <v>4.07</v>
      </c>
      <c r="J14" s="64">
        <v>0.59</v>
      </c>
      <c r="K14" s="64">
        <v>197.91</v>
      </c>
      <c r="L14" s="64">
        <v>24.74</v>
      </c>
      <c r="M14" s="64">
        <v>43.94</v>
      </c>
      <c r="N14" s="64">
        <v>46.4</v>
      </c>
      <c r="O14" s="64">
        <v>0</v>
      </c>
      <c r="P14" s="64">
        <v>0.47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1500</v>
      </c>
      <c r="B15" s="64">
        <v>2.92</v>
      </c>
      <c r="C15" s="64">
        <v>42.19</v>
      </c>
      <c r="D15" s="64">
        <v>76.27</v>
      </c>
      <c r="E15" s="64">
        <v>2.44</v>
      </c>
      <c r="F15" s="64">
        <v>7.51</v>
      </c>
      <c r="G15" s="64">
        <v>50.9</v>
      </c>
      <c r="H15" s="64">
        <v>14.66</v>
      </c>
      <c r="I15" s="64">
        <v>3.88</v>
      </c>
      <c r="J15" s="64">
        <v>0.79</v>
      </c>
      <c r="K15" s="64">
        <v>209.88</v>
      </c>
      <c r="L15" s="64">
        <v>24.48</v>
      </c>
      <c r="M15" s="64">
        <v>44.56</v>
      </c>
      <c r="N15" s="64">
        <v>46.4</v>
      </c>
      <c r="O15" s="64">
        <v>0</v>
      </c>
      <c r="P15" s="64">
        <v>0.46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1501</v>
      </c>
      <c r="B16" s="64">
        <v>3.51</v>
      </c>
      <c r="C16" s="64">
        <v>44.85</v>
      </c>
      <c r="D16" s="64">
        <v>80.44</v>
      </c>
      <c r="E16" s="64">
        <v>2.39</v>
      </c>
      <c r="F16" s="64">
        <v>7.34</v>
      </c>
      <c r="G16" s="64">
        <v>33.4</v>
      </c>
      <c r="H16" s="64">
        <v>12.57</v>
      </c>
      <c r="I16" s="64">
        <v>4.03</v>
      </c>
      <c r="J16" s="64">
        <v>0.49</v>
      </c>
      <c r="K16" s="64">
        <v>211.49</v>
      </c>
      <c r="L16" s="64">
        <v>24.26</v>
      </c>
      <c r="M16" s="64">
        <v>45.52</v>
      </c>
      <c r="N16" s="64">
        <v>46.5</v>
      </c>
      <c r="O16" s="64">
        <v>0</v>
      </c>
      <c r="P16" s="64">
        <v>0.47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1502</v>
      </c>
      <c r="B17" s="64">
        <v>3.39</v>
      </c>
      <c r="C17" s="64">
        <v>44.6</v>
      </c>
      <c r="D17" s="64">
        <v>80.150000000000006</v>
      </c>
      <c r="E17" s="64">
        <v>1.94</v>
      </c>
      <c r="F17" s="64">
        <v>7.44</v>
      </c>
      <c r="G17" s="64">
        <v>33.4</v>
      </c>
      <c r="H17" s="64">
        <v>12.57</v>
      </c>
      <c r="I17" s="64">
        <v>4.01</v>
      </c>
      <c r="J17" s="64">
        <v>0.46</v>
      </c>
      <c r="K17" s="64">
        <v>257.88</v>
      </c>
      <c r="L17" s="64">
        <v>23.95</v>
      </c>
      <c r="M17" s="64">
        <v>46.82</v>
      </c>
      <c r="N17" s="64">
        <v>46.7</v>
      </c>
      <c r="O17" s="64">
        <v>0</v>
      </c>
      <c r="P17" s="64">
        <v>0.46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1503</v>
      </c>
      <c r="B18" s="64">
        <v>2.83</v>
      </c>
      <c r="C18" s="64">
        <v>41.23</v>
      </c>
      <c r="D18" s="64">
        <v>74.58</v>
      </c>
      <c r="E18" s="64">
        <v>2.25</v>
      </c>
      <c r="F18" s="64">
        <v>10</v>
      </c>
      <c r="G18" s="64">
        <v>33.4</v>
      </c>
      <c r="H18" s="64">
        <v>12.57</v>
      </c>
      <c r="I18" s="64">
        <v>4</v>
      </c>
      <c r="J18" s="64">
        <v>0.48</v>
      </c>
      <c r="K18" s="64">
        <v>274.45</v>
      </c>
      <c r="L18" s="64">
        <v>23.66</v>
      </c>
      <c r="M18" s="64">
        <v>48.52</v>
      </c>
      <c r="N18" s="64">
        <v>46.6</v>
      </c>
      <c r="O18" s="64">
        <v>0</v>
      </c>
      <c r="P18" s="64">
        <v>0.39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1504</v>
      </c>
      <c r="B19" s="64">
        <v>2.02</v>
      </c>
      <c r="C19" s="64">
        <v>34.659999999999997</v>
      </c>
      <c r="D19" s="64">
        <v>63.25</v>
      </c>
      <c r="E19" s="64">
        <v>2.84</v>
      </c>
      <c r="F19" s="64">
        <v>10.68</v>
      </c>
      <c r="G19" s="64">
        <v>36.21</v>
      </c>
      <c r="H19" s="64">
        <v>12.51</v>
      </c>
      <c r="I19" s="64">
        <v>3.96</v>
      </c>
      <c r="J19" s="64">
        <v>0.83</v>
      </c>
      <c r="K19" s="64">
        <v>321.61</v>
      </c>
      <c r="L19" s="64">
        <v>23.41</v>
      </c>
      <c r="M19" s="64">
        <v>50.9</v>
      </c>
      <c r="N19" s="64">
        <v>46.7</v>
      </c>
      <c r="O19" s="64">
        <v>0</v>
      </c>
      <c r="P19" s="64">
        <v>0.39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1505</v>
      </c>
      <c r="B20" s="64">
        <v>3.51</v>
      </c>
      <c r="C20" s="64">
        <v>39.700000000000003</v>
      </c>
      <c r="D20" s="64">
        <v>70.59</v>
      </c>
      <c r="E20" s="64">
        <v>2.19</v>
      </c>
      <c r="F20" s="64">
        <v>7.1</v>
      </c>
      <c r="G20" s="64">
        <v>39.29</v>
      </c>
      <c r="H20" s="64">
        <v>12.44</v>
      </c>
      <c r="I20" s="64">
        <v>4.0999999999999996</v>
      </c>
      <c r="J20" s="64">
        <v>1.64</v>
      </c>
      <c r="K20" s="64">
        <v>323.17</v>
      </c>
      <c r="L20" s="64">
        <v>23.36</v>
      </c>
      <c r="M20" s="64">
        <v>49.37</v>
      </c>
      <c r="N20" s="64">
        <v>45.1</v>
      </c>
      <c r="O20" s="64">
        <v>0</v>
      </c>
      <c r="P20" s="64">
        <v>0.44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1506</v>
      </c>
      <c r="B21" s="64">
        <v>4.0599999999999996</v>
      </c>
      <c r="C21" s="64">
        <v>41.27</v>
      </c>
      <c r="D21" s="64">
        <v>72.760000000000005</v>
      </c>
      <c r="E21" s="64">
        <v>2.72</v>
      </c>
      <c r="F21" s="64">
        <v>7.58</v>
      </c>
      <c r="G21" s="64">
        <v>39.29</v>
      </c>
      <c r="H21" s="64">
        <v>12.44</v>
      </c>
      <c r="I21" s="64">
        <v>3.92</v>
      </c>
      <c r="J21" s="64">
        <v>1.61</v>
      </c>
      <c r="K21" s="64">
        <v>338.47</v>
      </c>
      <c r="L21" s="64">
        <v>24.03</v>
      </c>
      <c r="M21" s="64">
        <v>45.9</v>
      </c>
      <c r="N21" s="64">
        <v>46</v>
      </c>
      <c r="O21" s="64">
        <v>0</v>
      </c>
      <c r="P21" s="64">
        <v>0.45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1507</v>
      </c>
      <c r="B22" s="64">
        <v>4.74</v>
      </c>
      <c r="C22" s="64">
        <v>42.93</v>
      </c>
      <c r="D22" s="64">
        <v>74.900000000000006</v>
      </c>
      <c r="E22" s="64">
        <v>5.41</v>
      </c>
      <c r="F22" s="64">
        <v>9.14</v>
      </c>
      <c r="G22" s="64">
        <v>39.29</v>
      </c>
      <c r="H22" s="64">
        <v>12.44</v>
      </c>
      <c r="I22" s="64">
        <v>4.13</v>
      </c>
      <c r="J22" s="64">
        <v>1.49</v>
      </c>
      <c r="K22" s="64">
        <v>349.24</v>
      </c>
      <c r="L22" s="64">
        <v>23.99</v>
      </c>
      <c r="M22" s="64">
        <v>46.06</v>
      </c>
      <c r="N22" s="64">
        <v>46.5</v>
      </c>
      <c r="O22" s="64">
        <v>0</v>
      </c>
      <c r="P22" s="64">
        <v>0.47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1508</v>
      </c>
      <c r="B23" s="64">
        <v>3.96</v>
      </c>
      <c r="C23" s="64">
        <v>42.66</v>
      </c>
      <c r="D23" s="64">
        <v>75.569999999999993</v>
      </c>
      <c r="E23" s="64">
        <v>5.42</v>
      </c>
      <c r="F23" s="64">
        <v>9.48</v>
      </c>
      <c r="G23" s="64">
        <v>47.36</v>
      </c>
      <c r="H23" s="64">
        <v>12.53</v>
      </c>
      <c r="I23" s="64">
        <v>3.84</v>
      </c>
      <c r="J23" s="64">
        <v>1.21</v>
      </c>
      <c r="K23" s="64">
        <v>346.16</v>
      </c>
      <c r="L23" s="64">
        <v>23.91</v>
      </c>
      <c r="M23" s="64">
        <v>46.31</v>
      </c>
      <c r="N23" s="64">
        <v>46.7</v>
      </c>
      <c r="O23" s="64">
        <v>0</v>
      </c>
      <c r="P23" s="64">
        <v>0.46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1509</v>
      </c>
      <c r="B24" s="64">
        <v>3.82</v>
      </c>
      <c r="C24" s="64">
        <v>47.28</v>
      </c>
      <c r="D24" s="64">
        <v>84.63</v>
      </c>
      <c r="E24" s="64">
        <v>9.5500000000000007</v>
      </c>
      <c r="F24" s="64">
        <v>8.86</v>
      </c>
      <c r="G24" s="64">
        <v>56.17</v>
      </c>
      <c r="H24" s="64">
        <v>12.62</v>
      </c>
      <c r="I24" s="64">
        <v>3.84</v>
      </c>
      <c r="J24" s="64">
        <v>0.22</v>
      </c>
      <c r="K24" s="64">
        <v>126.95</v>
      </c>
      <c r="L24" s="64">
        <v>23.92</v>
      </c>
      <c r="M24" s="64">
        <v>46.56</v>
      </c>
      <c r="N24" s="64">
        <v>46.7</v>
      </c>
      <c r="O24" s="64">
        <v>0</v>
      </c>
      <c r="P24" s="64">
        <v>0.56000000000000005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1510</v>
      </c>
      <c r="B25" s="64">
        <v>5.22</v>
      </c>
      <c r="C25" s="64">
        <v>48.3</v>
      </c>
      <c r="D25" s="64">
        <v>84.43</v>
      </c>
      <c r="E25" s="64">
        <v>6.75</v>
      </c>
      <c r="F25" s="64">
        <v>7.67</v>
      </c>
      <c r="G25" s="64">
        <v>56.17</v>
      </c>
      <c r="H25" s="64">
        <v>12.62</v>
      </c>
      <c r="I25" s="64">
        <v>4.04</v>
      </c>
      <c r="J25" s="64">
        <v>0.92</v>
      </c>
      <c r="K25" s="64">
        <v>166.72</v>
      </c>
      <c r="L25" s="64">
        <v>24.12</v>
      </c>
      <c r="M25" s="64">
        <v>46.94</v>
      </c>
      <c r="N25" s="64">
        <v>46.3</v>
      </c>
      <c r="O25" s="64">
        <v>0</v>
      </c>
      <c r="P25" s="64">
        <v>0.5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1511</v>
      </c>
      <c r="B26" s="64">
        <v>8.2799999999999994</v>
      </c>
      <c r="C26" s="64">
        <v>48.41</v>
      </c>
      <c r="D26" s="64">
        <v>79.95</v>
      </c>
      <c r="E26" s="64">
        <v>6.55</v>
      </c>
      <c r="F26" s="64">
        <v>6.75</v>
      </c>
      <c r="G26" s="64">
        <v>56.17</v>
      </c>
      <c r="H26" s="64">
        <v>12.62</v>
      </c>
      <c r="I26" s="64">
        <v>4.0199999999999996</v>
      </c>
      <c r="J26" s="64">
        <v>0.75</v>
      </c>
      <c r="K26" s="64">
        <v>43.72</v>
      </c>
      <c r="L26" s="64">
        <v>24.22</v>
      </c>
      <c r="M26" s="64">
        <v>47.5</v>
      </c>
      <c r="N26" s="64">
        <v>46.7</v>
      </c>
      <c r="O26" s="64">
        <v>0</v>
      </c>
      <c r="P26" s="64">
        <v>0.53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1512</v>
      </c>
      <c r="B27" s="64">
        <v>7.64</v>
      </c>
      <c r="C27" s="64">
        <v>45.87</v>
      </c>
      <c r="D27" s="64">
        <v>76.06</v>
      </c>
      <c r="E27" s="64">
        <v>3.43</v>
      </c>
      <c r="F27" s="64">
        <v>6.78</v>
      </c>
      <c r="G27" s="64">
        <v>69.98</v>
      </c>
      <c r="H27" s="64">
        <v>17.23</v>
      </c>
      <c r="I27" s="64">
        <v>3.97</v>
      </c>
      <c r="J27" s="64">
        <v>1.06</v>
      </c>
      <c r="K27" s="64">
        <v>134.86000000000001</v>
      </c>
      <c r="L27" s="64">
        <v>24.43</v>
      </c>
      <c r="M27" s="64">
        <v>45.95</v>
      </c>
      <c r="N27" s="64">
        <v>46.4</v>
      </c>
      <c r="O27" s="64">
        <v>0</v>
      </c>
      <c r="P27" s="64">
        <v>0.48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1513</v>
      </c>
      <c r="B28" s="64">
        <v>8.01</v>
      </c>
      <c r="C28" s="64">
        <v>47.72</v>
      </c>
      <c r="D28" s="64">
        <v>79.040000000000006</v>
      </c>
      <c r="E28" s="64">
        <v>2.86</v>
      </c>
      <c r="F28" s="64">
        <v>6.39</v>
      </c>
      <c r="G28" s="64">
        <v>85.07</v>
      </c>
      <c r="H28" s="64">
        <v>22.27</v>
      </c>
      <c r="I28" s="64">
        <v>4.04</v>
      </c>
      <c r="J28" s="64">
        <v>0.49</v>
      </c>
      <c r="K28" s="64">
        <v>166.93</v>
      </c>
      <c r="L28" s="64">
        <v>24.56</v>
      </c>
      <c r="M28" s="64">
        <v>44.77</v>
      </c>
      <c r="N28" s="64">
        <v>46.7</v>
      </c>
      <c r="O28" s="64">
        <v>0</v>
      </c>
      <c r="P28" s="64">
        <v>0.48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1514</v>
      </c>
      <c r="B29" s="64">
        <v>7.82</v>
      </c>
      <c r="C29" s="64">
        <v>48.54</v>
      </c>
      <c r="D29" s="64">
        <v>80.900000000000006</v>
      </c>
      <c r="E29" s="64">
        <v>3.55</v>
      </c>
      <c r="F29" s="64">
        <v>7.76</v>
      </c>
      <c r="G29" s="64">
        <v>85.07</v>
      </c>
      <c r="H29" s="64">
        <v>22.27</v>
      </c>
      <c r="I29" s="64">
        <v>3.97</v>
      </c>
      <c r="J29" s="64">
        <v>0.69</v>
      </c>
      <c r="K29" s="64">
        <v>196.25</v>
      </c>
      <c r="L29" s="64">
        <v>24.22</v>
      </c>
      <c r="M29" s="64">
        <v>46.02</v>
      </c>
      <c r="N29" s="64">
        <v>46.9</v>
      </c>
      <c r="O29" s="64">
        <v>0</v>
      </c>
      <c r="P29" s="64">
        <v>0.48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1515</v>
      </c>
      <c r="B30" s="64">
        <v>8.44</v>
      </c>
      <c r="C30" s="64">
        <v>49.7</v>
      </c>
      <c r="D30" s="64">
        <v>82.17</v>
      </c>
      <c r="E30" s="64">
        <v>3.3</v>
      </c>
      <c r="F30" s="64">
        <v>7.08</v>
      </c>
      <c r="G30" s="64">
        <v>85.07</v>
      </c>
      <c r="H30" s="64">
        <v>22.27</v>
      </c>
      <c r="I30" s="64">
        <v>4.04</v>
      </c>
      <c r="J30" s="64">
        <v>1.27</v>
      </c>
      <c r="K30" s="64">
        <v>166.79</v>
      </c>
      <c r="L30" s="64">
        <v>23.9</v>
      </c>
      <c r="M30" s="64">
        <v>47.61</v>
      </c>
      <c r="N30" s="64">
        <v>46.8</v>
      </c>
      <c r="O30" s="64">
        <v>0</v>
      </c>
      <c r="P30" s="64">
        <v>0.49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1516</v>
      </c>
      <c r="B31" s="64">
        <v>9.4499999999999993</v>
      </c>
      <c r="C31" s="64">
        <v>52.02</v>
      </c>
      <c r="D31" s="64">
        <v>85.07</v>
      </c>
      <c r="E31" s="64">
        <v>3.06</v>
      </c>
      <c r="F31" s="64">
        <v>6.58</v>
      </c>
      <c r="G31" s="64">
        <v>88.95</v>
      </c>
      <c r="H31" s="64">
        <v>21.3</v>
      </c>
      <c r="I31" s="64">
        <v>3.96</v>
      </c>
      <c r="J31" s="64">
        <v>0.81</v>
      </c>
      <c r="K31" s="64">
        <v>162.63</v>
      </c>
      <c r="L31" s="64">
        <v>23.77</v>
      </c>
      <c r="M31" s="64">
        <v>48.73</v>
      </c>
      <c r="N31" s="64">
        <v>48.4</v>
      </c>
      <c r="O31" s="64">
        <v>0</v>
      </c>
      <c r="P31" s="64">
        <v>0.51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1517</v>
      </c>
      <c r="B32" s="64">
        <v>11.21</v>
      </c>
      <c r="C32" s="64">
        <v>56.86</v>
      </c>
      <c r="D32" s="64">
        <v>91.62</v>
      </c>
      <c r="E32" s="64">
        <v>4.2</v>
      </c>
      <c r="F32" s="64">
        <v>6.72</v>
      </c>
      <c r="G32" s="64">
        <v>93.2</v>
      </c>
      <c r="H32" s="64">
        <v>20.25</v>
      </c>
      <c r="I32" s="64">
        <v>4.05</v>
      </c>
      <c r="J32" s="64">
        <v>0.23</v>
      </c>
      <c r="K32" s="64">
        <v>16.47</v>
      </c>
      <c r="L32" s="64">
        <v>23.49</v>
      </c>
      <c r="M32" s="64">
        <v>50.16</v>
      </c>
      <c r="N32" s="64">
        <v>57.2</v>
      </c>
      <c r="O32" s="64">
        <v>0</v>
      </c>
      <c r="P32" s="64">
        <v>0.55000000000000004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1518</v>
      </c>
      <c r="B33" s="64">
        <v>16.91</v>
      </c>
      <c r="C33" s="64">
        <v>60.22</v>
      </c>
      <c r="D33" s="64">
        <v>89.31</v>
      </c>
      <c r="E33" s="64">
        <v>3.5</v>
      </c>
      <c r="F33" s="64">
        <v>6.93</v>
      </c>
      <c r="G33" s="64">
        <v>93.2</v>
      </c>
      <c r="H33" s="64">
        <v>20.25</v>
      </c>
      <c r="I33" s="64">
        <v>4.0999999999999996</v>
      </c>
      <c r="J33" s="64">
        <v>0.63</v>
      </c>
      <c r="K33" s="64">
        <v>14.04</v>
      </c>
      <c r="L33" s="64">
        <v>23.59</v>
      </c>
      <c r="M33" s="64">
        <v>51.13</v>
      </c>
      <c r="N33" s="64">
        <v>76.5</v>
      </c>
      <c r="O33" s="64">
        <v>0</v>
      </c>
      <c r="P33" s="64">
        <v>0.59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1519</v>
      </c>
      <c r="B34" s="64">
        <v>16.95</v>
      </c>
      <c r="C34" s="64">
        <v>60.51</v>
      </c>
      <c r="D34" s="64">
        <v>89.79</v>
      </c>
      <c r="E34" s="64">
        <v>4.3499999999999996</v>
      </c>
      <c r="F34" s="64">
        <v>6.88</v>
      </c>
      <c r="G34" s="64">
        <v>93.2</v>
      </c>
      <c r="H34" s="64">
        <v>20.25</v>
      </c>
      <c r="I34" s="64">
        <v>4.0999999999999996</v>
      </c>
      <c r="J34" s="64">
        <v>0.14000000000000001</v>
      </c>
      <c r="K34" s="64">
        <v>102.64</v>
      </c>
      <c r="L34" s="64">
        <v>24</v>
      </c>
      <c r="M34" s="64">
        <v>49.6</v>
      </c>
      <c r="N34" s="64">
        <v>107.6</v>
      </c>
      <c r="O34" s="64">
        <v>0</v>
      </c>
      <c r="P34" s="64">
        <v>0.57999999999999996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1520</v>
      </c>
      <c r="B35" s="64">
        <v>22.53</v>
      </c>
      <c r="C35" s="64">
        <v>64.319999999999993</v>
      </c>
      <c r="D35" s="64">
        <v>88.54</v>
      </c>
      <c r="E35" s="64">
        <v>4.45</v>
      </c>
      <c r="F35" s="64">
        <v>6.87</v>
      </c>
      <c r="G35" s="64">
        <v>95.48</v>
      </c>
      <c r="H35" s="64">
        <v>21.66</v>
      </c>
      <c r="I35" s="64">
        <v>4.17</v>
      </c>
      <c r="J35" s="64">
        <v>0.7</v>
      </c>
      <c r="K35" s="64">
        <v>325.74</v>
      </c>
      <c r="L35" s="64">
        <v>25.17</v>
      </c>
      <c r="M35" s="64">
        <v>49.39</v>
      </c>
      <c r="N35" s="64">
        <v>130.19999999999999</v>
      </c>
      <c r="O35" s="64">
        <v>0</v>
      </c>
      <c r="P35" s="64">
        <v>0.63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1521</v>
      </c>
      <c r="B36" s="64">
        <v>24.58</v>
      </c>
      <c r="C36" s="64">
        <v>64.12</v>
      </c>
      <c r="D36" s="64">
        <v>85</v>
      </c>
      <c r="E36" s="64">
        <v>4.0599999999999996</v>
      </c>
      <c r="F36" s="64">
        <v>6.59</v>
      </c>
      <c r="G36" s="64">
        <v>97.98</v>
      </c>
      <c r="H36" s="64">
        <v>23.2</v>
      </c>
      <c r="I36" s="64">
        <v>3.89</v>
      </c>
      <c r="J36" s="64">
        <v>1.67</v>
      </c>
      <c r="K36" s="64">
        <v>333.04</v>
      </c>
      <c r="L36" s="64">
        <v>25.96</v>
      </c>
      <c r="M36" s="64">
        <v>46.97</v>
      </c>
      <c r="N36" s="64">
        <v>178.4</v>
      </c>
      <c r="O36" s="64">
        <v>0</v>
      </c>
      <c r="P36" s="64">
        <v>0.64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1522</v>
      </c>
      <c r="B37" s="64">
        <v>36.340000000000003</v>
      </c>
      <c r="C37" s="64">
        <v>79.709999999999994</v>
      </c>
      <c r="D37" s="64">
        <v>96.79</v>
      </c>
      <c r="E37" s="64">
        <v>15.36</v>
      </c>
      <c r="F37" s="64">
        <v>7.26</v>
      </c>
      <c r="G37" s="64">
        <v>97.98</v>
      </c>
      <c r="H37" s="64">
        <v>23.2</v>
      </c>
      <c r="I37" s="64">
        <v>4.07</v>
      </c>
      <c r="J37" s="64">
        <v>1.06</v>
      </c>
      <c r="K37" s="64">
        <v>343.37</v>
      </c>
      <c r="L37" s="64">
        <v>26.81</v>
      </c>
      <c r="M37" s="64">
        <v>45.94</v>
      </c>
      <c r="N37" s="64">
        <v>219.8</v>
      </c>
      <c r="O37" s="64">
        <v>0</v>
      </c>
      <c r="P37" s="64">
        <v>0.85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1523</v>
      </c>
      <c r="B38" s="64">
        <v>43.34</v>
      </c>
      <c r="C38" s="64">
        <v>88.23</v>
      </c>
      <c r="D38" s="64">
        <v>102.35</v>
      </c>
      <c r="E38" s="64">
        <v>27.12</v>
      </c>
      <c r="F38" s="64">
        <v>7.33</v>
      </c>
      <c r="G38" s="64">
        <v>97.98</v>
      </c>
      <c r="H38" s="64">
        <v>23.2</v>
      </c>
      <c r="I38" s="64">
        <v>3.83</v>
      </c>
      <c r="J38" s="64">
        <v>0.32</v>
      </c>
      <c r="K38" s="64">
        <v>67.48</v>
      </c>
      <c r="L38" s="64">
        <v>27.98</v>
      </c>
      <c r="M38" s="64">
        <v>43.09</v>
      </c>
      <c r="N38" s="64">
        <v>267.3</v>
      </c>
      <c r="O38" s="64">
        <v>0</v>
      </c>
      <c r="P38" s="64">
        <v>1.1399999999999999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1524</v>
      </c>
      <c r="B39" s="64">
        <v>30.14</v>
      </c>
      <c r="C39" s="64">
        <v>75.67</v>
      </c>
      <c r="D39" s="64">
        <v>98.57</v>
      </c>
      <c r="E39" s="64">
        <v>32.92</v>
      </c>
      <c r="F39" s="64">
        <v>8.36</v>
      </c>
      <c r="G39" s="64">
        <v>151.43</v>
      </c>
      <c r="H39" s="64">
        <v>31.84</v>
      </c>
      <c r="I39" s="64">
        <v>4.0599999999999996</v>
      </c>
      <c r="J39" s="64">
        <v>0.91</v>
      </c>
      <c r="K39" s="64">
        <v>162.16999999999999</v>
      </c>
      <c r="L39" s="64">
        <v>27.57</v>
      </c>
      <c r="M39" s="64">
        <v>41.53</v>
      </c>
      <c r="N39" s="64">
        <v>331.1</v>
      </c>
      <c r="O39" s="64">
        <v>0</v>
      </c>
      <c r="P39" s="64">
        <v>0.9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1525</v>
      </c>
      <c r="B40" s="64">
        <v>23.8</v>
      </c>
      <c r="C40" s="64">
        <v>69.64</v>
      </c>
      <c r="D40" s="64">
        <v>96.76</v>
      </c>
      <c r="E40" s="64">
        <v>9.16</v>
      </c>
      <c r="F40" s="64">
        <v>8.86</v>
      </c>
      <c r="G40" s="64">
        <v>209.86</v>
      </c>
      <c r="H40" s="64">
        <v>41.29</v>
      </c>
      <c r="I40" s="64">
        <v>3.95</v>
      </c>
      <c r="J40" s="64">
        <v>0.97</v>
      </c>
      <c r="K40" s="64">
        <v>174.25</v>
      </c>
      <c r="L40" s="64">
        <v>28.05</v>
      </c>
      <c r="M40" s="64">
        <v>39.090000000000003</v>
      </c>
      <c r="N40" s="64">
        <v>395.4</v>
      </c>
      <c r="O40" s="64">
        <v>0</v>
      </c>
      <c r="P40" s="64">
        <v>0.75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1526</v>
      </c>
      <c r="B41" s="64">
        <v>22.08</v>
      </c>
      <c r="C41" s="64">
        <v>64.53</v>
      </c>
      <c r="D41" s="64">
        <v>89.61</v>
      </c>
      <c r="E41" s="64">
        <v>7.61</v>
      </c>
      <c r="F41" s="64">
        <v>8.4700000000000006</v>
      </c>
      <c r="G41" s="64">
        <v>209.86</v>
      </c>
      <c r="H41" s="64">
        <v>41.29</v>
      </c>
      <c r="I41" s="64">
        <v>3.98</v>
      </c>
      <c r="J41" s="64">
        <v>0.49</v>
      </c>
      <c r="K41" s="64">
        <v>200.69</v>
      </c>
      <c r="L41" s="64">
        <v>29.15</v>
      </c>
      <c r="M41" s="64">
        <v>38.06</v>
      </c>
      <c r="N41" s="64">
        <v>414.5</v>
      </c>
      <c r="O41" s="64">
        <v>0</v>
      </c>
      <c r="P41" s="64">
        <v>0.75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1527</v>
      </c>
      <c r="B42" s="64">
        <v>19.260000000000002</v>
      </c>
      <c r="C42" s="64">
        <v>58.65</v>
      </c>
      <c r="D42" s="64">
        <v>82.69</v>
      </c>
      <c r="E42" s="64">
        <v>6.39</v>
      </c>
      <c r="F42" s="64">
        <v>10.68</v>
      </c>
      <c r="G42" s="64">
        <v>209.86</v>
      </c>
      <c r="H42" s="64">
        <v>41.29</v>
      </c>
      <c r="I42" s="64">
        <v>3.9</v>
      </c>
      <c r="J42" s="64">
        <v>0.6</v>
      </c>
      <c r="K42" s="64">
        <v>213.41</v>
      </c>
      <c r="L42" s="64">
        <v>28.54</v>
      </c>
      <c r="M42" s="64">
        <v>36.76</v>
      </c>
      <c r="N42" s="64">
        <v>311.60000000000002</v>
      </c>
      <c r="O42" s="64">
        <v>0</v>
      </c>
      <c r="P42" s="64">
        <v>0.69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1528</v>
      </c>
      <c r="B43" s="64">
        <v>18.18</v>
      </c>
      <c r="C43" s="64">
        <v>56.19</v>
      </c>
      <c r="D43" s="64">
        <v>79.650000000000006</v>
      </c>
      <c r="E43" s="64">
        <v>6.31</v>
      </c>
      <c r="F43" s="64">
        <v>12.48</v>
      </c>
      <c r="G43" s="64">
        <v>147.16</v>
      </c>
      <c r="H43" s="64">
        <v>37.28</v>
      </c>
      <c r="I43" s="64">
        <v>3.86</v>
      </c>
      <c r="J43" s="64">
        <v>0.68</v>
      </c>
      <c r="K43" s="64">
        <v>179.67</v>
      </c>
      <c r="L43" s="64">
        <v>27.88</v>
      </c>
      <c r="M43" s="64">
        <v>38.1</v>
      </c>
      <c r="N43" s="64">
        <v>277.2</v>
      </c>
      <c r="O43" s="64">
        <v>0</v>
      </c>
      <c r="P43" s="64">
        <v>0.64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1529</v>
      </c>
      <c r="B44" s="64">
        <v>21.36</v>
      </c>
      <c r="C44" s="64">
        <v>61.81</v>
      </c>
      <c r="D44" s="64">
        <v>85.53</v>
      </c>
      <c r="E44" s="64">
        <v>4.24</v>
      </c>
      <c r="F44" s="64">
        <v>7.27</v>
      </c>
      <c r="G44" s="64">
        <v>78.63</v>
      </c>
      <c r="H44" s="64">
        <v>32.9</v>
      </c>
      <c r="I44" s="64">
        <v>3.99</v>
      </c>
      <c r="J44" s="64">
        <v>0.56000000000000005</v>
      </c>
      <c r="K44" s="64">
        <v>321.02999999999997</v>
      </c>
      <c r="L44" s="64">
        <v>28.99</v>
      </c>
      <c r="M44" s="64">
        <v>36.99</v>
      </c>
      <c r="N44" s="64">
        <v>497.4</v>
      </c>
      <c r="O44" s="64">
        <v>0</v>
      </c>
      <c r="P44" s="64">
        <v>0.72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1530</v>
      </c>
      <c r="B45" s="64">
        <v>21.11</v>
      </c>
      <c r="C45" s="64">
        <v>64.58</v>
      </c>
      <c r="D45" s="64">
        <v>91.19</v>
      </c>
      <c r="E45" s="64">
        <v>4.6900000000000004</v>
      </c>
      <c r="F45" s="64">
        <v>7.24</v>
      </c>
      <c r="G45" s="64">
        <v>78.63</v>
      </c>
      <c r="H45" s="64">
        <v>32.9</v>
      </c>
      <c r="I45" s="64">
        <v>4</v>
      </c>
      <c r="J45" s="64">
        <v>0.94</v>
      </c>
      <c r="K45" s="64">
        <v>338.84</v>
      </c>
      <c r="L45" s="64">
        <v>32.81</v>
      </c>
      <c r="M45" s="64">
        <v>31.11</v>
      </c>
      <c r="N45" s="64">
        <v>603.4</v>
      </c>
      <c r="O45" s="64">
        <v>0</v>
      </c>
      <c r="P45" s="64">
        <v>0.72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1531</v>
      </c>
      <c r="B46" s="64">
        <v>21.31</v>
      </c>
      <c r="C46" s="64">
        <v>66.72</v>
      </c>
      <c r="D46" s="64">
        <v>95</v>
      </c>
      <c r="E46" s="64">
        <v>3.89</v>
      </c>
      <c r="F46" s="64">
        <v>6.57</v>
      </c>
      <c r="G46" s="64">
        <v>78.63</v>
      </c>
      <c r="H46" s="64">
        <v>32.9</v>
      </c>
      <c r="I46" s="64">
        <v>4.01</v>
      </c>
      <c r="J46" s="64">
        <v>0.45</v>
      </c>
      <c r="K46" s="64">
        <v>280.74</v>
      </c>
      <c r="L46" s="64">
        <v>33.42</v>
      </c>
      <c r="M46" s="64">
        <v>29.6</v>
      </c>
      <c r="N46" s="64">
        <v>654.70000000000005</v>
      </c>
      <c r="O46" s="64">
        <v>0</v>
      </c>
      <c r="P46" s="64">
        <v>0.74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1532</v>
      </c>
      <c r="B47" s="64">
        <v>18.5</v>
      </c>
      <c r="C47" s="64">
        <v>65.790000000000006</v>
      </c>
      <c r="D47" s="64">
        <v>97.53</v>
      </c>
      <c r="E47" s="64">
        <v>4</v>
      </c>
      <c r="F47" s="64">
        <v>7.74</v>
      </c>
      <c r="G47" s="64">
        <v>76.52</v>
      </c>
      <c r="H47" s="64">
        <v>30.78</v>
      </c>
      <c r="I47" s="64">
        <v>4.08</v>
      </c>
      <c r="J47" s="64">
        <v>0.99</v>
      </c>
      <c r="K47" s="64">
        <v>332.4</v>
      </c>
      <c r="L47" s="64">
        <v>34.450000000000003</v>
      </c>
      <c r="M47" s="64">
        <v>27.07</v>
      </c>
      <c r="N47" s="64">
        <v>708.5</v>
      </c>
      <c r="O47" s="64">
        <v>0</v>
      </c>
      <c r="P47" s="64">
        <v>0.73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1533</v>
      </c>
      <c r="B48" s="64">
        <v>13.23</v>
      </c>
      <c r="C48" s="64">
        <v>60.95</v>
      </c>
      <c r="D48" s="64">
        <v>96.34</v>
      </c>
      <c r="E48" s="64">
        <v>7.83</v>
      </c>
      <c r="F48" s="64">
        <v>11.13</v>
      </c>
      <c r="G48" s="64">
        <v>74.22</v>
      </c>
      <c r="H48" s="64">
        <v>28.46</v>
      </c>
      <c r="I48" s="64">
        <v>3.95</v>
      </c>
      <c r="J48" s="64">
        <v>0.59</v>
      </c>
      <c r="K48" s="64">
        <v>340.15</v>
      </c>
      <c r="L48" s="64">
        <v>35.270000000000003</v>
      </c>
      <c r="M48" s="64">
        <v>26.18</v>
      </c>
      <c r="N48" s="64">
        <v>733.7</v>
      </c>
      <c r="O48" s="64">
        <v>0</v>
      </c>
      <c r="P48" s="64">
        <v>0.75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1534</v>
      </c>
      <c r="B49" s="64">
        <v>13.01</v>
      </c>
      <c r="C49" s="64">
        <v>64.31</v>
      </c>
      <c r="D49" s="64">
        <v>103.12</v>
      </c>
      <c r="E49" s="64">
        <v>5.74</v>
      </c>
      <c r="F49" s="64">
        <v>6.8</v>
      </c>
      <c r="G49" s="64">
        <v>74.22</v>
      </c>
      <c r="H49" s="64">
        <v>28.46</v>
      </c>
      <c r="I49" s="64">
        <v>3.88</v>
      </c>
      <c r="J49" s="64">
        <v>0.34</v>
      </c>
      <c r="K49" s="64">
        <v>75.400000000000006</v>
      </c>
      <c r="L49" s="64">
        <v>34.130000000000003</v>
      </c>
      <c r="M49" s="64">
        <v>28.16</v>
      </c>
      <c r="N49" s="64">
        <v>558.6</v>
      </c>
      <c r="O49" s="64">
        <v>0</v>
      </c>
      <c r="P49" s="64">
        <v>0.76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1535</v>
      </c>
      <c r="B50" s="64">
        <v>9.4499999999999993</v>
      </c>
      <c r="C50" s="64">
        <v>57.93</v>
      </c>
      <c r="D50" s="64">
        <v>96.39</v>
      </c>
      <c r="E50" s="64">
        <v>4.92</v>
      </c>
      <c r="F50" s="64">
        <v>9.18</v>
      </c>
      <c r="G50" s="64">
        <v>74.22</v>
      </c>
      <c r="H50" s="64">
        <v>28.46</v>
      </c>
      <c r="I50" s="64">
        <v>4.08</v>
      </c>
      <c r="J50" s="64">
        <v>0.77</v>
      </c>
      <c r="K50" s="64">
        <v>89.5</v>
      </c>
      <c r="L50" s="64">
        <v>31.01</v>
      </c>
      <c r="M50" s="64">
        <v>33.1</v>
      </c>
      <c r="N50" s="64">
        <v>386.3</v>
      </c>
      <c r="O50" s="64">
        <v>0</v>
      </c>
      <c r="P50" s="64">
        <v>0.74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1536</v>
      </c>
      <c r="B51" s="64">
        <v>8.33</v>
      </c>
      <c r="C51" s="64">
        <v>58.93</v>
      </c>
      <c r="D51" s="64">
        <v>100</v>
      </c>
      <c r="E51" s="64">
        <v>6.3</v>
      </c>
      <c r="F51" s="64">
        <v>15.54</v>
      </c>
      <c r="G51" s="64">
        <v>67.88</v>
      </c>
      <c r="H51" s="64">
        <v>27.6</v>
      </c>
      <c r="I51" s="64">
        <v>3.94</v>
      </c>
      <c r="J51" s="64">
        <v>0.6</v>
      </c>
      <c r="K51" s="64">
        <v>316.7</v>
      </c>
      <c r="L51" s="64">
        <v>32.270000000000003</v>
      </c>
      <c r="M51" s="64">
        <v>33.79</v>
      </c>
      <c r="N51" s="64">
        <v>700.2</v>
      </c>
      <c r="O51" s="64">
        <v>0</v>
      </c>
      <c r="P51" s="64">
        <v>0.75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1537</v>
      </c>
      <c r="B52" s="212" t="s">
        <v>40</v>
      </c>
      <c r="C52" s="212" t="s">
        <v>40</v>
      </c>
      <c r="D52" s="212" t="s">
        <v>40</v>
      </c>
      <c r="E52" s="64">
        <v>15.37</v>
      </c>
      <c r="F52" s="64">
        <v>19.32</v>
      </c>
      <c r="G52" s="64">
        <v>60.95</v>
      </c>
      <c r="H52" s="64">
        <v>26.65</v>
      </c>
      <c r="I52" s="64">
        <v>3.99</v>
      </c>
      <c r="J52" s="64">
        <v>0.69</v>
      </c>
      <c r="K52" s="64">
        <v>340.36</v>
      </c>
      <c r="L52" s="64">
        <v>34.04</v>
      </c>
      <c r="M52" s="64">
        <v>29.88</v>
      </c>
      <c r="N52" s="64">
        <v>856.3</v>
      </c>
      <c r="O52" s="64">
        <v>0</v>
      </c>
      <c r="P52" s="64">
        <v>0.76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1538</v>
      </c>
      <c r="B53" s="212" t="s">
        <v>40</v>
      </c>
      <c r="C53" s="212" t="s">
        <v>40</v>
      </c>
      <c r="D53" s="212" t="s">
        <v>40</v>
      </c>
      <c r="E53" s="64">
        <v>6.02</v>
      </c>
      <c r="F53" s="64">
        <v>11.48</v>
      </c>
      <c r="G53" s="64">
        <v>60.95</v>
      </c>
      <c r="H53" s="64">
        <v>26.65</v>
      </c>
      <c r="I53" s="64">
        <v>4.09</v>
      </c>
      <c r="J53" s="64">
        <v>0.4</v>
      </c>
      <c r="K53" s="64">
        <v>289.86</v>
      </c>
      <c r="L53" s="64">
        <v>35.409999999999997</v>
      </c>
      <c r="M53" s="64">
        <v>25.77</v>
      </c>
      <c r="N53" s="64">
        <v>381.9</v>
      </c>
      <c r="O53" s="64">
        <v>0</v>
      </c>
      <c r="P53" s="64">
        <v>0.8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1539</v>
      </c>
      <c r="B54" s="212" t="s">
        <v>40</v>
      </c>
      <c r="C54" s="212" t="s">
        <v>40</v>
      </c>
      <c r="D54" s="212" t="s">
        <v>40</v>
      </c>
      <c r="E54" s="64">
        <v>6.44</v>
      </c>
      <c r="F54" s="64">
        <v>26.08</v>
      </c>
      <c r="G54" s="212" t="s">
        <v>40</v>
      </c>
      <c r="H54" s="212" t="s">
        <v>40</v>
      </c>
      <c r="I54" s="64">
        <v>4.08</v>
      </c>
      <c r="J54" s="64">
        <v>0.7</v>
      </c>
      <c r="K54" s="64">
        <v>151.87</v>
      </c>
      <c r="L54" s="64">
        <v>32.64</v>
      </c>
      <c r="M54" s="64">
        <v>28.93</v>
      </c>
      <c r="N54" s="64">
        <v>416.8</v>
      </c>
      <c r="O54" s="64">
        <v>0</v>
      </c>
      <c r="P54" s="64">
        <v>0.68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1540</v>
      </c>
      <c r="B55" s="212" t="s">
        <v>40</v>
      </c>
      <c r="C55" s="212" t="s">
        <v>40</v>
      </c>
      <c r="D55" s="212" t="s">
        <v>40</v>
      </c>
      <c r="E55" s="64">
        <v>21.26</v>
      </c>
      <c r="F55" s="64">
        <v>24.4</v>
      </c>
      <c r="G55" s="212" t="s">
        <v>40</v>
      </c>
      <c r="H55" s="212" t="s">
        <v>40</v>
      </c>
      <c r="I55" s="64">
        <v>4.03</v>
      </c>
      <c r="J55" s="64">
        <v>0.49</v>
      </c>
      <c r="K55" s="64">
        <v>340.42</v>
      </c>
      <c r="L55" s="64">
        <v>33.96</v>
      </c>
      <c r="M55" s="64">
        <v>27.65</v>
      </c>
      <c r="N55" s="64">
        <v>647.20000000000005</v>
      </c>
      <c r="O55" s="64">
        <v>0</v>
      </c>
      <c r="P55" s="64">
        <v>0.71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1541</v>
      </c>
      <c r="B56" s="64">
        <v>4.5999999999999996</v>
      </c>
      <c r="C56" s="64">
        <v>74.849999999999994</v>
      </c>
      <c r="D56" s="64">
        <v>70.25</v>
      </c>
      <c r="E56" s="212" t="s">
        <v>40</v>
      </c>
      <c r="F56" s="64">
        <v>26.09</v>
      </c>
      <c r="G56" s="212" t="s">
        <v>40</v>
      </c>
      <c r="H56" s="212" t="s">
        <v>40</v>
      </c>
      <c r="I56" s="64">
        <v>3.85</v>
      </c>
      <c r="J56" s="64">
        <v>1.01</v>
      </c>
      <c r="K56" s="64">
        <v>333.5</v>
      </c>
      <c r="L56" s="64">
        <v>36.58</v>
      </c>
      <c r="M56" s="64">
        <v>24.44</v>
      </c>
      <c r="N56" s="64">
        <v>730.4</v>
      </c>
      <c r="O56" s="64">
        <v>0</v>
      </c>
      <c r="P56" s="64">
        <v>0.76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1542</v>
      </c>
      <c r="B57" s="64">
        <v>1.43</v>
      </c>
      <c r="C57" s="64">
        <v>69.5</v>
      </c>
      <c r="D57" s="64">
        <v>68.069999999999993</v>
      </c>
      <c r="E57" s="212" t="s">
        <v>40</v>
      </c>
      <c r="F57" s="64">
        <v>19.739999999999998</v>
      </c>
      <c r="G57" s="212" t="s">
        <v>40</v>
      </c>
      <c r="H57" s="212" t="s">
        <v>40</v>
      </c>
      <c r="I57" s="64">
        <v>4</v>
      </c>
      <c r="J57" s="64">
        <v>0.28000000000000003</v>
      </c>
      <c r="K57" s="64">
        <v>226.73</v>
      </c>
      <c r="L57" s="64">
        <v>35.42</v>
      </c>
      <c r="M57" s="64">
        <v>24.9</v>
      </c>
      <c r="N57" s="64">
        <v>460.7</v>
      </c>
      <c r="O57" s="64">
        <v>0</v>
      </c>
      <c r="P57" s="64">
        <v>0.71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1543</v>
      </c>
      <c r="B58" s="64">
        <v>0.68</v>
      </c>
      <c r="C58" s="64">
        <v>60.6</v>
      </c>
      <c r="D58" s="64">
        <v>59.93</v>
      </c>
      <c r="E58" s="212" t="s">
        <v>40</v>
      </c>
      <c r="F58" s="64">
        <v>17.399999999999999</v>
      </c>
      <c r="G58" s="64">
        <v>48.97</v>
      </c>
      <c r="H58" s="64">
        <v>7.12</v>
      </c>
      <c r="I58" s="64">
        <v>4.04</v>
      </c>
      <c r="J58" s="64">
        <v>0.45</v>
      </c>
      <c r="K58" s="64">
        <v>189.24</v>
      </c>
      <c r="L58" s="64">
        <v>33.619999999999997</v>
      </c>
      <c r="M58" s="64">
        <v>25.96</v>
      </c>
      <c r="N58" s="64">
        <v>431.7</v>
      </c>
      <c r="O58" s="64">
        <v>0</v>
      </c>
      <c r="P58" s="64">
        <v>0.66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1544</v>
      </c>
      <c r="B59" s="64">
        <v>1.22</v>
      </c>
      <c r="C59" s="64">
        <v>61.31</v>
      </c>
      <c r="D59" s="64">
        <v>60.09</v>
      </c>
      <c r="E59" s="212" t="s">
        <v>40</v>
      </c>
      <c r="F59" s="64">
        <v>16.12</v>
      </c>
      <c r="G59" s="64">
        <v>75.69</v>
      </c>
      <c r="H59" s="64">
        <v>14.57</v>
      </c>
      <c r="I59" s="64">
        <v>3.96</v>
      </c>
      <c r="J59" s="64">
        <v>0.45</v>
      </c>
      <c r="K59" s="64">
        <v>241.88</v>
      </c>
      <c r="L59" s="64">
        <v>34</v>
      </c>
      <c r="M59" s="64">
        <v>25.2</v>
      </c>
      <c r="N59" s="64">
        <v>434.8</v>
      </c>
      <c r="O59" s="64">
        <v>0</v>
      </c>
      <c r="P59" s="64">
        <v>0.66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1545</v>
      </c>
      <c r="B60" s="64">
        <v>3.72</v>
      </c>
      <c r="C60" s="64">
        <v>66.260000000000005</v>
      </c>
      <c r="D60" s="64">
        <v>62.54</v>
      </c>
      <c r="E60" s="212" t="s">
        <v>40</v>
      </c>
      <c r="F60" s="64">
        <v>19.14</v>
      </c>
      <c r="G60" s="64">
        <v>75.69</v>
      </c>
      <c r="H60" s="64">
        <v>14.57</v>
      </c>
      <c r="I60" s="64">
        <v>3.93</v>
      </c>
      <c r="J60" s="64">
        <v>0.42</v>
      </c>
      <c r="K60" s="64">
        <v>289.89</v>
      </c>
      <c r="L60" s="64">
        <v>34.81</v>
      </c>
      <c r="M60" s="64">
        <v>23.27</v>
      </c>
      <c r="N60" s="64">
        <v>452.6</v>
      </c>
      <c r="O60" s="64">
        <v>0</v>
      </c>
      <c r="P60" s="64">
        <v>0.65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1546</v>
      </c>
      <c r="B61" s="64">
        <v>1.42</v>
      </c>
      <c r="C61" s="64">
        <v>67.45</v>
      </c>
      <c r="D61" s="64">
        <v>66.03</v>
      </c>
      <c r="E61" s="64">
        <v>15.96</v>
      </c>
      <c r="F61" s="64">
        <v>12.76</v>
      </c>
      <c r="G61" s="64">
        <v>75.69</v>
      </c>
      <c r="H61" s="64">
        <v>14.57</v>
      </c>
      <c r="I61" s="64">
        <v>3.89</v>
      </c>
      <c r="J61" s="64">
        <v>0.44</v>
      </c>
      <c r="K61" s="64">
        <v>286.60000000000002</v>
      </c>
      <c r="L61" s="64">
        <v>35.479999999999997</v>
      </c>
      <c r="M61" s="64">
        <v>22.54</v>
      </c>
      <c r="N61" s="64">
        <v>677.6</v>
      </c>
      <c r="O61" s="64">
        <v>0</v>
      </c>
      <c r="P61" s="26" t="s">
        <v>40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1547</v>
      </c>
      <c r="B62" s="64">
        <v>0.92</v>
      </c>
      <c r="C62" s="64">
        <v>64.31</v>
      </c>
      <c r="D62" s="64">
        <v>63.38</v>
      </c>
      <c r="E62" s="64">
        <v>3.79</v>
      </c>
      <c r="F62" s="64">
        <v>13.05</v>
      </c>
      <c r="G62" s="64">
        <v>71.739999999999995</v>
      </c>
      <c r="H62" s="64">
        <v>16.68</v>
      </c>
      <c r="I62" s="64">
        <v>3.96</v>
      </c>
      <c r="J62" s="64">
        <v>0.43</v>
      </c>
      <c r="K62" s="64">
        <v>220.83</v>
      </c>
      <c r="L62" s="64">
        <v>35.200000000000003</v>
      </c>
      <c r="M62" s="64">
        <v>22.94</v>
      </c>
      <c r="N62" s="64">
        <v>342.4</v>
      </c>
      <c r="O62" s="64">
        <v>0</v>
      </c>
      <c r="P62" s="64">
        <v>0.64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1548</v>
      </c>
      <c r="B63" s="64">
        <v>1.43</v>
      </c>
      <c r="C63" s="64">
        <v>64.53</v>
      </c>
      <c r="D63" s="64">
        <v>63.1</v>
      </c>
      <c r="E63" s="64">
        <v>5.81</v>
      </c>
      <c r="F63" s="64">
        <v>16.28</v>
      </c>
      <c r="G63" s="64">
        <v>69.59</v>
      </c>
      <c r="H63" s="64">
        <v>18.88</v>
      </c>
      <c r="I63" s="64">
        <v>3.87</v>
      </c>
      <c r="J63" s="64">
        <v>0.49</v>
      </c>
      <c r="K63" s="64">
        <v>220.53</v>
      </c>
      <c r="L63" s="64">
        <v>34.119999999999997</v>
      </c>
      <c r="M63" s="64">
        <v>24.52</v>
      </c>
      <c r="N63" s="64">
        <v>315.3</v>
      </c>
      <c r="O63" s="64">
        <v>0</v>
      </c>
      <c r="P63" s="64">
        <v>0.66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1549</v>
      </c>
      <c r="B64" s="64">
        <v>0.65</v>
      </c>
      <c r="C64" s="64">
        <v>59.78</v>
      </c>
      <c r="D64" s="64">
        <v>59.14</v>
      </c>
      <c r="E64" s="64">
        <v>5.12</v>
      </c>
      <c r="F64" s="64">
        <v>18.73</v>
      </c>
      <c r="G64" s="64">
        <v>69.59</v>
      </c>
      <c r="H64" s="64">
        <v>18.88</v>
      </c>
      <c r="I64" s="64">
        <v>4.01</v>
      </c>
      <c r="J64" s="64">
        <v>1.07</v>
      </c>
      <c r="K64" s="64">
        <v>172.23</v>
      </c>
      <c r="L64" s="64">
        <v>33.85</v>
      </c>
      <c r="M64" s="64">
        <v>25.9</v>
      </c>
      <c r="N64" s="64">
        <v>667.6</v>
      </c>
      <c r="O64" s="64">
        <v>0</v>
      </c>
      <c r="P64" s="64">
        <v>0.63</v>
      </c>
      <c r="Q64" s="211" t="s">
        <v>43</v>
      </c>
      <c r="R64" s="198"/>
      <c r="S64" s="198"/>
      <c r="T64" s="198"/>
      <c r="U64" s="198"/>
    </row>
    <row r="65" spans="1:21" s="12" customFormat="1" x14ac:dyDescent="0.25">
      <c r="A65" s="215" t="s">
        <v>1550</v>
      </c>
      <c r="B65" s="64">
        <v>0.34</v>
      </c>
      <c r="C65" s="64">
        <v>51.83</v>
      </c>
      <c r="D65" s="64">
        <v>51.49</v>
      </c>
      <c r="E65" s="64">
        <v>6.24</v>
      </c>
      <c r="F65" s="64">
        <v>19.5</v>
      </c>
      <c r="G65" s="64">
        <v>69.59</v>
      </c>
      <c r="H65" s="64">
        <v>18.88</v>
      </c>
      <c r="I65" s="64">
        <v>3.93</v>
      </c>
      <c r="J65" s="64">
        <v>0.82</v>
      </c>
      <c r="K65" s="64">
        <v>189.22</v>
      </c>
      <c r="L65" s="64">
        <v>34.03</v>
      </c>
      <c r="M65" s="64">
        <v>25.45</v>
      </c>
      <c r="N65" s="64">
        <v>485.5</v>
      </c>
      <c r="O65" s="64">
        <v>0</v>
      </c>
      <c r="P65" s="64">
        <v>0.64</v>
      </c>
      <c r="Q65" s="211" t="s">
        <v>43</v>
      </c>
      <c r="R65" s="198"/>
      <c r="S65" s="198"/>
      <c r="T65" s="198"/>
      <c r="U65" s="198"/>
    </row>
    <row r="66" spans="1:21" s="12" customFormat="1" x14ac:dyDescent="0.25">
      <c r="A66" s="215" t="s">
        <v>1551</v>
      </c>
      <c r="B66" s="64">
        <v>0.38</v>
      </c>
      <c r="C66" s="64">
        <v>49.95</v>
      </c>
      <c r="D66" s="64">
        <v>49.57</v>
      </c>
      <c r="E66" s="64">
        <v>6.88</v>
      </c>
      <c r="F66" s="64">
        <v>17.899999999999999</v>
      </c>
      <c r="G66" s="64">
        <v>73.900000000000006</v>
      </c>
      <c r="H66" s="64">
        <v>19.399999999999999</v>
      </c>
      <c r="I66" s="64">
        <v>4.0599999999999996</v>
      </c>
      <c r="J66" s="64">
        <v>1.33</v>
      </c>
      <c r="K66" s="64">
        <v>159.71</v>
      </c>
      <c r="L66" s="64">
        <v>34.28</v>
      </c>
      <c r="M66" s="64">
        <v>24.6</v>
      </c>
      <c r="N66" s="64">
        <v>661</v>
      </c>
      <c r="O66" s="64">
        <v>0</v>
      </c>
      <c r="P66" s="64">
        <v>0.64</v>
      </c>
      <c r="Q66" s="211" t="s">
        <v>43</v>
      </c>
      <c r="R66" s="198"/>
      <c r="S66" s="198"/>
      <c r="T66" s="198"/>
      <c r="U66" s="198"/>
    </row>
    <row r="67" spans="1:21" s="12" customFormat="1" x14ac:dyDescent="0.25">
      <c r="A67" s="215" t="s">
        <v>1552</v>
      </c>
      <c r="B67" s="64">
        <v>0.48</v>
      </c>
      <c r="C67" s="64">
        <v>48.55</v>
      </c>
      <c r="D67" s="64">
        <v>48.06</v>
      </c>
      <c r="E67" s="64">
        <v>5.48</v>
      </c>
      <c r="F67" s="64">
        <v>14.58</v>
      </c>
      <c r="G67" s="64">
        <v>78.42</v>
      </c>
      <c r="H67" s="64">
        <v>19.95</v>
      </c>
      <c r="I67" s="64">
        <v>3.8</v>
      </c>
      <c r="J67" s="64">
        <v>0.53</v>
      </c>
      <c r="K67" s="64">
        <v>212.57</v>
      </c>
      <c r="L67" s="64">
        <v>34.369999999999997</v>
      </c>
      <c r="M67" s="64">
        <v>23.71</v>
      </c>
      <c r="N67" s="64">
        <v>346.7</v>
      </c>
      <c r="O67" s="64">
        <v>0</v>
      </c>
      <c r="P67" s="64">
        <v>0.63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15" t="s">
        <v>1553</v>
      </c>
      <c r="B68" s="64">
        <v>0.97</v>
      </c>
      <c r="C68" s="64">
        <v>48.71</v>
      </c>
      <c r="D68" s="64">
        <v>47.75</v>
      </c>
      <c r="E68" s="64">
        <v>11.77</v>
      </c>
      <c r="F68" s="64">
        <v>21.61</v>
      </c>
      <c r="G68" s="64">
        <v>78.42</v>
      </c>
      <c r="H68" s="64">
        <v>19.95</v>
      </c>
      <c r="I68" s="64">
        <v>3.94</v>
      </c>
      <c r="J68" s="64">
        <v>0.34</v>
      </c>
      <c r="K68" s="64">
        <v>289.44</v>
      </c>
      <c r="L68" s="64">
        <v>35.200000000000003</v>
      </c>
      <c r="M68" s="64">
        <v>23.25</v>
      </c>
      <c r="N68" s="64">
        <v>274</v>
      </c>
      <c r="O68" s="64">
        <v>0</v>
      </c>
      <c r="P68" s="64">
        <v>0.67</v>
      </c>
      <c r="Q68" s="211" t="s">
        <v>43</v>
      </c>
      <c r="R68" s="198"/>
      <c r="S68" s="198"/>
      <c r="T68" s="198"/>
      <c r="U68" s="198"/>
    </row>
    <row r="69" spans="1:21" s="12" customFormat="1" x14ac:dyDescent="0.25">
      <c r="A69" s="215" t="s">
        <v>1554</v>
      </c>
      <c r="B69" s="64">
        <v>2.79</v>
      </c>
      <c r="C69" s="64">
        <v>59.93</v>
      </c>
      <c r="D69" s="64">
        <v>57.14</v>
      </c>
      <c r="E69" s="64">
        <v>9.51</v>
      </c>
      <c r="F69" s="64">
        <v>20.74</v>
      </c>
      <c r="G69" s="64">
        <v>78.42</v>
      </c>
      <c r="H69" s="64">
        <v>19.95</v>
      </c>
      <c r="I69" s="64">
        <v>4.08</v>
      </c>
      <c r="J69" s="64">
        <v>0.63</v>
      </c>
      <c r="K69" s="64">
        <v>315.39</v>
      </c>
      <c r="L69" s="64">
        <v>35.229999999999997</v>
      </c>
      <c r="M69" s="64">
        <v>23.74</v>
      </c>
      <c r="N69" s="64">
        <v>228.2</v>
      </c>
      <c r="O69" s="64">
        <v>0</v>
      </c>
      <c r="P69" s="64">
        <v>0.71</v>
      </c>
      <c r="Q69" s="211" t="s">
        <v>43</v>
      </c>
      <c r="R69" s="198"/>
      <c r="S69" s="198"/>
      <c r="T69" s="198"/>
      <c r="U69" s="198"/>
    </row>
    <row r="70" spans="1:21" s="12" customFormat="1" x14ac:dyDescent="0.25">
      <c r="A70" s="215" t="s">
        <v>1555</v>
      </c>
      <c r="B70" s="64">
        <v>6.72</v>
      </c>
      <c r="C70" s="64">
        <v>71.75</v>
      </c>
      <c r="D70" s="64">
        <v>65.03</v>
      </c>
      <c r="E70" s="64">
        <v>17.829999999999998</v>
      </c>
      <c r="F70" s="64">
        <v>30.16</v>
      </c>
      <c r="G70" s="64">
        <v>72.11</v>
      </c>
      <c r="H70" s="64">
        <v>19.13</v>
      </c>
      <c r="I70" s="64">
        <v>4.1900000000000004</v>
      </c>
      <c r="J70" s="64">
        <v>0.85</v>
      </c>
      <c r="K70" s="64">
        <v>339.51</v>
      </c>
      <c r="L70" s="64">
        <v>35.200000000000003</v>
      </c>
      <c r="M70" s="64">
        <v>24.03</v>
      </c>
      <c r="N70" s="64">
        <v>254.7</v>
      </c>
      <c r="O70" s="64">
        <v>0</v>
      </c>
      <c r="P70" s="64">
        <v>0.88</v>
      </c>
      <c r="Q70" s="211" t="s">
        <v>43</v>
      </c>
      <c r="R70" s="198"/>
      <c r="S70" s="198"/>
      <c r="T70" s="198"/>
      <c r="U70" s="198"/>
    </row>
    <row r="71" spans="1:21" s="12" customFormat="1" x14ac:dyDescent="0.25">
      <c r="A71" s="215" t="s">
        <v>1556</v>
      </c>
      <c r="B71" s="64">
        <v>4.03</v>
      </c>
      <c r="C71" s="64">
        <v>66.81</v>
      </c>
      <c r="D71" s="64">
        <v>62.78</v>
      </c>
      <c r="E71" s="64">
        <v>26.35</v>
      </c>
      <c r="F71" s="64">
        <v>30.13</v>
      </c>
      <c r="G71" s="64">
        <v>65.52</v>
      </c>
      <c r="H71" s="64">
        <v>18.27</v>
      </c>
      <c r="I71" s="64">
        <v>3.96</v>
      </c>
      <c r="J71" s="64">
        <v>0.73</v>
      </c>
      <c r="K71" s="64">
        <v>327.81</v>
      </c>
      <c r="L71" s="64">
        <v>35.840000000000003</v>
      </c>
      <c r="M71" s="64">
        <v>23.21</v>
      </c>
      <c r="N71" s="64">
        <v>232.5</v>
      </c>
      <c r="O71" s="64">
        <v>0</v>
      </c>
      <c r="P71" s="64">
        <v>0.91</v>
      </c>
      <c r="Q71" s="211" t="s">
        <v>43</v>
      </c>
      <c r="R71" s="198"/>
      <c r="S71" s="198"/>
      <c r="T71" s="198"/>
      <c r="U71" s="198"/>
    </row>
    <row r="72" spans="1:21" s="12" customFormat="1" x14ac:dyDescent="0.25">
      <c r="A72" s="215" t="s">
        <v>1557</v>
      </c>
      <c r="B72" s="64">
        <v>22.08</v>
      </c>
      <c r="C72" s="64">
        <v>108.88</v>
      </c>
      <c r="D72" s="64">
        <v>86.8</v>
      </c>
      <c r="E72" s="64">
        <v>26.04</v>
      </c>
      <c r="F72" s="64">
        <v>25.69</v>
      </c>
      <c r="G72" s="64">
        <v>65.52</v>
      </c>
      <c r="H72" s="64">
        <v>18.27</v>
      </c>
      <c r="I72" s="64">
        <v>4.0599999999999996</v>
      </c>
      <c r="J72" s="64">
        <v>0.47</v>
      </c>
      <c r="K72" s="64">
        <v>292.11</v>
      </c>
      <c r="L72" s="64">
        <v>35.29</v>
      </c>
      <c r="M72" s="64">
        <v>22.43</v>
      </c>
      <c r="N72" s="64">
        <v>213.9</v>
      </c>
      <c r="O72" s="64">
        <v>0</v>
      </c>
      <c r="P72" s="64">
        <v>0.88</v>
      </c>
      <c r="Q72" s="211" t="s">
        <v>43</v>
      </c>
      <c r="R72" s="198"/>
      <c r="S72" s="198"/>
      <c r="T72" s="198"/>
      <c r="U72" s="198"/>
    </row>
    <row r="73" spans="1:21" s="12" customFormat="1" x14ac:dyDescent="0.25">
      <c r="A73" s="215" t="s">
        <v>1558</v>
      </c>
      <c r="B73" s="64">
        <v>0.73</v>
      </c>
      <c r="C73" s="64">
        <v>48.47</v>
      </c>
      <c r="D73" s="64">
        <v>47.74</v>
      </c>
      <c r="E73" s="64">
        <v>29.56</v>
      </c>
      <c r="F73" s="64">
        <v>30.13</v>
      </c>
      <c r="G73" s="64">
        <v>65.52</v>
      </c>
      <c r="H73" s="64">
        <v>18.27</v>
      </c>
      <c r="I73" s="64">
        <v>3.99</v>
      </c>
      <c r="J73" s="64">
        <v>0.99</v>
      </c>
      <c r="K73" s="64">
        <v>166.62</v>
      </c>
      <c r="L73" s="64">
        <v>34.130000000000003</v>
      </c>
      <c r="M73" s="64">
        <v>22.99</v>
      </c>
      <c r="N73" s="64">
        <v>174.3</v>
      </c>
      <c r="O73" s="64">
        <v>0</v>
      </c>
      <c r="P73" s="64">
        <v>0.77</v>
      </c>
      <c r="Q73" s="211" t="s">
        <v>43</v>
      </c>
      <c r="R73" s="198"/>
      <c r="S73" s="198"/>
      <c r="T73" s="198"/>
      <c r="U73" s="198"/>
    </row>
    <row r="74" spans="1:21" s="12" customFormat="1" x14ac:dyDescent="0.25">
      <c r="A74" s="215" t="s">
        <v>1559</v>
      </c>
      <c r="B74" s="64">
        <v>7.41</v>
      </c>
      <c r="C74" s="64">
        <v>82.82</v>
      </c>
      <c r="D74" s="64">
        <v>75.41</v>
      </c>
      <c r="E74" s="64">
        <v>36.770000000000003</v>
      </c>
      <c r="F74" s="64">
        <v>31.49</v>
      </c>
      <c r="G74" s="64">
        <v>48.13</v>
      </c>
      <c r="H74" s="64">
        <v>17.62</v>
      </c>
      <c r="I74" s="64">
        <v>3.96</v>
      </c>
      <c r="J74" s="64">
        <v>0.28000000000000003</v>
      </c>
      <c r="K74" s="64">
        <v>8.65</v>
      </c>
      <c r="L74" s="64">
        <v>33.79</v>
      </c>
      <c r="M74" s="64">
        <v>24.02</v>
      </c>
      <c r="N74" s="64">
        <v>141.69999999999999</v>
      </c>
      <c r="O74" s="64">
        <v>0</v>
      </c>
      <c r="P74" s="64">
        <v>0.98</v>
      </c>
      <c r="Q74" s="211" t="s">
        <v>43</v>
      </c>
      <c r="R74" s="198"/>
      <c r="S74" s="198"/>
      <c r="T74" s="198"/>
      <c r="U74" s="198"/>
    </row>
    <row r="75" spans="1:21" s="12" customFormat="1" x14ac:dyDescent="0.25">
      <c r="A75" s="215" t="s">
        <v>1560</v>
      </c>
      <c r="B75" s="64">
        <v>9.9</v>
      </c>
      <c r="C75" s="64">
        <v>79.33</v>
      </c>
      <c r="D75" s="64">
        <v>69.430000000000007</v>
      </c>
      <c r="E75" s="64">
        <v>38.86</v>
      </c>
      <c r="F75" s="64">
        <v>31.46</v>
      </c>
      <c r="G75" s="64">
        <v>36.659999999999997</v>
      </c>
      <c r="H75" s="64">
        <v>16.93</v>
      </c>
      <c r="I75" s="64">
        <v>4</v>
      </c>
      <c r="J75" s="64">
        <v>0.76</v>
      </c>
      <c r="K75" s="64">
        <v>351.97</v>
      </c>
      <c r="L75" s="64">
        <v>34.07</v>
      </c>
      <c r="M75" s="64">
        <v>24.11</v>
      </c>
      <c r="N75" s="64">
        <v>160.19999999999999</v>
      </c>
      <c r="O75" s="64">
        <v>0</v>
      </c>
      <c r="P75" s="64">
        <v>1.04</v>
      </c>
      <c r="Q75" s="211" t="s">
        <v>43</v>
      </c>
      <c r="R75" s="198"/>
      <c r="S75" s="198"/>
      <c r="T75" s="198"/>
      <c r="U75" s="198"/>
    </row>
    <row r="76" spans="1:21" s="12" customFormat="1" x14ac:dyDescent="0.25">
      <c r="A76" s="215" t="s">
        <v>1561</v>
      </c>
      <c r="B76" s="64">
        <v>9.0399999999999991</v>
      </c>
      <c r="C76" s="64">
        <v>92.61</v>
      </c>
      <c r="D76" s="64">
        <v>83.57</v>
      </c>
      <c r="E76" s="64">
        <v>38.26</v>
      </c>
      <c r="F76" s="64">
        <v>28.57</v>
      </c>
      <c r="G76" s="64">
        <v>36.659999999999997</v>
      </c>
      <c r="H76" s="64">
        <v>16.93</v>
      </c>
      <c r="I76" s="64">
        <v>3.82</v>
      </c>
      <c r="J76" s="64">
        <v>0.75</v>
      </c>
      <c r="K76" s="64">
        <v>340.42</v>
      </c>
      <c r="L76" s="64">
        <v>34.5</v>
      </c>
      <c r="M76" s="64">
        <v>23.51</v>
      </c>
      <c r="N76" s="64">
        <v>137</v>
      </c>
      <c r="O76" s="64">
        <v>0</v>
      </c>
      <c r="P76" s="64">
        <v>1.19</v>
      </c>
      <c r="Q76" s="211" t="s">
        <v>43</v>
      </c>
      <c r="R76" s="198"/>
      <c r="S76" s="198"/>
      <c r="T76" s="198"/>
      <c r="U76" s="198"/>
    </row>
    <row r="77" spans="1:21" s="12" customFormat="1" x14ac:dyDescent="0.25">
      <c r="A77" s="215" t="s">
        <v>1562</v>
      </c>
      <c r="B77" s="64">
        <v>4.5</v>
      </c>
      <c r="C77" s="64">
        <v>70.22</v>
      </c>
      <c r="D77" s="64">
        <v>65.72</v>
      </c>
      <c r="E77" s="64">
        <v>37.119999999999997</v>
      </c>
      <c r="F77" s="64">
        <v>33.57</v>
      </c>
      <c r="G77" s="64">
        <v>36.659999999999997</v>
      </c>
      <c r="H77" s="64">
        <v>16.93</v>
      </c>
      <c r="I77" s="64">
        <v>3.97</v>
      </c>
      <c r="J77" s="64">
        <v>0.33</v>
      </c>
      <c r="K77" s="64">
        <v>58.9</v>
      </c>
      <c r="L77" s="64">
        <v>33.869999999999997</v>
      </c>
      <c r="M77" s="64">
        <v>23.65</v>
      </c>
      <c r="N77" s="64">
        <v>120.2</v>
      </c>
      <c r="O77" s="64">
        <v>0</v>
      </c>
      <c r="P77" s="64">
        <v>0.98</v>
      </c>
      <c r="Q77" s="211" t="s">
        <v>43</v>
      </c>
      <c r="R77" s="198"/>
      <c r="S77" s="198"/>
      <c r="T77" s="198"/>
      <c r="U77" s="198"/>
    </row>
    <row r="78" spans="1:21" s="12" customFormat="1" x14ac:dyDescent="0.25">
      <c r="A78" s="215" t="s">
        <v>1563</v>
      </c>
      <c r="B78" s="64">
        <v>2.27</v>
      </c>
      <c r="C78" s="64">
        <v>69.42</v>
      </c>
      <c r="D78" s="64">
        <v>67.150000000000006</v>
      </c>
      <c r="E78" s="64">
        <v>36.44</v>
      </c>
      <c r="F78" s="64">
        <v>33.72</v>
      </c>
      <c r="G78" s="64">
        <v>51.5</v>
      </c>
      <c r="H78" s="64">
        <v>19.14</v>
      </c>
      <c r="I78" s="64">
        <v>4.12</v>
      </c>
      <c r="J78" s="64">
        <v>0.25</v>
      </c>
      <c r="K78" s="64">
        <v>166.7</v>
      </c>
      <c r="L78" s="64">
        <v>33.5</v>
      </c>
      <c r="M78" s="64">
        <v>23.68</v>
      </c>
      <c r="N78" s="64">
        <v>105.3</v>
      </c>
      <c r="O78" s="64">
        <v>0</v>
      </c>
      <c r="P78" s="64">
        <v>0.76</v>
      </c>
      <c r="Q78" s="211" t="s">
        <v>43</v>
      </c>
      <c r="R78" s="198"/>
      <c r="S78" s="198"/>
      <c r="T78" s="198"/>
      <c r="U78" s="198"/>
    </row>
    <row r="79" spans="1:21" s="12" customFormat="1" x14ac:dyDescent="0.25">
      <c r="A79" s="215" t="s">
        <v>1564</v>
      </c>
      <c r="B79" s="64">
        <v>1.51</v>
      </c>
      <c r="C79" s="64">
        <v>56.83</v>
      </c>
      <c r="D79" s="64">
        <v>55.32</v>
      </c>
      <c r="E79" s="64">
        <v>34.03</v>
      </c>
      <c r="F79" s="64">
        <v>34.31</v>
      </c>
      <c r="G79" s="64">
        <v>59.59</v>
      </c>
      <c r="H79" s="64">
        <v>21.45</v>
      </c>
      <c r="I79" s="64">
        <v>4.0199999999999996</v>
      </c>
      <c r="J79" s="64">
        <v>0.48</v>
      </c>
      <c r="K79" s="64">
        <v>110.84</v>
      </c>
      <c r="L79" s="64">
        <v>33.229999999999997</v>
      </c>
      <c r="M79" s="64">
        <v>24.39</v>
      </c>
      <c r="N79" s="64">
        <v>90.9</v>
      </c>
      <c r="O79" s="64">
        <v>0</v>
      </c>
      <c r="P79" s="64">
        <v>0.79</v>
      </c>
      <c r="Q79" s="211" t="s">
        <v>43</v>
      </c>
      <c r="R79" s="198"/>
      <c r="S79" s="198"/>
      <c r="T79" s="198"/>
      <c r="U79" s="198"/>
    </row>
    <row r="80" spans="1:21" s="12" customFormat="1" x14ac:dyDescent="0.25">
      <c r="A80" s="215" t="s">
        <v>1565</v>
      </c>
      <c r="B80" s="64">
        <v>0.66</v>
      </c>
      <c r="C80" s="64">
        <v>56.38</v>
      </c>
      <c r="D80" s="64">
        <v>55.72</v>
      </c>
      <c r="E80" s="64">
        <v>27.17</v>
      </c>
      <c r="F80" s="64">
        <v>30.5</v>
      </c>
      <c r="G80" s="64">
        <v>59.59</v>
      </c>
      <c r="H80" s="64">
        <v>21.45</v>
      </c>
      <c r="I80" s="64">
        <v>4.13</v>
      </c>
      <c r="J80" s="64">
        <v>0.71</v>
      </c>
      <c r="K80" s="64">
        <v>159.16</v>
      </c>
      <c r="L80" s="64">
        <v>32.89</v>
      </c>
      <c r="M80" s="64">
        <v>25.47</v>
      </c>
      <c r="N80" s="64">
        <v>70.900000000000006</v>
      </c>
      <c r="O80" s="64">
        <v>0</v>
      </c>
      <c r="P80" s="64">
        <v>0.68</v>
      </c>
      <c r="Q80" s="211" t="s">
        <v>43</v>
      </c>
      <c r="R80" s="198"/>
      <c r="S80" s="198"/>
      <c r="T80" s="198"/>
      <c r="U80" s="198"/>
    </row>
    <row r="81" spans="1:26" s="12" customFormat="1" x14ac:dyDescent="0.25">
      <c r="A81" s="215" t="s">
        <v>1566</v>
      </c>
      <c r="B81" s="64">
        <v>0.94</v>
      </c>
      <c r="C81" s="64">
        <v>74.86</v>
      </c>
      <c r="D81" s="64">
        <v>73.92</v>
      </c>
      <c r="E81" s="64">
        <v>24.65</v>
      </c>
      <c r="F81" s="64">
        <v>28.63</v>
      </c>
      <c r="G81" s="64">
        <v>59.59</v>
      </c>
      <c r="H81" s="64">
        <v>21.45</v>
      </c>
      <c r="I81" s="64">
        <v>4.01</v>
      </c>
      <c r="J81" s="64">
        <v>0.31</v>
      </c>
      <c r="K81" s="64">
        <v>196.99</v>
      </c>
      <c r="L81" s="64">
        <v>32.51</v>
      </c>
      <c r="M81" s="64">
        <v>26.45</v>
      </c>
      <c r="N81" s="64">
        <v>54.3</v>
      </c>
      <c r="O81" s="64">
        <v>0</v>
      </c>
      <c r="P81" s="64">
        <v>0.83</v>
      </c>
      <c r="Q81" s="211" t="s">
        <v>43</v>
      </c>
      <c r="R81" s="198"/>
      <c r="S81" s="198"/>
      <c r="T81" s="198"/>
      <c r="U81" s="198"/>
    </row>
    <row r="82" spans="1:26" s="12" customFormat="1" x14ac:dyDescent="0.25">
      <c r="A82" s="215" t="s">
        <v>1567</v>
      </c>
      <c r="B82" s="64">
        <v>0.79</v>
      </c>
      <c r="C82" s="64">
        <v>87.88</v>
      </c>
      <c r="D82" s="64">
        <v>87.08</v>
      </c>
      <c r="E82" s="64">
        <v>21.62</v>
      </c>
      <c r="F82" s="64">
        <v>24.48</v>
      </c>
      <c r="G82" s="64">
        <v>69.819999999999993</v>
      </c>
      <c r="H82" s="64">
        <v>20.309999999999999</v>
      </c>
      <c r="I82" s="64">
        <v>4.09</v>
      </c>
      <c r="J82" s="64">
        <v>0.56999999999999995</v>
      </c>
      <c r="K82" s="64">
        <v>187.14</v>
      </c>
      <c r="L82" s="64">
        <v>32</v>
      </c>
      <c r="M82" s="64">
        <v>28.08</v>
      </c>
      <c r="N82" s="64">
        <v>46.4</v>
      </c>
      <c r="O82" s="64">
        <v>0</v>
      </c>
      <c r="P82" s="64">
        <v>0.92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15" t="s">
        <v>1568</v>
      </c>
      <c r="B83" s="64">
        <v>13.29</v>
      </c>
      <c r="C83" s="64">
        <v>143.33000000000001</v>
      </c>
      <c r="D83" s="64">
        <v>130.03</v>
      </c>
      <c r="E83" s="64">
        <v>17.21</v>
      </c>
      <c r="F83" s="64">
        <v>15.83</v>
      </c>
      <c r="G83" s="64">
        <v>80.06</v>
      </c>
      <c r="H83" s="64">
        <v>19.12</v>
      </c>
      <c r="I83" s="64">
        <v>4.03</v>
      </c>
      <c r="J83" s="64">
        <v>0.47</v>
      </c>
      <c r="K83" s="64">
        <v>246.46</v>
      </c>
      <c r="L83" s="64">
        <v>31.38</v>
      </c>
      <c r="M83" s="64">
        <v>29.72</v>
      </c>
      <c r="N83" s="64">
        <v>45.6</v>
      </c>
      <c r="O83" s="64">
        <v>0</v>
      </c>
      <c r="P83" s="64">
        <v>1.17</v>
      </c>
      <c r="Q83" s="211" t="s">
        <v>43</v>
      </c>
      <c r="R83" s="198"/>
      <c r="S83" s="198"/>
      <c r="T83" s="198"/>
      <c r="U83" s="198"/>
    </row>
    <row r="84" spans="1:26" s="12" customFormat="1" x14ac:dyDescent="0.25">
      <c r="A84" s="215" t="s">
        <v>1569</v>
      </c>
      <c r="B84" s="64">
        <v>78</v>
      </c>
      <c r="C84" s="64">
        <v>234.82</v>
      </c>
      <c r="D84" s="64">
        <v>156.82</v>
      </c>
      <c r="E84" s="64">
        <v>15.68</v>
      </c>
      <c r="F84" s="64">
        <v>8.7799999999999994</v>
      </c>
      <c r="G84" s="64">
        <v>80.06</v>
      </c>
      <c r="H84" s="64">
        <v>19.12</v>
      </c>
      <c r="I84" s="64">
        <v>4.0599999999999996</v>
      </c>
      <c r="J84" s="64">
        <v>0.22</v>
      </c>
      <c r="K84" s="64">
        <v>348.51</v>
      </c>
      <c r="L84" s="64">
        <v>30.66</v>
      </c>
      <c r="M84" s="64">
        <v>34.5</v>
      </c>
      <c r="N84" s="64">
        <v>45.6</v>
      </c>
      <c r="O84" s="64">
        <v>0</v>
      </c>
      <c r="P84" s="64">
        <v>2.4900000000000002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15" t="s">
        <v>1570</v>
      </c>
      <c r="B85" s="64">
        <v>71.97</v>
      </c>
      <c r="C85" s="64">
        <v>237.25</v>
      </c>
      <c r="D85" s="64">
        <v>165.28</v>
      </c>
      <c r="E85" s="64">
        <v>14.55</v>
      </c>
      <c r="F85" s="64">
        <v>7.35</v>
      </c>
      <c r="G85" s="64">
        <v>80.06</v>
      </c>
      <c r="H85" s="64">
        <v>19.12</v>
      </c>
      <c r="I85" s="64">
        <v>3.99</v>
      </c>
      <c r="J85" s="64">
        <v>0.33</v>
      </c>
      <c r="K85" s="64">
        <v>128.91</v>
      </c>
      <c r="L85" s="64">
        <v>30.05</v>
      </c>
      <c r="M85" s="64">
        <v>34.96</v>
      </c>
      <c r="N85" s="64">
        <v>45.1</v>
      </c>
      <c r="O85" s="64">
        <v>0</v>
      </c>
      <c r="P85" s="64">
        <v>1.75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15" t="s">
        <v>1571</v>
      </c>
      <c r="B86" s="64">
        <v>87.1</v>
      </c>
      <c r="C86" s="64">
        <v>256.91000000000003</v>
      </c>
      <c r="D86" s="64">
        <v>169.81</v>
      </c>
      <c r="E86" s="64">
        <v>14.4</v>
      </c>
      <c r="F86" s="64">
        <v>7.1</v>
      </c>
      <c r="G86" s="64">
        <v>88.57</v>
      </c>
      <c r="H86" s="64">
        <v>22.09</v>
      </c>
      <c r="I86" s="64">
        <v>4.01</v>
      </c>
      <c r="J86" s="64">
        <v>0.51</v>
      </c>
      <c r="K86" s="64">
        <v>229.54</v>
      </c>
      <c r="L86" s="64">
        <v>29.72</v>
      </c>
      <c r="M86" s="64">
        <v>36.770000000000003</v>
      </c>
      <c r="N86" s="64">
        <v>45</v>
      </c>
      <c r="O86" s="64">
        <v>0</v>
      </c>
      <c r="P86" s="64">
        <v>1.72</v>
      </c>
      <c r="Q86" s="211" t="s">
        <v>43</v>
      </c>
      <c r="R86" s="198"/>
      <c r="S86" s="198"/>
      <c r="T86" s="198"/>
      <c r="U86" s="198"/>
    </row>
    <row r="87" spans="1:26" s="12" customFormat="1" x14ac:dyDescent="0.25">
      <c r="A87" s="215" t="s">
        <v>1572</v>
      </c>
      <c r="B87" s="64">
        <v>28.85</v>
      </c>
      <c r="C87" s="64">
        <v>180.35</v>
      </c>
      <c r="D87" s="64">
        <v>151.5</v>
      </c>
      <c r="E87" s="64">
        <v>15.31</v>
      </c>
      <c r="F87" s="64">
        <v>8.23</v>
      </c>
      <c r="G87" s="64">
        <v>97.46</v>
      </c>
      <c r="H87" s="64">
        <v>25.18</v>
      </c>
      <c r="I87" s="64">
        <v>3.92</v>
      </c>
      <c r="J87" s="64">
        <v>0.47</v>
      </c>
      <c r="K87" s="64">
        <v>252.33</v>
      </c>
      <c r="L87" s="64">
        <v>29.78</v>
      </c>
      <c r="M87" s="64">
        <v>35.78</v>
      </c>
      <c r="N87" s="64">
        <v>44.8</v>
      </c>
      <c r="O87" s="64">
        <v>0</v>
      </c>
      <c r="P87" s="64">
        <v>1.84</v>
      </c>
      <c r="Q87" s="211" t="s">
        <v>43</v>
      </c>
      <c r="R87" s="198"/>
      <c r="S87" s="198"/>
      <c r="T87" s="198"/>
      <c r="U87" s="198"/>
    </row>
    <row r="88" spans="1:26" s="12" customFormat="1" x14ac:dyDescent="0.25">
      <c r="A88" s="215" t="s">
        <v>1573</v>
      </c>
      <c r="B88" s="64">
        <v>79.48</v>
      </c>
      <c r="C88" s="64">
        <v>209.74</v>
      </c>
      <c r="D88" s="64">
        <v>130.26</v>
      </c>
      <c r="E88" s="64">
        <v>15.86</v>
      </c>
      <c r="F88" s="64">
        <v>9.7899999999999991</v>
      </c>
      <c r="G88" s="64">
        <v>97.46</v>
      </c>
      <c r="H88" s="64">
        <v>25.18</v>
      </c>
      <c r="I88" s="64">
        <v>3.87</v>
      </c>
      <c r="J88" s="64">
        <v>0.45</v>
      </c>
      <c r="K88" s="64">
        <v>285.98</v>
      </c>
      <c r="L88" s="64">
        <v>29.44</v>
      </c>
      <c r="M88" s="64">
        <v>36.729999999999997</v>
      </c>
      <c r="N88" s="64">
        <v>45</v>
      </c>
      <c r="O88" s="64">
        <v>0</v>
      </c>
      <c r="P88" s="64">
        <v>2.5499999999999998</v>
      </c>
      <c r="Q88" s="211" t="s">
        <v>43</v>
      </c>
      <c r="R88" s="198"/>
      <c r="S88" s="198"/>
      <c r="T88" s="198"/>
      <c r="U88" s="198"/>
    </row>
    <row r="89" spans="1:26" s="12" customFormat="1" x14ac:dyDescent="0.25">
      <c r="A89" s="215" t="s">
        <v>1574</v>
      </c>
      <c r="B89" s="64">
        <v>47.89</v>
      </c>
      <c r="C89" s="64">
        <v>193.05</v>
      </c>
      <c r="D89" s="64">
        <v>145.16</v>
      </c>
      <c r="E89" s="64">
        <v>13.17</v>
      </c>
      <c r="F89" s="64">
        <v>6.77</v>
      </c>
      <c r="G89" s="64">
        <v>97.46</v>
      </c>
      <c r="H89" s="64">
        <v>25.18</v>
      </c>
      <c r="I89" s="64">
        <v>4.05</v>
      </c>
      <c r="J89" s="64">
        <v>0.33</v>
      </c>
      <c r="K89" s="64">
        <v>277.20999999999998</v>
      </c>
      <c r="L89" s="64">
        <v>28.9</v>
      </c>
      <c r="M89" s="64">
        <v>38.6</v>
      </c>
      <c r="N89" s="64">
        <v>45.9</v>
      </c>
      <c r="O89" s="64">
        <v>0</v>
      </c>
      <c r="P89" s="64">
        <v>2.41</v>
      </c>
      <c r="Q89" s="211" t="s">
        <v>43</v>
      </c>
      <c r="R89" s="198"/>
      <c r="S89" s="198"/>
      <c r="T89" s="198"/>
      <c r="U89" s="198"/>
    </row>
    <row r="90" spans="1:26" s="12" customFormat="1" x14ac:dyDescent="0.25">
      <c r="A90" s="215" t="s">
        <v>1575</v>
      </c>
      <c r="B90" s="64">
        <v>40.130000000000003</v>
      </c>
      <c r="C90" s="64">
        <v>170.27</v>
      </c>
      <c r="D90" s="64">
        <v>130.13999999999999</v>
      </c>
      <c r="E90" s="64">
        <v>11.55</v>
      </c>
      <c r="F90" s="64">
        <v>8.3699999999999992</v>
      </c>
      <c r="G90" s="64">
        <v>112.14</v>
      </c>
      <c r="H90" s="64">
        <v>27.36</v>
      </c>
      <c r="I90" s="64">
        <v>3.99</v>
      </c>
      <c r="J90" s="64">
        <v>0.78</v>
      </c>
      <c r="K90" s="64">
        <v>189.9</v>
      </c>
      <c r="L90" s="64">
        <v>29.09</v>
      </c>
      <c r="M90" s="64">
        <v>36.22</v>
      </c>
      <c r="N90" s="64">
        <v>46.3</v>
      </c>
      <c r="O90" s="64">
        <v>0</v>
      </c>
      <c r="P90" s="64">
        <v>1.62</v>
      </c>
      <c r="Q90" s="211" t="s">
        <v>43</v>
      </c>
      <c r="R90" s="198"/>
      <c r="S90" s="198"/>
      <c r="T90" s="198"/>
      <c r="U90" s="198"/>
    </row>
    <row r="91" spans="1:26" s="12" customFormat="1" x14ac:dyDescent="0.25">
      <c r="A91" s="215" t="s">
        <v>1576</v>
      </c>
      <c r="B91" s="64">
        <v>23.07</v>
      </c>
      <c r="C91" s="64">
        <v>105.41</v>
      </c>
      <c r="D91" s="64">
        <v>82.34</v>
      </c>
      <c r="E91" s="64">
        <v>6.17</v>
      </c>
      <c r="F91" s="64">
        <v>9.82</v>
      </c>
      <c r="G91" s="64">
        <v>127.49</v>
      </c>
      <c r="H91" s="64">
        <v>29.63</v>
      </c>
      <c r="I91" s="64">
        <v>3.98</v>
      </c>
      <c r="J91" s="64">
        <v>1.25</v>
      </c>
      <c r="K91" s="64">
        <v>156.96</v>
      </c>
      <c r="L91" s="64">
        <v>29.31</v>
      </c>
      <c r="M91" s="64">
        <v>35.020000000000003</v>
      </c>
      <c r="N91" s="64">
        <v>47.1</v>
      </c>
      <c r="O91" s="64">
        <v>0</v>
      </c>
      <c r="P91" s="64">
        <v>1.21</v>
      </c>
      <c r="Q91" s="211" t="s">
        <v>43</v>
      </c>
      <c r="R91" s="198"/>
      <c r="S91" s="198"/>
      <c r="T91" s="198"/>
      <c r="U91" s="198"/>
    </row>
    <row r="92" spans="1:26" s="12" customFormat="1" x14ac:dyDescent="0.25">
      <c r="A92" s="215" t="s">
        <v>1577</v>
      </c>
      <c r="B92" s="64">
        <v>19.86</v>
      </c>
      <c r="C92" s="64">
        <v>97.26</v>
      </c>
      <c r="D92" s="64">
        <v>77.400000000000006</v>
      </c>
      <c r="E92" s="64">
        <v>5.26</v>
      </c>
      <c r="F92" s="64">
        <v>10.66</v>
      </c>
      <c r="G92" s="64">
        <v>127.49</v>
      </c>
      <c r="H92" s="64">
        <v>29.63</v>
      </c>
      <c r="I92" s="64">
        <v>3.93</v>
      </c>
      <c r="J92" s="64">
        <v>1.52</v>
      </c>
      <c r="K92" s="64">
        <v>159.29</v>
      </c>
      <c r="L92" s="64">
        <v>28.82</v>
      </c>
      <c r="M92" s="64">
        <v>36.340000000000003</v>
      </c>
      <c r="N92" s="64">
        <v>47.9</v>
      </c>
      <c r="O92" s="64">
        <v>0</v>
      </c>
      <c r="P92" s="64">
        <v>1.07</v>
      </c>
      <c r="Q92" s="211" t="s">
        <v>43</v>
      </c>
      <c r="R92" s="198"/>
      <c r="S92" s="198"/>
      <c r="T92" s="198"/>
      <c r="U92" s="198"/>
    </row>
    <row r="93" spans="1:26" s="12" customFormat="1" x14ac:dyDescent="0.25">
      <c r="A93" s="215" t="s">
        <v>1578</v>
      </c>
      <c r="B93" s="64">
        <v>18.27</v>
      </c>
      <c r="C93" s="64">
        <v>93.91</v>
      </c>
      <c r="D93" s="64">
        <v>75.64</v>
      </c>
      <c r="E93" s="64">
        <v>4.47</v>
      </c>
      <c r="F93" s="64">
        <v>10.8</v>
      </c>
      <c r="G93" s="64">
        <v>127.49</v>
      </c>
      <c r="H93" s="64">
        <v>29.63</v>
      </c>
      <c r="I93" s="64">
        <v>4</v>
      </c>
      <c r="J93" s="64">
        <v>1.48</v>
      </c>
      <c r="K93" s="64">
        <v>162.78</v>
      </c>
      <c r="L93" s="64">
        <v>28.48</v>
      </c>
      <c r="M93" s="64">
        <v>37.4</v>
      </c>
      <c r="N93" s="64">
        <v>47.9</v>
      </c>
      <c r="O93" s="64">
        <v>0</v>
      </c>
      <c r="P93" s="64">
        <v>1.08</v>
      </c>
      <c r="Q93" s="211" t="s">
        <v>43</v>
      </c>
      <c r="R93" s="198"/>
      <c r="S93" s="198"/>
      <c r="T93" s="198"/>
      <c r="U93" s="198"/>
    </row>
    <row r="94" spans="1:26" s="12" customFormat="1" x14ac:dyDescent="0.25">
      <c r="A94" s="215" t="s">
        <v>1579</v>
      </c>
      <c r="B94" s="64">
        <v>14.32</v>
      </c>
      <c r="C94" s="64">
        <v>85.99</v>
      </c>
      <c r="D94" s="64">
        <v>71.680000000000007</v>
      </c>
      <c r="E94" s="64">
        <v>5.32</v>
      </c>
      <c r="F94" s="64">
        <v>11.38</v>
      </c>
      <c r="G94" s="64">
        <v>104.16</v>
      </c>
      <c r="H94" s="64">
        <v>27.58</v>
      </c>
      <c r="I94" s="64">
        <v>3.94</v>
      </c>
      <c r="J94" s="64">
        <v>1.23</v>
      </c>
      <c r="K94" s="64">
        <v>164.13</v>
      </c>
      <c r="L94" s="64">
        <v>28.14</v>
      </c>
      <c r="M94" s="64">
        <v>38.5</v>
      </c>
      <c r="N94" s="64">
        <v>47.8</v>
      </c>
      <c r="O94" s="64">
        <v>0</v>
      </c>
      <c r="P94" s="64">
        <v>0.88</v>
      </c>
      <c r="Q94" s="211" t="s">
        <v>43</v>
      </c>
      <c r="R94" s="198"/>
      <c r="S94" s="198"/>
      <c r="T94" s="198"/>
      <c r="U94" s="198"/>
    </row>
    <row r="95" spans="1:26" s="12" customFormat="1" x14ac:dyDescent="0.25">
      <c r="A95" s="215" t="s">
        <v>1580</v>
      </c>
      <c r="B95" s="64">
        <v>15.37</v>
      </c>
      <c r="C95" s="64">
        <v>87.42</v>
      </c>
      <c r="D95" s="64">
        <v>72.05</v>
      </c>
      <c r="E95" s="64">
        <v>4.53</v>
      </c>
      <c r="F95" s="64">
        <v>10.19</v>
      </c>
      <c r="G95" s="64">
        <v>79.77</v>
      </c>
      <c r="H95" s="64">
        <v>25.43</v>
      </c>
      <c r="I95" s="64">
        <v>4.08</v>
      </c>
      <c r="J95" s="64">
        <v>1.62</v>
      </c>
      <c r="K95" s="64">
        <v>159.65</v>
      </c>
      <c r="L95" s="64">
        <v>27.88</v>
      </c>
      <c r="M95" s="64">
        <v>38.82</v>
      </c>
      <c r="N95" s="64">
        <v>47.6</v>
      </c>
      <c r="O95" s="64">
        <v>0</v>
      </c>
      <c r="P95" s="64">
        <v>1.03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15" t="s">
        <v>1581</v>
      </c>
      <c r="B96" s="64">
        <v>12.82</v>
      </c>
      <c r="C96" s="64">
        <v>83.9</v>
      </c>
      <c r="D96" s="64">
        <v>71.08</v>
      </c>
      <c r="E96" s="64">
        <v>4.72</v>
      </c>
      <c r="F96" s="64">
        <v>10.51</v>
      </c>
      <c r="G96" s="64">
        <v>79.77</v>
      </c>
      <c r="H96" s="64">
        <v>25.43</v>
      </c>
      <c r="I96" s="64">
        <v>3.81</v>
      </c>
      <c r="J96" s="64">
        <v>1.29</v>
      </c>
      <c r="K96" s="64">
        <v>165.3</v>
      </c>
      <c r="L96" s="64">
        <v>27.67</v>
      </c>
      <c r="M96" s="64">
        <v>39.29</v>
      </c>
      <c r="N96" s="64">
        <v>47.6</v>
      </c>
      <c r="O96" s="64">
        <v>0</v>
      </c>
      <c r="P96" s="64">
        <v>0.93</v>
      </c>
      <c r="Q96" s="211" t="s">
        <v>43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1582</v>
      </c>
      <c r="B97" s="64">
        <v>14.57</v>
      </c>
      <c r="C97" s="64">
        <v>88.86</v>
      </c>
      <c r="D97" s="64">
        <v>74.28</v>
      </c>
      <c r="E97" s="64">
        <v>4.1399999999999997</v>
      </c>
      <c r="F97" s="64">
        <v>6.76</v>
      </c>
      <c r="G97" s="64">
        <v>79.77</v>
      </c>
      <c r="H97" s="64">
        <v>25.43</v>
      </c>
      <c r="I97" s="64">
        <v>4.01</v>
      </c>
      <c r="J97" s="64">
        <v>1.21</v>
      </c>
      <c r="K97" s="64">
        <v>164.47</v>
      </c>
      <c r="L97" s="64">
        <v>27.4</v>
      </c>
      <c r="M97" s="64">
        <v>39.94</v>
      </c>
      <c r="N97" s="64">
        <v>47.7</v>
      </c>
      <c r="O97" s="64">
        <v>0</v>
      </c>
      <c r="P97" s="64">
        <v>1.02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15" t="s">
        <v>1583</v>
      </c>
      <c r="B98" s="64">
        <v>12.29</v>
      </c>
      <c r="C98" s="64">
        <v>85.7</v>
      </c>
      <c r="D98" s="64">
        <v>73.41</v>
      </c>
      <c r="E98" s="64">
        <v>4.24</v>
      </c>
      <c r="F98" s="64">
        <v>7.96</v>
      </c>
      <c r="G98" s="64">
        <v>62.9</v>
      </c>
      <c r="H98" s="64">
        <v>23.9</v>
      </c>
      <c r="I98" s="64">
        <v>3.96</v>
      </c>
      <c r="J98" s="64">
        <v>1.4</v>
      </c>
      <c r="K98" s="64">
        <v>160.04</v>
      </c>
      <c r="L98" s="64">
        <v>27.08</v>
      </c>
      <c r="M98" s="64">
        <v>40.6</v>
      </c>
      <c r="N98" s="64">
        <v>47.7</v>
      </c>
      <c r="O98" s="64">
        <v>0</v>
      </c>
      <c r="P98" s="64">
        <v>0.93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15" t="s">
        <v>1584</v>
      </c>
      <c r="B99" s="64">
        <v>9.8699999999999992</v>
      </c>
      <c r="C99" s="64">
        <v>79.69</v>
      </c>
      <c r="D99" s="64">
        <v>69.819999999999993</v>
      </c>
      <c r="E99" s="64">
        <v>3.9</v>
      </c>
      <c r="F99" s="64">
        <v>8.5500000000000007</v>
      </c>
      <c r="G99" s="64">
        <v>46.02</v>
      </c>
      <c r="H99" s="64">
        <v>22.3</v>
      </c>
      <c r="I99" s="64">
        <v>4.09</v>
      </c>
      <c r="J99" s="64">
        <v>1.23</v>
      </c>
      <c r="K99" s="64">
        <v>167.99</v>
      </c>
      <c r="L99" s="64">
        <v>26.85</v>
      </c>
      <c r="M99" s="64">
        <v>40.94</v>
      </c>
      <c r="N99" s="64">
        <v>47.6</v>
      </c>
      <c r="O99" s="64">
        <v>0</v>
      </c>
      <c r="P99" s="64">
        <v>0.86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15" t="s">
        <v>1585</v>
      </c>
      <c r="B100" s="64">
        <v>8.6</v>
      </c>
      <c r="C100" s="64">
        <v>78.569999999999993</v>
      </c>
      <c r="D100" s="64">
        <v>69.97</v>
      </c>
      <c r="E100" s="64">
        <v>3.32</v>
      </c>
      <c r="F100" s="64">
        <v>7.69</v>
      </c>
      <c r="G100" s="64">
        <v>46.02</v>
      </c>
      <c r="H100" s="64">
        <v>22.3</v>
      </c>
      <c r="I100" s="64">
        <v>3.98</v>
      </c>
      <c r="J100" s="64">
        <v>1.28</v>
      </c>
      <c r="K100" s="64">
        <v>162.43</v>
      </c>
      <c r="L100" s="64">
        <v>26.68</v>
      </c>
      <c r="M100" s="64">
        <v>41.23</v>
      </c>
      <c r="N100" s="64">
        <v>47.6</v>
      </c>
      <c r="O100" s="64">
        <v>0</v>
      </c>
      <c r="P100" s="64">
        <v>0.82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1586</v>
      </c>
      <c r="B101" s="64">
        <v>6.27</v>
      </c>
      <c r="C101" s="64">
        <v>70.930000000000007</v>
      </c>
      <c r="D101" s="64">
        <v>64.67</v>
      </c>
      <c r="E101" s="64">
        <v>3.54</v>
      </c>
      <c r="F101" s="64">
        <v>9.66</v>
      </c>
      <c r="G101" s="64">
        <v>46.02</v>
      </c>
      <c r="H101" s="64">
        <v>22.3</v>
      </c>
      <c r="I101" s="64">
        <v>3.92</v>
      </c>
      <c r="J101" s="64">
        <v>1.06</v>
      </c>
      <c r="K101" s="64">
        <v>164.5</v>
      </c>
      <c r="L101" s="64">
        <v>26.43</v>
      </c>
      <c r="M101" s="64">
        <v>41.95</v>
      </c>
      <c r="N101" s="64">
        <v>47.7</v>
      </c>
      <c r="O101" s="64">
        <v>0</v>
      </c>
      <c r="P101" s="64">
        <v>0.74</v>
      </c>
      <c r="Q101" s="211" t="s">
        <v>43</v>
      </c>
      <c r="R101" s="198"/>
      <c r="S101" s="198"/>
      <c r="T101" s="198"/>
      <c r="U101" s="198"/>
    </row>
    <row r="102" spans="1:33" s="12" customFormat="1" x14ac:dyDescent="0.25">
      <c r="A102" s="215" t="s">
        <v>1587</v>
      </c>
      <c r="B102" s="64">
        <v>6.26</v>
      </c>
      <c r="C102" s="64">
        <v>73.510000000000005</v>
      </c>
      <c r="D102" s="64">
        <v>67.25</v>
      </c>
      <c r="E102" s="64">
        <v>2.89</v>
      </c>
      <c r="F102" s="64">
        <v>8.8000000000000007</v>
      </c>
      <c r="G102" s="64">
        <v>52.51</v>
      </c>
      <c r="H102" s="64">
        <v>20.71</v>
      </c>
      <c r="I102" s="64">
        <v>3.82</v>
      </c>
      <c r="J102" s="64">
        <v>1.69</v>
      </c>
      <c r="K102" s="64">
        <v>158.99</v>
      </c>
      <c r="L102" s="64">
        <v>26.29</v>
      </c>
      <c r="M102" s="64">
        <v>41.9</v>
      </c>
      <c r="N102" s="64">
        <v>47.4</v>
      </c>
      <c r="O102" s="64">
        <v>0</v>
      </c>
      <c r="P102" s="64">
        <v>0.77</v>
      </c>
      <c r="Q102" s="211" t="s">
        <v>43</v>
      </c>
      <c r="R102" s="198"/>
      <c r="S102" s="198"/>
      <c r="T102" s="198"/>
      <c r="U102" s="198"/>
    </row>
    <row r="103" spans="1:33" s="12" customFormat="1" x14ac:dyDescent="0.25">
      <c r="A103" s="215" t="s">
        <v>1588</v>
      </c>
      <c r="B103" s="64">
        <v>5.04</v>
      </c>
      <c r="C103" s="64">
        <v>72.98</v>
      </c>
      <c r="D103" s="64">
        <v>67.94</v>
      </c>
      <c r="E103" s="64">
        <v>2.81</v>
      </c>
      <c r="F103" s="64">
        <v>7.59</v>
      </c>
      <c r="G103" s="64">
        <v>59.31</v>
      </c>
      <c r="H103" s="64">
        <v>19.05</v>
      </c>
      <c r="I103" s="64">
        <v>3.88</v>
      </c>
      <c r="J103" s="64">
        <v>1.36</v>
      </c>
      <c r="K103" s="64">
        <v>163.81</v>
      </c>
      <c r="L103" s="64">
        <v>26.13</v>
      </c>
      <c r="M103" s="64">
        <v>42.04</v>
      </c>
      <c r="N103" s="64">
        <v>47.6</v>
      </c>
      <c r="O103" s="64">
        <v>0</v>
      </c>
      <c r="P103" s="64">
        <v>0.72</v>
      </c>
      <c r="Q103" s="211" t="s">
        <v>43</v>
      </c>
      <c r="R103" s="198"/>
      <c r="S103" s="198"/>
      <c r="T103" s="198"/>
      <c r="U103" s="198"/>
    </row>
    <row r="104" spans="1:33" s="12" customFormat="1" x14ac:dyDescent="0.25">
      <c r="A104" s="215" t="s">
        <v>1589</v>
      </c>
      <c r="B104" s="64">
        <v>4.1100000000000003</v>
      </c>
      <c r="C104" s="64">
        <v>71.2</v>
      </c>
      <c r="D104" s="64">
        <v>67.099999999999994</v>
      </c>
      <c r="E104" s="64">
        <v>3.27</v>
      </c>
      <c r="F104" s="64">
        <v>7.89</v>
      </c>
      <c r="G104" s="64">
        <v>59.31</v>
      </c>
      <c r="H104" s="64">
        <v>19.05</v>
      </c>
      <c r="I104" s="64">
        <v>3.81</v>
      </c>
      <c r="J104" s="64">
        <v>1.51</v>
      </c>
      <c r="K104" s="64">
        <v>162.13</v>
      </c>
      <c r="L104" s="64">
        <v>26.04</v>
      </c>
      <c r="M104" s="64">
        <v>41.38</v>
      </c>
      <c r="N104" s="64">
        <v>47.5</v>
      </c>
      <c r="O104" s="64">
        <v>0</v>
      </c>
      <c r="P104" s="64">
        <v>0.69</v>
      </c>
      <c r="Q104" s="211" t="s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0.34</v>
      </c>
      <c r="C106" s="67">
        <f>MIN(C9:C104)</f>
        <v>34.659999999999997</v>
      </c>
      <c r="D106" s="67">
        <f t="shared" ref="D106:Q106" si="0">MIN(D9:D104)</f>
        <v>47.74</v>
      </c>
      <c r="E106" s="67">
        <f t="shared" si="0"/>
        <v>1.94</v>
      </c>
      <c r="F106" s="67">
        <f t="shared" si="0"/>
        <v>6.39</v>
      </c>
      <c r="G106" s="67">
        <f t="shared" si="0"/>
        <v>33.4</v>
      </c>
      <c r="H106" s="67">
        <f t="shared" si="0"/>
        <v>7.12</v>
      </c>
      <c r="I106" s="67">
        <f t="shared" si="0"/>
        <v>3.8</v>
      </c>
      <c r="J106" s="67">
        <f t="shared" si="0"/>
        <v>0.14000000000000001</v>
      </c>
      <c r="K106" s="67">
        <f t="shared" si="0"/>
        <v>8.65</v>
      </c>
      <c r="L106" s="67">
        <f t="shared" si="0"/>
        <v>23.36</v>
      </c>
      <c r="M106" s="67">
        <f t="shared" si="0"/>
        <v>22.43</v>
      </c>
      <c r="N106" s="67">
        <f t="shared" si="0"/>
        <v>44.8</v>
      </c>
      <c r="O106" s="67">
        <f t="shared" si="0"/>
        <v>0</v>
      </c>
      <c r="P106" s="67">
        <f t="shared" si="0"/>
        <v>0.39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87.1</v>
      </c>
      <c r="C107" s="66">
        <f t="shared" ref="C107:Q107" si="1">MAX(C9:C104)</f>
        <v>256.91000000000003</v>
      </c>
      <c r="D107" s="66">
        <f t="shared" si="1"/>
        <v>169.81</v>
      </c>
      <c r="E107" s="66">
        <f t="shared" si="1"/>
        <v>38.86</v>
      </c>
      <c r="F107" s="66">
        <f t="shared" si="1"/>
        <v>34.31</v>
      </c>
      <c r="G107" s="66">
        <f t="shared" si="1"/>
        <v>209.86</v>
      </c>
      <c r="H107" s="66">
        <f t="shared" si="1"/>
        <v>41.29</v>
      </c>
      <c r="I107" s="66">
        <f t="shared" si="1"/>
        <v>4.1900000000000004</v>
      </c>
      <c r="J107" s="66">
        <f t="shared" si="1"/>
        <v>1.69</v>
      </c>
      <c r="K107" s="66">
        <f t="shared" si="1"/>
        <v>351.97</v>
      </c>
      <c r="L107" s="66">
        <f t="shared" si="1"/>
        <v>36.58</v>
      </c>
      <c r="M107" s="66">
        <f t="shared" si="1"/>
        <v>51.13</v>
      </c>
      <c r="N107" s="66">
        <f t="shared" si="1"/>
        <v>856.3</v>
      </c>
      <c r="O107" s="66">
        <f t="shared" si="1"/>
        <v>0</v>
      </c>
      <c r="P107" s="66">
        <f t="shared" si="1"/>
        <v>2.5499999999999998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13.549565217391295</v>
      </c>
      <c r="C108" s="67">
        <f t="shared" ref="C108:Q108" si="2">AVERAGE(C9:C104)</f>
        <v>75.708260869565194</v>
      </c>
      <c r="D108" s="67">
        <f t="shared" si="2"/>
        <v>82.383152173913047</v>
      </c>
      <c r="E108" s="67">
        <f t="shared" si="2"/>
        <v>10.359450549450546</v>
      </c>
      <c r="F108" s="67">
        <f t="shared" si="2"/>
        <v>13.303958333333334</v>
      </c>
      <c r="G108" s="67">
        <f t="shared" si="2"/>
        <v>76.959347826086997</v>
      </c>
      <c r="H108" s="67">
        <f t="shared" si="2"/>
        <v>21.518260869565225</v>
      </c>
      <c r="I108" s="67">
        <f t="shared" si="2"/>
        <v>3.9885416666666669</v>
      </c>
      <c r="J108" s="67">
        <f t="shared" si="2"/>
        <v>0.78281250000000002</v>
      </c>
      <c r="K108" s="67">
        <f t="shared" si="2"/>
        <v>213.92479166666672</v>
      </c>
      <c r="L108" s="67">
        <f t="shared" si="2"/>
        <v>29.410937500000003</v>
      </c>
      <c r="M108" s="67">
        <f t="shared" si="2"/>
        <v>35.872499999999995</v>
      </c>
      <c r="N108" s="67">
        <f t="shared" si="2"/>
        <v>211.703125</v>
      </c>
      <c r="O108" s="67">
        <f t="shared" si="2"/>
        <v>0</v>
      </c>
      <c r="P108" s="67">
        <f t="shared" si="2"/>
        <v>0.81347368421052613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17.306271042350648</v>
      </c>
      <c r="C109" s="67">
        <f t="shared" ref="C109:Q109" si="3">STDEV(C9:C104)</f>
        <v>43.825102536409489</v>
      </c>
      <c r="D109" s="67">
        <f t="shared" si="3"/>
        <v>24.333062296469006</v>
      </c>
      <c r="E109" s="67">
        <f t="shared" si="3"/>
        <v>10.129139632503328</v>
      </c>
      <c r="F109" s="67">
        <f t="shared" si="3"/>
        <v>8.2093253109743163</v>
      </c>
      <c r="G109" s="67">
        <f t="shared" si="3"/>
        <v>34.153346039939287</v>
      </c>
      <c r="H109" s="67">
        <f t="shared" si="3"/>
        <v>6.8104666714438054</v>
      </c>
      <c r="I109" s="67">
        <f t="shared" si="3"/>
        <v>8.7923162227824536E-2</v>
      </c>
      <c r="J109" s="67">
        <f t="shared" si="3"/>
        <v>0.40255422158485588</v>
      </c>
      <c r="K109" s="67">
        <f t="shared" si="3"/>
        <v>87.584932902497926</v>
      </c>
      <c r="L109" s="67">
        <f t="shared" si="3"/>
        <v>4.2741524436830716</v>
      </c>
      <c r="M109" s="67">
        <f t="shared" si="3"/>
        <v>9.2729833954683638</v>
      </c>
      <c r="N109" s="67">
        <f t="shared" si="3"/>
        <v>224.10363178584419</v>
      </c>
      <c r="O109" s="67">
        <f t="shared" si="3"/>
        <v>0</v>
      </c>
      <c r="P109" s="67">
        <f t="shared" si="3"/>
        <v>0.41227126068308306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 t="shared" ref="C110:D110" si="4">COUNT(C9:C104)+4</f>
        <v>96</v>
      </c>
      <c r="D110" s="66">
        <f t="shared" si="4"/>
        <v>96</v>
      </c>
      <c r="E110" s="66">
        <f>COUNT(E9:E104)+5</f>
        <v>96</v>
      </c>
      <c r="F110" s="66">
        <f t="shared" ref="F110:O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COUNT(P9:P104)+1</f>
        <v>96</v>
      </c>
      <c r="Q110" s="66">
        <f>COUNT(Q9:Q104)</f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9" sqref="Q9:Q6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1590</v>
      </c>
      <c r="B9" s="64">
        <v>3.13</v>
      </c>
      <c r="C9" s="64">
        <v>66.19</v>
      </c>
      <c r="D9" s="64">
        <v>63.07</v>
      </c>
      <c r="E9" s="64">
        <v>3.15</v>
      </c>
      <c r="F9" s="64">
        <v>8.32</v>
      </c>
      <c r="G9" s="64">
        <v>59.31</v>
      </c>
      <c r="H9" s="64">
        <v>19.05</v>
      </c>
      <c r="I9" s="64">
        <v>3.82</v>
      </c>
      <c r="J9" s="64">
        <v>1.29</v>
      </c>
      <c r="K9" s="64">
        <v>161.03</v>
      </c>
      <c r="L9" s="64">
        <v>25.92</v>
      </c>
      <c r="M9" s="64">
        <v>41.38</v>
      </c>
      <c r="N9" s="64">
        <v>47.5</v>
      </c>
      <c r="O9" s="64">
        <v>0</v>
      </c>
      <c r="P9" s="64">
        <v>0.64</v>
      </c>
      <c r="Q9" s="211" t="s">
        <v>43</v>
      </c>
      <c r="R9" s="198"/>
      <c r="S9" s="198"/>
      <c r="T9" s="198"/>
      <c r="U9" s="198"/>
    </row>
    <row r="10" spans="1:21" s="12" customFormat="1" x14ac:dyDescent="0.25">
      <c r="A10" s="215" t="s">
        <v>1591</v>
      </c>
      <c r="B10" s="64">
        <v>2.2400000000000002</v>
      </c>
      <c r="C10" s="64">
        <v>61.53</v>
      </c>
      <c r="D10" s="64">
        <v>59.3</v>
      </c>
      <c r="E10" s="64">
        <v>3.07</v>
      </c>
      <c r="F10" s="64">
        <v>8.76</v>
      </c>
      <c r="G10" s="64">
        <v>50.81</v>
      </c>
      <c r="H10" s="64">
        <v>17.329999999999998</v>
      </c>
      <c r="I10" s="64">
        <v>3.86</v>
      </c>
      <c r="J10" s="64">
        <v>1.26</v>
      </c>
      <c r="K10" s="64">
        <v>162.08000000000001</v>
      </c>
      <c r="L10" s="64">
        <v>25.82</v>
      </c>
      <c r="M10" s="64">
        <v>41.7</v>
      </c>
      <c r="N10" s="64">
        <v>47.6</v>
      </c>
      <c r="O10" s="64">
        <v>0</v>
      </c>
      <c r="P10" s="64">
        <v>0.57999999999999996</v>
      </c>
      <c r="Q10" s="211" t="s">
        <v>43</v>
      </c>
      <c r="R10" s="198"/>
      <c r="S10" s="198"/>
      <c r="T10" s="198"/>
      <c r="U10" s="198"/>
    </row>
    <row r="11" spans="1:21" s="12" customFormat="1" x14ac:dyDescent="0.25">
      <c r="A11" s="215" t="s">
        <v>1592</v>
      </c>
      <c r="B11" s="64">
        <v>1.1499999999999999</v>
      </c>
      <c r="C11" s="64">
        <v>45.19</v>
      </c>
      <c r="D11" s="64">
        <v>44.04</v>
      </c>
      <c r="E11" s="64">
        <v>3.83</v>
      </c>
      <c r="F11" s="64">
        <v>18.5</v>
      </c>
      <c r="G11" s="64">
        <v>42.31</v>
      </c>
      <c r="H11" s="64">
        <v>15.61</v>
      </c>
      <c r="I11" s="64">
        <v>3.87</v>
      </c>
      <c r="J11" s="64">
        <v>0.51</v>
      </c>
      <c r="K11" s="64">
        <v>178.53</v>
      </c>
      <c r="L11" s="64">
        <v>25.6</v>
      </c>
      <c r="M11" s="64">
        <v>42.49</v>
      </c>
      <c r="N11" s="64">
        <v>47.9</v>
      </c>
      <c r="O11" s="64">
        <v>0</v>
      </c>
      <c r="P11" s="64">
        <v>0.36</v>
      </c>
      <c r="Q11" s="211" t="s">
        <v>43</v>
      </c>
      <c r="R11" s="198"/>
      <c r="S11" s="198"/>
      <c r="T11" s="198"/>
      <c r="U11" s="198"/>
    </row>
    <row r="12" spans="1:21" s="12" customFormat="1" x14ac:dyDescent="0.25">
      <c r="A12" s="215" t="s">
        <v>1593</v>
      </c>
      <c r="B12" s="64">
        <v>1.17</v>
      </c>
      <c r="C12" s="64">
        <v>40.32</v>
      </c>
      <c r="D12" s="64">
        <v>39.15</v>
      </c>
      <c r="E12" s="64">
        <v>4.32</v>
      </c>
      <c r="F12" s="64">
        <v>17.68</v>
      </c>
      <c r="G12" s="64">
        <v>42.31</v>
      </c>
      <c r="H12" s="64">
        <v>15.61</v>
      </c>
      <c r="I12" s="64">
        <v>4.0599999999999996</v>
      </c>
      <c r="J12" s="64">
        <v>0.64</v>
      </c>
      <c r="K12" s="64">
        <v>163.58000000000001</v>
      </c>
      <c r="L12" s="64">
        <v>25.22</v>
      </c>
      <c r="M12" s="64">
        <v>44.04</v>
      </c>
      <c r="N12" s="64">
        <v>47.7</v>
      </c>
      <c r="O12" s="64">
        <v>0</v>
      </c>
      <c r="P12" s="64">
        <v>0.3</v>
      </c>
      <c r="Q12" s="211" t="s">
        <v>43</v>
      </c>
      <c r="R12" s="198"/>
      <c r="S12" s="198"/>
      <c r="T12" s="198"/>
      <c r="U12" s="198"/>
    </row>
    <row r="13" spans="1:21" s="12" customFormat="1" x14ac:dyDescent="0.25">
      <c r="A13" s="215" t="s">
        <v>1594</v>
      </c>
      <c r="B13" s="64">
        <v>1.52</v>
      </c>
      <c r="C13" s="64">
        <v>43.7</v>
      </c>
      <c r="D13" s="64">
        <v>42.18</v>
      </c>
      <c r="E13" s="64">
        <v>4.07</v>
      </c>
      <c r="F13" s="64">
        <v>15.01</v>
      </c>
      <c r="G13" s="64">
        <v>42.31</v>
      </c>
      <c r="H13" s="64">
        <v>15.61</v>
      </c>
      <c r="I13" s="64">
        <v>4.18</v>
      </c>
      <c r="J13" s="64">
        <v>0.65</v>
      </c>
      <c r="K13" s="64">
        <v>173.72</v>
      </c>
      <c r="L13" s="64">
        <v>25.08</v>
      </c>
      <c r="M13" s="64">
        <v>44.24</v>
      </c>
      <c r="N13" s="64">
        <v>47.6</v>
      </c>
      <c r="O13" s="64">
        <v>0</v>
      </c>
      <c r="P13" s="64">
        <v>0.38</v>
      </c>
      <c r="Q13" s="211" t="s">
        <v>43</v>
      </c>
      <c r="R13" s="198"/>
      <c r="S13" s="198"/>
      <c r="T13" s="198"/>
      <c r="U13" s="198"/>
    </row>
    <row r="14" spans="1:21" s="12" customFormat="1" x14ac:dyDescent="0.25">
      <c r="A14" s="215" t="s">
        <v>1595</v>
      </c>
      <c r="B14" s="64">
        <v>1.25</v>
      </c>
      <c r="C14" s="64">
        <v>36.79</v>
      </c>
      <c r="D14" s="64">
        <v>35.54</v>
      </c>
      <c r="E14" s="64">
        <v>4.3899999999999997</v>
      </c>
      <c r="F14" s="64">
        <v>19.53</v>
      </c>
      <c r="G14" s="64">
        <v>36.78</v>
      </c>
      <c r="H14" s="64">
        <v>14.49</v>
      </c>
      <c r="I14" s="64">
        <v>4.07</v>
      </c>
      <c r="J14" s="64">
        <v>0.49</v>
      </c>
      <c r="K14" s="64">
        <v>251.74</v>
      </c>
      <c r="L14" s="64">
        <v>24.85</v>
      </c>
      <c r="M14" s="64">
        <v>44.18</v>
      </c>
      <c r="N14" s="64">
        <v>47.9</v>
      </c>
      <c r="O14" s="64">
        <v>0</v>
      </c>
      <c r="P14" s="64">
        <v>0.3</v>
      </c>
      <c r="Q14" s="211" t="s">
        <v>43</v>
      </c>
      <c r="R14" s="198"/>
      <c r="S14" s="198"/>
      <c r="T14" s="198"/>
      <c r="U14" s="198"/>
    </row>
    <row r="15" spans="1:21" s="12" customFormat="1" x14ac:dyDescent="0.25">
      <c r="A15" s="215" t="s">
        <v>1596</v>
      </c>
      <c r="B15" s="64">
        <v>1.37</v>
      </c>
      <c r="C15" s="64">
        <v>35.85</v>
      </c>
      <c r="D15" s="64">
        <v>34.479999999999997</v>
      </c>
      <c r="E15" s="64">
        <v>5</v>
      </c>
      <c r="F15" s="64">
        <v>17.260000000000002</v>
      </c>
      <c r="G15" s="64">
        <v>31</v>
      </c>
      <c r="H15" s="64">
        <v>13.31</v>
      </c>
      <c r="I15" s="64">
        <v>4.05</v>
      </c>
      <c r="J15" s="64">
        <v>0.34</v>
      </c>
      <c r="K15" s="64">
        <v>211.32</v>
      </c>
      <c r="L15" s="64">
        <v>24.56</v>
      </c>
      <c r="M15" s="64">
        <v>45.45</v>
      </c>
      <c r="N15" s="64">
        <v>47.8</v>
      </c>
      <c r="O15" s="64">
        <v>0</v>
      </c>
      <c r="P15" s="64">
        <v>0.3</v>
      </c>
      <c r="Q15" s="211" t="s">
        <v>43</v>
      </c>
      <c r="R15" s="198"/>
      <c r="S15" s="198"/>
      <c r="T15" s="198"/>
      <c r="U15" s="198"/>
    </row>
    <row r="16" spans="1:21" s="12" customFormat="1" x14ac:dyDescent="0.25">
      <c r="A16" s="215" t="s">
        <v>1597</v>
      </c>
      <c r="B16" s="64">
        <v>2.23</v>
      </c>
      <c r="C16" s="64">
        <v>46.39</v>
      </c>
      <c r="D16" s="64">
        <v>44.16</v>
      </c>
      <c r="E16" s="64">
        <v>3.91</v>
      </c>
      <c r="F16" s="64">
        <v>9.85</v>
      </c>
      <c r="G16" s="64">
        <v>31</v>
      </c>
      <c r="H16" s="64">
        <v>13.31</v>
      </c>
      <c r="I16" s="64">
        <v>3.9</v>
      </c>
      <c r="J16" s="64">
        <v>1.43</v>
      </c>
      <c r="K16" s="64">
        <v>158.84</v>
      </c>
      <c r="L16" s="64">
        <v>24.63</v>
      </c>
      <c r="M16" s="64">
        <v>45.65</v>
      </c>
      <c r="N16" s="64">
        <v>46.5</v>
      </c>
      <c r="O16" s="64">
        <v>0</v>
      </c>
      <c r="P16" s="64">
        <v>0.53</v>
      </c>
      <c r="Q16" s="211" t="s">
        <v>43</v>
      </c>
      <c r="R16" s="198"/>
      <c r="S16" s="198"/>
      <c r="T16" s="198"/>
      <c r="U16" s="198"/>
    </row>
    <row r="17" spans="1:21" s="12" customFormat="1" x14ac:dyDescent="0.25">
      <c r="A17" s="215" t="s">
        <v>1598</v>
      </c>
      <c r="B17" s="64">
        <v>1.99</v>
      </c>
      <c r="C17" s="64">
        <v>44.82</v>
      </c>
      <c r="D17" s="64">
        <v>42.83</v>
      </c>
      <c r="E17" s="64">
        <v>4.13</v>
      </c>
      <c r="F17" s="64">
        <v>12.33</v>
      </c>
      <c r="G17" s="64">
        <v>31</v>
      </c>
      <c r="H17" s="64">
        <v>13.31</v>
      </c>
      <c r="I17" s="64">
        <v>3.95</v>
      </c>
      <c r="J17" s="64">
        <v>0.95</v>
      </c>
      <c r="K17" s="64">
        <v>165.37</v>
      </c>
      <c r="L17" s="64">
        <v>24.71</v>
      </c>
      <c r="M17" s="64">
        <v>45.13</v>
      </c>
      <c r="N17" s="64">
        <v>47.4</v>
      </c>
      <c r="O17" s="64">
        <v>0</v>
      </c>
      <c r="P17" s="64">
        <v>0.5</v>
      </c>
      <c r="Q17" s="211" t="s">
        <v>43</v>
      </c>
      <c r="R17" s="198"/>
      <c r="S17" s="198"/>
      <c r="T17" s="198"/>
      <c r="U17" s="198"/>
    </row>
    <row r="18" spans="1:21" s="12" customFormat="1" x14ac:dyDescent="0.25">
      <c r="A18" s="215" t="s">
        <v>1599</v>
      </c>
      <c r="B18" s="64">
        <v>2.23</v>
      </c>
      <c r="C18" s="64">
        <v>47.34</v>
      </c>
      <c r="D18" s="64">
        <v>45.11</v>
      </c>
      <c r="E18" s="64">
        <v>3.87</v>
      </c>
      <c r="F18" s="64">
        <v>10.78</v>
      </c>
      <c r="G18" s="64">
        <v>25.44</v>
      </c>
      <c r="H18" s="64">
        <v>13.32</v>
      </c>
      <c r="I18" s="64">
        <v>3.95</v>
      </c>
      <c r="J18" s="64">
        <v>1.04</v>
      </c>
      <c r="K18" s="64">
        <v>163.69999999999999</v>
      </c>
      <c r="L18" s="64">
        <v>24.68</v>
      </c>
      <c r="M18" s="64">
        <v>45.15</v>
      </c>
      <c r="N18" s="64">
        <v>47.3</v>
      </c>
      <c r="O18" s="64">
        <v>0</v>
      </c>
      <c r="P18" s="64">
        <v>0.48</v>
      </c>
      <c r="Q18" s="211" t="s">
        <v>43</v>
      </c>
      <c r="R18" s="198"/>
      <c r="S18" s="198"/>
      <c r="T18" s="198"/>
      <c r="U18" s="198"/>
    </row>
    <row r="19" spans="1:21" s="12" customFormat="1" x14ac:dyDescent="0.25">
      <c r="A19" s="215" t="s">
        <v>1600</v>
      </c>
      <c r="B19" s="64">
        <v>2.69</v>
      </c>
      <c r="C19" s="64">
        <v>54.81</v>
      </c>
      <c r="D19" s="64">
        <v>52.12</v>
      </c>
      <c r="E19" s="64">
        <v>3.47</v>
      </c>
      <c r="F19" s="64">
        <v>7.03</v>
      </c>
      <c r="G19" s="64">
        <v>19.63</v>
      </c>
      <c r="H19" s="64">
        <v>13.32</v>
      </c>
      <c r="I19" s="64">
        <v>3.94</v>
      </c>
      <c r="J19" s="64">
        <v>1.36</v>
      </c>
      <c r="K19" s="64">
        <v>160.97</v>
      </c>
      <c r="L19" s="64">
        <v>24.7</v>
      </c>
      <c r="M19" s="64">
        <v>45.26</v>
      </c>
      <c r="N19" s="64">
        <v>47.2</v>
      </c>
      <c r="O19" s="64">
        <v>0</v>
      </c>
      <c r="P19" s="64">
        <v>0.53</v>
      </c>
      <c r="Q19" s="211" t="s">
        <v>43</v>
      </c>
      <c r="R19" s="198"/>
      <c r="S19" s="198"/>
      <c r="T19" s="198"/>
      <c r="U19" s="198"/>
    </row>
    <row r="20" spans="1:21" s="12" customFormat="1" x14ac:dyDescent="0.25">
      <c r="A20" s="215" t="s">
        <v>1601</v>
      </c>
      <c r="B20" s="64">
        <v>2.4</v>
      </c>
      <c r="C20" s="64">
        <v>54.93</v>
      </c>
      <c r="D20" s="64">
        <v>52.53</v>
      </c>
      <c r="E20" s="64">
        <v>3.68</v>
      </c>
      <c r="F20" s="64">
        <v>9.8699999999999992</v>
      </c>
      <c r="G20" s="64">
        <v>19.63</v>
      </c>
      <c r="H20" s="64">
        <v>13.32</v>
      </c>
      <c r="I20" s="64">
        <v>4.04</v>
      </c>
      <c r="J20" s="64">
        <v>0.57999999999999996</v>
      </c>
      <c r="K20" s="64">
        <v>184.15</v>
      </c>
      <c r="L20" s="64">
        <v>24.72</v>
      </c>
      <c r="M20" s="64">
        <v>45.4</v>
      </c>
      <c r="N20" s="64">
        <v>47.7</v>
      </c>
      <c r="O20" s="64">
        <v>0</v>
      </c>
      <c r="P20" s="64">
        <v>0.49</v>
      </c>
      <c r="Q20" s="211" t="s">
        <v>43</v>
      </c>
      <c r="R20" s="198"/>
      <c r="S20" s="198"/>
      <c r="T20" s="198"/>
      <c r="U20" s="198"/>
    </row>
    <row r="21" spans="1:21" s="12" customFormat="1" x14ac:dyDescent="0.25">
      <c r="A21" s="215" t="s">
        <v>1602</v>
      </c>
      <c r="B21" s="64">
        <v>1.59</v>
      </c>
      <c r="C21" s="64">
        <v>47.58</v>
      </c>
      <c r="D21" s="64">
        <v>45.99</v>
      </c>
      <c r="E21" s="64">
        <v>4.04</v>
      </c>
      <c r="F21" s="64">
        <v>12.77</v>
      </c>
      <c r="G21" s="64">
        <v>19.63</v>
      </c>
      <c r="H21" s="64">
        <v>13.32</v>
      </c>
      <c r="I21" s="64">
        <v>3.86</v>
      </c>
      <c r="J21" s="64">
        <v>0.47</v>
      </c>
      <c r="K21" s="64">
        <v>178.5</v>
      </c>
      <c r="L21" s="64">
        <v>24.7</v>
      </c>
      <c r="M21" s="64">
        <v>46.09</v>
      </c>
      <c r="N21" s="64">
        <v>47.8</v>
      </c>
      <c r="O21" s="64">
        <v>0</v>
      </c>
      <c r="P21" s="64">
        <v>0.44</v>
      </c>
      <c r="Q21" s="211" t="s">
        <v>43</v>
      </c>
      <c r="R21" s="198"/>
      <c r="S21" s="198"/>
      <c r="T21" s="198"/>
      <c r="U21" s="198"/>
    </row>
    <row r="22" spans="1:21" s="12" customFormat="1" x14ac:dyDescent="0.25">
      <c r="A22" s="215" t="s">
        <v>1603</v>
      </c>
      <c r="B22" s="64">
        <v>1.45</v>
      </c>
      <c r="C22" s="64">
        <v>46.07</v>
      </c>
      <c r="D22" s="64">
        <v>44.62</v>
      </c>
      <c r="E22" s="64">
        <v>3.7</v>
      </c>
      <c r="F22" s="64">
        <v>10.6</v>
      </c>
      <c r="G22" s="64">
        <v>24.3</v>
      </c>
      <c r="H22" s="64">
        <v>13.31</v>
      </c>
      <c r="I22" s="64">
        <v>3.81</v>
      </c>
      <c r="J22" s="64">
        <v>0.62</v>
      </c>
      <c r="K22" s="64">
        <v>202.77</v>
      </c>
      <c r="L22" s="64">
        <v>24.61</v>
      </c>
      <c r="M22" s="64">
        <v>46.2</v>
      </c>
      <c r="N22" s="64">
        <v>47.8</v>
      </c>
      <c r="O22" s="64">
        <v>0</v>
      </c>
      <c r="P22" s="64">
        <v>0.43</v>
      </c>
      <c r="Q22" s="211" t="s">
        <v>43</v>
      </c>
      <c r="R22" s="198"/>
      <c r="S22" s="198"/>
      <c r="T22" s="198"/>
      <c r="U22" s="198"/>
    </row>
    <row r="23" spans="1:21" s="12" customFormat="1" x14ac:dyDescent="0.25">
      <c r="A23" s="215" t="s">
        <v>1604</v>
      </c>
      <c r="B23" s="64">
        <v>1.62</v>
      </c>
      <c r="C23" s="64">
        <v>51.21</v>
      </c>
      <c r="D23" s="64">
        <v>49.6</v>
      </c>
      <c r="E23" s="64">
        <v>3.07</v>
      </c>
      <c r="F23" s="64">
        <v>8.7200000000000006</v>
      </c>
      <c r="G23" s="64">
        <v>29.18</v>
      </c>
      <c r="H23" s="64">
        <v>13.29</v>
      </c>
      <c r="I23" s="64">
        <v>3.97</v>
      </c>
      <c r="J23" s="64">
        <v>0.56000000000000005</v>
      </c>
      <c r="K23" s="64">
        <v>188.75</v>
      </c>
      <c r="L23" s="64">
        <v>24.31</v>
      </c>
      <c r="M23" s="64">
        <v>47.98</v>
      </c>
      <c r="N23" s="64">
        <v>47.9</v>
      </c>
      <c r="O23" s="64">
        <v>0</v>
      </c>
      <c r="P23" s="64">
        <v>0.45</v>
      </c>
      <c r="Q23" s="211" t="s">
        <v>43</v>
      </c>
      <c r="R23" s="198"/>
      <c r="S23" s="198"/>
      <c r="T23" s="198"/>
      <c r="U23" s="198"/>
    </row>
    <row r="24" spans="1:21" s="12" customFormat="1" x14ac:dyDescent="0.25">
      <c r="A24" s="215" t="s">
        <v>1605</v>
      </c>
      <c r="B24" s="64">
        <v>1.54</v>
      </c>
      <c r="C24" s="64">
        <v>50.67</v>
      </c>
      <c r="D24" s="64">
        <v>49.13</v>
      </c>
      <c r="E24" s="64">
        <v>3.48</v>
      </c>
      <c r="F24" s="64">
        <v>7.76</v>
      </c>
      <c r="G24" s="64">
        <v>29.18</v>
      </c>
      <c r="H24" s="64">
        <v>13.29</v>
      </c>
      <c r="I24" s="64">
        <v>3.99</v>
      </c>
      <c r="J24" s="64">
        <v>0.73</v>
      </c>
      <c r="K24" s="64">
        <v>178.68</v>
      </c>
      <c r="L24" s="64">
        <v>24.05</v>
      </c>
      <c r="M24" s="64">
        <v>48.85</v>
      </c>
      <c r="N24" s="64">
        <v>47.7</v>
      </c>
      <c r="O24" s="64">
        <v>0</v>
      </c>
      <c r="P24" s="64">
        <v>0.43</v>
      </c>
      <c r="Q24" s="211" t="s">
        <v>43</v>
      </c>
      <c r="R24" s="198"/>
      <c r="S24" s="198"/>
      <c r="T24" s="198"/>
      <c r="U24" s="198"/>
    </row>
    <row r="25" spans="1:21" s="12" customFormat="1" x14ac:dyDescent="0.25">
      <c r="A25" s="215" t="s">
        <v>1606</v>
      </c>
      <c r="B25" s="64">
        <v>1.71</v>
      </c>
      <c r="C25" s="64">
        <v>51.57</v>
      </c>
      <c r="D25" s="64">
        <v>49.86</v>
      </c>
      <c r="E25" s="64">
        <v>3.61</v>
      </c>
      <c r="F25" s="64">
        <v>7.17</v>
      </c>
      <c r="G25" s="64">
        <v>29.18</v>
      </c>
      <c r="H25" s="64">
        <v>13.29</v>
      </c>
      <c r="I25" s="64">
        <v>3.96</v>
      </c>
      <c r="J25" s="64">
        <v>0.87</v>
      </c>
      <c r="K25" s="64">
        <v>156.43</v>
      </c>
      <c r="L25" s="64">
        <v>23.92</v>
      </c>
      <c r="M25" s="64">
        <v>49.09</v>
      </c>
      <c r="N25" s="64">
        <v>47.7</v>
      </c>
      <c r="O25" s="64">
        <v>0</v>
      </c>
      <c r="P25" s="64">
        <v>0.43</v>
      </c>
      <c r="Q25" s="211" t="s">
        <v>43</v>
      </c>
      <c r="R25" s="198"/>
      <c r="S25" s="198"/>
      <c r="T25" s="198"/>
      <c r="U25" s="198"/>
    </row>
    <row r="26" spans="1:21" s="12" customFormat="1" x14ac:dyDescent="0.25">
      <c r="A26" s="215" t="s">
        <v>1607</v>
      </c>
      <c r="B26" s="64">
        <v>2.64</v>
      </c>
      <c r="C26" s="64">
        <v>54.19</v>
      </c>
      <c r="D26" s="64">
        <v>51.55</v>
      </c>
      <c r="E26" s="64">
        <v>3.47</v>
      </c>
      <c r="F26" s="64">
        <v>8.43</v>
      </c>
      <c r="G26" s="64">
        <v>24.3</v>
      </c>
      <c r="H26" s="64">
        <v>11.87</v>
      </c>
      <c r="I26" s="64">
        <v>4.07</v>
      </c>
      <c r="J26" s="64">
        <v>1.31</v>
      </c>
      <c r="K26" s="64">
        <v>358.14</v>
      </c>
      <c r="L26" s="64">
        <v>23.85</v>
      </c>
      <c r="M26" s="64">
        <v>50.49</v>
      </c>
      <c r="N26" s="64">
        <v>47.8</v>
      </c>
      <c r="O26" s="64">
        <v>0</v>
      </c>
      <c r="P26" s="64">
        <v>0.43</v>
      </c>
      <c r="Q26" s="211" t="s">
        <v>43</v>
      </c>
      <c r="R26" s="198"/>
      <c r="S26" s="198"/>
      <c r="T26" s="198"/>
      <c r="U26" s="198"/>
    </row>
    <row r="27" spans="1:21" s="12" customFormat="1" x14ac:dyDescent="0.25">
      <c r="A27" s="215" t="s">
        <v>1608</v>
      </c>
      <c r="B27" s="64">
        <v>2.97</v>
      </c>
      <c r="C27" s="64">
        <v>48.98</v>
      </c>
      <c r="D27" s="64">
        <v>46.01</v>
      </c>
      <c r="E27" s="64">
        <v>3.87</v>
      </c>
      <c r="F27" s="64">
        <v>11.61</v>
      </c>
      <c r="G27" s="64">
        <v>19.190000000000001</v>
      </c>
      <c r="H27" s="64">
        <v>10.39</v>
      </c>
      <c r="I27" s="64">
        <v>3.9</v>
      </c>
      <c r="J27" s="64">
        <v>0.44</v>
      </c>
      <c r="K27" s="64">
        <v>348.86</v>
      </c>
      <c r="L27" s="64">
        <v>23.81</v>
      </c>
      <c r="M27" s="64">
        <v>50.55</v>
      </c>
      <c r="N27" s="64">
        <v>47.9</v>
      </c>
      <c r="O27" s="64">
        <v>0</v>
      </c>
      <c r="P27" s="64">
        <v>0.38</v>
      </c>
      <c r="Q27" s="211" t="s">
        <v>43</v>
      </c>
      <c r="R27" s="198"/>
      <c r="S27" s="198"/>
      <c r="T27" s="198"/>
      <c r="U27" s="198"/>
    </row>
    <row r="28" spans="1:21" s="12" customFormat="1" x14ac:dyDescent="0.25">
      <c r="A28" s="215" t="s">
        <v>1609</v>
      </c>
      <c r="B28" s="64">
        <v>2.3199999999999998</v>
      </c>
      <c r="C28" s="64">
        <v>51.44</v>
      </c>
      <c r="D28" s="64">
        <v>49.12</v>
      </c>
      <c r="E28" s="64">
        <v>4.03</v>
      </c>
      <c r="F28" s="64">
        <v>10.64</v>
      </c>
      <c r="G28" s="64">
        <v>19.190000000000001</v>
      </c>
      <c r="H28" s="64">
        <v>10.39</v>
      </c>
      <c r="I28" s="64">
        <v>4.03</v>
      </c>
      <c r="J28" s="64">
        <v>0.48</v>
      </c>
      <c r="K28" s="64">
        <v>72.760000000000005</v>
      </c>
      <c r="L28" s="64">
        <v>23.79</v>
      </c>
      <c r="M28" s="64">
        <v>50.07</v>
      </c>
      <c r="N28" s="64">
        <v>47.7</v>
      </c>
      <c r="O28" s="64">
        <v>0</v>
      </c>
      <c r="P28" s="64">
        <v>0.41</v>
      </c>
      <c r="Q28" s="211" t="s">
        <v>43</v>
      </c>
      <c r="R28" s="198"/>
      <c r="S28" s="198"/>
      <c r="T28" s="198"/>
      <c r="U28" s="198"/>
    </row>
    <row r="29" spans="1:21" s="12" customFormat="1" x14ac:dyDescent="0.25">
      <c r="A29" s="215" t="s">
        <v>1610</v>
      </c>
      <c r="B29" s="64">
        <v>4.1500000000000004</v>
      </c>
      <c r="C29" s="64">
        <v>52.27</v>
      </c>
      <c r="D29" s="64">
        <v>48.12</v>
      </c>
      <c r="E29" s="64">
        <v>5.16</v>
      </c>
      <c r="F29" s="64">
        <v>13.39</v>
      </c>
      <c r="G29" s="64">
        <v>19.190000000000001</v>
      </c>
      <c r="H29" s="64">
        <v>10.39</v>
      </c>
      <c r="I29" s="64">
        <v>3.97</v>
      </c>
      <c r="J29" s="64">
        <v>0.38</v>
      </c>
      <c r="K29" s="64">
        <v>27.69</v>
      </c>
      <c r="L29" s="64">
        <v>23.75</v>
      </c>
      <c r="M29" s="64">
        <v>50.46</v>
      </c>
      <c r="N29" s="64">
        <v>47.9</v>
      </c>
      <c r="O29" s="64">
        <v>0</v>
      </c>
      <c r="P29" s="64">
        <v>0.42</v>
      </c>
      <c r="Q29" s="211" t="s">
        <v>43</v>
      </c>
      <c r="R29" s="198"/>
      <c r="S29" s="198"/>
      <c r="T29" s="198"/>
      <c r="U29" s="198"/>
    </row>
    <row r="30" spans="1:21" s="12" customFormat="1" x14ac:dyDescent="0.25">
      <c r="A30" s="215" t="s">
        <v>1611</v>
      </c>
      <c r="B30" s="64">
        <v>4.2300000000000004</v>
      </c>
      <c r="C30" s="64">
        <v>52.98</v>
      </c>
      <c r="D30" s="64">
        <v>48.75</v>
      </c>
      <c r="E30" s="64">
        <v>5.26</v>
      </c>
      <c r="F30" s="64">
        <v>12.42</v>
      </c>
      <c r="G30" s="64">
        <v>24.18</v>
      </c>
      <c r="H30" s="64">
        <v>10.53</v>
      </c>
      <c r="I30" s="64">
        <v>3.98</v>
      </c>
      <c r="J30" s="64">
        <v>0.45</v>
      </c>
      <c r="K30" s="64">
        <v>61.2</v>
      </c>
      <c r="L30" s="64">
        <v>23.75</v>
      </c>
      <c r="M30" s="64">
        <v>50.47</v>
      </c>
      <c r="N30" s="64">
        <v>48.1</v>
      </c>
      <c r="O30" s="64">
        <v>0</v>
      </c>
      <c r="P30" s="64">
        <v>0.41</v>
      </c>
      <c r="Q30" s="211" t="s">
        <v>43</v>
      </c>
      <c r="R30" s="198"/>
      <c r="S30" s="198"/>
      <c r="T30" s="198"/>
      <c r="U30" s="198"/>
    </row>
    <row r="31" spans="1:21" s="12" customFormat="1" x14ac:dyDescent="0.25">
      <c r="A31" s="215" t="s">
        <v>1612</v>
      </c>
      <c r="B31" s="64">
        <v>1.91</v>
      </c>
      <c r="C31" s="64">
        <v>42.88</v>
      </c>
      <c r="D31" s="64">
        <v>40.97</v>
      </c>
      <c r="E31" s="64">
        <v>4.96</v>
      </c>
      <c r="F31" s="64">
        <v>12.14</v>
      </c>
      <c r="G31" s="64">
        <v>29.41</v>
      </c>
      <c r="H31" s="64">
        <v>10.69</v>
      </c>
      <c r="I31" s="64">
        <v>4.01</v>
      </c>
      <c r="J31" s="64">
        <v>0.84</v>
      </c>
      <c r="K31" s="64">
        <v>88.52</v>
      </c>
      <c r="L31" s="64">
        <v>23.87</v>
      </c>
      <c r="M31" s="64">
        <v>50.78</v>
      </c>
      <c r="N31" s="64">
        <v>49.6</v>
      </c>
      <c r="O31" s="64">
        <v>0</v>
      </c>
      <c r="P31" s="64">
        <v>0.4</v>
      </c>
      <c r="Q31" s="211" t="s">
        <v>43</v>
      </c>
      <c r="R31" s="198"/>
      <c r="S31" s="198"/>
      <c r="T31" s="198"/>
      <c r="U31" s="198"/>
    </row>
    <row r="32" spans="1:21" s="12" customFormat="1" x14ac:dyDescent="0.25">
      <c r="A32" s="215" t="s">
        <v>1613</v>
      </c>
      <c r="B32" s="64">
        <v>2.65</v>
      </c>
      <c r="C32" s="64">
        <v>44.98</v>
      </c>
      <c r="D32" s="64">
        <v>42.33</v>
      </c>
      <c r="E32" s="64">
        <v>4.51</v>
      </c>
      <c r="F32" s="64">
        <v>10.85</v>
      </c>
      <c r="G32" s="64">
        <v>29.41</v>
      </c>
      <c r="H32" s="64">
        <v>10.69</v>
      </c>
      <c r="I32" s="64">
        <v>3.91</v>
      </c>
      <c r="J32" s="64">
        <v>1.46</v>
      </c>
      <c r="K32" s="64">
        <v>100.96</v>
      </c>
      <c r="L32" s="64">
        <v>24.07</v>
      </c>
      <c r="M32" s="64">
        <v>49.65</v>
      </c>
      <c r="N32" s="64">
        <v>56.9</v>
      </c>
      <c r="O32" s="64">
        <v>0</v>
      </c>
      <c r="P32" s="64">
        <v>0.39</v>
      </c>
      <c r="Q32" s="211" t="s">
        <v>43</v>
      </c>
      <c r="R32" s="198"/>
      <c r="S32" s="198"/>
      <c r="T32" s="198"/>
      <c r="U32" s="198"/>
    </row>
    <row r="33" spans="1:21" s="12" customFormat="1" x14ac:dyDescent="0.25">
      <c r="A33" s="215" t="s">
        <v>1614</v>
      </c>
      <c r="B33" s="64">
        <v>3.31</v>
      </c>
      <c r="C33" s="64">
        <v>48.57</v>
      </c>
      <c r="D33" s="64">
        <v>45.26</v>
      </c>
      <c r="E33" s="64">
        <v>4.43</v>
      </c>
      <c r="F33" s="64">
        <v>10.08</v>
      </c>
      <c r="G33" s="64">
        <v>29.41</v>
      </c>
      <c r="H33" s="64">
        <v>10.69</v>
      </c>
      <c r="I33" s="64">
        <v>4.04</v>
      </c>
      <c r="J33" s="64">
        <v>1.74</v>
      </c>
      <c r="K33" s="64">
        <v>101.99</v>
      </c>
      <c r="L33" s="64">
        <v>24.11</v>
      </c>
      <c r="M33" s="64">
        <v>49.41</v>
      </c>
      <c r="N33" s="64">
        <v>78.5</v>
      </c>
      <c r="O33" s="64">
        <v>0</v>
      </c>
      <c r="P33" s="64">
        <v>0.4</v>
      </c>
      <c r="Q33" s="211" t="s">
        <v>43</v>
      </c>
      <c r="R33" s="198"/>
      <c r="S33" s="198"/>
      <c r="T33" s="198"/>
      <c r="U33" s="198"/>
    </row>
    <row r="34" spans="1:21" s="12" customFormat="1" x14ac:dyDescent="0.25">
      <c r="A34" s="215" t="s">
        <v>1615</v>
      </c>
      <c r="B34" s="64">
        <v>3.66</v>
      </c>
      <c r="C34" s="64">
        <v>51.52</v>
      </c>
      <c r="D34" s="64">
        <v>47.85</v>
      </c>
      <c r="E34" s="64">
        <v>5.04</v>
      </c>
      <c r="F34" s="64">
        <v>9.76</v>
      </c>
      <c r="G34" s="64">
        <v>30.42</v>
      </c>
      <c r="H34" s="64">
        <v>10.69</v>
      </c>
      <c r="I34" s="64">
        <v>3.93</v>
      </c>
      <c r="J34" s="64">
        <v>0.8</v>
      </c>
      <c r="K34" s="64">
        <v>79.239999999999995</v>
      </c>
      <c r="L34" s="64">
        <v>24.4</v>
      </c>
      <c r="M34" s="64">
        <v>48.91</v>
      </c>
      <c r="N34" s="64">
        <v>112.8</v>
      </c>
      <c r="O34" s="64">
        <v>0</v>
      </c>
      <c r="P34" s="64">
        <v>0.42</v>
      </c>
      <c r="Q34" s="211" t="s">
        <v>43</v>
      </c>
      <c r="R34" s="198"/>
      <c r="S34" s="198"/>
      <c r="T34" s="198"/>
      <c r="U34" s="198"/>
    </row>
    <row r="35" spans="1:21" s="12" customFormat="1" x14ac:dyDescent="0.25">
      <c r="A35" s="215" t="s">
        <v>1616</v>
      </c>
      <c r="B35" s="64">
        <v>4.1399999999999997</v>
      </c>
      <c r="C35" s="64">
        <v>55.23</v>
      </c>
      <c r="D35" s="64">
        <v>51.08</v>
      </c>
      <c r="E35" s="64">
        <v>5.75</v>
      </c>
      <c r="F35" s="64">
        <v>10.44</v>
      </c>
      <c r="G35" s="64">
        <v>31.49</v>
      </c>
      <c r="H35" s="64">
        <v>10.69</v>
      </c>
      <c r="I35" s="64">
        <v>4.03</v>
      </c>
      <c r="J35" s="64">
        <v>0.53</v>
      </c>
      <c r="K35" s="64">
        <v>101.59</v>
      </c>
      <c r="L35" s="64">
        <v>25.06</v>
      </c>
      <c r="M35" s="64">
        <v>47.48</v>
      </c>
      <c r="N35" s="64">
        <v>148.69999999999999</v>
      </c>
      <c r="O35" s="64">
        <v>0</v>
      </c>
      <c r="P35" s="64">
        <v>0.42</v>
      </c>
      <c r="Q35" s="211" t="s">
        <v>43</v>
      </c>
      <c r="R35" s="198"/>
      <c r="S35" s="198"/>
      <c r="T35" s="198"/>
      <c r="U35" s="198"/>
    </row>
    <row r="36" spans="1:21" s="12" customFormat="1" x14ac:dyDescent="0.25">
      <c r="A36" s="215" t="s">
        <v>1617</v>
      </c>
      <c r="B36" s="64">
        <v>4.38</v>
      </c>
      <c r="C36" s="64">
        <v>55.38</v>
      </c>
      <c r="D36" s="64">
        <v>50.99</v>
      </c>
      <c r="E36" s="64">
        <v>4.6399999999999997</v>
      </c>
      <c r="F36" s="64">
        <v>9.26</v>
      </c>
      <c r="G36" s="64">
        <v>31.49</v>
      </c>
      <c r="H36" s="64">
        <v>10.69</v>
      </c>
      <c r="I36" s="64">
        <v>3.97</v>
      </c>
      <c r="J36" s="64">
        <v>1.18</v>
      </c>
      <c r="K36" s="64">
        <v>99.63</v>
      </c>
      <c r="L36" s="64">
        <v>25.43</v>
      </c>
      <c r="M36" s="64">
        <v>46.8</v>
      </c>
      <c r="N36" s="64">
        <v>174.4</v>
      </c>
      <c r="O36" s="64">
        <v>0</v>
      </c>
      <c r="P36" s="64">
        <v>0.41</v>
      </c>
      <c r="Q36" s="211" t="s">
        <v>43</v>
      </c>
      <c r="R36" s="198"/>
      <c r="S36" s="198"/>
      <c r="T36" s="198"/>
      <c r="U36" s="198"/>
    </row>
    <row r="37" spans="1:21" s="12" customFormat="1" x14ac:dyDescent="0.25">
      <c r="A37" s="215" t="s">
        <v>1618</v>
      </c>
      <c r="B37" s="64">
        <v>4.6399999999999997</v>
      </c>
      <c r="C37" s="64">
        <v>56.3</v>
      </c>
      <c r="D37" s="64">
        <v>51.66</v>
      </c>
      <c r="E37" s="64">
        <v>3.88</v>
      </c>
      <c r="F37" s="64">
        <v>7.31</v>
      </c>
      <c r="G37" s="64">
        <v>31.49</v>
      </c>
      <c r="H37" s="64">
        <v>10.69</v>
      </c>
      <c r="I37" s="64">
        <v>4.09</v>
      </c>
      <c r="J37" s="64">
        <v>1.46</v>
      </c>
      <c r="K37" s="64">
        <v>93.86</v>
      </c>
      <c r="L37" s="64">
        <v>25.73</v>
      </c>
      <c r="M37" s="64">
        <v>46.29</v>
      </c>
      <c r="N37" s="64">
        <v>225.7</v>
      </c>
      <c r="O37" s="64">
        <v>0</v>
      </c>
      <c r="P37" s="64">
        <v>0.39</v>
      </c>
      <c r="Q37" s="211" t="s">
        <v>43</v>
      </c>
      <c r="R37" s="198"/>
      <c r="S37" s="198"/>
      <c r="T37" s="198"/>
      <c r="U37" s="198"/>
    </row>
    <row r="38" spans="1:21" s="12" customFormat="1" x14ac:dyDescent="0.25">
      <c r="A38" s="215" t="s">
        <v>1619</v>
      </c>
      <c r="B38" s="64">
        <v>4.26</v>
      </c>
      <c r="C38" s="64">
        <v>56.81</v>
      </c>
      <c r="D38" s="64">
        <v>52.55</v>
      </c>
      <c r="E38" s="64">
        <v>3.66</v>
      </c>
      <c r="F38" s="64">
        <v>7.42</v>
      </c>
      <c r="G38" s="64">
        <v>36.39</v>
      </c>
      <c r="H38" s="64">
        <v>11.7</v>
      </c>
      <c r="I38" s="64">
        <v>3.89</v>
      </c>
      <c r="J38" s="64">
        <v>1.75</v>
      </c>
      <c r="K38" s="64">
        <v>103.27</v>
      </c>
      <c r="L38" s="64">
        <v>26.03</v>
      </c>
      <c r="M38" s="64">
        <v>45.19</v>
      </c>
      <c r="N38" s="64">
        <v>292.5</v>
      </c>
      <c r="O38" s="64">
        <v>0</v>
      </c>
      <c r="P38" s="64">
        <v>0.41</v>
      </c>
      <c r="Q38" s="211" t="s">
        <v>43</v>
      </c>
      <c r="R38" s="198"/>
      <c r="S38" s="198"/>
      <c r="T38" s="198"/>
      <c r="U38" s="198"/>
    </row>
    <row r="39" spans="1:21" s="12" customFormat="1" x14ac:dyDescent="0.25">
      <c r="A39" s="215" t="s">
        <v>1620</v>
      </c>
      <c r="B39" s="64">
        <v>3.53</v>
      </c>
      <c r="C39" s="64">
        <v>54.29</v>
      </c>
      <c r="D39" s="64">
        <v>50.76</v>
      </c>
      <c r="E39" s="64">
        <v>3.94</v>
      </c>
      <c r="F39" s="64">
        <v>8.98</v>
      </c>
      <c r="G39" s="64">
        <v>41.51</v>
      </c>
      <c r="H39" s="64">
        <v>12.75</v>
      </c>
      <c r="I39" s="64">
        <v>3.97</v>
      </c>
      <c r="J39" s="64">
        <v>1.49</v>
      </c>
      <c r="K39" s="64">
        <v>90.23</v>
      </c>
      <c r="L39" s="64">
        <v>26.75</v>
      </c>
      <c r="M39" s="64">
        <v>42.92</v>
      </c>
      <c r="N39" s="64">
        <v>357.7</v>
      </c>
      <c r="O39" s="64">
        <v>0</v>
      </c>
      <c r="P39" s="64">
        <v>0.4</v>
      </c>
      <c r="Q39" s="211" t="s">
        <v>43</v>
      </c>
      <c r="R39" s="198"/>
      <c r="S39" s="198"/>
      <c r="T39" s="198"/>
      <c r="U39" s="198"/>
    </row>
    <row r="40" spans="1:21" s="12" customFormat="1" x14ac:dyDescent="0.25">
      <c r="A40" s="215" t="s">
        <v>1621</v>
      </c>
      <c r="B40" s="64">
        <v>2.63</v>
      </c>
      <c r="C40" s="64">
        <v>50.67</v>
      </c>
      <c r="D40" s="64">
        <v>48.04</v>
      </c>
      <c r="E40" s="64">
        <v>3.21</v>
      </c>
      <c r="F40" s="64">
        <v>11.11</v>
      </c>
      <c r="G40" s="64">
        <v>41.51</v>
      </c>
      <c r="H40" s="64">
        <v>12.75</v>
      </c>
      <c r="I40" s="64">
        <v>4.1399999999999997</v>
      </c>
      <c r="J40" s="64">
        <v>0.99</v>
      </c>
      <c r="K40" s="64">
        <v>93.12</v>
      </c>
      <c r="L40" s="64">
        <v>27.97</v>
      </c>
      <c r="M40" s="64">
        <v>39.82</v>
      </c>
      <c r="N40" s="64">
        <v>408.5</v>
      </c>
      <c r="O40" s="64">
        <v>0</v>
      </c>
      <c r="P40" s="64">
        <v>0.4</v>
      </c>
      <c r="Q40" s="211" t="s">
        <v>43</v>
      </c>
      <c r="R40" s="198"/>
      <c r="S40" s="198"/>
      <c r="T40" s="198"/>
      <c r="U40" s="198"/>
    </row>
    <row r="41" spans="1:21" s="12" customFormat="1" x14ac:dyDescent="0.25">
      <c r="A41" s="215" t="s">
        <v>1622</v>
      </c>
      <c r="B41" s="64">
        <v>2.4</v>
      </c>
      <c r="C41" s="64">
        <v>52.87</v>
      </c>
      <c r="D41" s="64">
        <v>50.47</v>
      </c>
      <c r="E41" s="64">
        <v>3.88</v>
      </c>
      <c r="F41" s="64">
        <v>9.85</v>
      </c>
      <c r="G41" s="64">
        <v>41.51</v>
      </c>
      <c r="H41" s="64">
        <v>12.75</v>
      </c>
      <c r="I41" s="64">
        <v>3.88</v>
      </c>
      <c r="J41" s="64">
        <v>0.7</v>
      </c>
      <c r="K41" s="64">
        <v>107.01</v>
      </c>
      <c r="L41" s="64">
        <v>28.99</v>
      </c>
      <c r="M41" s="64">
        <v>37.78</v>
      </c>
      <c r="N41" s="64">
        <v>452.1</v>
      </c>
      <c r="O41" s="64">
        <v>0</v>
      </c>
      <c r="P41" s="64">
        <v>0.4</v>
      </c>
      <c r="Q41" s="211" t="s">
        <v>43</v>
      </c>
      <c r="R41" s="198"/>
      <c r="S41" s="198"/>
      <c r="T41" s="198"/>
      <c r="U41" s="198"/>
    </row>
    <row r="42" spans="1:21" s="12" customFormat="1" x14ac:dyDescent="0.25">
      <c r="A42" s="215" t="s">
        <v>1623</v>
      </c>
      <c r="B42" s="64">
        <v>2.21</v>
      </c>
      <c r="C42" s="64">
        <v>54.76</v>
      </c>
      <c r="D42" s="64">
        <v>52.55</v>
      </c>
      <c r="E42" s="64">
        <v>3.3</v>
      </c>
      <c r="F42" s="64">
        <v>10.82</v>
      </c>
      <c r="G42" s="64">
        <v>38.090000000000003</v>
      </c>
      <c r="H42" s="64">
        <v>10.97</v>
      </c>
      <c r="I42" s="64">
        <v>3.81</v>
      </c>
      <c r="J42" s="64">
        <v>1.04</v>
      </c>
      <c r="K42" s="64">
        <v>147.13999999999999</v>
      </c>
      <c r="L42" s="64">
        <v>29.51</v>
      </c>
      <c r="M42" s="64">
        <v>36.630000000000003</v>
      </c>
      <c r="N42" s="64">
        <v>505.1</v>
      </c>
      <c r="O42" s="64">
        <v>0</v>
      </c>
      <c r="P42" s="64">
        <v>0.4</v>
      </c>
      <c r="Q42" s="211" t="s">
        <v>43</v>
      </c>
      <c r="R42" s="198"/>
      <c r="S42" s="198"/>
      <c r="T42" s="198"/>
      <c r="U42" s="198"/>
    </row>
    <row r="43" spans="1:21" s="12" customFormat="1" x14ac:dyDescent="0.25">
      <c r="A43" s="215" t="s">
        <v>1624</v>
      </c>
      <c r="B43" s="64">
        <v>1.68</v>
      </c>
      <c r="C43" s="64">
        <v>49.96</v>
      </c>
      <c r="D43" s="64">
        <v>48.28</v>
      </c>
      <c r="E43" s="64">
        <v>3.84</v>
      </c>
      <c r="F43" s="64">
        <v>10.44</v>
      </c>
      <c r="G43" s="64">
        <v>34.51</v>
      </c>
      <c r="H43" s="64">
        <v>9.11</v>
      </c>
      <c r="I43" s="64">
        <v>4.01</v>
      </c>
      <c r="J43" s="64">
        <v>1.29</v>
      </c>
      <c r="K43" s="64">
        <v>139.75</v>
      </c>
      <c r="L43" s="64">
        <v>29.91</v>
      </c>
      <c r="M43" s="64">
        <v>36.07</v>
      </c>
      <c r="N43" s="64">
        <v>561.6</v>
      </c>
      <c r="O43" s="64">
        <v>0</v>
      </c>
      <c r="P43" s="64">
        <v>0.39</v>
      </c>
      <c r="Q43" s="211" t="s">
        <v>43</v>
      </c>
      <c r="R43" s="198"/>
      <c r="S43" s="198"/>
      <c r="T43" s="198"/>
      <c r="U43" s="198"/>
    </row>
    <row r="44" spans="1:21" s="12" customFormat="1" x14ac:dyDescent="0.25">
      <c r="A44" s="215" t="s">
        <v>1625</v>
      </c>
      <c r="B44" s="64">
        <v>2.62</v>
      </c>
      <c r="C44" s="64">
        <v>52.47</v>
      </c>
      <c r="D44" s="64">
        <v>49.86</v>
      </c>
      <c r="E44" s="64">
        <v>3.24</v>
      </c>
      <c r="F44" s="64">
        <v>10.53</v>
      </c>
      <c r="G44" s="64">
        <v>34.51</v>
      </c>
      <c r="H44" s="64">
        <v>9.11</v>
      </c>
      <c r="I44" s="64">
        <v>3.96</v>
      </c>
      <c r="J44" s="64">
        <v>0.65</v>
      </c>
      <c r="K44" s="64">
        <v>173.3</v>
      </c>
      <c r="L44" s="64">
        <v>30.5</v>
      </c>
      <c r="M44" s="64">
        <v>35.92</v>
      </c>
      <c r="N44" s="64">
        <v>590</v>
      </c>
      <c r="O44" s="64">
        <v>0</v>
      </c>
      <c r="P44" s="64">
        <v>0.39</v>
      </c>
      <c r="Q44" s="211" t="s">
        <v>43</v>
      </c>
      <c r="R44" s="198"/>
      <c r="S44" s="198"/>
      <c r="T44" s="198"/>
      <c r="U44" s="198"/>
    </row>
    <row r="45" spans="1:21" s="12" customFormat="1" x14ac:dyDescent="0.25">
      <c r="A45" s="215" t="s">
        <v>1626</v>
      </c>
      <c r="B45" s="64">
        <v>1.26</v>
      </c>
      <c r="C45" s="64">
        <v>46.9</v>
      </c>
      <c r="D45" s="64">
        <v>45.63</v>
      </c>
      <c r="E45" s="64">
        <v>3.63</v>
      </c>
      <c r="F45" s="64">
        <v>13.05</v>
      </c>
      <c r="G45" s="64">
        <v>34.51</v>
      </c>
      <c r="H45" s="64">
        <v>9.11</v>
      </c>
      <c r="I45" s="64">
        <v>3.96</v>
      </c>
      <c r="J45" s="64">
        <v>1.1100000000000001</v>
      </c>
      <c r="K45" s="64">
        <v>147.71</v>
      </c>
      <c r="L45" s="64">
        <v>31.24</v>
      </c>
      <c r="M45" s="64">
        <v>34.36</v>
      </c>
      <c r="N45" s="64">
        <v>642</v>
      </c>
      <c r="O45" s="64">
        <v>0</v>
      </c>
      <c r="P45" s="64">
        <v>0.38</v>
      </c>
      <c r="Q45" s="211" t="s">
        <v>43</v>
      </c>
      <c r="R45" s="198"/>
      <c r="S45" s="198"/>
      <c r="T45" s="198"/>
      <c r="U45" s="198"/>
    </row>
    <row r="46" spans="1:21" s="12" customFormat="1" x14ac:dyDescent="0.25">
      <c r="A46" s="215" t="s">
        <v>1627</v>
      </c>
      <c r="B46" s="64">
        <v>1.1599999999999999</v>
      </c>
      <c r="C46" s="64">
        <v>48.15</v>
      </c>
      <c r="D46" s="64">
        <v>46.99</v>
      </c>
      <c r="E46" s="64">
        <v>3.48</v>
      </c>
      <c r="F46" s="64">
        <v>12.44</v>
      </c>
      <c r="G46" s="64">
        <v>32.21</v>
      </c>
      <c r="H46" s="64">
        <v>10.16</v>
      </c>
      <c r="I46" s="64">
        <v>4</v>
      </c>
      <c r="J46" s="64">
        <v>1.25</v>
      </c>
      <c r="K46" s="64">
        <v>145.4</v>
      </c>
      <c r="L46" s="64">
        <v>31.29</v>
      </c>
      <c r="M46" s="64">
        <v>34.700000000000003</v>
      </c>
      <c r="N46" s="64">
        <v>699.8</v>
      </c>
      <c r="O46" s="64">
        <v>0</v>
      </c>
      <c r="P46" s="64">
        <v>0.38</v>
      </c>
      <c r="Q46" s="211" t="s">
        <v>43</v>
      </c>
      <c r="R46" s="198"/>
      <c r="S46" s="198"/>
      <c r="T46" s="198"/>
      <c r="U46" s="198"/>
    </row>
    <row r="47" spans="1:21" s="12" customFormat="1" x14ac:dyDescent="0.25">
      <c r="A47" s="215" t="s">
        <v>1628</v>
      </c>
      <c r="B47" s="64">
        <v>1.33</v>
      </c>
      <c r="C47" s="64">
        <v>42.51</v>
      </c>
      <c r="D47" s="64">
        <v>41.18</v>
      </c>
      <c r="E47" s="64">
        <v>3.83</v>
      </c>
      <c r="F47" s="64">
        <v>15.62</v>
      </c>
      <c r="G47" s="64">
        <v>29.79</v>
      </c>
      <c r="H47" s="64">
        <v>11.25</v>
      </c>
      <c r="I47" s="64">
        <v>4.04</v>
      </c>
      <c r="J47" s="64">
        <v>0.25</v>
      </c>
      <c r="K47" s="64">
        <v>178.73</v>
      </c>
      <c r="L47" s="64">
        <v>32.18</v>
      </c>
      <c r="M47" s="64">
        <v>34.049999999999997</v>
      </c>
      <c r="N47" s="64">
        <v>580.70000000000005</v>
      </c>
      <c r="O47" s="64">
        <v>0</v>
      </c>
      <c r="P47" s="64">
        <v>0.38</v>
      </c>
      <c r="Q47" s="211" t="s">
        <v>43</v>
      </c>
      <c r="R47" s="198"/>
      <c r="S47" s="198"/>
      <c r="T47" s="198"/>
      <c r="U47" s="198"/>
    </row>
    <row r="48" spans="1:21" s="12" customFormat="1" x14ac:dyDescent="0.25">
      <c r="A48" s="215" t="s">
        <v>1629</v>
      </c>
      <c r="B48" s="64">
        <v>4.03</v>
      </c>
      <c r="C48" s="64">
        <v>49.56</v>
      </c>
      <c r="D48" s="64">
        <v>45.53</v>
      </c>
      <c r="E48" s="64">
        <v>5.22</v>
      </c>
      <c r="F48" s="64">
        <v>16.649999999999999</v>
      </c>
      <c r="G48" s="64">
        <v>29.79</v>
      </c>
      <c r="H48" s="64">
        <v>11.25</v>
      </c>
      <c r="I48" s="64">
        <v>3.93</v>
      </c>
      <c r="J48" s="64">
        <v>0.85</v>
      </c>
      <c r="K48" s="64">
        <v>142.46</v>
      </c>
      <c r="L48" s="64">
        <v>32.31</v>
      </c>
      <c r="M48" s="64">
        <v>34.68</v>
      </c>
      <c r="N48" s="64">
        <v>666.9</v>
      </c>
      <c r="O48" s="64">
        <v>0</v>
      </c>
      <c r="P48" s="64">
        <v>0.43</v>
      </c>
      <c r="Q48" s="211" t="s">
        <v>43</v>
      </c>
      <c r="R48" s="198"/>
      <c r="S48" s="198"/>
      <c r="T48" s="198"/>
      <c r="U48" s="198"/>
    </row>
    <row r="49" spans="1:21" s="12" customFormat="1" x14ac:dyDescent="0.25">
      <c r="A49" s="215" t="s">
        <v>1630</v>
      </c>
      <c r="B49" s="64">
        <v>2.86</v>
      </c>
      <c r="C49" s="64">
        <v>54.38</v>
      </c>
      <c r="D49" s="64">
        <v>51.51</v>
      </c>
      <c r="E49" s="64">
        <v>3.92</v>
      </c>
      <c r="F49" s="64">
        <v>11.03</v>
      </c>
      <c r="G49" s="64">
        <v>29.79</v>
      </c>
      <c r="H49" s="64">
        <v>11.25</v>
      </c>
      <c r="I49" s="64">
        <v>4.05</v>
      </c>
      <c r="J49" s="64">
        <v>0.83</v>
      </c>
      <c r="K49" s="64">
        <v>300.73</v>
      </c>
      <c r="L49" s="64">
        <v>34.869999999999997</v>
      </c>
      <c r="M49" s="64">
        <v>31.44</v>
      </c>
      <c r="N49" s="64">
        <v>801</v>
      </c>
      <c r="O49" s="64">
        <v>0</v>
      </c>
      <c r="P49" s="64">
        <v>0.44</v>
      </c>
      <c r="Q49" s="211" t="s">
        <v>43</v>
      </c>
      <c r="R49" s="198"/>
      <c r="S49" s="198"/>
      <c r="T49" s="198"/>
      <c r="U49" s="198"/>
    </row>
    <row r="50" spans="1:21" s="12" customFormat="1" x14ac:dyDescent="0.25">
      <c r="A50" s="215" t="s">
        <v>1631</v>
      </c>
      <c r="B50" s="64">
        <v>5.28</v>
      </c>
      <c r="C50" s="64">
        <v>53.64</v>
      </c>
      <c r="D50" s="64">
        <v>48.36</v>
      </c>
      <c r="E50" s="64">
        <v>5.07</v>
      </c>
      <c r="F50" s="64">
        <v>17.43</v>
      </c>
      <c r="G50" s="64">
        <v>32.6</v>
      </c>
      <c r="H50" s="64">
        <v>12.3</v>
      </c>
      <c r="I50" s="64">
        <v>4.05</v>
      </c>
      <c r="J50" s="64">
        <v>0.56000000000000005</v>
      </c>
      <c r="K50" s="64">
        <v>331.61</v>
      </c>
      <c r="L50" s="64">
        <v>36.44</v>
      </c>
      <c r="M50" s="64">
        <v>29.25</v>
      </c>
      <c r="N50" s="64">
        <v>823.4</v>
      </c>
      <c r="O50" s="64">
        <v>0</v>
      </c>
      <c r="P50" s="64">
        <v>0.48</v>
      </c>
      <c r="Q50" s="211" t="s">
        <v>43</v>
      </c>
      <c r="R50" s="198"/>
      <c r="S50" s="198"/>
      <c r="T50" s="198"/>
      <c r="U50" s="198"/>
    </row>
    <row r="51" spans="1:21" s="12" customFormat="1" x14ac:dyDescent="0.25">
      <c r="A51" s="215" t="s">
        <v>1632</v>
      </c>
      <c r="B51" s="64">
        <v>3.21</v>
      </c>
      <c r="C51" s="64">
        <v>50.88</v>
      </c>
      <c r="D51" s="64">
        <v>47.67</v>
      </c>
      <c r="E51" s="64">
        <v>4.88</v>
      </c>
      <c r="F51" s="64">
        <v>15.99</v>
      </c>
      <c r="G51" s="64">
        <v>35.53</v>
      </c>
      <c r="H51" s="64">
        <v>13.4</v>
      </c>
      <c r="I51" s="64">
        <v>3.97</v>
      </c>
      <c r="J51" s="64">
        <v>0.36</v>
      </c>
      <c r="K51" s="64">
        <v>228.89</v>
      </c>
      <c r="L51" s="64">
        <v>34.299999999999997</v>
      </c>
      <c r="M51" s="64">
        <v>33.229999999999997</v>
      </c>
      <c r="N51" s="64">
        <v>738.3</v>
      </c>
      <c r="O51" s="64">
        <v>0</v>
      </c>
      <c r="P51" s="64">
        <v>0.47</v>
      </c>
      <c r="Q51" s="211" t="s">
        <v>43</v>
      </c>
      <c r="R51" s="198"/>
      <c r="S51" s="198"/>
      <c r="T51" s="198"/>
      <c r="U51" s="198"/>
    </row>
    <row r="52" spans="1:21" s="12" customFormat="1" x14ac:dyDescent="0.25">
      <c r="A52" s="215" t="s">
        <v>1633</v>
      </c>
      <c r="B52" s="64">
        <v>2.4</v>
      </c>
      <c r="C52" s="64">
        <v>48.38</v>
      </c>
      <c r="D52" s="64">
        <v>45.98</v>
      </c>
      <c r="E52" s="64">
        <v>4.91</v>
      </c>
      <c r="F52" s="64">
        <v>16.68</v>
      </c>
      <c r="G52" s="64">
        <v>35.53</v>
      </c>
      <c r="H52" s="64">
        <v>13.4</v>
      </c>
      <c r="I52" s="64">
        <v>4.0599999999999996</v>
      </c>
      <c r="J52" s="64">
        <v>0.62</v>
      </c>
      <c r="K52" s="64">
        <v>171.77</v>
      </c>
      <c r="L52" s="64">
        <v>33.520000000000003</v>
      </c>
      <c r="M52" s="64">
        <v>34.85</v>
      </c>
      <c r="N52" s="64">
        <v>882.3</v>
      </c>
      <c r="O52" s="64">
        <v>0</v>
      </c>
      <c r="P52" s="64">
        <v>0.43</v>
      </c>
      <c r="Q52" s="211" t="s">
        <v>43</v>
      </c>
      <c r="R52" s="198"/>
      <c r="S52" s="198"/>
      <c r="T52" s="198"/>
      <c r="U52" s="198"/>
    </row>
    <row r="53" spans="1:21" s="12" customFormat="1" x14ac:dyDescent="0.25">
      <c r="A53" s="215" t="s">
        <v>1634</v>
      </c>
      <c r="B53" s="64">
        <v>1.48</v>
      </c>
      <c r="C53" s="64">
        <v>45.54</v>
      </c>
      <c r="D53" s="64">
        <v>44.06</v>
      </c>
      <c r="E53" s="64">
        <v>4.97</v>
      </c>
      <c r="F53" s="64">
        <v>16.89</v>
      </c>
      <c r="G53" s="64">
        <v>35.53</v>
      </c>
      <c r="H53" s="64">
        <v>13.4</v>
      </c>
      <c r="I53" s="64">
        <v>4.09</v>
      </c>
      <c r="J53" s="64">
        <v>0.57999999999999996</v>
      </c>
      <c r="K53" s="64">
        <v>218.05</v>
      </c>
      <c r="L53" s="64">
        <v>33.64</v>
      </c>
      <c r="M53" s="64">
        <v>34.43</v>
      </c>
      <c r="N53" s="64">
        <v>886.9</v>
      </c>
      <c r="O53" s="64">
        <v>0</v>
      </c>
      <c r="P53" s="64">
        <v>0.43</v>
      </c>
      <c r="Q53" s="211" t="s">
        <v>43</v>
      </c>
      <c r="R53" s="198"/>
      <c r="S53" s="198"/>
      <c r="T53" s="198"/>
      <c r="U53" s="198"/>
    </row>
    <row r="54" spans="1:21" s="12" customFormat="1" x14ac:dyDescent="0.25">
      <c r="A54" s="215" t="s">
        <v>1635</v>
      </c>
      <c r="B54" s="64">
        <v>1.02</v>
      </c>
      <c r="C54" s="64">
        <v>40.25</v>
      </c>
      <c r="D54" s="64">
        <v>39.22</v>
      </c>
      <c r="E54" s="64">
        <v>5.15</v>
      </c>
      <c r="F54" s="64">
        <v>16.43</v>
      </c>
      <c r="G54" s="64">
        <v>30.28</v>
      </c>
      <c r="H54" s="64">
        <v>13.32</v>
      </c>
      <c r="I54" s="64">
        <v>4.03</v>
      </c>
      <c r="J54" s="64">
        <v>0.49</v>
      </c>
      <c r="K54" s="64">
        <v>125.2</v>
      </c>
      <c r="L54" s="64">
        <v>33.89</v>
      </c>
      <c r="M54" s="64">
        <v>34.53</v>
      </c>
      <c r="N54" s="64">
        <v>913.7</v>
      </c>
      <c r="O54" s="64">
        <v>0</v>
      </c>
      <c r="P54" s="64">
        <v>0.42</v>
      </c>
      <c r="Q54" s="211" t="s">
        <v>43</v>
      </c>
      <c r="R54" s="198"/>
      <c r="S54" s="198"/>
      <c r="T54" s="198"/>
      <c r="U54" s="198"/>
    </row>
    <row r="55" spans="1:21" s="12" customFormat="1" x14ac:dyDescent="0.25">
      <c r="A55" s="215" t="s">
        <v>1636</v>
      </c>
      <c r="B55" s="64">
        <v>2.02</v>
      </c>
      <c r="C55" s="64">
        <v>45.71</v>
      </c>
      <c r="D55" s="64">
        <v>43.69</v>
      </c>
      <c r="E55" s="64">
        <v>4.87</v>
      </c>
      <c r="F55" s="64">
        <v>12.71</v>
      </c>
      <c r="G55" s="64">
        <v>22.4</v>
      </c>
      <c r="H55" s="64">
        <v>13.23</v>
      </c>
      <c r="I55" s="64">
        <v>4.05</v>
      </c>
      <c r="J55" s="64">
        <v>0.34</v>
      </c>
      <c r="K55" s="64">
        <v>276.24</v>
      </c>
      <c r="L55" s="64">
        <v>34.950000000000003</v>
      </c>
      <c r="M55" s="64">
        <v>33.61</v>
      </c>
      <c r="N55" s="64">
        <v>892.2</v>
      </c>
      <c r="O55" s="64">
        <v>0</v>
      </c>
      <c r="P55" s="64">
        <v>0.43</v>
      </c>
      <c r="Q55" s="211" t="s">
        <v>43</v>
      </c>
      <c r="R55" s="198"/>
      <c r="S55" s="198"/>
      <c r="T55" s="198"/>
      <c r="U55" s="198"/>
    </row>
    <row r="56" spans="1:21" s="12" customFormat="1" x14ac:dyDescent="0.25">
      <c r="A56" s="215" t="s">
        <v>1637</v>
      </c>
      <c r="B56" s="64">
        <v>0.91</v>
      </c>
      <c r="C56" s="64">
        <v>44.69</v>
      </c>
      <c r="D56" s="64">
        <v>43.78</v>
      </c>
      <c r="E56" s="64">
        <v>4.1900000000000004</v>
      </c>
      <c r="F56" s="64">
        <v>12.79</v>
      </c>
      <c r="G56" s="64">
        <v>22.4</v>
      </c>
      <c r="H56" s="64">
        <v>13.23</v>
      </c>
      <c r="I56" s="64">
        <v>3.99</v>
      </c>
      <c r="J56" s="64">
        <v>0.31</v>
      </c>
      <c r="K56" s="64">
        <v>229.88</v>
      </c>
      <c r="L56" s="64">
        <v>35.590000000000003</v>
      </c>
      <c r="M56" s="64">
        <v>33.5</v>
      </c>
      <c r="N56" s="64">
        <v>822</v>
      </c>
      <c r="O56" s="64">
        <v>0</v>
      </c>
      <c r="P56" s="64">
        <v>0.45</v>
      </c>
      <c r="Q56" s="211" t="s">
        <v>43</v>
      </c>
      <c r="R56" s="198"/>
      <c r="S56" s="198"/>
      <c r="T56" s="198"/>
      <c r="U56" s="198"/>
    </row>
    <row r="57" spans="1:21" s="12" customFormat="1" x14ac:dyDescent="0.25">
      <c r="A57" s="215" t="s">
        <v>1638</v>
      </c>
      <c r="B57" s="64">
        <v>0.82</v>
      </c>
      <c r="C57" s="64">
        <v>42.58</v>
      </c>
      <c r="D57" s="64">
        <v>41.76</v>
      </c>
      <c r="E57" s="64">
        <v>4.04</v>
      </c>
      <c r="F57" s="64">
        <v>13.77</v>
      </c>
      <c r="G57" s="64">
        <v>22.4</v>
      </c>
      <c r="H57" s="64">
        <v>13.23</v>
      </c>
      <c r="I57" s="64">
        <v>3.92</v>
      </c>
      <c r="J57" s="64">
        <v>0.39</v>
      </c>
      <c r="K57" s="64">
        <v>203.85</v>
      </c>
      <c r="L57" s="64">
        <v>35.85</v>
      </c>
      <c r="M57" s="64">
        <v>32.96</v>
      </c>
      <c r="N57" s="64">
        <v>827.3</v>
      </c>
      <c r="O57" s="64">
        <v>0</v>
      </c>
      <c r="P57" s="64">
        <v>0.45</v>
      </c>
      <c r="Q57" s="211" t="s">
        <v>43</v>
      </c>
      <c r="R57" s="198"/>
      <c r="S57" s="198"/>
      <c r="T57" s="198"/>
      <c r="U57" s="198"/>
    </row>
    <row r="58" spans="1:21" s="12" customFormat="1" x14ac:dyDescent="0.25">
      <c r="A58" s="215" t="s">
        <v>1639</v>
      </c>
      <c r="B58" s="64">
        <v>0.75</v>
      </c>
      <c r="C58" s="64">
        <v>39.04</v>
      </c>
      <c r="D58" s="64">
        <v>38.29</v>
      </c>
      <c r="E58" s="64">
        <v>4.3899999999999997</v>
      </c>
      <c r="F58" s="64">
        <v>13.49</v>
      </c>
      <c r="G58" s="64">
        <v>29.16</v>
      </c>
      <c r="H58" s="64">
        <v>14.22</v>
      </c>
      <c r="I58" s="64">
        <v>3.98</v>
      </c>
      <c r="J58" s="64">
        <v>0.56000000000000005</v>
      </c>
      <c r="K58" s="64">
        <v>190.79</v>
      </c>
      <c r="L58" s="64">
        <v>34.340000000000003</v>
      </c>
      <c r="M58" s="64">
        <v>35.020000000000003</v>
      </c>
      <c r="N58" s="64">
        <v>503.3</v>
      </c>
      <c r="O58" s="64">
        <v>0</v>
      </c>
      <c r="P58" s="64">
        <v>0.43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15" t="s">
        <v>1640</v>
      </c>
      <c r="B59" s="64">
        <v>0.43</v>
      </c>
      <c r="C59" s="64">
        <v>35.71</v>
      </c>
      <c r="D59" s="64">
        <v>35.28</v>
      </c>
      <c r="E59" s="64">
        <v>4.04</v>
      </c>
      <c r="F59" s="64">
        <v>15.53</v>
      </c>
      <c r="G59" s="64">
        <v>34.53</v>
      </c>
      <c r="H59" s="64">
        <v>15.25</v>
      </c>
      <c r="I59" s="64">
        <v>3.86</v>
      </c>
      <c r="J59" s="64">
        <v>0.52</v>
      </c>
      <c r="K59" s="64">
        <v>223.24</v>
      </c>
      <c r="L59" s="64">
        <v>33.94</v>
      </c>
      <c r="M59" s="64">
        <v>34.44</v>
      </c>
      <c r="N59" s="64">
        <v>433.4</v>
      </c>
      <c r="O59" s="64">
        <v>0</v>
      </c>
      <c r="P59" s="64">
        <v>0.42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15" t="s">
        <v>1641</v>
      </c>
      <c r="B60" s="64">
        <v>1.31</v>
      </c>
      <c r="C60" s="64">
        <v>35.65</v>
      </c>
      <c r="D60" s="64">
        <v>34.340000000000003</v>
      </c>
      <c r="E60" s="64">
        <v>5.47</v>
      </c>
      <c r="F60" s="64">
        <v>18.13</v>
      </c>
      <c r="G60" s="64">
        <v>34.53</v>
      </c>
      <c r="H60" s="64">
        <v>15.25</v>
      </c>
      <c r="I60" s="64">
        <v>3.85</v>
      </c>
      <c r="J60" s="64">
        <v>0.75</v>
      </c>
      <c r="K60" s="64">
        <v>305.70999999999998</v>
      </c>
      <c r="L60" s="64">
        <v>36.01</v>
      </c>
      <c r="M60" s="64">
        <v>31.12</v>
      </c>
      <c r="N60" s="64">
        <v>857.3</v>
      </c>
      <c r="O60" s="64">
        <v>0</v>
      </c>
      <c r="P60" s="64">
        <v>0.41</v>
      </c>
      <c r="Q60" s="211" t="s">
        <v>43</v>
      </c>
      <c r="R60" s="198"/>
      <c r="S60" s="198"/>
      <c r="T60" s="198"/>
      <c r="U60" s="198"/>
    </row>
    <row r="61" spans="1:21" s="12" customFormat="1" x14ac:dyDescent="0.25">
      <c r="A61" s="215" t="s">
        <v>1642</v>
      </c>
      <c r="B61" s="64">
        <v>3.83</v>
      </c>
      <c r="C61" s="64">
        <v>44.13</v>
      </c>
      <c r="D61" s="64">
        <v>40.29</v>
      </c>
      <c r="E61" s="64">
        <v>5.14</v>
      </c>
      <c r="F61" s="64">
        <v>15.94</v>
      </c>
      <c r="G61" s="64">
        <v>34.53</v>
      </c>
      <c r="H61" s="64">
        <v>15.25</v>
      </c>
      <c r="I61" s="64">
        <v>3.96</v>
      </c>
      <c r="J61" s="64">
        <v>0.95</v>
      </c>
      <c r="K61" s="64">
        <v>311.68</v>
      </c>
      <c r="L61" s="64">
        <v>38.43</v>
      </c>
      <c r="M61" s="64">
        <v>26.88</v>
      </c>
      <c r="N61" s="64">
        <v>659.3</v>
      </c>
      <c r="O61" s="64">
        <v>0</v>
      </c>
      <c r="P61" s="64">
        <v>0.46</v>
      </c>
      <c r="Q61" s="211" t="s">
        <v>43</v>
      </c>
      <c r="R61" s="198"/>
      <c r="S61" s="198"/>
      <c r="T61" s="198"/>
      <c r="U61" s="198"/>
    </row>
    <row r="62" spans="1:21" s="12" customFormat="1" x14ac:dyDescent="0.25">
      <c r="A62" s="215" t="s">
        <v>1643</v>
      </c>
      <c r="B62" s="64">
        <v>1.95</v>
      </c>
      <c r="C62" s="64">
        <v>40.229999999999997</v>
      </c>
      <c r="D62" s="64">
        <v>38.29</v>
      </c>
      <c r="E62" s="64">
        <v>3.94</v>
      </c>
      <c r="F62" s="64">
        <v>23.06</v>
      </c>
      <c r="G62" s="64">
        <v>34.15</v>
      </c>
      <c r="H62" s="64">
        <v>14.25</v>
      </c>
      <c r="I62" s="64">
        <v>3.98</v>
      </c>
      <c r="J62" s="64">
        <v>0.2</v>
      </c>
      <c r="K62" s="64">
        <v>35.799999999999997</v>
      </c>
      <c r="L62" s="64">
        <v>37.15</v>
      </c>
      <c r="M62" s="64">
        <v>28</v>
      </c>
      <c r="N62" s="64">
        <v>737.6</v>
      </c>
      <c r="O62" s="64">
        <v>0</v>
      </c>
      <c r="P62" s="64">
        <v>0.47</v>
      </c>
      <c r="Q62" s="211" t="s">
        <v>43</v>
      </c>
      <c r="R62" s="198"/>
      <c r="S62" s="198"/>
      <c r="T62" s="198"/>
      <c r="U62" s="198"/>
    </row>
    <row r="63" spans="1:21" s="12" customFormat="1" x14ac:dyDescent="0.25">
      <c r="A63" s="215" t="s">
        <v>1644</v>
      </c>
      <c r="B63" s="64">
        <v>4.8899999999999997</v>
      </c>
      <c r="C63" s="64">
        <v>49.7</v>
      </c>
      <c r="D63" s="64">
        <v>44.81</v>
      </c>
      <c r="E63" s="64">
        <v>8.09</v>
      </c>
      <c r="F63" s="64">
        <v>24.22</v>
      </c>
      <c r="G63" s="64">
        <v>33.909999999999997</v>
      </c>
      <c r="H63" s="64">
        <v>13.2</v>
      </c>
      <c r="I63" s="64">
        <v>3.98</v>
      </c>
      <c r="J63" s="64">
        <v>0.3</v>
      </c>
      <c r="K63" s="64">
        <v>9.1300000000000008</v>
      </c>
      <c r="L63" s="64">
        <v>37.46</v>
      </c>
      <c r="M63" s="64">
        <v>27.16</v>
      </c>
      <c r="N63" s="64">
        <v>750.5</v>
      </c>
      <c r="O63" s="64">
        <v>0</v>
      </c>
      <c r="P63" s="64">
        <v>0.48</v>
      </c>
      <c r="Q63" s="211" t="s">
        <v>43</v>
      </c>
      <c r="R63" s="198"/>
      <c r="S63" s="198"/>
      <c r="T63" s="198"/>
      <c r="U63" s="198"/>
    </row>
    <row r="64" spans="1:21" s="12" customFormat="1" x14ac:dyDescent="0.25">
      <c r="A64" s="215" t="s">
        <v>1645</v>
      </c>
      <c r="B64" s="64">
        <v>3.97</v>
      </c>
      <c r="C64" s="64">
        <v>47.68</v>
      </c>
      <c r="D64" s="64">
        <v>43.72</v>
      </c>
      <c r="E64" s="64">
        <v>7.4</v>
      </c>
      <c r="F64" s="64">
        <v>26.55</v>
      </c>
      <c r="G64" s="64">
        <v>33.909999999999997</v>
      </c>
      <c r="H64" s="64">
        <v>13.2</v>
      </c>
      <c r="I64" s="64">
        <v>3.91</v>
      </c>
      <c r="J64" s="64">
        <v>1.41</v>
      </c>
      <c r="K64" s="64">
        <v>316.95</v>
      </c>
      <c r="L64" s="64">
        <v>37.76</v>
      </c>
      <c r="M64" s="64">
        <v>26.38</v>
      </c>
      <c r="N64" s="64">
        <v>670.6</v>
      </c>
      <c r="O64" s="64">
        <v>0</v>
      </c>
      <c r="P64" s="64">
        <v>0.47</v>
      </c>
      <c r="Q64" s="64">
        <v>4.01</v>
      </c>
      <c r="R64" s="198"/>
      <c r="S64" s="198"/>
      <c r="T64" s="198"/>
      <c r="U64" s="198"/>
    </row>
    <row r="65" spans="1:21" s="12" customFormat="1" x14ac:dyDescent="0.25">
      <c r="A65" s="215" t="s">
        <v>1646</v>
      </c>
      <c r="B65" s="64">
        <v>3.61</v>
      </c>
      <c r="C65" s="64">
        <v>52.3</v>
      </c>
      <c r="D65" s="64">
        <v>48.69</v>
      </c>
      <c r="E65" s="64">
        <v>7.1</v>
      </c>
      <c r="F65" s="64">
        <v>24.02</v>
      </c>
      <c r="G65" s="64">
        <v>33.909999999999997</v>
      </c>
      <c r="H65" s="64">
        <v>13.2</v>
      </c>
      <c r="I65" s="64">
        <v>3.95</v>
      </c>
      <c r="J65" s="64">
        <v>2.56</v>
      </c>
      <c r="K65" s="64">
        <v>314.39</v>
      </c>
      <c r="L65" s="64">
        <v>38.630000000000003</v>
      </c>
      <c r="M65" s="64">
        <v>25.15</v>
      </c>
      <c r="N65" s="64">
        <v>517.9</v>
      </c>
      <c r="O65" s="64">
        <v>0</v>
      </c>
      <c r="P65" s="64">
        <v>0.56999999999999995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5" t="s">
        <v>1647</v>
      </c>
      <c r="B66" s="64">
        <v>5.13</v>
      </c>
      <c r="C66" s="64">
        <v>56.24</v>
      </c>
      <c r="D66" s="64">
        <v>51.17</v>
      </c>
      <c r="E66" s="64">
        <v>6.88</v>
      </c>
      <c r="F66" s="64">
        <v>25.39</v>
      </c>
      <c r="G66" s="64">
        <v>40.78</v>
      </c>
      <c r="H66" s="64">
        <v>14.6</v>
      </c>
      <c r="I66" s="64">
        <v>4.0999999999999996</v>
      </c>
      <c r="J66" s="64">
        <v>2.17</v>
      </c>
      <c r="K66" s="64">
        <v>309.38</v>
      </c>
      <c r="L66" s="64">
        <v>39.18</v>
      </c>
      <c r="M66" s="64">
        <v>24.08</v>
      </c>
      <c r="N66" s="64">
        <v>565.4</v>
      </c>
      <c r="O66" s="64">
        <v>0</v>
      </c>
      <c r="P66" s="64">
        <v>0.68</v>
      </c>
      <c r="Q66" s="64">
        <v>8.74</v>
      </c>
      <c r="R66" s="198"/>
      <c r="S66" s="198"/>
      <c r="T66" s="198"/>
      <c r="U66" s="198"/>
    </row>
    <row r="67" spans="1:21" s="12" customFormat="1" x14ac:dyDescent="0.25">
      <c r="A67" s="215" t="s">
        <v>1648</v>
      </c>
      <c r="B67" s="64">
        <v>3.17</v>
      </c>
      <c r="C67" s="64">
        <v>55.56</v>
      </c>
      <c r="D67" s="64">
        <v>52.38</v>
      </c>
      <c r="E67" s="64">
        <v>6.23</v>
      </c>
      <c r="F67" s="64">
        <v>19.510000000000002</v>
      </c>
      <c r="G67" s="64">
        <v>45.62</v>
      </c>
      <c r="H67" s="64">
        <v>16.059999999999999</v>
      </c>
      <c r="I67" s="64">
        <v>4.04</v>
      </c>
      <c r="J67" s="64">
        <v>1.67</v>
      </c>
      <c r="K67" s="64">
        <v>294.33</v>
      </c>
      <c r="L67" s="64">
        <v>38.590000000000003</v>
      </c>
      <c r="M67" s="64">
        <v>24.44</v>
      </c>
      <c r="N67" s="64">
        <v>445.4</v>
      </c>
      <c r="O67" s="64">
        <v>0</v>
      </c>
      <c r="P67" s="64">
        <v>0.6</v>
      </c>
      <c r="Q67" s="64">
        <v>8.91</v>
      </c>
      <c r="R67" s="198"/>
      <c r="S67" s="198"/>
      <c r="T67" s="198"/>
      <c r="U67" s="198"/>
    </row>
    <row r="68" spans="1:21" s="12" customFormat="1" x14ac:dyDescent="0.25">
      <c r="A68" s="215" t="s">
        <v>1649</v>
      </c>
      <c r="B68" s="64">
        <v>0.35</v>
      </c>
      <c r="C68" s="64">
        <v>40.479999999999997</v>
      </c>
      <c r="D68" s="64">
        <v>40.14</v>
      </c>
      <c r="E68" s="64">
        <v>6.22</v>
      </c>
      <c r="F68" s="64">
        <v>25.78</v>
      </c>
      <c r="G68" s="64">
        <v>45.62</v>
      </c>
      <c r="H68" s="64">
        <v>16.059999999999999</v>
      </c>
      <c r="I68" s="64">
        <v>3.98</v>
      </c>
      <c r="J68" s="64">
        <v>0.78</v>
      </c>
      <c r="K68" s="64">
        <v>285.58999999999997</v>
      </c>
      <c r="L68" s="64">
        <v>37.21</v>
      </c>
      <c r="M68" s="64">
        <v>25.56</v>
      </c>
      <c r="N68" s="64">
        <v>461.6</v>
      </c>
      <c r="O68" s="64">
        <v>0</v>
      </c>
      <c r="P68" s="64">
        <v>0.49</v>
      </c>
      <c r="Q68" s="64">
        <v>9.18</v>
      </c>
      <c r="R68" s="198"/>
      <c r="S68" s="198"/>
      <c r="T68" s="198"/>
      <c r="U68" s="198"/>
    </row>
    <row r="69" spans="1:21" s="12" customFormat="1" x14ac:dyDescent="0.25">
      <c r="A69" s="215" t="s">
        <v>1650</v>
      </c>
      <c r="B69" s="64">
        <v>0.43</v>
      </c>
      <c r="C69" s="64">
        <v>28.8</v>
      </c>
      <c r="D69" s="64">
        <v>28.37</v>
      </c>
      <c r="E69" s="64">
        <v>8.14</v>
      </c>
      <c r="F69" s="64">
        <v>33.94</v>
      </c>
      <c r="G69" s="64">
        <v>45.62</v>
      </c>
      <c r="H69" s="64">
        <v>16.059999999999999</v>
      </c>
      <c r="I69" s="64">
        <v>3.89</v>
      </c>
      <c r="J69" s="64">
        <v>1.51</v>
      </c>
      <c r="K69" s="64">
        <v>96.31</v>
      </c>
      <c r="L69" s="64">
        <v>35.31</v>
      </c>
      <c r="M69" s="64">
        <v>27.24</v>
      </c>
      <c r="N69" s="64">
        <v>276.7</v>
      </c>
      <c r="O69" s="64">
        <v>0</v>
      </c>
      <c r="P69" s="64">
        <v>0.33</v>
      </c>
      <c r="Q69" s="64">
        <v>8.93</v>
      </c>
      <c r="R69" s="198"/>
      <c r="S69" s="198"/>
      <c r="T69" s="198"/>
      <c r="U69" s="198"/>
    </row>
    <row r="70" spans="1:21" s="12" customFormat="1" x14ac:dyDescent="0.25">
      <c r="A70" s="215" t="s">
        <v>1651</v>
      </c>
      <c r="B70" s="64">
        <v>6.01</v>
      </c>
      <c r="C70" s="64">
        <v>54.08</v>
      </c>
      <c r="D70" s="64">
        <v>48.06</v>
      </c>
      <c r="E70" s="64">
        <v>10.39</v>
      </c>
      <c r="F70" s="64">
        <v>32.979999999999997</v>
      </c>
      <c r="G70" s="64">
        <v>42.63</v>
      </c>
      <c r="H70" s="64">
        <v>15.96</v>
      </c>
      <c r="I70" s="64">
        <v>4.21</v>
      </c>
      <c r="J70" s="64">
        <v>1</v>
      </c>
      <c r="K70" s="64">
        <v>18.7</v>
      </c>
      <c r="L70" s="64">
        <v>35.909999999999997</v>
      </c>
      <c r="M70" s="64">
        <v>26.58</v>
      </c>
      <c r="N70" s="64">
        <v>263.2</v>
      </c>
      <c r="O70" s="64">
        <v>0</v>
      </c>
      <c r="P70" s="64">
        <v>0.6</v>
      </c>
      <c r="Q70" s="64">
        <v>8.76</v>
      </c>
      <c r="R70" s="198"/>
      <c r="S70" s="198"/>
      <c r="T70" s="198"/>
      <c r="U70" s="198"/>
    </row>
    <row r="71" spans="1:21" s="12" customFormat="1" x14ac:dyDescent="0.25">
      <c r="A71" s="215" t="s">
        <v>1652</v>
      </c>
      <c r="B71" s="64">
        <v>2.76</v>
      </c>
      <c r="C71" s="64">
        <v>34.82</v>
      </c>
      <c r="D71" s="64">
        <v>32.06</v>
      </c>
      <c r="E71" s="64">
        <v>10.57</v>
      </c>
      <c r="F71" s="64">
        <v>32.51</v>
      </c>
      <c r="G71" s="64">
        <v>38.68</v>
      </c>
      <c r="H71" s="64">
        <v>15.86</v>
      </c>
      <c r="I71" s="64">
        <v>3.92</v>
      </c>
      <c r="J71" s="64">
        <v>0.93</v>
      </c>
      <c r="K71" s="64">
        <v>23.16</v>
      </c>
      <c r="L71" s="64">
        <v>35.83</v>
      </c>
      <c r="M71" s="64">
        <v>27.41</v>
      </c>
      <c r="N71" s="64">
        <v>180</v>
      </c>
      <c r="O71" s="64">
        <v>0</v>
      </c>
      <c r="P71" s="64">
        <v>0.42</v>
      </c>
      <c r="Q71" s="64">
        <v>8.8000000000000007</v>
      </c>
      <c r="R71" s="198"/>
      <c r="S71" s="198"/>
      <c r="T71" s="198"/>
      <c r="U71" s="198"/>
    </row>
    <row r="72" spans="1:21" s="12" customFormat="1" x14ac:dyDescent="0.25">
      <c r="A72" s="215" t="s">
        <v>1653</v>
      </c>
      <c r="B72" s="64">
        <v>0.23</v>
      </c>
      <c r="C72" s="64">
        <v>36.18</v>
      </c>
      <c r="D72" s="64">
        <v>35.950000000000003</v>
      </c>
      <c r="E72" s="64">
        <v>6.52</v>
      </c>
      <c r="F72" s="64">
        <v>20.7</v>
      </c>
      <c r="G72" s="64">
        <v>38.68</v>
      </c>
      <c r="H72" s="64">
        <v>15.86</v>
      </c>
      <c r="I72" s="64">
        <v>3.94</v>
      </c>
      <c r="J72" s="64">
        <v>1.1299999999999999</v>
      </c>
      <c r="K72" s="64">
        <v>239</v>
      </c>
      <c r="L72" s="64">
        <v>34.69</v>
      </c>
      <c r="M72" s="64">
        <v>29.6</v>
      </c>
      <c r="N72" s="64">
        <v>85.5</v>
      </c>
      <c r="O72" s="64">
        <v>0</v>
      </c>
      <c r="P72" s="64">
        <v>0.39</v>
      </c>
      <c r="Q72" s="64">
        <v>9.0500000000000007</v>
      </c>
      <c r="R72" s="198"/>
      <c r="S72" s="198"/>
      <c r="T72" s="198"/>
      <c r="U72" s="198"/>
    </row>
    <row r="73" spans="1:21" s="12" customFormat="1" x14ac:dyDescent="0.25">
      <c r="A73" s="215" t="s">
        <v>1654</v>
      </c>
      <c r="B73" s="64">
        <v>0.49</v>
      </c>
      <c r="C73" s="64">
        <v>47.76</v>
      </c>
      <c r="D73" s="64">
        <v>47.27</v>
      </c>
      <c r="E73" s="64">
        <v>5.09</v>
      </c>
      <c r="F73" s="64">
        <v>15.1</v>
      </c>
      <c r="G73" s="64">
        <v>38.68</v>
      </c>
      <c r="H73" s="64">
        <v>15.86</v>
      </c>
      <c r="I73" s="64">
        <v>4.12</v>
      </c>
      <c r="J73" s="64">
        <v>1.96</v>
      </c>
      <c r="K73" s="64">
        <v>260.67</v>
      </c>
      <c r="L73" s="64">
        <v>31.51</v>
      </c>
      <c r="M73" s="64">
        <v>36.04</v>
      </c>
      <c r="N73" s="64">
        <v>90.4</v>
      </c>
      <c r="O73" s="64">
        <v>0</v>
      </c>
      <c r="P73" s="64">
        <v>0.48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5" t="s">
        <v>1655</v>
      </c>
      <c r="B74" s="64">
        <v>0.32</v>
      </c>
      <c r="C74" s="64">
        <v>44.31</v>
      </c>
      <c r="D74" s="64">
        <v>43.99</v>
      </c>
      <c r="E74" s="64">
        <v>4.93</v>
      </c>
      <c r="F74" s="64">
        <v>14.51</v>
      </c>
      <c r="G74" s="64">
        <v>138.12</v>
      </c>
      <c r="H74" s="64">
        <v>17.61</v>
      </c>
      <c r="I74" s="64">
        <v>4.09</v>
      </c>
      <c r="J74" s="64">
        <v>1.87</v>
      </c>
      <c r="K74" s="64">
        <v>253.12</v>
      </c>
      <c r="L74" s="64">
        <v>29.01</v>
      </c>
      <c r="M74" s="64">
        <v>44.65</v>
      </c>
      <c r="N74" s="64">
        <v>113.8</v>
      </c>
      <c r="O74" s="64">
        <v>0</v>
      </c>
      <c r="P74" s="64">
        <v>0.47</v>
      </c>
      <c r="Q74" s="64">
        <v>8.86</v>
      </c>
      <c r="R74" s="198"/>
      <c r="S74" s="198"/>
      <c r="T74" s="198"/>
      <c r="U74" s="198"/>
    </row>
    <row r="75" spans="1:21" s="12" customFormat="1" x14ac:dyDescent="0.25">
      <c r="A75" s="215" t="s">
        <v>1656</v>
      </c>
      <c r="B75" s="64">
        <v>0.19</v>
      </c>
      <c r="C75" s="64">
        <v>38.42</v>
      </c>
      <c r="D75" s="64">
        <v>38.229999999999997</v>
      </c>
      <c r="E75" s="64">
        <v>4.1399999999999997</v>
      </c>
      <c r="F75" s="64">
        <v>14.82</v>
      </c>
      <c r="G75" s="64">
        <v>192.36</v>
      </c>
      <c r="H75" s="64">
        <v>19.45</v>
      </c>
      <c r="I75" s="64">
        <v>3.98</v>
      </c>
      <c r="J75" s="64">
        <v>1.61</v>
      </c>
      <c r="K75" s="64">
        <v>240.51</v>
      </c>
      <c r="L75" s="64">
        <v>28.28</v>
      </c>
      <c r="M75" s="64">
        <v>46.93</v>
      </c>
      <c r="N75" s="64">
        <v>113.3</v>
      </c>
      <c r="O75" s="64">
        <v>0</v>
      </c>
      <c r="P75" s="64">
        <v>0.42</v>
      </c>
      <c r="Q75" s="64">
        <v>8.5399999999999991</v>
      </c>
      <c r="R75" s="198"/>
      <c r="S75" s="198"/>
      <c r="T75" s="198"/>
      <c r="U75" s="198"/>
    </row>
    <row r="76" spans="1:21" s="12" customFormat="1" x14ac:dyDescent="0.25">
      <c r="A76" s="215" t="s">
        <v>1657</v>
      </c>
      <c r="B76" s="64">
        <v>0.24</v>
      </c>
      <c r="C76" s="64">
        <v>36.950000000000003</v>
      </c>
      <c r="D76" s="64">
        <v>36.71</v>
      </c>
      <c r="E76" s="64">
        <v>3.97</v>
      </c>
      <c r="F76" s="64">
        <v>11.95</v>
      </c>
      <c r="G76" s="64">
        <v>192.36</v>
      </c>
      <c r="H76" s="64">
        <v>19.45</v>
      </c>
      <c r="I76" s="64">
        <v>4.0599999999999996</v>
      </c>
      <c r="J76" s="64">
        <v>1.04</v>
      </c>
      <c r="K76" s="64">
        <v>236.79</v>
      </c>
      <c r="L76" s="64">
        <v>28.58</v>
      </c>
      <c r="M76" s="64">
        <v>43.85</v>
      </c>
      <c r="N76" s="64">
        <v>95.3</v>
      </c>
      <c r="O76" s="64">
        <v>0</v>
      </c>
      <c r="P76" s="64">
        <v>0.41</v>
      </c>
      <c r="Q76" s="64">
        <v>8.7899999999999991</v>
      </c>
      <c r="R76" s="198"/>
      <c r="S76" s="198"/>
      <c r="T76" s="198"/>
      <c r="U76" s="198"/>
    </row>
    <row r="77" spans="1:21" s="12" customFormat="1" x14ac:dyDescent="0.25">
      <c r="A77" s="215" t="s">
        <v>1658</v>
      </c>
      <c r="B77" s="64">
        <v>0.61</v>
      </c>
      <c r="C77" s="64">
        <v>41.53</v>
      </c>
      <c r="D77" s="64">
        <v>40.92</v>
      </c>
      <c r="E77" s="64">
        <v>4.2699999999999996</v>
      </c>
      <c r="F77" s="64">
        <v>12.19</v>
      </c>
      <c r="G77" s="64">
        <v>192.36</v>
      </c>
      <c r="H77" s="64">
        <v>19.45</v>
      </c>
      <c r="I77" s="64">
        <v>3.99</v>
      </c>
      <c r="J77" s="64">
        <v>2.06</v>
      </c>
      <c r="K77" s="64">
        <v>185.77</v>
      </c>
      <c r="L77" s="64">
        <v>29.27</v>
      </c>
      <c r="M77" s="64">
        <v>39.799999999999997</v>
      </c>
      <c r="N77" s="64">
        <v>88.3</v>
      </c>
      <c r="O77" s="64">
        <v>0</v>
      </c>
      <c r="P77" s="64">
        <v>0.38</v>
      </c>
      <c r="Q77" s="64">
        <v>8.92</v>
      </c>
      <c r="R77" s="198"/>
      <c r="S77" s="198"/>
      <c r="T77" s="198"/>
      <c r="U77" s="198"/>
    </row>
    <row r="78" spans="1:21" s="12" customFormat="1" x14ac:dyDescent="0.25">
      <c r="A78" s="215" t="s">
        <v>1659</v>
      </c>
      <c r="B78" s="64">
        <v>0.57999999999999996</v>
      </c>
      <c r="C78" s="64">
        <v>38.19</v>
      </c>
      <c r="D78" s="64">
        <v>37.61</v>
      </c>
      <c r="E78" s="64">
        <v>3.84</v>
      </c>
      <c r="F78" s="64">
        <v>10.1</v>
      </c>
      <c r="G78" s="64">
        <v>145.69</v>
      </c>
      <c r="H78" s="64">
        <v>19.510000000000002</v>
      </c>
      <c r="I78" s="64">
        <v>3.89</v>
      </c>
      <c r="J78" s="64">
        <v>4.0599999999999996</v>
      </c>
      <c r="K78" s="64">
        <v>161.02000000000001</v>
      </c>
      <c r="L78" s="64">
        <v>27.26</v>
      </c>
      <c r="M78" s="64">
        <v>50.21</v>
      </c>
      <c r="N78" s="64">
        <v>89.6</v>
      </c>
      <c r="O78" s="64">
        <v>0</v>
      </c>
      <c r="P78" s="64">
        <v>0.38</v>
      </c>
      <c r="Q78" s="64">
        <v>8.84</v>
      </c>
      <c r="R78" s="198"/>
      <c r="S78" s="198"/>
      <c r="T78" s="198"/>
      <c r="U78" s="198"/>
    </row>
    <row r="79" spans="1:21" s="12" customFormat="1" x14ac:dyDescent="0.25">
      <c r="A79" s="215" t="s">
        <v>1660</v>
      </c>
      <c r="B79" s="64">
        <v>0.61</v>
      </c>
      <c r="C79" s="64">
        <v>42.89</v>
      </c>
      <c r="D79" s="64">
        <v>42.28</v>
      </c>
      <c r="E79" s="64">
        <v>4.2300000000000004</v>
      </c>
      <c r="F79" s="64">
        <v>9.68</v>
      </c>
      <c r="G79" s="64">
        <v>96.89</v>
      </c>
      <c r="H79" s="64">
        <v>19.579999999999998</v>
      </c>
      <c r="I79" s="64">
        <v>4.03</v>
      </c>
      <c r="J79" s="64">
        <v>4.41</v>
      </c>
      <c r="K79" s="64">
        <v>169.02</v>
      </c>
      <c r="L79" s="64">
        <v>26.82</v>
      </c>
      <c r="M79" s="64">
        <v>49.37</v>
      </c>
      <c r="N79" s="64">
        <v>78.5</v>
      </c>
      <c r="O79" s="64">
        <v>0</v>
      </c>
      <c r="P79" s="64">
        <v>0.36</v>
      </c>
      <c r="Q79" s="64">
        <v>8.91</v>
      </c>
      <c r="R79" s="198"/>
      <c r="S79" s="198"/>
      <c r="T79" s="198"/>
      <c r="U79" s="198"/>
    </row>
    <row r="80" spans="1:21" s="12" customFormat="1" x14ac:dyDescent="0.25">
      <c r="A80" s="215" t="s">
        <v>1661</v>
      </c>
      <c r="B80" s="64">
        <v>0.54</v>
      </c>
      <c r="C80" s="64">
        <v>39.85</v>
      </c>
      <c r="D80" s="64">
        <v>39.32</v>
      </c>
      <c r="E80" s="64">
        <v>4.17</v>
      </c>
      <c r="F80" s="64">
        <v>9.5</v>
      </c>
      <c r="G80" s="64">
        <v>96.89</v>
      </c>
      <c r="H80" s="64">
        <v>19.579999999999998</v>
      </c>
      <c r="I80" s="64">
        <v>3.99</v>
      </c>
      <c r="J80" s="64">
        <v>4.3499999999999996</v>
      </c>
      <c r="K80" s="64">
        <v>163.41</v>
      </c>
      <c r="L80" s="64">
        <v>26.36</v>
      </c>
      <c r="M80" s="64">
        <v>52.51</v>
      </c>
      <c r="N80" s="64">
        <v>71.400000000000006</v>
      </c>
      <c r="O80" s="64">
        <v>0</v>
      </c>
      <c r="P80" s="64">
        <v>0.34</v>
      </c>
      <c r="Q80" s="64">
        <v>8.6199999999999992</v>
      </c>
      <c r="R80" s="198"/>
      <c r="S80" s="198"/>
      <c r="T80" s="198"/>
      <c r="U80" s="198"/>
    </row>
    <row r="81" spans="1:26" s="12" customFormat="1" x14ac:dyDescent="0.25">
      <c r="A81" s="215" t="s">
        <v>1662</v>
      </c>
      <c r="B81" s="64">
        <v>0.56000000000000005</v>
      </c>
      <c r="C81" s="64">
        <v>40.130000000000003</v>
      </c>
      <c r="D81" s="64">
        <v>39.57</v>
      </c>
      <c r="E81" s="64">
        <v>4.07</v>
      </c>
      <c r="F81" s="64">
        <v>9.2799999999999994</v>
      </c>
      <c r="G81" s="64">
        <v>96.89</v>
      </c>
      <c r="H81" s="64">
        <v>19.579999999999998</v>
      </c>
      <c r="I81" s="64">
        <v>4.0199999999999996</v>
      </c>
      <c r="J81" s="64">
        <v>3.78</v>
      </c>
      <c r="K81" s="64">
        <v>157.5</v>
      </c>
      <c r="L81" s="64">
        <v>25.8</v>
      </c>
      <c r="M81" s="64">
        <v>54.85</v>
      </c>
      <c r="N81" s="64">
        <v>62.2</v>
      </c>
      <c r="O81" s="64">
        <v>0</v>
      </c>
      <c r="P81" s="64">
        <v>0.32</v>
      </c>
      <c r="Q81" s="64">
        <v>8.48</v>
      </c>
      <c r="R81" s="198"/>
      <c r="S81" s="198"/>
      <c r="T81" s="198"/>
      <c r="U81" s="198"/>
    </row>
    <row r="82" spans="1:26" s="12" customFormat="1" x14ac:dyDescent="0.25">
      <c r="A82" s="215" t="s">
        <v>1663</v>
      </c>
      <c r="B82" s="64">
        <v>0.63</v>
      </c>
      <c r="C82" s="64">
        <v>38.32</v>
      </c>
      <c r="D82" s="64">
        <v>37.700000000000003</v>
      </c>
      <c r="E82" s="64">
        <v>3.5</v>
      </c>
      <c r="F82" s="64">
        <v>8.7799999999999994</v>
      </c>
      <c r="G82" s="64">
        <v>94.12</v>
      </c>
      <c r="H82" s="64">
        <v>19.02</v>
      </c>
      <c r="I82" s="64">
        <v>4</v>
      </c>
      <c r="J82" s="64">
        <v>4.2300000000000004</v>
      </c>
      <c r="K82" s="64">
        <v>161.97999999999999</v>
      </c>
      <c r="L82" s="64">
        <v>25.29</v>
      </c>
      <c r="M82" s="64">
        <v>56.73</v>
      </c>
      <c r="N82" s="64">
        <v>53.3</v>
      </c>
      <c r="O82" s="64">
        <v>0</v>
      </c>
      <c r="P82" s="64">
        <v>0.31</v>
      </c>
      <c r="Q82" s="64">
        <v>8.65</v>
      </c>
      <c r="R82" s="198"/>
      <c r="S82" s="198"/>
      <c r="T82" s="198"/>
      <c r="U82" s="198"/>
    </row>
    <row r="83" spans="1:26" s="12" customFormat="1" x14ac:dyDescent="0.25">
      <c r="A83" s="215" t="s">
        <v>1664</v>
      </c>
      <c r="B83" s="64">
        <v>0.64</v>
      </c>
      <c r="C83" s="64">
        <v>37.270000000000003</v>
      </c>
      <c r="D83" s="64">
        <v>36.619999999999997</v>
      </c>
      <c r="E83" s="64">
        <v>3.7</v>
      </c>
      <c r="F83" s="64">
        <v>9.18</v>
      </c>
      <c r="G83" s="64">
        <v>91.23</v>
      </c>
      <c r="H83" s="64">
        <v>18.440000000000001</v>
      </c>
      <c r="I83" s="64">
        <v>4.05</v>
      </c>
      <c r="J83" s="64">
        <v>3.3</v>
      </c>
      <c r="K83" s="64">
        <v>167.71</v>
      </c>
      <c r="L83" s="64">
        <v>25.13</v>
      </c>
      <c r="M83" s="64">
        <v>55.43</v>
      </c>
      <c r="N83" s="64">
        <v>50.9</v>
      </c>
      <c r="O83" s="64">
        <v>0</v>
      </c>
      <c r="P83" s="64">
        <v>0.3</v>
      </c>
      <c r="Q83" s="64">
        <v>8.75</v>
      </c>
      <c r="R83" s="198"/>
      <c r="S83" s="198"/>
      <c r="T83" s="198"/>
      <c r="U83" s="198"/>
    </row>
    <row r="84" spans="1:26" s="12" customFormat="1" x14ac:dyDescent="0.25">
      <c r="A84" s="215" t="s">
        <v>1665</v>
      </c>
      <c r="B84" s="64">
        <v>0.74</v>
      </c>
      <c r="C84" s="64">
        <v>37.090000000000003</v>
      </c>
      <c r="D84" s="64">
        <v>36.35</v>
      </c>
      <c r="E84" s="64">
        <v>4.0599999999999996</v>
      </c>
      <c r="F84" s="64">
        <v>10.71</v>
      </c>
      <c r="G84" s="64">
        <v>91.23</v>
      </c>
      <c r="H84" s="64">
        <v>18.440000000000001</v>
      </c>
      <c r="I84" s="64">
        <v>3.99</v>
      </c>
      <c r="J84" s="64">
        <v>2.15</v>
      </c>
      <c r="K84" s="64">
        <v>170.06</v>
      </c>
      <c r="L84" s="64">
        <v>25.05</v>
      </c>
      <c r="M84" s="64">
        <v>54.84</v>
      </c>
      <c r="N84" s="64">
        <v>50.7</v>
      </c>
      <c r="O84" s="64">
        <v>0</v>
      </c>
      <c r="P84" s="64">
        <v>0.28999999999999998</v>
      </c>
      <c r="Q84" s="64">
        <v>8.69</v>
      </c>
      <c r="R84" s="198"/>
      <c r="S84" s="198"/>
      <c r="T84" s="198"/>
      <c r="U84" s="198"/>
    </row>
    <row r="85" spans="1:26" s="12" customFormat="1" x14ac:dyDescent="0.25">
      <c r="A85" s="215" t="s">
        <v>1666</v>
      </c>
      <c r="B85" s="64">
        <v>0.84</v>
      </c>
      <c r="C85" s="64">
        <v>37.619999999999997</v>
      </c>
      <c r="D85" s="64">
        <v>36.78</v>
      </c>
      <c r="E85" s="64">
        <v>3.77</v>
      </c>
      <c r="F85" s="64">
        <v>9.76</v>
      </c>
      <c r="G85" s="64">
        <v>91.23</v>
      </c>
      <c r="H85" s="64">
        <v>18.440000000000001</v>
      </c>
      <c r="I85" s="64">
        <v>3.96</v>
      </c>
      <c r="J85" s="64">
        <v>1.7</v>
      </c>
      <c r="K85" s="64">
        <v>179.18</v>
      </c>
      <c r="L85" s="64">
        <v>25.06</v>
      </c>
      <c r="M85" s="64">
        <v>53.42</v>
      </c>
      <c r="N85" s="64">
        <v>50.9</v>
      </c>
      <c r="O85" s="64">
        <v>0</v>
      </c>
      <c r="P85" s="64">
        <v>0.27</v>
      </c>
      <c r="Q85" s="64">
        <v>8.69</v>
      </c>
      <c r="R85" s="198"/>
      <c r="S85" s="198"/>
      <c r="T85" s="198"/>
      <c r="U85" s="198"/>
    </row>
    <row r="86" spans="1:26" s="12" customFormat="1" x14ac:dyDescent="0.25">
      <c r="A86" s="215" t="s">
        <v>1667</v>
      </c>
      <c r="B86" s="64">
        <v>1.03</v>
      </c>
      <c r="C86" s="64">
        <v>38.72</v>
      </c>
      <c r="D86" s="64">
        <v>37.700000000000003</v>
      </c>
      <c r="E86" s="64">
        <v>3.95</v>
      </c>
      <c r="F86" s="64">
        <v>9.59</v>
      </c>
      <c r="G86" s="64">
        <v>54.68</v>
      </c>
      <c r="H86" s="64">
        <v>16.22</v>
      </c>
      <c r="I86" s="64">
        <v>4.1100000000000003</v>
      </c>
      <c r="J86" s="64">
        <v>1.66</v>
      </c>
      <c r="K86" s="64">
        <v>199.91</v>
      </c>
      <c r="L86" s="64">
        <v>25.04</v>
      </c>
      <c r="M86" s="64">
        <v>53.35</v>
      </c>
      <c r="N86" s="64">
        <v>50.3</v>
      </c>
      <c r="O86" s="64">
        <v>0</v>
      </c>
      <c r="P86" s="64">
        <v>0.3</v>
      </c>
      <c r="Q86" s="64">
        <v>8.69</v>
      </c>
      <c r="R86" s="198"/>
      <c r="S86" s="198"/>
      <c r="T86" s="198"/>
      <c r="U86" s="198"/>
    </row>
    <row r="87" spans="1:26" s="12" customFormat="1" x14ac:dyDescent="0.25">
      <c r="A87" s="215" t="s">
        <v>1668</v>
      </c>
      <c r="B87" s="64">
        <v>1.58</v>
      </c>
      <c r="C87" s="64">
        <v>41.74</v>
      </c>
      <c r="D87" s="64">
        <v>40.159999999999997</v>
      </c>
      <c r="E87" s="64">
        <v>4.07</v>
      </c>
      <c r="F87" s="64">
        <v>9.5500000000000007</v>
      </c>
      <c r="G87" s="64">
        <v>16.47</v>
      </c>
      <c r="H87" s="64">
        <v>13.9</v>
      </c>
      <c r="I87" s="64">
        <v>3.92</v>
      </c>
      <c r="J87" s="64">
        <v>1.05</v>
      </c>
      <c r="K87" s="64">
        <v>209.46</v>
      </c>
      <c r="L87" s="64">
        <v>25.13</v>
      </c>
      <c r="M87" s="64">
        <v>53.23</v>
      </c>
      <c r="N87" s="64">
        <v>51</v>
      </c>
      <c r="O87" s="64">
        <v>0</v>
      </c>
      <c r="P87" s="64">
        <v>0.33</v>
      </c>
      <c r="Q87" s="64">
        <v>8.67</v>
      </c>
      <c r="R87" s="198"/>
      <c r="S87" s="198"/>
      <c r="T87" s="198"/>
      <c r="U87" s="198"/>
    </row>
    <row r="88" spans="1:26" s="12" customFormat="1" x14ac:dyDescent="0.25">
      <c r="A88" s="215" t="s">
        <v>1669</v>
      </c>
      <c r="B88" s="64">
        <v>1.25</v>
      </c>
      <c r="C88" s="64">
        <v>40.14</v>
      </c>
      <c r="D88" s="64">
        <v>38.89</v>
      </c>
      <c r="E88" s="64">
        <v>3.87</v>
      </c>
      <c r="F88" s="64">
        <v>11.09</v>
      </c>
      <c r="G88" s="64">
        <v>16.47</v>
      </c>
      <c r="H88" s="64">
        <v>13.9</v>
      </c>
      <c r="I88" s="64">
        <v>3.98</v>
      </c>
      <c r="J88" s="64">
        <v>2.15</v>
      </c>
      <c r="K88" s="64">
        <v>166.83</v>
      </c>
      <c r="L88" s="64">
        <v>24.95</v>
      </c>
      <c r="M88" s="64">
        <v>54.95</v>
      </c>
      <c r="N88" s="64">
        <v>50.9</v>
      </c>
      <c r="O88" s="64">
        <v>0</v>
      </c>
      <c r="P88" s="64">
        <v>0.31</v>
      </c>
      <c r="Q88" s="64">
        <v>8.5</v>
      </c>
      <c r="R88" s="198"/>
      <c r="S88" s="198"/>
      <c r="T88" s="198"/>
      <c r="U88" s="198"/>
    </row>
    <row r="89" spans="1:26" s="12" customFormat="1" x14ac:dyDescent="0.25">
      <c r="A89" s="215" t="s">
        <v>1670</v>
      </c>
      <c r="B89" s="64">
        <v>1.5</v>
      </c>
      <c r="C89" s="64">
        <v>41.45</v>
      </c>
      <c r="D89" s="64">
        <v>39.94</v>
      </c>
      <c r="E89" s="64">
        <v>3.97</v>
      </c>
      <c r="F89" s="64">
        <v>7.22</v>
      </c>
      <c r="G89" s="64">
        <v>16.47</v>
      </c>
      <c r="H89" s="64">
        <v>13.9</v>
      </c>
      <c r="I89" s="64">
        <v>4.04</v>
      </c>
      <c r="J89" s="64">
        <v>2.63</v>
      </c>
      <c r="K89" s="64">
        <v>157.47</v>
      </c>
      <c r="L89" s="64">
        <v>25.1</v>
      </c>
      <c r="M89" s="64">
        <v>54.05</v>
      </c>
      <c r="N89" s="64">
        <v>50.6</v>
      </c>
      <c r="O89" s="64">
        <v>0</v>
      </c>
      <c r="P89" s="64">
        <v>0.3</v>
      </c>
      <c r="Q89" s="64">
        <v>8.59</v>
      </c>
      <c r="R89" s="198"/>
      <c r="S89" s="198"/>
      <c r="T89" s="198"/>
      <c r="U89" s="198"/>
    </row>
    <row r="90" spans="1:26" s="12" customFormat="1" x14ac:dyDescent="0.25">
      <c r="A90" s="215" t="s">
        <v>1671</v>
      </c>
      <c r="B90" s="64">
        <v>1.7</v>
      </c>
      <c r="C90" s="64">
        <v>51.29</v>
      </c>
      <c r="D90" s="64">
        <v>49.59</v>
      </c>
      <c r="E90" s="64">
        <v>3.8</v>
      </c>
      <c r="F90" s="64">
        <v>8.15</v>
      </c>
      <c r="G90" s="64">
        <v>17.87</v>
      </c>
      <c r="H90" s="64">
        <v>12.26</v>
      </c>
      <c r="I90" s="64">
        <v>4.03</v>
      </c>
      <c r="J90" s="64">
        <v>2.14</v>
      </c>
      <c r="K90" s="64">
        <v>169.8</v>
      </c>
      <c r="L90" s="64">
        <v>25.22</v>
      </c>
      <c r="M90" s="64">
        <v>52.87</v>
      </c>
      <c r="N90" s="64">
        <v>50.7</v>
      </c>
      <c r="O90" s="64">
        <v>0</v>
      </c>
      <c r="P90" s="64">
        <v>0.31</v>
      </c>
      <c r="Q90" s="64">
        <v>8.7100000000000009</v>
      </c>
      <c r="R90" s="198"/>
      <c r="S90" s="198"/>
      <c r="T90" s="198"/>
      <c r="U90" s="198"/>
    </row>
    <row r="91" spans="1:26" s="12" customFormat="1" x14ac:dyDescent="0.25">
      <c r="A91" s="215" t="s">
        <v>1672</v>
      </c>
      <c r="B91" s="64">
        <v>1.99</v>
      </c>
      <c r="C91" s="64">
        <v>55.65</v>
      </c>
      <c r="D91" s="64">
        <v>53.65</v>
      </c>
      <c r="E91" s="64">
        <v>3.92</v>
      </c>
      <c r="F91" s="64">
        <v>8.81</v>
      </c>
      <c r="G91" s="64">
        <v>19.329999999999998</v>
      </c>
      <c r="H91" s="64">
        <v>10.53</v>
      </c>
      <c r="I91" s="64">
        <v>3.81</v>
      </c>
      <c r="J91" s="64">
        <v>2.25</v>
      </c>
      <c r="K91" s="64">
        <v>163.95</v>
      </c>
      <c r="L91" s="64">
        <v>25.38</v>
      </c>
      <c r="M91" s="64">
        <v>52.14</v>
      </c>
      <c r="N91" s="64">
        <v>50.6</v>
      </c>
      <c r="O91" s="64">
        <v>0</v>
      </c>
      <c r="P91" s="64">
        <v>0.31</v>
      </c>
      <c r="Q91" s="64">
        <v>8.8000000000000007</v>
      </c>
      <c r="R91" s="198"/>
      <c r="S91" s="198"/>
      <c r="T91" s="198"/>
      <c r="U91" s="198"/>
    </row>
    <row r="92" spans="1:26" s="12" customFormat="1" x14ac:dyDescent="0.25">
      <c r="A92" s="215" t="s">
        <v>1673</v>
      </c>
      <c r="B92" s="64">
        <v>2.15</v>
      </c>
      <c r="C92" s="64">
        <v>57.18</v>
      </c>
      <c r="D92" s="64">
        <v>55.03</v>
      </c>
      <c r="E92" s="64">
        <v>4</v>
      </c>
      <c r="F92" s="64">
        <v>7.81</v>
      </c>
      <c r="G92" s="64">
        <v>19.329999999999998</v>
      </c>
      <c r="H92" s="64">
        <v>10.53</v>
      </c>
      <c r="I92" s="64">
        <v>4.13</v>
      </c>
      <c r="J92" s="64">
        <v>2.2799999999999998</v>
      </c>
      <c r="K92" s="64">
        <v>167.3</v>
      </c>
      <c r="L92" s="64">
        <v>25.15</v>
      </c>
      <c r="M92" s="64">
        <v>53.56</v>
      </c>
      <c r="N92" s="64">
        <v>51</v>
      </c>
      <c r="O92" s="64">
        <v>0</v>
      </c>
      <c r="P92" s="64">
        <v>0.31</v>
      </c>
      <c r="Q92" s="64">
        <v>8.6</v>
      </c>
      <c r="R92" s="198"/>
      <c r="S92" s="198"/>
      <c r="T92" s="198"/>
      <c r="U92" s="198"/>
    </row>
    <row r="93" spans="1:26" s="12" customFormat="1" x14ac:dyDescent="0.25">
      <c r="A93" s="215" t="s">
        <v>1674</v>
      </c>
      <c r="B93" s="64">
        <v>2.2200000000000002</v>
      </c>
      <c r="C93" s="64">
        <v>55.31</v>
      </c>
      <c r="D93" s="64">
        <v>53.09</v>
      </c>
      <c r="E93" s="64">
        <v>3.6</v>
      </c>
      <c r="F93" s="64">
        <v>8.43</v>
      </c>
      <c r="G93" s="64">
        <v>19.329999999999998</v>
      </c>
      <c r="H93" s="64">
        <v>10.53</v>
      </c>
      <c r="I93" s="64">
        <v>3.9</v>
      </c>
      <c r="J93" s="64">
        <v>2.4900000000000002</v>
      </c>
      <c r="K93" s="64">
        <v>169.25</v>
      </c>
      <c r="L93" s="64">
        <v>24.96</v>
      </c>
      <c r="M93" s="64">
        <v>54.36</v>
      </c>
      <c r="N93" s="64">
        <v>50.7</v>
      </c>
      <c r="O93" s="64">
        <v>0</v>
      </c>
      <c r="P93" s="64">
        <v>0.32</v>
      </c>
      <c r="Q93" s="64">
        <v>8.7799999999999994</v>
      </c>
      <c r="R93" s="198"/>
      <c r="S93" s="198"/>
      <c r="T93" s="198"/>
      <c r="U93" s="198"/>
    </row>
    <row r="94" spans="1:26" s="12" customFormat="1" x14ac:dyDescent="0.25">
      <c r="A94" s="215" t="s">
        <v>1675</v>
      </c>
      <c r="B94" s="64">
        <v>2.1800000000000002</v>
      </c>
      <c r="C94" s="64">
        <v>53.32</v>
      </c>
      <c r="D94" s="64">
        <v>51.14</v>
      </c>
      <c r="E94" s="64">
        <v>3.45</v>
      </c>
      <c r="F94" s="64">
        <v>8.1</v>
      </c>
      <c r="G94" s="64">
        <v>18.72</v>
      </c>
      <c r="H94" s="64">
        <v>9.86</v>
      </c>
      <c r="I94" s="64">
        <v>3.91</v>
      </c>
      <c r="J94" s="64">
        <v>2.75</v>
      </c>
      <c r="K94" s="64">
        <v>164.75</v>
      </c>
      <c r="L94" s="64">
        <v>24.8</v>
      </c>
      <c r="M94" s="64">
        <v>55.18</v>
      </c>
      <c r="N94" s="64">
        <v>50.8</v>
      </c>
      <c r="O94" s="64">
        <v>0</v>
      </c>
      <c r="P94" s="64">
        <v>0.31</v>
      </c>
      <c r="Q94" s="64">
        <v>8.7799999999999994</v>
      </c>
      <c r="R94" s="198"/>
      <c r="S94" s="198"/>
      <c r="T94" s="198"/>
      <c r="U94" s="198"/>
    </row>
    <row r="95" spans="1:26" s="12" customFormat="1" x14ac:dyDescent="0.25">
      <c r="A95" s="215" t="s">
        <v>1676</v>
      </c>
      <c r="B95" s="64">
        <v>1.99</v>
      </c>
      <c r="C95" s="64">
        <v>55.88</v>
      </c>
      <c r="D95" s="64">
        <v>53.89</v>
      </c>
      <c r="E95" s="64">
        <v>3.32</v>
      </c>
      <c r="F95" s="64">
        <v>8.3000000000000007</v>
      </c>
      <c r="G95" s="64">
        <v>18.09</v>
      </c>
      <c r="H95" s="64">
        <v>9.16</v>
      </c>
      <c r="I95" s="64">
        <v>4.04</v>
      </c>
      <c r="J95" s="64">
        <v>2.14</v>
      </c>
      <c r="K95" s="64">
        <v>160.15</v>
      </c>
      <c r="L95" s="64">
        <v>24.62</v>
      </c>
      <c r="M95" s="64">
        <v>56.93</v>
      </c>
      <c r="N95" s="64">
        <v>50.7</v>
      </c>
      <c r="O95" s="64">
        <v>0</v>
      </c>
      <c r="P95" s="64">
        <v>0.3</v>
      </c>
      <c r="Q95" s="64">
        <v>8.8800000000000008</v>
      </c>
      <c r="R95" s="198"/>
      <c r="S95" s="198"/>
      <c r="T95" s="198"/>
      <c r="U95" s="198"/>
    </row>
    <row r="96" spans="1:26" s="12" customFormat="1" x14ac:dyDescent="0.25">
      <c r="A96" s="215" t="s">
        <v>1677</v>
      </c>
      <c r="B96" s="64">
        <v>1.82</v>
      </c>
      <c r="C96" s="64">
        <v>54.14</v>
      </c>
      <c r="D96" s="64">
        <v>52.32</v>
      </c>
      <c r="E96" s="64">
        <v>3.5</v>
      </c>
      <c r="F96" s="64">
        <v>7.87</v>
      </c>
      <c r="G96" s="64">
        <v>18.09</v>
      </c>
      <c r="H96" s="64">
        <v>9.16</v>
      </c>
      <c r="I96" s="64">
        <v>3.97</v>
      </c>
      <c r="J96" s="64">
        <v>1.31</v>
      </c>
      <c r="K96" s="64">
        <v>159.86000000000001</v>
      </c>
      <c r="L96" s="64">
        <v>24.52</v>
      </c>
      <c r="M96" s="64">
        <v>58.9</v>
      </c>
      <c r="N96" s="64">
        <v>50.5</v>
      </c>
      <c r="O96" s="64">
        <v>0</v>
      </c>
      <c r="P96" s="64">
        <v>0.31</v>
      </c>
      <c r="Q96" s="64">
        <v>8.7100000000000009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1678</v>
      </c>
      <c r="B97" s="64">
        <v>1.86</v>
      </c>
      <c r="C97" s="64">
        <v>52.16</v>
      </c>
      <c r="D97" s="64">
        <v>50.3</v>
      </c>
      <c r="E97" s="64">
        <v>3.38</v>
      </c>
      <c r="F97" s="64">
        <v>8.8000000000000007</v>
      </c>
      <c r="G97" s="64">
        <v>18.09</v>
      </c>
      <c r="H97" s="64">
        <v>9.16</v>
      </c>
      <c r="I97" s="64">
        <v>3.94</v>
      </c>
      <c r="J97" s="64">
        <v>1.99</v>
      </c>
      <c r="K97" s="64">
        <v>167.03</v>
      </c>
      <c r="L97" s="64">
        <v>24.37</v>
      </c>
      <c r="M97" s="64">
        <v>60.35</v>
      </c>
      <c r="N97" s="64">
        <v>50.5</v>
      </c>
      <c r="O97" s="64">
        <v>0</v>
      </c>
      <c r="P97" s="64">
        <v>0.3</v>
      </c>
      <c r="Q97" s="64">
        <v>8.9700000000000006</v>
      </c>
      <c r="R97" s="198"/>
      <c r="S97" s="198"/>
      <c r="T97" s="198"/>
      <c r="U97" s="198"/>
    </row>
    <row r="98" spans="1:33" s="12" customFormat="1" x14ac:dyDescent="0.25">
      <c r="A98" s="215" t="s">
        <v>1679</v>
      </c>
      <c r="B98" s="64">
        <v>1.9</v>
      </c>
      <c r="C98" s="64">
        <v>52.62</v>
      </c>
      <c r="D98" s="64">
        <v>50.72</v>
      </c>
      <c r="E98" s="64">
        <v>3.52</v>
      </c>
      <c r="F98" s="64">
        <v>7.22</v>
      </c>
      <c r="G98" s="64">
        <v>24.31</v>
      </c>
      <c r="H98" s="64">
        <v>9.43</v>
      </c>
      <c r="I98" s="64">
        <v>4.09</v>
      </c>
      <c r="J98" s="64">
        <v>2.34</v>
      </c>
      <c r="K98" s="64">
        <v>163.88</v>
      </c>
      <c r="L98" s="64">
        <v>24.4</v>
      </c>
      <c r="M98" s="64">
        <v>59.55</v>
      </c>
      <c r="N98" s="64">
        <v>50.5</v>
      </c>
      <c r="O98" s="64">
        <v>0</v>
      </c>
      <c r="P98" s="64">
        <v>0.3</v>
      </c>
      <c r="Q98" s="64">
        <v>8.7799999999999994</v>
      </c>
      <c r="R98" s="198"/>
      <c r="S98" s="198"/>
      <c r="T98" s="198"/>
      <c r="U98" s="198"/>
    </row>
    <row r="99" spans="1:33" s="12" customFormat="1" x14ac:dyDescent="0.25">
      <c r="A99" s="215" t="s">
        <v>1680</v>
      </c>
      <c r="B99" s="64">
        <v>1.92</v>
      </c>
      <c r="C99" s="64">
        <v>53.37</v>
      </c>
      <c r="D99" s="64">
        <v>51.46</v>
      </c>
      <c r="E99" s="64">
        <v>3.56</v>
      </c>
      <c r="F99" s="64">
        <v>8.41</v>
      </c>
      <c r="G99" s="64">
        <v>30.81</v>
      </c>
      <c r="H99" s="64">
        <v>9.6999999999999993</v>
      </c>
      <c r="I99" s="64">
        <v>3.88</v>
      </c>
      <c r="J99" s="64">
        <v>1.88</v>
      </c>
      <c r="K99" s="64">
        <v>160.30000000000001</v>
      </c>
      <c r="L99" s="64">
        <v>24.28</v>
      </c>
      <c r="M99" s="64">
        <v>60.13</v>
      </c>
      <c r="N99" s="64">
        <v>50.7</v>
      </c>
      <c r="O99" s="64">
        <v>0</v>
      </c>
      <c r="P99" s="64">
        <v>0.3</v>
      </c>
      <c r="Q99" s="64">
        <v>8.65</v>
      </c>
      <c r="R99" s="198"/>
      <c r="S99" s="198"/>
      <c r="T99" s="198"/>
      <c r="U99" s="198"/>
    </row>
    <row r="100" spans="1:33" s="12" customFormat="1" x14ac:dyDescent="0.25">
      <c r="A100" s="215" t="s">
        <v>1681</v>
      </c>
      <c r="B100" s="64">
        <v>1.84</v>
      </c>
      <c r="C100" s="64">
        <v>48.24</v>
      </c>
      <c r="D100" s="64">
        <v>46.4</v>
      </c>
      <c r="E100" s="64">
        <v>3.31</v>
      </c>
      <c r="F100" s="64">
        <v>9.31</v>
      </c>
      <c r="G100" s="64">
        <v>30.81</v>
      </c>
      <c r="H100" s="64">
        <v>9.6999999999999993</v>
      </c>
      <c r="I100" s="64">
        <v>4.0999999999999996</v>
      </c>
      <c r="J100" s="64">
        <v>1.32</v>
      </c>
      <c r="K100" s="64">
        <v>143.59</v>
      </c>
      <c r="L100" s="64">
        <v>24.11</v>
      </c>
      <c r="M100" s="64">
        <v>60.99</v>
      </c>
      <c r="N100" s="64">
        <v>50.8</v>
      </c>
      <c r="O100" s="64">
        <v>0</v>
      </c>
      <c r="P100" s="64">
        <v>0.28000000000000003</v>
      </c>
      <c r="Q100" s="64">
        <v>8.69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1682</v>
      </c>
      <c r="B101" s="64">
        <v>1.81</v>
      </c>
      <c r="C101" s="64">
        <v>44.36</v>
      </c>
      <c r="D101" s="64">
        <v>42.55</v>
      </c>
      <c r="E101" s="64">
        <v>3.61</v>
      </c>
      <c r="F101" s="64">
        <v>12.49</v>
      </c>
      <c r="G101" s="64">
        <v>30.81</v>
      </c>
      <c r="H101" s="64">
        <v>9.6999999999999993</v>
      </c>
      <c r="I101" s="64">
        <v>3.83</v>
      </c>
      <c r="J101" s="64">
        <v>0.75</v>
      </c>
      <c r="K101" s="64">
        <v>116.33</v>
      </c>
      <c r="L101" s="64">
        <v>24.04</v>
      </c>
      <c r="M101" s="64">
        <v>61.52</v>
      </c>
      <c r="N101" s="64">
        <v>50.8</v>
      </c>
      <c r="O101" s="64">
        <v>0</v>
      </c>
      <c r="P101" s="64">
        <v>0.28999999999999998</v>
      </c>
      <c r="Q101" s="64">
        <v>8.75</v>
      </c>
      <c r="R101" s="198"/>
      <c r="S101" s="198"/>
      <c r="T101" s="198"/>
      <c r="U101" s="198"/>
    </row>
    <row r="102" spans="1:33" s="12" customFormat="1" x14ac:dyDescent="0.25">
      <c r="A102" s="215" t="s">
        <v>1683</v>
      </c>
      <c r="B102" s="64">
        <v>2.21</v>
      </c>
      <c r="C102" s="64">
        <v>43.04</v>
      </c>
      <c r="D102" s="64">
        <v>40.83</v>
      </c>
      <c r="E102" s="64">
        <v>3.22</v>
      </c>
      <c r="F102" s="64">
        <v>14.18</v>
      </c>
      <c r="G102" s="64">
        <v>21.98</v>
      </c>
      <c r="H102" s="64">
        <v>10.08</v>
      </c>
      <c r="I102" s="64">
        <v>4.07</v>
      </c>
      <c r="J102" s="64">
        <v>1.05</v>
      </c>
      <c r="K102" s="64">
        <v>86.12</v>
      </c>
      <c r="L102" s="64">
        <v>24.01</v>
      </c>
      <c r="M102" s="64">
        <v>61.7</v>
      </c>
      <c r="N102" s="64">
        <v>50.6</v>
      </c>
      <c r="O102" s="64">
        <v>0</v>
      </c>
      <c r="P102" s="64">
        <v>0.3</v>
      </c>
      <c r="Q102" s="64">
        <v>8.7899999999999991</v>
      </c>
      <c r="R102" s="198"/>
      <c r="S102" s="198"/>
      <c r="T102" s="198"/>
      <c r="U102" s="198"/>
    </row>
    <row r="103" spans="1:33" s="12" customFormat="1" x14ac:dyDescent="0.25">
      <c r="A103" s="215" t="s">
        <v>1684</v>
      </c>
      <c r="B103" s="64">
        <v>2.35</v>
      </c>
      <c r="C103" s="64">
        <v>43.13</v>
      </c>
      <c r="D103" s="64">
        <v>40.78</v>
      </c>
      <c r="E103" s="64">
        <v>3.47</v>
      </c>
      <c r="F103" s="64">
        <v>10.44</v>
      </c>
      <c r="G103" s="64">
        <v>13.16</v>
      </c>
      <c r="H103" s="64">
        <v>10.48</v>
      </c>
      <c r="I103" s="64">
        <v>4.0999999999999996</v>
      </c>
      <c r="J103" s="64">
        <v>1.1200000000000001</v>
      </c>
      <c r="K103" s="64">
        <v>164.07</v>
      </c>
      <c r="L103" s="64">
        <v>24.05</v>
      </c>
      <c r="M103" s="64">
        <v>60.89</v>
      </c>
      <c r="N103" s="64">
        <v>50.7</v>
      </c>
      <c r="O103" s="64">
        <v>0</v>
      </c>
      <c r="P103" s="64">
        <v>0.28999999999999998</v>
      </c>
      <c r="Q103" s="64">
        <v>8.77</v>
      </c>
      <c r="R103" s="198"/>
      <c r="S103" s="198"/>
      <c r="T103" s="198"/>
      <c r="U103" s="198"/>
    </row>
    <row r="104" spans="1:33" s="12" customFormat="1" x14ac:dyDescent="0.25">
      <c r="A104" s="215" t="s">
        <v>1685</v>
      </c>
      <c r="B104" s="64">
        <v>2.4</v>
      </c>
      <c r="C104" s="64">
        <v>43.59</v>
      </c>
      <c r="D104" s="64">
        <v>41.19</v>
      </c>
      <c r="E104" s="64">
        <v>1.93</v>
      </c>
      <c r="F104" s="64">
        <v>11.5</v>
      </c>
      <c r="G104" s="64">
        <v>13.16</v>
      </c>
      <c r="H104" s="64">
        <v>10.48</v>
      </c>
      <c r="I104" s="64">
        <v>3.9</v>
      </c>
      <c r="J104" s="64">
        <v>0.76</v>
      </c>
      <c r="K104" s="64">
        <v>153.87</v>
      </c>
      <c r="L104" s="64">
        <v>24.1</v>
      </c>
      <c r="M104" s="64">
        <v>59.98</v>
      </c>
      <c r="N104" s="64">
        <v>50.6</v>
      </c>
      <c r="O104" s="64">
        <v>0</v>
      </c>
      <c r="P104" s="64">
        <v>0.27</v>
      </c>
      <c r="Q104" s="64">
        <v>8.7200000000000006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0.19</v>
      </c>
      <c r="C106" s="67">
        <f>MIN(C9:C104)</f>
        <v>28.8</v>
      </c>
      <c r="D106" s="67">
        <f t="shared" ref="D106:Q106" si="0">MIN(D9:D104)</f>
        <v>28.37</v>
      </c>
      <c r="E106" s="67">
        <f t="shared" si="0"/>
        <v>1.93</v>
      </c>
      <c r="F106" s="67">
        <f t="shared" si="0"/>
        <v>7.03</v>
      </c>
      <c r="G106" s="67">
        <f t="shared" si="0"/>
        <v>13.16</v>
      </c>
      <c r="H106" s="67">
        <f t="shared" si="0"/>
        <v>9.11</v>
      </c>
      <c r="I106" s="67">
        <f t="shared" si="0"/>
        <v>3.81</v>
      </c>
      <c r="J106" s="67">
        <f t="shared" si="0"/>
        <v>0.2</v>
      </c>
      <c r="K106" s="67">
        <f t="shared" si="0"/>
        <v>9.1300000000000008</v>
      </c>
      <c r="L106" s="67">
        <f t="shared" si="0"/>
        <v>23.75</v>
      </c>
      <c r="M106" s="67">
        <f t="shared" si="0"/>
        <v>24.08</v>
      </c>
      <c r="N106" s="67">
        <f t="shared" si="0"/>
        <v>46.5</v>
      </c>
      <c r="O106" s="67">
        <f t="shared" si="0"/>
        <v>0</v>
      </c>
      <c r="P106" s="67">
        <f t="shared" si="0"/>
        <v>0.27</v>
      </c>
      <c r="Q106" s="67">
        <f t="shared" si="0"/>
        <v>4.01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6.01</v>
      </c>
      <c r="C107" s="66">
        <f t="shared" ref="C107:Q107" si="1">MAX(C9:C104)</f>
        <v>66.19</v>
      </c>
      <c r="D107" s="66">
        <f t="shared" si="1"/>
        <v>63.07</v>
      </c>
      <c r="E107" s="66">
        <f t="shared" si="1"/>
        <v>10.57</v>
      </c>
      <c r="F107" s="66">
        <f t="shared" si="1"/>
        <v>33.94</v>
      </c>
      <c r="G107" s="66">
        <f t="shared" si="1"/>
        <v>192.36</v>
      </c>
      <c r="H107" s="66">
        <f t="shared" si="1"/>
        <v>19.579999999999998</v>
      </c>
      <c r="I107" s="66">
        <f t="shared" si="1"/>
        <v>4.21</v>
      </c>
      <c r="J107" s="66">
        <f t="shared" si="1"/>
        <v>4.41</v>
      </c>
      <c r="K107" s="66">
        <f t="shared" si="1"/>
        <v>358.14</v>
      </c>
      <c r="L107" s="66">
        <f t="shared" si="1"/>
        <v>39.18</v>
      </c>
      <c r="M107" s="66">
        <f t="shared" si="1"/>
        <v>61.7</v>
      </c>
      <c r="N107" s="66">
        <f t="shared" si="1"/>
        <v>913.7</v>
      </c>
      <c r="O107" s="66">
        <f t="shared" si="1"/>
        <v>0</v>
      </c>
      <c r="P107" s="66">
        <f t="shared" si="1"/>
        <v>0.68</v>
      </c>
      <c r="Q107" s="66">
        <f t="shared" si="1"/>
        <v>9.33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2.0927083333333338</v>
      </c>
      <c r="C108" s="67">
        <f t="shared" ref="C108:Q108" si="2">AVERAGE(C9:C104)</f>
        <v>47.093124999999993</v>
      </c>
      <c r="D108" s="67">
        <f t="shared" si="2"/>
        <v>45.000937499999992</v>
      </c>
      <c r="E108" s="67">
        <f t="shared" si="2"/>
        <v>4.4242708333333338</v>
      </c>
      <c r="F108" s="67">
        <f t="shared" si="2"/>
        <v>13.161249999999997</v>
      </c>
      <c r="G108" s="67">
        <f t="shared" si="2"/>
        <v>42.554687499999979</v>
      </c>
      <c r="H108" s="67">
        <f t="shared" si="2"/>
        <v>13.411770833333343</v>
      </c>
      <c r="I108" s="67">
        <f t="shared" si="2"/>
        <v>3.9841666666666669</v>
      </c>
      <c r="J108" s="67">
        <f t="shared" si="2"/>
        <v>1.3305208333333334</v>
      </c>
      <c r="K108" s="67">
        <f t="shared" si="2"/>
        <v>173.4766666666666</v>
      </c>
      <c r="L108" s="67">
        <f t="shared" si="2"/>
        <v>28.390833333333347</v>
      </c>
      <c r="M108" s="67">
        <f t="shared" si="2"/>
        <v>43.873749999999994</v>
      </c>
      <c r="N108" s="67">
        <f t="shared" si="2"/>
        <v>256.44062499999995</v>
      </c>
      <c r="O108" s="67">
        <f t="shared" si="2"/>
        <v>0</v>
      </c>
      <c r="P108" s="67">
        <f t="shared" si="2"/>
        <v>0.40104166666666669</v>
      </c>
      <c r="Q108" s="67">
        <f t="shared" si="2"/>
        <v>8.6675609756097529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1.2930832017572058</v>
      </c>
      <c r="C109" s="67">
        <f t="shared" ref="C109:Q109" si="3">STDEV(C9:C104)</f>
        <v>7.0694441548042191</v>
      </c>
      <c r="D109" s="67">
        <f t="shared" si="3"/>
        <v>6.3074187026699189</v>
      </c>
      <c r="E109" s="67">
        <f t="shared" si="3"/>
        <v>1.3911916473158579</v>
      </c>
      <c r="F109" s="67">
        <f t="shared" si="3"/>
        <v>5.8158171349663741</v>
      </c>
      <c r="G109" s="67">
        <f t="shared" si="3"/>
        <v>36.342104071206045</v>
      </c>
      <c r="H109" s="67">
        <f t="shared" si="3"/>
        <v>3.0363922480094141</v>
      </c>
      <c r="I109" s="67">
        <f t="shared" si="3"/>
        <v>8.5331140322697702E-2</v>
      </c>
      <c r="J109" s="67">
        <f t="shared" si="3"/>
        <v>0.94800773902200453</v>
      </c>
      <c r="K109" s="67">
        <f t="shared" si="3"/>
        <v>73.956831272911103</v>
      </c>
      <c r="L109" s="67">
        <f t="shared" si="3"/>
        <v>4.8980786064626658</v>
      </c>
      <c r="M109" s="67">
        <f t="shared" si="3"/>
        <v>10.514528219763891</v>
      </c>
      <c r="N109" s="67">
        <f t="shared" si="3"/>
        <v>289.44445938569811</v>
      </c>
      <c r="O109" s="67">
        <f t="shared" si="3"/>
        <v>0</v>
      </c>
      <c r="P109" s="67">
        <f t="shared" si="3"/>
        <v>8.5353496110268559E-2</v>
      </c>
      <c r="Q109" s="67">
        <f t="shared" si="3"/>
        <v>0.76509404810064019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41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1686</v>
      </c>
      <c r="B9" s="64">
        <v>2.2200000000000002</v>
      </c>
      <c r="C9" s="64">
        <v>40.19</v>
      </c>
      <c r="D9" s="64">
        <v>37.97</v>
      </c>
      <c r="E9" s="64">
        <v>2.61</v>
      </c>
      <c r="F9" s="64">
        <v>13.73</v>
      </c>
      <c r="G9" s="64">
        <v>13.16</v>
      </c>
      <c r="H9" s="64">
        <v>10.48</v>
      </c>
      <c r="I9" s="64">
        <v>3.96</v>
      </c>
      <c r="J9" s="64">
        <v>0.73</v>
      </c>
      <c r="K9" s="64">
        <v>209.72</v>
      </c>
      <c r="L9" s="64">
        <v>24.05</v>
      </c>
      <c r="M9" s="64">
        <v>59.85</v>
      </c>
      <c r="N9" s="64">
        <v>50.8</v>
      </c>
      <c r="O9" s="64">
        <v>0</v>
      </c>
      <c r="P9" s="64">
        <v>0.27</v>
      </c>
      <c r="Q9" s="64">
        <v>8.6</v>
      </c>
      <c r="R9" s="198"/>
      <c r="S9" s="198"/>
      <c r="T9" s="198"/>
      <c r="U9" s="198"/>
    </row>
    <row r="10" spans="1:21" s="12" customFormat="1" x14ac:dyDescent="0.25">
      <c r="A10" s="215" t="s">
        <v>1687</v>
      </c>
      <c r="B10" s="64">
        <v>2.08</v>
      </c>
      <c r="C10" s="64">
        <v>38.880000000000003</v>
      </c>
      <c r="D10" s="64">
        <v>36.81</v>
      </c>
      <c r="E10" s="64">
        <v>2.83</v>
      </c>
      <c r="F10" s="64">
        <v>13.7</v>
      </c>
      <c r="G10" s="64">
        <v>15.62</v>
      </c>
      <c r="H10" s="64">
        <v>8.9700000000000006</v>
      </c>
      <c r="I10" s="64">
        <v>3.87</v>
      </c>
      <c r="J10" s="64">
        <v>0.66</v>
      </c>
      <c r="K10" s="64">
        <v>129.13</v>
      </c>
      <c r="L10" s="64">
        <v>23.96</v>
      </c>
      <c r="M10" s="64">
        <v>60.13</v>
      </c>
      <c r="N10" s="64">
        <v>50.7</v>
      </c>
      <c r="O10" s="64">
        <v>0</v>
      </c>
      <c r="P10" s="64">
        <v>0.26</v>
      </c>
      <c r="Q10" s="64">
        <v>8.67</v>
      </c>
      <c r="R10" s="198"/>
      <c r="S10" s="198"/>
      <c r="T10" s="198"/>
      <c r="U10" s="198"/>
    </row>
    <row r="11" spans="1:21" s="12" customFormat="1" x14ac:dyDescent="0.25">
      <c r="A11" s="215" t="s">
        <v>1688</v>
      </c>
      <c r="B11" s="64">
        <v>2.94</v>
      </c>
      <c r="C11" s="64">
        <v>43.81</v>
      </c>
      <c r="D11" s="64">
        <v>40.869999999999997</v>
      </c>
      <c r="E11" s="64">
        <v>2.4900000000000002</v>
      </c>
      <c r="F11" s="64">
        <v>9.66</v>
      </c>
      <c r="G11" s="64">
        <v>18.2</v>
      </c>
      <c r="H11" s="64">
        <v>7.38</v>
      </c>
      <c r="I11" s="64">
        <v>4.0199999999999996</v>
      </c>
      <c r="J11" s="64">
        <v>2.0299999999999998</v>
      </c>
      <c r="K11" s="64">
        <v>97.23</v>
      </c>
      <c r="L11" s="64">
        <v>24.08</v>
      </c>
      <c r="M11" s="64">
        <v>59.16</v>
      </c>
      <c r="N11" s="64">
        <v>50.4</v>
      </c>
      <c r="O11" s="64">
        <v>0</v>
      </c>
      <c r="P11" s="64">
        <v>0.28000000000000003</v>
      </c>
      <c r="Q11" s="64">
        <v>8.73</v>
      </c>
      <c r="R11" s="198"/>
      <c r="S11" s="198"/>
      <c r="T11" s="198"/>
      <c r="U11" s="198"/>
    </row>
    <row r="12" spans="1:21" s="12" customFormat="1" x14ac:dyDescent="0.25">
      <c r="A12" s="215" t="s">
        <v>1689</v>
      </c>
      <c r="B12" s="64">
        <v>3.35</v>
      </c>
      <c r="C12" s="64">
        <v>49.99</v>
      </c>
      <c r="D12" s="64">
        <v>46.64</v>
      </c>
      <c r="E12" s="64">
        <v>2.82</v>
      </c>
      <c r="F12" s="64">
        <v>10.15</v>
      </c>
      <c r="G12" s="64">
        <v>18.2</v>
      </c>
      <c r="H12" s="64">
        <v>7.38</v>
      </c>
      <c r="I12" s="64">
        <v>3.98</v>
      </c>
      <c r="J12" s="64">
        <v>1.88</v>
      </c>
      <c r="K12" s="64">
        <v>100.52</v>
      </c>
      <c r="L12" s="64">
        <v>24.08</v>
      </c>
      <c r="M12" s="64">
        <v>59.56</v>
      </c>
      <c r="N12" s="64">
        <v>50.9</v>
      </c>
      <c r="O12" s="64">
        <v>0</v>
      </c>
      <c r="P12" s="64">
        <v>0.27</v>
      </c>
      <c r="Q12" s="64">
        <v>8.86</v>
      </c>
      <c r="R12" s="198"/>
      <c r="S12" s="198"/>
      <c r="T12" s="198"/>
      <c r="U12" s="198"/>
    </row>
    <row r="13" spans="1:21" s="12" customFormat="1" x14ac:dyDescent="0.25">
      <c r="A13" s="215" t="s">
        <v>1690</v>
      </c>
      <c r="B13" s="64">
        <v>2.99</v>
      </c>
      <c r="C13" s="64">
        <v>46.65</v>
      </c>
      <c r="D13" s="64">
        <v>43.66</v>
      </c>
      <c r="E13" s="64">
        <v>2.61</v>
      </c>
      <c r="F13" s="64">
        <v>10.32</v>
      </c>
      <c r="G13" s="64">
        <v>18.2</v>
      </c>
      <c r="H13" s="64">
        <v>7.38</v>
      </c>
      <c r="I13" s="64">
        <v>3.98</v>
      </c>
      <c r="J13" s="64">
        <v>0.65</v>
      </c>
      <c r="K13" s="64">
        <v>132.25</v>
      </c>
      <c r="L13" s="64">
        <v>24.01</v>
      </c>
      <c r="M13" s="64">
        <v>59.47</v>
      </c>
      <c r="N13" s="64">
        <v>51</v>
      </c>
      <c r="O13" s="64">
        <v>0</v>
      </c>
      <c r="P13" s="64">
        <v>0.26</v>
      </c>
      <c r="Q13" s="64">
        <v>8.7100000000000009</v>
      </c>
      <c r="R13" s="198"/>
      <c r="S13" s="198"/>
      <c r="T13" s="198"/>
      <c r="U13" s="198"/>
    </row>
    <row r="14" spans="1:21" s="12" customFormat="1" x14ac:dyDescent="0.25">
      <c r="A14" s="215" t="s">
        <v>1691</v>
      </c>
      <c r="B14" s="64">
        <v>2.75</v>
      </c>
      <c r="C14" s="64">
        <v>45.57</v>
      </c>
      <c r="D14" s="64">
        <v>42.82</v>
      </c>
      <c r="E14" s="64">
        <v>2.6</v>
      </c>
      <c r="F14" s="64">
        <v>11.28</v>
      </c>
      <c r="G14" s="64">
        <v>16.61</v>
      </c>
      <c r="H14" s="64">
        <v>7.61</v>
      </c>
      <c r="I14" s="64">
        <v>3.95</v>
      </c>
      <c r="J14" s="64">
        <v>1.18</v>
      </c>
      <c r="K14" s="64">
        <v>122.68</v>
      </c>
      <c r="L14" s="64">
        <v>23.99</v>
      </c>
      <c r="M14" s="64">
        <v>59.41</v>
      </c>
      <c r="N14" s="64">
        <v>50.9</v>
      </c>
      <c r="O14" s="64">
        <v>0</v>
      </c>
      <c r="P14" s="64">
        <v>0.26</v>
      </c>
      <c r="Q14" s="64">
        <v>8.74</v>
      </c>
      <c r="R14" s="198"/>
      <c r="S14" s="198"/>
      <c r="T14" s="198"/>
      <c r="U14" s="198"/>
    </row>
    <row r="15" spans="1:21" s="12" customFormat="1" x14ac:dyDescent="0.25">
      <c r="A15" s="215" t="s">
        <v>1692</v>
      </c>
      <c r="B15" s="64">
        <v>2.62</v>
      </c>
      <c r="C15" s="64">
        <v>44.29</v>
      </c>
      <c r="D15" s="64">
        <v>41.66</v>
      </c>
      <c r="E15" s="64">
        <v>2.61</v>
      </c>
      <c r="F15" s="64">
        <v>10.37</v>
      </c>
      <c r="G15" s="64">
        <v>14.94</v>
      </c>
      <c r="H15" s="64">
        <v>7.85</v>
      </c>
      <c r="I15" s="64">
        <v>4.12</v>
      </c>
      <c r="J15" s="64">
        <v>0.88</v>
      </c>
      <c r="K15" s="64">
        <v>119.56</v>
      </c>
      <c r="L15" s="64">
        <v>23.92</v>
      </c>
      <c r="M15" s="64">
        <v>59.86</v>
      </c>
      <c r="N15" s="64">
        <v>50.7</v>
      </c>
      <c r="O15" s="64">
        <v>0</v>
      </c>
      <c r="P15" s="64">
        <v>0.26</v>
      </c>
      <c r="Q15" s="64">
        <v>8.82</v>
      </c>
      <c r="R15" s="198"/>
      <c r="S15" s="198"/>
      <c r="T15" s="198"/>
      <c r="U15" s="198"/>
    </row>
    <row r="16" spans="1:21" s="12" customFormat="1" x14ac:dyDescent="0.25">
      <c r="A16" s="215" t="s">
        <v>1693</v>
      </c>
      <c r="B16" s="64">
        <v>2.73</v>
      </c>
      <c r="C16" s="64">
        <v>46.21</v>
      </c>
      <c r="D16" s="64">
        <v>43.48</v>
      </c>
      <c r="E16" s="64">
        <v>1.8</v>
      </c>
      <c r="F16" s="64">
        <v>8.44</v>
      </c>
      <c r="G16" s="64">
        <v>14.94</v>
      </c>
      <c r="H16" s="64">
        <v>7.85</v>
      </c>
      <c r="I16" s="64">
        <v>3.96</v>
      </c>
      <c r="J16" s="64">
        <v>2.4900000000000002</v>
      </c>
      <c r="K16" s="64">
        <v>97.14</v>
      </c>
      <c r="L16" s="64">
        <v>23.99</v>
      </c>
      <c r="M16" s="64">
        <v>59.98</v>
      </c>
      <c r="N16" s="64">
        <v>50.5</v>
      </c>
      <c r="O16" s="64">
        <v>0</v>
      </c>
      <c r="P16" s="64">
        <v>0.27</v>
      </c>
      <c r="Q16" s="64">
        <v>8.69</v>
      </c>
      <c r="R16" s="198"/>
      <c r="S16" s="198"/>
      <c r="T16" s="198"/>
      <c r="U16" s="198"/>
    </row>
    <row r="17" spans="1:21" s="12" customFormat="1" x14ac:dyDescent="0.25">
      <c r="A17" s="215" t="s">
        <v>1694</v>
      </c>
      <c r="B17" s="64">
        <v>2.6</v>
      </c>
      <c r="C17" s="64">
        <v>46.31</v>
      </c>
      <c r="D17" s="64">
        <v>43.71</v>
      </c>
      <c r="E17" s="64">
        <v>2.2599999999999998</v>
      </c>
      <c r="F17" s="64">
        <v>10.02</v>
      </c>
      <c r="G17" s="64">
        <v>14.94</v>
      </c>
      <c r="H17" s="64">
        <v>7.85</v>
      </c>
      <c r="I17" s="64">
        <v>3.81</v>
      </c>
      <c r="J17" s="64">
        <v>2.5</v>
      </c>
      <c r="K17" s="64">
        <v>106.49</v>
      </c>
      <c r="L17" s="64">
        <v>23.85</v>
      </c>
      <c r="M17" s="64">
        <v>60.92</v>
      </c>
      <c r="N17" s="64">
        <v>50.6</v>
      </c>
      <c r="O17" s="64">
        <v>0</v>
      </c>
      <c r="P17" s="64">
        <v>0.27</v>
      </c>
      <c r="Q17" s="64">
        <v>8.6</v>
      </c>
      <c r="R17" s="198"/>
      <c r="S17" s="198"/>
      <c r="T17" s="198"/>
      <c r="U17" s="198"/>
    </row>
    <row r="18" spans="1:21" s="12" customFormat="1" x14ac:dyDescent="0.25">
      <c r="A18" s="215" t="s">
        <v>1695</v>
      </c>
      <c r="B18" s="64">
        <v>2.57</v>
      </c>
      <c r="C18" s="64">
        <v>46.42</v>
      </c>
      <c r="D18" s="64">
        <v>43.85</v>
      </c>
      <c r="E18" s="64">
        <v>2.4</v>
      </c>
      <c r="F18" s="64">
        <v>8.66</v>
      </c>
      <c r="G18" s="64">
        <v>17.53</v>
      </c>
      <c r="H18" s="64">
        <v>7.3</v>
      </c>
      <c r="I18" s="64">
        <v>3.98</v>
      </c>
      <c r="J18" s="64">
        <v>1.71</v>
      </c>
      <c r="K18" s="64">
        <v>87.38</v>
      </c>
      <c r="L18" s="64">
        <v>23.69</v>
      </c>
      <c r="M18" s="64">
        <v>61.12</v>
      </c>
      <c r="N18" s="64">
        <v>50.6</v>
      </c>
      <c r="O18" s="64">
        <v>0</v>
      </c>
      <c r="P18" s="64">
        <v>0.27</v>
      </c>
      <c r="Q18" s="64">
        <v>8.84</v>
      </c>
      <c r="R18" s="198"/>
      <c r="S18" s="198"/>
      <c r="T18" s="198"/>
      <c r="U18" s="198"/>
    </row>
    <row r="19" spans="1:21" s="12" customFormat="1" x14ac:dyDescent="0.25">
      <c r="A19" s="215" t="s">
        <v>1696</v>
      </c>
      <c r="B19" s="64">
        <v>2.54</v>
      </c>
      <c r="C19" s="64">
        <v>46.52</v>
      </c>
      <c r="D19" s="64">
        <v>43.98</v>
      </c>
      <c r="E19" s="64">
        <v>2.4300000000000002</v>
      </c>
      <c r="F19" s="64">
        <v>7.98</v>
      </c>
      <c r="G19" s="64">
        <v>20.23</v>
      </c>
      <c r="H19" s="64">
        <v>6.73</v>
      </c>
      <c r="I19" s="64">
        <v>3.97</v>
      </c>
      <c r="J19" s="64">
        <v>0.69</v>
      </c>
      <c r="K19" s="64">
        <v>61.83</v>
      </c>
      <c r="L19" s="64">
        <v>23.42</v>
      </c>
      <c r="M19" s="64">
        <v>61.42</v>
      </c>
      <c r="N19" s="64">
        <v>50.7</v>
      </c>
      <c r="O19" s="64">
        <v>0</v>
      </c>
      <c r="P19" s="64">
        <v>0.28000000000000003</v>
      </c>
      <c r="Q19" s="64">
        <v>8.65</v>
      </c>
      <c r="R19" s="198"/>
      <c r="S19" s="198"/>
      <c r="T19" s="198"/>
      <c r="U19" s="198"/>
    </row>
    <row r="20" spans="1:21" s="12" customFormat="1" x14ac:dyDescent="0.25">
      <c r="A20" s="215" t="s">
        <v>1697</v>
      </c>
      <c r="B20" s="64">
        <v>2.5299999999999998</v>
      </c>
      <c r="C20" s="64">
        <v>46.22</v>
      </c>
      <c r="D20" s="64">
        <v>43.69</v>
      </c>
      <c r="E20" s="64">
        <v>2.33</v>
      </c>
      <c r="F20" s="64">
        <v>9.69</v>
      </c>
      <c r="G20" s="64">
        <v>20.23</v>
      </c>
      <c r="H20" s="64">
        <v>6.73</v>
      </c>
      <c r="I20" s="64">
        <v>4.0599999999999996</v>
      </c>
      <c r="J20" s="64">
        <v>1.07</v>
      </c>
      <c r="K20" s="64">
        <v>78.41</v>
      </c>
      <c r="L20" s="64">
        <v>23.23</v>
      </c>
      <c r="M20" s="64">
        <v>61.77</v>
      </c>
      <c r="N20" s="64">
        <v>50.5</v>
      </c>
      <c r="O20" s="64">
        <v>0</v>
      </c>
      <c r="P20" s="64">
        <v>0.27</v>
      </c>
      <c r="Q20" s="64">
        <v>8.61</v>
      </c>
      <c r="R20" s="198"/>
      <c r="S20" s="198"/>
      <c r="T20" s="198"/>
      <c r="U20" s="198"/>
    </row>
    <row r="21" spans="1:21" s="12" customFormat="1" x14ac:dyDescent="0.25">
      <c r="A21" s="215" t="s">
        <v>1698</v>
      </c>
      <c r="B21" s="64">
        <v>2.42</v>
      </c>
      <c r="C21" s="64">
        <v>45.12</v>
      </c>
      <c r="D21" s="64">
        <v>42.7</v>
      </c>
      <c r="E21" s="64">
        <v>2.69</v>
      </c>
      <c r="F21" s="64">
        <v>12.2</v>
      </c>
      <c r="G21" s="64">
        <v>20.23</v>
      </c>
      <c r="H21" s="64">
        <v>6.73</v>
      </c>
      <c r="I21" s="64">
        <v>3.98</v>
      </c>
      <c r="J21" s="64">
        <v>1.48</v>
      </c>
      <c r="K21" s="64">
        <v>95.18</v>
      </c>
      <c r="L21" s="64">
        <v>23.33</v>
      </c>
      <c r="M21" s="64">
        <v>62.19</v>
      </c>
      <c r="N21" s="64">
        <v>50.1</v>
      </c>
      <c r="O21" s="64">
        <v>0</v>
      </c>
      <c r="P21" s="64">
        <v>0.25</v>
      </c>
      <c r="Q21" s="64">
        <v>8.76</v>
      </c>
      <c r="R21" s="198"/>
      <c r="S21" s="198"/>
      <c r="T21" s="198"/>
      <c r="U21" s="198"/>
    </row>
    <row r="22" spans="1:21" s="12" customFormat="1" x14ac:dyDescent="0.25">
      <c r="A22" s="215" t="s">
        <v>1699</v>
      </c>
      <c r="B22" s="64">
        <v>2.2599999999999998</v>
      </c>
      <c r="C22" s="64">
        <v>41.36</v>
      </c>
      <c r="D22" s="64">
        <v>39.1</v>
      </c>
      <c r="E22" s="64">
        <v>2.36</v>
      </c>
      <c r="F22" s="64">
        <v>12.09</v>
      </c>
      <c r="G22" s="64">
        <v>17.399999999999999</v>
      </c>
      <c r="H22" s="64">
        <v>7.35</v>
      </c>
      <c r="I22" s="64">
        <v>4.01</v>
      </c>
      <c r="J22" s="64">
        <v>2.4700000000000002</v>
      </c>
      <c r="K22" s="64">
        <v>104.87</v>
      </c>
      <c r="L22" s="64">
        <v>23.39</v>
      </c>
      <c r="M22" s="64">
        <v>60.9</v>
      </c>
      <c r="N22" s="64">
        <v>50.1</v>
      </c>
      <c r="O22" s="64">
        <v>0</v>
      </c>
      <c r="P22" s="64">
        <v>0.25</v>
      </c>
      <c r="Q22" s="64">
        <v>8.64</v>
      </c>
      <c r="R22" s="198"/>
      <c r="S22" s="198"/>
      <c r="T22" s="198"/>
      <c r="U22" s="198"/>
    </row>
    <row r="23" spans="1:21" s="12" customFormat="1" x14ac:dyDescent="0.25">
      <c r="A23" s="215" t="s">
        <v>1700</v>
      </c>
      <c r="B23" s="64">
        <v>2.68</v>
      </c>
      <c r="C23" s="64">
        <v>43.01</v>
      </c>
      <c r="D23" s="64">
        <v>40.32</v>
      </c>
      <c r="E23" s="64">
        <v>2.4500000000000002</v>
      </c>
      <c r="F23" s="64">
        <v>10.82</v>
      </c>
      <c r="G23" s="64">
        <v>14.44</v>
      </c>
      <c r="H23" s="64">
        <v>8</v>
      </c>
      <c r="I23" s="64">
        <v>4.12</v>
      </c>
      <c r="J23" s="64">
        <v>2.59</v>
      </c>
      <c r="K23" s="64">
        <v>101.43</v>
      </c>
      <c r="L23" s="64">
        <v>23.24</v>
      </c>
      <c r="M23" s="64">
        <v>60.89</v>
      </c>
      <c r="N23" s="64">
        <v>50.6</v>
      </c>
      <c r="O23" s="64">
        <v>0</v>
      </c>
      <c r="P23" s="64">
        <v>0.26</v>
      </c>
      <c r="Q23" s="64">
        <v>8.5299999999999994</v>
      </c>
      <c r="R23" s="198"/>
      <c r="S23" s="198"/>
      <c r="T23" s="198"/>
      <c r="U23" s="198"/>
    </row>
    <row r="24" spans="1:21" s="12" customFormat="1" x14ac:dyDescent="0.25">
      <c r="A24" s="215" t="s">
        <v>1701</v>
      </c>
      <c r="B24" s="64">
        <v>2.86</v>
      </c>
      <c r="C24" s="64">
        <v>43.77</v>
      </c>
      <c r="D24" s="64">
        <v>40.909999999999997</v>
      </c>
      <c r="E24" s="64">
        <v>2.46</v>
      </c>
      <c r="F24" s="64">
        <v>10.94</v>
      </c>
      <c r="G24" s="64">
        <v>14.44</v>
      </c>
      <c r="H24" s="64">
        <v>8</v>
      </c>
      <c r="I24" s="64">
        <v>3.87</v>
      </c>
      <c r="J24" s="64">
        <v>2.16</v>
      </c>
      <c r="K24" s="64">
        <v>97.92</v>
      </c>
      <c r="L24" s="64">
        <v>23.07</v>
      </c>
      <c r="M24" s="64">
        <v>60.65</v>
      </c>
      <c r="N24" s="64">
        <v>50.6</v>
      </c>
      <c r="O24" s="64">
        <v>0</v>
      </c>
      <c r="P24" s="64">
        <v>0.27</v>
      </c>
      <c r="Q24" s="64">
        <v>8.73</v>
      </c>
      <c r="R24" s="198"/>
      <c r="S24" s="198"/>
      <c r="T24" s="198"/>
      <c r="U24" s="198"/>
    </row>
    <row r="25" spans="1:21" s="12" customFormat="1" x14ac:dyDescent="0.25">
      <c r="A25" s="215" t="s">
        <v>1702</v>
      </c>
      <c r="B25" s="64">
        <v>3.23</v>
      </c>
      <c r="C25" s="64">
        <v>46.12</v>
      </c>
      <c r="D25" s="64">
        <v>42.89</v>
      </c>
      <c r="E25" s="64">
        <v>2.68</v>
      </c>
      <c r="F25" s="64">
        <v>9.6999999999999993</v>
      </c>
      <c r="G25" s="64">
        <v>14.44</v>
      </c>
      <c r="H25" s="64">
        <v>8</v>
      </c>
      <c r="I25" s="64">
        <v>3.95</v>
      </c>
      <c r="J25" s="64">
        <v>2.7</v>
      </c>
      <c r="K25" s="64">
        <v>105.27</v>
      </c>
      <c r="L25" s="64">
        <v>23</v>
      </c>
      <c r="M25" s="64">
        <v>60.49</v>
      </c>
      <c r="N25" s="64">
        <v>50.4</v>
      </c>
      <c r="O25" s="64">
        <v>0</v>
      </c>
      <c r="P25" s="64">
        <v>0.26</v>
      </c>
      <c r="Q25" s="64">
        <v>8.7200000000000006</v>
      </c>
      <c r="R25" s="198"/>
      <c r="S25" s="198"/>
      <c r="T25" s="198"/>
      <c r="U25" s="198"/>
    </row>
    <row r="26" spans="1:21" s="12" customFormat="1" x14ac:dyDescent="0.25">
      <c r="A26" s="215" t="s">
        <v>1703</v>
      </c>
      <c r="B26" s="64">
        <v>3.23</v>
      </c>
      <c r="C26" s="64">
        <v>44.99</v>
      </c>
      <c r="D26" s="64">
        <v>41.77</v>
      </c>
      <c r="E26" s="64">
        <v>2.69</v>
      </c>
      <c r="F26" s="64">
        <v>11.66</v>
      </c>
      <c r="G26" s="64">
        <v>18.11</v>
      </c>
      <c r="H26" s="64">
        <v>6.84</v>
      </c>
      <c r="I26" s="64">
        <v>4.03</v>
      </c>
      <c r="J26" s="64">
        <v>2.1</v>
      </c>
      <c r="K26" s="64">
        <v>105.62</v>
      </c>
      <c r="L26" s="64">
        <v>22.92</v>
      </c>
      <c r="M26" s="64">
        <v>61.24</v>
      </c>
      <c r="N26" s="64">
        <v>50.6</v>
      </c>
      <c r="O26" s="64">
        <v>0</v>
      </c>
      <c r="P26" s="64">
        <v>0.25</v>
      </c>
      <c r="Q26" s="64">
        <v>8.65</v>
      </c>
      <c r="R26" s="198"/>
      <c r="S26" s="198"/>
      <c r="T26" s="198"/>
      <c r="U26" s="198"/>
    </row>
    <row r="27" spans="1:21" s="12" customFormat="1" x14ac:dyDescent="0.25">
      <c r="A27" s="215" t="s">
        <v>1704</v>
      </c>
      <c r="B27" s="64">
        <v>6.77</v>
      </c>
      <c r="C27" s="64">
        <v>52.37</v>
      </c>
      <c r="D27" s="64">
        <v>45.6</v>
      </c>
      <c r="E27" s="64">
        <v>2.59</v>
      </c>
      <c r="F27" s="64">
        <v>10.71</v>
      </c>
      <c r="G27" s="64">
        <v>21.96</v>
      </c>
      <c r="H27" s="64">
        <v>5.64</v>
      </c>
      <c r="I27" s="64">
        <v>4.0599999999999996</v>
      </c>
      <c r="J27" s="64">
        <v>1.54</v>
      </c>
      <c r="K27" s="64">
        <v>298.79000000000002</v>
      </c>
      <c r="L27" s="64">
        <v>22.66</v>
      </c>
      <c r="M27" s="64">
        <v>63.53</v>
      </c>
      <c r="N27" s="64">
        <v>51.1</v>
      </c>
      <c r="O27" s="64">
        <v>0</v>
      </c>
      <c r="P27" s="64">
        <v>0.32</v>
      </c>
      <c r="Q27" s="64">
        <v>8.74</v>
      </c>
      <c r="R27" s="198"/>
      <c r="S27" s="198"/>
      <c r="T27" s="198"/>
      <c r="U27" s="198"/>
    </row>
    <row r="28" spans="1:21" s="12" customFormat="1" x14ac:dyDescent="0.25">
      <c r="A28" s="215" t="s">
        <v>1705</v>
      </c>
      <c r="B28" s="64">
        <v>11.12</v>
      </c>
      <c r="C28" s="64">
        <v>60.44</v>
      </c>
      <c r="D28" s="64">
        <v>49.32</v>
      </c>
      <c r="E28" s="64">
        <v>2.2799999999999998</v>
      </c>
      <c r="F28" s="64">
        <v>10.17</v>
      </c>
      <c r="G28" s="64">
        <v>21.96</v>
      </c>
      <c r="H28" s="64">
        <v>5.64</v>
      </c>
      <c r="I28" s="64">
        <v>4.05</v>
      </c>
      <c r="J28" s="64">
        <v>1.03</v>
      </c>
      <c r="K28" s="64">
        <v>308.7</v>
      </c>
      <c r="L28" s="64">
        <v>22.14</v>
      </c>
      <c r="M28" s="64">
        <v>66.64</v>
      </c>
      <c r="N28" s="64">
        <v>51.1</v>
      </c>
      <c r="O28" s="64">
        <v>0</v>
      </c>
      <c r="P28" s="64">
        <v>0.33</v>
      </c>
      <c r="Q28" s="64">
        <v>8.6300000000000008</v>
      </c>
      <c r="R28" s="198"/>
      <c r="S28" s="198"/>
      <c r="T28" s="198"/>
      <c r="U28" s="198"/>
    </row>
    <row r="29" spans="1:21" s="12" customFormat="1" x14ac:dyDescent="0.25">
      <c r="A29" s="215" t="s">
        <v>1706</v>
      </c>
      <c r="B29" s="64">
        <v>5.62</v>
      </c>
      <c r="C29" s="64">
        <v>50.27</v>
      </c>
      <c r="D29" s="64">
        <v>44.65</v>
      </c>
      <c r="E29" s="64">
        <v>2.41</v>
      </c>
      <c r="F29" s="64">
        <v>7.32</v>
      </c>
      <c r="G29" s="64">
        <v>21.96</v>
      </c>
      <c r="H29" s="64">
        <v>5.64</v>
      </c>
      <c r="I29" s="64">
        <v>4.04</v>
      </c>
      <c r="J29" s="64">
        <v>0.1</v>
      </c>
      <c r="K29" s="64">
        <v>195.37</v>
      </c>
      <c r="L29" s="64">
        <v>22.07</v>
      </c>
      <c r="M29" s="64">
        <v>65.58</v>
      </c>
      <c r="N29" s="64">
        <v>50.2</v>
      </c>
      <c r="O29" s="64">
        <v>0</v>
      </c>
      <c r="P29" s="64">
        <v>0.28000000000000003</v>
      </c>
      <c r="Q29" s="64">
        <v>8.7100000000000009</v>
      </c>
      <c r="R29" s="198"/>
      <c r="S29" s="198"/>
      <c r="T29" s="198"/>
      <c r="U29" s="198"/>
    </row>
    <row r="30" spans="1:21" s="12" customFormat="1" x14ac:dyDescent="0.25">
      <c r="A30" s="215" t="s">
        <v>1707</v>
      </c>
      <c r="B30" s="64">
        <v>5.87</v>
      </c>
      <c r="C30" s="64">
        <v>55.18</v>
      </c>
      <c r="D30" s="64">
        <v>49.31</v>
      </c>
      <c r="E30" s="64">
        <v>2.52</v>
      </c>
      <c r="F30" s="64">
        <v>7.77</v>
      </c>
      <c r="G30" s="64">
        <v>24.43</v>
      </c>
      <c r="H30" s="64">
        <v>6.16</v>
      </c>
      <c r="I30" s="64">
        <v>4.09</v>
      </c>
      <c r="J30" s="64">
        <v>1.44</v>
      </c>
      <c r="K30" s="64">
        <v>99.39</v>
      </c>
      <c r="L30" s="64">
        <v>22.23</v>
      </c>
      <c r="M30" s="64">
        <v>64.3</v>
      </c>
      <c r="N30" s="64">
        <v>50.2</v>
      </c>
      <c r="O30" s="64">
        <v>0</v>
      </c>
      <c r="P30" s="64">
        <v>0.28000000000000003</v>
      </c>
      <c r="Q30" s="64">
        <v>8.7799999999999994</v>
      </c>
      <c r="R30" s="198"/>
      <c r="S30" s="198"/>
      <c r="T30" s="198"/>
      <c r="U30" s="198"/>
    </row>
    <row r="31" spans="1:21" s="12" customFormat="1" x14ac:dyDescent="0.25">
      <c r="A31" s="215" t="s">
        <v>1708</v>
      </c>
      <c r="B31" s="64">
        <v>5.48</v>
      </c>
      <c r="C31" s="64">
        <v>53.56</v>
      </c>
      <c r="D31" s="64">
        <v>48.09</v>
      </c>
      <c r="E31" s="64">
        <v>2.54</v>
      </c>
      <c r="F31" s="64">
        <v>8.4</v>
      </c>
      <c r="G31" s="64">
        <v>27.01</v>
      </c>
      <c r="H31" s="64">
        <v>6.71</v>
      </c>
      <c r="I31" s="64">
        <v>3.96</v>
      </c>
      <c r="J31" s="64">
        <v>1.83</v>
      </c>
      <c r="K31" s="64">
        <v>93.58</v>
      </c>
      <c r="L31" s="64">
        <v>22.52</v>
      </c>
      <c r="M31" s="64">
        <v>63.93</v>
      </c>
      <c r="N31" s="64">
        <v>53.2</v>
      </c>
      <c r="O31" s="64">
        <v>0</v>
      </c>
      <c r="P31" s="64">
        <v>0.28000000000000003</v>
      </c>
      <c r="Q31" s="64">
        <v>8.77</v>
      </c>
      <c r="R31" s="198"/>
      <c r="S31" s="198"/>
      <c r="T31" s="198"/>
      <c r="U31" s="198"/>
    </row>
    <row r="32" spans="1:21" s="12" customFormat="1" x14ac:dyDescent="0.25">
      <c r="A32" s="215" t="s">
        <v>1709</v>
      </c>
      <c r="B32" s="64">
        <v>5.23</v>
      </c>
      <c r="C32" s="64">
        <v>53.25</v>
      </c>
      <c r="D32" s="64">
        <v>48.02</v>
      </c>
      <c r="E32" s="64">
        <v>2.31</v>
      </c>
      <c r="F32" s="64">
        <v>7.64</v>
      </c>
      <c r="G32" s="64">
        <v>27.01</v>
      </c>
      <c r="H32" s="64">
        <v>6.71</v>
      </c>
      <c r="I32" s="64">
        <v>3.83</v>
      </c>
      <c r="J32" s="64">
        <v>1.37</v>
      </c>
      <c r="K32" s="64">
        <v>101.1</v>
      </c>
      <c r="L32" s="64">
        <v>22.33</v>
      </c>
      <c r="M32" s="64">
        <v>64.87</v>
      </c>
      <c r="N32" s="64">
        <v>64.2</v>
      </c>
      <c r="O32" s="64">
        <v>0</v>
      </c>
      <c r="P32" s="64">
        <v>0.28000000000000003</v>
      </c>
      <c r="Q32" s="64">
        <v>8.81</v>
      </c>
      <c r="R32" s="198"/>
      <c r="S32" s="198"/>
      <c r="T32" s="198"/>
      <c r="U32" s="198"/>
    </row>
    <row r="33" spans="1:21" s="12" customFormat="1" x14ac:dyDescent="0.25">
      <c r="A33" s="215" t="s">
        <v>1710</v>
      </c>
      <c r="B33" s="64">
        <v>5.0199999999999996</v>
      </c>
      <c r="C33" s="64">
        <v>54.23</v>
      </c>
      <c r="D33" s="64">
        <v>49.21</v>
      </c>
      <c r="E33" s="64">
        <v>2.35</v>
      </c>
      <c r="F33" s="64">
        <v>7.53</v>
      </c>
      <c r="G33" s="64">
        <v>27.01</v>
      </c>
      <c r="H33" s="64">
        <v>6.71</v>
      </c>
      <c r="I33" s="64">
        <v>3.88</v>
      </c>
      <c r="J33" s="64">
        <v>0.41</v>
      </c>
      <c r="K33" s="64">
        <v>174.8</v>
      </c>
      <c r="L33" s="64">
        <v>22.45</v>
      </c>
      <c r="M33" s="64">
        <v>64.83</v>
      </c>
      <c r="N33" s="64">
        <v>85.9</v>
      </c>
      <c r="O33" s="64">
        <v>0</v>
      </c>
      <c r="P33" s="64">
        <v>0.28999999999999998</v>
      </c>
      <c r="Q33" s="64">
        <v>8.66</v>
      </c>
      <c r="R33" s="198"/>
      <c r="S33" s="198"/>
      <c r="T33" s="198"/>
      <c r="U33" s="198"/>
    </row>
    <row r="34" spans="1:21" s="12" customFormat="1" x14ac:dyDescent="0.25">
      <c r="A34" s="215" t="s">
        <v>1711</v>
      </c>
      <c r="B34" s="64">
        <v>4.93</v>
      </c>
      <c r="C34" s="64">
        <v>55.2</v>
      </c>
      <c r="D34" s="64">
        <v>50.27</v>
      </c>
      <c r="E34" s="64">
        <v>2.23</v>
      </c>
      <c r="F34" s="64">
        <v>7.98</v>
      </c>
      <c r="G34" s="64">
        <v>27.01</v>
      </c>
      <c r="H34" s="64">
        <v>6.3</v>
      </c>
      <c r="I34" s="64">
        <v>3.96</v>
      </c>
      <c r="J34" s="64">
        <v>0.71</v>
      </c>
      <c r="K34" s="64">
        <v>106.35</v>
      </c>
      <c r="L34" s="64">
        <v>23.1</v>
      </c>
      <c r="M34" s="64">
        <v>61.84</v>
      </c>
      <c r="N34" s="64">
        <v>124.1</v>
      </c>
      <c r="O34" s="64">
        <v>0</v>
      </c>
      <c r="P34" s="64">
        <v>0.3</v>
      </c>
      <c r="Q34" s="64">
        <v>8.61</v>
      </c>
      <c r="R34" s="198"/>
      <c r="S34" s="198"/>
      <c r="T34" s="198"/>
      <c r="U34" s="198"/>
    </row>
    <row r="35" spans="1:21" s="12" customFormat="1" x14ac:dyDescent="0.25">
      <c r="A35" s="215" t="s">
        <v>1712</v>
      </c>
      <c r="B35" s="64">
        <v>4.8</v>
      </c>
      <c r="C35" s="64">
        <v>55.58</v>
      </c>
      <c r="D35" s="64">
        <v>50.78</v>
      </c>
      <c r="E35" s="64">
        <v>2.3199999999999998</v>
      </c>
      <c r="F35" s="64">
        <v>8.68</v>
      </c>
      <c r="G35" s="64">
        <v>27.01</v>
      </c>
      <c r="H35" s="64">
        <v>5.88</v>
      </c>
      <c r="I35" s="64">
        <v>3.92</v>
      </c>
      <c r="J35" s="64">
        <v>0.99</v>
      </c>
      <c r="K35" s="64">
        <v>114.48</v>
      </c>
      <c r="L35" s="64">
        <v>23.62</v>
      </c>
      <c r="M35" s="64">
        <v>61.02</v>
      </c>
      <c r="N35" s="64">
        <v>169.8</v>
      </c>
      <c r="O35" s="64">
        <v>0</v>
      </c>
      <c r="P35" s="64">
        <v>0.3</v>
      </c>
      <c r="Q35" s="64">
        <v>8.6199999999999992</v>
      </c>
      <c r="R35" s="198"/>
      <c r="S35" s="198"/>
      <c r="T35" s="198"/>
      <c r="U35" s="198"/>
    </row>
    <row r="36" spans="1:21" s="12" customFormat="1" x14ac:dyDescent="0.25">
      <c r="A36" s="215" t="s">
        <v>1713</v>
      </c>
      <c r="B36" s="64">
        <v>4.78</v>
      </c>
      <c r="C36" s="64">
        <v>55.04</v>
      </c>
      <c r="D36" s="64">
        <v>50.25</v>
      </c>
      <c r="E36" s="64">
        <v>2.36</v>
      </c>
      <c r="F36" s="64">
        <v>7.91</v>
      </c>
      <c r="G36" s="64">
        <v>27.01</v>
      </c>
      <c r="H36" s="64">
        <v>5.88</v>
      </c>
      <c r="I36" s="64">
        <v>3.94</v>
      </c>
      <c r="J36" s="64">
        <v>0.86</v>
      </c>
      <c r="K36" s="64">
        <v>116.84</v>
      </c>
      <c r="L36" s="64">
        <v>23.97</v>
      </c>
      <c r="M36" s="64">
        <v>59.17</v>
      </c>
      <c r="N36" s="64">
        <v>175</v>
      </c>
      <c r="O36" s="64">
        <v>0</v>
      </c>
      <c r="P36" s="64">
        <v>0.3</v>
      </c>
      <c r="Q36" s="64">
        <v>8.75</v>
      </c>
      <c r="R36" s="198"/>
      <c r="S36" s="198"/>
      <c r="T36" s="198"/>
      <c r="U36" s="198"/>
    </row>
    <row r="37" spans="1:21" s="12" customFormat="1" x14ac:dyDescent="0.25">
      <c r="A37" s="215" t="s">
        <v>1714</v>
      </c>
      <c r="B37" s="64">
        <v>4.83</v>
      </c>
      <c r="C37" s="64">
        <v>55.34</v>
      </c>
      <c r="D37" s="64">
        <v>50.5</v>
      </c>
      <c r="E37" s="64">
        <v>2.3199999999999998</v>
      </c>
      <c r="F37" s="64">
        <v>8.01</v>
      </c>
      <c r="G37" s="64">
        <v>27.01</v>
      </c>
      <c r="H37" s="64">
        <v>5.88</v>
      </c>
      <c r="I37" s="64">
        <v>4.12</v>
      </c>
      <c r="J37" s="64">
        <v>1.29</v>
      </c>
      <c r="K37" s="64">
        <v>163.63999999999999</v>
      </c>
      <c r="L37" s="64">
        <v>24.61</v>
      </c>
      <c r="M37" s="64">
        <v>57.26</v>
      </c>
      <c r="N37" s="64">
        <v>232.8</v>
      </c>
      <c r="O37" s="64">
        <v>0</v>
      </c>
      <c r="P37" s="64">
        <v>0.28999999999999998</v>
      </c>
      <c r="Q37" s="64">
        <v>8.57</v>
      </c>
      <c r="R37" s="198"/>
      <c r="S37" s="198"/>
      <c r="T37" s="198"/>
      <c r="U37" s="198"/>
    </row>
    <row r="38" spans="1:21" s="12" customFormat="1" x14ac:dyDescent="0.25">
      <c r="A38" s="215" t="s">
        <v>1715</v>
      </c>
      <c r="B38" s="64">
        <v>4.6399999999999997</v>
      </c>
      <c r="C38" s="64">
        <v>55.32</v>
      </c>
      <c r="D38" s="64">
        <v>50.68</v>
      </c>
      <c r="E38" s="64">
        <v>2.06</v>
      </c>
      <c r="F38" s="64">
        <v>7.79</v>
      </c>
      <c r="G38" s="64">
        <v>27.76</v>
      </c>
      <c r="H38" s="64">
        <v>7.57</v>
      </c>
      <c r="I38" s="64">
        <v>3.92</v>
      </c>
      <c r="J38" s="64">
        <v>1.08</v>
      </c>
      <c r="K38" s="64">
        <v>173.32</v>
      </c>
      <c r="L38" s="64">
        <v>25.16</v>
      </c>
      <c r="M38" s="64">
        <v>55.87</v>
      </c>
      <c r="N38" s="64">
        <v>317</v>
      </c>
      <c r="O38" s="64">
        <v>0</v>
      </c>
      <c r="P38" s="64">
        <v>0.32</v>
      </c>
      <c r="Q38" s="64">
        <v>8.6999999999999993</v>
      </c>
      <c r="R38" s="198"/>
      <c r="S38" s="198"/>
      <c r="T38" s="198"/>
      <c r="U38" s="198"/>
    </row>
    <row r="39" spans="1:21" s="12" customFormat="1" x14ac:dyDescent="0.25">
      <c r="A39" s="215" t="s">
        <v>1716</v>
      </c>
      <c r="B39" s="64">
        <v>4.38</v>
      </c>
      <c r="C39" s="64">
        <v>56.95</v>
      </c>
      <c r="D39" s="64">
        <v>52.57</v>
      </c>
      <c r="E39" s="64">
        <v>1.91</v>
      </c>
      <c r="F39" s="64">
        <v>6.93</v>
      </c>
      <c r="G39" s="64">
        <v>28.53</v>
      </c>
      <c r="H39" s="64">
        <v>9.35</v>
      </c>
      <c r="I39" s="64">
        <v>4.04</v>
      </c>
      <c r="J39" s="64">
        <v>1.88</v>
      </c>
      <c r="K39" s="64">
        <v>152.94999999999999</v>
      </c>
      <c r="L39" s="64">
        <v>25.88</v>
      </c>
      <c r="M39" s="64">
        <v>54.94</v>
      </c>
      <c r="N39" s="64">
        <v>393.6</v>
      </c>
      <c r="O39" s="64">
        <v>0</v>
      </c>
      <c r="P39" s="64">
        <v>0.31</v>
      </c>
      <c r="Q39" s="64">
        <v>8.6</v>
      </c>
      <c r="R39" s="198"/>
      <c r="S39" s="198"/>
      <c r="T39" s="198"/>
      <c r="U39" s="198"/>
    </row>
    <row r="40" spans="1:21" s="12" customFormat="1" x14ac:dyDescent="0.25">
      <c r="A40" s="215" t="s">
        <v>1717</v>
      </c>
      <c r="B40" s="64">
        <v>4.1900000000000004</v>
      </c>
      <c r="C40" s="64">
        <v>54.33</v>
      </c>
      <c r="D40" s="64">
        <v>50.13</v>
      </c>
      <c r="E40" s="64">
        <v>2.68</v>
      </c>
      <c r="F40" s="64">
        <v>8.2200000000000006</v>
      </c>
      <c r="G40" s="64">
        <v>28.53</v>
      </c>
      <c r="H40" s="64">
        <v>9.35</v>
      </c>
      <c r="I40" s="64">
        <v>4.0199999999999996</v>
      </c>
      <c r="J40" s="64">
        <v>1.34</v>
      </c>
      <c r="K40" s="64">
        <v>178.24</v>
      </c>
      <c r="L40" s="64">
        <v>26.04</v>
      </c>
      <c r="M40" s="64">
        <v>53.96</v>
      </c>
      <c r="N40" s="64">
        <v>431.9</v>
      </c>
      <c r="O40" s="64">
        <v>0</v>
      </c>
      <c r="P40" s="64">
        <v>0.3</v>
      </c>
      <c r="Q40" s="64">
        <v>8.66</v>
      </c>
      <c r="R40" s="198"/>
      <c r="S40" s="198"/>
      <c r="T40" s="198"/>
      <c r="U40" s="198"/>
    </row>
    <row r="41" spans="1:21" s="12" customFormat="1" x14ac:dyDescent="0.25">
      <c r="A41" s="215" t="s">
        <v>1718</v>
      </c>
      <c r="B41" s="64">
        <v>3.86</v>
      </c>
      <c r="C41" s="64">
        <v>53.53</v>
      </c>
      <c r="D41" s="64">
        <v>49.67</v>
      </c>
      <c r="E41" s="64">
        <v>2.5099999999999998</v>
      </c>
      <c r="F41" s="64">
        <v>11.75</v>
      </c>
      <c r="G41" s="64">
        <v>28.53</v>
      </c>
      <c r="H41" s="64">
        <v>9.35</v>
      </c>
      <c r="I41" s="64">
        <v>4.1399999999999997</v>
      </c>
      <c r="J41" s="64">
        <v>1.57</v>
      </c>
      <c r="K41" s="64">
        <v>145.63</v>
      </c>
      <c r="L41" s="64">
        <v>26.8</v>
      </c>
      <c r="M41" s="64">
        <v>51.6</v>
      </c>
      <c r="N41" s="64">
        <v>491.5</v>
      </c>
      <c r="O41" s="64">
        <v>0</v>
      </c>
      <c r="P41" s="64">
        <v>0.31</v>
      </c>
      <c r="Q41" s="64">
        <v>8.81</v>
      </c>
      <c r="R41" s="198"/>
      <c r="S41" s="198"/>
      <c r="T41" s="198"/>
      <c r="U41" s="198"/>
    </row>
    <row r="42" spans="1:21" s="12" customFormat="1" x14ac:dyDescent="0.25">
      <c r="A42" s="215" t="s">
        <v>1719</v>
      </c>
      <c r="B42" s="64">
        <v>3.57</v>
      </c>
      <c r="C42" s="64">
        <v>51.15</v>
      </c>
      <c r="D42" s="64">
        <v>47.59</v>
      </c>
      <c r="E42" s="64">
        <v>2.8</v>
      </c>
      <c r="F42" s="64">
        <v>11.71</v>
      </c>
      <c r="G42" s="64">
        <v>22.43</v>
      </c>
      <c r="H42" s="64">
        <v>8.7899999999999991</v>
      </c>
      <c r="I42" s="64">
        <v>3.89</v>
      </c>
      <c r="J42" s="64">
        <v>1.45</v>
      </c>
      <c r="K42" s="64">
        <v>159.1</v>
      </c>
      <c r="L42" s="64">
        <v>27.86</v>
      </c>
      <c r="M42" s="64">
        <v>48.25</v>
      </c>
      <c r="N42" s="64">
        <v>544.79999999999995</v>
      </c>
      <c r="O42" s="64">
        <v>0</v>
      </c>
      <c r="P42" s="64">
        <v>0.32</v>
      </c>
      <c r="Q42" s="64">
        <v>8.8000000000000007</v>
      </c>
      <c r="R42" s="198"/>
      <c r="S42" s="198"/>
      <c r="T42" s="198"/>
      <c r="U42" s="198"/>
    </row>
    <row r="43" spans="1:21" s="12" customFormat="1" x14ac:dyDescent="0.25">
      <c r="A43" s="215" t="s">
        <v>1720</v>
      </c>
      <c r="B43" s="64">
        <v>6.73</v>
      </c>
      <c r="C43" s="64">
        <v>56.19</v>
      </c>
      <c r="D43" s="64">
        <v>49.47</v>
      </c>
      <c r="E43" s="64">
        <v>2.95</v>
      </c>
      <c r="F43" s="64">
        <v>15.86</v>
      </c>
      <c r="G43" s="64">
        <v>16.059999999999999</v>
      </c>
      <c r="H43" s="64">
        <v>8.2100000000000009</v>
      </c>
      <c r="I43" s="64">
        <v>4.05</v>
      </c>
      <c r="J43" s="64">
        <v>0.3</v>
      </c>
      <c r="K43" s="64">
        <v>93.18</v>
      </c>
      <c r="L43" s="64">
        <v>28.76</v>
      </c>
      <c r="M43" s="64">
        <v>47.15</v>
      </c>
      <c r="N43" s="64">
        <v>612.1</v>
      </c>
      <c r="O43" s="64">
        <v>0</v>
      </c>
      <c r="P43" s="64">
        <v>0.35</v>
      </c>
      <c r="Q43" s="64">
        <v>8.49</v>
      </c>
      <c r="R43" s="198"/>
      <c r="S43" s="198"/>
      <c r="T43" s="198"/>
      <c r="U43" s="198"/>
    </row>
    <row r="44" spans="1:21" s="12" customFormat="1" x14ac:dyDescent="0.25">
      <c r="A44" s="215" t="s">
        <v>1721</v>
      </c>
      <c r="B44" s="64">
        <v>3.93</v>
      </c>
      <c r="C44" s="64">
        <v>47.9</v>
      </c>
      <c r="D44" s="64">
        <v>43.96</v>
      </c>
      <c r="E44" s="64">
        <v>3</v>
      </c>
      <c r="F44" s="64">
        <v>13.34</v>
      </c>
      <c r="G44" s="64">
        <v>16.059999999999999</v>
      </c>
      <c r="H44" s="64">
        <v>8.2100000000000009</v>
      </c>
      <c r="I44" s="64">
        <v>4.16</v>
      </c>
      <c r="J44" s="64">
        <v>1.71</v>
      </c>
      <c r="K44" s="64">
        <v>123.08</v>
      </c>
      <c r="L44" s="64">
        <v>28.6</v>
      </c>
      <c r="M44" s="64">
        <v>47.14</v>
      </c>
      <c r="N44" s="64">
        <v>655.1</v>
      </c>
      <c r="O44" s="64">
        <v>0</v>
      </c>
      <c r="P44" s="64">
        <v>0.32</v>
      </c>
      <c r="Q44" s="64">
        <v>8.4700000000000006</v>
      </c>
      <c r="R44" s="198"/>
      <c r="S44" s="198"/>
      <c r="T44" s="198"/>
      <c r="U44" s="198"/>
    </row>
    <row r="45" spans="1:21" s="12" customFormat="1" x14ac:dyDescent="0.25">
      <c r="A45" s="215" t="s">
        <v>1722</v>
      </c>
      <c r="B45" s="64">
        <v>3.51</v>
      </c>
      <c r="C45" s="64">
        <v>50.22</v>
      </c>
      <c r="D45" s="64">
        <v>46.7</v>
      </c>
      <c r="E45" s="64">
        <v>2.97</v>
      </c>
      <c r="F45" s="64">
        <v>10.8</v>
      </c>
      <c r="G45" s="64">
        <v>16.059999999999999</v>
      </c>
      <c r="H45" s="64">
        <v>8.2100000000000009</v>
      </c>
      <c r="I45" s="64">
        <v>4.08</v>
      </c>
      <c r="J45" s="64">
        <v>0.97</v>
      </c>
      <c r="K45" s="64">
        <v>194.41</v>
      </c>
      <c r="L45" s="64">
        <v>29.31</v>
      </c>
      <c r="M45" s="64">
        <v>44.59</v>
      </c>
      <c r="N45" s="64">
        <v>690.6</v>
      </c>
      <c r="O45" s="64">
        <v>0</v>
      </c>
      <c r="P45" s="64">
        <v>0.32</v>
      </c>
      <c r="Q45" s="64">
        <v>8.7100000000000009</v>
      </c>
      <c r="R45" s="198"/>
      <c r="S45" s="198"/>
      <c r="T45" s="198"/>
      <c r="U45" s="198"/>
    </row>
    <row r="46" spans="1:21" s="12" customFormat="1" x14ac:dyDescent="0.25">
      <c r="A46" s="215" t="s">
        <v>1723</v>
      </c>
      <c r="B46" s="64">
        <v>3.66</v>
      </c>
      <c r="C46" s="64">
        <v>54.09</v>
      </c>
      <c r="D46" s="64">
        <v>50.43</v>
      </c>
      <c r="E46" s="64">
        <v>2.87</v>
      </c>
      <c r="F46" s="64">
        <v>8.67</v>
      </c>
      <c r="G46" s="64">
        <v>20.57</v>
      </c>
      <c r="H46" s="64">
        <v>8.2200000000000006</v>
      </c>
      <c r="I46" s="64">
        <v>4.01</v>
      </c>
      <c r="J46" s="64">
        <v>1.06</v>
      </c>
      <c r="K46" s="64">
        <v>234.04</v>
      </c>
      <c r="L46" s="64">
        <v>29.93</v>
      </c>
      <c r="M46" s="64">
        <v>42.63</v>
      </c>
      <c r="N46" s="64">
        <v>734</v>
      </c>
      <c r="O46" s="64">
        <v>0</v>
      </c>
      <c r="P46" s="64">
        <v>0.34</v>
      </c>
      <c r="Q46" s="64">
        <v>8.5299999999999994</v>
      </c>
      <c r="R46" s="198"/>
      <c r="S46" s="198"/>
      <c r="T46" s="198"/>
      <c r="U46" s="198"/>
    </row>
    <row r="47" spans="1:21" s="12" customFormat="1" x14ac:dyDescent="0.25">
      <c r="A47" s="215" t="s">
        <v>1724</v>
      </c>
      <c r="B47" s="64">
        <v>3.62</v>
      </c>
      <c r="C47" s="64">
        <v>57.8</v>
      </c>
      <c r="D47" s="64">
        <v>54.18</v>
      </c>
      <c r="E47" s="64">
        <v>3.28</v>
      </c>
      <c r="F47" s="64">
        <v>10.039999999999999</v>
      </c>
      <c r="G47" s="64">
        <v>25.28</v>
      </c>
      <c r="H47" s="64">
        <v>8.2200000000000006</v>
      </c>
      <c r="I47" s="64">
        <v>4.0199999999999996</v>
      </c>
      <c r="J47" s="64">
        <v>1.05</v>
      </c>
      <c r="K47" s="64">
        <v>326.38</v>
      </c>
      <c r="L47" s="64">
        <v>32.01</v>
      </c>
      <c r="M47" s="64">
        <v>39.909999999999997</v>
      </c>
      <c r="N47" s="64">
        <v>770.7</v>
      </c>
      <c r="O47" s="64">
        <v>0</v>
      </c>
      <c r="P47" s="64">
        <v>0.38</v>
      </c>
      <c r="Q47" s="64">
        <v>8.51</v>
      </c>
      <c r="R47" s="198"/>
      <c r="S47" s="198"/>
      <c r="T47" s="198"/>
      <c r="U47" s="198"/>
    </row>
    <row r="48" spans="1:21" s="12" customFormat="1" x14ac:dyDescent="0.25">
      <c r="A48" s="215" t="s">
        <v>1725</v>
      </c>
      <c r="B48" s="64">
        <v>3.34</v>
      </c>
      <c r="C48" s="64">
        <v>55.17</v>
      </c>
      <c r="D48" s="64">
        <v>51.83</v>
      </c>
      <c r="E48" s="64">
        <v>3.04</v>
      </c>
      <c r="F48" s="64">
        <v>9.24</v>
      </c>
      <c r="G48" s="64">
        <v>25.28</v>
      </c>
      <c r="H48" s="64">
        <v>8.2200000000000006</v>
      </c>
      <c r="I48" s="64">
        <v>3.96</v>
      </c>
      <c r="J48" s="64">
        <v>1.75</v>
      </c>
      <c r="K48" s="64">
        <v>297.75</v>
      </c>
      <c r="L48" s="64">
        <v>34.19</v>
      </c>
      <c r="M48" s="64">
        <v>35.07</v>
      </c>
      <c r="N48" s="64">
        <v>822.1</v>
      </c>
      <c r="O48" s="64">
        <v>0</v>
      </c>
      <c r="P48" s="64">
        <v>0.37</v>
      </c>
      <c r="Q48" s="64">
        <v>8.73</v>
      </c>
      <c r="R48" s="198"/>
      <c r="S48" s="198"/>
      <c r="T48" s="198"/>
      <c r="U48" s="198"/>
    </row>
    <row r="49" spans="1:21" s="12" customFormat="1" x14ac:dyDescent="0.25">
      <c r="A49" s="215" t="s">
        <v>1726</v>
      </c>
      <c r="B49" s="64">
        <v>4.01</v>
      </c>
      <c r="C49" s="64">
        <v>56.33</v>
      </c>
      <c r="D49" s="64">
        <v>52.32</v>
      </c>
      <c r="E49" s="64">
        <v>3.27</v>
      </c>
      <c r="F49" s="64">
        <v>11.72</v>
      </c>
      <c r="G49" s="64">
        <v>25.28</v>
      </c>
      <c r="H49" s="64">
        <v>8.2200000000000006</v>
      </c>
      <c r="I49" s="64">
        <v>3.83</v>
      </c>
      <c r="J49" s="64">
        <v>1.17</v>
      </c>
      <c r="K49" s="64">
        <v>308.64</v>
      </c>
      <c r="L49" s="64">
        <v>35.22</v>
      </c>
      <c r="M49" s="64">
        <v>32.69</v>
      </c>
      <c r="N49" s="64">
        <v>862.5</v>
      </c>
      <c r="O49" s="64">
        <v>0</v>
      </c>
      <c r="P49" s="64">
        <v>0.4</v>
      </c>
      <c r="Q49" s="64">
        <v>8.77</v>
      </c>
      <c r="R49" s="198"/>
      <c r="S49" s="198"/>
      <c r="T49" s="198"/>
      <c r="U49" s="198"/>
    </row>
    <row r="50" spans="1:21" s="12" customFormat="1" x14ac:dyDescent="0.25">
      <c r="A50" s="215" t="s">
        <v>1727</v>
      </c>
      <c r="B50" s="64">
        <v>3.73</v>
      </c>
      <c r="C50" s="64">
        <v>55.21</v>
      </c>
      <c r="D50" s="64">
        <v>51.48</v>
      </c>
      <c r="E50" s="64">
        <v>4.16</v>
      </c>
      <c r="F50" s="64">
        <v>16.5</v>
      </c>
      <c r="G50" s="64">
        <v>25.01</v>
      </c>
      <c r="H50" s="64">
        <v>8.84</v>
      </c>
      <c r="I50" s="64">
        <v>3.98</v>
      </c>
      <c r="J50" s="64">
        <v>1.45</v>
      </c>
      <c r="K50" s="64">
        <v>326.16000000000003</v>
      </c>
      <c r="L50" s="64">
        <v>35.14</v>
      </c>
      <c r="M50" s="64">
        <v>32.9</v>
      </c>
      <c r="N50" s="64">
        <v>887.6</v>
      </c>
      <c r="O50" s="64">
        <v>0</v>
      </c>
      <c r="P50" s="64">
        <v>0.49</v>
      </c>
      <c r="Q50" s="64">
        <v>8.77</v>
      </c>
      <c r="R50" s="198"/>
      <c r="S50" s="198"/>
      <c r="T50" s="198"/>
      <c r="U50" s="198"/>
    </row>
    <row r="51" spans="1:21" s="12" customFormat="1" x14ac:dyDescent="0.25">
      <c r="A51" s="215" t="s">
        <v>1728</v>
      </c>
      <c r="B51" s="64">
        <v>3.75</v>
      </c>
      <c r="C51" s="64">
        <v>57.71</v>
      </c>
      <c r="D51" s="64">
        <v>53.96</v>
      </c>
      <c r="E51" s="64">
        <v>3.99</v>
      </c>
      <c r="F51" s="64">
        <v>14.23</v>
      </c>
      <c r="G51" s="64">
        <v>24.73</v>
      </c>
      <c r="H51" s="64">
        <v>9.49</v>
      </c>
      <c r="I51" s="64">
        <v>4</v>
      </c>
      <c r="J51" s="64">
        <v>1.72</v>
      </c>
      <c r="K51" s="64">
        <v>317.57</v>
      </c>
      <c r="L51" s="64">
        <v>36.68</v>
      </c>
      <c r="M51" s="64">
        <v>29.6</v>
      </c>
      <c r="N51" s="64">
        <v>879.8</v>
      </c>
      <c r="O51" s="64">
        <v>0</v>
      </c>
      <c r="P51" s="64">
        <v>0.45</v>
      </c>
      <c r="Q51" s="64">
        <v>8.7200000000000006</v>
      </c>
      <c r="R51" s="198"/>
      <c r="S51" s="198"/>
      <c r="T51" s="198"/>
      <c r="U51" s="198"/>
    </row>
    <row r="52" spans="1:21" s="12" customFormat="1" x14ac:dyDescent="0.25">
      <c r="A52" s="215" t="s">
        <v>1729</v>
      </c>
      <c r="B52" s="64">
        <v>3.18</v>
      </c>
      <c r="C52" s="64">
        <v>59.24</v>
      </c>
      <c r="D52" s="64">
        <v>56.06</v>
      </c>
      <c r="E52" s="64">
        <v>3.42</v>
      </c>
      <c r="F52" s="64">
        <v>10.15</v>
      </c>
      <c r="G52" s="64">
        <v>24.73</v>
      </c>
      <c r="H52" s="64">
        <v>9.49</v>
      </c>
      <c r="I52" s="64">
        <v>4.08</v>
      </c>
      <c r="J52" s="64">
        <v>1.34</v>
      </c>
      <c r="K52" s="64">
        <v>290.43</v>
      </c>
      <c r="L52" s="64">
        <v>36.549999999999997</v>
      </c>
      <c r="M52" s="64">
        <v>30.31</v>
      </c>
      <c r="N52" s="64">
        <v>935.2</v>
      </c>
      <c r="O52" s="64">
        <v>0</v>
      </c>
      <c r="P52" s="64">
        <v>0.48</v>
      </c>
      <c r="Q52" s="64">
        <v>8.61</v>
      </c>
      <c r="R52" s="198"/>
      <c r="S52" s="198"/>
      <c r="T52" s="198"/>
      <c r="U52" s="198"/>
    </row>
    <row r="53" spans="1:21" s="12" customFormat="1" x14ac:dyDescent="0.25">
      <c r="A53" s="215" t="s">
        <v>1730</v>
      </c>
      <c r="B53" s="64">
        <v>2.68</v>
      </c>
      <c r="C53" s="64">
        <v>58.01</v>
      </c>
      <c r="D53" s="64">
        <v>55.33</v>
      </c>
      <c r="E53" s="64">
        <v>5.17</v>
      </c>
      <c r="F53" s="64">
        <v>14.96</v>
      </c>
      <c r="G53" s="64">
        <v>24.73</v>
      </c>
      <c r="H53" s="64">
        <v>9.49</v>
      </c>
      <c r="I53" s="64">
        <v>4.05</v>
      </c>
      <c r="J53" s="64">
        <v>1.01</v>
      </c>
      <c r="K53" s="64">
        <v>166.99</v>
      </c>
      <c r="L53" s="64">
        <v>34.58</v>
      </c>
      <c r="M53" s="64">
        <v>33.520000000000003</v>
      </c>
      <c r="N53" s="64">
        <v>965.7</v>
      </c>
      <c r="O53" s="64">
        <v>0</v>
      </c>
      <c r="P53" s="64">
        <v>0.44</v>
      </c>
      <c r="Q53" s="64">
        <v>8.77</v>
      </c>
      <c r="R53" s="198"/>
      <c r="S53" s="198"/>
      <c r="T53" s="198"/>
      <c r="U53" s="198"/>
    </row>
    <row r="54" spans="1:21" s="12" customFormat="1" x14ac:dyDescent="0.25">
      <c r="A54" s="215" t="s">
        <v>1731</v>
      </c>
      <c r="B54" s="64">
        <v>2.84</v>
      </c>
      <c r="C54" s="64">
        <v>62</v>
      </c>
      <c r="D54" s="64">
        <v>59.16</v>
      </c>
      <c r="E54" s="64">
        <v>4.8499999999999996</v>
      </c>
      <c r="F54" s="64">
        <v>13.62</v>
      </c>
      <c r="G54" s="64">
        <v>28.79</v>
      </c>
      <c r="H54" s="64">
        <v>9.56</v>
      </c>
      <c r="I54" s="64">
        <v>3.97</v>
      </c>
      <c r="J54" s="64">
        <v>0.8</v>
      </c>
      <c r="K54" s="64">
        <v>211.51</v>
      </c>
      <c r="L54" s="64">
        <v>33.72</v>
      </c>
      <c r="M54" s="64">
        <v>33.42</v>
      </c>
      <c r="N54" s="64">
        <v>975.1</v>
      </c>
      <c r="O54" s="64">
        <v>0</v>
      </c>
      <c r="P54" s="64">
        <v>0.46</v>
      </c>
      <c r="Q54" s="64">
        <v>8.82</v>
      </c>
      <c r="R54" s="198"/>
      <c r="S54" s="198"/>
      <c r="T54" s="198"/>
      <c r="U54" s="198"/>
    </row>
    <row r="55" spans="1:21" s="12" customFormat="1" x14ac:dyDescent="0.25">
      <c r="A55" s="215" t="s">
        <v>1732</v>
      </c>
      <c r="B55" s="64">
        <v>1.93</v>
      </c>
      <c r="C55" s="64">
        <v>53.9</v>
      </c>
      <c r="D55" s="64">
        <v>51.97</v>
      </c>
      <c r="E55" s="64">
        <v>6.77</v>
      </c>
      <c r="F55" s="64">
        <v>13.6</v>
      </c>
      <c r="G55" s="64">
        <v>33.03</v>
      </c>
      <c r="H55" s="64">
        <v>9.6300000000000008</v>
      </c>
      <c r="I55" s="64">
        <v>3.94</v>
      </c>
      <c r="J55" s="64">
        <v>0.74</v>
      </c>
      <c r="K55" s="64">
        <v>276.14999999999998</v>
      </c>
      <c r="L55" s="64">
        <v>34.58</v>
      </c>
      <c r="M55" s="64">
        <v>32.35</v>
      </c>
      <c r="N55" s="64">
        <v>974.5</v>
      </c>
      <c r="O55" s="64">
        <v>0</v>
      </c>
      <c r="P55" s="64">
        <v>0.46</v>
      </c>
      <c r="Q55" s="64">
        <v>8.65</v>
      </c>
      <c r="R55" s="198"/>
      <c r="S55" s="198"/>
      <c r="T55" s="198"/>
      <c r="U55" s="198"/>
    </row>
    <row r="56" spans="1:21" s="12" customFormat="1" x14ac:dyDescent="0.25">
      <c r="A56" s="215" t="s">
        <v>1733</v>
      </c>
      <c r="B56" s="64">
        <v>2.9</v>
      </c>
      <c r="C56" s="64">
        <v>62.41</v>
      </c>
      <c r="D56" s="64">
        <v>59.5</v>
      </c>
      <c r="E56" s="64">
        <v>8.9700000000000006</v>
      </c>
      <c r="F56" s="64">
        <v>13.02</v>
      </c>
      <c r="G56" s="64">
        <v>33.03</v>
      </c>
      <c r="H56" s="64">
        <v>9.6300000000000008</v>
      </c>
      <c r="I56" s="64">
        <v>3.93</v>
      </c>
      <c r="J56" s="64">
        <v>1.33</v>
      </c>
      <c r="K56" s="64">
        <v>292.07</v>
      </c>
      <c r="L56" s="64">
        <v>36.65</v>
      </c>
      <c r="M56" s="64">
        <v>29.15</v>
      </c>
      <c r="N56" s="64">
        <v>953.2</v>
      </c>
      <c r="O56" s="64">
        <v>0</v>
      </c>
      <c r="P56" s="64">
        <v>0.56999999999999995</v>
      </c>
      <c r="Q56" s="64">
        <v>8.7200000000000006</v>
      </c>
      <c r="R56" s="198"/>
      <c r="S56" s="198"/>
      <c r="T56" s="198"/>
      <c r="U56" s="198"/>
    </row>
    <row r="57" spans="1:21" s="12" customFormat="1" x14ac:dyDescent="0.25">
      <c r="A57" s="215" t="s">
        <v>1734</v>
      </c>
      <c r="B57" s="64">
        <v>1.7</v>
      </c>
      <c r="C57" s="64">
        <v>59.39</v>
      </c>
      <c r="D57" s="64">
        <v>57.69</v>
      </c>
      <c r="E57" s="64">
        <v>5.88</v>
      </c>
      <c r="F57" s="64">
        <v>9.8699999999999992</v>
      </c>
      <c r="G57" s="64">
        <v>33.03</v>
      </c>
      <c r="H57" s="64">
        <v>9.6300000000000008</v>
      </c>
      <c r="I57" s="64">
        <v>4.1399999999999997</v>
      </c>
      <c r="J57" s="64">
        <v>1.72</v>
      </c>
      <c r="K57" s="64">
        <v>286.62</v>
      </c>
      <c r="L57" s="64">
        <v>36.5</v>
      </c>
      <c r="M57" s="64">
        <v>29.93</v>
      </c>
      <c r="N57" s="64">
        <v>928.9</v>
      </c>
      <c r="O57" s="64">
        <v>0</v>
      </c>
      <c r="P57" s="64">
        <v>0.61</v>
      </c>
      <c r="Q57" s="64">
        <v>8.7100000000000009</v>
      </c>
      <c r="R57" s="198"/>
      <c r="S57" s="198"/>
      <c r="T57" s="198"/>
      <c r="U57" s="198"/>
    </row>
    <row r="58" spans="1:21" s="12" customFormat="1" x14ac:dyDescent="0.25">
      <c r="A58" s="215" t="s">
        <v>1735</v>
      </c>
      <c r="B58" s="64">
        <v>1.93</v>
      </c>
      <c r="C58" s="64">
        <v>63.05</v>
      </c>
      <c r="D58" s="64">
        <v>61.12</v>
      </c>
      <c r="E58" s="64">
        <v>6.41</v>
      </c>
      <c r="F58" s="64">
        <v>14.47</v>
      </c>
      <c r="G58" s="64">
        <v>37.42</v>
      </c>
      <c r="H58" s="64">
        <v>11.08</v>
      </c>
      <c r="I58" s="64">
        <v>3.9</v>
      </c>
      <c r="J58" s="64">
        <v>2.2000000000000002</v>
      </c>
      <c r="K58" s="64">
        <v>302.5</v>
      </c>
      <c r="L58" s="64">
        <v>37.85</v>
      </c>
      <c r="M58" s="64">
        <v>28.9</v>
      </c>
      <c r="N58" s="64">
        <v>899.7</v>
      </c>
      <c r="O58" s="64">
        <v>0</v>
      </c>
      <c r="P58" s="64">
        <v>0.82</v>
      </c>
      <c r="Q58" s="64">
        <v>8.66</v>
      </c>
      <c r="R58" s="198"/>
      <c r="S58" s="198"/>
      <c r="T58" s="198"/>
      <c r="U58" s="198"/>
    </row>
    <row r="59" spans="1:21" s="12" customFormat="1" x14ac:dyDescent="0.25">
      <c r="A59" s="215" t="s">
        <v>1736</v>
      </c>
      <c r="B59" s="64">
        <v>1.57</v>
      </c>
      <c r="C59" s="64">
        <v>65.62</v>
      </c>
      <c r="D59" s="64">
        <v>64.05</v>
      </c>
      <c r="E59" s="64">
        <v>12.72</v>
      </c>
      <c r="F59" s="64">
        <v>21.5</v>
      </c>
      <c r="G59" s="64">
        <v>42.02</v>
      </c>
      <c r="H59" s="64">
        <v>12.59</v>
      </c>
      <c r="I59" s="64">
        <v>3.84</v>
      </c>
      <c r="J59" s="64">
        <v>0.66</v>
      </c>
      <c r="K59" s="64">
        <v>272.05</v>
      </c>
      <c r="L59" s="64">
        <v>37.32</v>
      </c>
      <c r="M59" s="64">
        <v>29.06</v>
      </c>
      <c r="N59" s="64">
        <v>855.9</v>
      </c>
      <c r="O59" s="64">
        <v>0</v>
      </c>
      <c r="P59" s="64">
        <v>0.96</v>
      </c>
      <c r="Q59" s="64">
        <v>8.6</v>
      </c>
      <c r="R59" s="198"/>
      <c r="S59" s="198"/>
      <c r="T59" s="198"/>
      <c r="U59" s="198"/>
    </row>
    <row r="60" spans="1:21" s="12" customFormat="1" x14ac:dyDescent="0.25">
      <c r="A60" s="215" t="s">
        <v>1737</v>
      </c>
      <c r="B60" s="64">
        <v>1.57</v>
      </c>
      <c r="C60" s="64">
        <v>67.53</v>
      </c>
      <c r="D60" s="64">
        <v>65.95</v>
      </c>
      <c r="E60" s="64">
        <v>8.81</v>
      </c>
      <c r="F60" s="64">
        <v>16.600000000000001</v>
      </c>
      <c r="G60" s="64">
        <v>42.02</v>
      </c>
      <c r="H60" s="64">
        <v>12.59</v>
      </c>
      <c r="I60" s="64">
        <v>3.93</v>
      </c>
      <c r="J60" s="64">
        <v>1.34</v>
      </c>
      <c r="K60" s="64">
        <v>266.86</v>
      </c>
      <c r="L60" s="64">
        <v>36.950000000000003</v>
      </c>
      <c r="M60" s="64">
        <v>29.22</v>
      </c>
      <c r="N60" s="64">
        <v>857.9</v>
      </c>
      <c r="O60" s="64">
        <v>0</v>
      </c>
      <c r="P60" s="64">
        <v>0.93</v>
      </c>
      <c r="Q60" s="64">
        <v>8.5299999999999994</v>
      </c>
      <c r="R60" s="198"/>
      <c r="S60" s="198"/>
      <c r="T60" s="198"/>
      <c r="U60" s="198"/>
    </row>
    <row r="61" spans="1:21" s="12" customFormat="1" x14ac:dyDescent="0.25">
      <c r="A61" s="215" t="s">
        <v>1738</v>
      </c>
      <c r="B61" s="64">
        <v>1.58</v>
      </c>
      <c r="C61" s="64">
        <v>71.87</v>
      </c>
      <c r="D61" s="64">
        <v>70.290000000000006</v>
      </c>
      <c r="E61" s="64">
        <v>7.65</v>
      </c>
      <c r="F61" s="64">
        <v>14.31</v>
      </c>
      <c r="G61" s="64">
        <v>42.02</v>
      </c>
      <c r="H61" s="64">
        <v>12.59</v>
      </c>
      <c r="I61" s="64">
        <v>3.89</v>
      </c>
      <c r="J61" s="64">
        <v>1.41</v>
      </c>
      <c r="K61" s="64">
        <v>275.87</v>
      </c>
      <c r="L61" s="64">
        <v>36.69</v>
      </c>
      <c r="M61" s="64">
        <v>28.61</v>
      </c>
      <c r="N61" s="64">
        <v>869.9</v>
      </c>
      <c r="O61" s="64">
        <v>0</v>
      </c>
      <c r="P61" s="64">
        <v>0.9</v>
      </c>
      <c r="Q61" s="64">
        <v>8.74</v>
      </c>
      <c r="R61" s="198"/>
      <c r="S61" s="198"/>
      <c r="T61" s="198"/>
      <c r="U61" s="198"/>
    </row>
    <row r="62" spans="1:21" s="12" customFormat="1" x14ac:dyDescent="0.25">
      <c r="A62" s="215" t="s">
        <v>1739</v>
      </c>
      <c r="B62" s="64">
        <v>0.79</v>
      </c>
      <c r="C62" s="64">
        <v>63.65</v>
      </c>
      <c r="D62" s="64">
        <v>62.86</v>
      </c>
      <c r="E62" s="64">
        <v>4.47</v>
      </c>
      <c r="F62" s="64">
        <v>13.34</v>
      </c>
      <c r="G62" s="64">
        <v>51.32</v>
      </c>
      <c r="H62" s="64">
        <v>15.84</v>
      </c>
      <c r="I62" s="64">
        <v>3.88</v>
      </c>
      <c r="J62" s="64">
        <v>1.33</v>
      </c>
      <c r="K62" s="64">
        <v>256.43</v>
      </c>
      <c r="L62" s="64">
        <v>35.979999999999997</v>
      </c>
      <c r="M62" s="64">
        <v>28.32</v>
      </c>
      <c r="N62" s="64">
        <v>847</v>
      </c>
      <c r="O62" s="64">
        <v>0</v>
      </c>
      <c r="P62" s="64">
        <v>0.9</v>
      </c>
      <c r="Q62" s="64">
        <v>8.6300000000000008</v>
      </c>
      <c r="R62" s="198"/>
      <c r="S62" s="198"/>
      <c r="T62" s="198"/>
      <c r="U62" s="198"/>
    </row>
    <row r="63" spans="1:21" s="12" customFormat="1" x14ac:dyDescent="0.25">
      <c r="A63" s="215" t="s">
        <v>1740</v>
      </c>
      <c r="B63" s="64">
        <v>0.73</v>
      </c>
      <c r="C63" s="64">
        <v>58.86</v>
      </c>
      <c r="D63" s="64">
        <v>58.14</v>
      </c>
      <c r="E63" s="64">
        <v>4.6399999999999997</v>
      </c>
      <c r="F63" s="64">
        <v>14.98</v>
      </c>
      <c r="G63" s="64">
        <v>61.03</v>
      </c>
      <c r="H63" s="64">
        <v>19.23</v>
      </c>
      <c r="I63" s="64">
        <v>3.84</v>
      </c>
      <c r="J63" s="64">
        <v>1.4</v>
      </c>
      <c r="K63" s="64">
        <v>250.19</v>
      </c>
      <c r="L63" s="64">
        <v>35.270000000000003</v>
      </c>
      <c r="M63" s="64">
        <v>29.13</v>
      </c>
      <c r="N63" s="64">
        <v>839.8</v>
      </c>
      <c r="O63" s="64">
        <v>0</v>
      </c>
      <c r="P63" s="64">
        <v>0.83</v>
      </c>
      <c r="Q63" s="64">
        <v>8.64</v>
      </c>
      <c r="R63" s="198"/>
      <c r="S63" s="198"/>
      <c r="T63" s="198"/>
      <c r="U63" s="198"/>
    </row>
    <row r="64" spans="1:21" s="12" customFormat="1" x14ac:dyDescent="0.25">
      <c r="A64" s="215" t="s">
        <v>1741</v>
      </c>
      <c r="B64" s="64">
        <v>0.83</v>
      </c>
      <c r="C64" s="64">
        <v>61.46</v>
      </c>
      <c r="D64" s="64">
        <v>60.63</v>
      </c>
      <c r="E64" s="64">
        <v>3.8</v>
      </c>
      <c r="F64" s="64">
        <v>14.16</v>
      </c>
      <c r="G64" s="64">
        <v>61.03</v>
      </c>
      <c r="H64" s="64">
        <v>19.23</v>
      </c>
      <c r="I64" s="64">
        <v>4.01</v>
      </c>
      <c r="J64" s="64">
        <v>1.58</v>
      </c>
      <c r="K64" s="64">
        <v>257.62</v>
      </c>
      <c r="L64" s="64">
        <v>35.130000000000003</v>
      </c>
      <c r="M64" s="64">
        <v>29.27</v>
      </c>
      <c r="N64" s="64">
        <v>709.4</v>
      </c>
      <c r="O64" s="64">
        <v>0</v>
      </c>
      <c r="P64" s="64">
        <v>0.78</v>
      </c>
      <c r="Q64" s="64">
        <v>8.67</v>
      </c>
      <c r="R64" s="198"/>
      <c r="S64" s="198"/>
      <c r="T64" s="198"/>
      <c r="U64" s="198"/>
    </row>
    <row r="65" spans="1:21" s="12" customFormat="1" x14ac:dyDescent="0.25">
      <c r="A65" s="215" t="s">
        <v>1742</v>
      </c>
      <c r="B65" s="64">
        <v>1.68</v>
      </c>
      <c r="C65" s="64">
        <v>55.16</v>
      </c>
      <c r="D65" s="64">
        <v>53.49</v>
      </c>
      <c r="E65" s="64">
        <v>3.88</v>
      </c>
      <c r="F65" s="64">
        <v>14.41</v>
      </c>
      <c r="G65" s="64">
        <v>61.03</v>
      </c>
      <c r="H65" s="64">
        <v>19.23</v>
      </c>
      <c r="I65" s="64">
        <v>3.93</v>
      </c>
      <c r="J65" s="64">
        <v>1.71</v>
      </c>
      <c r="K65" s="64">
        <v>293.72000000000003</v>
      </c>
      <c r="L65" s="64">
        <v>36.74</v>
      </c>
      <c r="M65" s="64">
        <v>28.35</v>
      </c>
      <c r="N65" s="64">
        <v>512.79999999999995</v>
      </c>
      <c r="O65" s="64">
        <v>0</v>
      </c>
      <c r="P65" s="64">
        <v>0.72</v>
      </c>
      <c r="Q65" s="64">
        <v>8.7899999999999991</v>
      </c>
      <c r="R65" s="198"/>
      <c r="S65" s="198"/>
      <c r="T65" s="198"/>
      <c r="U65" s="198"/>
    </row>
    <row r="66" spans="1:21" s="12" customFormat="1" x14ac:dyDescent="0.25">
      <c r="A66" s="215" t="s">
        <v>1743</v>
      </c>
      <c r="B66" s="64">
        <v>1.76</v>
      </c>
      <c r="C66" s="64">
        <v>54.69</v>
      </c>
      <c r="D66" s="64">
        <v>52.93</v>
      </c>
      <c r="E66" s="64">
        <v>4.0199999999999996</v>
      </c>
      <c r="F66" s="64">
        <v>19.14</v>
      </c>
      <c r="G66" s="64">
        <v>61.61</v>
      </c>
      <c r="H66" s="64">
        <v>22.73</v>
      </c>
      <c r="I66" s="64">
        <v>3.99</v>
      </c>
      <c r="J66" s="64">
        <v>1.1100000000000001</v>
      </c>
      <c r="K66" s="64">
        <v>268.98</v>
      </c>
      <c r="L66" s="64">
        <v>36.380000000000003</v>
      </c>
      <c r="M66" s="64">
        <v>28.65</v>
      </c>
      <c r="N66" s="64">
        <v>615.29999999999995</v>
      </c>
      <c r="O66" s="64">
        <v>0</v>
      </c>
      <c r="P66" s="64">
        <v>0.68</v>
      </c>
      <c r="Q66" s="64">
        <v>8.73</v>
      </c>
      <c r="R66" s="198"/>
      <c r="S66" s="198"/>
      <c r="T66" s="198"/>
      <c r="U66" s="198"/>
    </row>
    <row r="67" spans="1:21" s="12" customFormat="1" x14ac:dyDescent="0.25">
      <c r="A67" s="215" t="s">
        <v>1744</v>
      </c>
      <c r="B67" s="64">
        <v>1.1399999999999999</v>
      </c>
      <c r="C67" s="64">
        <v>56.47</v>
      </c>
      <c r="D67" s="64">
        <v>55.33</v>
      </c>
      <c r="E67" s="64">
        <v>3.27</v>
      </c>
      <c r="F67" s="64">
        <v>11.8</v>
      </c>
      <c r="G67" s="64">
        <v>62.21</v>
      </c>
      <c r="H67" s="64">
        <v>26.39</v>
      </c>
      <c r="I67" s="64">
        <v>3.95</v>
      </c>
      <c r="J67" s="64">
        <v>1.71</v>
      </c>
      <c r="K67" s="64">
        <v>278.08999999999997</v>
      </c>
      <c r="L67" s="64">
        <v>35.93</v>
      </c>
      <c r="M67" s="64">
        <v>28.44</v>
      </c>
      <c r="N67" s="64">
        <v>426.9</v>
      </c>
      <c r="O67" s="64">
        <v>0</v>
      </c>
      <c r="P67" s="64">
        <v>0.69</v>
      </c>
      <c r="Q67" s="64">
        <v>8.52</v>
      </c>
      <c r="R67" s="198"/>
      <c r="S67" s="198"/>
      <c r="T67" s="198"/>
      <c r="U67" s="198"/>
    </row>
    <row r="68" spans="1:21" s="12" customFormat="1" x14ac:dyDescent="0.25">
      <c r="A68" s="215" t="s">
        <v>1745</v>
      </c>
      <c r="B68" s="64">
        <v>0.79</v>
      </c>
      <c r="C68" s="64">
        <v>54.43</v>
      </c>
      <c r="D68" s="64">
        <v>53.64</v>
      </c>
      <c r="E68" s="64">
        <v>3.05</v>
      </c>
      <c r="F68" s="64">
        <v>11.79</v>
      </c>
      <c r="G68" s="64">
        <v>62.21</v>
      </c>
      <c r="H68" s="64">
        <v>26.39</v>
      </c>
      <c r="I68" s="64">
        <v>4.13</v>
      </c>
      <c r="J68" s="64">
        <v>1.85</v>
      </c>
      <c r="K68" s="64">
        <v>288.69</v>
      </c>
      <c r="L68" s="64">
        <v>35.78</v>
      </c>
      <c r="M68" s="64">
        <v>29.12</v>
      </c>
      <c r="N68" s="64">
        <v>400.7</v>
      </c>
      <c r="O68" s="64">
        <v>0</v>
      </c>
      <c r="P68" s="64">
        <v>0.66</v>
      </c>
      <c r="Q68" s="64">
        <v>8.76</v>
      </c>
      <c r="R68" s="198"/>
      <c r="S68" s="198"/>
      <c r="T68" s="198"/>
      <c r="U68" s="198"/>
    </row>
    <row r="69" spans="1:21" s="12" customFormat="1" x14ac:dyDescent="0.25">
      <c r="A69" s="215" t="s">
        <v>1746</v>
      </c>
      <c r="B69" s="64">
        <v>0.9</v>
      </c>
      <c r="C69" s="64">
        <v>51.27</v>
      </c>
      <c r="D69" s="64">
        <v>50.37</v>
      </c>
      <c r="E69" s="64">
        <v>3.98</v>
      </c>
      <c r="F69" s="64">
        <v>16.82</v>
      </c>
      <c r="G69" s="64">
        <v>62.21</v>
      </c>
      <c r="H69" s="64">
        <v>26.39</v>
      </c>
      <c r="I69" s="64">
        <v>4.08</v>
      </c>
      <c r="J69" s="64">
        <v>1.53</v>
      </c>
      <c r="K69" s="64">
        <v>286.32</v>
      </c>
      <c r="L69" s="64">
        <v>36.07</v>
      </c>
      <c r="M69" s="64">
        <v>28.5</v>
      </c>
      <c r="N69" s="64">
        <v>186.8</v>
      </c>
      <c r="O69" s="64">
        <v>0</v>
      </c>
      <c r="P69" s="64">
        <v>0.61</v>
      </c>
      <c r="Q69" s="64">
        <v>8.6</v>
      </c>
      <c r="R69" s="198"/>
      <c r="S69" s="198"/>
      <c r="T69" s="198"/>
      <c r="U69" s="198"/>
    </row>
    <row r="70" spans="1:21" s="12" customFormat="1" x14ac:dyDescent="0.25">
      <c r="A70" s="215" t="s">
        <v>1747</v>
      </c>
      <c r="B70" s="64">
        <v>1.25</v>
      </c>
      <c r="C70" s="64">
        <v>51.91</v>
      </c>
      <c r="D70" s="64">
        <v>50.66</v>
      </c>
      <c r="E70" s="64">
        <v>3.86</v>
      </c>
      <c r="F70" s="64">
        <v>13.53</v>
      </c>
      <c r="G70" s="64">
        <v>55.69</v>
      </c>
      <c r="H70" s="64">
        <v>22.81</v>
      </c>
      <c r="I70" s="64">
        <v>4.1100000000000003</v>
      </c>
      <c r="J70" s="64">
        <v>1.9</v>
      </c>
      <c r="K70" s="64">
        <v>294.68</v>
      </c>
      <c r="L70" s="64">
        <v>35.840000000000003</v>
      </c>
      <c r="M70" s="64">
        <v>28.76</v>
      </c>
      <c r="N70" s="64">
        <v>258.5</v>
      </c>
      <c r="O70" s="64">
        <v>0</v>
      </c>
      <c r="P70" s="64">
        <v>0.6</v>
      </c>
      <c r="Q70" s="64">
        <v>8.48</v>
      </c>
      <c r="R70" s="198"/>
      <c r="S70" s="198"/>
      <c r="T70" s="198"/>
      <c r="U70" s="198"/>
    </row>
    <row r="71" spans="1:21" s="12" customFormat="1" x14ac:dyDescent="0.25">
      <c r="A71" s="215" t="s">
        <v>1748</v>
      </c>
      <c r="B71" s="64">
        <v>1.29</v>
      </c>
      <c r="C71" s="64">
        <v>51.4</v>
      </c>
      <c r="D71" s="64">
        <v>50.11</v>
      </c>
      <c r="E71" s="64">
        <v>4.3099999999999996</v>
      </c>
      <c r="F71" s="64">
        <v>16.510000000000002</v>
      </c>
      <c r="G71" s="64">
        <v>48.88</v>
      </c>
      <c r="H71" s="64">
        <v>19.07</v>
      </c>
      <c r="I71" s="64">
        <v>3.93</v>
      </c>
      <c r="J71" s="64">
        <v>1.42</v>
      </c>
      <c r="K71" s="64">
        <v>265.83999999999997</v>
      </c>
      <c r="L71" s="64">
        <v>35.39</v>
      </c>
      <c r="M71" s="64">
        <v>28.36</v>
      </c>
      <c r="N71" s="64">
        <v>192.6</v>
      </c>
      <c r="O71" s="64">
        <v>0</v>
      </c>
      <c r="P71" s="64">
        <v>0.57999999999999996</v>
      </c>
      <c r="Q71" s="64">
        <v>8.5299999999999994</v>
      </c>
      <c r="R71" s="198"/>
      <c r="S71" s="198"/>
      <c r="T71" s="198"/>
      <c r="U71" s="198"/>
    </row>
    <row r="72" spans="1:21" s="12" customFormat="1" x14ac:dyDescent="0.25">
      <c r="A72" s="215" t="s">
        <v>1749</v>
      </c>
      <c r="B72" s="64">
        <v>2.98</v>
      </c>
      <c r="C72" s="64">
        <v>60.03</v>
      </c>
      <c r="D72" s="64">
        <v>57.04</v>
      </c>
      <c r="E72" s="64">
        <v>3.78</v>
      </c>
      <c r="F72" s="64">
        <v>13.91</v>
      </c>
      <c r="G72" s="64">
        <v>48.88</v>
      </c>
      <c r="H72" s="64">
        <v>19.07</v>
      </c>
      <c r="I72" s="64">
        <v>4.0599999999999996</v>
      </c>
      <c r="J72" s="64">
        <v>1.1200000000000001</v>
      </c>
      <c r="K72" s="64">
        <v>256.77</v>
      </c>
      <c r="L72" s="64">
        <v>35.01</v>
      </c>
      <c r="M72" s="64">
        <v>28.65</v>
      </c>
      <c r="N72" s="64">
        <v>144.1</v>
      </c>
      <c r="O72" s="64">
        <v>0</v>
      </c>
      <c r="P72" s="64">
        <v>0.6</v>
      </c>
      <c r="Q72" s="64">
        <v>8.61</v>
      </c>
      <c r="R72" s="198"/>
      <c r="S72" s="198"/>
      <c r="T72" s="198"/>
      <c r="U72" s="198"/>
    </row>
    <row r="73" spans="1:21" s="12" customFormat="1" x14ac:dyDescent="0.25">
      <c r="A73" s="215" t="s">
        <v>1750</v>
      </c>
      <c r="B73" s="64">
        <v>0.87</v>
      </c>
      <c r="C73" s="64">
        <v>53.52</v>
      </c>
      <c r="D73" s="64">
        <v>52.65</v>
      </c>
      <c r="E73" s="64">
        <v>3.19</v>
      </c>
      <c r="F73" s="64">
        <v>14.14</v>
      </c>
      <c r="G73" s="64">
        <v>48.88</v>
      </c>
      <c r="H73" s="64">
        <v>19.07</v>
      </c>
      <c r="I73" s="64">
        <v>3.86</v>
      </c>
      <c r="J73" s="64">
        <v>1.32</v>
      </c>
      <c r="K73" s="64">
        <v>267.43</v>
      </c>
      <c r="L73" s="64">
        <v>34.979999999999997</v>
      </c>
      <c r="M73" s="64">
        <v>28.19</v>
      </c>
      <c r="N73" s="64">
        <v>128.30000000000001</v>
      </c>
      <c r="O73" s="64">
        <v>0</v>
      </c>
      <c r="P73" s="64">
        <v>0.56999999999999995</v>
      </c>
      <c r="Q73" s="64">
        <v>8.48</v>
      </c>
      <c r="R73" s="198"/>
      <c r="S73" s="198"/>
      <c r="T73" s="198"/>
      <c r="U73" s="198"/>
    </row>
    <row r="74" spans="1:21" s="12" customFormat="1" x14ac:dyDescent="0.25">
      <c r="A74" s="215" t="s">
        <v>1751</v>
      </c>
      <c r="B74" s="64">
        <v>1.97</v>
      </c>
      <c r="C74" s="64">
        <v>54.81</v>
      </c>
      <c r="D74" s="64">
        <v>52.84</v>
      </c>
      <c r="E74" s="64">
        <v>4.13</v>
      </c>
      <c r="F74" s="64">
        <v>19.100000000000001</v>
      </c>
      <c r="G74" s="64">
        <v>47.2</v>
      </c>
      <c r="H74" s="64">
        <v>18.190000000000001</v>
      </c>
      <c r="I74" s="64">
        <v>4.1500000000000004</v>
      </c>
      <c r="J74" s="64">
        <v>1.23</v>
      </c>
      <c r="K74" s="64">
        <v>259.20999999999998</v>
      </c>
      <c r="L74" s="64">
        <v>34.93</v>
      </c>
      <c r="M74" s="64">
        <v>27.22</v>
      </c>
      <c r="N74" s="64">
        <v>116.7</v>
      </c>
      <c r="O74" s="64">
        <v>0</v>
      </c>
      <c r="P74" s="64">
        <v>0.52</v>
      </c>
      <c r="Q74" s="64">
        <v>8.56</v>
      </c>
      <c r="R74" s="198"/>
      <c r="S74" s="198"/>
      <c r="T74" s="198"/>
      <c r="U74" s="198"/>
    </row>
    <row r="75" spans="1:21" s="12" customFormat="1" x14ac:dyDescent="0.25">
      <c r="A75" s="215" t="s">
        <v>1752</v>
      </c>
      <c r="B75" s="64">
        <v>1.94</v>
      </c>
      <c r="C75" s="64">
        <v>53.56</v>
      </c>
      <c r="D75" s="64">
        <v>51.62</v>
      </c>
      <c r="E75" s="64">
        <v>4.7</v>
      </c>
      <c r="F75" s="64">
        <v>20.64</v>
      </c>
      <c r="G75" s="64">
        <v>45.44</v>
      </c>
      <c r="H75" s="64">
        <v>17.27</v>
      </c>
      <c r="I75" s="64">
        <v>3.95</v>
      </c>
      <c r="J75" s="64">
        <v>1.2</v>
      </c>
      <c r="K75" s="64">
        <v>273.91000000000003</v>
      </c>
      <c r="L75" s="64">
        <v>34.89</v>
      </c>
      <c r="M75" s="64">
        <v>26.33</v>
      </c>
      <c r="N75" s="64">
        <v>108.2</v>
      </c>
      <c r="O75" s="64">
        <v>0</v>
      </c>
      <c r="P75" s="64">
        <v>0.51</v>
      </c>
      <c r="Q75" s="64">
        <v>8.75</v>
      </c>
      <c r="R75" s="198"/>
      <c r="S75" s="198"/>
      <c r="T75" s="198"/>
      <c r="U75" s="198"/>
    </row>
    <row r="76" spans="1:21" s="12" customFormat="1" x14ac:dyDescent="0.25">
      <c r="A76" s="215" t="s">
        <v>1753</v>
      </c>
      <c r="B76" s="64">
        <v>3.02</v>
      </c>
      <c r="C76" s="64">
        <v>59.28</v>
      </c>
      <c r="D76" s="64">
        <v>56.26</v>
      </c>
      <c r="E76" s="64">
        <v>7.02</v>
      </c>
      <c r="F76" s="64">
        <v>29.67</v>
      </c>
      <c r="G76" s="64">
        <v>45.44</v>
      </c>
      <c r="H76" s="64">
        <v>17.27</v>
      </c>
      <c r="I76" s="64">
        <v>4.04</v>
      </c>
      <c r="J76" s="64">
        <v>0.9</v>
      </c>
      <c r="K76" s="64">
        <v>271.93</v>
      </c>
      <c r="L76" s="64">
        <v>34.770000000000003</v>
      </c>
      <c r="M76" s="64">
        <v>26.72</v>
      </c>
      <c r="N76" s="64">
        <v>99.2</v>
      </c>
      <c r="O76" s="64">
        <v>0</v>
      </c>
      <c r="P76" s="64">
        <v>0.56999999999999995</v>
      </c>
      <c r="Q76" s="64">
        <v>8.4700000000000006</v>
      </c>
      <c r="R76" s="198"/>
      <c r="S76" s="198"/>
      <c r="T76" s="198"/>
      <c r="U76" s="198"/>
    </row>
    <row r="77" spans="1:21" s="12" customFormat="1" x14ac:dyDescent="0.25">
      <c r="A77" s="215" t="s">
        <v>1754</v>
      </c>
      <c r="B77" s="64">
        <v>1.58</v>
      </c>
      <c r="C77" s="64">
        <v>47.31</v>
      </c>
      <c r="D77" s="64">
        <v>45.73</v>
      </c>
      <c r="E77" s="64">
        <v>5.07</v>
      </c>
      <c r="F77" s="64">
        <v>31.68</v>
      </c>
      <c r="G77" s="64">
        <v>45.44</v>
      </c>
      <c r="H77" s="64">
        <v>17.27</v>
      </c>
      <c r="I77" s="64">
        <v>4.08</v>
      </c>
      <c r="J77" s="64">
        <v>1.1399999999999999</v>
      </c>
      <c r="K77" s="64">
        <v>239.73</v>
      </c>
      <c r="L77" s="64">
        <v>34.53</v>
      </c>
      <c r="M77" s="64">
        <v>28.34</v>
      </c>
      <c r="N77" s="64">
        <v>89.7</v>
      </c>
      <c r="O77" s="64">
        <v>0</v>
      </c>
      <c r="P77" s="64">
        <v>0.41</v>
      </c>
      <c r="Q77" s="64">
        <v>8.56</v>
      </c>
      <c r="R77" s="198"/>
      <c r="S77" s="198"/>
      <c r="T77" s="198"/>
      <c r="U77" s="198"/>
    </row>
    <row r="78" spans="1:21" s="12" customFormat="1" x14ac:dyDescent="0.25">
      <c r="A78" s="215" t="s">
        <v>1755</v>
      </c>
      <c r="B78" s="64">
        <v>0.73</v>
      </c>
      <c r="C78" s="64">
        <v>35.61</v>
      </c>
      <c r="D78" s="64">
        <v>34.869999999999997</v>
      </c>
      <c r="E78" s="64">
        <v>5.35</v>
      </c>
      <c r="F78" s="64">
        <v>35.520000000000003</v>
      </c>
      <c r="G78" s="64">
        <v>45.79</v>
      </c>
      <c r="H78" s="64">
        <v>16.93</v>
      </c>
      <c r="I78" s="64">
        <v>4.07</v>
      </c>
      <c r="J78" s="64">
        <v>1.26</v>
      </c>
      <c r="K78" s="64">
        <v>207.36</v>
      </c>
      <c r="L78" s="64">
        <v>34.18</v>
      </c>
      <c r="M78" s="64">
        <v>29.28</v>
      </c>
      <c r="N78" s="64">
        <v>81.7</v>
      </c>
      <c r="O78" s="64">
        <v>0</v>
      </c>
      <c r="P78" s="64">
        <v>0.3</v>
      </c>
      <c r="Q78" s="64">
        <v>8.61</v>
      </c>
      <c r="R78" s="198"/>
      <c r="S78" s="198"/>
      <c r="T78" s="198"/>
      <c r="U78" s="198"/>
    </row>
    <row r="79" spans="1:21" s="12" customFormat="1" x14ac:dyDescent="0.25">
      <c r="A79" s="215" t="s">
        <v>1756</v>
      </c>
      <c r="B79" s="64">
        <v>0.84</v>
      </c>
      <c r="C79" s="64">
        <v>43.79</v>
      </c>
      <c r="D79" s="64">
        <v>42.96</v>
      </c>
      <c r="E79" s="64">
        <v>5.31</v>
      </c>
      <c r="F79" s="64">
        <v>30.84</v>
      </c>
      <c r="G79" s="64">
        <v>46.15</v>
      </c>
      <c r="H79" s="64">
        <v>16.57</v>
      </c>
      <c r="I79" s="64">
        <v>4.0599999999999996</v>
      </c>
      <c r="J79" s="64">
        <v>1.65</v>
      </c>
      <c r="K79" s="64">
        <v>174.32</v>
      </c>
      <c r="L79" s="64">
        <v>33.840000000000003</v>
      </c>
      <c r="M79" s="64">
        <v>29.66</v>
      </c>
      <c r="N79" s="64">
        <v>67.400000000000006</v>
      </c>
      <c r="O79" s="64">
        <v>0</v>
      </c>
      <c r="P79" s="64">
        <v>0.36</v>
      </c>
      <c r="Q79" s="64">
        <v>8.7100000000000009</v>
      </c>
      <c r="R79" s="198"/>
      <c r="S79" s="198"/>
      <c r="T79" s="198"/>
      <c r="U79" s="198"/>
    </row>
    <row r="80" spans="1:21" s="12" customFormat="1" x14ac:dyDescent="0.25">
      <c r="A80" s="215" t="s">
        <v>1757</v>
      </c>
      <c r="B80" s="64">
        <v>1.1599999999999999</v>
      </c>
      <c r="C80" s="64">
        <v>67.38</v>
      </c>
      <c r="D80" s="64">
        <v>66.22</v>
      </c>
      <c r="E80" s="64">
        <v>5.54</v>
      </c>
      <c r="F80" s="64">
        <v>27.33</v>
      </c>
      <c r="G80" s="64">
        <v>46.15</v>
      </c>
      <c r="H80" s="64">
        <v>16.57</v>
      </c>
      <c r="I80" s="64">
        <v>3.9</v>
      </c>
      <c r="J80" s="64">
        <v>1.74</v>
      </c>
      <c r="K80" s="64">
        <v>159.61000000000001</v>
      </c>
      <c r="L80" s="64">
        <v>33.36</v>
      </c>
      <c r="M80" s="64">
        <v>31.99</v>
      </c>
      <c r="N80" s="64">
        <v>55.6</v>
      </c>
      <c r="O80" s="64">
        <v>0</v>
      </c>
      <c r="P80" s="64">
        <v>0.44</v>
      </c>
      <c r="Q80" s="64">
        <v>8.65</v>
      </c>
      <c r="R80" s="198"/>
      <c r="S80" s="198"/>
      <c r="T80" s="198"/>
      <c r="U80" s="198"/>
    </row>
    <row r="81" spans="1:26" s="12" customFormat="1" x14ac:dyDescent="0.25">
      <c r="A81" s="215" t="s">
        <v>1758</v>
      </c>
      <c r="B81" s="64">
        <v>1.2</v>
      </c>
      <c r="C81" s="64">
        <v>68.78</v>
      </c>
      <c r="D81" s="64">
        <v>67.58</v>
      </c>
      <c r="E81" s="64">
        <v>5.33</v>
      </c>
      <c r="F81" s="64">
        <v>27.85</v>
      </c>
      <c r="G81" s="64">
        <v>46.15</v>
      </c>
      <c r="H81" s="64">
        <v>16.57</v>
      </c>
      <c r="I81" s="64">
        <v>3.99</v>
      </c>
      <c r="J81" s="64">
        <v>1.96</v>
      </c>
      <c r="K81" s="64">
        <v>148.22999999999999</v>
      </c>
      <c r="L81" s="64">
        <v>32.979999999999997</v>
      </c>
      <c r="M81" s="64">
        <v>32.520000000000003</v>
      </c>
      <c r="N81" s="64">
        <v>44.7</v>
      </c>
      <c r="O81" s="64">
        <v>0</v>
      </c>
      <c r="P81" s="64">
        <v>0.46</v>
      </c>
      <c r="Q81" s="64">
        <v>8.43</v>
      </c>
      <c r="R81" s="198"/>
      <c r="S81" s="198"/>
      <c r="T81" s="198"/>
      <c r="U81" s="198"/>
    </row>
    <row r="82" spans="1:26" s="12" customFormat="1" x14ac:dyDescent="0.25">
      <c r="A82" s="215" t="s">
        <v>1759</v>
      </c>
      <c r="B82" s="64">
        <v>2.48</v>
      </c>
      <c r="C82" s="64">
        <v>89.21</v>
      </c>
      <c r="D82" s="64">
        <v>86.73</v>
      </c>
      <c r="E82" s="64">
        <v>5.5</v>
      </c>
      <c r="F82" s="64">
        <v>23.15</v>
      </c>
      <c r="G82" s="64">
        <v>45.49</v>
      </c>
      <c r="H82" s="64">
        <v>15.57</v>
      </c>
      <c r="I82" s="64">
        <v>3.94</v>
      </c>
      <c r="J82" s="64">
        <v>1.32</v>
      </c>
      <c r="K82" s="64">
        <v>182.76</v>
      </c>
      <c r="L82" s="64">
        <v>32.590000000000003</v>
      </c>
      <c r="M82" s="64">
        <v>33.51</v>
      </c>
      <c r="N82" s="64">
        <v>39.4</v>
      </c>
      <c r="O82" s="64">
        <v>0</v>
      </c>
      <c r="P82" s="64">
        <v>0.54</v>
      </c>
      <c r="Q82" s="64">
        <v>8.4499999999999993</v>
      </c>
      <c r="R82" s="198"/>
      <c r="S82" s="198"/>
      <c r="T82" s="198"/>
      <c r="U82" s="198"/>
    </row>
    <row r="83" spans="1:26" s="12" customFormat="1" x14ac:dyDescent="0.25">
      <c r="A83" s="215" t="s">
        <v>1760</v>
      </c>
      <c r="B83" s="64">
        <v>10.63</v>
      </c>
      <c r="C83" s="64">
        <v>127.07</v>
      </c>
      <c r="D83" s="64">
        <v>116.44</v>
      </c>
      <c r="E83" s="64">
        <v>5.39</v>
      </c>
      <c r="F83" s="64">
        <v>16.48</v>
      </c>
      <c r="G83" s="64">
        <v>44.79</v>
      </c>
      <c r="H83" s="64">
        <v>14.52</v>
      </c>
      <c r="I83" s="64">
        <v>3.95</v>
      </c>
      <c r="J83" s="64">
        <v>0.9</v>
      </c>
      <c r="K83" s="64">
        <v>209.88</v>
      </c>
      <c r="L83" s="64">
        <v>32.130000000000003</v>
      </c>
      <c r="M83" s="64">
        <v>35.479999999999997</v>
      </c>
      <c r="N83" s="64">
        <v>38.299999999999997</v>
      </c>
      <c r="O83" s="64">
        <v>0</v>
      </c>
      <c r="P83" s="64">
        <v>1.1299999999999999</v>
      </c>
      <c r="Q83" s="64">
        <v>8.57</v>
      </c>
      <c r="R83" s="198"/>
      <c r="S83" s="198"/>
      <c r="T83" s="198"/>
      <c r="U83" s="198"/>
    </row>
    <row r="84" spans="1:26" s="12" customFormat="1" x14ac:dyDescent="0.25">
      <c r="A84" s="215" t="s">
        <v>1761</v>
      </c>
      <c r="B84" s="64">
        <v>25.47</v>
      </c>
      <c r="C84" s="64">
        <v>159.72</v>
      </c>
      <c r="D84" s="64">
        <v>134.25</v>
      </c>
      <c r="E84" s="64">
        <v>5.44</v>
      </c>
      <c r="F84" s="64">
        <v>13.09</v>
      </c>
      <c r="G84" s="64">
        <v>44.79</v>
      </c>
      <c r="H84" s="64">
        <v>14.52</v>
      </c>
      <c r="I84" s="64">
        <v>4.0599999999999996</v>
      </c>
      <c r="J84" s="64">
        <v>0.97</v>
      </c>
      <c r="K84" s="64">
        <v>217.82</v>
      </c>
      <c r="L84" s="64">
        <v>31.9</v>
      </c>
      <c r="M84" s="64">
        <v>35.659999999999997</v>
      </c>
      <c r="N84" s="64">
        <v>37.799999999999997</v>
      </c>
      <c r="O84" s="64">
        <v>0</v>
      </c>
      <c r="P84" s="64">
        <v>0.87</v>
      </c>
      <c r="Q84" s="64">
        <v>8.6</v>
      </c>
      <c r="R84" s="198"/>
      <c r="S84" s="198"/>
      <c r="T84" s="198"/>
      <c r="U84" s="198"/>
    </row>
    <row r="85" spans="1:26" s="12" customFormat="1" x14ac:dyDescent="0.25">
      <c r="A85" s="215" t="s">
        <v>1762</v>
      </c>
      <c r="B85" s="64">
        <v>1.88</v>
      </c>
      <c r="C85" s="64">
        <v>88</v>
      </c>
      <c r="D85" s="64">
        <v>86.11</v>
      </c>
      <c r="E85" s="64">
        <v>5.43</v>
      </c>
      <c r="F85" s="64">
        <v>23.5</v>
      </c>
      <c r="G85" s="64">
        <v>44.79</v>
      </c>
      <c r="H85" s="64">
        <v>14.52</v>
      </c>
      <c r="I85" s="64">
        <v>3.99</v>
      </c>
      <c r="J85" s="64">
        <v>1.37</v>
      </c>
      <c r="K85" s="64">
        <v>174.49</v>
      </c>
      <c r="L85" s="64">
        <v>31.96</v>
      </c>
      <c r="M85" s="64">
        <v>34.729999999999997</v>
      </c>
      <c r="N85" s="64">
        <v>37.4</v>
      </c>
      <c r="O85" s="64">
        <v>0</v>
      </c>
      <c r="P85" s="64">
        <v>0.72</v>
      </c>
      <c r="Q85" s="64">
        <v>8.56</v>
      </c>
      <c r="R85" s="198"/>
      <c r="S85" s="198"/>
      <c r="T85" s="198"/>
      <c r="U85" s="198"/>
    </row>
    <row r="86" spans="1:26" s="12" customFormat="1" x14ac:dyDescent="0.25">
      <c r="A86" s="215" t="s">
        <v>1763</v>
      </c>
      <c r="B86" s="64">
        <v>31.36</v>
      </c>
      <c r="C86" s="64">
        <v>162.62</v>
      </c>
      <c r="D86" s="64">
        <v>131.26</v>
      </c>
      <c r="E86" s="64">
        <v>5.55</v>
      </c>
      <c r="F86" s="64">
        <v>11.67</v>
      </c>
      <c r="G86" s="64">
        <v>52.84</v>
      </c>
      <c r="H86" s="64">
        <v>15.46</v>
      </c>
      <c r="I86" s="64">
        <v>3.91</v>
      </c>
      <c r="J86" s="64">
        <v>0.32</v>
      </c>
      <c r="K86" s="64">
        <v>201.05</v>
      </c>
      <c r="L86" s="64">
        <v>31.55</v>
      </c>
      <c r="M86" s="64">
        <v>37.619999999999997</v>
      </c>
      <c r="N86" s="64">
        <v>38.299999999999997</v>
      </c>
      <c r="O86" s="64">
        <v>0</v>
      </c>
      <c r="P86" s="64">
        <v>1.75</v>
      </c>
      <c r="Q86" s="64">
        <v>8.73</v>
      </c>
      <c r="R86" s="198"/>
      <c r="S86" s="198"/>
      <c r="T86" s="198"/>
      <c r="U86" s="198"/>
    </row>
    <row r="87" spans="1:26" s="12" customFormat="1" x14ac:dyDescent="0.25">
      <c r="A87" s="215" t="s">
        <v>1764</v>
      </c>
      <c r="B87" s="64">
        <v>84.52</v>
      </c>
      <c r="C87" s="64">
        <v>224.44</v>
      </c>
      <c r="D87" s="64">
        <v>139.91999999999999</v>
      </c>
      <c r="E87" s="64">
        <v>5.55</v>
      </c>
      <c r="F87" s="64">
        <v>9.67</v>
      </c>
      <c r="G87" s="64">
        <v>61.25</v>
      </c>
      <c r="H87" s="64">
        <v>16.440000000000001</v>
      </c>
      <c r="I87" s="64">
        <v>4.03</v>
      </c>
      <c r="J87" s="64">
        <v>0.94</v>
      </c>
      <c r="K87" s="64">
        <v>280.66000000000003</v>
      </c>
      <c r="L87" s="64">
        <v>31.09</v>
      </c>
      <c r="M87" s="64">
        <v>39.9</v>
      </c>
      <c r="N87" s="64">
        <v>38.4</v>
      </c>
      <c r="O87" s="64">
        <v>0</v>
      </c>
      <c r="P87" s="64">
        <v>2.86</v>
      </c>
      <c r="Q87" s="64">
        <v>8.68</v>
      </c>
      <c r="R87" s="198"/>
      <c r="S87" s="198"/>
      <c r="T87" s="198"/>
      <c r="U87" s="198"/>
    </row>
    <row r="88" spans="1:26" s="12" customFormat="1" x14ac:dyDescent="0.25">
      <c r="A88" s="215" t="s">
        <v>1765</v>
      </c>
      <c r="B88" s="64">
        <v>14.05</v>
      </c>
      <c r="C88" s="64">
        <v>126.24</v>
      </c>
      <c r="D88" s="64">
        <v>112.19</v>
      </c>
      <c r="E88" s="64">
        <v>5.59</v>
      </c>
      <c r="F88" s="64">
        <v>15.24</v>
      </c>
      <c r="G88" s="64">
        <v>61.25</v>
      </c>
      <c r="H88" s="64">
        <v>16.440000000000001</v>
      </c>
      <c r="I88" s="64">
        <v>4</v>
      </c>
      <c r="J88" s="64">
        <v>1.35</v>
      </c>
      <c r="K88" s="64">
        <v>189.33</v>
      </c>
      <c r="L88" s="64">
        <v>31</v>
      </c>
      <c r="M88" s="64">
        <v>37.520000000000003</v>
      </c>
      <c r="N88" s="64">
        <v>37.4</v>
      </c>
      <c r="O88" s="64">
        <v>0</v>
      </c>
      <c r="P88" s="64">
        <v>1.21</v>
      </c>
      <c r="Q88" s="64">
        <v>8.98</v>
      </c>
      <c r="R88" s="198"/>
      <c r="S88" s="198"/>
      <c r="T88" s="198"/>
      <c r="U88" s="198"/>
    </row>
    <row r="89" spans="1:26" s="12" customFormat="1" x14ac:dyDescent="0.25">
      <c r="A89" s="215" t="s">
        <v>1766</v>
      </c>
      <c r="B89" s="64">
        <v>5.22</v>
      </c>
      <c r="C89" s="64">
        <v>115.43</v>
      </c>
      <c r="D89" s="64">
        <v>110.21</v>
      </c>
      <c r="E89" s="64">
        <v>5.59</v>
      </c>
      <c r="F89" s="64">
        <v>16.190000000000001</v>
      </c>
      <c r="G89" s="64">
        <v>61.25</v>
      </c>
      <c r="H89" s="64">
        <v>16.440000000000001</v>
      </c>
      <c r="I89" s="64">
        <v>4.09</v>
      </c>
      <c r="J89" s="64">
        <v>0.78</v>
      </c>
      <c r="K89" s="64">
        <v>197.71</v>
      </c>
      <c r="L89" s="64">
        <v>31.17</v>
      </c>
      <c r="M89" s="64">
        <v>36.9</v>
      </c>
      <c r="N89" s="64">
        <v>38</v>
      </c>
      <c r="O89" s="64">
        <v>0</v>
      </c>
      <c r="P89" s="64">
        <v>1.03</v>
      </c>
      <c r="Q89" s="64">
        <v>8.94</v>
      </c>
      <c r="R89" s="198"/>
      <c r="S89" s="198"/>
      <c r="T89" s="198"/>
      <c r="U89" s="198"/>
    </row>
    <row r="90" spans="1:26" s="12" customFormat="1" x14ac:dyDescent="0.25">
      <c r="A90" s="215" t="s">
        <v>1767</v>
      </c>
      <c r="B90" s="64">
        <v>89.37</v>
      </c>
      <c r="C90" s="64">
        <v>227.15</v>
      </c>
      <c r="D90" s="64">
        <v>137.78</v>
      </c>
      <c r="E90" s="64">
        <v>5.7</v>
      </c>
      <c r="F90" s="64">
        <v>9.92</v>
      </c>
      <c r="G90" s="64">
        <v>66.02</v>
      </c>
      <c r="H90" s="64">
        <v>17.09</v>
      </c>
      <c r="I90" s="64">
        <v>4.09</v>
      </c>
      <c r="J90" s="64">
        <v>0.82</v>
      </c>
      <c r="K90" s="64">
        <v>318.38</v>
      </c>
      <c r="L90" s="64">
        <v>30.62</v>
      </c>
      <c r="M90" s="64">
        <v>41.25</v>
      </c>
      <c r="N90" s="64">
        <v>38.5</v>
      </c>
      <c r="O90" s="64">
        <v>0</v>
      </c>
      <c r="P90" s="64">
        <v>2.87</v>
      </c>
      <c r="Q90" s="64">
        <v>8.9700000000000006</v>
      </c>
      <c r="R90" s="198"/>
      <c r="S90" s="198"/>
      <c r="T90" s="198"/>
      <c r="U90" s="198"/>
    </row>
    <row r="91" spans="1:26" s="12" customFormat="1" x14ac:dyDescent="0.25">
      <c r="A91" s="215" t="s">
        <v>1768</v>
      </c>
      <c r="B91" s="64">
        <v>127</v>
      </c>
      <c r="C91" s="64">
        <v>264.52</v>
      </c>
      <c r="D91" s="64">
        <v>137.52000000000001</v>
      </c>
      <c r="E91" s="64">
        <v>6.24</v>
      </c>
      <c r="F91" s="64">
        <v>7.3</v>
      </c>
      <c r="G91" s="64">
        <v>71</v>
      </c>
      <c r="H91" s="64">
        <v>17.77</v>
      </c>
      <c r="I91" s="64">
        <v>4.0199999999999996</v>
      </c>
      <c r="J91" s="64">
        <v>1.22</v>
      </c>
      <c r="K91" s="64">
        <v>345.23</v>
      </c>
      <c r="L91" s="64">
        <v>29.9</v>
      </c>
      <c r="M91" s="64">
        <v>45.15</v>
      </c>
      <c r="N91" s="64">
        <v>38.6</v>
      </c>
      <c r="O91" s="64">
        <v>0</v>
      </c>
      <c r="P91" s="64">
        <v>3.7</v>
      </c>
      <c r="Q91" s="64">
        <v>9.02</v>
      </c>
      <c r="R91" s="198"/>
      <c r="S91" s="198"/>
      <c r="T91" s="198"/>
      <c r="U91" s="198"/>
    </row>
    <row r="92" spans="1:26" s="12" customFormat="1" x14ac:dyDescent="0.25">
      <c r="A92" s="215" t="s">
        <v>1769</v>
      </c>
      <c r="B92" s="64">
        <v>112.87</v>
      </c>
      <c r="C92" s="64">
        <v>241.58</v>
      </c>
      <c r="D92" s="64">
        <v>128.71</v>
      </c>
      <c r="E92" s="64">
        <v>6.07</v>
      </c>
      <c r="F92" s="64">
        <v>7.22</v>
      </c>
      <c r="G92" s="64">
        <v>71</v>
      </c>
      <c r="H92" s="64">
        <v>17.77</v>
      </c>
      <c r="I92" s="64">
        <v>3.89</v>
      </c>
      <c r="J92" s="64">
        <v>1.36</v>
      </c>
      <c r="K92" s="64">
        <v>342.07</v>
      </c>
      <c r="L92" s="64">
        <v>29.43</v>
      </c>
      <c r="M92" s="64">
        <v>47.51</v>
      </c>
      <c r="N92" s="64">
        <v>38.4</v>
      </c>
      <c r="O92" s="64">
        <v>0</v>
      </c>
      <c r="P92" s="64">
        <v>3.73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5" t="s">
        <v>1770</v>
      </c>
      <c r="B93" s="64">
        <v>164.88</v>
      </c>
      <c r="C93" s="64">
        <v>299.72000000000003</v>
      </c>
      <c r="D93" s="64">
        <v>134.84</v>
      </c>
      <c r="E93" s="64">
        <v>6.34</v>
      </c>
      <c r="F93" s="64">
        <v>6.83</v>
      </c>
      <c r="G93" s="64">
        <v>71</v>
      </c>
      <c r="H93" s="64">
        <v>17.77</v>
      </c>
      <c r="I93" s="64">
        <v>3.93</v>
      </c>
      <c r="J93" s="64">
        <v>1.36</v>
      </c>
      <c r="K93" s="64">
        <v>307.48</v>
      </c>
      <c r="L93" s="64">
        <v>29.05</v>
      </c>
      <c r="M93" s="64">
        <v>48.22</v>
      </c>
      <c r="N93" s="64">
        <v>38.200000000000003</v>
      </c>
      <c r="O93" s="64">
        <v>0</v>
      </c>
      <c r="P93" s="64">
        <v>4.04</v>
      </c>
      <c r="Q93" s="64">
        <v>9.43</v>
      </c>
      <c r="R93" s="198"/>
      <c r="S93" s="198"/>
      <c r="T93" s="198"/>
      <c r="U93" s="198"/>
    </row>
    <row r="94" spans="1:26" s="12" customFormat="1" x14ac:dyDescent="0.25">
      <c r="A94" s="215" t="s">
        <v>1771</v>
      </c>
      <c r="B94" s="64">
        <v>56.65</v>
      </c>
      <c r="C94" s="64">
        <v>162.36000000000001</v>
      </c>
      <c r="D94" s="64">
        <v>105.71</v>
      </c>
      <c r="E94" s="64">
        <v>5.52</v>
      </c>
      <c r="F94" s="64">
        <v>9.1</v>
      </c>
      <c r="G94" s="64">
        <v>85.25</v>
      </c>
      <c r="H94" s="64">
        <v>19.57</v>
      </c>
      <c r="I94" s="64">
        <v>4.08</v>
      </c>
      <c r="J94" s="64">
        <v>2</v>
      </c>
      <c r="K94" s="64">
        <v>165.36</v>
      </c>
      <c r="L94" s="64">
        <v>29.56</v>
      </c>
      <c r="M94" s="64">
        <v>43.18</v>
      </c>
      <c r="N94" s="64">
        <v>36.299999999999997</v>
      </c>
      <c r="O94" s="64">
        <v>0</v>
      </c>
      <c r="P94" s="64">
        <v>1.92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5" t="s">
        <v>1772</v>
      </c>
      <c r="B95" s="64">
        <v>15.5</v>
      </c>
      <c r="C95" s="64">
        <v>81.45</v>
      </c>
      <c r="D95" s="64">
        <v>65.95</v>
      </c>
      <c r="E95" s="64">
        <v>4.76</v>
      </c>
      <c r="F95" s="64">
        <v>18.48</v>
      </c>
      <c r="G95" s="64">
        <v>99.49</v>
      </c>
      <c r="H95" s="64">
        <v>21.44</v>
      </c>
      <c r="I95" s="64">
        <v>3.91</v>
      </c>
      <c r="J95" s="64">
        <v>1.41</v>
      </c>
      <c r="K95" s="64">
        <v>179.8</v>
      </c>
      <c r="L95" s="64">
        <v>30.2</v>
      </c>
      <c r="M95" s="64">
        <v>39.340000000000003</v>
      </c>
      <c r="N95" s="64">
        <v>37.299999999999997</v>
      </c>
      <c r="O95" s="64">
        <v>0</v>
      </c>
      <c r="P95" s="64">
        <v>1.05</v>
      </c>
      <c r="Q95" s="64">
        <v>9.43</v>
      </c>
      <c r="R95" s="198"/>
      <c r="S95" s="198"/>
      <c r="T95" s="198"/>
      <c r="U95" s="198"/>
    </row>
    <row r="96" spans="1:26" s="12" customFormat="1" x14ac:dyDescent="0.25">
      <c r="A96" s="215" t="s">
        <v>1773</v>
      </c>
      <c r="B96" s="64">
        <v>4.8499999999999996</v>
      </c>
      <c r="C96" s="64">
        <v>65.52</v>
      </c>
      <c r="D96" s="64">
        <v>60.67</v>
      </c>
      <c r="E96" s="64">
        <v>5.0599999999999996</v>
      </c>
      <c r="F96" s="64">
        <v>20.6</v>
      </c>
      <c r="G96" s="64">
        <v>99.49</v>
      </c>
      <c r="H96" s="64">
        <v>21.44</v>
      </c>
      <c r="I96" s="64">
        <v>3.87</v>
      </c>
      <c r="J96" s="64">
        <v>1.27</v>
      </c>
      <c r="K96" s="64">
        <v>224.67</v>
      </c>
      <c r="L96" s="64">
        <v>29.97</v>
      </c>
      <c r="M96" s="64">
        <v>39.119999999999997</v>
      </c>
      <c r="N96" s="64">
        <v>38.299999999999997</v>
      </c>
      <c r="O96" s="64">
        <v>0</v>
      </c>
      <c r="P96" s="64">
        <v>0.65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1774</v>
      </c>
      <c r="B97" s="64">
        <v>4.68</v>
      </c>
      <c r="C97" s="64">
        <v>60.93</v>
      </c>
      <c r="D97" s="64">
        <v>56.26</v>
      </c>
      <c r="E97" s="64">
        <v>4.97</v>
      </c>
      <c r="F97" s="64">
        <v>19.739999999999998</v>
      </c>
      <c r="G97" s="64">
        <v>99.49</v>
      </c>
      <c r="H97" s="64">
        <v>21.44</v>
      </c>
      <c r="I97" s="64">
        <v>3.83</v>
      </c>
      <c r="J97" s="64">
        <v>1.1200000000000001</v>
      </c>
      <c r="K97" s="64">
        <v>224.16</v>
      </c>
      <c r="L97" s="64">
        <v>29.46</v>
      </c>
      <c r="M97" s="64">
        <v>40.56</v>
      </c>
      <c r="N97" s="64">
        <v>38.299999999999997</v>
      </c>
      <c r="O97" s="64">
        <v>0</v>
      </c>
      <c r="P97" s="64">
        <v>0.64</v>
      </c>
      <c r="Q97" s="64">
        <v>9.27</v>
      </c>
      <c r="R97" s="198"/>
      <c r="S97" s="198"/>
      <c r="T97" s="198"/>
      <c r="U97" s="198"/>
    </row>
    <row r="98" spans="1:33" s="12" customFormat="1" x14ac:dyDescent="0.25">
      <c r="A98" s="215" t="s">
        <v>1775</v>
      </c>
      <c r="B98" s="64">
        <v>6.85</v>
      </c>
      <c r="C98" s="64">
        <v>56.26</v>
      </c>
      <c r="D98" s="64">
        <v>49.42</v>
      </c>
      <c r="E98" s="64">
        <v>4.96</v>
      </c>
      <c r="F98" s="64">
        <v>20.02</v>
      </c>
      <c r="G98" s="64">
        <v>87.16</v>
      </c>
      <c r="H98" s="64">
        <v>21.21</v>
      </c>
      <c r="I98" s="64">
        <v>4.09</v>
      </c>
      <c r="J98" s="64">
        <v>1.42</v>
      </c>
      <c r="K98" s="64">
        <v>191.14</v>
      </c>
      <c r="L98" s="64">
        <v>29.18</v>
      </c>
      <c r="M98" s="64">
        <v>41.67</v>
      </c>
      <c r="N98" s="64">
        <v>38.1</v>
      </c>
      <c r="O98" s="64">
        <v>0</v>
      </c>
      <c r="P98" s="64">
        <v>0.66</v>
      </c>
      <c r="Q98" s="64">
        <v>9.48</v>
      </c>
      <c r="R98" s="198"/>
      <c r="S98" s="198"/>
      <c r="T98" s="198"/>
      <c r="U98" s="198"/>
    </row>
    <row r="99" spans="1:33" s="12" customFormat="1" x14ac:dyDescent="0.25">
      <c r="A99" s="215" t="s">
        <v>1776</v>
      </c>
      <c r="B99" s="64">
        <v>7.64</v>
      </c>
      <c r="C99" s="64">
        <v>58.95</v>
      </c>
      <c r="D99" s="64">
        <v>51.32</v>
      </c>
      <c r="E99" s="64">
        <v>4.3899999999999997</v>
      </c>
      <c r="F99" s="64">
        <v>17.3</v>
      </c>
      <c r="G99" s="64">
        <v>74.27</v>
      </c>
      <c r="H99" s="64">
        <v>20.97</v>
      </c>
      <c r="I99" s="64">
        <v>4.0199999999999996</v>
      </c>
      <c r="J99" s="64">
        <v>1.76</v>
      </c>
      <c r="K99" s="64">
        <v>164.97</v>
      </c>
      <c r="L99" s="64">
        <v>28.89</v>
      </c>
      <c r="M99" s="64">
        <v>43.47</v>
      </c>
      <c r="N99" s="64">
        <v>38</v>
      </c>
      <c r="O99" s="64">
        <v>0</v>
      </c>
      <c r="P99" s="64">
        <v>0.72</v>
      </c>
      <c r="Q99" s="64">
        <v>9.27</v>
      </c>
      <c r="R99" s="198"/>
      <c r="S99" s="198"/>
      <c r="T99" s="198"/>
      <c r="U99" s="198"/>
    </row>
    <row r="100" spans="1:33" s="12" customFormat="1" x14ac:dyDescent="0.25">
      <c r="A100" s="215" t="s">
        <v>1777</v>
      </c>
      <c r="B100" s="64">
        <v>11.55</v>
      </c>
      <c r="C100" s="64">
        <v>76.180000000000007</v>
      </c>
      <c r="D100" s="64">
        <v>64.63</v>
      </c>
      <c r="E100" s="64">
        <v>4.4000000000000004</v>
      </c>
      <c r="F100" s="64">
        <v>13.32</v>
      </c>
      <c r="G100" s="64">
        <v>74.27</v>
      </c>
      <c r="H100" s="64">
        <v>20.97</v>
      </c>
      <c r="I100" s="64">
        <v>3.97</v>
      </c>
      <c r="J100" s="64">
        <v>1.29</v>
      </c>
      <c r="K100" s="64">
        <v>184.89</v>
      </c>
      <c r="L100" s="64">
        <v>28.71</v>
      </c>
      <c r="M100" s="64">
        <v>44.2</v>
      </c>
      <c r="N100" s="64">
        <v>38.200000000000003</v>
      </c>
      <c r="O100" s="64">
        <v>0</v>
      </c>
      <c r="P100" s="64">
        <v>0.85</v>
      </c>
      <c r="Q100" s="64">
        <v>8.99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1778</v>
      </c>
      <c r="B101" s="64">
        <v>10.42</v>
      </c>
      <c r="C101" s="64">
        <v>59.39</v>
      </c>
      <c r="D101" s="64">
        <v>48.97</v>
      </c>
      <c r="E101" s="64">
        <v>4.1399999999999997</v>
      </c>
      <c r="F101" s="64">
        <v>15.09</v>
      </c>
      <c r="G101" s="64">
        <v>74.27</v>
      </c>
      <c r="H101" s="64">
        <v>20.97</v>
      </c>
      <c r="I101" s="64">
        <v>4.0999999999999996</v>
      </c>
      <c r="J101" s="64">
        <v>1.1499999999999999</v>
      </c>
      <c r="K101" s="64">
        <v>198.1</v>
      </c>
      <c r="L101" s="64">
        <v>28.49</v>
      </c>
      <c r="M101" s="64">
        <v>44.62</v>
      </c>
      <c r="N101" s="64">
        <v>38.1</v>
      </c>
      <c r="O101" s="64">
        <v>0</v>
      </c>
      <c r="P101" s="64">
        <v>0.83</v>
      </c>
      <c r="Q101" s="64">
        <v>9.15</v>
      </c>
      <c r="R101" s="198"/>
      <c r="S101" s="198"/>
      <c r="T101" s="198"/>
      <c r="U101" s="198"/>
    </row>
    <row r="102" spans="1:33" s="12" customFormat="1" x14ac:dyDescent="0.25">
      <c r="A102" s="215" t="s">
        <v>1779</v>
      </c>
      <c r="B102" s="64">
        <v>10.83</v>
      </c>
      <c r="C102" s="64">
        <v>59.61</v>
      </c>
      <c r="D102" s="64">
        <v>48.78</v>
      </c>
      <c r="E102" s="64">
        <v>3.82</v>
      </c>
      <c r="F102" s="64">
        <v>15.65</v>
      </c>
      <c r="G102" s="64">
        <v>66.62</v>
      </c>
      <c r="H102" s="64">
        <v>20.69</v>
      </c>
      <c r="I102" s="64">
        <v>4.12</v>
      </c>
      <c r="J102" s="64">
        <v>1.17</v>
      </c>
      <c r="K102" s="64">
        <v>193.86</v>
      </c>
      <c r="L102" s="64">
        <v>28.2</v>
      </c>
      <c r="M102" s="64">
        <v>45.56</v>
      </c>
      <c r="N102" s="64">
        <v>38.1</v>
      </c>
      <c r="O102" s="64">
        <v>0</v>
      </c>
      <c r="P102" s="64">
        <v>0.79</v>
      </c>
      <c r="Q102" s="64">
        <v>9.1999999999999993</v>
      </c>
      <c r="R102" s="198"/>
      <c r="S102" s="198"/>
      <c r="T102" s="198"/>
      <c r="U102" s="198"/>
    </row>
    <row r="103" spans="1:33" s="12" customFormat="1" x14ac:dyDescent="0.25">
      <c r="A103" s="215" t="s">
        <v>1780</v>
      </c>
      <c r="B103" s="64">
        <v>9.4700000000000006</v>
      </c>
      <c r="C103" s="64">
        <v>55.75</v>
      </c>
      <c r="D103" s="64">
        <v>46.27</v>
      </c>
      <c r="E103" s="64">
        <v>3.6</v>
      </c>
      <c r="F103" s="64">
        <v>15.77</v>
      </c>
      <c r="G103" s="64">
        <v>58.62</v>
      </c>
      <c r="H103" s="64">
        <v>20.41</v>
      </c>
      <c r="I103" s="64">
        <v>3.89</v>
      </c>
      <c r="J103" s="64">
        <v>1.06</v>
      </c>
      <c r="K103" s="64">
        <v>204.47</v>
      </c>
      <c r="L103" s="64">
        <v>27.93</v>
      </c>
      <c r="M103" s="64">
        <v>46.14</v>
      </c>
      <c r="N103" s="64">
        <v>38.299999999999997</v>
      </c>
      <c r="O103" s="64">
        <v>0</v>
      </c>
      <c r="P103" s="64">
        <v>0.76</v>
      </c>
      <c r="Q103" s="64">
        <v>8.9</v>
      </c>
      <c r="R103" s="198"/>
      <c r="S103" s="198"/>
      <c r="T103" s="198"/>
      <c r="U103" s="198"/>
    </row>
    <row r="104" spans="1:33" s="12" customFormat="1" x14ac:dyDescent="0.25">
      <c r="A104" s="215" t="s">
        <v>1781</v>
      </c>
      <c r="B104" s="64">
        <v>4.84</v>
      </c>
      <c r="C104" s="64">
        <v>43.35</v>
      </c>
      <c r="D104" s="64">
        <v>38.51</v>
      </c>
      <c r="E104" s="64">
        <v>4.6900000000000004</v>
      </c>
      <c r="F104" s="64">
        <v>16.510000000000002</v>
      </c>
      <c r="G104" s="64">
        <v>58.62</v>
      </c>
      <c r="H104" s="64">
        <v>20.41</v>
      </c>
      <c r="I104" s="64">
        <v>4.0999999999999996</v>
      </c>
      <c r="J104" s="64">
        <v>1.47</v>
      </c>
      <c r="K104" s="64">
        <v>232.29</v>
      </c>
      <c r="L104" s="64">
        <v>27.55</v>
      </c>
      <c r="M104" s="64">
        <v>47.19</v>
      </c>
      <c r="N104" s="64">
        <v>38.299999999999997</v>
      </c>
      <c r="O104" s="64">
        <v>0</v>
      </c>
      <c r="P104" s="64">
        <v>0.54</v>
      </c>
      <c r="Q104" s="64">
        <v>9.16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0.73</v>
      </c>
      <c r="C106" s="67">
        <f>MIN(C9:C104)</f>
        <v>35.61</v>
      </c>
      <c r="D106" s="67">
        <f t="shared" ref="D106:Q106" si="0">MIN(D9:D104)</f>
        <v>34.869999999999997</v>
      </c>
      <c r="E106" s="67">
        <f t="shared" si="0"/>
        <v>1.8</v>
      </c>
      <c r="F106" s="67">
        <f t="shared" si="0"/>
        <v>6.83</v>
      </c>
      <c r="G106" s="67">
        <f t="shared" si="0"/>
        <v>13.16</v>
      </c>
      <c r="H106" s="67">
        <f t="shared" si="0"/>
        <v>5.64</v>
      </c>
      <c r="I106" s="67">
        <f t="shared" si="0"/>
        <v>3.81</v>
      </c>
      <c r="J106" s="67">
        <f t="shared" si="0"/>
        <v>0.1</v>
      </c>
      <c r="K106" s="67">
        <f t="shared" si="0"/>
        <v>61.83</v>
      </c>
      <c r="L106" s="67">
        <f t="shared" si="0"/>
        <v>22.07</v>
      </c>
      <c r="M106" s="67">
        <f t="shared" si="0"/>
        <v>26.33</v>
      </c>
      <c r="N106" s="67">
        <f t="shared" si="0"/>
        <v>36.299999999999997</v>
      </c>
      <c r="O106" s="67">
        <f t="shared" si="0"/>
        <v>0</v>
      </c>
      <c r="P106" s="67">
        <f t="shared" si="0"/>
        <v>0.25</v>
      </c>
      <c r="Q106" s="67">
        <f t="shared" si="0"/>
        <v>8.43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164.88</v>
      </c>
      <c r="C107" s="66">
        <f t="shared" ref="C107:Q107" si="1">MAX(C9:C104)</f>
        <v>299.72000000000003</v>
      </c>
      <c r="D107" s="66">
        <f t="shared" si="1"/>
        <v>139.91999999999999</v>
      </c>
      <c r="E107" s="66">
        <f t="shared" si="1"/>
        <v>12.72</v>
      </c>
      <c r="F107" s="66">
        <f t="shared" si="1"/>
        <v>35.520000000000003</v>
      </c>
      <c r="G107" s="66">
        <f t="shared" si="1"/>
        <v>99.49</v>
      </c>
      <c r="H107" s="66">
        <f t="shared" si="1"/>
        <v>26.39</v>
      </c>
      <c r="I107" s="66">
        <f t="shared" si="1"/>
        <v>4.16</v>
      </c>
      <c r="J107" s="66">
        <f t="shared" si="1"/>
        <v>2.7</v>
      </c>
      <c r="K107" s="66">
        <f t="shared" si="1"/>
        <v>345.23</v>
      </c>
      <c r="L107" s="66">
        <f t="shared" si="1"/>
        <v>37.85</v>
      </c>
      <c r="M107" s="66">
        <f t="shared" si="1"/>
        <v>66.64</v>
      </c>
      <c r="N107" s="66">
        <f t="shared" si="1"/>
        <v>975.1</v>
      </c>
      <c r="O107" s="66">
        <f t="shared" si="1"/>
        <v>0</v>
      </c>
      <c r="P107" s="66">
        <f t="shared" si="1"/>
        <v>4.04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10.753229166666664</v>
      </c>
      <c r="C108" s="67">
        <f t="shared" ref="C108:Q108" si="2">AVERAGE(C9:C104)</f>
        <v>70.829479166666673</v>
      </c>
      <c r="D108" s="67">
        <f t="shared" si="2"/>
        <v>60.076041666666669</v>
      </c>
      <c r="E108" s="67">
        <f t="shared" si="2"/>
        <v>4.071770833333332</v>
      </c>
      <c r="F108" s="67">
        <f t="shared" si="2"/>
        <v>13.764895833333332</v>
      </c>
      <c r="G108" s="67">
        <f t="shared" si="2"/>
        <v>40.395104166666655</v>
      </c>
      <c r="H108" s="67">
        <f t="shared" si="2"/>
        <v>13.000312500000007</v>
      </c>
      <c r="I108" s="67">
        <f t="shared" si="2"/>
        <v>3.9909374999999994</v>
      </c>
      <c r="J108" s="67">
        <f t="shared" si="2"/>
        <v>1.3487499999999999</v>
      </c>
      <c r="K108" s="67">
        <f t="shared" si="2"/>
        <v>203.40416666666661</v>
      </c>
      <c r="L108" s="67">
        <f t="shared" si="2"/>
        <v>29.712500000000006</v>
      </c>
      <c r="M108" s="67">
        <f t="shared" si="2"/>
        <v>44.031770833333326</v>
      </c>
      <c r="N108" s="67">
        <f t="shared" si="2"/>
        <v>282.59375000000006</v>
      </c>
      <c r="O108" s="67">
        <f t="shared" si="2"/>
        <v>0</v>
      </c>
      <c r="P108" s="67">
        <f t="shared" si="2"/>
        <v>0.67989583333333325</v>
      </c>
      <c r="Q108" s="67">
        <f t="shared" si="2"/>
        <v>8.7525000000000013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26.560741290178107</v>
      </c>
      <c r="C109" s="67">
        <f t="shared" ref="C109:Q109" si="3">STDEV(C9:C104)</f>
        <v>49.066533977528735</v>
      </c>
      <c r="D109" s="67">
        <f t="shared" si="3"/>
        <v>25.814520250154054</v>
      </c>
      <c r="E109" s="67">
        <f t="shared" si="3"/>
        <v>1.806935174785526</v>
      </c>
      <c r="F109" s="67">
        <f t="shared" si="3"/>
        <v>5.8703293182601461</v>
      </c>
      <c r="G109" s="67">
        <f t="shared" si="3"/>
        <v>22.043821475692326</v>
      </c>
      <c r="H109" s="67">
        <f t="shared" si="3"/>
        <v>5.9125049376856955</v>
      </c>
      <c r="I109" s="67">
        <f t="shared" si="3"/>
        <v>8.7118529360261418E-2</v>
      </c>
      <c r="J109" s="67">
        <f t="shared" si="3"/>
        <v>0.50734240488005233</v>
      </c>
      <c r="K109" s="67">
        <f t="shared" si="3"/>
        <v>76.77726677887857</v>
      </c>
      <c r="L109" s="67">
        <f t="shared" si="3"/>
        <v>5.0928868868358599</v>
      </c>
      <c r="M109" s="67">
        <f t="shared" si="3"/>
        <v>13.425651253029887</v>
      </c>
      <c r="N109" s="67">
        <f t="shared" si="3"/>
        <v>334.06166427693199</v>
      </c>
      <c r="O109" s="67">
        <f t="shared" si="3"/>
        <v>0</v>
      </c>
      <c r="P109" s="67">
        <f t="shared" si="3"/>
        <v>0.72639628852469817</v>
      </c>
      <c r="Q109" s="67">
        <f t="shared" si="3"/>
        <v>0.23735383313791911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1782</v>
      </c>
      <c r="B9" s="64">
        <v>7.68</v>
      </c>
      <c r="C9" s="64">
        <v>52.28</v>
      </c>
      <c r="D9" s="64">
        <v>44.59</v>
      </c>
      <c r="E9" s="64">
        <v>4.8499999999999996</v>
      </c>
      <c r="F9" s="64">
        <v>13.27</v>
      </c>
      <c r="G9" s="64">
        <v>58.62</v>
      </c>
      <c r="H9" s="64">
        <v>20.41</v>
      </c>
      <c r="I9" s="64">
        <v>4.01</v>
      </c>
      <c r="J9" s="64">
        <v>1.27</v>
      </c>
      <c r="K9" s="64">
        <v>232.45</v>
      </c>
      <c r="L9" s="64">
        <v>27.22</v>
      </c>
      <c r="M9" s="64">
        <v>48.54</v>
      </c>
      <c r="N9" s="64">
        <v>38.200000000000003</v>
      </c>
      <c r="O9" s="64">
        <v>0</v>
      </c>
      <c r="P9" s="64">
        <v>0.72</v>
      </c>
      <c r="Q9" s="64">
        <v>8.99</v>
      </c>
      <c r="R9" s="198"/>
      <c r="S9" s="198"/>
      <c r="T9" s="198"/>
      <c r="U9" s="198"/>
    </row>
    <row r="10" spans="1:21" s="12" customFormat="1" x14ac:dyDescent="0.25">
      <c r="A10" s="215" t="s">
        <v>1783</v>
      </c>
      <c r="B10" s="64">
        <v>8.4700000000000006</v>
      </c>
      <c r="C10" s="64">
        <v>56.72</v>
      </c>
      <c r="D10" s="64">
        <v>48.25</v>
      </c>
      <c r="E10" s="64">
        <v>4.42</v>
      </c>
      <c r="F10" s="64">
        <v>11.26</v>
      </c>
      <c r="G10" s="64">
        <v>49.85</v>
      </c>
      <c r="H10" s="64">
        <v>18.850000000000001</v>
      </c>
      <c r="I10" s="64">
        <v>4.24</v>
      </c>
      <c r="J10" s="64">
        <v>1.25</v>
      </c>
      <c r="K10" s="64">
        <v>224.55</v>
      </c>
      <c r="L10" s="64">
        <v>27.01</v>
      </c>
      <c r="M10" s="64">
        <v>48.74</v>
      </c>
      <c r="N10" s="64">
        <v>38.1</v>
      </c>
      <c r="O10" s="64">
        <v>0</v>
      </c>
      <c r="P10" s="64">
        <v>0.75</v>
      </c>
      <c r="Q10" s="64">
        <v>9.25</v>
      </c>
      <c r="R10" s="198"/>
      <c r="S10" s="198"/>
      <c r="T10" s="198"/>
      <c r="U10" s="198"/>
    </row>
    <row r="11" spans="1:21" s="12" customFormat="1" x14ac:dyDescent="0.25">
      <c r="A11" s="215" t="s">
        <v>1784</v>
      </c>
      <c r="B11" s="64">
        <v>7.36</v>
      </c>
      <c r="C11" s="64">
        <v>52.79</v>
      </c>
      <c r="D11" s="64">
        <v>45.42</v>
      </c>
      <c r="E11" s="64">
        <v>4.1900000000000004</v>
      </c>
      <c r="F11" s="64">
        <v>12.94</v>
      </c>
      <c r="G11" s="64">
        <v>40.69</v>
      </c>
      <c r="H11" s="64">
        <v>17.29</v>
      </c>
      <c r="I11" s="64">
        <v>3.87</v>
      </c>
      <c r="J11" s="64">
        <v>1.44</v>
      </c>
      <c r="K11" s="64">
        <v>219.05</v>
      </c>
      <c r="L11" s="64">
        <v>26.7</v>
      </c>
      <c r="M11" s="64">
        <v>49.95</v>
      </c>
      <c r="N11" s="64">
        <v>38.1</v>
      </c>
      <c r="O11" s="64">
        <v>0</v>
      </c>
      <c r="P11" s="64">
        <v>0.77</v>
      </c>
      <c r="Q11" s="64">
        <v>8.83</v>
      </c>
      <c r="R11" s="198"/>
      <c r="S11" s="198"/>
      <c r="T11" s="198"/>
      <c r="U11" s="198"/>
    </row>
    <row r="12" spans="1:21" s="12" customFormat="1" x14ac:dyDescent="0.25">
      <c r="A12" s="215" t="s">
        <v>1785</v>
      </c>
      <c r="B12" s="64">
        <v>3.35</v>
      </c>
      <c r="C12" s="64">
        <v>41.8</v>
      </c>
      <c r="D12" s="64">
        <v>38.44</v>
      </c>
      <c r="E12" s="64">
        <v>4.17</v>
      </c>
      <c r="F12" s="64">
        <v>15.63</v>
      </c>
      <c r="G12" s="64">
        <v>40.69</v>
      </c>
      <c r="H12" s="64">
        <v>17.29</v>
      </c>
      <c r="I12" s="64">
        <v>3.98</v>
      </c>
      <c r="J12" s="64">
        <v>0.97</v>
      </c>
      <c r="K12" s="64">
        <v>197.54</v>
      </c>
      <c r="L12" s="64">
        <v>26.5</v>
      </c>
      <c r="M12" s="64">
        <v>51.13</v>
      </c>
      <c r="N12" s="64">
        <v>38.200000000000003</v>
      </c>
      <c r="O12" s="64">
        <v>0</v>
      </c>
      <c r="P12" s="64">
        <v>0.5</v>
      </c>
      <c r="Q12" s="64">
        <v>8.8699999999999992</v>
      </c>
      <c r="R12" s="198"/>
      <c r="S12" s="198"/>
      <c r="T12" s="198"/>
      <c r="U12" s="198"/>
    </row>
    <row r="13" spans="1:21" s="12" customFormat="1" x14ac:dyDescent="0.25">
      <c r="A13" s="215" t="s">
        <v>1786</v>
      </c>
      <c r="B13" s="64">
        <v>4.42</v>
      </c>
      <c r="C13" s="64">
        <v>45.04</v>
      </c>
      <c r="D13" s="64">
        <v>40.619999999999997</v>
      </c>
      <c r="E13" s="64">
        <v>4.21</v>
      </c>
      <c r="F13" s="64">
        <v>13.82</v>
      </c>
      <c r="G13" s="64">
        <v>40.69</v>
      </c>
      <c r="H13" s="64">
        <v>17.29</v>
      </c>
      <c r="I13" s="64">
        <v>4.0199999999999996</v>
      </c>
      <c r="J13" s="64">
        <v>1.04</v>
      </c>
      <c r="K13" s="64">
        <v>208.59</v>
      </c>
      <c r="L13" s="64">
        <v>26.29</v>
      </c>
      <c r="M13" s="64">
        <v>51.85</v>
      </c>
      <c r="N13" s="64">
        <v>38.1</v>
      </c>
      <c r="O13" s="64">
        <v>0</v>
      </c>
      <c r="P13" s="64">
        <v>0.47</v>
      </c>
      <c r="Q13" s="64">
        <v>8.75</v>
      </c>
      <c r="R13" s="198"/>
      <c r="S13" s="198"/>
      <c r="T13" s="198"/>
      <c r="U13" s="198"/>
    </row>
    <row r="14" spans="1:21" s="12" customFormat="1" x14ac:dyDescent="0.25">
      <c r="A14" s="215" t="s">
        <v>1787</v>
      </c>
      <c r="B14" s="64">
        <v>2.59</v>
      </c>
      <c r="C14" s="64">
        <v>40.83</v>
      </c>
      <c r="D14" s="64">
        <v>38.24</v>
      </c>
      <c r="E14" s="64">
        <v>4.3499999999999996</v>
      </c>
      <c r="F14" s="64">
        <v>15.21</v>
      </c>
      <c r="G14" s="64">
        <v>36.58</v>
      </c>
      <c r="H14" s="64">
        <v>15.92</v>
      </c>
      <c r="I14" s="64">
        <v>3.96</v>
      </c>
      <c r="J14" s="64">
        <v>0.91</v>
      </c>
      <c r="K14" s="64">
        <v>226.46</v>
      </c>
      <c r="L14" s="64">
        <v>26.11</v>
      </c>
      <c r="M14" s="64">
        <v>52.3</v>
      </c>
      <c r="N14" s="64">
        <v>38.1</v>
      </c>
      <c r="O14" s="64">
        <v>0</v>
      </c>
      <c r="P14" s="64">
        <v>0.41</v>
      </c>
      <c r="Q14" s="64">
        <v>8.8000000000000007</v>
      </c>
      <c r="R14" s="198"/>
      <c r="S14" s="198"/>
      <c r="T14" s="198"/>
      <c r="U14" s="198"/>
    </row>
    <row r="15" spans="1:21" s="12" customFormat="1" x14ac:dyDescent="0.25">
      <c r="A15" s="215" t="s">
        <v>1788</v>
      </c>
      <c r="B15" s="64">
        <v>2.67</v>
      </c>
      <c r="C15" s="64">
        <v>37.24</v>
      </c>
      <c r="D15" s="64">
        <v>34.57</v>
      </c>
      <c r="E15" s="64">
        <v>4.53</v>
      </c>
      <c r="F15" s="64">
        <v>17.12</v>
      </c>
      <c r="G15" s="64">
        <v>32.28</v>
      </c>
      <c r="H15" s="64">
        <v>14.49</v>
      </c>
      <c r="I15" s="64">
        <v>3.85</v>
      </c>
      <c r="J15" s="64">
        <v>1.19</v>
      </c>
      <c r="K15" s="64">
        <v>207.16</v>
      </c>
      <c r="L15" s="64">
        <v>26.02</v>
      </c>
      <c r="M15" s="64">
        <v>52.86</v>
      </c>
      <c r="N15" s="64">
        <v>38.1</v>
      </c>
      <c r="O15" s="64">
        <v>0</v>
      </c>
      <c r="P15" s="64">
        <v>0.38</v>
      </c>
      <c r="Q15" s="64">
        <v>8.73</v>
      </c>
      <c r="R15" s="198"/>
      <c r="S15" s="198"/>
      <c r="T15" s="198"/>
      <c r="U15" s="198"/>
    </row>
    <row r="16" spans="1:21" s="12" customFormat="1" x14ac:dyDescent="0.25">
      <c r="A16" s="215" t="s">
        <v>1789</v>
      </c>
      <c r="B16" s="64">
        <v>1.8</v>
      </c>
      <c r="C16" s="64">
        <v>32.97</v>
      </c>
      <c r="D16" s="64">
        <v>31.17</v>
      </c>
      <c r="E16" s="64">
        <v>4.4800000000000004</v>
      </c>
      <c r="F16" s="64">
        <v>17.13</v>
      </c>
      <c r="G16" s="64">
        <v>32.28</v>
      </c>
      <c r="H16" s="64">
        <v>14.49</v>
      </c>
      <c r="I16" s="64">
        <v>3.98</v>
      </c>
      <c r="J16" s="64">
        <v>1.52</v>
      </c>
      <c r="K16" s="64">
        <v>237.8</v>
      </c>
      <c r="L16" s="64">
        <v>25.88</v>
      </c>
      <c r="M16" s="64">
        <v>53.1</v>
      </c>
      <c r="N16" s="64">
        <v>38.1</v>
      </c>
      <c r="O16" s="64">
        <v>0</v>
      </c>
      <c r="P16" s="64">
        <v>0.35</v>
      </c>
      <c r="Q16" s="64">
        <v>8.6</v>
      </c>
      <c r="R16" s="198"/>
      <c r="S16" s="198"/>
      <c r="T16" s="198"/>
      <c r="U16" s="198"/>
    </row>
    <row r="17" spans="1:21" s="12" customFormat="1" x14ac:dyDescent="0.25">
      <c r="A17" s="215" t="s">
        <v>1790</v>
      </c>
      <c r="B17" s="64">
        <v>2.21</v>
      </c>
      <c r="C17" s="64">
        <v>35.83</v>
      </c>
      <c r="D17" s="64">
        <v>33.619999999999997</v>
      </c>
      <c r="E17" s="64">
        <v>4.34</v>
      </c>
      <c r="F17" s="64">
        <v>15.75</v>
      </c>
      <c r="G17" s="64">
        <v>32.28</v>
      </c>
      <c r="H17" s="64">
        <v>14.49</v>
      </c>
      <c r="I17" s="64">
        <v>3.96</v>
      </c>
      <c r="J17" s="64">
        <v>1.35</v>
      </c>
      <c r="K17" s="64">
        <v>229.79</v>
      </c>
      <c r="L17" s="64">
        <v>25.79</v>
      </c>
      <c r="M17" s="64">
        <v>53.28</v>
      </c>
      <c r="N17" s="64">
        <v>38.200000000000003</v>
      </c>
      <c r="O17" s="64">
        <v>0</v>
      </c>
      <c r="P17" s="64">
        <v>0.37</v>
      </c>
      <c r="Q17" s="64">
        <v>8.5399999999999991</v>
      </c>
      <c r="R17" s="198"/>
      <c r="S17" s="198"/>
      <c r="T17" s="198"/>
      <c r="U17" s="198"/>
    </row>
    <row r="18" spans="1:21" s="12" customFormat="1" x14ac:dyDescent="0.25">
      <c r="A18" s="215" t="s">
        <v>1791</v>
      </c>
      <c r="B18" s="64">
        <v>1.61</v>
      </c>
      <c r="C18" s="64">
        <v>33.47</v>
      </c>
      <c r="D18" s="64">
        <v>31.86</v>
      </c>
      <c r="E18" s="64">
        <v>4.13</v>
      </c>
      <c r="F18" s="64">
        <v>15.59</v>
      </c>
      <c r="G18" s="64">
        <v>28.57</v>
      </c>
      <c r="H18" s="64">
        <v>12.94</v>
      </c>
      <c r="I18" s="64">
        <v>3.98</v>
      </c>
      <c r="J18" s="64">
        <v>1.33</v>
      </c>
      <c r="K18" s="64">
        <v>235.16</v>
      </c>
      <c r="L18" s="64">
        <v>25.58</v>
      </c>
      <c r="M18" s="64">
        <v>54.27</v>
      </c>
      <c r="N18" s="64">
        <v>38.200000000000003</v>
      </c>
      <c r="O18" s="64">
        <v>0</v>
      </c>
      <c r="P18" s="64">
        <v>0.36</v>
      </c>
      <c r="Q18" s="64">
        <v>8.7799999999999994</v>
      </c>
      <c r="R18" s="198"/>
      <c r="S18" s="198"/>
      <c r="T18" s="198"/>
      <c r="U18" s="198"/>
    </row>
    <row r="19" spans="1:21" s="12" customFormat="1" x14ac:dyDescent="0.25">
      <c r="A19" s="215" t="s">
        <v>1792</v>
      </c>
      <c r="B19" s="64">
        <v>2.1</v>
      </c>
      <c r="C19" s="64">
        <v>35.15</v>
      </c>
      <c r="D19" s="64">
        <v>33.049999999999997</v>
      </c>
      <c r="E19" s="64">
        <v>4.3899999999999997</v>
      </c>
      <c r="F19" s="64">
        <v>15.41</v>
      </c>
      <c r="G19" s="64">
        <v>24.69</v>
      </c>
      <c r="H19" s="64">
        <v>11.31</v>
      </c>
      <c r="I19" s="64">
        <v>4.1500000000000004</v>
      </c>
      <c r="J19" s="64">
        <v>1.29</v>
      </c>
      <c r="K19" s="64">
        <v>207.74</v>
      </c>
      <c r="L19" s="64">
        <v>25.25</v>
      </c>
      <c r="M19" s="64">
        <v>57.79</v>
      </c>
      <c r="N19" s="64">
        <v>38.200000000000003</v>
      </c>
      <c r="O19" s="64">
        <v>0</v>
      </c>
      <c r="P19" s="64">
        <v>0.39</v>
      </c>
      <c r="Q19" s="64">
        <v>8.68</v>
      </c>
      <c r="R19" s="198"/>
      <c r="S19" s="198"/>
      <c r="T19" s="198"/>
      <c r="U19" s="198"/>
    </row>
    <row r="20" spans="1:21" s="12" customFormat="1" x14ac:dyDescent="0.25">
      <c r="A20" s="215" t="s">
        <v>1793</v>
      </c>
      <c r="B20" s="64">
        <v>2.4700000000000002</v>
      </c>
      <c r="C20" s="64">
        <v>36.9</v>
      </c>
      <c r="D20" s="64">
        <v>34.43</v>
      </c>
      <c r="E20" s="64">
        <v>4.25</v>
      </c>
      <c r="F20" s="64">
        <v>13.27</v>
      </c>
      <c r="G20" s="64">
        <v>24.69</v>
      </c>
      <c r="H20" s="64">
        <v>11.31</v>
      </c>
      <c r="I20" s="64">
        <v>3.95</v>
      </c>
      <c r="J20" s="64">
        <v>1.46</v>
      </c>
      <c r="K20" s="64">
        <v>234.99</v>
      </c>
      <c r="L20" s="64">
        <v>25.16</v>
      </c>
      <c r="M20" s="64">
        <v>56.81</v>
      </c>
      <c r="N20" s="64">
        <v>38</v>
      </c>
      <c r="O20" s="64">
        <v>0</v>
      </c>
      <c r="P20" s="64">
        <v>0.43</v>
      </c>
      <c r="Q20" s="64">
        <v>8.52</v>
      </c>
      <c r="R20" s="198"/>
      <c r="S20" s="198"/>
      <c r="T20" s="198"/>
      <c r="U20" s="198"/>
    </row>
    <row r="21" spans="1:21" s="12" customFormat="1" x14ac:dyDescent="0.25">
      <c r="A21" s="215" t="s">
        <v>1794</v>
      </c>
      <c r="B21" s="64">
        <v>2.4300000000000002</v>
      </c>
      <c r="C21" s="64">
        <v>36.96</v>
      </c>
      <c r="D21" s="64">
        <v>34.53</v>
      </c>
      <c r="E21" s="64">
        <v>4.3600000000000003</v>
      </c>
      <c r="F21" s="64">
        <v>13.48</v>
      </c>
      <c r="G21" s="64">
        <v>24.69</v>
      </c>
      <c r="H21" s="64">
        <v>11.31</v>
      </c>
      <c r="I21" s="64">
        <v>4.17</v>
      </c>
      <c r="J21" s="64">
        <v>1.02</v>
      </c>
      <c r="K21" s="64">
        <v>200.54</v>
      </c>
      <c r="L21" s="64">
        <v>24.87</v>
      </c>
      <c r="M21" s="64">
        <v>60.81</v>
      </c>
      <c r="N21" s="64">
        <v>38.200000000000003</v>
      </c>
      <c r="O21" s="64">
        <v>0</v>
      </c>
      <c r="P21" s="64">
        <v>0.43</v>
      </c>
      <c r="Q21" s="64">
        <v>8.7200000000000006</v>
      </c>
      <c r="R21" s="198"/>
      <c r="S21" s="198"/>
      <c r="T21" s="198"/>
      <c r="U21" s="198"/>
    </row>
    <row r="22" spans="1:21" s="12" customFormat="1" x14ac:dyDescent="0.25">
      <c r="A22" s="215" t="s">
        <v>1795</v>
      </c>
      <c r="B22" s="64">
        <v>4.3</v>
      </c>
      <c r="C22" s="64">
        <v>44.58</v>
      </c>
      <c r="D22" s="64">
        <v>40.28</v>
      </c>
      <c r="E22" s="64">
        <v>3.87</v>
      </c>
      <c r="F22" s="64">
        <v>8.8000000000000007</v>
      </c>
      <c r="G22" s="64">
        <v>26.57</v>
      </c>
      <c r="H22" s="64">
        <v>12.59</v>
      </c>
      <c r="I22" s="64">
        <v>4.1399999999999997</v>
      </c>
      <c r="J22" s="64">
        <v>1.35</v>
      </c>
      <c r="K22" s="64">
        <v>182.8</v>
      </c>
      <c r="L22" s="64">
        <v>24.44</v>
      </c>
      <c r="M22" s="64">
        <v>63.1</v>
      </c>
      <c r="N22" s="64">
        <v>38.1</v>
      </c>
      <c r="O22" s="64">
        <v>0</v>
      </c>
      <c r="P22" s="64">
        <v>0.61</v>
      </c>
      <c r="Q22" s="64">
        <v>8.61</v>
      </c>
      <c r="R22" s="198"/>
      <c r="S22" s="198"/>
      <c r="T22" s="198"/>
      <c r="U22" s="198"/>
    </row>
    <row r="23" spans="1:21" s="12" customFormat="1" x14ac:dyDescent="0.25">
      <c r="A23" s="215" t="s">
        <v>1796</v>
      </c>
      <c r="B23" s="64">
        <v>3.48</v>
      </c>
      <c r="C23" s="64">
        <v>42.77</v>
      </c>
      <c r="D23" s="64">
        <v>39.29</v>
      </c>
      <c r="E23" s="64">
        <v>4.01</v>
      </c>
      <c r="F23" s="64">
        <v>8.94</v>
      </c>
      <c r="G23" s="64">
        <v>28.55</v>
      </c>
      <c r="H23" s="64">
        <v>13.92</v>
      </c>
      <c r="I23" s="64">
        <v>4</v>
      </c>
      <c r="J23" s="64">
        <v>1.66</v>
      </c>
      <c r="K23" s="64">
        <v>169.08</v>
      </c>
      <c r="L23" s="64">
        <v>24.56</v>
      </c>
      <c r="M23" s="64">
        <v>62.7</v>
      </c>
      <c r="N23" s="64">
        <v>38</v>
      </c>
      <c r="O23" s="64">
        <v>0</v>
      </c>
      <c r="P23" s="64">
        <v>0.56999999999999995</v>
      </c>
      <c r="Q23" s="64">
        <v>8.7100000000000009</v>
      </c>
      <c r="R23" s="198"/>
      <c r="S23" s="198"/>
      <c r="T23" s="198"/>
      <c r="U23" s="198"/>
    </row>
    <row r="24" spans="1:21" s="12" customFormat="1" x14ac:dyDescent="0.25">
      <c r="A24" s="215" t="s">
        <v>1797</v>
      </c>
      <c r="B24" s="64">
        <v>3.51</v>
      </c>
      <c r="C24" s="64">
        <v>45.37</v>
      </c>
      <c r="D24" s="64">
        <v>41.86</v>
      </c>
      <c r="E24" s="64">
        <v>3.74</v>
      </c>
      <c r="F24" s="64">
        <v>9.9499999999999993</v>
      </c>
      <c r="G24" s="64">
        <v>28.55</v>
      </c>
      <c r="H24" s="64">
        <v>13.92</v>
      </c>
      <c r="I24" s="64">
        <v>4.12</v>
      </c>
      <c r="J24" s="64">
        <v>1.23</v>
      </c>
      <c r="K24" s="64">
        <v>182.59</v>
      </c>
      <c r="L24" s="64">
        <v>24.6</v>
      </c>
      <c r="M24" s="64">
        <v>60.6</v>
      </c>
      <c r="N24" s="64">
        <v>38</v>
      </c>
      <c r="O24" s="64">
        <v>0</v>
      </c>
      <c r="P24" s="64">
        <v>0.53</v>
      </c>
      <c r="Q24" s="64">
        <v>8.68</v>
      </c>
      <c r="R24" s="198"/>
      <c r="S24" s="198"/>
      <c r="T24" s="198"/>
      <c r="U24" s="198"/>
    </row>
    <row r="25" spans="1:21" s="12" customFormat="1" x14ac:dyDescent="0.25">
      <c r="A25" s="215" t="s">
        <v>1798</v>
      </c>
      <c r="B25" s="64">
        <v>2.89</v>
      </c>
      <c r="C25" s="64">
        <v>45.48</v>
      </c>
      <c r="D25" s="64">
        <v>42.59</v>
      </c>
      <c r="E25" s="64">
        <v>3.62</v>
      </c>
      <c r="F25" s="64">
        <v>10.220000000000001</v>
      </c>
      <c r="G25" s="64">
        <v>28.55</v>
      </c>
      <c r="H25" s="64">
        <v>13.92</v>
      </c>
      <c r="I25" s="64">
        <v>3.92</v>
      </c>
      <c r="J25" s="64">
        <v>1.1000000000000001</v>
      </c>
      <c r="K25" s="64">
        <v>235.62</v>
      </c>
      <c r="L25" s="64">
        <v>24.72</v>
      </c>
      <c r="M25" s="64">
        <v>59.37</v>
      </c>
      <c r="N25" s="64">
        <v>38.1</v>
      </c>
      <c r="O25" s="64">
        <v>0</v>
      </c>
      <c r="P25" s="64">
        <v>0.45</v>
      </c>
      <c r="Q25" s="64">
        <v>8.67</v>
      </c>
      <c r="R25" s="198"/>
      <c r="S25" s="198"/>
      <c r="T25" s="198"/>
      <c r="U25" s="198"/>
    </row>
    <row r="26" spans="1:21" s="12" customFormat="1" x14ac:dyDescent="0.25">
      <c r="A26" s="215" t="s">
        <v>1799</v>
      </c>
      <c r="B26" s="64">
        <v>3.73</v>
      </c>
      <c r="C26" s="64">
        <v>50.95</v>
      </c>
      <c r="D26" s="64">
        <v>47.23</v>
      </c>
      <c r="E26" s="64">
        <v>4.2</v>
      </c>
      <c r="F26" s="64">
        <v>9.74</v>
      </c>
      <c r="G26" s="64">
        <v>26.83</v>
      </c>
      <c r="H26" s="64">
        <v>12.51</v>
      </c>
      <c r="I26" s="64">
        <v>4.01</v>
      </c>
      <c r="J26" s="64">
        <v>1.1499999999999999</v>
      </c>
      <c r="K26" s="64">
        <v>180.05</v>
      </c>
      <c r="L26" s="64">
        <v>24.69</v>
      </c>
      <c r="M26" s="64">
        <v>59.45</v>
      </c>
      <c r="N26" s="64">
        <v>38</v>
      </c>
      <c r="O26" s="64">
        <v>0</v>
      </c>
      <c r="P26" s="64">
        <v>0.43</v>
      </c>
      <c r="Q26" s="64">
        <v>8.5299999999999994</v>
      </c>
      <c r="R26" s="198"/>
      <c r="S26" s="198"/>
      <c r="T26" s="198"/>
      <c r="U26" s="198"/>
    </row>
    <row r="27" spans="1:21" s="12" customFormat="1" x14ac:dyDescent="0.25">
      <c r="A27" s="215" t="s">
        <v>1800</v>
      </c>
      <c r="B27" s="64">
        <v>3.2</v>
      </c>
      <c r="C27" s="64">
        <v>48.9</v>
      </c>
      <c r="D27" s="64">
        <v>45.7</v>
      </c>
      <c r="E27" s="64">
        <v>3.8</v>
      </c>
      <c r="F27" s="64">
        <v>10.52</v>
      </c>
      <c r="G27" s="64">
        <v>25.04</v>
      </c>
      <c r="H27" s="64">
        <v>11.03</v>
      </c>
      <c r="I27" s="64">
        <v>4.0199999999999996</v>
      </c>
      <c r="J27" s="64">
        <v>1.1399999999999999</v>
      </c>
      <c r="K27" s="64">
        <v>205.44</v>
      </c>
      <c r="L27" s="64">
        <v>24.72</v>
      </c>
      <c r="M27" s="64">
        <v>59.62</v>
      </c>
      <c r="N27" s="64">
        <v>38</v>
      </c>
      <c r="O27" s="64">
        <v>0</v>
      </c>
      <c r="P27" s="64">
        <v>0.45</v>
      </c>
      <c r="Q27" s="64">
        <v>8.51</v>
      </c>
      <c r="R27" s="198"/>
      <c r="S27" s="198"/>
      <c r="T27" s="198"/>
      <c r="U27" s="198"/>
    </row>
    <row r="28" spans="1:21" s="12" customFormat="1" x14ac:dyDescent="0.25">
      <c r="A28" s="215" t="s">
        <v>1801</v>
      </c>
      <c r="B28" s="64">
        <v>6.05</v>
      </c>
      <c r="C28" s="64">
        <v>60.83</v>
      </c>
      <c r="D28" s="64">
        <v>54.79</v>
      </c>
      <c r="E28" s="64">
        <v>3.59</v>
      </c>
      <c r="F28" s="64">
        <v>8.84</v>
      </c>
      <c r="G28" s="64">
        <v>25.04</v>
      </c>
      <c r="H28" s="64">
        <v>11.03</v>
      </c>
      <c r="I28" s="64">
        <v>4.08</v>
      </c>
      <c r="J28" s="64">
        <v>1.25</v>
      </c>
      <c r="K28" s="64">
        <v>189.7</v>
      </c>
      <c r="L28" s="64">
        <v>24.82</v>
      </c>
      <c r="M28" s="64">
        <v>59.4</v>
      </c>
      <c r="N28" s="64">
        <v>37.9</v>
      </c>
      <c r="O28" s="64">
        <v>0</v>
      </c>
      <c r="P28" s="64">
        <v>0.46</v>
      </c>
      <c r="Q28" s="64">
        <v>8.57</v>
      </c>
      <c r="R28" s="198"/>
      <c r="S28" s="198"/>
      <c r="T28" s="198"/>
      <c r="U28" s="198"/>
    </row>
    <row r="29" spans="1:21" s="12" customFormat="1" x14ac:dyDescent="0.25">
      <c r="A29" s="215" t="s">
        <v>1802</v>
      </c>
      <c r="B29" s="64">
        <v>4.3899999999999997</v>
      </c>
      <c r="C29" s="64">
        <v>53.18</v>
      </c>
      <c r="D29" s="64">
        <v>48.79</v>
      </c>
      <c r="E29" s="64">
        <v>3.89</v>
      </c>
      <c r="F29" s="64">
        <v>8.93</v>
      </c>
      <c r="G29" s="64">
        <v>25.04</v>
      </c>
      <c r="H29" s="64">
        <v>11.03</v>
      </c>
      <c r="I29" s="64">
        <v>3.99</v>
      </c>
      <c r="J29" s="64">
        <v>1.44</v>
      </c>
      <c r="K29" s="64">
        <v>177.33</v>
      </c>
      <c r="L29" s="64">
        <v>24.82</v>
      </c>
      <c r="M29" s="64">
        <v>59.97</v>
      </c>
      <c r="N29" s="64">
        <v>37.799999999999997</v>
      </c>
      <c r="O29" s="64">
        <v>0</v>
      </c>
      <c r="P29" s="64">
        <v>0.48</v>
      </c>
      <c r="Q29" s="64">
        <v>8.7100000000000009</v>
      </c>
      <c r="R29" s="198"/>
      <c r="S29" s="198"/>
      <c r="T29" s="198"/>
      <c r="U29" s="198"/>
    </row>
    <row r="30" spans="1:21" s="12" customFormat="1" x14ac:dyDescent="0.25">
      <c r="A30" s="215" t="s">
        <v>1803</v>
      </c>
      <c r="B30" s="64">
        <v>3.37</v>
      </c>
      <c r="C30" s="64">
        <v>48.51</v>
      </c>
      <c r="D30" s="64">
        <v>45.14</v>
      </c>
      <c r="E30" s="64">
        <v>3.93</v>
      </c>
      <c r="F30" s="64">
        <v>10.83</v>
      </c>
      <c r="G30" s="64">
        <v>27.14</v>
      </c>
      <c r="H30" s="64">
        <v>10.39</v>
      </c>
      <c r="I30" s="64">
        <v>3.97</v>
      </c>
      <c r="J30" s="64">
        <v>1.25</v>
      </c>
      <c r="K30" s="64">
        <v>226.83</v>
      </c>
      <c r="L30" s="64">
        <v>24.68</v>
      </c>
      <c r="M30" s="64">
        <v>60.28</v>
      </c>
      <c r="N30" s="64">
        <v>38.6</v>
      </c>
      <c r="O30" s="64">
        <v>0</v>
      </c>
      <c r="P30" s="64">
        <v>0.43</v>
      </c>
      <c r="Q30" s="64">
        <v>8.6199999999999992</v>
      </c>
      <c r="R30" s="198"/>
      <c r="S30" s="198"/>
      <c r="T30" s="198"/>
      <c r="U30" s="198"/>
    </row>
    <row r="31" spans="1:21" s="12" customFormat="1" x14ac:dyDescent="0.25">
      <c r="A31" s="215" t="s">
        <v>1804</v>
      </c>
      <c r="B31" s="64">
        <v>4.3099999999999996</v>
      </c>
      <c r="C31" s="64">
        <v>51.64</v>
      </c>
      <c r="D31" s="64">
        <v>47.33</v>
      </c>
      <c r="E31" s="64">
        <v>3.87</v>
      </c>
      <c r="F31" s="64">
        <v>11.28</v>
      </c>
      <c r="G31" s="64">
        <v>29.33</v>
      </c>
      <c r="H31" s="64">
        <v>9.73</v>
      </c>
      <c r="I31" s="64">
        <v>4.04</v>
      </c>
      <c r="J31" s="64">
        <v>1.1599999999999999</v>
      </c>
      <c r="K31" s="64">
        <v>193.63</v>
      </c>
      <c r="L31" s="64">
        <v>24.55</v>
      </c>
      <c r="M31" s="64">
        <v>61.31</v>
      </c>
      <c r="N31" s="64">
        <v>41.4</v>
      </c>
      <c r="O31" s="64">
        <v>0</v>
      </c>
      <c r="P31" s="64">
        <v>0.43</v>
      </c>
      <c r="Q31" s="64">
        <v>8.69</v>
      </c>
      <c r="R31" s="198"/>
      <c r="S31" s="198"/>
      <c r="T31" s="198"/>
      <c r="U31" s="198"/>
    </row>
    <row r="32" spans="1:21" s="12" customFormat="1" x14ac:dyDescent="0.25">
      <c r="A32" s="215" t="s">
        <v>1805</v>
      </c>
      <c r="B32" s="64">
        <v>3.13</v>
      </c>
      <c r="C32" s="64">
        <v>50.31</v>
      </c>
      <c r="D32" s="64">
        <v>47.18</v>
      </c>
      <c r="E32" s="64">
        <v>3.73</v>
      </c>
      <c r="F32" s="64">
        <v>11.42</v>
      </c>
      <c r="G32" s="64">
        <v>29.33</v>
      </c>
      <c r="H32" s="64">
        <v>9.73</v>
      </c>
      <c r="I32" s="64">
        <v>3.91</v>
      </c>
      <c r="J32" s="64">
        <v>0.92</v>
      </c>
      <c r="K32" s="64">
        <v>206.78</v>
      </c>
      <c r="L32" s="64">
        <v>24.62</v>
      </c>
      <c r="M32" s="64">
        <v>61.21</v>
      </c>
      <c r="N32" s="64">
        <v>52.3</v>
      </c>
      <c r="O32" s="64">
        <v>0</v>
      </c>
      <c r="P32" s="64">
        <v>0.41</v>
      </c>
      <c r="Q32" s="64">
        <v>8.7799999999999994</v>
      </c>
      <c r="R32" s="198"/>
      <c r="S32" s="198"/>
      <c r="T32" s="198"/>
      <c r="U32" s="198"/>
    </row>
    <row r="33" spans="1:21" s="12" customFormat="1" x14ac:dyDescent="0.25">
      <c r="A33" s="215" t="s">
        <v>1806</v>
      </c>
      <c r="B33" s="64">
        <v>3.01</v>
      </c>
      <c r="C33" s="64">
        <v>46.99</v>
      </c>
      <c r="D33" s="64">
        <v>43.98</v>
      </c>
      <c r="E33" s="64">
        <v>4</v>
      </c>
      <c r="F33" s="64">
        <v>13.39</v>
      </c>
      <c r="G33" s="64">
        <v>29.33</v>
      </c>
      <c r="H33" s="64">
        <v>9.73</v>
      </c>
      <c r="I33" s="64">
        <v>4</v>
      </c>
      <c r="J33" s="64">
        <v>1.19</v>
      </c>
      <c r="K33" s="64">
        <v>218.82</v>
      </c>
      <c r="L33" s="64">
        <v>24.89</v>
      </c>
      <c r="M33" s="64">
        <v>60.72</v>
      </c>
      <c r="N33" s="64">
        <v>73.2</v>
      </c>
      <c r="O33" s="64">
        <v>0</v>
      </c>
      <c r="P33" s="64">
        <v>0.44</v>
      </c>
      <c r="Q33" s="64">
        <v>8.57</v>
      </c>
      <c r="R33" s="198"/>
      <c r="S33" s="198"/>
      <c r="T33" s="198"/>
      <c r="U33" s="198"/>
    </row>
    <row r="34" spans="1:21" s="12" customFormat="1" x14ac:dyDescent="0.25">
      <c r="A34" s="215" t="s">
        <v>1807</v>
      </c>
      <c r="B34" s="64">
        <v>4.4400000000000004</v>
      </c>
      <c r="C34" s="64">
        <v>51.74</v>
      </c>
      <c r="D34" s="64">
        <v>47.3</v>
      </c>
      <c r="E34" s="64">
        <v>3.66</v>
      </c>
      <c r="F34" s="64">
        <v>9.66</v>
      </c>
      <c r="G34" s="64">
        <v>30.37</v>
      </c>
      <c r="H34" s="64">
        <v>10.88</v>
      </c>
      <c r="I34" s="64">
        <v>4.1100000000000003</v>
      </c>
      <c r="J34" s="64">
        <v>2.09</v>
      </c>
      <c r="K34" s="64">
        <v>156.77000000000001</v>
      </c>
      <c r="L34" s="64">
        <v>25.28</v>
      </c>
      <c r="M34" s="64">
        <v>59.95</v>
      </c>
      <c r="N34" s="64">
        <v>103.5</v>
      </c>
      <c r="O34" s="64">
        <v>0</v>
      </c>
      <c r="P34" s="64">
        <v>0.46</v>
      </c>
      <c r="Q34" s="64">
        <v>8.59</v>
      </c>
      <c r="R34" s="198"/>
      <c r="S34" s="198"/>
      <c r="T34" s="198"/>
      <c r="U34" s="198"/>
    </row>
    <row r="35" spans="1:21" s="12" customFormat="1" x14ac:dyDescent="0.25">
      <c r="A35" s="215" t="s">
        <v>1808</v>
      </c>
      <c r="B35" s="64">
        <v>5.41</v>
      </c>
      <c r="C35" s="64">
        <v>55.08</v>
      </c>
      <c r="D35" s="64">
        <v>49.67</v>
      </c>
      <c r="E35" s="64">
        <v>4.0199999999999996</v>
      </c>
      <c r="F35" s="64">
        <v>9.0299999999999994</v>
      </c>
      <c r="G35" s="64">
        <v>31.45</v>
      </c>
      <c r="H35" s="64">
        <v>12.08</v>
      </c>
      <c r="I35" s="64">
        <v>4</v>
      </c>
      <c r="J35" s="64">
        <v>1.84</v>
      </c>
      <c r="K35" s="64">
        <v>170.34</v>
      </c>
      <c r="L35" s="64">
        <v>25.67</v>
      </c>
      <c r="M35" s="64">
        <v>58.4</v>
      </c>
      <c r="N35" s="64">
        <v>145.5</v>
      </c>
      <c r="O35" s="64">
        <v>0</v>
      </c>
      <c r="P35" s="64">
        <v>0.47</v>
      </c>
      <c r="Q35" s="64">
        <v>8.5500000000000007</v>
      </c>
      <c r="R35" s="198"/>
      <c r="S35" s="198"/>
      <c r="T35" s="198"/>
      <c r="U35" s="198"/>
    </row>
    <row r="36" spans="1:21" s="12" customFormat="1" x14ac:dyDescent="0.25">
      <c r="A36" s="215" t="s">
        <v>1809</v>
      </c>
      <c r="B36" s="64">
        <v>4.72</v>
      </c>
      <c r="C36" s="64">
        <v>52.72</v>
      </c>
      <c r="D36" s="64">
        <v>47.99</v>
      </c>
      <c r="E36" s="64">
        <v>3.8</v>
      </c>
      <c r="F36" s="64">
        <v>9.83</v>
      </c>
      <c r="G36" s="64">
        <v>31.45</v>
      </c>
      <c r="H36" s="64">
        <v>12.08</v>
      </c>
      <c r="I36" s="64">
        <v>3.94</v>
      </c>
      <c r="J36" s="64">
        <v>1.98</v>
      </c>
      <c r="K36" s="64">
        <v>171.43</v>
      </c>
      <c r="L36" s="64">
        <v>26.12</v>
      </c>
      <c r="M36" s="64">
        <v>56.58</v>
      </c>
      <c r="N36" s="64">
        <v>156.4</v>
      </c>
      <c r="O36" s="64">
        <v>0</v>
      </c>
      <c r="P36" s="64">
        <v>0.46</v>
      </c>
      <c r="Q36" s="64">
        <v>8.6</v>
      </c>
      <c r="R36" s="198"/>
      <c r="S36" s="198"/>
      <c r="T36" s="198"/>
      <c r="U36" s="198"/>
    </row>
    <row r="37" spans="1:21" s="12" customFormat="1" x14ac:dyDescent="0.25">
      <c r="A37" s="215" t="s">
        <v>1810</v>
      </c>
      <c r="B37" s="64">
        <v>4.07</v>
      </c>
      <c r="C37" s="64">
        <v>49.54</v>
      </c>
      <c r="D37" s="64">
        <v>45.47</v>
      </c>
      <c r="E37" s="64">
        <v>3.76</v>
      </c>
      <c r="F37" s="64">
        <v>11.6</v>
      </c>
      <c r="G37" s="64">
        <v>31.45</v>
      </c>
      <c r="H37" s="64">
        <v>12.08</v>
      </c>
      <c r="I37" s="64">
        <v>4.1100000000000003</v>
      </c>
      <c r="J37" s="64">
        <v>1.72</v>
      </c>
      <c r="K37" s="64">
        <v>161.19</v>
      </c>
      <c r="L37" s="64">
        <v>26.62</v>
      </c>
      <c r="M37" s="64">
        <v>55.39</v>
      </c>
      <c r="N37" s="64">
        <v>182.8</v>
      </c>
      <c r="O37" s="64">
        <v>0</v>
      </c>
      <c r="P37" s="64">
        <v>0.44</v>
      </c>
      <c r="Q37" s="64">
        <v>8.67</v>
      </c>
      <c r="R37" s="198"/>
      <c r="S37" s="198"/>
      <c r="T37" s="198"/>
      <c r="U37" s="198"/>
    </row>
    <row r="38" spans="1:21" s="12" customFormat="1" x14ac:dyDescent="0.25">
      <c r="A38" s="215" t="s">
        <v>1811</v>
      </c>
      <c r="B38" s="64">
        <v>6.5</v>
      </c>
      <c r="C38" s="64">
        <v>53.96</v>
      </c>
      <c r="D38" s="64">
        <v>47.45</v>
      </c>
      <c r="E38" s="64">
        <v>4.28</v>
      </c>
      <c r="F38" s="64">
        <v>12.33</v>
      </c>
      <c r="G38" s="64">
        <v>33.29</v>
      </c>
      <c r="H38" s="64">
        <v>11.59</v>
      </c>
      <c r="I38" s="64">
        <v>3.7</v>
      </c>
      <c r="J38" s="64">
        <v>1.01</v>
      </c>
      <c r="K38" s="64">
        <v>204.51</v>
      </c>
      <c r="L38" s="64">
        <v>27.7</v>
      </c>
      <c r="M38" s="64">
        <v>51.56</v>
      </c>
      <c r="N38" s="64">
        <v>278.89999999999998</v>
      </c>
      <c r="O38" s="64">
        <v>0</v>
      </c>
      <c r="P38" s="64">
        <v>0.47</v>
      </c>
      <c r="Q38" s="64">
        <v>8.66</v>
      </c>
      <c r="R38" s="198"/>
      <c r="S38" s="198"/>
      <c r="T38" s="198"/>
      <c r="U38" s="198"/>
    </row>
    <row r="39" spans="1:21" s="12" customFormat="1" x14ac:dyDescent="0.25">
      <c r="A39" s="215" t="s">
        <v>1812</v>
      </c>
      <c r="B39" s="64">
        <v>5.24</v>
      </c>
      <c r="C39" s="64">
        <v>50.3</v>
      </c>
      <c r="D39" s="64">
        <v>45.07</v>
      </c>
      <c r="E39" s="64">
        <v>4.2</v>
      </c>
      <c r="F39" s="64">
        <v>9.99</v>
      </c>
      <c r="G39" s="64">
        <v>35.22</v>
      </c>
      <c r="H39" s="64">
        <v>11.08</v>
      </c>
      <c r="I39" s="64">
        <v>4.03</v>
      </c>
      <c r="J39" s="64">
        <v>1.85</v>
      </c>
      <c r="K39" s="64">
        <v>171.87</v>
      </c>
      <c r="L39" s="64">
        <v>28.02</v>
      </c>
      <c r="M39" s="64">
        <v>50.9</v>
      </c>
      <c r="N39" s="64">
        <v>315.10000000000002</v>
      </c>
      <c r="O39" s="64">
        <v>0</v>
      </c>
      <c r="P39" s="64">
        <v>0.45</v>
      </c>
      <c r="Q39" s="64">
        <v>8.49</v>
      </c>
      <c r="R39" s="198"/>
      <c r="S39" s="198"/>
      <c r="T39" s="198"/>
      <c r="U39" s="198"/>
    </row>
    <row r="40" spans="1:21" s="12" customFormat="1" x14ac:dyDescent="0.25">
      <c r="A40" s="215" t="s">
        <v>1813</v>
      </c>
      <c r="B40" s="64">
        <v>5.03</v>
      </c>
      <c r="C40" s="64">
        <v>55.56</v>
      </c>
      <c r="D40" s="64">
        <v>50.53</v>
      </c>
      <c r="E40" s="64">
        <v>3.34</v>
      </c>
      <c r="F40" s="64">
        <v>7.51</v>
      </c>
      <c r="G40" s="64">
        <v>35.22</v>
      </c>
      <c r="H40" s="64">
        <v>11.08</v>
      </c>
      <c r="I40" s="64">
        <v>3.98</v>
      </c>
      <c r="J40" s="64">
        <v>1.23</v>
      </c>
      <c r="K40" s="64">
        <v>209.48</v>
      </c>
      <c r="L40" s="64">
        <v>28.64</v>
      </c>
      <c r="M40" s="64">
        <v>50.14</v>
      </c>
      <c r="N40" s="64">
        <v>388.1</v>
      </c>
      <c r="O40" s="64">
        <v>0</v>
      </c>
      <c r="P40" s="64">
        <v>0.47</v>
      </c>
      <c r="Q40" s="64">
        <v>8.8000000000000007</v>
      </c>
      <c r="R40" s="198"/>
      <c r="S40" s="198"/>
      <c r="T40" s="198"/>
      <c r="U40" s="198"/>
    </row>
    <row r="41" spans="1:21" s="12" customFormat="1" x14ac:dyDescent="0.25">
      <c r="A41" s="215" t="s">
        <v>1814</v>
      </c>
      <c r="B41" s="64">
        <v>4.59</v>
      </c>
      <c r="C41" s="64">
        <v>54.74</v>
      </c>
      <c r="D41" s="64">
        <v>50.14</v>
      </c>
      <c r="E41" s="64">
        <v>2.8</v>
      </c>
      <c r="F41" s="64">
        <v>9.06</v>
      </c>
      <c r="G41" s="64">
        <v>35.22</v>
      </c>
      <c r="H41" s="64">
        <v>11.08</v>
      </c>
      <c r="I41" s="64">
        <v>3.96</v>
      </c>
      <c r="J41" s="64">
        <v>1.49</v>
      </c>
      <c r="K41" s="64">
        <v>257.27</v>
      </c>
      <c r="L41" s="64">
        <v>30.27</v>
      </c>
      <c r="M41" s="64">
        <v>46.49</v>
      </c>
      <c r="N41" s="64">
        <v>439.1</v>
      </c>
      <c r="O41" s="64">
        <v>0</v>
      </c>
      <c r="P41" s="64">
        <v>0.47</v>
      </c>
      <c r="Q41" s="64">
        <v>8.61</v>
      </c>
      <c r="R41" s="198"/>
      <c r="S41" s="198"/>
      <c r="T41" s="198"/>
      <c r="U41" s="198"/>
    </row>
    <row r="42" spans="1:21" s="12" customFormat="1" x14ac:dyDescent="0.25">
      <c r="A42" s="215" t="s">
        <v>1815</v>
      </c>
      <c r="B42" s="64">
        <v>3.36</v>
      </c>
      <c r="C42" s="64">
        <v>50.62</v>
      </c>
      <c r="D42" s="64">
        <v>47.26</v>
      </c>
      <c r="E42" s="64">
        <v>3.13</v>
      </c>
      <c r="F42" s="64">
        <v>9.61</v>
      </c>
      <c r="G42" s="64">
        <v>33.85</v>
      </c>
      <c r="H42" s="64">
        <v>10.43</v>
      </c>
      <c r="I42" s="64">
        <v>3.93</v>
      </c>
      <c r="J42" s="64">
        <v>1.66</v>
      </c>
      <c r="K42" s="64">
        <v>187.4</v>
      </c>
      <c r="L42" s="64">
        <v>29.87</v>
      </c>
      <c r="M42" s="64">
        <v>48.76</v>
      </c>
      <c r="N42" s="64">
        <v>456.7</v>
      </c>
      <c r="O42" s="64">
        <v>0</v>
      </c>
      <c r="P42" s="64">
        <v>0.45</v>
      </c>
      <c r="Q42" s="64">
        <v>8.76</v>
      </c>
      <c r="R42" s="198"/>
      <c r="S42" s="198"/>
      <c r="T42" s="198"/>
      <c r="U42" s="198"/>
    </row>
    <row r="43" spans="1:21" s="12" customFormat="1" x14ac:dyDescent="0.25">
      <c r="A43" s="215" t="s">
        <v>1816</v>
      </c>
      <c r="B43" s="64">
        <v>2.83</v>
      </c>
      <c r="C43" s="64">
        <v>52.84</v>
      </c>
      <c r="D43" s="64">
        <v>50.01</v>
      </c>
      <c r="E43" s="64">
        <v>2.61</v>
      </c>
      <c r="F43" s="64">
        <v>9.2100000000000009</v>
      </c>
      <c r="G43" s="64">
        <v>32.42</v>
      </c>
      <c r="H43" s="64">
        <v>9.75</v>
      </c>
      <c r="I43" s="64">
        <v>4.32</v>
      </c>
      <c r="J43" s="64">
        <v>1.34</v>
      </c>
      <c r="K43" s="64">
        <v>189.32</v>
      </c>
      <c r="L43" s="64">
        <v>30.16</v>
      </c>
      <c r="M43" s="64">
        <v>49.44</v>
      </c>
      <c r="N43" s="64">
        <v>496</v>
      </c>
      <c r="O43" s="64">
        <v>0</v>
      </c>
      <c r="P43" s="64">
        <v>0.45</v>
      </c>
      <c r="Q43" s="64">
        <v>8.59</v>
      </c>
      <c r="R43" s="198"/>
      <c r="S43" s="198"/>
      <c r="T43" s="198"/>
      <c r="U43" s="198"/>
    </row>
    <row r="44" spans="1:21" s="12" customFormat="1" x14ac:dyDescent="0.25">
      <c r="A44" s="215" t="s">
        <v>1817</v>
      </c>
      <c r="B44" s="64">
        <v>2.09</v>
      </c>
      <c r="C44" s="64">
        <v>52.21</v>
      </c>
      <c r="D44" s="64">
        <v>50.12</v>
      </c>
      <c r="E44" s="64">
        <v>2.7</v>
      </c>
      <c r="F44" s="64">
        <v>8.9700000000000006</v>
      </c>
      <c r="G44" s="64">
        <v>32.42</v>
      </c>
      <c r="H44" s="64">
        <v>9.75</v>
      </c>
      <c r="I44" s="64">
        <v>3.9</v>
      </c>
      <c r="J44" s="64">
        <v>0.88</v>
      </c>
      <c r="K44" s="64">
        <v>217.48</v>
      </c>
      <c r="L44" s="64">
        <v>30.81</v>
      </c>
      <c r="M44" s="64">
        <v>48.79</v>
      </c>
      <c r="N44" s="64">
        <v>575.9</v>
      </c>
      <c r="O44" s="64">
        <v>0</v>
      </c>
      <c r="P44" s="64">
        <v>0.44</v>
      </c>
      <c r="Q44" s="64">
        <v>8.6999999999999993</v>
      </c>
      <c r="R44" s="198"/>
      <c r="S44" s="198"/>
      <c r="T44" s="198"/>
      <c r="U44" s="198"/>
    </row>
    <row r="45" spans="1:21" s="12" customFormat="1" x14ac:dyDescent="0.25">
      <c r="A45" s="215" t="s">
        <v>1818</v>
      </c>
      <c r="B45" s="64">
        <v>1.52</v>
      </c>
      <c r="C45" s="64">
        <v>50.48</v>
      </c>
      <c r="D45" s="64">
        <v>48.97</v>
      </c>
      <c r="E45" s="64">
        <v>2.74</v>
      </c>
      <c r="F45" s="64">
        <v>11.94</v>
      </c>
      <c r="G45" s="64">
        <v>32.42</v>
      </c>
      <c r="H45" s="64">
        <v>9.75</v>
      </c>
      <c r="I45" s="64">
        <v>3.89</v>
      </c>
      <c r="J45" s="64">
        <v>2.2400000000000002</v>
      </c>
      <c r="K45" s="64">
        <v>155.30000000000001</v>
      </c>
      <c r="L45" s="64">
        <v>30.52</v>
      </c>
      <c r="M45" s="64">
        <v>49.83</v>
      </c>
      <c r="N45" s="64">
        <v>592</v>
      </c>
      <c r="O45" s="64">
        <v>0</v>
      </c>
      <c r="P45" s="64">
        <v>0.42</v>
      </c>
      <c r="Q45" s="64">
        <v>8.48</v>
      </c>
      <c r="R45" s="198"/>
      <c r="S45" s="198"/>
      <c r="T45" s="198"/>
      <c r="U45" s="198"/>
    </row>
    <row r="46" spans="1:21" s="12" customFormat="1" x14ac:dyDescent="0.25">
      <c r="A46" s="215" t="s">
        <v>1819</v>
      </c>
      <c r="B46" s="64">
        <v>1.0900000000000001</v>
      </c>
      <c r="C46" s="64">
        <v>47.74</v>
      </c>
      <c r="D46" s="64">
        <v>46.66</v>
      </c>
      <c r="E46" s="64">
        <v>3.26</v>
      </c>
      <c r="F46" s="64">
        <v>11.61</v>
      </c>
      <c r="G46" s="64">
        <v>32.11</v>
      </c>
      <c r="H46" s="64">
        <v>10</v>
      </c>
      <c r="I46" s="64">
        <v>3.99</v>
      </c>
      <c r="J46" s="64">
        <v>1.05</v>
      </c>
      <c r="K46" s="64">
        <v>209.35</v>
      </c>
      <c r="L46" s="64">
        <v>31.6</v>
      </c>
      <c r="M46" s="64">
        <v>47.18</v>
      </c>
      <c r="N46" s="64">
        <v>621.4</v>
      </c>
      <c r="O46" s="64">
        <v>0</v>
      </c>
      <c r="P46" s="64">
        <v>0.44</v>
      </c>
      <c r="Q46" s="64">
        <v>8.35</v>
      </c>
      <c r="R46" s="198"/>
      <c r="S46" s="198"/>
      <c r="T46" s="198"/>
      <c r="U46" s="198"/>
    </row>
    <row r="47" spans="1:21" s="12" customFormat="1" x14ac:dyDescent="0.25">
      <c r="A47" s="215" t="s">
        <v>1820</v>
      </c>
      <c r="B47" s="64">
        <v>2.61</v>
      </c>
      <c r="C47" s="64">
        <v>47.32</v>
      </c>
      <c r="D47" s="64">
        <v>44.72</v>
      </c>
      <c r="E47" s="64">
        <v>2.77</v>
      </c>
      <c r="F47" s="64">
        <v>7.67</v>
      </c>
      <c r="G47" s="64">
        <v>31.78</v>
      </c>
      <c r="H47" s="64">
        <v>10.27</v>
      </c>
      <c r="I47" s="64">
        <v>4.16</v>
      </c>
      <c r="J47" s="64">
        <v>1.41</v>
      </c>
      <c r="K47" s="64">
        <v>273.76</v>
      </c>
      <c r="L47" s="64">
        <v>34.049999999999997</v>
      </c>
      <c r="M47" s="64">
        <v>41.71</v>
      </c>
      <c r="N47" s="64">
        <v>717.9</v>
      </c>
      <c r="O47" s="64">
        <v>0</v>
      </c>
      <c r="P47" s="64">
        <v>0.45</v>
      </c>
      <c r="Q47" s="64">
        <v>8.65</v>
      </c>
      <c r="R47" s="198"/>
      <c r="S47" s="198"/>
      <c r="T47" s="198"/>
      <c r="U47" s="198"/>
    </row>
    <row r="48" spans="1:21" s="12" customFormat="1" x14ac:dyDescent="0.25">
      <c r="A48" s="215" t="s">
        <v>1821</v>
      </c>
      <c r="B48" s="64">
        <v>1.75</v>
      </c>
      <c r="C48" s="64">
        <v>51.27</v>
      </c>
      <c r="D48" s="64">
        <v>49.52</v>
      </c>
      <c r="E48" s="64">
        <v>2.58</v>
      </c>
      <c r="F48" s="64">
        <v>9.1199999999999992</v>
      </c>
      <c r="G48" s="64">
        <v>31.78</v>
      </c>
      <c r="H48" s="64">
        <v>10.27</v>
      </c>
      <c r="I48" s="64">
        <v>4.03</v>
      </c>
      <c r="J48" s="64">
        <v>1.32</v>
      </c>
      <c r="K48" s="64">
        <v>247.49</v>
      </c>
      <c r="L48" s="64">
        <v>33.340000000000003</v>
      </c>
      <c r="M48" s="64">
        <v>43.22</v>
      </c>
      <c r="N48" s="64">
        <v>764.2</v>
      </c>
      <c r="O48" s="64">
        <v>0</v>
      </c>
      <c r="P48" s="64">
        <v>0.45</v>
      </c>
      <c r="Q48" s="64">
        <v>8.4</v>
      </c>
      <c r="R48" s="198"/>
      <c r="S48" s="198"/>
      <c r="T48" s="198"/>
      <c r="U48" s="198"/>
    </row>
    <row r="49" spans="1:21" s="12" customFormat="1" x14ac:dyDescent="0.25">
      <c r="A49" s="215" t="s">
        <v>1822</v>
      </c>
      <c r="B49" s="64">
        <v>2.71</v>
      </c>
      <c r="C49" s="64">
        <v>53.47</v>
      </c>
      <c r="D49" s="64">
        <v>50.76</v>
      </c>
      <c r="E49" s="64">
        <v>2.4</v>
      </c>
      <c r="F49" s="64">
        <v>8.77</v>
      </c>
      <c r="G49" s="64">
        <v>31.78</v>
      </c>
      <c r="H49" s="64">
        <v>10.27</v>
      </c>
      <c r="I49" s="64">
        <v>4.0999999999999996</v>
      </c>
      <c r="J49" s="64">
        <v>1.5</v>
      </c>
      <c r="K49" s="64">
        <v>279.66000000000003</v>
      </c>
      <c r="L49" s="64">
        <v>34.700000000000003</v>
      </c>
      <c r="M49" s="64">
        <v>41.34</v>
      </c>
      <c r="N49" s="64">
        <v>788</v>
      </c>
      <c r="O49" s="64">
        <v>0</v>
      </c>
      <c r="P49" s="64">
        <v>0.46</v>
      </c>
      <c r="Q49" s="64">
        <v>8.48</v>
      </c>
      <c r="R49" s="198"/>
      <c r="S49" s="198"/>
      <c r="T49" s="198"/>
      <c r="U49" s="198"/>
    </row>
    <row r="50" spans="1:21" s="12" customFormat="1" x14ac:dyDescent="0.25">
      <c r="A50" s="215" t="s">
        <v>1823</v>
      </c>
      <c r="B50" s="64">
        <v>2.3199999999999998</v>
      </c>
      <c r="C50" s="64">
        <v>49.73</v>
      </c>
      <c r="D50" s="64">
        <v>47.41</v>
      </c>
      <c r="E50" s="64">
        <v>3.25</v>
      </c>
      <c r="F50" s="64">
        <v>11.39</v>
      </c>
      <c r="G50" s="64">
        <v>32.14</v>
      </c>
      <c r="H50" s="64">
        <v>11.91</v>
      </c>
      <c r="I50" s="64">
        <v>3.98</v>
      </c>
      <c r="J50" s="64">
        <v>1.37</v>
      </c>
      <c r="K50" s="64">
        <v>266.36</v>
      </c>
      <c r="L50" s="64">
        <v>35.53</v>
      </c>
      <c r="M50" s="64">
        <v>39.76</v>
      </c>
      <c r="N50" s="64">
        <v>784.5</v>
      </c>
      <c r="O50" s="64">
        <v>0</v>
      </c>
      <c r="P50" s="64">
        <v>0.45</v>
      </c>
      <c r="Q50" s="64">
        <v>8.56</v>
      </c>
      <c r="R50" s="198"/>
      <c r="S50" s="198"/>
      <c r="T50" s="198"/>
      <c r="U50" s="198"/>
    </row>
    <row r="51" spans="1:21" s="12" customFormat="1" x14ac:dyDescent="0.25">
      <c r="A51" s="215" t="s">
        <v>1824</v>
      </c>
      <c r="B51" s="64">
        <v>1.69</v>
      </c>
      <c r="C51" s="64">
        <v>48.07</v>
      </c>
      <c r="D51" s="64">
        <v>46.37</v>
      </c>
      <c r="E51" s="64">
        <v>3.53</v>
      </c>
      <c r="F51" s="64">
        <v>12.74</v>
      </c>
      <c r="G51" s="64">
        <v>32.520000000000003</v>
      </c>
      <c r="H51" s="64">
        <v>13.63</v>
      </c>
      <c r="I51" s="64">
        <v>4.01</v>
      </c>
      <c r="J51" s="64">
        <v>0.9</v>
      </c>
      <c r="K51" s="64">
        <v>221.95</v>
      </c>
      <c r="L51" s="64">
        <v>34.28</v>
      </c>
      <c r="M51" s="64">
        <v>43.62</v>
      </c>
      <c r="N51" s="64">
        <v>825.1</v>
      </c>
      <c r="O51" s="64">
        <v>0</v>
      </c>
      <c r="P51" s="64">
        <v>0.43</v>
      </c>
      <c r="Q51" s="64">
        <v>8.43</v>
      </c>
      <c r="R51" s="198"/>
      <c r="S51" s="198"/>
      <c r="T51" s="198"/>
      <c r="U51" s="198"/>
    </row>
    <row r="52" spans="1:21" s="12" customFormat="1" x14ac:dyDescent="0.25">
      <c r="A52" s="215" t="s">
        <v>1825</v>
      </c>
      <c r="B52" s="64">
        <v>0.9</v>
      </c>
      <c r="C52" s="64">
        <v>46.93</v>
      </c>
      <c r="D52" s="64">
        <v>46.02</v>
      </c>
      <c r="E52" s="64">
        <v>3.06</v>
      </c>
      <c r="F52" s="64">
        <v>10.210000000000001</v>
      </c>
      <c r="G52" s="64">
        <v>32.520000000000003</v>
      </c>
      <c r="H52" s="64">
        <v>13.63</v>
      </c>
      <c r="I52" s="64">
        <v>3.94</v>
      </c>
      <c r="J52" s="64">
        <v>1.36</v>
      </c>
      <c r="K52" s="64">
        <v>247</v>
      </c>
      <c r="L52" s="64">
        <v>34.5</v>
      </c>
      <c r="M52" s="64">
        <v>41.14</v>
      </c>
      <c r="N52" s="64">
        <v>825.2</v>
      </c>
      <c r="O52" s="64">
        <v>0</v>
      </c>
      <c r="P52" s="64">
        <v>0.43</v>
      </c>
      <c r="Q52" s="64">
        <v>8.58</v>
      </c>
      <c r="R52" s="198"/>
      <c r="S52" s="198"/>
      <c r="T52" s="198"/>
      <c r="U52" s="198"/>
    </row>
    <row r="53" spans="1:21" s="12" customFormat="1" x14ac:dyDescent="0.25">
      <c r="A53" s="215" t="s">
        <v>1826</v>
      </c>
      <c r="B53" s="64">
        <v>0.76</v>
      </c>
      <c r="C53" s="64">
        <v>47.94</v>
      </c>
      <c r="D53" s="64">
        <v>47.19</v>
      </c>
      <c r="E53" s="64">
        <v>3.17</v>
      </c>
      <c r="F53" s="64">
        <v>9.6300000000000008</v>
      </c>
      <c r="G53" s="64">
        <v>32.520000000000003</v>
      </c>
      <c r="H53" s="64">
        <v>13.63</v>
      </c>
      <c r="I53" s="64">
        <v>3.97</v>
      </c>
      <c r="J53" s="64">
        <v>1.82</v>
      </c>
      <c r="K53" s="64">
        <v>286.12</v>
      </c>
      <c r="L53" s="64">
        <v>36.07</v>
      </c>
      <c r="M53" s="64">
        <v>37.4</v>
      </c>
      <c r="N53" s="64">
        <v>843</v>
      </c>
      <c r="O53" s="64">
        <v>0</v>
      </c>
      <c r="P53" s="64">
        <v>0.43</v>
      </c>
      <c r="Q53" s="64">
        <v>8.5399999999999991</v>
      </c>
      <c r="R53" s="198"/>
      <c r="S53" s="198"/>
      <c r="T53" s="198"/>
      <c r="U53" s="198"/>
    </row>
    <row r="54" spans="1:21" s="12" customFormat="1" x14ac:dyDescent="0.25">
      <c r="A54" s="215" t="s">
        <v>1827</v>
      </c>
      <c r="B54" s="64">
        <v>1.05</v>
      </c>
      <c r="C54" s="64">
        <v>48.51</v>
      </c>
      <c r="D54" s="64">
        <v>47.46</v>
      </c>
      <c r="E54" s="64">
        <v>2.65</v>
      </c>
      <c r="F54" s="64">
        <v>11.59</v>
      </c>
      <c r="G54" s="64">
        <v>34.24</v>
      </c>
      <c r="H54" s="64">
        <v>13.82</v>
      </c>
      <c r="I54" s="64">
        <v>3.95</v>
      </c>
      <c r="J54" s="64">
        <v>1.48</v>
      </c>
      <c r="K54" s="64">
        <v>268.48</v>
      </c>
      <c r="L54" s="64">
        <v>36.82</v>
      </c>
      <c r="M54" s="64">
        <v>35.32</v>
      </c>
      <c r="N54" s="64">
        <v>862.2</v>
      </c>
      <c r="O54" s="64">
        <v>0</v>
      </c>
      <c r="P54" s="64">
        <v>0.43</v>
      </c>
      <c r="Q54" s="64">
        <v>8.66</v>
      </c>
      <c r="R54" s="198"/>
      <c r="S54" s="198"/>
      <c r="T54" s="198"/>
      <c r="U54" s="198"/>
    </row>
    <row r="55" spans="1:21" s="12" customFormat="1" x14ac:dyDescent="0.25">
      <c r="A55" s="215" t="s">
        <v>1828</v>
      </c>
      <c r="B55" s="64">
        <v>0.9</v>
      </c>
      <c r="C55" s="64">
        <v>47.65</v>
      </c>
      <c r="D55" s="64">
        <v>46.75</v>
      </c>
      <c r="E55" s="64">
        <v>3.11</v>
      </c>
      <c r="F55" s="64">
        <v>10.3</v>
      </c>
      <c r="G55" s="64">
        <v>36.03</v>
      </c>
      <c r="H55" s="64">
        <v>14.03</v>
      </c>
      <c r="I55" s="64">
        <v>3.86</v>
      </c>
      <c r="J55" s="64">
        <v>1.71</v>
      </c>
      <c r="K55" s="64">
        <v>282.13</v>
      </c>
      <c r="L55" s="64">
        <v>36.590000000000003</v>
      </c>
      <c r="M55" s="64">
        <v>36.340000000000003</v>
      </c>
      <c r="N55" s="64">
        <v>860</v>
      </c>
      <c r="O55" s="64">
        <v>0</v>
      </c>
      <c r="P55" s="64">
        <v>0.42</v>
      </c>
      <c r="Q55" s="64">
        <v>8.58</v>
      </c>
      <c r="R55" s="198"/>
      <c r="S55" s="198"/>
      <c r="T55" s="198"/>
      <c r="U55" s="198"/>
    </row>
    <row r="56" spans="1:21" s="12" customFormat="1" x14ac:dyDescent="0.25">
      <c r="A56" s="215" t="s">
        <v>1829</v>
      </c>
      <c r="B56" s="64">
        <v>0.95</v>
      </c>
      <c r="C56" s="64">
        <v>47.91</v>
      </c>
      <c r="D56" s="64">
        <v>46.97</v>
      </c>
      <c r="E56" s="64">
        <v>2.86</v>
      </c>
      <c r="F56" s="64">
        <v>9.77</v>
      </c>
      <c r="G56" s="64">
        <v>36.03</v>
      </c>
      <c r="H56" s="64">
        <v>14.03</v>
      </c>
      <c r="I56" s="64">
        <v>4.05</v>
      </c>
      <c r="J56" s="64">
        <v>2.25</v>
      </c>
      <c r="K56" s="64">
        <v>293.27</v>
      </c>
      <c r="L56" s="64">
        <v>38.229999999999997</v>
      </c>
      <c r="M56" s="64">
        <v>33.67</v>
      </c>
      <c r="N56" s="64">
        <v>870.1</v>
      </c>
      <c r="O56" s="64">
        <v>0</v>
      </c>
      <c r="P56" s="64">
        <v>0.43</v>
      </c>
      <c r="Q56" s="64">
        <v>8.56</v>
      </c>
      <c r="R56" s="198"/>
      <c r="S56" s="198"/>
      <c r="T56" s="198"/>
      <c r="U56" s="198"/>
    </row>
    <row r="57" spans="1:21" s="12" customFormat="1" x14ac:dyDescent="0.25">
      <c r="A57" s="215" t="s">
        <v>1830</v>
      </c>
      <c r="B57" s="64">
        <v>0.7</v>
      </c>
      <c r="C57" s="64">
        <v>46.27</v>
      </c>
      <c r="D57" s="64">
        <v>45.57</v>
      </c>
      <c r="E57" s="64">
        <v>3.2</v>
      </c>
      <c r="F57" s="64">
        <v>10.050000000000001</v>
      </c>
      <c r="G57" s="64">
        <v>36.03</v>
      </c>
      <c r="H57" s="64">
        <v>14.03</v>
      </c>
      <c r="I57" s="64">
        <v>4</v>
      </c>
      <c r="J57" s="64">
        <v>1.66</v>
      </c>
      <c r="K57" s="64">
        <v>272.02999999999997</v>
      </c>
      <c r="L57" s="64">
        <v>36.880000000000003</v>
      </c>
      <c r="M57" s="64">
        <v>35.799999999999997</v>
      </c>
      <c r="N57" s="64">
        <v>837.1</v>
      </c>
      <c r="O57" s="64">
        <v>0</v>
      </c>
      <c r="P57" s="64">
        <v>0.43</v>
      </c>
      <c r="Q57" s="64">
        <v>8.58</v>
      </c>
      <c r="R57" s="198"/>
      <c r="S57" s="198"/>
      <c r="T57" s="198"/>
      <c r="U57" s="198"/>
    </row>
    <row r="58" spans="1:21" s="12" customFormat="1" x14ac:dyDescent="0.25">
      <c r="A58" s="215" t="s">
        <v>1831</v>
      </c>
      <c r="B58" s="64">
        <v>1.1100000000000001</v>
      </c>
      <c r="C58" s="64">
        <v>50.11</v>
      </c>
      <c r="D58" s="64">
        <v>49</v>
      </c>
      <c r="E58" s="64">
        <v>4.2</v>
      </c>
      <c r="F58" s="64">
        <v>13.21</v>
      </c>
      <c r="G58" s="64">
        <v>37.380000000000003</v>
      </c>
      <c r="H58" s="64">
        <v>13.31</v>
      </c>
      <c r="I58" s="64">
        <v>4.05</v>
      </c>
      <c r="J58" s="64">
        <v>1.6</v>
      </c>
      <c r="K58" s="64">
        <v>269.32</v>
      </c>
      <c r="L58" s="64">
        <v>36.770000000000003</v>
      </c>
      <c r="M58" s="64">
        <v>36.06</v>
      </c>
      <c r="N58" s="64">
        <v>830</v>
      </c>
      <c r="O58" s="64">
        <v>0</v>
      </c>
      <c r="P58" s="64">
        <v>0.53</v>
      </c>
      <c r="Q58" s="64">
        <v>8.48</v>
      </c>
      <c r="R58" s="198"/>
      <c r="S58" s="198"/>
      <c r="T58" s="198"/>
      <c r="U58" s="198"/>
    </row>
    <row r="59" spans="1:21" s="12" customFormat="1" x14ac:dyDescent="0.25">
      <c r="A59" s="215" t="s">
        <v>1832</v>
      </c>
      <c r="B59" s="64">
        <v>0.54</v>
      </c>
      <c r="C59" s="64">
        <v>44.79</v>
      </c>
      <c r="D59" s="64">
        <v>44.25</v>
      </c>
      <c r="E59" s="64">
        <v>3.67</v>
      </c>
      <c r="F59" s="64">
        <v>10.7</v>
      </c>
      <c r="G59" s="64">
        <v>38.79</v>
      </c>
      <c r="H59" s="64">
        <v>12.56</v>
      </c>
      <c r="I59" s="64">
        <v>3.89</v>
      </c>
      <c r="J59" s="64">
        <v>1.55</v>
      </c>
      <c r="K59" s="64">
        <v>257.66000000000003</v>
      </c>
      <c r="L59" s="64">
        <v>35.85</v>
      </c>
      <c r="M59" s="64">
        <v>36.619999999999997</v>
      </c>
      <c r="N59" s="64">
        <v>822.5</v>
      </c>
      <c r="O59" s="64">
        <v>0</v>
      </c>
      <c r="P59" s="64">
        <v>0.5</v>
      </c>
      <c r="Q59" s="64">
        <v>8.6</v>
      </c>
      <c r="R59" s="198"/>
      <c r="S59" s="198"/>
      <c r="T59" s="198"/>
      <c r="U59" s="198"/>
    </row>
    <row r="60" spans="1:21" s="12" customFormat="1" x14ac:dyDescent="0.25">
      <c r="A60" s="215" t="s">
        <v>1833</v>
      </c>
      <c r="B60" s="64">
        <v>0.36</v>
      </c>
      <c r="C60" s="64">
        <v>48.88</v>
      </c>
      <c r="D60" s="64">
        <v>48.52</v>
      </c>
      <c r="E60" s="64">
        <v>3.68</v>
      </c>
      <c r="F60" s="64">
        <v>11.58</v>
      </c>
      <c r="G60" s="64">
        <v>38.79</v>
      </c>
      <c r="H60" s="64">
        <v>12.56</v>
      </c>
      <c r="I60" s="64">
        <v>4</v>
      </c>
      <c r="J60" s="64">
        <v>1.72</v>
      </c>
      <c r="K60" s="64">
        <v>265.77</v>
      </c>
      <c r="L60" s="64">
        <v>35.89</v>
      </c>
      <c r="M60" s="64">
        <v>37.26</v>
      </c>
      <c r="N60" s="64">
        <v>803.1</v>
      </c>
      <c r="O60" s="64">
        <v>0</v>
      </c>
      <c r="P60" s="64">
        <v>0.52</v>
      </c>
      <c r="Q60" s="64">
        <v>8.51</v>
      </c>
      <c r="R60" s="198"/>
      <c r="S60" s="198"/>
      <c r="T60" s="198"/>
      <c r="U60" s="198"/>
    </row>
    <row r="61" spans="1:21" s="12" customFormat="1" x14ac:dyDescent="0.25">
      <c r="A61" s="215" t="s">
        <v>1834</v>
      </c>
      <c r="B61" s="64">
        <v>0.64</v>
      </c>
      <c r="C61" s="64">
        <v>46.61</v>
      </c>
      <c r="D61" s="64">
        <v>45.98</v>
      </c>
      <c r="E61" s="64">
        <v>3.66</v>
      </c>
      <c r="F61" s="64">
        <v>13.76</v>
      </c>
      <c r="G61" s="64">
        <v>38.79</v>
      </c>
      <c r="H61" s="64">
        <v>12.56</v>
      </c>
      <c r="I61" s="64">
        <v>4.0599999999999996</v>
      </c>
      <c r="J61" s="64">
        <v>1.19</v>
      </c>
      <c r="K61" s="64">
        <v>261.60000000000002</v>
      </c>
      <c r="L61" s="64">
        <v>37.03</v>
      </c>
      <c r="M61" s="64">
        <v>35.11</v>
      </c>
      <c r="N61" s="64">
        <v>780.4</v>
      </c>
      <c r="O61" s="64">
        <v>0</v>
      </c>
      <c r="P61" s="64">
        <v>0.53</v>
      </c>
      <c r="Q61" s="64">
        <v>8.51</v>
      </c>
      <c r="R61" s="198"/>
      <c r="S61" s="198"/>
      <c r="T61" s="198"/>
      <c r="U61" s="198"/>
    </row>
    <row r="62" spans="1:21" s="12" customFormat="1" x14ac:dyDescent="0.25">
      <c r="A62" s="215" t="s">
        <v>1835</v>
      </c>
      <c r="B62" s="64">
        <v>0.34</v>
      </c>
      <c r="C62" s="64">
        <v>40.83</v>
      </c>
      <c r="D62" s="64">
        <v>40.49</v>
      </c>
      <c r="E62" s="64">
        <v>4.3</v>
      </c>
      <c r="F62" s="64">
        <v>9.85</v>
      </c>
      <c r="G62" s="64">
        <v>40.630000000000003</v>
      </c>
      <c r="H62" s="64">
        <v>12.23</v>
      </c>
      <c r="I62" s="64">
        <v>4.0199999999999996</v>
      </c>
      <c r="J62" s="64">
        <v>1.7</v>
      </c>
      <c r="K62" s="64">
        <v>263.64999999999998</v>
      </c>
      <c r="L62" s="64">
        <v>36.96</v>
      </c>
      <c r="M62" s="64">
        <v>33.72</v>
      </c>
      <c r="N62" s="64">
        <v>756</v>
      </c>
      <c r="O62" s="64">
        <v>0</v>
      </c>
      <c r="P62" s="64">
        <v>0.56999999999999995</v>
      </c>
      <c r="Q62" s="64">
        <v>8.56</v>
      </c>
      <c r="R62" s="198"/>
      <c r="S62" s="198"/>
      <c r="T62" s="198"/>
      <c r="U62" s="198"/>
    </row>
    <row r="63" spans="1:21" s="12" customFormat="1" x14ac:dyDescent="0.25">
      <c r="A63" s="215" t="s">
        <v>1836</v>
      </c>
      <c r="B63" s="64">
        <v>0.23</v>
      </c>
      <c r="C63" s="64">
        <v>40.61</v>
      </c>
      <c r="D63" s="64">
        <v>40.380000000000003</v>
      </c>
      <c r="E63" s="64">
        <v>3.3</v>
      </c>
      <c r="F63" s="64">
        <v>14.71</v>
      </c>
      <c r="G63" s="64">
        <v>42.57</v>
      </c>
      <c r="H63" s="64">
        <v>11.89</v>
      </c>
      <c r="I63" s="64">
        <v>3.95</v>
      </c>
      <c r="J63" s="64">
        <v>1.75</v>
      </c>
      <c r="K63" s="64">
        <v>266.54000000000002</v>
      </c>
      <c r="L63" s="64">
        <v>36.46</v>
      </c>
      <c r="M63" s="64">
        <v>34.39</v>
      </c>
      <c r="N63" s="64">
        <v>720.9</v>
      </c>
      <c r="O63" s="64">
        <v>0</v>
      </c>
      <c r="P63" s="64">
        <v>0.55000000000000004</v>
      </c>
      <c r="Q63" s="64">
        <v>8.4</v>
      </c>
      <c r="R63" s="198"/>
      <c r="S63" s="198"/>
      <c r="T63" s="198"/>
      <c r="U63" s="198"/>
    </row>
    <row r="64" spans="1:21" s="12" customFormat="1" x14ac:dyDescent="0.25">
      <c r="A64" s="215" t="s">
        <v>1837</v>
      </c>
      <c r="B64" s="64">
        <v>0.63</v>
      </c>
      <c r="C64" s="64">
        <v>44.47</v>
      </c>
      <c r="D64" s="64">
        <v>43.84</v>
      </c>
      <c r="E64" s="64">
        <v>2.73</v>
      </c>
      <c r="F64" s="64">
        <v>13.1</v>
      </c>
      <c r="G64" s="64">
        <v>42.57</v>
      </c>
      <c r="H64" s="64">
        <v>11.89</v>
      </c>
      <c r="I64" s="64">
        <v>4.08</v>
      </c>
      <c r="J64" s="64">
        <v>1.64</v>
      </c>
      <c r="K64" s="64">
        <v>255.48</v>
      </c>
      <c r="L64" s="64">
        <v>36.71</v>
      </c>
      <c r="M64" s="64">
        <v>33.94</v>
      </c>
      <c r="N64" s="64">
        <v>618.9</v>
      </c>
      <c r="O64" s="64">
        <v>0</v>
      </c>
      <c r="P64" s="64">
        <v>0.56000000000000005</v>
      </c>
      <c r="Q64" s="64">
        <v>8.58</v>
      </c>
      <c r="R64" s="198"/>
      <c r="S64" s="198"/>
      <c r="T64" s="198"/>
      <c r="U64" s="198"/>
    </row>
    <row r="65" spans="1:21" s="12" customFormat="1" x14ac:dyDescent="0.25">
      <c r="A65" s="215" t="s">
        <v>1838</v>
      </c>
      <c r="B65" s="64">
        <v>0.52</v>
      </c>
      <c r="C65" s="64">
        <v>50.32</v>
      </c>
      <c r="D65" s="64">
        <v>49.79</v>
      </c>
      <c r="E65" s="64">
        <v>3.32</v>
      </c>
      <c r="F65" s="64">
        <v>13.28</v>
      </c>
      <c r="G65" s="64">
        <v>42.57</v>
      </c>
      <c r="H65" s="64">
        <v>11.89</v>
      </c>
      <c r="I65" s="64">
        <v>4.1100000000000003</v>
      </c>
      <c r="J65" s="64">
        <v>1.57</v>
      </c>
      <c r="K65" s="64">
        <v>254.37</v>
      </c>
      <c r="L65" s="64">
        <v>36.18</v>
      </c>
      <c r="M65" s="64">
        <v>34.39</v>
      </c>
      <c r="N65" s="64">
        <v>470.6</v>
      </c>
      <c r="O65" s="64">
        <v>0</v>
      </c>
      <c r="P65" s="64">
        <v>0.54</v>
      </c>
      <c r="Q65" s="64">
        <v>8.4</v>
      </c>
      <c r="R65" s="198"/>
      <c r="S65" s="198"/>
      <c r="T65" s="198"/>
      <c r="U65" s="198"/>
    </row>
    <row r="66" spans="1:21" s="12" customFormat="1" x14ac:dyDescent="0.25">
      <c r="A66" s="215" t="s">
        <v>1839</v>
      </c>
      <c r="B66" s="64">
        <v>0.22</v>
      </c>
      <c r="C66" s="64">
        <v>40.770000000000003</v>
      </c>
      <c r="D66" s="64">
        <v>40.56</v>
      </c>
      <c r="E66" s="64">
        <v>3.13</v>
      </c>
      <c r="F66" s="64">
        <v>12.52</v>
      </c>
      <c r="G66" s="64">
        <v>42.5</v>
      </c>
      <c r="H66" s="64">
        <v>13.44</v>
      </c>
      <c r="I66" s="64">
        <v>3.9</v>
      </c>
      <c r="J66" s="64">
        <v>1.63</v>
      </c>
      <c r="K66" s="64">
        <v>261.76</v>
      </c>
      <c r="L66" s="64">
        <v>36.11</v>
      </c>
      <c r="M66" s="64">
        <v>34.71</v>
      </c>
      <c r="N66" s="64">
        <v>486.1</v>
      </c>
      <c r="O66" s="64">
        <v>0</v>
      </c>
      <c r="P66" s="64">
        <v>0.52</v>
      </c>
      <c r="Q66" s="64">
        <v>8.2899999999999991</v>
      </c>
      <c r="R66" s="198"/>
      <c r="S66" s="198"/>
      <c r="T66" s="198"/>
      <c r="U66" s="198"/>
    </row>
    <row r="67" spans="1:21" s="12" customFormat="1" x14ac:dyDescent="0.25">
      <c r="A67" s="215" t="s">
        <v>1840</v>
      </c>
      <c r="B67" s="64">
        <v>0.18</v>
      </c>
      <c r="C67" s="64">
        <v>40.36</v>
      </c>
      <c r="D67" s="64">
        <v>41.67</v>
      </c>
      <c r="E67" s="64">
        <v>3.03</v>
      </c>
      <c r="F67" s="64">
        <v>12.05</v>
      </c>
      <c r="G67" s="64">
        <v>42.43</v>
      </c>
      <c r="H67" s="64">
        <v>15.06</v>
      </c>
      <c r="I67" s="64">
        <v>4.05</v>
      </c>
      <c r="J67" s="64">
        <v>1.78</v>
      </c>
      <c r="K67" s="64">
        <v>272.85000000000002</v>
      </c>
      <c r="L67" s="64">
        <v>36.25</v>
      </c>
      <c r="M67" s="64">
        <v>34.42</v>
      </c>
      <c r="N67" s="64">
        <v>251.4</v>
      </c>
      <c r="O67" s="64">
        <v>0</v>
      </c>
      <c r="P67" s="64">
        <v>0.51</v>
      </c>
      <c r="Q67" s="64">
        <v>8.4499999999999993</v>
      </c>
      <c r="R67" s="198"/>
      <c r="S67" s="198"/>
      <c r="T67" s="198"/>
      <c r="U67" s="198"/>
    </row>
    <row r="68" spans="1:21" s="12" customFormat="1" x14ac:dyDescent="0.25">
      <c r="A68" s="215" t="s">
        <v>1841</v>
      </c>
      <c r="B68" s="64">
        <v>0.4</v>
      </c>
      <c r="C68" s="64">
        <v>40.98</v>
      </c>
      <c r="D68" s="64">
        <v>40.58</v>
      </c>
      <c r="E68" s="64">
        <v>2.93</v>
      </c>
      <c r="F68" s="64">
        <v>15.22</v>
      </c>
      <c r="G68" s="64">
        <v>42.43</v>
      </c>
      <c r="H68" s="64">
        <v>15.06</v>
      </c>
      <c r="I68" s="64">
        <v>4</v>
      </c>
      <c r="J68" s="64">
        <v>1.84</v>
      </c>
      <c r="K68" s="64">
        <v>281.89</v>
      </c>
      <c r="L68" s="64">
        <v>36.33</v>
      </c>
      <c r="M68" s="64">
        <v>33.630000000000003</v>
      </c>
      <c r="N68" s="64">
        <v>254.2</v>
      </c>
      <c r="O68" s="64">
        <v>0</v>
      </c>
      <c r="P68" s="64">
        <v>0.48</v>
      </c>
      <c r="Q68" s="64">
        <v>8.5299999999999994</v>
      </c>
      <c r="R68" s="198"/>
      <c r="S68" s="198"/>
      <c r="T68" s="198"/>
      <c r="U68" s="198"/>
    </row>
    <row r="69" spans="1:21" s="12" customFormat="1" x14ac:dyDescent="0.25">
      <c r="A69" s="215" t="s">
        <v>1842</v>
      </c>
      <c r="B69" s="64">
        <v>0.17</v>
      </c>
      <c r="C69" s="64">
        <v>39.78</v>
      </c>
      <c r="D69" s="64">
        <v>39.619999999999997</v>
      </c>
      <c r="E69" s="64">
        <v>2.77</v>
      </c>
      <c r="F69" s="64">
        <v>13.07</v>
      </c>
      <c r="G69" s="64">
        <v>42.43</v>
      </c>
      <c r="H69" s="64">
        <v>15.06</v>
      </c>
      <c r="I69" s="64">
        <v>3.91</v>
      </c>
      <c r="J69" s="64">
        <v>1.44</v>
      </c>
      <c r="K69" s="64">
        <v>260.81</v>
      </c>
      <c r="L69" s="64">
        <v>35.6</v>
      </c>
      <c r="M69" s="64">
        <v>32.81</v>
      </c>
      <c r="N69" s="64">
        <v>142.69999999999999</v>
      </c>
      <c r="O69" s="64">
        <v>0</v>
      </c>
      <c r="P69" s="64">
        <v>0.47</v>
      </c>
      <c r="Q69" s="64">
        <v>8.48</v>
      </c>
      <c r="R69" s="198"/>
      <c r="S69" s="198"/>
      <c r="T69" s="198"/>
      <c r="U69" s="198"/>
    </row>
    <row r="70" spans="1:21" s="12" customFormat="1" x14ac:dyDescent="0.25">
      <c r="A70" s="215" t="s">
        <v>1843</v>
      </c>
      <c r="B70" s="64">
        <v>0.38</v>
      </c>
      <c r="C70" s="64">
        <v>40.65</v>
      </c>
      <c r="D70" s="64">
        <v>40.270000000000003</v>
      </c>
      <c r="E70" s="64">
        <v>3.31</v>
      </c>
      <c r="F70" s="64">
        <v>15.55</v>
      </c>
      <c r="G70" s="64">
        <v>42.51</v>
      </c>
      <c r="H70" s="64">
        <v>14.51</v>
      </c>
      <c r="I70" s="64">
        <v>3.81</v>
      </c>
      <c r="J70" s="64">
        <v>1.55</v>
      </c>
      <c r="K70" s="64">
        <v>268.10000000000002</v>
      </c>
      <c r="L70" s="64">
        <v>35.04</v>
      </c>
      <c r="M70" s="64">
        <v>34.869999999999997</v>
      </c>
      <c r="N70" s="64">
        <v>128.9</v>
      </c>
      <c r="O70" s="64">
        <v>0</v>
      </c>
      <c r="P70" s="64">
        <v>0.47</v>
      </c>
      <c r="Q70" s="64">
        <v>8.52</v>
      </c>
      <c r="R70" s="198"/>
      <c r="S70" s="198"/>
      <c r="T70" s="198"/>
      <c r="U70" s="198"/>
    </row>
    <row r="71" spans="1:21" s="12" customFormat="1" x14ac:dyDescent="0.25">
      <c r="A71" s="215" t="s">
        <v>1844</v>
      </c>
      <c r="B71" s="64">
        <v>0.9</v>
      </c>
      <c r="C71" s="64">
        <v>41.26</v>
      </c>
      <c r="D71" s="64">
        <v>40.36</v>
      </c>
      <c r="E71" s="64">
        <v>3.04</v>
      </c>
      <c r="F71" s="64">
        <v>14.7</v>
      </c>
      <c r="G71" s="64">
        <v>42.58</v>
      </c>
      <c r="H71" s="64">
        <v>13.94</v>
      </c>
      <c r="I71" s="64">
        <v>4.26</v>
      </c>
      <c r="J71" s="64">
        <v>1.43</v>
      </c>
      <c r="K71" s="64">
        <v>265.69</v>
      </c>
      <c r="L71" s="64">
        <v>35.130000000000003</v>
      </c>
      <c r="M71" s="64">
        <v>36</v>
      </c>
      <c r="N71" s="64">
        <v>167.6</v>
      </c>
      <c r="O71" s="64">
        <v>0</v>
      </c>
      <c r="P71" s="64">
        <v>0.49</v>
      </c>
      <c r="Q71" s="64">
        <v>8.36</v>
      </c>
      <c r="R71" s="198"/>
      <c r="S71" s="198"/>
      <c r="T71" s="198"/>
      <c r="U71" s="198"/>
    </row>
    <row r="72" spans="1:21" s="12" customFormat="1" x14ac:dyDescent="0.25">
      <c r="A72" s="215" t="s">
        <v>1845</v>
      </c>
      <c r="B72" s="64">
        <v>1.35</v>
      </c>
      <c r="C72" s="64">
        <v>42.88</v>
      </c>
      <c r="D72" s="64">
        <v>41.52</v>
      </c>
      <c r="E72" s="64">
        <v>2.69</v>
      </c>
      <c r="F72" s="64">
        <v>14.6</v>
      </c>
      <c r="G72" s="64">
        <v>42.58</v>
      </c>
      <c r="H72" s="64">
        <v>13.94</v>
      </c>
      <c r="I72" s="64">
        <v>4.1100000000000003</v>
      </c>
      <c r="J72" s="64">
        <v>1.57</v>
      </c>
      <c r="K72" s="64">
        <v>280.56</v>
      </c>
      <c r="L72" s="64">
        <v>34.619999999999997</v>
      </c>
      <c r="M72" s="64">
        <v>35.85</v>
      </c>
      <c r="N72" s="64">
        <v>124.5</v>
      </c>
      <c r="O72" s="64">
        <v>0</v>
      </c>
      <c r="P72" s="64">
        <v>0.48</v>
      </c>
      <c r="Q72" s="64">
        <v>8.5399999999999991</v>
      </c>
      <c r="R72" s="198"/>
      <c r="S72" s="198"/>
      <c r="T72" s="198"/>
      <c r="U72" s="198"/>
    </row>
    <row r="73" spans="1:21" s="12" customFormat="1" x14ac:dyDescent="0.25">
      <c r="A73" s="215" t="s">
        <v>1846</v>
      </c>
      <c r="B73" s="64">
        <v>0.2</v>
      </c>
      <c r="C73" s="64">
        <v>39.04</v>
      </c>
      <c r="D73" s="64">
        <v>38.840000000000003</v>
      </c>
      <c r="E73" s="64">
        <v>3.69</v>
      </c>
      <c r="F73" s="64">
        <v>15.21</v>
      </c>
      <c r="G73" s="64">
        <v>42.58</v>
      </c>
      <c r="H73" s="64">
        <v>13.94</v>
      </c>
      <c r="I73" s="64">
        <v>3.92</v>
      </c>
      <c r="J73" s="64">
        <v>1.39</v>
      </c>
      <c r="K73" s="64">
        <v>267.51</v>
      </c>
      <c r="L73" s="64">
        <v>34.36</v>
      </c>
      <c r="M73" s="64">
        <v>39.409999999999997</v>
      </c>
      <c r="N73" s="64">
        <v>126</v>
      </c>
      <c r="O73" s="64">
        <v>0</v>
      </c>
      <c r="P73" s="64">
        <v>0.49</v>
      </c>
      <c r="Q73" s="64">
        <v>8.5399999999999991</v>
      </c>
      <c r="R73" s="198"/>
      <c r="S73" s="198"/>
      <c r="T73" s="198"/>
      <c r="U73" s="198"/>
    </row>
    <row r="74" spans="1:21" s="12" customFormat="1" x14ac:dyDescent="0.25">
      <c r="A74" s="215" t="s">
        <v>1847</v>
      </c>
      <c r="B74" s="64">
        <v>1.22</v>
      </c>
      <c r="C74" s="64">
        <v>41.15</v>
      </c>
      <c r="D74" s="64">
        <v>39.93</v>
      </c>
      <c r="E74" s="64">
        <v>3.84</v>
      </c>
      <c r="F74" s="64">
        <v>19.79</v>
      </c>
      <c r="G74" s="64">
        <v>37.53</v>
      </c>
      <c r="H74" s="64">
        <v>12.51</v>
      </c>
      <c r="I74" s="64">
        <v>4</v>
      </c>
      <c r="J74" s="64">
        <v>1.6</v>
      </c>
      <c r="K74" s="64">
        <v>270.70999999999998</v>
      </c>
      <c r="L74" s="64">
        <v>31.36</v>
      </c>
      <c r="M74" s="64">
        <v>59.51</v>
      </c>
      <c r="N74" s="64">
        <v>183.1</v>
      </c>
      <c r="O74" s="64">
        <v>1</v>
      </c>
      <c r="P74" s="64">
        <v>0.46</v>
      </c>
      <c r="Q74" s="64">
        <v>8.58</v>
      </c>
      <c r="R74" s="198"/>
      <c r="S74" s="198"/>
      <c r="T74" s="198"/>
      <c r="U74" s="198"/>
    </row>
    <row r="75" spans="1:21" s="12" customFormat="1" x14ac:dyDescent="0.25">
      <c r="A75" s="215" t="s">
        <v>1848</v>
      </c>
      <c r="B75" s="64">
        <v>2.91</v>
      </c>
      <c r="C75" s="64">
        <v>55.84</v>
      </c>
      <c r="D75" s="64">
        <v>52.92</v>
      </c>
      <c r="E75" s="64">
        <v>3.48</v>
      </c>
      <c r="F75" s="64">
        <v>12.92</v>
      </c>
      <c r="G75" s="64">
        <v>34.770000000000003</v>
      </c>
      <c r="H75" s="64">
        <v>11.02</v>
      </c>
      <c r="I75" s="64">
        <v>3.95</v>
      </c>
      <c r="J75" s="64">
        <v>1.33</v>
      </c>
      <c r="K75" s="64">
        <v>271.95</v>
      </c>
      <c r="L75" s="64">
        <v>31.95</v>
      </c>
      <c r="M75" s="64">
        <v>51.67</v>
      </c>
      <c r="N75" s="64">
        <v>174.1</v>
      </c>
      <c r="O75" s="64">
        <v>0</v>
      </c>
      <c r="P75" s="64">
        <v>0.5</v>
      </c>
      <c r="Q75" s="64">
        <v>8.49</v>
      </c>
      <c r="R75" s="198"/>
      <c r="S75" s="198"/>
      <c r="T75" s="198"/>
      <c r="U75" s="198"/>
    </row>
    <row r="76" spans="1:21" s="12" customFormat="1" x14ac:dyDescent="0.25">
      <c r="A76" s="215" t="s">
        <v>1849</v>
      </c>
      <c r="B76" s="64">
        <v>1.18</v>
      </c>
      <c r="C76" s="64">
        <v>53.13</v>
      </c>
      <c r="D76" s="64">
        <v>51.95</v>
      </c>
      <c r="E76" s="64">
        <v>5.23</v>
      </c>
      <c r="F76" s="64">
        <v>11.54</v>
      </c>
      <c r="G76" s="64">
        <v>34.770000000000003</v>
      </c>
      <c r="H76" s="64">
        <v>11.02</v>
      </c>
      <c r="I76" s="64">
        <v>3.99</v>
      </c>
      <c r="J76" s="64">
        <v>1.61</v>
      </c>
      <c r="K76" s="64">
        <v>277.92</v>
      </c>
      <c r="L76" s="64">
        <v>32.78</v>
      </c>
      <c r="M76" s="64">
        <v>42.13</v>
      </c>
      <c r="N76" s="64">
        <v>130.6</v>
      </c>
      <c r="O76" s="64">
        <v>0</v>
      </c>
      <c r="P76" s="64">
        <v>0.56999999999999995</v>
      </c>
      <c r="Q76" s="64">
        <v>8.4</v>
      </c>
      <c r="R76" s="198"/>
      <c r="S76" s="198"/>
      <c r="T76" s="198"/>
      <c r="U76" s="198"/>
    </row>
    <row r="77" spans="1:21" s="12" customFormat="1" x14ac:dyDescent="0.25">
      <c r="A77" s="215" t="s">
        <v>1850</v>
      </c>
      <c r="B77" s="64">
        <v>3.54</v>
      </c>
      <c r="C77" s="64">
        <v>59.9</v>
      </c>
      <c r="D77" s="64">
        <v>56.35</v>
      </c>
      <c r="E77" s="64">
        <v>4.72</v>
      </c>
      <c r="F77" s="64">
        <v>12.51</v>
      </c>
      <c r="G77" s="64">
        <v>34.770000000000003</v>
      </c>
      <c r="H77" s="64">
        <v>11.02</v>
      </c>
      <c r="I77" s="64">
        <v>3.81</v>
      </c>
      <c r="J77" s="64">
        <v>1.51</v>
      </c>
      <c r="K77" s="64">
        <v>279.67</v>
      </c>
      <c r="L77" s="64">
        <v>32.68</v>
      </c>
      <c r="M77" s="64">
        <v>36.89</v>
      </c>
      <c r="N77" s="64">
        <v>97.5</v>
      </c>
      <c r="O77" s="64">
        <v>0</v>
      </c>
      <c r="P77" s="64">
        <v>0.69</v>
      </c>
      <c r="Q77" s="64">
        <v>8.31</v>
      </c>
      <c r="R77" s="198"/>
      <c r="S77" s="198"/>
      <c r="T77" s="198"/>
      <c r="U77" s="198"/>
    </row>
    <row r="78" spans="1:21" s="12" customFormat="1" x14ac:dyDescent="0.25">
      <c r="A78" s="215" t="s">
        <v>1851</v>
      </c>
      <c r="B78" s="64">
        <v>3.79</v>
      </c>
      <c r="C78" s="64">
        <v>69.069999999999993</v>
      </c>
      <c r="D78" s="64">
        <v>65.27</v>
      </c>
      <c r="E78" s="64">
        <v>8.76</v>
      </c>
      <c r="F78" s="64">
        <v>14.95</v>
      </c>
      <c r="G78" s="64">
        <v>46.85</v>
      </c>
      <c r="H78" s="64">
        <v>12.29</v>
      </c>
      <c r="I78" s="64">
        <v>4</v>
      </c>
      <c r="J78" s="64">
        <v>1.1100000000000001</v>
      </c>
      <c r="K78" s="64">
        <v>270.51</v>
      </c>
      <c r="L78" s="64">
        <v>32.67</v>
      </c>
      <c r="M78" s="64">
        <v>34.700000000000003</v>
      </c>
      <c r="N78" s="64">
        <v>85.8</v>
      </c>
      <c r="O78" s="64">
        <v>0</v>
      </c>
      <c r="P78" s="64">
        <v>0.83</v>
      </c>
      <c r="Q78" s="64">
        <v>8.58</v>
      </c>
      <c r="R78" s="198"/>
      <c r="S78" s="198"/>
      <c r="T78" s="198"/>
      <c r="U78" s="198"/>
    </row>
    <row r="79" spans="1:21" s="12" customFormat="1" x14ac:dyDescent="0.25">
      <c r="A79" s="215" t="s">
        <v>1852</v>
      </c>
      <c r="B79" s="64">
        <v>5.08</v>
      </c>
      <c r="C79" s="64">
        <v>76.77</v>
      </c>
      <c r="D79" s="64">
        <v>71.7</v>
      </c>
      <c r="E79" s="64">
        <v>8.1999999999999993</v>
      </c>
      <c r="F79" s="64">
        <v>18.920000000000002</v>
      </c>
      <c r="G79" s="64">
        <v>59.47</v>
      </c>
      <c r="H79" s="64">
        <v>13.63</v>
      </c>
      <c r="I79" s="64">
        <v>4.0199999999999996</v>
      </c>
      <c r="J79" s="64">
        <v>1.1000000000000001</v>
      </c>
      <c r="K79" s="64">
        <v>229.04</v>
      </c>
      <c r="L79" s="64">
        <v>32.72</v>
      </c>
      <c r="M79" s="64">
        <v>32.93</v>
      </c>
      <c r="N79" s="64">
        <v>69.7</v>
      </c>
      <c r="O79" s="64">
        <v>0</v>
      </c>
      <c r="P79" s="64">
        <v>0.91</v>
      </c>
      <c r="Q79" s="64">
        <v>8.39</v>
      </c>
      <c r="R79" s="198"/>
      <c r="S79" s="198"/>
      <c r="T79" s="198"/>
      <c r="U79" s="198"/>
    </row>
    <row r="80" spans="1:21" s="12" customFormat="1" x14ac:dyDescent="0.25">
      <c r="A80" s="215" t="s">
        <v>1853</v>
      </c>
      <c r="B80" s="64">
        <v>4.8499999999999996</v>
      </c>
      <c r="C80" s="64">
        <v>87.97</v>
      </c>
      <c r="D80" s="64">
        <v>83.12</v>
      </c>
      <c r="E80" s="64">
        <v>8.36</v>
      </c>
      <c r="F80" s="64">
        <v>17.670000000000002</v>
      </c>
      <c r="G80" s="64">
        <v>59.47</v>
      </c>
      <c r="H80" s="64">
        <v>13.63</v>
      </c>
      <c r="I80" s="64">
        <v>4.0599999999999996</v>
      </c>
      <c r="J80" s="64">
        <v>1.71</v>
      </c>
      <c r="K80" s="64">
        <v>163.65</v>
      </c>
      <c r="L80" s="64">
        <v>32.520000000000003</v>
      </c>
      <c r="M80" s="64">
        <v>35.28</v>
      </c>
      <c r="N80" s="64">
        <v>54.8</v>
      </c>
      <c r="O80" s="64">
        <v>0</v>
      </c>
      <c r="P80" s="64">
        <v>0.87</v>
      </c>
      <c r="Q80" s="64">
        <v>8.7899999999999991</v>
      </c>
      <c r="R80" s="198"/>
      <c r="S80" s="198"/>
      <c r="T80" s="198"/>
      <c r="U80" s="198"/>
    </row>
    <row r="81" spans="1:26" s="12" customFormat="1" x14ac:dyDescent="0.25">
      <c r="A81" s="215" t="s">
        <v>1854</v>
      </c>
      <c r="B81" s="64">
        <v>14.04</v>
      </c>
      <c r="C81" s="64">
        <v>113.31</v>
      </c>
      <c r="D81" s="64">
        <v>99.28</v>
      </c>
      <c r="E81" s="64">
        <v>6.33</v>
      </c>
      <c r="F81" s="64">
        <v>12.78</v>
      </c>
      <c r="G81" s="64">
        <v>59.47</v>
      </c>
      <c r="H81" s="64">
        <v>13.63</v>
      </c>
      <c r="I81" s="64">
        <v>3.93</v>
      </c>
      <c r="J81" s="64">
        <v>1.95</v>
      </c>
      <c r="K81" s="64">
        <v>163.02000000000001</v>
      </c>
      <c r="L81" s="64">
        <v>32.1</v>
      </c>
      <c r="M81" s="64">
        <v>38.479999999999997</v>
      </c>
      <c r="N81" s="64">
        <v>42.8</v>
      </c>
      <c r="O81" s="64">
        <v>0</v>
      </c>
      <c r="P81" s="64">
        <v>0.84</v>
      </c>
      <c r="Q81" s="64">
        <v>8.64</v>
      </c>
      <c r="R81" s="198"/>
      <c r="S81" s="198"/>
      <c r="T81" s="198"/>
      <c r="U81" s="198"/>
    </row>
    <row r="82" spans="1:26" s="12" customFormat="1" x14ac:dyDescent="0.25">
      <c r="A82" s="215" t="s">
        <v>1855</v>
      </c>
      <c r="B82" s="64">
        <v>15.51</v>
      </c>
      <c r="C82" s="64">
        <v>124.65</v>
      </c>
      <c r="D82" s="64">
        <v>109.14</v>
      </c>
      <c r="E82" s="64">
        <v>5.56</v>
      </c>
      <c r="F82" s="64">
        <v>11.8</v>
      </c>
      <c r="G82" s="64">
        <v>64.319999999999993</v>
      </c>
      <c r="H82" s="64">
        <v>14.96</v>
      </c>
      <c r="I82" s="64">
        <v>3.96</v>
      </c>
      <c r="J82" s="64">
        <v>1.78</v>
      </c>
      <c r="K82" s="64">
        <v>167.21</v>
      </c>
      <c r="L82" s="64">
        <v>31.73</v>
      </c>
      <c r="M82" s="64">
        <v>41.21</v>
      </c>
      <c r="N82" s="64">
        <v>36.799999999999997</v>
      </c>
      <c r="O82" s="64">
        <v>0</v>
      </c>
      <c r="P82" s="64">
        <v>0.93</v>
      </c>
      <c r="Q82" s="64">
        <v>8.42</v>
      </c>
      <c r="R82" s="198"/>
      <c r="S82" s="198"/>
      <c r="T82" s="198"/>
      <c r="U82" s="198"/>
    </row>
    <row r="83" spans="1:26" s="12" customFormat="1" x14ac:dyDescent="0.25">
      <c r="A83" s="215" t="s">
        <v>1856</v>
      </c>
      <c r="B83" s="64">
        <v>19.04</v>
      </c>
      <c r="C83" s="64">
        <v>125.72</v>
      </c>
      <c r="D83" s="64">
        <v>106.68</v>
      </c>
      <c r="E83" s="64">
        <v>4.8600000000000003</v>
      </c>
      <c r="F83" s="64">
        <v>10.53</v>
      </c>
      <c r="G83" s="64">
        <v>69.400000000000006</v>
      </c>
      <c r="H83" s="64">
        <v>16.36</v>
      </c>
      <c r="I83" s="64">
        <v>3.88</v>
      </c>
      <c r="J83" s="64">
        <v>1.59</v>
      </c>
      <c r="K83" s="64">
        <v>161.29</v>
      </c>
      <c r="L83" s="64">
        <v>31.29</v>
      </c>
      <c r="M83" s="64">
        <v>44.22</v>
      </c>
      <c r="N83" s="64">
        <v>35.4</v>
      </c>
      <c r="O83" s="64">
        <v>0</v>
      </c>
      <c r="P83" s="64">
        <v>0.99</v>
      </c>
      <c r="Q83" s="64">
        <v>8.7100000000000009</v>
      </c>
      <c r="R83" s="198"/>
      <c r="S83" s="198"/>
      <c r="T83" s="198"/>
      <c r="U83" s="198"/>
    </row>
    <row r="84" spans="1:26" s="12" customFormat="1" x14ac:dyDescent="0.25">
      <c r="A84" s="215" t="s">
        <v>1857</v>
      </c>
      <c r="B84" s="64">
        <v>6.12</v>
      </c>
      <c r="C84" s="64">
        <v>96.96</v>
      </c>
      <c r="D84" s="64">
        <v>90.84</v>
      </c>
      <c r="E84" s="64">
        <v>5.0999999999999996</v>
      </c>
      <c r="F84" s="64">
        <v>13.18</v>
      </c>
      <c r="G84" s="64">
        <v>69.400000000000006</v>
      </c>
      <c r="H84" s="64">
        <v>16.36</v>
      </c>
      <c r="I84" s="64">
        <v>3.97</v>
      </c>
      <c r="J84" s="64">
        <v>1.62</v>
      </c>
      <c r="K84" s="64">
        <v>159.01</v>
      </c>
      <c r="L84" s="64">
        <v>31.07</v>
      </c>
      <c r="M84" s="64">
        <v>45.54</v>
      </c>
      <c r="N84" s="64">
        <v>35.200000000000003</v>
      </c>
      <c r="O84" s="64">
        <v>0</v>
      </c>
      <c r="P84" s="64">
        <v>0.95</v>
      </c>
      <c r="Q84" s="64">
        <v>8.68</v>
      </c>
      <c r="R84" s="198"/>
      <c r="S84" s="198"/>
      <c r="T84" s="198"/>
      <c r="U84" s="198"/>
    </row>
    <row r="85" spans="1:26" s="12" customFormat="1" x14ac:dyDescent="0.25">
      <c r="A85" s="215" t="s">
        <v>1858</v>
      </c>
      <c r="B85" s="64">
        <v>8.2799999999999994</v>
      </c>
      <c r="C85" s="64">
        <v>90.22</v>
      </c>
      <c r="D85" s="64">
        <v>81.94</v>
      </c>
      <c r="E85" s="64">
        <v>4.5599999999999996</v>
      </c>
      <c r="F85" s="64">
        <v>12.44</v>
      </c>
      <c r="G85" s="64">
        <v>69.400000000000006</v>
      </c>
      <c r="H85" s="64">
        <v>16.36</v>
      </c>
      <c r="I85" s="64">
        <v>4.0199999999999996</v>
      </c>
      <c r="J85" s="64">
        <v>1.51</v>
      </c>
      <c r="K85" s="64">
        <v>181.95</v>
      </c>
      <c r="L85" s="64">
        <v>31.08</v>
      </c>
      <c r="M85" s="64">
        <v>45.24</v>
      </c>
      <c r="N85" s="64">
        <v>35</v>
      </c>
      <c r="O85" s="64">
        <v>0</v>
      </c>
      <c r="P85" s="64">
        <v>0.75</v>
      </c>
      <c r="Q85" s="64">
        <v>8.58</v>
      </c>
      <c r="R85" s="198"/>
      <c r="S85" s="198"/>
      <c r="T85" s="198"/>
      <c r="U85" s="198"/>
    </row>
    <row r="86" spans="1:26" s="12" customFormat="1" x14ac:dyDescent="0.25">
      <c r="A86" s="215" t="s">
        <v>1859</v>
      </c>
      <c r="B86" s="64">
        <v>5.38</v>
      </c>
      <c r="C86" s="64">
        <v>78.319999999999993</v>
      </c>
      <c r="D86" s="64">
        <v>72.930000000000007</v>
      </c>
      <c r="E86" s="64">
        <v>4.76</v>
      </c>
      <c r="F86" s="64">
        <v>14.69</v>
      </c>
      <c r="G86" s="64">
        <v>70.3</v>
      </c>
      <c r="H86" s="64">
        <v>17.170000000000002</v>
      </c>
      <c r="I86" s="64">
        <v>4.09</v>
      </c>
      <c r="J86" s="64">
        <v>1.1499999999999999</v>
      </c>
      <c r="K86" s="64">
        <v>173.59</v>
      </c>
      <c r="L86" s="64">
        <v>30.78</v>
      </c>
      <c r="M86" s="64">
        <v>45.79</v>
      </c>
      <c r="N86" s="64">
        <v>35.299999999999997</v>
      </c>
      <c r="O86" s="64">
        <v>0</v>
      </c>
      <c r="P86" s="64">
        <v>0.81</v>
      </c>
      <c r="Q86" s="64">
        <v>8.6300000000000008</v>
      </c>
      <c r="R86" s="198"/>
      <c r="S86" s="198"/>
      <c r="T86" s="198"/>
      <c r="U86" s="198"/>
    </row>
    <row r="87" spans="1:26" s="12" customFormat="1" x14ac:dyDescent="0.25">
      <c r="A87" s="215" t="s">
        <v>1860</v>
      </c>
      <c r="B87" s="64">
        <v>5.86</v>
      </c>
      <c r="C87" s="64">
        <v>77.19</v>
      </c>
      <c r="D87" s="64">
        <v>71.33</v>
      </c>
      <c r="E87" s="64">
        <v>4.9400000000000004</v>
      </c>
      <c r="F87" s="64">
        <v>15.95</v>
      </c>
      <c r="G87" s="64">
        <v>71.25</v>
      </c>
      <c r="H87" s="64">
        <v>18.010000000000002</v>
      </c>
      <c r="I87" s="64">
        <v>4.01</v>
      </c>
      <c r="J87" s="64">
        <v>1.38</v>
      </c>
      <c r="K87" s="64">
        <v>183.99</v>
      </c>
      <c r="L87" s="64">
        <v>30.53</v>
      </c>
      <c r="M87" s="64">
        <v>46.72</v>
      </c>
      <c r="N87" s="64">
        <v>34.799999999999997</v>
      </c>
      <c r="O87" s="64">
        <v>0</v>
      </c>
      <c r="P87" s="64">
        <v>0.94</v>
      </c>
      <c r="Q87" s="64">
        <v>8.56</v>
      </c>
      <c r="R87" s="198"/>
      <c r="S87" s="198"/>
      <c r="T87" s="198"/>
      <c r="U87" s="198"/>
    </row>
    <row r="88" spans="1:26" s="12" customFormat="1" x14ac:dyDescent="0.25">
      <c r="A88" s="215" t="s">
        <v>1861</v>
      </c>
      <c r="B88" s="64">
        <v>5.68</v>
      </c>
      <c r="C88" s="64">
        <v>66.55</v>
      </c>
      <c r="D88" s="64">
        <v>60.87</v>
      </c>
      <c r="E88" s="64">
        <v>4.1399999999999997</v>
      </c>
      <c r="F88" s="64">
        <v>17.329999999999998</v>
      </c>
      <c r="G88" s="64">
        <v>71.25</v>
      </c>
      <c r="H88" s="64">
        <v>18.010000000000002</v>
      </c>
      <c r="I88" s="64">
        <v>3.96</v>
      </c>
      <c r="J88" s="64">
        <v>1.79</v>
      </c>
      <c r="K88" s="64">
        <v>171.93</v>
      </c>
      <c r="L88" s="64">
        <v>31.04</v>
      </c>
      <c r="M88" s="64">
        <v>44.79</v>
      </c>
      <c r="N88" s="64">
        <v>34.1</v>
      </c>
      <c r="O88" s="64">
        <v>0</v>
      </c>
      <c r="P88" s="64">
        <v>0.68</v>
      </c>
      <c r="Q88" s="64">
        <v>8.4499999999999993</v>
      </c>
      <c r="R88" s="198"/>
      <c r="S88" s="198"/>
      <c r="T88" s="198"/>
      <c r="U88" s="198"/>
    </row>
    <row r="89" spans="1:26" s="12" customFormat="1" x14ac:dyDescent="0.25">
      <c r="A89" s="215" t="s">
        <v>1862</v>
      </c>
      <c r="B89" s="64">
        <v>4.46</v>
      </c>
      <c r="C89" s="64">
        <v>58.51</v>
      </c>
      <c r="D89" s="64">
        <v>54.05</v>
      </c>
      <c r="E89" s="64">
        <v>4.3099999999999996</v>
      </c>
      <c r="F89" s="64">
        <v>16.37</v>
      </c>
      <c r="G89" s="64">
        <v>71.25</v>
      </c>
      <c r="H89" s="64">
        <v>18.010000000000002</v>
      </c>
      <c r="I89" s="64">
        <v>4</v>
      </c>
      <c r="J89" s="64">
        <v>1.33</v>
      </c>
      <c r="K89" s="64">
        <v>162.06</v>
      </c>
      <c r="L89" s="64">
        <v>30.77</v>
      </c>
      <c r="M89" s="64">
        <v>45.37</v>
      </c>
      <c r="N89" s="64">
        <v>35.4</v>
      </c>
      <c r="O89" s="64">
        <v>0</v>
      </c>
      <c r="P89" s="64">
        <v>0.63</v>
      </c>
      <c r="Q89" s="64">
        <v>8.3800000000000008</v>
      </c>
      <c r="R89" s="198"/>
      <c r="S89" s="198"/>
      <c r="T89" s="198"/>
      <c r="U89" s="198"/>
    </row>
    <row r="90" spans="1:26" s="12" customFormat="1" x14ac:dyDescent="0.25">
      <c r="A90" s="215" t="s">
        <v>1863</v>
      </c>
      <c r="B90" s="64">
        <v>4.6500000000000004</v>
      </c>
      <c r="C90" s="64">
        <v>55.35</v>
      </c>
      <c r="D90" s="64">
        <v>50.69</v>
      </c>
      <c r="E90" s="64">
        <v>4.25</v>
      </c>
      <c r="F90" s="64">
        <v>15.29</v>
      </c>
      <c r="G90" s="64">
        <v>68.739999999999995</v>
      </c>
      <c r="H90" s="64">
        <v>17.079999999999998</v>
      </c>
      <c r="I90" s="64">
        <v>3.75</v>
      </c>
      <c r="J90" s="64">
        <v>1.39</v>
      </c>
      <c r="K90" s="64">
        <v>185.12</v>
      </c>
      <c r="L90" s="64">
        <v>30.04</v>
      </c>
      <c r="M90" s="64">
        <v>46.48</v>
      </c>
      <c r="N90" s="64">
        <v>35.5</v>
      </c>
      <c r="O90" s="64">
        <v>0</v>
      </c>
      <c r="P90" s="64">
        <v>0.63</v>
      </c>
      <c r="Q90" s="64">
        <v>8.3699999999999992</v>
      </c>
      <c r="R90" s="198"/>
      <c r="S90" s="198"/>
      <c r="T90" s="198"/>
      <c r="U90" s="198"/>
    </row>
    <row r="91" spans="1:26" s="12" customFormat="1" x14ac:dyDescent="0.25">
      <c r="A91" s="215" t="s">
        <v>1864</v>
      </c>
      <c r="B91" s="64">
        <v>5</v>
      </c>
      <c r="C91" s="64">
        <v>51.68</v>
      </c>
      <c r="D91" s="64">
        <v>46.68</v>
      </c>
      <c r="E91" s="64">
        <v>3.47</v>
      </c>
      <c r="F91" s="64">
        <v>11.21</v>
      </c>
      <c r="G91" s="64">
        <v>66.12</v>
      </c>
      <c r="H91" s="64">
        <v>16.100000000000001</v>
      </c>
      <c r="I91" s="64">
        <v>4.05</v>
      </c>
      <c r="J91" s="64">
        <v>2.2799999999999998</v>
      </c>
      <c r="K91" s="64">
        <v>159.56</v>
      </c>
      <c r="L91" s="64">
        <v>29.76</v>
      </c>
      <c r="M91" s="64">
        <v>46.97</v>
      </c>
      <c r="N91" s="64">
        <v>35</v>
      </c>
      <c r="O91" s="64">
        <v>0</v>
      </c>
      <c r="P91" s="64">
        <v>0.67</v>
      </c>
      <c r="Q91" s="64">
        <v>8.77</v>
      </c>
      <c r="R91" s="198"/>
      <c r="S91" s="198"/>
      <c r="T91" s="198"/>
      <c r="U91" s="198"/>
    </row>
    <row r="92" spans="1:26" s="12" customFormat="1" x14ac:dyDescent="0.25">
      <c r="A92" s="215" t="s">
        <v>1865</v>
      </c>
      <c r="B92" s="64">
        <v>5.94</v>
      </c>
      <c r="C92" s="64">
        <v>53.84</v>
      </c>
      <c r="D92" s="64">
        <v>47.9</v>
      </c>
      <c r="E92" s="64">
        <v>3.13</v>
      </c>
      <c r="F92" s="64">
        <v>12.36</v>
      </c>
      <c r="G92" s="64">
        <v>66.12</v>
      </c>
      <c r="H92" s="64">
        <v>16.100000000000001</v>
      </c>
      <c r="I92" s="64">
        <v>4.09</v>
      </c>
      <c r="J92" s="64">
        <v>2.15</v>
      </c>
      <c r="K92" s="64">
        <v>161.19999999999999</v>
      </c>
      <c r="L92" s="64">
        <v>29.54</v>
      </c>
      <c r="M92" s="64">
        <v>48.67</v>
      </c>
      <c r="N92" s="64">
        <v>35.1</v>
      </c>
      <c r="O92" s="64">
        <v>0</v>
      </c>
      <c r="P92" s="64">
        <v>0.64</v>
      </c>
      <c r="Q92" s="64">
        <v>8.8000000000000007</v>
      </c>
      <c r="R92" s="198"/>
      <c r="S92" s="198"/>
      <c r="T92" s="198"/>
      <c r="U92" s="198"/>
    </row>
    <row r="93" spans="1:26" s="12" customFormat="1" x14ac:dyDescent="0.25">
      <c r="A93" s="215" t="s">
        <v>1866</v>
      </c>
      <c r="B93" s="64">
        <v>8.5299999999999994</v>
      </c>
      <c r="C93" s="64">
        <v>75.7</v>
      </c>
      <c r="D93" s="64">
        <v>67.17</v>
      </c>
      <c r="E93" s="64">
        <v>3.45</v>
      </c>
      <c r="F93" s="64">
        <v>11.05</v>
      </c>
      <c r="G93" s="64">
        <v>66.12</v>
      </c>
      <c r="H93" s="64">
        <v>16.100000000000001</v>
      </c>
      <c r="I93" s="64">
        <v>3.95</v>
      </c>
      <c r="J93" s="64">
        <v>1.76</v>
      </c>
      <c r="K93" s="64">
        <v>176.04</v>
      </c>
      <c r="L93" s="64">
        <v>29.37</v>
      </c>
      <c r="M93" s="64">
        <v>50.47</v>
      </c>
      <c r="N93" s="64">
        <v>35.200000000000003</v>
      </c>
      <c r="O93" s="64">
        <v>0</v>
      </c>
      <c r="P93" s="64">
        <v>0.62</v>
      </c>
      <c r="Q93" s="64">
        <v>8.7899999999999991</v>
      </c>
      <c r="R93" s="198"/>
      <c r="S93" s="198"/>
      <c r="T93" s="198"/>
      <c r="U93" s="198"/>
    </row>
    <row r="94" spans="1:26" s="12" customFormat="1" x14ac:dyDescent="0.25">
      <c r="A94" s="215" t="s">
        <v>1867</v>
      </c>
      <c r="B94" s="64">
        <v>8.2200000000000006</v>
      </c>
      <c r="C94" s="64">
        <v>68.73</v>
      </c>
      <c r="D94" s="64">
        <v>60.52</v>
      </c>
      <c r="E94" s="64">
        <v>3.61</v>
      </c>
      <c r="F94" s="64">
        <v>9.73</v>
      </c>
      <c r="G94" s="64">
        <v>63.78</v>
      </c>
      <c r="H94" s="64">
        <v>17.09</v>
      </c>
      <c r="I94" s="64">
        <v>4.0199999999999996</v>
      </c>
      <c r="J94" s="64">
        <v>2.0699999999999998</v>
      </c>
      <c r="K94" s="64">
        <v>157.25</v>
      </c>
      <c r="L94" s="64">
        <v>29.06</v>
      </c>
      <c r="M94" s="64">
        <v>52.39</v>
      </c>
      <c r="N94" s="64">
        <v>35</v>
      </c>
      <c r="O94" s="64">
        <v>0</v>
      </c>
      <c r="P94" s="64">
        <v>0.61</v>
      </c>
      <c r="Q94" s="64">
        <v>8.49</v>
      </c>
      <c r="R94" s="198"/>
      <c r="S94" s="198"/>
      <c r="T94" s="198"/>
      <c r="U94" s="198"/>
    </row>
    <row r="95" spans="1:26" s="12" customFormat="1" x14ac:dyDescent="0.25">
      <c r="A95" s="215" t="s">
        <v>1868</v>
      </c>
      <c r="B95" s="64">
        <v>7.38</v>
      </c>
      <c r="C95" s="64">
        <v>71.66</v>
      </c>
      <c r="D95" s="64">
        <v>64.28</v>
      </c>
      <c r="E95" s="64">
        <v>3.49</v>
      </c>
      <c r="F95" s="64">
        <v>12.39</v>
      </c>
      <c r="G95" s="64">
        <v>61.34</v>
      </c>
      <c r="H95" s="64">
        <v>18.12</v>
      </c>
      <c r="I95" s="64">
        <v>4.03</v>
      </c>
      <c r="J95" s="64">
        <v>1.33</v>
      </c>
      <c r="K95" s="64">
        <v>193.93</v>
      </c>
      <c r="L95" s="64">
        <v>28.87</v>
      </c>
      <c r="M95" s="64">
        <v>53.45</v>
      </c>
      <c r="N95" s="64">
        <v>35.200000000000003</v>
      </c>
      <c r="O95" s="64">
        <v>0</v>
      </c>
      <c r="P95" s="64">
        <v>0.6</v>
      </c>
      <c r="Q95" s="64">
        <v>8.5299999999999994</v>
      </c>
      <c r="R95" s="198"/>
      <c r="S95" s="198"/>
      <c r="T95" s="198"/>
      <c r="U95" s="198"/>
    </row>
    <row r="96" spans="1:26" s="12" customFormat="1" x14ac:dyDescent="0.25">
      <c r="A96" s="215" t="s">
        <v>1869</v>
      </c>
      <c r="B96" s="64">
        <v>5.5</v>
      </c>
      <c r="C96" s="64">
        <v>64.59</v>
      </c>
      <c r="D96" s="64">
        <v>59.09</v>
      </c>
      <c r="E96" s="64">
        <v>3.76</v>
      </c>
      <c r="F96" s="64">
        <v>12.4</v>
      </c>
      <c r="G96" s="64">
        <v>61.34</v>
      </c>
      <c r="H96" s="64">
        <v>18.12</v>
      </c>
      <c r="I96" s="64">
        <v>3.99</v>
      </c>
      <c r="J96" s="64">
        <v>0.99</v>
      </c>
      <c r="K96" s="64">
        <v>226.78</v>
      </c>
      <c r="L96" s="64">
        <v>28.66</v>
      </c>
      <c r="M96" s="64">
        <v>54.7</v>
      </c>
      <c r="N96" s="64">
        <v>35.200000000000003</v>
      </c>
      <c r="O96" s="64">
        <v>0</v>
      </c>
      <c r="P96" s="64">
        <v>0.57999999999999996</v>
      </c>
      <c r="Q96" s="64">
        <v>8.74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1870</v>
      </c>
      <c r="B97" s="64">
        <v>5.14</v>
      </c>
      <c r="C97" s="64">
        <v>56.04</v>
      </c>
      <c r="D97" s="64">
        <v>50.9</v>
      </c>
      <c r="E97" s="64">
        <v>3.29</v>
      </c>
      <c r="F97" s="64">
        <v>13.01</v>
      </c>
      <c r="G97" s="64">
        <v>61.34</v>
      </c>
      <c r="H97" s="64">
        <v>18.12</v>
      </c>
      <c r="I97" s="64">
        <v>3.94</v>
      </c>
      <c r="J97" s="64">
        <v>1.33</v>
      </c>
      <c r="K97" s="64">
        <v>207.82</v>
      </c>
      <c r="L97" s="64">
        <v>28.49</v>
      </c>
      <c r="M97" s="64">
        <v>56.42</v>
      </c>
      <c r="N97" s="64">
        <v>35</v>
      </c>
      <c r="O97" s="64">
        <v>0</v>
      </c>
      <c r="P97" s="64">
        <v>0.56000000000000005</v>
      </c>
      <c r="Q97" s="64">
        <v>8.48</v>
      </c>
      <c r="R97" s="198"/>
      <c r="S97" s="198"/>
      <c r="T97" s="198"/>
      <c r="U97" s="198"/>
    </row>
    <row r="98" spans="1:33" s="12" customFormat="1" x14ac:dyDescent="0.25">
      <c r="A98" s="215" t="s">
        <v>1871</v>
      </c>
      <c r="B98" s="64">
        <v>3.68</v>
      </c>
      <c r="C98" s="64">
        <v>48.59</v>
      </c>
      <c r="D98" s="64">
        <v>44.91</v>
      </c>
      <c r="E98" s="64">
        <v>3.32</v>
      </c>
      <c r="F98" s="64">
        <v>13.17</v>
      </c>
      <c r="G98" s="64">
        <v>63.15</v>
      </c>
      <c r="H98" s="64">
        <v>17.16</v>
      </c>
      <c r="I98" s="64">
        <v>4.03</v>
      </c>
      <c r="J98" s="64">
        <v>1.41</v>
      </c>
      <c r="K98" s="64">
        <v>181.56</v>
      </c>
      <c r="L98" s="64">
        <v>28.33</v>
      </c>
      <c r="M98" s="64">
        <v>57.7</v>
      </c>
      <c r="N98" s="64">
        <v>34.9</v>
      </c>
      <c r="O98" s="64">
        <v>0</v>
      </c>
      <c r="P98" s="64">
        <v>0.54</v>
      </c>
      <c r="Q98" s="64">
        <v>8.4600000000000009</v>
      </c>
      <c r="R98" s="198"/>
      <c r="S98" s="198"/>
      <c r="T98" s="198"/>
      <c r="U98" s="198"/>
    </row>
    <row r="99" spans="1:33" s="12" customFormat="1" x14ac:dyDescent="0.25">
      <c r="A99" s="215" t="s">
        <v>1872</v>
      </c>
      <c r="B99" s="64">
        <v>3.58</v>
      </c>
      <c r="C99" s="64">
        <v>46.24</v>
      </c>
      <c r="D99" s="64">
        <v>42.66</v>
      </c>
      <c r="E99" s="64">
        <v>2.91</v>
      </c>
      <c r="F99" s="64">
        <v>13.2</v>
      </c>
      <c r="G99" s="64">
        <v>65.040000000000006</v>
      </c>
      <c r="H99" s="64">
        <v>16.149999999999999</v>
      </c>
      <c r="I99" s="64">
        <v>3.91</v>
      </c>
      <c r="J99" s="64">
        <v>1.74</v>
      </c>
      <c r="K99" s="64">
        <v>161.78</v>
      </c>
      <c r="L99" s="64">
        <v>28.01</v>
      </c>
      <c r="M99" s="64">
        <v>59.74</v>
      </c>
      <c r="N99" s="64">
        <v>35.1</v>
      </c>
      <c r="O99" s="64">
        <v>0</v>
      </c>
      <c r="P99" s="64">
        <v>0.5</v>
      </c>
      <c r="Q99" s="64">
        <v>8.61</v>
      </c>
      <c r="R99" s="198"/>
      <c r="S99" s="198"/>
      <c r="T99" s="198"/>
      <c r="U99" s="198"/>
    </row>
    <row r="100" spans="1:33" s="12" customFormat="1" x14ac:dyDescent="0.25">
      <c r="A100" s="215" t="s">
        <v>1873</v>
      </c>
      <c r="B100" s="64">
        <v>2.42</v>
      </c>
      <c r="C100" s="64">
        <v>44.16</v>
      </c>
      <c r="D100" s="64">
        <v>41.74</v>
      </c>
      <c r="E100" s="64">
        <v>2.83</v>
      </c>
      <c r="F100" s="64">
        <v>13.37</v>
      </c>
      <c r="G100" s="64">
        <v>65.040000000000006</v>
      </c>
      <c r="H100" s="64">
        <v>16.149999999999999</v>
      </c>
      <c r="I100" s="64">
        <v>4.1500000000000004</v>
      </c>
      <c r="J100" s="64">
        <v>0.86</v>
      </c>
      <c r="K100" s="64">
        <v>198.55</v>
      </c>
      <c r="L100" s="64">
        <v>27.7</v>
      </c>
      <c r="M100" s="64">
        <v>61.33</v>
      </c>
      <c r="N100" s="64">
        <v>35.299999999999997</v>
      </c>
      <c r="O100" s="64">
        <v>0</v>
      </c>
      <c r="P100" s="64">
        <v>0.5</v>
      </c>
      <c r="Q100" s="64">
        <v>8.64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1874</v>
      </c>
      <c r="B101" s="64">
        <v>2.0299999999999998</v>
      </c>
      <c r="C101" s="64">
        <v>43.14</v>
      </c>
      <c r="D101" s="64">
        <v>41.11</v>
      </c>
      <c r="E101" s="64">
        <v>3.13</v>
      </c>
      <c r="F101" s="64">
        <v>12.86</v>
      </c>
      <c r="G101" s="64">
        <v>65.040000000000006</v>
      </c>
      <c r="H101" s="64">
        <v>16.149999999999999</v>
      </c>
      <c r="I101" s="64">
        <v>4.1399999999999997</v>
      </c>
      <c r="J101" s="64">
        <v>1.44</v>
      </c>
      <c r="K101" s="64">
        <v>161.21</v>
      </c>
      <c r="L101" s="64">
        <v>27.57</v>
      </c>
      <c r="M101" s="64">
        <v>61.66</v>
      </c>
      <c r="N101" s="64">
        <v>34.799999999999997</v>
      </c>
      <c r="O101" s="64">
        <v>0</v>
      </c>
      <c r="P101" s="64">
        <v>0.49</v>
      </c>
      <c r="Q101" s="64">
        <v>8.4700000000000006</v>
      </c>
      <c r="R101" s="198"/>
      <c r="S101" s="198"/>
      <c r="T101" s="198"/>
      <c r="U101" s="198"/>
    </row>
    <row r="102" spans="1:33" s="12" customFormat="1" x14ac:dyDescent="0.25">
      <c r="A102" s="215" t="s">
        <v>1875</v>
      </c>
      <c r="B102" s="64">
        <v>2.2599999999999998</v>
      </c>
      <c r="C102" s="64">
        <v>41.59</v>
      </c>
      <c r="D102" s="64">
        <v>39.32</v>
      </c>
      <c r="E102" s="64">
        <v>2.98</v>
      </c>
      <c r="F102" s="64">
        <v>14.66</v>
      </c>
      <c r="G102" s="64">
        <v>58.78</v>
      </c>
      <c r="H102" s="64">
        <v>15.46</v>
      </c>
      <c r="I102" s="64">
        <v>4.12</v>
      </c>
      <c r="J102" s="64">
        <v>0.89</v>
      </c>
      <c r="K102" s="64">
        <v>204.8</v>
      </c>
      <c r="L102" s="64">
        <v>27.55</v>
      </c>
      <c r="M102" s="64">
        <v>61.77</v>
      </c>
      <c r="N102" s="64">
        <v>35</v>
      </c>
      <c r="O102" s="64">
        <v>0</v>
      </c>
      <c r="P102" s="64">
        <v>0.43</v>
      </c>
      <c r="Q102" s="64">
        <v>8.5500000000000007</v>
      </c>
      <c r="R102" s="198"/>
      <c r="S102" s="198"/>
      <c r="T102" s="198"/>
      <c r="U102" s="198"/>
    </row>
    <row r="103" spans="1:33" s="12" customFormat="1" x14ac:dyDescent="0.25">
      <c r="A103" s="215" t="s">
        <v>1876</v>
      </c>
      <c r="B103" s="64">
        <v>1.9</v>
      </c>
      <c r="C103" s="64">
        <v>37.479999999999997</v>
      </c>
      <c r="D103" s="64">
        <v>35.590000000000003</v>
      </c>
      <c r="E103" s="64">
        <v>3.37</v>
      </c>
      <c r="F103" s="64">
        <v>13.04</v>
      </c>
      <c r="G103" s="64">
        <v>52.23</v>
      </c>
      <c r="H103" s="64">
        <v>14.75</v>
      </c>
      <c r="I103" s="64">
        <v>3.96</v>
      </c>
      <c r="J103" s="64">
        <v>1.9</v>
      </c>
      <c r="K103" s="64">
        <v>166.17</v>
      </c>
      <c r="L103" s="64">
        <v>27.52</v>
      </c>
      <c r="M103" s="64">
        <v>61.46</v>
      </c>
      <c r="N103" s="64">
        <v>34.5</v>
      </c>
      <c r="O103" s="64">
        <v>0</v>
      </c>
      <c r="P103" s="64">
        <v>0.44</v>
      </c>
      <c r="Q103" s="64">
        <v>8.7799999999999994</v>
      </c>
      <c r="R103" s="198"/>
      <c r="S103" s="198"/>
      <c r="T103" s="198"/>
      <c r="U103" s="198"/>
    </row>
    <row r="104" spans="1:33" s="12" customFormat="1" x14ac:dyDescent="0.25">
      <c r="A104" s="215" t="s">
        <v>1877</v>
      </c>
      <c r="B104" s="64">
        <v>1.67</v>
      </c>
      <c r="C104" s="64">
        <v>35.380000000000003</v>
      </c>
      <c r="D104" s="64">
        <v>33.72</v>
      </c>
      <c r="E104" s="64">
        <v>3.1</v>
      </c>
      <c r="F104" s="64">
        <v>16.66</v>
      </c>
      <c r="G104" s="64">
        <v>52.23</v>
      </c>
      <c r="H104" s="64">
        <v>14.75</v>
      </c>
      <c r="I104" s="64">
        <v>3.95</v>
      </c>
      <c r="J104" s="64">
        <v>1.25</v>
      </c>
      <c r="K104" s="64">
        <v>199.59</v>
      </c>
      <c r="L104" s="64">
        <v>27.41</v>
      </c>
      <c r="M104" s="64">
        <v>61.95</v>
      </c>
      <c r="N104" s="64">
        <v>35.1</v>
      </c>
      <c r="O104" s="64">
        <v>0</v>
      </c>
      <c r="P104" s="64">
        <v>0.35</v>
      </c>
      <c r="Q104" s="64">
        <v>8.4700000000000006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0.17</v>
      </c>
      <c r="C106" s="67">
        <f>MIN(C9:C104)</f>
        <v>32.97</v>
      </c>
      <c r="D106" s="67">
        <f t="shared" ref="D106:Q106" si="0">MIN(D9:D104)</f>
        <v>31.17</v>
      </c>
      <c r="E106" s="67">
        <f t="shared" si="0"/>
        <v>2.4</v>
      </c>
      <c r="F106" s="67">
        <f t="shared" si="0"/>
        <v>7.51</v>
      </c>
      <c r="G106" s="67">
        <f t="shared" si="0"/>
        <v>24.69</v>
      </c>
      <c r="H106" s="67">
        <f t="shared" si="0"/>
        <v>9.73</v>
      </c>
      <c r="I106" s="67">
        <f t="shared" si="0"/>
        <v>3.7</v>
      </c>
      <c r="J106" s="67">
        <f t="shared" si="0"/>
        <v>0.86</v>
      </c>
      <c r="K106" s="67">
        <f t="shared" si="0"/>
        <v>155.30000000000001</v>
      </c>
      <c r="L106" s="67">
        <f t="shared" si="0"/>
        <v>24.44</v>
      </c>
      <c r="M106" s="67">
        <f t="shared" si="0"/>
        <v>32.81</v>
      </c>
      <c r="N106" s="67">
        <f t="shared" si="0"/>
        <v>34.1</v>
      </c>
      <c r="O106" s="67">
        <f t="shared" si="0"/>
        <v>0</v>
      </c>
      <c r="P106" s="67">
        <f t="shared" si="0"/>
        <v>0.35</v>
      </c>
      <c r="Q106" s="67">
        <f t="shared" si="0"/>
        <v>8.2899999999999991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19.04</v>
      </c>
      <c r="C107" s="66">
        <f t="shared" ref="C107:Q107" si="1">MAX(C9:C104)</f>
        <v>125.72</v>
      </c>
      <c r="D107" s="66">
        <f t="shared" si="1"/>
        <v>109.14</v>
      </c>
      <c r="E107" s="66">
        <f t="shared" si="1"/>
        <v>8.76</v>
      </c>
      <c r="F107" s="66">
        <f t="shared" si="1"/>
        <v>19.79</v>
      </c>
      <c r="G107" s="66">
        <f t="shared" si="1"/>
        <v>71.25</v>
      </c>
      <c r="H107" s="66">
        <f t="shared" si="1"/>
        <v>20.41</v>
      </c>
      <c r="I107" s="66">
        <f t="shared" si="1"/>
        <v>4.32</v>
      </c>
      <c r="J107" s="66">
        <f t="shared" si="1"/>
        <v>2.2799999999999998</v>
      </c>
      <c r="K107" s="66">
        <f t="shared" si="1"/>
        <v>293.27</v>
      </c>
      <c r="L107" s="66">
        <f t="shared" si="1"/>
        <v>38.229999999999997</v>
      </c>
      <c r="M107" s="66">
        <f t="shared" si="1"/>
        <v>63.1</v>
      </c>
      <c r="N107" s="66">
        <f t="shared" si="1"/>
        <v>870.1</v>
      </c>
      <c r="O107" s="66">
        <f t="shared" si="1"/>
        <v>1</v>
      </c>
      <c r="P107" s="66">
        <f t="shared" si="1"/>
        <v>0.99</v>
      </c>
      <c r="Q107" s="66">
        <f t="shared" si="1"/>
        <v>9.25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3.5913541666666657</v>
      </c>
      <c r="C108" s="67">
        <f t="shared" ref="C108:Q108" si="2">AVERAGE(C9:C104)</f>
        <v>53.144375000000004</v>
      </c>
      <c r="D108" s="67">
        <f t="shared" si="2"/>
        <v>49.568541666666647</v>
      </c>
      <c r="E108" s="67">
        <f t="shared" si="2"/>
        <v>3.8592708333333348</v>
      </c>
      <c r="F108" s="67">
        <f t="shared" si="2"/>
        <v>12.450104166666668</v>
      </c>
      <c r="G108" s="67">
        <f t="shared" si="2"/>
        <v>42.837187499999999</v>
      </c>
      <c r="H108" s="67">
        <f t="shared" si="2"/>
        <v>13.680208333333324</v>
      </c>
      <c r="I108" s="67">
        <f t="shared" si="2"/>
        <v>4.0008333333333317</v>
      </c>
      <c r="J108" s="67">
        <f t="shared" si="2"/>
        <v>1.4609375000000002</v>
      </c>
      <c r="K108" s="67">
        <f t="shared" si="2"/>
        <v>217.8423958333334</v>
      </c>
      <c r="L108" s="67">
        <f t="shared" si="2"/>
        <v>30.281249999999989</v>
      </c>
      <c r="M108" s="67">
        <f t="shared" si="2"/>
        <v>48.028229166666655</v>
      </c>
      <c r="N108" s="67">
        <f t="shared" si="2"/>
        <v>248.58333333333329</v>
      </c>
      <c r="O108" s="67">
        <f t="shared" si="2"/>
        <v>1.0416666666666666E-2</v>
      </c>
      <c r="P108" s="67">
        <f t="shared" si="2"/>
        <v>0.53583333333333338</v>
      </c>
      <c r="Q108" s="67">
        <f t="shared" si="2"/>
        <v>8.592395833333331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3.1725153957709189</v>
      </c>
      <c r="C109" s="67">
        <f t="shared" ref="C109:Q109" si="3">STDEV(C9:C104)</f>
        <v>17.245180184772309</v>
      </c>
      <c r="D109" s="67">
        <f t="shared" si="3"/>
        <v>14.669444360672946</v>
      </c>
      <c r="E109" s="67">
        <f t="shared" si="3"/>
        <v>1.0995092156734605</v>
      </c>
      <c r="F109" s="67">
        <f t="shared" si="3"/>
        <v>2.609438533999084</v>
      </c>
      <c r="G109" s="67">
        <f t="shared" si="3"/>
        <v>14.543059817269706</v>
      </c>
      <c r="H109" s="67">
        <f t="shared" si="3"/>
        <v>2.5958371448255968</v>
      </c>
      <c r="I109" s="67">
        <f t="shared" si="3"/>
        <v>9.9331096171675556E-2</v>
      </c>
      <c r="J109" s="67">
        <f t="shared" si="3"/>
        <v>0.3291650621768577</v>
      </c>
      <c r="K109" s="67">
        <f t="shared" si="3"/>
        <v>42.071586004527852</v>
      </c>
      <c r="L109" s="67">
        <f t="shared" si="3"/>
        <v>4.1841823070879833</v>
      </c>
      <c r="M109" s="67">
        <f t="shared" si="3"/>
        <v>9.6858518626306367</v>
      </c>
      <c r="N109" s="67">
        <f t="shared" si="3"/>
        <v>299.17717428646699</v>
      </c>
      <c r="O109" s="67">
        <f t="shared" si="3"/>
        <v>0.10206207261596575</v>
      </c>
      <c r="P109" s="67">
        <f t="shared" si="3"/>
        <v>0.14712448482522419</v>
      </c>
      <c r="Q109" s="67">
        <f t="shared" si="3"/>
        <v>0.1510018807248974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1878</v>
      </c>
      <c r="B9" s="64">
        <v>0.92</v>
      </c>
      <c r="C9" s="64">
        <v>30.03</v>
      </c>
      <c r="D9" s="64">
        <v>29.1</v>
      </c>
      <c r="E9" s="64">
        <v>3.29</v>
      </c>
      <c r="F9" s="64">
        <v>17.940000000000001</v>
      </c>
      <c r="G9" s="64">
        <v>52.23</v>
      </c>
      <c r="H9" s="64">
        <v>14.75</v>
      </c>
      <c r="I9" s="64">
        <v>3.97</v>
      </c>
      <c r="J9" s="64">
        <v>1.19</v>
      </c>
      <c r="K9" s="64">
        <v>242.21</v>
      </c>
      <c r="L9" s="64">
        <v>27.3</v>
      </c>
      <c r="M9" s="64">
        <v>62.13</v>
      </c>
      <c r="N9" s="64">
        <v>35.200000000000003</v>
      </c>
      <c r="O9" s="64">
        <v>0</v>
      </c>
      <c r="P9" s="64">
        <v>0.34</v>
      </c>
      <c r="Q9" s="64">
        <v>8.6199999999999992</v>
      </c>
      <c r="R9" s="198"/>
      <c r="S9" s="198"/>
      <c r="T9" s="198"/>
      <c r="U9" s="198"/>
    </row>
    <row r="10" spans="1:21" s="12" customFormat="1" x14ac:dyDescent="0.25">
      <c r="A10" s="215" t="s">
        <v>1879</v>
      </c>
      <c r="B10" s="64">
        <v>0.67</v>
      </c>
      <c r="C10" s="64">
        <v>27.5</v>
      </c>
      <c r="D10" s="64">
        <v>26.83</v>
      </c>
      <c r="E10" s="64">
        <v>3.25</v>
      </c>
      <c r="F10" s="64">
        <v>18.05</v>
      </c>
      <c r="G10" s="64">
        <v>46.48</v>
      </c>
      <c r="H10" s="64">
        <v>12.81</v>
      </c>
      <c r="I10" s="64">
        <v>3.99</v>
      </c>
      <c r="J10" s="64">
        <v>1.34</v>
      </c>
      <c r="K10" s="64">
        <v>248.13</v>
      </c>
      <c r="L10" s="64">
        <v>27.05</v>
      </c>
      <c r="M10" s="64">
        <v>63.36</v>
      </c>
      <c r="N10" s="64">
        <v>35.299999999999997</v>
      </c>
      <c r="O10" s="64">
        <v>0</v>
      </c>
      <c r="P10" s="64">
        <v>0.33</v>
      </c>
      <c r="Q10" s="64">
        <v>8.57</v>
      </c>
      <c r="R10" s="198"/>
      <c r="S10" s="198"/>
      <c r="T10" s="198"/>
      <c r="U10" s="198"/>
    </row>
    <row r="11" spans="1:21" s="12" customFormat="1" x14ac:dyDescent="0.25">
      <c r="A11" s="215" t="s">
        <v>1880</v>
      </c>
      <c r="B11" s="64">
        <v>0.61</v>
      </c>
      <c r="C11" s="64">
        <v>26.94</v>
      </c>
      <c r="D11" s="64">
        <v>26.33</v>
      </c>
      <c r="E11" s="64">
        <v>3.33</v>
      </c>
      <c r="F11" s="64">
        <v>17.52</v>
      </c>
      <c r="G11" s="64">
        <v>40.46</v>
      </c>
      <c r="H11" s="64">
        <v>10.78</v>
      </c>
      <c r="I11" s="64">
        <v>3.92</v>
      </c>
      <c r="J11" s="64">
        <v>1.21</v>
      </c>
      <c r="K11" s="64">
        <v>238.02</v>
      </c>
      <c r="L11" s="64">
        <v>26.85</v>
      </c>
      <c r="M11" s="64">
        <v>64.62</v>
      </c>
      <c r="N11" s="64">
        <v>35.1</v>
      </c>
      <c r="O11" s="64">
        <v>0</v>
      </c>
      <c r="P11" s="64">
        <v>0.33</v>
      </c>
      <c r="Q11" s="64">
        <v>8.56</v>
      </c>
      <c r="R11" s="198"/>
      <c r="S11" s="198"/>
      <c r="T11" s="198"/>
      <c r="U11" s="198"/>
    </row>
    <row r="12" spans="1:21" s="12" customFormat="1" x14ac:dyDescent="0.25">
      <c r="A12" s="215" t="s">
        <v>1881</v>
      </c>
      <c r="B12" s="64">
        <v>0.64</v>
      </c>
      <c r="C12" s="64">
        <v>25.64</v>
      </c>
      <c r="D12" s="64">
        <v>25</v>
      </c>
      <c r="E12" s="64">
        <v>3.36</v>
      </c>
      <c r="F12" s="64">
        <v>18</v>
      </c>
      <c r="G12" s="64">
        <v>40.46</v>
      </c>
      <c r="H12" s="64">
        <v>10.78</v>
      </c>
      <c r="I12" s="64">
        <v>4.04</v>
      </c>
      <c r="J12" s="64">
        <v>0.67</v>
      </c>
      <c r="K12" s="64">
        <v>227.23</v>
      </c>
      <c r="L12" s="64">
        <v>26.73</v>
      </c>
      <c r="M12" s="64">
        <v>66.61</v>
      </c>
      <c r="N12" s="64">
        <v>35.1</v>
      </c>
      <c r="O12" s="64">
        <v>0</v>
      </c>
      <c r="P12" s="64">
        <v>0.35</v>
      </c>
      <c r="Q12" s="64">
        <v>8.48</v>
      </c>
      <c r="R12" s="198"/>
      <c r="S12" s="198"/>
      <c r="T12" s="198"/>
      <c r="U12" s="198"/>
    </row>
    <row r="13" spans="1:21" s="12" customFormat="1" x14ac:dyDescent="0.25">
      <c r="A13" s="215" t="s">
        <v>1882</v>
      </c>
      <c r="B13" s="64">
        <v>0.55000000000000004</v>
      </c>
      <c r="C13" s="64">
        <v>25.35</v>
      </c>
      <c r="D13" s="64">
        <v>24.8</v>
      </c>
      <c r="E13" s="64">
        <v>3.08</v>
      </c>
      <c r="F13" s="64">
        <v>17.27</v>
      </c>
      <c r="G13" s="64">
        <v>40.46</v>
      </c>
      <c r="H13" s="64">
        <v>10.78</v>
      </c>
      <c r="I13" s="64">
        <v>4.12</v>
      </c>
      <c r="J13" s="64">
        <v>1.0900000000000001</v>
      </c>
      <c r="K13" s="64">
        <v>231.64</v>
      </c>
      <c r="L13" s="64">
        <v>26.54</v>
      </c>
      <c r="M13" s="64">
        <v>67.540000000000006</v>
      </c>
      <c r="N13" s="64">
        <v>35</v>
      </c>
      <c r="O13" s="64">
        <v>0</v>
      </c>
      <c r="P13" s="64">
        <v>0.37</v>
      </c>
      <c r="Q13" s="64">
        <v>8.4499999999999993</v>
      </c>
      <c r="R13" s="198"/>
      <c r="S13" s="198"/>
      <c r="T13" s="198"/>
      <c r="U13" s="198"/>
    </row>
    <row r="14" spans="1:21" s="12" customFormat="1" x14ac:dyDescent="0.25">
      <c r="A14" s="215" t="s">
        <v>1883</v>
      </c>
      <c r="B14" s="64">
        <v>1.42</v>
      </c>
      <c r="C14" s="64">
        <v>28.29</v>
      </c>
      <c r="D14" s="64">
        <v>26.87</v>
      </c>
      <c r="E14" s="64">
        <v>3.3</v>
      </c>
      <c r="F14" s="64">
        <v>13.75</v>
      </c>
      <c r="G14" s="64">
        <v>38.6</v>
      </c>
      <c r="H14" s="64">
        <v>11.13</v>
      </c>
      <c r="I14" s="64">
        <v>3.95</v>
      </c>
      <c r="J14" s="64">
        <v>1.18</v>
      </c>
      <c r="K14" s="64">
        <v>208.55</v>
      </c>
      <c r="L14" s="64">
        <v>26.87</v>
      </c>
      <c r="M14" s="64">
        <v>63.65</v>
      </c>
      <c r="N14" s="64">
        <v>34.4</v>
      </c>
      <c r="O14" s="64">
        <v>0</v>
      </c>
      <c r="P14" s="64">
        <v>0.45</v>
      </c>
      <c r="Q14" s="64">
        <v>8.6300000000000008</v>
      </c>
      <c r="R14" s="198"/>
      <c r="S14" s="198"/>
      <c r="T14" s="198"/>
      <c r="U14" s="198"/>
    </row>
    <row r="15" spans="1:21" s="12" customFormat="1" x14ac:dyDescent="0.25">
      <c r="A15" s="215" t="s">
        <v>1884</v>
      </c>
      <c r="B15" s="64">
        <v>2.84</v>
      </c>
      <c r="C15" s="64">
        <v>32.96</v>
      </c>
      <c r="D15" s="64">
        <v>30.13</v>
      </c>
      <c r="E15" s="64">
        <v>3.07</v>
      </c>
      <c r="F15" s="64">
        <v>13.95</v>
      </c>
      <c r="G15" s="64">
        <v>36.659999999999997</v>
      </c>
      <c r="H15" s="64">
        <v>11.5</v>
      </c>
      <c r="I15" s="64">
        <v>3.84</v>
      </c>
      <c r="J15" s="64">
        <v>1.18</v>
      </c>
      <c r="K15" s="64">
        <v>290.55</v>
      </c>
      <c r="L15" s="64">
        <v>26.78</v>
      </c>
      <c r="M15" s="64">
        <v>62.49</v>
      </c>
      <c r="N15" s="64">
        <v>35.4</v>
      </c>
      <c r="O15" s="64">
        <v>0</v>
      </c>
      <c r="P15" s="64">
        <v>0.46</v>
      </c>
      <c r="Q15" s="64">
        <v>8.5299999999999994</v>
      </c>
      <c r="R15" s="198"/>
      <c r="S15" s="198"/>
      <c r="T15" s="198"/>
      <c r="U15" s="198"/>
    </row>
    <row r="16" spans="1:21" s="12" customFormat="1" x14ac:dyDescent="0.25">
      <c r="A16" s="215" t="s">
        <v>1885</v>
      </c>
      <c r="B16" s="64">
        <v>2.57</v>
      </c>
      <c r="C16" s="64">
        <v>32</v>
      </c>
      <c r="D16" s="64">
        <v>29.42</v>
      </c>
      <c r="E16" s="64">
        <v>3.34</v>
      </c>
      <c r="F16" s="64">
        <v>13.15</v>
      </c>
      <c r="G16" s="64">
        <v>36.659999999999997</v>
      </c>
      <c r="H16" s="64">
        <v>11.5</v>
      </c>
      <c r="I16" s="64">
        <v>4.03</v>
      </c>
      <c r="J16" s="64">
        <v>0.95</v>
      </c>
      <c r="K16" s="64">
        <v>250.9</v>
      </c>
      <c r="L16" s="64">
        <v>26.5</v>
      </c>
      <c r="M16" s="64">
        <v>63.29</v>
      </c>
      <c r="N16" s="64">
        <v>35.1</v>
      </c>
      <c r="O16" s="64">
        <v>0</v>
      </c>
      <c r="P16" s="64">
        <v>0.46</v>
      </c>
      <c r="Q16" s="64">
        <v>8.5</v>
      </c>
      <c r="R16" s="198"/>
      <c r="S16" s="198"/>
      <c r="T16" s="198"/>
      <c r="U16" s="198"/>
    </row>
    <row r="17" spans="1:21" s="12" customFormat="1" x14ac:dyDescent="0.25">
      <c r="A17" s="215" t="s">
        <v>1886</v>
      </c>
      <c r="B17" s="64">
        <v>3.06</v>
      </c>
      <c r="C17" s="64">
        <v>35.39</v>
      </c>
      <c r="D17" s="64">
        <v>32.33</v>
      </c>
      <c r="E17" s="64">
        <v>3.14</v>
      </c>
      <c r="F17" s="64">
        <v>15.06</v>
      </c>
      <c r="G17" s="64">
        <v>36.659999999999997</v>
      </c>
      <c r="H17" s="64">
        <v>11.5</v>
      </c>
      <c r="I17" s="64">
        <v>3.9</v>
      </c>
      <c r="J17" s="64">
        <v>7.0000000000000007E-2</v>
      </c>
      <c r="K17" s="64">
        <v>126.51</v>
      </c>
      <c r="L17" s="64">
        <v>26.38</v>
      </c>
      <c r="M17" s="64">
        <v>63.71</v>
      </c>
      <c r="N17" s="64">
        <v>35.4</v>
      </c>
      <c r="O17" s="64">
        <v>0</v>
      </c>
      <c r="P17" s="64">
        <v>0.45</v>
      </c>
      <c r="Q17" s="64">
        <v>8.6</v>
      </c>
      <c r="R17" s="198"/>
      <c r="S17" s="198"/>
      <c r="T17" s="198"/>
      <c r="U17" s="198"/>
    </row>
    <row r="18" spans="1:21" s="12" customFormat="1" x14ac:dyDescent="0.25">
      <c r="A18" s="215" t="s">
        <v>1887</v>
      </c>
      <c r="B18" s="64">
        <v>5.18</v>
      </c>
      <c r="C18" s="64">
        <v>45.42</v>
      </c>
      <c r="D18" s="64">
        <v>40.24</v>
      </c>
      <c r="E18" s="64">
        <v>2.92</v>
      </c>
      <c r="F18" s="64">
        <v>12.02</v>
      </c>
      <c r="G18" s="64">
        <v>34.39</v>
      </c>
      <c r="H18" s="64">
        <v>11.36</v>
      </c>
      <c r="I18" s="64">
        <v>4.03</v>
      </c>
      <c r="J18" s="64">
        <v>0.86</v>
      </c>
      <c r="K18" s="64">
        <v>197.26</v>
      </c>
      <c r="L18" s="64">
        <v>26.1</v>
      </c>
      <c r="M18" s="64">
        <v>65.16</v>
      </c>
      <c r="N18" s="64">
        <v>35.200000000000003</v>
      </c>
      <c r="O18" s="64">
        <v>0</v>
      </c>
      <c r="P18" s="64">
        <v>0.43</v>
      </c>
      <c r="Q18" s="64">
        <v>8.5399999999999991</v>
      </c>
      <c r="R18" s="198"/>
      <c r="S18" s="198"/>
      <c r="T18" s="198"/>
      <c r="U18" s="198"/>
    </row>
    <row r="19" spans="1:21" s="12" customFormat="1" x14ac:dyDescent="0.25">
      <c r="A19" s="215" t="s">
        <v>1888</v>
      </c>
      <c r="B19" s="64">
        <v>5.88</v>
      </c>
      <c r="C19" s="64">
        <v>51.06</v>
      </c>
      <c r="D19" s="64">
        <v>45.19</v>
      </c>
      <c r="E19" s="64">
        <v>2.46</v>
      </c>
      <c r="F19" s="64">
        <v>9.18</v>
      </c>
      <c r="G19" s="64">
        <v>32.01</v>
      </c>
      <c r="H19" s="64">
        <v>11.21</v>
      </c>
      <c r="I19" s="64">
        <v>3.99</v>
      </c>
      <c r="J19" s="64">
        <v>0.98</v>
      </c>
      <c r="K19" s="64">
        <v>239.76</v>
      </c>
      <c r="L19" s="64">
        <v>25.79</v>
      </c>
      <c r="M19" s="64">
        <v>69.650000000000006</v>
      </c>
      <c r="N19" s="64">
        <v>35.4</v>
      </c>
      <c r="O19" s="64">
        <v>0</v>
      </c>
      <c r="P19" s="64">
        <v>0.47</v>
      </c>
      <c r="Q19" s="64">
        <v>8.51</v>
      </c>
      <c r="R19" s="198"/>
      <c r="S19" s="198"/>
      <c r="T19" s="198"/>
      <c r="U19" s="198"/>
    </row>
    <row r="20" spans="1:21" s="12" customFormat="1" x14ac:dyDescent="0.25">
      <c r="A20" s="215" t="s">
        <v>1889</v>
      </c>
      <c r="B20" s="64">
        <v>2.27</v>
      </c>
      <c r="C20" s="64">
        <v>43.23</v>
      </c>
      <c r="D20" s="64">
        <v>40.950000000000003</v>
      </c>
      <c r="E20" s="64">
        <v>2.69</v>
      </c>
      <c r="F20" s="64">
        <v>11.66</v>
      </c>
      <c r="G20" s="64">
        <v>32.01</v>
      </c>
      <c r="H20" s="64">
        <v>11.21</v>
      </c>
      <c r="I20" s="64">
        <v>3.92</v>
      </c>
      <c r="J20" s="64">
        <v>0.84</v>
      </c>
      <c r="K20" s="64">
        <v>309.7</v>
      </c>
      <c r="L20" s="64">
        <v>25.67</v>
      </c>
      <c r="M20" s="64">
        <v>70.290000000000006</v>
      </c>
      <c r="N20" s="64">
        <v>35.4</v>
      </c>
      <c r="O20" s="64">
        <v>0</v>
      </c>
      <c r="P20" s="64">
        <v>0.41</v>
      </c>
      <c r="Q20" s="64">
        <v>8.7899999999999991</v>
      </c>
      <c r="R20" s="198"/>
      <c r="S20" s="198"/>
      <c r="T20" s="198"/>
      <c r="U20" s="198"/>
    </row>
    <row r="21" spans="1:21" s="12" customFormat="1" x14ac:dyDescent="0.25">
      <c r="A21" s="215" t="s">
        <v>1890</v>
      </c>
      <c r="B21" s="64">
        <v>2.08</v>
      </c>
      <c r="C21" s="64">
        <v>36.15</v>
      </c>
      <c r="D21" s="64">
        <v>34.07</v>
      </c>
      <c r="E21" s="64">
        <v>2.86</v>
      </c>
      <c r="F21" s="64">
        <v>12.82</v>
      </c>
      <c r="G21" s="64">
        <v>32.01</v>
      </c>
      <c r="H21" s="64">
        <v>11.21</v>
      </c>
      <c r="I21" s="64">
        <v>3.91</v>
      </c>
      <c r="J21" s="64">
        <v>1.29</v>
      </c>
      <c r="K21" s="64">
        <v>237.66</v>
      </c>
      <c r="L21" s="64">
        <v>25.65</v>
      </c>
      <c r="M21" s="64">
        <v>67.760000000000005</v>
      </c>
      <c r="N21" s="64">
        <v>35</v>
      </c>
      <c r="O21" s="64">
        <v>0</v>
      </c>
      <c r="P21" s="64">
        <v>0.41</v>
      </c>
      <c r="Q21" s="64">
        <v>8.65</v>
      </c>
      <c r="R21" s="198"/>
      <c r="S21" s="198"/>
      <c r="T21" s="198"/>
      <c r="U21" s="198"/>
    </row>
    <row r="22" spans="1:21" s="12" customFormat="1" x14ac:dyDescent="0.25">
      <c r="A22" s="215" t="s">
        <v>1891</v>
      </c>
      <c r="B22" s="64">
        <v>8.02</v>
      </c>
      <c r="C22" s="64">
        <v>47.07</v>
      </c>
      <c r="D22" s="64">
        <v>39.049999999999997</v>
      </c>
      <c r="E22" s="64">
        <v>2.97</v>
      </c>
      <c r="F22" s="64">
        <v>13.44</v>
      </c>
      <c r="G22" s="64">
        <v>32.53</v>
      </c>
      <c r="H22" s="64">
        <v>11.84</v>
      </c>
      <c r="I22" s="64">
        <v>3.97</v>
      </c>
      <c r="J22" s="64">
        <v>0.85</v>
      </c>
      <c r="K22" s="64">
        <v>315.95999999999998</v>
      </c>
      <c r="L22" s="64">
        <v>25.59</v>
      </c>
      <c r="M22" s="64">
        <v>69.81</v>
      </c>
      <c r="N22" s="64">
        <v>35.299999999999997</v>
      </c>
      <c r="O22" s="64">
        <v>0</v>
      </c>
      <c r="P22" s="64">
        <v>0.47</v>
      </c>
      <c r="Q22" s="64">
        <v>8.56</v>
      </c>
      <c r="R22" s="198"/>
      <c r="S22" s="198"/>
      <c r="T22" s="198"/>
      <c r="U22" s="198"/>
    </row>
    <row r="23" spans="1:21" s="12" customFormat="1" x14ac:dyDescent="0.25">
      <c r="A23" s="215" t="s">
        <v>1892</v>
      </c>
      <c r="B23" s="64">
        <v>4.33</v>
      </c>
      <c r="C23" s="64">
        <v>42.13</v>
      </c>
      <c r="D23" s="64">
        <v>37.799999999999997</v>
      </c>
      <c r="E23" s="64">
        <v>2.73</v>
      </c>
      <c r="F23" s="64">
        <v>13.47</v>
      </c>
      <c r="G23" s="64">
        <v>33.07</v>
      </c>
      <c r="H23" s="64">
        <v>12.51</v>
      </c>
      <c r="I23" s="64">
        <v>3.92</v>
      </c>
      <c r="J23" s="64">
        <v>0.88</v>
      </c>
      <c r="K23" s="64">
        <v>345.73</v>
      </c>
      <c r="L23" s="64">
        <v>25.37</v>
      </c>
      <c r="M23" s="64">
        <v>69.36</v>
      </c>
      <c r="N23" s="64">
        <v>35.4</v>
      </c>
      <c r="O23" s="64">
        <v>0</v>
      </c>
      <c r="P23" s="64">
        <v>0.4</v>
      </c>
      <c r="Q23" s="64">
        <v>8.6999999999999993</v>
      </c>
      <c r="R23" s="198"/>
      <c r="S23" s="198"/>
      <c r="T23" s="198"/>
      <c r="U23" s="198"/>
    </row>
    <row r="24" spans="1:21" s="12" customFormat="1" x14ac:dyDescent="0.25">
      <c r="A24" s="215" t="s">
        <v>1893</v>
      </c>
      <c r="B24" s="64">
        <v>2.5499999999999998</v>
      </c>
      <c r="C24" s="64">
        <v>37.090000000000003</v>
      </c>
      <c r="D24" s="64">
        <v>34.54</v>
      </c>
      <c r="E24" s="64">
        <v>2.71</v>
      </c>
      <c r="F24" s="64">
        <v>13.66</v>
      </c>
      <c r="G24" s="64">
        <v>33.07</v>
      </c>
      <c r="H24" s="64">
        <v>12.51</v>
      </c>
      <c r="I24" s="64">
        <v>3.97</v>
      </c>
      <c r="J24" s="64">
        <v>1.2</v>
      </c>
      <c r="K24" s="64">
        <v>269.16000000000003</v>
      </c>
      <c r="L24" s="64">
        <v>25.31</v>
      </c>
      <c r="M24" s="64">
        <v>70.52</v>
      </c>
      <c r="N24" s="64">
        <v>35.1</v>
      </c>
      <c r="O24" s="64">
        <v>0</v>
      </c>
      <c r="P24" s="64">
        <v>0.4</v>
      </c>
      <c r="Q24" s="64">
        <v>8.44</v>
      </c>
      <c r="R24" s="198"/>
      <c r="S24" s="198"/>
      <c r="T24" s="198"/>
      <c r="U24" s="198"/>
    </row>
    <row r="25" spans="1:21" s="12" customFormat="1" x14ac:dyDescent="0.25">
      <c r="A25" s="215" t="s">
        <v>1894</v>
      </c>
      <c r="B25" s="64">
        <v>7.17</v>
      </c>
      <c r="C25" s="64">
        <v>45.67</v>
      </c>
      <c r="D25" s="64">
        <v>38.5</v>
      </c>
      <c r="E25" s="64">
        <v>2.74</v>
      </c>
      <c r="F25" s="64">
        <v>13.6</v>
      </c>
      <c r="G25" s="64">
        <v>33.07</v>
      </c>
      <c r="H25" s="64">
        <v>12.51</v>
      </c>
      <c r="I25" s="64">
        <v>3.88</v>
      </c>
      <c r="J25" s="64">
        <v>1.18</v>
      </c>
      <c r="K25" s="64">
        <v>273.94</v>
      </c>
      <c r="L25" s="64">
        <v>25.33</v>
      </c>
      <c r="M25" s="64">
        <v>69.77</v>
      </c>
      <c r="N25" s="64">
        <v>35</v>
      </c>
      <c r="O25" s="64">
        <v>0</v>
      </c>
      <c r="P25" s="64">
        <v>0.42</v>
      </c>
      <c r="Q25" s="64">
        <v>8.52</v>
      </c>
      <c r="R25" s="198"/>
      <c r="S25" s="198"/>
      <c r="T25" s="198"/>
      <c r="U25" s="198"/>
    </row>
    <row r="26" spans="1:21" s="12" customFormat="1" x14ac:dyDescent="0.25">
      <c r="A26" s="215" t="s">
        <v>1895</v>
      </c>
      <c r="B26" s="64">
        <v>8.91</v>
      </c>
      <c r="C26" s="64">
        <v>54.09</v>
      </c>
      <c r="D26" s="64">
        <v>45.18</v>
      </c>
      <c r="E26" s="64">
        <v>2.63</v>
      </c>
      <c r="F26" s="64">
        <v>12.37</v>
      </c>
      <c r="G26" s="64">
        <v>35.340000000000003</v>
      </c>
      <c r="H26" s="64">
        <v>10.93</v>
      </c>
      <c r="I26" s="64">
        <v>4.05</v>
      </c>
      <c r="J26" s="64">
        <v>1.07</v>
      </c>
      <c r="K26" s="64">
        <v>255.09</v>
      </c>
      <c r="L26" s="64">
        <v>25.53</v>
      </c>
      <c r="M26" s="64">
        <v>68.11</v>
      </c>
      <c r="N26" s="64">
        <v>35.1</v>
      </c>
      <c r="O26" s="64">
        <v>0</v>
      </c>
      <c r="P26" s="64">
        <v>0.51</v>
      </c>
      <c r="Q26" s="64">
        <v>8.3800000000000008</v>
      </c>
      <c r="R26" s="198"/>
      <c r="S26" s="198"/>
      <c r="T26" s="198"/>
      <c r="U26" s="198"/>
    </row>
    <row r="27" spans="1:21" s="12" customFormat="1" x14ac:dyDescent="0.25">
      <c r="A27" s="215" t="s">
        <v>1896</v>
      </c>
      <c r="B27" s="64">
        <v>4.74</v>
      </c>
      <c r="C27" s="64">
        <v>47.77</v>
      </c>
      <c r="D27" s="64">
        <v>43.03</v>
      </c>
      <c r="E27" s="64">
        <v>2.76</v>
      </c>
      <c r="F27" s="64">
        <v>11.58</v>
      </c>
      <c r="G27" s="64">
        <v>37.72</v>
      </c>
      <c r="H27" s="64">
        <v>9.2799999999999994</v>
      </c>
      <c r="I27" s="64">
        <v>4.05</v>
      </c>
      <c r="J27" s="64">
        <v>1.25</v>
      </c>
      <c r="K27" s="64">
        <v>229.77</v>
      </c>
      <c r="L27" s="64">
        <v>25.69</v>
      </c>
      <c r="M27" s="64">
        <v>67.81</v>
      </c>
      <c r="N27" s="64">
        <v>34.799999999999997</v>
      </c>
      <c r="O27" s="64">
        <v>0</v>
      </c>
      <c r="P27" s="64">
        <v>0.46</v>
      </c>
      <c r="Q27" s="64">
        <v>8.64</v>
      </c>
      <c r="R27" s="198"/>
      <c r="S27" s="198"/>
      <c r="T27" s="198"/>
      <c r="U27" s="198"/>
    </row>
    <row r="28" spans="1:21" s="12" customFormat="1" x14ac:dyDescent="0.25">
      <c r="A28" s="215" t="s">
        <v>1897</v>
      </c>
      <c r="B28" s="64">
        <v>2.5099999999999998</v>
      </c>
      <c r="C28" s="64">
        <v>42.37</v>
      </c>
      <c r="D28" s="64">
        <v>39.86</v>
      </c>
      <c r="E28" s="64">
        <v>2.29</v>
      </c>
      <c r="F28" s="64">
        <v>14.03</v>
      </c>
      <c r="G28" s="64">
        <v>37.72</v>
      </c>
      <c r="H28" s="64">
        <v>9.2799999999999994</v>
      </c>
      <c r="I28" s="64">
        <v>4.0199999999999996</v>
      </c>
      <c r="J28" s="64">
        <v>1.01</v>
      </c>
      <c r="K28" s="64">
        <v>284.05</v>
      </c>
      <c r="L28" s="64">
        <v>25.96</v>
      </c>
      <c r="M28" s="64">
        <v>66.84</v>
      </c>
      <c r="N28" s="64">
        <v>35.1</v>
      </c>
      <c r="O28" s="64">
        <v>0</v>
      </c>
      <c r="P28" s="64">
        <v>0.45</v>
      </c>
      <c r="Q28" s="64">
        <v>8.27</v>
      </c>
      <c r="R28" s="198"/>
      <c r="S28" s="198"/>
      <c r="T28" s="198"/>
      <c r="U28" s="198"/>
    </row>
    <row r="29" spans="1:21" s="12" customFormat="1" x14ac:dyDescent="0.25">
      <c r="A29" s="215" t="s">
        <v>1898</v>
      </c>
      <c r="B29" s="64">
        <v>2.4300000000000002</v>
      </c>
      <c r="C29" s="64">
        <v>34.729999999999997</v>
      </c>
      <c r="D29" s="64">
        <v>32.299999999999997</v>
      </c>
      <c r="E29" s="64">
        <v>2.58</v>
      </c>
      <c r="F29" s="64">
        <v>14.4</v>
      </c>
      <c r="G29" s="64">
        <v>37.72</v>
      </c>
      <c r="H29" s="64">
        <v>9.2799999999999994</v>
      </c>
      <c r="I29" s="64">
        <v>3.8</v>
      </c>
      <c r="J29" s="64">
        <v>1.1200000000000001</v>
      </c>
      <c r="K29" s="64">
        <v>240.7</v>
      </c>
      <c r="L29" s="64">
        <v>25.79</v>
      </c>
      <c r="M29" s="64">
        <v>68.66</v>
      </c>
      <c r="N29" s="64">
        <v>34.9</v>
      </c>
      <c r="O29" s="64">
        <v>0</v>
      </c>
      <c r="P29" s="64">
        <v>0.44</v>
      </c>
      <c r="Q29" s="64">
        <v>8.3800000000000008</v>
      </c>
      <c r="R29" s="198"/>
      <c r="S29" s="198"/>
      <c r="T29" s="198"/>
      <c r="U29" s="198"/>
    </row>
    <row r="30" spans="1:21" s="12" customFormat="1" x14ac:dyDescent="0.25">
      <c r="A30" s="215" t="s">
        <v>1899</v>
      </c>
      <c r="B30" s="64">
        <v>3.78</v>
      </c>
      <c r="C30" s="64">
        <v>48.2</v>
      </c>
      <c r="D30" s="64">
        <v>44.42</v>
      </c>
      <c r="E30" s="64">
        <v>2.4300000000000002</v>
      </c>
      <c r="F30" s="64">
        <v>11.56</v>
      </c>
      <c r="G30" s="64">
        <v>38.28</v>
      </c>
      <c r="H30" s="64">
        <v>9.16</v>
      </c>
      <c r="I30" s="64">
        <v>3.99</v>
      </c>
      <c r="J30" s="64">
        <v>1.58</v>
      </c>
      <c r="K30" s="64">
        <v>211.01</v>
      </c>
      <c r="L30" s="64">
        <v>26.03</v>
      </c>
      <c r="M30" s="64">
        <v>67.58</v>
      </c>
      <c r="N30" s="64">
        <v>35.1</v>
      </c>
      <c r="O30" s="64">
        <v>0</v>
      </c>
      <c r="P30" s="64">
        <v>0.46</v>
      </c>
      <c r="Q30" s="64">
        <v>8.6</v>
      </c>
      <c r="R30" s="198"/>
      <c r="S30" s="198"/>
      <c r="T30" s="198"/>
      <c r="U30" s="198"/>
    </row>
    <row r="31" spans="1:21" s="12" customFormat="1" x14ac:dyDescent="0.25">
      <c r="A31" s="215" t="s">
        <v>1900</v>
      </c>
      <c r="B31" s="64">
        <v>5.68</v>
      </c>
      <c r="C31" s="64">
        <v>47.82</v>
      </c>
      <c r="D31" s="64">
        <v>42.14</v>
      </c>
      <c r="E31" s="64">
        <v>2.66</v>
      </c>
      <c r="F31" s="64">
        <v>11.12</v>
      </c>
      <c r="G31" s="64">
        <v>38.869999999999997</v>
      </c>
      <c r="H31" s="64">
        <v>9.0299999999999994</v>
      </c>
      <c r="I31" s="64">
        <v>3.97</v>
      </c>
      <c r="J31" s="64">
        <v>1.48</v>
      </c>
      <c r="K31" s="64">
        <v>208.53</v>
      </c>
      <c r="L31" s="64">
        <v>25.66</v>
      </c>
      <c r="M31" s="64">
        <v>68.3</v>
      </c>
      <c r="N31" s="64">
        <v>39.1</v>
      </c>
      <c r="O31" s="64">
        <v>0</v>
      </c>
      <c r="P31" s="64">
        <v>0.5</v>
      </c>
      <c r="Q31" s="64">
        <v>8.3699999999999992</v>
      </c>
      <c r="R31" s="198"/>
      <c r="S31" s="198"/>
      <c r="T31" s="198"/>
      <c r="U31" s="198"/>
    </row>
    <row r="32" spans="1:21" s="12" customFormat="1" x14ac:dyDescent="0.25">
      <c r="A32" s="215" t="s">
        <v>1901</v>
      </c>
      <c r="B32" s="64">
        <v>5.38</v>
      </c>
      <c r="C32" s="64">
        <v>41.79</v>
      </c>
      <c r="D32" s="64">
        <v>36.4</v>
      </c>
      <c r="E32" s="64">
        <v>2.64</v>
      </c>
      <c r="F32" s="64">
        <v>9.7100000000000009</v>
      </c>
      <c r="G32" s="64">
        <v>38.869999999999997</v>
      </c>
      <c r="H32" s="64">
        <v>9.0299999999999994</v>
      </c>
      <c r="I32" s="64">
        <v>3.9</v>
      </c>
      <c r="J32" s="64">
        <v>1.49</v>
      </c>
      <c r="K32" s="64">
        <v>212.99</v>
      </c>
      <c r="L32" s="64">
        <v>25.38</v>
      </c>
      <c r="M32" s="64">
        <v>70.36</v>
      </c>
      <c r="N32" s="64">
        <v>50.4</v>
      </c>
      <c r="O32" s="64">
        <v>0</v>
      </c>
      <c r="P32" s="64">
        <v>0.5</v>
      </c>
      <c r="Q32" s="64">
        <v>8.42</v>
      </c>
      <c r="R32" s="198"/>
      <c r="S32" s="198"/>
      <c r="T32" s="198"/>
      <c r="U32" s="198"/>
    </row>
    <row r="33" spans="1:21" s="12" customFormat="1" x14ac:dyDescent="0.25">
      <c r="A33" s="215" t="s">
        <v>1902</v>
      </c>
      <c r="B33" s="64">
        <v>9.84</v>
      </c>
      <c r="C33" s="64">
        <v>52.74</v>
      </c>
      <c r="D33" s="64">
        <v>42.89</v>
      </c>
      <c r="E33" s="64">
        <v>2.62</v>
      </c>
      <c r="F33" s="64">
        <v>9.34</v>
      </c>
      <c r="G33" s="64">
        <v>38.869999999999997</v>
      </c>
      <c r="H33" s="64">
        <v>9.0299999999999994</v>
      </c>
      <c r="I33" s="64">
        <v>4.04</v>
      </c>
      <c r="J33" s="64">
        <v>1.37</v>
      </c>
      <c r="K33" s="64">
        <v>247.32</v>
      </c>
      <c r="L33" s="64">
        <v>25.43</v>
      </c>
      <c r="M33" s="64">
        <v>71.319999999999993</v>
      </c>
      <c r="N33" s="64">
        <v>71.7</v>
      </c>
      <c r="O33" s="64">
        <v>0</v>
      </c>
      <c r="P33" s="64">
        <v>0.6</v>
      </c>
      <c r="Q33" s="64">
        <v>8.65</v>
      </c>
      <c r="R33" s="198"/>
      <c r="S33" s="198"/>
      <c r="T33" s="198"/>
      <c r="U33" s="198"/>
    </row>
    <row r="34" spans="1:21" s="12" customFormat="1" x14ac:dyDescent="0.25">
      <c r="A34" s="215" t="s">
        <v>1903</v>
      </c>
      <c r="B34" s="64">
        <v>7.19</v>
      </c>
      <c r="C34" s="64">
        <v>49.07</v>
      </c>
      <c r="D34" s="64">
        <v>41.88</v>
      </c>
      <c r="E34" s="64">
        <v>2.73</v>
      </c>
      <c r="F34" s="64">
        <v>9.34</v>
      </c>
      <c r="G34" s="64">
        <v>40.65</v>
      </c>
      <c r="H34" s="64">
        <v>11.04</v>
      </c>
      <c r="I34" s="64">
        <v>4.18</v>
      </c>
      <c r="J34" s="64">
        <v>1.51</v>
      </c>
      <c r="K34" s="64">
        <v>197.99</v>
      </c>
      <c r="L34" s="64">
        <v>25.77</v>
      </c>
      <c r="M34" s="64">
        <v>70.97</v>
      </c>
      <c r="N34" s="64">
        <v>102.1</v>
      </c>
      <c r="O34" s="64">
        <v>0</v>
      </c>
      <c r="P34" s="64">
        <v>0.52</v>
      </c>
      <c r="Q34" s="64">
        <v>8.41</v>
      </c>
      <c r="R34" s="198"/>
      <c r="S34" s="198"/>
      <c r="T34" s="198"/>
      <c r="U34" s="198"/>
    </row>
    <row r="35" spans="1:21" s="12" customFormat="1" x14ac:dyDescent="0.25">
      <c r="A35" s="215" t="s">
        <v>1904</v>
      </c>
      <c r="B35" s="64">
        <v>7.64</v>
      </c>
      <c r="C35" s="64">
        <v>46.91</v>
      </c>
      <c r="D35" s="64">
        <v>39.270000000000003</v>
      </c>
      <c r="E35" s="64">
        <v>2.48</v>
      </c>
      <c r="F35" s="64">
        <v>8.0399999999999991</v>
      </c>
      <c r="G35" s="64">
        <v>42.52</v>
      </c>
      <c r="H35" s="64">
        <v>13.14</v>
      </c>
      <c r="I35" s="64">
        <v>4.1900000000000004</v>
      </c>
      <c r="J35" s="64">
        <v>1.4</v>
      </c>
      <c r="K35" s="64">
        <v>240.19</v>
      </c>
      <c r="L35" s="64">
        <v>26.06</v>
      </c>
      <c r="M35" s="64">
        <v>68.650000000000006</v>
      </c>
      <c r="N35" s="64">
        <v>128.19999999999999</v>
      </c>
      <c r="O35" s="64">
        <v>0</v>
      </c>
      <c r="P35" s="64">
        <v>0.51</v>
      </c>
      <c r="Q35" s="64">
        <v>8.92</v>
      </c>
      <c r="R35" s="198"/>
      <c r="S35" s="198"/>
      <c r="T35" s="198"/>
      <c r="U35" s="198"/>
    </row>
    <row r="36" spans="1:21" s="12" customFormat="1" x14ac:dyDescent="0.25">
      <c r="A36" s="215" t="s">
        <v>1905</v>
      </c>
      <c r="B36" s="64">
        <v>7.67</v>
      </c>
      <c r="C36" s="64">
        <v>47.08</v>
      </c>
      <c r="D36" s="64">
        <v>39.409999999999997</v>
      </c>
      <c r="E36" s="64">
        <v>2.38</v>
      </c>
      <c r="F36" s="64">
        <v>9.33</v>
      </c>
      <c r="G36" s="64">
        <v>42.52</v>
      </c>
      <c r="H36" s="64">
        <v>13.14</v>
      </c>
      <c r="I36" s="64">
        <v>3.85</v>
      </c>
      <c r="J36" s="64">
        <v>1.01</v>
      </c>
      <c r="K36" s="64">
        <v>221</v>
      </c>
      <c r="L36" s="64">
        <v>26.59</v>
      </c>
      <c r="M36" s="64">
        <v>68.44</v>
      </c>
      <c r="N36" s="64">
        <v>147.80000000000001</v>
      </c>
      <c r="O36" s="64">
        <v>0</v>
      </c>
      <c r="P36" s="64">
        <v>0.52</v>
      </c>
      <c r="Q36" s="64">
        <v>8.75</v>
      </c>
      <c r="R36" s="198"/>
      <c r="S36" s="198"/>
      <c r="T36" s="198"/>
      <c r="U36" s="198"/>
    </row>
    <row r="37" spans="1:21" s="12" customFormat="1" x14ac:dyDescent="0.25">
      <c r="A37" s="215" t="s">
        <v>1906</v>
      </c>
      <c r="B37" s="64">
        <v>7.05</v>
      </c>
      <c r="C37" s="64">
        <v>49.44</v>
      </c>
      <c r="D37" s="64">
        <v>42.39</v>
      </c>
      <c r="E37" s="64">
        <v>2.33</v>
      </c>
      <c r="F37" s="64">
        <v>10.95</v>
      </c>
      <c r="G37" s="64">
        <v>42.52</v>
      </c>
      <c r="H37" s="64">
        <v>13.14</v>
      </c>
      <c r="I37" s="64">
        <v>4.1900000000000004</v>
      </c>
      <c r="J37" s="64">
        <v>1.01</v>
      </c>
      <c r="K37" s="64">
        <v>240.53</v>
      </c>
      <c r="L37" s="64">
        <v>26.97</v>
      </c>
      <c r="M37" s="64">
        <v>67.78</v>
      </c>
      <c r="N37" s="64">
        <v>133.5</v>
      </c>
      <c r="O37" s="64">
        <v>0</v>
      </c>
      <c r="P37" s="64">
        <v>0.55000000000000004</v>
      </c>
      <c r="Q37" s="64">
        <v>8.68</v>
      </c>
      <c r="R37" s="198"/>
      <c r="S37" s="198"/>
      <c r="T37" s="198"/>
      <c r="U37" s="198"/>
    </row>
    <row r="38" spans="1:21" s="12" customFormat="1" x14ac:dyDescent="0.25">
      <c r="A38" s="215" t="s">
        <v>1907</v>
      </c>
      <c r="B38" s="64">
        <v>6.7</v>
      </c>
      <c r="C38" s="64">
        <v>46.96</v>
      </c>
      <c r="D38" s="64">
        <v>40.25</v>
      </c>
      <c r="E38" s="64">
        <v>2.35</v>
      </c>
      <c r="F38" s="64">
        <v>9.01</v>
      </c>
      <c r="G38" s="64">
        <v>43.4</v>
      </c>
      <c r="H38" s="64">
        <v>13.4</v>
      </c>
      <c r="I38" s="64">
        <v>4.04</v>
      </c>
      <c r="J38" s="64">
        <v>1.45</v>
      </c>
      <c r="K38" s="64">
        <v>244.81</v>
      </c>
      <c r="L38" s="64">
        <v>27.13</v>
      </c>
      <c r="M38" s="64">
        <v>67.53</v>
      </c>
      <c r="N38" s="64">
        <v>230.9</v>
      </c>
      <c r="O38" s="64">
        <v>0</v>
      </c>
      <c r="P38" s="64">
        <v>0.55000000000000004</v>
      </c>
      <c r="Q38" s="64">
        <v>8.58</v>
      </c>
      <c r="R38" s="198"/>
      <c r="S38" s="198"/>
      <c r="T38" s="198"/>
      <c r="U38" s="198"/>
    </row>
    <row r="39" spans="1:21" s="12" customFormat="1" x14ac:dyDescent="0.25">
      <c r="A39" s="215" t="s">
        <v>1908</v>
      </c>
      <c r="B39" s="64">
        <v>8.06</v>
      </c>
      <c r="C39" s="64">
        <v>54.06</v>
      </c>
      <c r="D39" s="64">
        <v>46</v>
      </c>
      <c r="E39" s="64">
        <v>2.3199999999999998</v>
      </c>
      <c r="F39" s="64">
        <v>7.51</v>
      </c>
      <c r="G39" s="64">
        <v>44.32</v>
      </c>
      <c r="H39" s="64">
        <v>13.68</v>
      </c>
      <c r="I39" s="64">
        <v>3.78</v>
      </c>
      <c r="J39" s="64">
        <v>1.1599999999999999</v>
      </c>
      <c r="K39" s="64">
        <v>259.5</v>
      </c>
      <c r="L39" s="64">
        <v>29.13</v>
      </c>
      <c r="M39" s="64">
        <v>61.56</v>
      </c>
      <c r="N39" s="64">
        <v>337.4</v>
      </c>
      <c r="O39" s="64">
        <v>0</v>
      </c>
      <c r="P39" s="64">
        <v>0.56000000000000005</v>
      </c>
      <c r="Q39" s="64">
        <v>8.49</v>
      </c>
      <c r="R39" s="198"/>
      <c r="S39" s="198"/>
      <c r="T39" s="198"/>
      <c r="U39" s="198"/>
    </row>
    <row r="40" spans="1:21" s="12" customFormat="1" x14ac:dyDescent="0.25">
      <c r="A40" s="215" t="s">
        <v>1909</v>
      </c>
      <c r="B40" s="64">
        <v>7.13</v>
      </c>
      <c r="C40" s="64">
        <v>50.09</v>
      </c>
      <c r="D40" s="64">
        <v>42.96</v>
      </c>
      <c r="E40" s="64">
        <v>2.7</v>
      </c>
      <c r="F40" s="64">
        <v>7.7</v>
      </c>
      <c r="G40" s="64">
        <v>44.32</v>
      </c>
      <c r="H40" s="64">
        <v>13.68</v>
      </c>
      <c r="I40" s="64">
        <v>4.08</v>
      </c>
      <c r="J40" s="64">
        <v>1.55</v>
      </c>
      <c r="K40" s="64">
        <v>246.58</v>
      </c>
      <c r="L40" s="64">
        <v>29.46</v>
      </c>
      <c r="M40" s="64">
        <v>61.47</v>
      </c>
      <c r="N40" s="64">
        <v>357.7</v>
      </c>
      <c r="O40" s="64">
        <v>0</v>
      </c>
      <c r="P40" s="64">
        <v>0.55000000000000004</v>
      </c>
      <c r="Q40" s="64">
        <v>8.59</v>
      </c>
      <c r="R40" s="198"/>
      <c r="S40" s="198"/>
      <c r="T40" s="198"/>
      <c r="U40" s="198"/>
    </row>
    <row r="41" spans="1:21" s="12" customFormat="1" x14ac:dyDescent="0.25">
      <c r="A41" s="215" t="s">
        <v>1910</v>
      </c>
      <c r="B41" s="64">
        <v>6.02</v>
      </c>
      <c r="C41" s="64">
        <v>47.16</v>
      </c>
      <c r="D41" s="64">
        <v>41.13</v>
      </c>
      <c r="E41" s="64">
        <v>2.35</v>
      </c>
      <c r="F41" s="64">
        <v>7.82</v>
      </c>
      <c r="G41" s="64">
        <v>44.32</v>
      </c>
      <c r="H41" s="64">
        <v>13.68</v>
      </c>
      <c r="I41" s="64">
        <v>3.98</v>
      </c>
      <c r="J41" s="64">
        <v>1.51</v>
      </c>
      <c r="K41" s="64">
        <v>258.86</v>
      </c>
      <c r="L41" s="64">
        <v>30.18</v>
      </c>
      <c r="M41" s="64">
        <v>59.76</v>
      </c>
      <c r="N41" s="64">
        <v>404.8</v>
      </c>
      <c r="O41" s="64">
        <v>0</v>
      </c>
      <c r="P41" s="64">
        <v>0.54</v>
      </c>
      <c r="Q41" s="64">
        <v>8.76</v>
      </c>
      <c r="R41" s="198"/>
      <c r="S41" s="198"/>
      <c r="T41" s="198"/>
      <c r="U41" s="198"/>
    </row>
    <row r="42" spans="1:21" s="12" customFormat="1" x14ac:dyDescent="0.25">
      <c r="A42" s="215" t="s">
        <v>1911</v>
      </c>
      <c r="B42" s="64">
        <v>4.67</v>
      </c>
      <c r="C42" s="64">
        <v>45.78</v>
      </c>
      <c r="D42" s="64">
        <v>41.11</v>
      </c>
      <c r="E42" s="64">
        <v>2.57</v>
      </c>
      <c r="F42" s="64">
        <v>8.81</v>
      </c>
      <c r="G42" s="64">
        <v>45.25</v>
      </c>
      <c r="H42" s="64">
        <v>12.78</v>
      </c>
      <c r="I42" s="64">
        <v>3.8</v>
      </c>
      <c r="J42" s="64">
        <v>1.26</v>
      </c>
      <c r="K42" s="64">
        <v>256.58999999999997</v>
      </c>
      <c r="L42" s="64">
        <v>30.82</v>
      </c>
      <c r="M42" s="64">
        <v>57.88</v>
      </c>
      <c r="N42" s="64">
        <v>478.3</v>
      </c>
      <c r="O42" s="64">
        <v>0</v>
      </c>
      <c r="P42" s="64">
        <v>0.54</v>
      </c>
      <c r="Q42" s="64">
        <v>8.82</v>
      </c>
      <c r="R42" s="198"/>
      <c r="S42" s="198"/>
      <c r="T42" s="198"/>
      <c r="U42" s="198"/>
    </row>
    <row r="43" spans="1:21" s="12" customFormat="1" x14ac:dyDescent="0.25">
      <c r="A43" s="215" t="s">
        <v>1912</v>
      </c>
      <c r="B43" s="64">
        <v>3.76</v>
      </c>
      <c r="C43" s="64">
        <v>44.97</v>
      </c>
      <c r="D43" s="64">
        <v>41.21</v>
      </c>
      <c r="E43" s="64">
        <v>2.82</v>
      </c>
      <c r="F43" s="64">
        <v>8.35</v>
      </c>
      <c r="G43" s="64">
        <v>46.23</v>
      </c>
      <c r="H43" s="64">
        <v>11.84</v>
      </c>
      <c r="I43" s="64">
        <v>4.03</v>
      </c>
      <c r="J43" s="64">
        <v>1.58</v>
      </c>
      <c r="K43" s="64">
        <v>259.13</v>
      </c>
      <c r="L43" s="64">
        <v>31.92</v>
      </c>
      <c r="M43" s="64">
        <v>53.95</v>
      </c>
      <c r="N43" s="64">
        <v>537.20000000000005</v>
      </c>
      <c r="O43" s="64">
        <v>0</v>
      </c>
      <c r="P43" s="64">
        <v>0.53</v>
      </c>
      <c r="Q43" s="64">
        <v>8.5399999999999991</v>
      </c>
      <c r="R43" s="198"/>
      <c r="S43" s="198"/>
      <c r="T43" s="198"/>
      <c r="U43" s="198"/>
    </row>
    <row r="44" spans="1:21" s="12" customFormat="1" x14ac:dyDescent="0.25">
      <c r="A44" s="215" t="s">
        <v>1913</v>
      </c>
      <c r="B44" s="64">
        <v>2.5299999999999998</v>
      </c>
      <c r="C44" s="64">
        <v>41.5</v>
      </c>
      <c r="D44" s="64">
        <v>38.979999999999997</v>
      </c>
      <c r="E44" s="64">
        <v>2.23</v>
      </c>
      <c r="F44" s="64">
        <v>10.39</v>
      </c>
      <c r="G44" s="64">
        <v>46.23</v>
      </c>
      <c r="H44" s="64">
        <v>11.84</v>
      </c>
      <c r="I44" s="64">
        <v>4</v>
      </c>
      <c r="J44" s="64">
        <v>1.1299999999999999</v>
      </c>
      <c r="K44" s="64">
        <v>253.84</v>
      </c>
      <c r="L44" s="64">
        <v>32.19</v>
      </c>
      <c r="M44" s="64">
        <v>52.86</v>
      </c>
      <c r="N44" s="64">
        <v>587</v>
      </c>
      <c r="O44" s="64">
        <v>0</v>
      </c>
      <c r="P44" s="64">
        <v>0.52</v>
      </c>
      <c r="Q44" s="64">
        <v>8.42</v>
      </c>
      <c r="R44" s="198"/>
      <c r="S44" s="198"/>
      <c r="T44" s="198"/>
      <c r="U44" s="198"/>
    </row>
    <row r="45" spans="1:21" s="12" customFormat="1" x14ac:dyDescent="0.25">
      <c r="A45" s="215" t="s">
        <v>1914</v>
      </c>
      <c r="B45" s="64">
        <v>1.74</v>
      </c>
      <c r="C45" s="64">
        <v>40.18</v>
      </c>
      <c r="D45" s="64">
        <v>38.44</v>
      </c>
      <c r="E45" s="64">
        <v>2.72</v>
      </c>
      <c r="F45" s="64">
        <v>12.76</v>
      </c>
      <c r="G45" s="64">
        <v>46.23</v>
      </c>
      <c r="H45" s="64">
        <v>11.84</v>
      </c>
      <c r="I45" s="64">
        <v>3.98</v>
      </c>
      <c r="J45" s="64">
        <v>1.29</v>
      </c>
      <c r="K45" s="64">
        <v>258.76</v>
      </c>
      <c r="L45" s="64">
        <v>32.630000000000003</v>
      </c>
      <c r="M45" s="64">
        <v>51.26</v>
      </c>
      <c r="N45" s="64">
        <v>633.29999999999995</v>
      </c>
      <c r="O45" s="64">
        <v>0</v>
      </c>
      <c r="P45" s="64">
        <v>0.5</v>
      </c>
      <c r="Q45" s="64">
        <v>8.5</v>
      </c>
      <c r="R45" s="198"/>
      <c r="S45" s="198"/>
      <c r="T45" s="198"/>
      <c r="U45" s="198"/>
    </row>
    <row r="46" spans="1:21" s="12" customFormat="1" x14ac:dyDescent="0.25">
      <c r="A46" s="215" t="s">
        <v>1915</v>
      </c>
      <c r="B46" s="64">
        <v>1.57</v>
      </c>
      <c r="C46" s="64">
        <v>40.53</v>
      </c>
      <c r="D46" s="64">
        <v>38.96</v>
      </c>
      <c r="E46" s="64">
        <v>2.42</v>
      </c>
      <c r="F46" s="64">
        <v>10.039999999999999</v>
      </c>
      <c r="G46" s="64">
        <v>46.31</v>
      </c>
      <c r="H46" s="64">
        <v>13.06</v>
      </c>
      <c r="I46" s="64">
        <v>4</v>
      </c>
      <c r="J46" s="64">
        <v>1.5</v>
      </c>
      <c r="K46" s="64">
        <v>270.8</v>
      </c>
      <c r="L46" s="64">
        <v>34.18</v>
      </c>
      <c r="M46" s="64">
        <v>47.33</v>
      </c>
      <c r="N46" s="64">
        <v>679.3</v>
      </c>
      <c r="O46" s="64">
        <v>0</v>
      </c>
      <c r="P46" s="64">
        <v>0.51</v>
      </c>
      <c r="Q46" s="64">
        <v>8.43</v>
      </c>
      <c r="R46" s="198"/>
      <c r="S46" s="198"/>
      <c r="T46" s="198"/>
      <c r="U46" s="198"/>
    </row>
    <row r="47" spans="1:21" s="12" customFormat="1" x14ac:dyDescent="0.25">
      <c r="A47" s="215" t="s">
        <v>1916</v>
      </c>
      <c r="B47" s="64">
        <v>1.19</v>
      </c>
      <c r="C47" s="64">
        <v>38.869999999999997</v>
      </c>
      <c r="D47" s="64">
        <v>37.67</v>
      </c>
      <c r="E47" s="64">
        <v>2.7</v>
      </c>
      <c r="F47" s="64">
        <v>10.95</v>
      </c>
      <c r="G47" s="64">
        <v>46.4</v>
      </c>
      <c r="H47" s="64">
        <v>14.34</v>
      </c>
      <c r="I47" s="64">
        <v>3.92</v>
      </c>
      <c r="J47" s="64">
        <v>1.6</v>
      </c>
      <c r="K47" s="64">
        <v>247.6</v>
      </c>
      <c r="L47" s="64">
        <v>34.380000000000003</v>
      </c>
      <c r="M47" s="64">
        <v>46.19</v>
      </c>
      <c r="N47" s="64">
        <v>731.1</v>
      </c>
      <c r="O47" s="64">
        <v>0</v>
      </c>
      <c r="P47" s="64">
        <v>0.49</v>
      </c>
      <c r="Q47" s="64">
        <v>8.4700000000000006</v>
      </c>
      <c r="R47" s="198"/>
      <c r="S47" s="198"/>
      <c r="T47" s="198"/>
      <c r="U47" s="198"/>
    </row>
    <row r="48" spans="1:21" s="12" customFormat="1" x14ac:dyDescent="0.25">
      <c r="A48" s="215" t="s">
        <v>1917</v>
      </c>
      <c r="B48" s="64">
        <v>0.76</v>
      </c>
      <c r="C48" s="64">
        <v>36.68</v>
      </c>
      <c r="D48" s="64">
        <v>35.92</v>
      </c>
      <c r="E48" s="64">
        <v>2.6</v>
      </c>
      <c r="F48" s="64">
        <v>13.88</v>
      </c>
      <c r="G48" s="64">
        <v>46.4</v>
      </c>
      <c r="H48" s="64">
        <v>14.34</v>
      </c>
      <c r="I48" s="64">
        <v>4</v>
      </c>
      <c r="J48" s="64">
        <v>1.77</v>
      </c>
      <c r="K48" s="64">
        <v>217.24</v>
      </c>
      <c r="L48" s="64">
        <v>33.6</v>
      </c>
      <c r="M48" s="64">
        <v>47.3</v>
      </c>
      <c r="N48" s="64">
        <v>770.4</v>
      </c>
      <c r="O48" s="64">
        <v>0</v>
      </c>
      <c r="P48" s="64">
        <v>0.48</v>
      </c>
      <c r="Q48" s="64">
        <v>8.4700000000000006</v>
      </c>
      <c r="R48" s="198"/>
      <c r="S48" s="198"/>
      <c r="T48" s="198"/>
      <c r="U48" s="198"/>
    </row>
    <row r="49" spans="1:21" s="12" customFormat="1" x14ac:dyDescent="0.25">
      <c r="A49" s="215" t="s">
        <v>1918</v>
      </c>
      <c r="B49" s="64">
        <v>1.43</v>
      </c>
      <c r="C49" s="64">
        <v>38.74</v>
      </c>
      <c r="D49" s="64">
        <v>37.31</v>
      </c>
      <c r="E49" s="64">
        <v>2.87</v>
      </c>
      <c r="F49" s="64">
        <v>12.7</v>
      </c>
      <c r="G49" s="64">
        <v>46.4</v>
      </c>
      <c r="H49" s="64">
        <v>14.34</v>
      </c>
      <c r="I49" s="64">
        <v>4.0999999999999996</v>
      </c>
      <c r="J49" s="64">
        <v>1.68</v>
      </c>
      <c r="K49" s="64">
        <v>205.54</v>
      </c>
      <c r="L49" s="64">
        <v>34.1</v>
      </c>
      <c r="M49" s="64">
        <v>45.46</v>
      </c>
      <c r="N49" s="64">
        <v>806.9</v>
      </c>
      <c r="O49" s="64">
        <v>0</v>
      </c>
      <c r="P49" s="64">
        <v>0.49</v>
      </c>
      <c r="Q49" s="64">
        <v>8.44</v>
      </c>
      <c r="R49" s="198"/>
      <c r="S49" s="198"/>
      <c r="T49" s="198"/>
      <c r="U49" s="198"/>
    </row>
    <row r="50" spans="1:21" s="12" customFormat="1" x14ac:dyDescent="0.25">
      <c r="A50" s="215" t="s">
        <v>1919</v>
      </c>
      <c r="B50" s="64">
        <v>1.5</v>
      </c>
      <c r="C50" s="64">
        <v>40.98</v>
      </c>
      <c r="D50" s="64">
        <v>39.479999999999997</v>
      </c>
      <c r="E50" s="64">
        <v>3.21</v>
      </c>
      <c r="F50" s="64">
        <v>10.28</v>
      </c>
      <c r="G50" s="64">
        <v>44.45</v>
      </c>
      <c r="H50" s="64">
        <v>15.24</v>
      </c>
      <c r="I50" s="64">
        <v>4.1500000000000004</v>
      </c>
      <c r="J50" s="64">
        <v>1.46</v>
      </c>
      <c r="K50" s="64">
        <v>253.92</v>
      </c>
      <c r="L50" s="64">
        <v>35.51</v>
      </c>
      <c r="M50" s="64">
        <v>41.4</v>
      </c>
      <c r="N50" s="64">
        <v>839</v>
      </c>
      <c r="O50" s="64">
        <v>0</v>
      </c>
      <c r="P50" s="64">
        <v>0.49</v>
      </c>
      <c r="Q50" s="64">
        <v>8.34</v>
      </c>
      <c r="R50" s="198"/>
      <c r="S50" s="198"/>
      <c r="T50" s="198"/>
      <c r="U50" s="198"/>
    </row>
    <row r="51" spans="1:21" s="12" customFormat="1" x14ac:dyDescent="0.25">
      <c r="A51" s="215" t="s">
        <v>1920</v>
      </c>
      <c r="B51" s="64">
        <v>1.78</v>
      </c>
      <c r="C51" s="64">
        <v>38.700000000000003</v>
      </c>
      <c r="D51" s="64">
        <v>36.92</v>
      </c>
      <c r="E51" s="64">
        <v>3.38</v>
      </c>
      <c r="F51" s="64">
        <v>11.93</v>
      </c>
      <c r="G51" s="64">
        <v>42.42</v>
      </c>
      <c r="H51" s="64">
        <v>16.18</v>
      </c>
      <c r="I51" s="64">
        <v>4.05</v>
      </c>
      <c r="J51" s="64">
        <v>1.5</v>
      </c>
      <c r="K51" s="64">
        <v>233.44</v>
      </c>
      <c r="L51" s="64">
        <v>35.799999999999997</v>
      </c>
      <c r="M51" s="64">
        <v>40.450000000000003</v>
      </c>
      <c r="N51" s="64">
        <v>875.4</v>
      </c>
      <c r="O51" s="64">
        <v>0</v>
      </c>
      <c r="P51" s="64">
        <v>0.48</v>
      </c>
      <c r="Q51" s="64">
        <v>8.4499999999999993</v>
      </c>
      <c r="R51" s="198"/>
      <c r="S51" s="198"/>
      <c r="T51" s="198"/>
      <c r="U51" s="198"/>
    </row>
    <row r="52" spans="1:21" s="12" customFormat="1" x14ac:dyDescent="0.25">
      <c r="A52" s="215" t="s">
        <v>1921</v>
      </c>
      <c r="B52" s="64">
        <v>0.71</v>
      </c>
      <c r="C52" s="64">
        <v>35.47</v>
      </c>
      <c r="D52" s="64">
        <v>34.76</v>
      </c>
      <c r="E52" s="64">
        <v>2.44</v>
      </c>
      <c r="F52" s="64">
        <v>11.72</v>
      </c>
      <c r="G52" s="64">
        <v>42.42</v>
      </c>
      <c r="H52" s="64">
        <v>16.18</v>
      </c>
      <c r="I52" s="64">
        <v>3.89</v>
      </c>
      <c r="J52" s="64">
        <v>1.44</v>
      </c>
      <c r="K52" s="64">
        <v>260.32</v>
      </c>
      <c r="L52" s="64">
        <v>36.1</v>
      </c>
      <c r="M52" s="64">
        <v>38.72</v>
      </c>
      <c r="N52" s="64">
        <v>909.9</v>
      </c>
      <c r="O52" s="64">
        <v>0</v>
      </c>
      <c r="P52" s="64">
        <v>0.49</v>
      </c>
      <c r="Q52" s="64">
        <v>8.39</v>
      </c>
      <c r="R52" s="198"/>
      <c r="S52" s="198"/>
      <c r="T52" s="198"/>
      <c r="U52" s="198"/>
    </row>
    <row r="53" spans="1:21" s="12" customFormat="1" x14ac:dyDescent="0.25">
      <c r="A53" s="215" t="s">
        <v>1922</v>
      </c>
      <c r="B53" s="64">
        <v>0.42</v>
      </c>
      <c r="C53" s="64">
        <v>35.479999999999997</v>
      </c>
      <c r="D53" s="64">
        <v>35.07</v>
      </c>
      <c r="E53" s="64">
        <v>2.89</v>
      </c>
      <c r="F53" s="64">
        <v>12.83</v>
      </c>
      <c r="G53" s="64">
        <v>42.42</v>
      </c>
      <c r="H53" s="64">
        <v>16.18</v>
      </c>
      <c r="I53" s="64">
        <v>3.94</v>
      </c>
      <c r="J53" s="64">
        <v>1.52</v>
      </c>
      <c r="K53" s="64">
        <v>201.05</v>
      </c>
      <c r="L53" s="64">
        <v>36.04</v>
      </c>
      <c r="M53" s="64">
        <v>38.979999999999997</v>
      </c>
      <c r="N53" s="64">
        <v>934</v>
      </c>
      <c r="O53" s="64">
        <v>0</v>
      </c>
      <c r="P53" s="64">
        <v>0.46</v>
      </c>
      <c r="Q53" s="64">
        <v>8.41</v>
      </c>
      <c r="R53" s="198"/>
      <c r="S53" s="198"/>
      <c r="T53" s="198"/>
      <c r="U53" s="198"/>
    </row>
    <row r="54" spans="1:21" s="12" customFormat="1" x14ac:dyDescent="0.25">
      <c r="A54" s="215" t="s">
        <v>1923</v>
      </c>
      <c r="B54" s="64">
        <v>0.15</v>
      </c>
      <c r="C54" s="64">
        <v>33.18</v>
      </c>
      <c r="D54" s="64">
        <v>33.03</v>
      </c>
      <c r="E54" s="64">
        <v>3.13</v>
      </c>
      <c r="F54" s="64">
        <v>14.07</v>
      </c>
      <c r="G54" s="64">
        <v>43.69</v>
      </c>
      <c r="H54" s="64">
        <v>16.34</v>
      </c>
      <c r="I54" s="64">
        <v>4.01</v>
      </c>
      <c r="J54" s="64">
        <v>1.49</v>
      </c>
      <c r="K54" s="64">
        <v>272.77999999999997</v>
      </c>
      <c r="L54" s="64">
        <v>36.78</v>
      </c>
      <c r="M54" s="64">
        <v>37.369999999999997</v>
      </c>
      <c r="N54" s="64">
        <v>923.7</v>
      </c>
      <c r="O54" s="64">
        <v>0</v>
      </c>
      <c r="P54" s="64">
        <v>0.46</v>
      </c>
      <c r="Q54" s="64">
        <v>8.41</v>
      </c>
      <c r="R54" s="198"/>
      <c r="S54" s="198"/>
      <c r="T54" s="198"/>
      <c r="U54" s="198"/>
    </row>
    <row r="55" spans="1:21" s="12" customFormat="1" x14ac:dyDescent="0.25">
      <c r="A55" s="215" t="s">
        <v>1924</v>
      </c>
      <c r="B55" s="64">
        <v>0.62</v>
      </c>
      <c r="C55" s="64">
        <v>41.44</v>
      </c>
      <c r="D55" s="64">
        <v>40.82</v>
      </c>
      <c r="E55" s="64">
        <v>2.64</v>
      </c>
      <c r="F55" s="64">
        <v>12.5</v>
      </c>
      <c r="G55" s="64">
        <v>45.02</v>
      </c>
      <c r="H55" s="64">
        <v>16.510000000000002</v>
      </c>
      <c r="I55" s="64">
        <v>4.01</v>
      </c>
      <c r="J55" s="64">
        <v>1.59</v>
      </c>
      <c r="K55" s="64">
        <v>278.52</v>
      </c>
      <c r="L55" s="64">
        <v>38.340000000000003</v>
      </c>
      <c r="M55" s="64">
        <v>33.57</v>
      </c>
      <c r="N55" s="64">
        <v>941.1</v>
      </c>
      <c r="O55" s="64">
        <v>0</v>
      </c>
      <c r="P55" s="64">
        <v>0.5</v>
      </c>
      <c r="Q55" s="64">
        <v>8.64</v>
      </c>
      <c r="R55" s="198"/>
      <c r="S55" s="198"/>
      <c r="T55" s="198"/>
      <c r="U55" s="198"/>
    </row>
    <row r="56" spans="1:21" s="12" customFormat="1" x14ac:dyDescent="0.25">
      <c r="A56" s="215" t="s">
        <v>1925</v>
      </c>
      <c r="B56" s="64">
        <v>0.4</v>
      </c>
      <c r="C56" s="64">
        <v>37.93</v>
      </c>
      <c r="D56" s="64">
        <v>37.53</v>
      </c>
      <c r="E56" s="64">
        <v>2.59</v>
      </c>
      <c r="F56" s="64">
        <v>10.87</v>
      </c>
      <c r="G56" s="64">
        <v>45.02</v>
      </c>
      <c r="H56" s="64">
        <v>16.510000000000002</v>
      </c>
      <c r="I56" s="64">
        <v>4.05</v>
      </c>
      <c r="J56" s="64">
        <v>1.42</v>
      </c>
      <c r="K56" s="64">
        <v>234.23</v>
      </c>
      <c r="L56" s="64">
        <v>37.840000000000003</v>
      </c>
      <c r="M56" s="64">
        <v>31.95</v>
      </c>
      <c r="N56" s="64">
        <v>959.6</v>
      </c>
      <c r="O56" s="64">
        <v>0</v>
      </c>
      <c r="P56" s="64">
        <v>0.48</v>
      </c>
      <c r="Q56" s="64">
        <v>8.57</v>
      </c>
      <c r="R56" s="198"/>
      <c r="S56" s="198"/>
      <c r="T56" s="198"/>
      <c r="U56" s="198"/>
    </row>
    <row r="57" spans="1:21" s="12" customFormat="1" x14ac:dyDescent="0.25">
      <c r="A57" s="215" t="s">
        <v>1926</v>
      </c>
      <c r="B57" s="64">
        <v>0.06</v>
      </c>
      <c r="C57" s="64">
        <v>33.83</v>
      </c>
      <c r="D57" s="64">
        <v>33.770000000000003</v>
      </c>
      <c r="E57" s="64">
        <v>2.83</v>
      </c>
      <c r="F57" s="64">
        <v>12.7</v>
      </c>
      <c r="G57" s="64">
        <v>45.02</v>
      </c>
      <c r="H57" s="64">
        <v>16.510000000000002</v>
      </c>
      <c r="I57" s="64">
        <v>3.94</v>
      </c>
      <c r="J57" s="64">
        <v>1.25</v>
      </c>
      <c r="K57" s="64">
        <v>240.26</v>
      </c>
      <c r="L57" s="64">
        <v>37.79</v>
      </c>
      <c r="M57" s="64">
        <v>31.27</v>
      </c>
      <c r="N57" s="64">
        <v>944.7</v>
      </c>
      <c r="O57" s="64">
        <v>0</v>
      </c>
      <c r="P57" s="64">
        <v>0.47</v>
      </c>
      <c r="Q57" s="64">
        <v>8.36</v>
      </c>
      <c r="R57" s="198"/>
      <c r="S57" s="198"/>
      <c r="T57" s="198"/>
      <c r="U57" s="198"/>
    </row>
    <row r="58" spans="1:21" s="12" customFormat="1" x14ac:dyDescent="0.25">
      <c r="A58" s="215" t="s">
        <v>1927</v>
      </c>
      <c r="B58" s="64">
        <v>0.22</v>
      </c>
      <c r="C58" s="64">
        <v>33.75</v>
      </c>
      <c r="D58" s="64">
        <v>33.53</v>
      </c>
      <c r="E58" s="64">
        <v>3.17</v>
      </c>
      <c r="F58" s="64">
        <v>12.14</v>
      </c>
      <c r="G58" s="64">
        <v>43.73</v>
      </c>
      <c r="H58" s="64">
        <v>15.02</v>
      </c>
      <c r="I58" s="64">
        <v>3.95</v>
      </c>
      <c r="J58" s="64">
        <v>1.37</v>
      </c>
      <c r="K58" s="64">
        <v>268.97000000000003</v>
      </c>
      <c r="L58" s="64">
        <v>38.479999999999997</v>
      </c>
      <c r="M58" s="64">
        <v>29.9</v>
      </c>
      <c r="N58" s="64">
        <v>941.9</v>
      </c>
      <c r="O58" s="64">
        <v>0</v>
      </c>
      <c r="P58" s="64">
        <v>0.46</v>
      </c>
      <c r="Q58" s="64">
        <v>8.59</v>
      </c>
      <c r="R58" s="198"/>
      <c r="S58" s="198"/>
      <c r="T58" s="198"/>
      <c r="U58" s="198"/>
    </row>
    <row r="59" spans="1:21" s="12" customFormat="1" x14ac:dyDescent="0.25">
      <c r="A59" s="215" t="s">
        <v>1928</v>
      </c>
      <c r="B59" s="64">
        <v>0.19</v>
      </c>
      <c r="C59" s="64">
        <v>33.85</v>
      </c>
      <c r="D59" s="64">
        <v>33.67</v>
      </c>
      <c r="E59" s="64">
        <v>2.69</v>
      </c>
      <c r="F59" s="64">
        <v>10.73</v>
      </c>
      <c r="G59" s="64">
        <v>42.39</v>
      </c>
      <c r="H59" s="64">
        <v>13.47</v>
      </c>
      <c r="I59" s="64">
        <v>4.0199999999999996</v>
      </c>
      <c r="J59" s="64">
        <v>1.71</v>
      </c>
      <c r="K59" s="64">
        <v>276.39999999999998</v>
      </c>
      <c r="L59" s="64">
        <v>38.479999999999997</v>
      </c>
      <c r="M59" s="64">
        <v>27.68</v>
      </c>
      <c r="N59" s="64">
        <v>931.6</v>
      </c>
      <c r="O59" s="64">
        <v>0</v>
      </c>
      <c r="P59" s="64">
        <v>0.46</v>
      </c>
      <c r="Q59" s="64">
        <v>8.4600000000000009</v>
      </c>
      <c r="R59" s="198"/>
      <c r="S59" s="198"/>
      <c r="T59" s="198"/>
      <c r="U59" s="198"/>
    </row>
    <row r="60" spans="1:21" s="12" customFormat="1" x14ac:dyDescent="0.25">
      <c r="A60" s="215" t="s">
        <v>1929</v>
      </c>
      <c r="B60" s="64">
        <v>0.27</v>
      </c>
      <c r="C60" s="64">
        <v>37.130000000000003</v>
      </c>
      <c r="D60" s="64">
        <v>36.869999999999997</v>
      </c>
      <c r="E60" s="64">
        <v>2.52</v>
      </c>
      <c r="F60" s="64">
        <v>15.03</v>
      </c>
      <c r="G60" s="64">
        <v>42.39</v>
      </c>
      <c r="H60" s="64">
        <v>13.47</v>
      </c>
      <c r="I60" s="64">
        <v>4</v>
      </c>
      <c r="J60" s="64">
        <v>1.51</v>
      </c>
      <c r="K60" s="64">
        <v>234.25</v>
      </c>
      <c r="L60" s="64">
        <v>38.380000000000003</v>
      </c>
      <c r="M60" s="64">
        <v>28.45</v>
      </c>
      <c r="N60" s="64">
        <v>896.6</v>
      </c>
      <c r="O60" s="64">
        <v>0</v>
      </c>
      <c r="P60" s="64">
        <v>0.45</v>
      </c>
      <c r="Q60" s="64">
        <v>8.43</v>
      </c>
      <c r="R60" s="198"/>
      <c r="S60" s="198"/>
      <c r="T60" s="198"/>
      <c r="U60" s="198"/>
    </row>
    <row r="61" spans="1:21" s="12" customFormat="1" x14ac:dyDescent="0.25">
      <c r="A61" s="215" t="s">
        <v>1930</v>
      </c>
      <c r="B61" s="64">
        <v>0.51</v>
      </c>
      <c r="C61" s="64">
        <v>38.93</v>
      </c>
      <c r="D61" s="64">
        <v>38.42</v>
      </c>
      <c r="E61" s="64">
        <v>2.88</v>
      </c>
      <c r="F61" s="64">
        <v>15.12</v>
      </c>
      <c r="G61" s="64">
        <v>42.39</v>
      </c>
      <c r="H61" s="64">
        <v>13.47</v>
      </c>
      <c r="I61" s="64">
        <v>4.1100000000000003</v>
      </c>
      <c r="J61" s="64">
        <v>1.81</v>
      </c>
      <c r="K61" s="64">
        <v>228.47</v>
      </c>
      <c r="L61" s="64">
        <v>37.99</v>
      </c>
      <c r="M61" s="64">
        <v>28.13</v>
      </c>
      <c r="N61" s="64">
        <v>876</v>
      </c>
      <c r="O61" s="64">
        <v>0</v>
      </c>
      <c r="P61" s="64">
        <v>0.34</v>
      </c>
      <c r="Q61" s="64">
        <v>8.56</v>
      </c>
      <c r="R61" s="198"/>
      <c r="S61" s="198"/>
      <c r="T61" s="198"/>
      <c r="U61" s="198"/>
    </row>
    <row r="62" spans="1:21" s="12" customFormat="1" x14ac:dyDescent="0.25">
      <c r="A62" s="215" t="s">
        <v>1931</v>
      </c>
      <c r="B62" s="64">
        <v>0.34</v>
      </c>
      <c r="C62" s="64">
        <v>35.17</v>
      </c>
      <c r="D62" s="64">
        <v>34.83</v>
      </c>
      <c r="E62" s="64">
        <v>3.4</v>
      </c>
      <c r="F62" s="64">
        <v>17.46</v>
      </c>
      <c r="G62" s="64">
        <v>44.42</v>
      </c>
      <c r="H62" s="64">
        <v>14.72</v>
      </c>
      <c r="I62" s="64">
        <v>3.9</v>
      </c>
      <c r="J62" s="64">
        <v>1.7</v>
      </c>
      <c r="K62" s="64">
        <v>276.38</v>
      </c>
      <c r="L62" s="64">
        <v>39.42</v>
      </c>
      <c r="M62" s="64">
        <v>27.8</v>
      </c>
      <c r="N62" s="64">
        <v>853.8</v>
      </c>
      <c r="O62" s="64">
        <v>0</v>
      </c>
      <c r="P62" s="64">
        <v>0.38</v>
      </c>
      <c r="Q62" s="64">
        <v>8.58</v>
      </c>
      <c r="R62" s="198"/>
      <c r="S62" s="198"/>
      <c r="T62" s="198"/>
      <c r="U62" s="198"/>
    </row>
    <row r="63" spans="1:21" s="12" customFormat="1" x14ac:dyDescent="0.25">
      <c r="A63" s="215" t="s">
        <v>1932</v>
      </c>
      <c r="B63" s="64">
        <v>0.25</v>
      </c>
      <c r="C63" s="64">
        <v>35.24</v>
      </c>
      <c r="D63" s="64">
        <v>34.979999999999997</v>
      </c>
      <c r="E63" s="64">
        <v>3.34</v>
      </c>
      <c r="F63" s="64">
        <v>12.64</v>
      </c>
      <c r="G63" s="64">
        <v>46.55</v>
      </c>
      <c r="H63" s="64">
        <v>16.03</v>
      </c>
      <c r="I63" s="64">
        <v>3.94</v>
      </c>
      <c r="J63" s="64">
        <v>1.61</v>
      </c>
      <c r="K63" s="64">
        <v>263.01</v>
      </c>
      <c r="L63" s="64">
        <v>38.94</v>
      </c>
      <c r="M63" s="64">
        <v>28.33</v>
      </c>
      <c r="N63" s="64">
        <v>786.5</v>
      </c>
      <c r="O63" s="64">
        <v>0</v>
      </c>
      <c r="P63" s="64">
        <v>0.39</v>
      </c>
      <c r="Q63" s="64">
        <v>8.5399999999999991</v>
      </c>
      <c r="R63" s="198"/>
      <c r="S63" s="198"/>
      <c r="T63" s="198"/>
      <c r="U63" s="198"/>
    </row>
    <row r="64" spans="1:21" s="12" customFormat="1" x14ac:dyDescent="0.25">
      <c r="A64" s="215" t="s">
        <v>1933</v>
      </c>
      <c r="B64" s="64">
        <v>0.54</v>
      </c>
      <c r="C64" s="64">
        <v>37.61</v>
      </c>
      <c r="D64" s="64">
        <v>37.06</v>
      </c>
      <c r="E64" s="64">
        <v>2.5299999999999998</v>
      </c>
      <c r="F64" s="64">
        <v>12.09</v>
      </c>
      <c r="G64" s="64">
        <v>46.55</v>
      </c>
      <c r="H64" s="64">
        <v>16.03</v>
      </c>
      <c r="I64" s="64">
        <v>3.93</v>
      </c>
      <c r="J64" s="64">
        <v>1.68</v>
      </c>
      <c r="K64" s="64">
        <v>282.11</v>
      </c>
      <c r="L64" s="64">
        <v>39.43</v>
      </c>
      <c r="M64" s="64">
        <v>26.87</v>
      </c>
      <c r="N64" s="64">
        <v>705.5</v>
      </c>
      <c r="O64" s="64">
        <v>0</v>
      </c>
      <c r="P64" s="64">
        <v>0.38</v>
      </c>
      <c r="Q64" s="64">
        <v>8.66</v>
      </c>
      <c r="R64" s="198"/>
      <c r="S64" s="198"/>
      <c r="T64" s="198"/>
      <c r="U64" s="198"/>
    </row>
    <row r="65" spans="1:21" s="12" customFormat="1" x14ac:dyDescent="0.25">
      <c r="A65" s="215" t="s">
        <v>1934</v>
      </c>
      <c r="B65" s="64">
        <v>0.25</v>
      </c>
      <c r="C65" s="64">
        <v>38.5</v>
      </c>
      <c r="D65" s="64">
        <v>38.25</v>
      </c>
      <c r="E65" s="64">
        <v>3.02</v>
      </c>
      <c r="F65" s="64">
        <v>21.47</v>
      </c>
      <c r="G65" s="64">
        <v>46.55</v>
      </c>
      <c r="H65" s="64">
        <v>16.03</v>
      </c>
      <c r="I65" s="64">
        <v>3.96</v>
      </c>
      <c r="J65" s="64">
        <v>1.33</v>
      </c>
      <c r="K65" s="64">
        <v>224.38</v>
      </c>
      <c r="L65" s="64">
        <v>38.21</v>
      </c>
      <c r="M65" s="64">
        <v>26.79</v>
      </c>
      <c r="N65" s="64">
        <v>243.9</v>
      </c>
      <c r="O65" s="64">
        <v>0</v>
      </c>
      <c r="P65" s="64">
        <v>0.36</v>
      </c>
      <c r="Q65" s="64">
        <v>8.5399999999999991</v>
      </c>
      <c r="R65" s="198"/>
      <c r="S65" s="198"/>
      <c r="T65" s="198"/>
      <c r="U65" s="198"/>
    </row>
    <row r="66" spans="1:21" s="12" customFormat="1" x14ac:dyDescent="0.25">
      <c r="A66" s="215" t="s">
        <v>1935</v>
      </c>
      <c r="B66" s="64">
        <v>0.7</v>
      </c>
      <c r="C66" s="64">
        <v>45.45</v>
      </c>
      <c r="D66" s="64">
        <v>44.74</v>
      </c>
      <c r="E66" s="64">
        <v>3.62</v>
      </c>
      <c r="F66" s="64">
        <v>16.260000000000002</v>
      </c>
      <c r="G66" s="64">
        <v>47.05</v>
      </c>
      <c r="H66" s="64">
        <v>16.190000000000001</v>
      </c>
      <c r="I66" s="64">
        <v>3.86</v>
      </c>
      <c r="J66" s="64">
        <v>1.63</v>
      </c>
      <c r="K66" s="64">
        <v>274.83</v>
      </c>
      <c r="L66" s="64">
        <v>37.270000000000003</v>
      </c>
      <c r="M66" s="64">
        <v>28.9</v>
      </c>
      <c r="N66" s="64">
        <v>183.5</v>
      </c>
      <c r="O66" s="64">
        <v>0</v>
      </c>
      <c r="P66" s="64">
        <v>0.4</v>
      </c>
      <c r="Q66" s="64">
        <v>8.5399999999999991</v>
      </c>
      <c r="R66" s="198"/>
      <c r="S66" s="198"/>
      <c r="T66" s="198"/>
      <c r="U66" s="198"/>
    </row>
    <row r="67" spans="1:21" s="12" customFormat="1" x14ac:dyDescent="0.25">
      <c r="A67" s="215" t="s">
        <v>1936</v>
      </c>
      <c r="B67" s="64">
        <v>1.1100000000000001</v>
      </c>
      <c r="C67" s="64">
        <v>45.01</v>
      </c>
      <c r="D67" s="64">
        <v>43.9</v>
      </c>
      <c r="E67" s="64">
        <v>3.32</v>
      </c>
      <c r="F67" s="64">
        <v>13.99</v>
      </c>
      <c r="G67" s="64">
        <v>47.57</v>
      </c>
      <c r="H67" s="64">
        <v>16.34</v>
      </c>
      <c r="I67" s="64">
        <v>4.04</v>
      </c>
      <c r="J67" s="64">
        <v>2.11</v>
      </c>
      <c r="K67" s="64">
        <v>289.92</v>
      </c>
      <c r="L67" s="64">
        <v>37.22</v>
      </c>
      <c r="M67" s="64">
        <v>27.09</v>
      </c>
      <c r="N67" s="64">
        <v>220.7</v>
      </c>
      <c r="O67" s="64">
        <v>0</v>
      </c>
      <c r="P67" s="64">
        <v>0.41</v>
      </c>
      <c r="Q67" s="64">
        <v>8.39</v>
      </c>
      <c r="R67" s="198"/>
      <c r="S67" s="198"/>
      <c r="T67" s="198"/>
      <c r="U67" s="198"/>
    </row>
    <row r="68" spans="1:21" s="12" customFormat="1" x14ac:dyDescent="0.25">
      <c r="A68" s="215" t="s">
        <v>1937</v>
      </c>
      <c r="B68" s="64">
        <v>2.54</v>
      </c>
      <c r="C68" s="64">
        <v>50.78</v>
      </c>
      <c r="D68" s="64">
        <v>48.24</v>
      </c>
      <c r="E68" s="64">
        <v>3.25</v>
      </c>
      <c r="F68" s="64">
        <v>14.15</v>
      </c>
      <c r="G68" s="64">
        <v>47.57</v>
      </c>
      <c r="H68" s="64">
        <v>16.34</v>
      </c>
      <c r="I68" s="64">
        <v>3.9</v>
      </c>
      <c r="J68" s="64">
        <v>2.12</v>
      </c>
      <c r="K68" s="64">
        <v>292.05</v>
      </c>
      <c r="L68" s="64">
        <v>37.78</v>
      </c>
      <c r="M68" s="64">
        <v>24.02</v>
      </c>
      <c r="N68" s="64">
        <v>171.6</v>
      </c>
      <c r="O68" s="64">
        <v>0</v>
      </c>
      <c r="P68" s="64">
        <v>0.45</v>
      </c>
      <c r="Q68" s="64">
        <v>8.24</v>
      </c>
      <c r="R68" s="198"/>
      <c r="S68" s="198"/>
      <c r="T68" s="198"/>
      <c r="U68" s="198"/>
    </row>
    <row r="69" spans="1:21" s="12" customFormat="1" x14ac:dyDescent="0.25">
      <c r="A69" s="215" t="s">
        <v>1938</v>
      </c>
      <c r="B69" s="64">
        <v>2.74</v>
      </c>
      <c r="C69" s="64">
        <v>46.71</v>
      </c>
      <c r="D69" s="64">
        <v>43.97</v>
      </c>
      <c r="E69" s="64">
        <v>2.88</v>
      </c>
      <c r="F69" s="64">
        <v>12.44</v>
      </c>
      <c r="G69" s="64">
        <v>47.57</v>
      </c>
      <c r="H69" s="64">
        <v>16.34</v>
      </c>
      <c r="I69" s="64">
        <v>3.97</v>
      </c>
      <c r="J69" s="64">
        <v>3.54</v>
      </c>
      <c r="K69" s="64">
        <v>297.3</v>
      </c>
      <c r="L69" s="64">
        <v>36.11</v>
      </c>
      <c r="M69" s="64">
        <v>29.79</v>
      </c>
      <c r="N69" s="64">
        <v>114.6</v>
      </c>
      <c r="O69" s="64">
        <v>0</v>
      </c>
      <c r="P69" s="64">
        <v>0.45</v>
      </c>
      <c r="Q69" s="64">
        <v>8.34</v>
      </c>
      <c r="R69" s="198"/>
      <c r="S69" s="198"/>
      <c r="T69" s="198"/>
      <c r="U69" s="198"/>
    </row>
    <row r="70" spans="1:21" s="12" customFormat="1" x14ac:dyDescent="0.25">
      <c r="A70" s="215" t="s">
        <v>1939</v>
      </c>
      <c r="B70" s="64">
        <v>1.71</v>
      </c>
      <c r="C70" s="64">
        <v>42.01</v>
      </c>
      <c r="D70" s="64">
        <v>40.299999999999997</v>
      </c>
      <c r="E70" s="64">
        <v>2.85</v>
      </c>
      <c r="F70" s="64">
        <v>12.57</v>
      </c>
      <c r="G70" s="64">
        <v>49.51</v>
      </c>
      <c r="H70" s="64">
        <v>15.75</v>
      </c>
      <c r="I70" s="64">
        <v>3.93</v>
      </c>
      <c r="J70" s="64">
        <v>2.34</v>
      </c>
      <c r="K70" s="64">
        <v>287.49</v>
      </c>
      <c r="L70" s="64">
        <v>34.270000000000003</v>
      </c>
      <c r="M70" s="64">
        <v>30.86</v>
      </c>
      <c r="N70" s="64">
        <v>76.7</v>
      </c>
      <c r="O70" s="64">
        <v>0</v>
      </c>
      <c r="P70" s="64">
        <v>0.44</v>
      </c>
      <c r="Q70" s="64">
        <v>8.2799999999999994</v>
      </c>
      <c r="R70" s="198"/>
      <c r="S70" s="198"/>
      <c r="T70" s="198"/>
      <c r="U70" s="198"/>
    </row>
    <row r="71" spans="1:21" s="12" customFormat="1" x14ac:dyDescent="0.25">
      <c r="A71" s="215" t="s">
        <v>1940</v>
      </c>
      <c r="B71" s="64">
        <v>0.77</v>
      </c>
      <c r="C71" s="64">
        <v>38.96</v>
      </c>
      <c r="D71" s="64">
        <v>38.19</v>
      </c>
      <c r="E71" s="64">
        <v>2.09</v>
      </c>
      <c r="F71" s="64">
        <v>10.27</v>
      </c>
      <c r="G71" s="64">
        <v>51.54</v>
      </c>
      <c r="H71" s="64">
        <v>15.14</v>
      </c>
      <c r="I71" s="64">
        <v>3.95</v>
      </c>
      <c r="J71" s="64">
        <v>3.35</v>
      </c>
      <c r="K71" s="64">
        <v>287.42</v>
      </c>
      <c r="L71" s="64">
        <v>30.8</v>
      </c>
      <c r="M71" s="64">
        <v>36.78</v>
      </c>
      <c r="N71" s="64">
        <v>85.3</v>
      </c>
      <c r="O71" s="64">
        <v>0</v>
      </c>
      <c r="P71" s="64">
        <v>0.41</v>
      </c>
      <c r="Q71" s="64">
        <v>8.52</v>
      </c>
      <c r="R71" s="198"/>
      <c r="S71" s="198"/>
      <c r="T71" s="198"/>
      <c r="U71" s="198"/>
    </row>
    <row r="72" spans="1:21" s="12" customFormat="1" x14ac:dyDescent="0.25">
      <c r="A72" s="215" t="s">
        <v>1941</v>
      </c>
      <c r="B72" s="64">
        <v>0.25</v>
      </c>
      <c r="C72" s="64">
        <v>45.58</v>
      </c>
      <c r="D72" s="64">
        <v>45.33</v>
      </c>
      <c r="E72" s="64">
        <v>2.61</v>
      </c>
      <c r="F72" s="64">
        <v>11.6</v>
      </c>
      <c r="G72" s="64">
        <v>51.54</v>
      </c>
      <c r="H72" s="64">
        <v>15.14</v>
      </c>
      <c r="I72" s="64">
        <v>4.05</v>
      </c>
      <c r="J72" s="64">
        <v>1.52</v>
      </c>
      <c r="K72" s="64">
        <v>274.57</v>
      </c>
      <c r="L72" s="64">
        <v>28.91</v>
      </c>
      <c r="M72" s="64">
        <v>43.8</v>
      </c>
      <c r="N72" s="64">
        <v>110.5</v>
      </c>
      <c r="O72" s="64">
        <v>0</v>
      </c>
      <c r="P72" s="64">
        <v>0.38</v>
      </c>
      <c r="Q72" s="64">
        <v>8.52</v>
      </c>
      <c r="R72" s="198"/>
      <c r="S72" s="198"/>
      <c r="T72" s="198"/>
      <c r="U72" s="198"/>
    </row>
    <row r="73" spans="1:21" s="12" customFormat="1" x14ac:dyDescent="0.25">
      <c r="A73" s="215" t="s">
        <v>1942</v>
      </c>
      <c r="B73" s="64">
        <v>0.21</v>
      </c>
      <c r="C73" s="64">
        <v>43.37</v>
      </c>
      <c r="D73" s="64">
        <v>43.17</v>
      </c>
      <c r="E73" s="64">
        <v>3</v>
      </c>
      <c r="F73" s="64">
        <v>10.73</v>
      </c>
      <c r="G73" s="64">
        <v>51.54</v>
      </c>
      <c r="H73" s="64">
        <v>15.14</v>
      </c>
      <c r="I73" s="64">
        <v>3.9</v>
      </c>
      <c r="J73" s="64">
        <v>1.87</v>
      </c>
      <c r="K73" s="64">
        <v>262.74</v>
      </c>
      <c r="L73" s="64">
        <v>29.09</v>
      </c>
      <c r="M73" s="64">
        <v>39.04</v>
      </c>
      <c r="N73" s="64">
        <v>147.5</v>
      </c>
      <c r="O73" s="64">
        <v>0</v>
      </c>
      <c r="P73" s="64">
        <v>0.35</v>
      </c>
      <c r="Q73" s="64">
        <v>8.36</v>
      </c>
      <c r="R73" s="198"/>
      <c r="S73" s="198"/>
      <c r="T73" s="198"/>
      <c r="U73" s="198"/>
    </row>
    <row r="74" spans="1:21" s="12" customFormat="1" x14ac:dyDescent="0.25">
      <c r="A74" s="215" t="s">
        <v>1943</v>
      </c>
      <c r="B74" s="64">
        <v>0.2</v>
      </c>
      <c r="C74" s="64">
        <v>45.92</v>
      </c>
      <c r="D74" s="64">
        <v>45.72</v>
      </c>
      <c r="E74" s="64">
        <v>2.86</v>
      </c>
      <c r="F74" s="64">
        <v>10.98</v>
      </c>
      <c r="G74" s="64">
        <v>60.6</v>
      </c>
      <c r="H74" s="64">
        <v>15.85</v>
      </c>
      <c r="I74" s="64">
        <v>3.97</v>
      </c>
      <c r="J74" s="64">
        <v>1.99</v>
      </c>
      <c r="K74" s="64">
        <v>252.34</v>
      </c>
      <c r="L74" s="64">
        <v>29.53</v>
      </c>
      <c r="M74" s="64">
        <v>39.67</v>
      </c>
      <c r="N74" s="64">
        <v>163.6</v>
      </c>
      <c r="O74" s="64">
        <v>0</v>
      </c>
      <c r="P74" s="64">
        <v>0.35</v>
      </c>
      <c r="Q74" s="64">
        <v>8.4700000000000006</v>
      </c>
      <c r="R74" s="198"/>
      <c r="S74" s="198"/>
      <c r="T74" s="198"/>
      <c r="U74" s="198"/>
    </row>
    <row r="75" spans="1:21" s="12" customFormat="1" x14ac:dyDescent="0.25">
      <c r="A75" s="215" t="s">
        <v>1944</v>
      </c>
      <c r="B75" s="64">
        <v>0.9</v>
      </c>
      <c r="C75" s="64">
        <v>46.48</v>
      </c>
      <c r="D75" s="64">
        <v>45.58</v>
      </c>
      <c r="E75" s="64">
        <v>3.24</v>
      </c>
      <c r="F75" s="64">
        <v>17.010000000000002</v>
      </c>
      <c r="G75" s="64">
        <v>70.069999999999993</v>
      </c>
      <c r="H75" s="64">
        <v>16.600000000000001</v>
      </c>
      <c r="I75" s="64">
        <v>3.88</v>
      </c>
      <c r="J75" s="64">
        <v>1.05</v>
      </c>
      <c r="K75" s="64">
        <v>265.33</v>
      </c>
      <c r="L75" s="64">
        <v>30.12</v>
      </c>
      <c r="M75" s="64">
        <v>35</v>
      </c>
      <c r="N75" s="64">
        <v>118.2</v>
      </c>
      <c r="O75" s="64">
        <v>0</v>
      </c>
      <c r="P75" s="64">
        <v>0.33</v>
      </c>
      <c r="Q75" s="64">
        <v>8.4</v>
      </c>
      <c r="R75" s="198"/>
      <c r="S75" s="198"/>
      <c r="T75" s="198"/>
      <c r="U75" s="198"/>
    </row>
    <row r="76" spans="1:21" s="12" customFormat="1" x14ac:dyDescent="0.25">
      <c r="A76" s="215" t="s">
        <v>1945</v>
      </c>
      <c r="B76" s="64">
        <v>0.92</v>
      </c>
      <c r="C76" s="64">
        <v>51.86</v>
      </c>
      <c r="D76" s="64">
        <v>50.94</v>
      </c>
      <c r="E76" s="64">
        <v>3.15</v>
      </c>
      <c r="F76" s="64">
        <v>18.420000000000002</v>
      </c>
      <c r="G76" s="64">
        <v>70.069999999999993</v>
      </c>
      <c r="H76" s="64">
        <v>16.600000000000001</v>
      </c>
      <c r="I76" s="64">
        <v>4.2</v>
      </c>
      <c r="J76" s="64">
        <v>0.23</v>
      </c>
      <c r="K76" s="64">
        <v>233.04</v>
      </c>
      <c r="L76" s="64">
        <v>31.35</v>
      </c>
      <c r="M76" s="64">
        <v>32.71</v>
      </c>
      <c r="N76" s="64">
        <v>76.900000000000006</v>
      </c>
      <c r="O76" s="64">
        <v>0</v>
      </c>
      <c r="P76" s="64">
        <v>0.35</v>
      </c>
      <c r="Q76" s="64">
        <v>8.6</v>
      </c>
      <c r="R76" s="198"/>
      <c r="S76" s="198"/>
      <c r="T76" s="198"/>
      <c r="U76" s="198"/>
    </row>
    <row r="77" spans="1:21" s="12" customFormat="1" x14ac:dyDescent="0.25">
      <c r="A77" s="215" t="s">
        <v>1946</v>
      </c>
      <c r="B77" s="64">
        <v>7.61</v>
      </c>
      <c r="C77" s="64">
        <v>76.95</v>
      </c>
      <c r="D77" s="64">
        <v>69.34</v>
      </c>
      <c r="E77" s="64">
        <v>4.08</v>
      </c>
      <c r="F77" s="64">
        <v>22.98</v>
      </c>
      <c r="G77" s="64">
        <v>70.069999999999993</v>
      </c>
      <c r="H77" s="64">
        <v>16.600000000000001</v>
      </c>
      <c r="I77" s="64">
        <v>3.89</v>
      </c>
      <c r="J77" s="64">
        <v>1.38</v>
      </c>
      <c r="K77" s="64">
        <v>88.16</v>
      </c>
      <c r="L77" s="64">
        <v>31.99</v>
      </c>
      <c r="M77" s="64">
        <v>32.04</v>
      </c>
      <c r="N77" s="64">
        <v>70.099999999999994</v>
      </c>
      <c r="O77" s="64">
        <v>0</v>
      </c>
      <c r="P77" s="64">
        <v>0.52</v>
      </c>
      <c r="Q77" s="64">
        <v>8.4600000000000009</v>
      </c>
      <c r="R77" s="198"/>
      <c r="S77" s="198"/>
      <c r="T77" s="198"/>
      <c r="U77" s="198"/>
    </row>
    <row r="78" spans="1:21" s="12" customFormat="1" x14ac:dyDescent="0.25">
      <c r="A78" s="215" t="s">
        <v>1947</v>
      </c>
      <c r="B78" s="64">
        <v>0.7</v>
      </c>
      <c r="C78" s="64">
        <v>44.81</v>
      </c>
      <c r="D78" s="64">
        <v>44.11</v>
      </c>
      <c r="E78" s="64">
        <v>3.72</v>
      </c>
      <c r="F78" s="64">
        <v>14.03</v>
      </c>
      <c r="G78" s="64">
        <v>63.85</v>
      </c>
      <c r="H78" s="64">
        <v>15.92</v>
      </c>
      <c r="I78" s="64">
        <v>4.01</v>
      </c>
      <c r="J78" s="64">
        <v>2.34</v>
      </c>
      <c r="K78" s="64">
        <v>150.69</v>
      </c>
      <c r="L78" s="64">
        <v>31.21</v>
      </c>
      <c r="M78" s="64">
        <v>36.380000000000003</v>
      </c>
      <c r="N78" s="64">
        <v>88.3</v>
      </c>
      <c r="O78" s="64">
        <v>0</v>
      </c>
      <c r="P78" s="64">
        <v>0.37</v>
      </c>
      <c r="Q78" s="64">
        <v>8.3800000000000008</v>
      </c>
      <c r="R78" s="198"/>
      <c r="S78" s="198"/>
      <c r="T78" s="198"/>
      <c r="U78" s="198"/>
    </row>
    <row r="79" spans="1:21" s="12" customFormat="1" x14ac:dyDescent="0.25">
      <c r="A79" s="215" t="s">
        <v>1948</v>
      </c>
      <c r="B79" s="64">
        <v>1.1000000000000001</v>
      </c>
      <c r="C79" s="64">
        <v>45.39</v>
      </c>
      <c r="D79" s="64">
        <v>44.29</v>
      </c>
      <c r="E79" s="64">
        <v>3.15</v>
      </c>
      <c r="F79" s="64">
        <v>8.8699999999999992</v>
      </c>
      <c r="G79" s="64">
        <v>57.35</v>
      </c>
      <c r="H79" s="64">
        <v>15.21</v>
      </c>
      <c r="I79" s="64">
        <v>3.98</v>
      </c>
      <c r="J79" s="64">
        <v>2.95</v>
      </c>
      <c r="K79" s="64">
        <v>161.31</v>
      </c>
      <c r="L79" s="64">
        <v>29.25</v>
      </c>
      <c r="M79" s="64">
        <v>43.29</v>
      </c>
      <c r="N79" s="64">
        <v>76.900000000000006</v>
      </c>
      <c r="O79" s="64">
        <v>0</v>
      </c>
      <c r="P79" s="64">
        <v>0.35</v>
      </c>
      <c r="Q79" s="64">
        <v>8.33</v>
      </c>
      <c r="R79" s="198"/>
      <c r="S79" s="198"/>
      <c r="T79" s="198"/>
      <c r="U79" s="198"/>
    </row>
    <row r="80" spans="1:21" s="12" customFormat="1" x14ac:dyDescent="0.25">
      <c r="A80" s="215" t="s">
        <v>1949</v>
      </c>
      <c r="B80" s="64">
        <v>0.87</v>
      </c>
      <c r="C80" s="64">
        <v>43.82</v>
      </c>
      <c r="D80" s="64">
        <v>42.95</v>
      </c>
      <c r="E80" s="64">
        <v>3.12</v>
      </c>
      <c r="F80" s="64">
        <v>15.39</v>
      </c>
      <c r="G80" s="64">
        <v>57.35</v>
      </c>
      <c r="H80" s="64">
        <v>15.21</v>
      </c>
      <c r="I80" s="64">
        <v>4.0199999999999996</v>
      </c>
      <c r="J80" s="64">
        <v>1.58</v>
      </c>
      <c r="K80" s="64">
        <v>184.89</v>
      </c>
      <c r="L80" s="64">
        <v>27.92</v>
      </c>
      <c r="M80" s="64">
        <v>47.77</v>
      </c>
      <c r="N80" s="64">
        <v>56.9</v>
      </c>
      <c r="O80" s="64">
        <v>0</v>
      </c>
      <c r="P80" s="64">
        <v>0.34</v>
      </c>
      <c r="Q80" s="64">
        <v>8.43</v>
      </c>
      <c r="R80" s="198"/>
      <c r="S80" s="198"/>
      <c r="T80" s="198"/>
      <c r="U80" s="198"/>
    </row>
    <row r="81" spans="1:26" s="12" customFormat="1" x14ac:dyDescent="0.25">
      <c r="A81" s="215" t="s">
        <v>1950</v>
      </c>
      <c r="B81" s="64">
        <v>1.08</v>
      </c>
      <c r="C81" s="64">
        <v>50.05</v>
      </c>
      <c r="D81" s="64">
        <v>48.97</v>
      </c>
      <c r="E81" s="64">
        <v>3.14</v>
      </c>
      <c r="F81" s="64">
        <v>14.74</v>
      </c>
      <c r="G81" s="64">
        <v>57.35</v>
      </c>
      <c r="H81" s="64">
        <v>15.21</v>
      </c>
      <c r="I81" s="64">
        <v>4.0999999999999996</v>
      </c>
      <c r="J81" s="64">
        <v>2.12</v>
      </c>
      <c r="K81" s="64">
        <v>164.71</v>
      </c>
      <c r="L81" s="64">
        <v>28.07</v>
      </c>
      <c r="M81" s="64">
        <v>47.54</v>
      </c>
      <c r="N81" s="64">
        <v>44.3</v>
      </c>
      <c r="O81" s="64">
        <v>0</v>
      </c>
      <c r="P81" s="64">
        <v>0.36</v>
      </c>
      <c r="Q81" s="64">
        <v>8.4600000000000009</v>
      </c>
      <c r="R81" s="198"/>
      <c r="S81" s="198"/>
      <c r="T81" s="198"/>
      <c r="U81" s="198"/>
    </row>
    <row r="82" spans="1:26" s="12" customFormat="1" x14ac:dyDescent="0.25">
      <c r="A82" s="215" t="s">
        <v>1951</v>
      </c>
      <c r="B82" s="64">
        <v>1.18</v>
      </c>
      <c r="C82" s="64">
        <v>48.66</v>
      </c>
      <c r="D82" s="64">
        <v>47.47</v>
      </c>
      <c r="E82" s="64">
        <v>3.44</v>
      </c>
      <c r="F82" s="64">
        <v>16.63</v>
      </c>
      <c r="G82" s="64">
        <v>55.65</v>
      </c>
      <c r="H82" s="64">
        <v>15.42</v>
      </c>
      <c r="I82" s="64">
        <v>4.1399999999999997</v>
      </c>
      <c r="J82" s="64">
        <v>1.83</v>
      </c>
      <c r="K82" s="64">
        <v>160.19999999999999</v>
      </c>
      <c r="L82" s="64">
        <v>28.67</v>
      </c>
      <c r="M82" s="64">
        <v>45.01</v>
      </c>
      <c r="N82" s="64">
        <v>38.200000000000003</v>
      </c>
      <c r="O82" s="64">
        <v>0</v>
      </c>
      <c r="P82" s="64">
        <v>0.35</v>
      </c>
      <c r="Q82" s="64">
        <v>8.56</v>
      </c>
      <c r="R82" s="198"/>
      <c r="S82" s="198"/>
      <c r="T82" s="198"/>
      <c r="U82" s="198"/>
    </row>
    <row r="83" spans="1:26" s="12" customFormat="1" x14ac:dyDescent="0.25">
      <c r="A83" s="215" t="s">
        <v>1952</v>
      </c>
      <c r="B83" s="64">
        <v>2.2400000000000002</v>
      </c>
      <c r="C83" s="64">
        <v>52.88</v>
      </c>
      <c r="D83" s="64">
        <v>50.64</v>
      </c>
      <c r="E83" s="64">
        <v>3.53</v>
      </c>
      <c r="F83" s="64">
        <v>14.52</v>
      </c>
      <c r="G83" s="64">
        <v>53.88</v>
      </c>
      <c r="H83" s="64">
        <v>15.64</v>
      </c>
      <c r="I83" s="64">
        <v>4.08</v>
      </c>
      <c r="J83" s="64">
        <v>1.83</v>
      </c>
      <c r="K83" s="64">
        <v>168.52</v>
      </c>
      <c r="L83" s="64">
        <v>28.74</v>
      </c>
      <c r="M83" s="64">
        <v>45.03</v>
      </c>
      <c r="N83" s="64">
        <v>37</v>
      </c>
      <c r="O83" s="64">
        <v>0</v>
      </c>
      <c r="P83" s="64">
        <v>0.37</v>
      </c>
      <c r="Q83" s="64">
        <v>8.27</v>
      </c>
      <c r="R83" s="198"/>
      <c r="S83" s="198"/>
      <c r="T83" s="198"/>
      <c r="U83" s="198"/>
    </row>
    <row r="84" spans="1:26" s="12" customFormat="1" x14ac:dyDescent="0.25">
      <c r="A84" s="215" t="s">
        <v>1953</v>
      </c>
      <c r="B84" s="64">
        <v>1.1299999999999999</v>
      </c>
      <c r="C84" s="64">
        <v>44.25</v>
      </c>
      <c r="D84" s="64">
        <v>43.13</v>
      </c>
      <c r="E84" s="64">
        <v>3.19</v>
      </c>
      <c r="F84" s="64">
        <v>15.85</v>
      </c>
      <c r="G84" s="64">
        <v>53.88</v>
      </c>
      <c r="H84" s="64">
        <v>15.64</v>
      </c>
      <c r="I84" s="64">
        <v>4.03</v>
      </c>
      <c r="J84" s="64">
        <v>1.39</v>
      </c>
      <c r="K84" s="64">
        <v>213.21</v>
      </c>
      <c r="L84" s="64">
        <v>28.42</v>
      </c>
      <c r="M84" s="64">
        <v>47.92</v>
      </c>
      <c r="N84" s="64">
        <v>37.700000000000003</v>
      </c>
      <c r="O84" s="64">
        <v>0</v>
      </c>
      <c r="P84" s="64">
        <v>0.38</v>
      </c>
      <c r="Q84" s="64">
        <v>8.3800000000000008</v>
      </c>
      <c r="R84" s="198"/>
      <c r="S84" s="198"/>
      <c r="T84" s="198"/>
      <c r="U84" s="198"/>
    </row>
    <row r="85" spans="1:26" s="12" customFormat="1" x14ac:dyDescent="0.25">
      <c r="A85" s="215" t="s">
        <v>1954</v>
      </c>
      <c r="B85" s="64">
        <v>1.24</v>
      </c>
      <c r="C85" s="64">
        <v>42.22</v>
      </c>
      <c r="D85" s="64">
        <v>40.98</v>
      </c>
      <c r="E85" s="64">
        <v>3.04</v>
      </c>
      <c r="F85" s="64">
        <v>10.63</v>
      </c>
      <c r="G85" s="64">
        <v>53.88</v>
      </c>
      <c r="H85" s="64">
        <v>15.64</v>
      </c>
      <c r="I85" s="64">
        <v>3.84</v>
      </c>
      <c r="J85" s="64">
        <v>1.78</v>
      </c>
      <c r="K85" s="64">
        <v>196.14</v>
      </c>
      <c r="L85" s="64">
        <v>27.61</v>
      </c>
      <c r="M85" s="64">
        <v>52.89</v>
      </c>
      <c r="N85" s="64">
        <v>37.700000000000003</v>
      </c>
      <c r="O85" s="64">
        <v>0</v>
      </c>
      <c r="P85" s="64">
        <v>0.38</v>
      </c>
      <c r="Q85" s="64">
        <v>8.32</v>
      </c>
      <c r="R85" s="198"/>
      <c r="S85" s="198"/>
      <c r="T85" s="198"/>
      <c r="U85" s="198"/>
    </row>
    <row r="86" spans="1:26" s="12" customFormat="1" x14ac:dyDescent="0.25">
      <c r="A86" s="215" t="s">
        <v>1955</v>
      </c>
      <c r="B86" s="64">
        <v>1.51</v>
      </c>
      <c r="C86" s="64">
        <v>49.34</v>
      </c>
      <c r="D86" s="64">
        <v>47.83</v>
      </c>
      <c r="E86" s="64">
        <v>3.13</v>
      </c>
      <c r="F86" s="64">
        <v>8.09</v>
      </c>
      <c r="G86" s="64">
        <v>51.75</v>
      </c>
      <c r="H86" s="64">
        <v>13.93</v>
      </c>
      <c r="I86" s="64">
        <v>3.82</v>
      </c>
      <c r="J86" s="64">
        <v>1.75</v>
      </c>
      <c r="K86" s="64">
        <v>205.85</v>
      </c>
      <c r="L86" s="64">
        <v>27.53</v>
      </c>
      <c r="M86" s="64">
        <v>53.13</v>
      </c>
      <c r="N86" s="64">
        <v>37.299999999999997</v>
      </c>
      <c r="O86" s="64">
        <v>0</v>
      </c>
      <c r="P86" s="64">
        <v>0.42</v>
      </c>
      <c r="Q86" s="64">
        <v>8.5</v>
      </c>
      <c r="R86" s="198"/>
      <c r="S86" s="198"/>
      <c r="T86" s="198"/>
      <c r="U86" s="198"/>
    </row>
    <row r="87" spans="1:26" s="12" customFormat="1" x14ac:dyDescent="0.25">
      <c r="A87" s="215" t="s">
        <v>1956</v>
      </c>
      <c r="B87" s="64">
        <v>1.45</v>
      </c>
      <c r="C87" s="64">
        <v>48.06</v>
      </c>
      <c r="D87" s="64">
        <v>46.61</v>
      </c>
      <c r="E87" s="64">
        <v>3.06</v>
      </c>
      <c r="F87" s="64">
        <v>9.6999999999999993</v>
      </c>
      <c r="G87" s="64">
        <v>49.52</v>
      </c>
      <c r="H87" s="64">
        <v>12.13</v>
      </c>
      <c r="I87" s="64">
        <v>3.96</v>
      </c>
      <c r="J87" s="64">
        <v>1.31</v>
      </c>
      <c r="K87" s="64">
        <v>206.04</v>
      </c>
      <c r="L87" s="64">
        <v>27.38</v>
      </c>
      <c r="M87" s="64">
        <v>55.57</v>
      </c>
      <c r="N87" s="64">
        <v>37.299999999999997</v>
      </c>
      <c r="O87" s="64">
        <v>0</v>
      </c>
      <c r="P87" s="64">
        <v>0.42</v>
      </c>
      <c r="Q87" s="64">
        <v>8.4700000000000006</v>
      </c>
      <c r="R87" s="198"/>
      <c r="S87" s="198"/>
      <c r="T87" s="198"/>
      <c r="U87" s="198"/>
    </row>
    <row r="88" spans="1:26" s="12" customFormat="1" x14ac:dyDescent="0.25">
      <c r="A88" s="215" t="s">
        <v>1957</v>
      </c>
      <c r="B88" s="64">
        <v>1.4</v>
      </c>
      <c r="C88" s="64">
        <v>46.78</v>
      </c>
      <c r="D88" s="64">
        <v>45.38</v>
      </c>
      <c r="E88" s="64">
        <v>3.04</v>
      </c>
      <c r="F88" s="64">
        <v>11.82</v>
      </c>
      <c r="G88" s="64">
        <v>49.52</v>
      </c>
      <c r="H88" s="64">
        <v>12.13</v>
      </c>
      <c r="I88" s="64">
        <v>4.24</v>
      </c>
      <c r="J88" s="64">
        <v>1.39</v>
      </c>
      <c r="K88" s="64">
        <v>224.36</v>
      </c>
      <c r="L88" s="64">
        <v>27.29</v>
      </c>
      <c r="M88" s="64">
        <v>56.61</v>
      </c>
      <c r="N88" s="64">
        <v>37.1</v>
      </c>
      <c r="O88" s="64">
        <v>0</v>
      </c>
      <c r="P88" s="64">
        <v>0.43</v>
      </c>
      <c r="Q88" s="64">
        <v>8.66</v>
      </c>
      <c r="R88" s="198"/>
      <c r="S88" s="198"/>
      <c r="T88" s="198"/>
      <c r="U88" s="198"/>
    </row>
    <row r="89" spans="1:26" s="12" customFormat="1" x14ac:dyDescent="0.25">
      <c r="A89" s="215" t="s">
        <v>1958</v>
      </c>
      <c r="B89" s="64">
        <v>1.35</v>
      </c>
      <c r="C89" s="64">
        <v>46.19</v>
      </c>
      <c r="D89" s="64">
        <v>44.84</v>
      </c>
      <c r="E89" s="64">
        <v>2.81</v>
      </c>
      <c r="F89" s="64">
        <v>10.09</v>
      </c>
      <c r="G89" s="64">
        <v>49.52</v>
      </c>
      <c r="H89" s="64">
        <v>12.13</v>
      </c>
      <c r="I89" s="64">
        <v>4</v>
      </c>
      <c r="J89" s="64">
        <v>1.76</v>
      </c>
      <c r="K89" s="64">
        <v>215.54</v>
      </c>
      <c r="L89" s="64">
        <v>27.17</v>
      </c>
      <c r="M89" s="64">
        <v>56.55</v>
      </c>
      <c r="N89" s="64">
        <v>37.200000000000003</v>
      </c>
      <c r="O89" s="64">
        <v>0</v>
      </c>
      <c r="P89" s="64">
        <v>0.42</v>
      </c>
      <c r="Q89" s="64">
        <v>8.5399999999999991</v>
      </c>
      <c r="R89" s="198"/>
      <c r="S89" s="198"/>
      <c r="T89" s="198"/>
      <c r="U89" s="198"/>
    </row>
    <row r="90" spans="1:26" s="12" customFormat="1" x14ac:dyDescent="0.25">
      <c r="A90" s="215" t="s">
        <v>1959</v>
      </c>
      <c r="B90" s="64">
        <v>1.18</v>
      </c>
      <c r="C90" s="64">
        <v>42.11</v>
      </c>
      <c r="D90" s="64">
        <v>40.93</v>
      </c>
      <c r="E90" s="64">
        <v>3.09</v>
      </c>
      <c r="F90" s="64">
        <v>10.53</v>
      </c>
      <c r="G90" s="64">
        <v>45.63</v>
      </c>
      <c r="H90" s="64">
        <v>11.67</v>
      </c>
      <c r="I90" s="64">
        <v>4.08</v>
      </c>
      <c r="J90" s="64">
        <v>1.41</v>
      </c>
      <c r="K90" s="64">
        <v>208.9</v>
      </c>
      <c r="L90" s="64">
        <v>27.02</v>
      </c>
      <c r="M90" s="64">
        <v>56.95</v>
      </c>
      <c r="N90" s="64">
        <v>37.4</v>
      </c>
      <c r="O90" s="64">
        <v>0</v>
      </c>
      <c r="P90" s="64">
        <v>0.43</v>
      </c>
      <c r="Q90" s="64">
        <v>8.5399999999999991</v>
      </c>
      <c r="R90" s="198"/>
      <c r="S90" s="198"/>
      <c r="T90" s="198"/>
      <c r="U90" s="198"/>
    </row>
    <row r="91" spans="1:26" s="12" customFormat="1" x14ac:dyDescent="0.25">
      <c r="A91" s="215" t="s">
        <v>1960</v>
      </c>
      <c r="B91" s="64">
        <v>1.19</v>
      </c>
      <c r="C91" s="64">
        <v>46.07</v>
      </c>
      <c r="D91" s="64">
        <v>44.88</v>
      </c>
      <c r="E91" s="64">
        <v>3.16</v>
      </c>
      <c r="F91" s="64">
        <v>10.86</v>
      </c>
      <c r="G91" s="64">
        <v>41.75</v>
      </c>
      <c r="H91" s="64">
        <v>11.18</v>
      </c>
      <c r="I91" s="64">
        <v>4.01</v>
      </c>
      <c r="J91" s="64">
        <v>1.43</v>
      </c>
      <c r="K91" s="64">
        <v>205.63</v>
      </c>
      <c r="L91" s="64">
        <v>26.8</v>
      </c>
      <c r="M91" s="64">
        <v>58.22</v>
      </c>
      <c r="N91" s="64">
        <v>37.5</v>
      </c>
      <c r="O91" s="64">
        <v>0</v>
      </c>
      <c r="P91" s="64">
        <v>0.45</v>
      </c>
      <c r="Q91" s="64">
        <v>8.5399999999999991</v>
      </c>
      <c r="R91" s="198"/>
      <c r="S91" s="198"/>
      <c r="T91" s="198"/>
      <c r="U91" s="198"/>
    </row>
    <row r="92" spans="1:26" s="12" customFormat="1" x14ac:dyDescent="0.25">
      <c r="A92" s="215" t="s">
        <v>1961</v>
      </c>
      <c r="B92" s="64">
        <v>1.38</v>
      </c>
      <c r="C92" s="64">
        <v>47.14</v>
      </c>
      <c r="D92" s="64">
        <v>45.76</v>
      </c>
      <c r="E92" s="64">
        <v>3.12</v>
      </c>
      <c r="F92" s="64">
        <v>8.6999999999999993</v>
      </c>
      <c r="G92" s="64">
        <v>41.75</v>
      </c>
      <c r="H92" s="64">
        <v>11.18</v>
      </c>
      <c r="I92" s="64">
        <v>4.0599999999999996</v>
      </c>
      <c r="J92" s="64">
        <v>1.26</v>
      </c>
      <c r="K92" s="64">
        <v>199.16</v>
      </c>
      <c r="L92" s="64">
        <v>26.76</v>
      </c>
      <c r="M92" s="64">
        <v>58.54</v>
      </c>
      <c r="N92" s="64">
        <v>37.200000000000003</v>
      </c>
      <c r="O92" s="64">
        <v>0</v>
      </c>
      <c r="P92" s="64">
        <v>0.46</v>
      </c>
      <c r="Q92" s="64">
        <v>8.7899999999999991</v>
      </c>
      <c r="R92" s="198"/>
      <c r="S92" s="198"/>
      <c r="T92" s="198"/>
      <c r="U92" s="198"/>
    </row>
    <row r="93" spans="1:26" s="12" customFormat="1" x14ac:dyDescent="0.25">
      <c r="A93" s="215" t="s">
        <v>1962</v>
      </c>
      <c r="B93" s="64">
        <v>1.36</v>
      </c>
      <c r="C93" s="64">
        <v>43</v>
      </c>
      <c r="D93" s="64">
        <v>41.64</v>
      </c>
      <c r="E93" s="64">
        <v>2.66</v>
      </c>
      <c r="F93" s="64">
        <v>10.6</v>
      </c>
      <c r="G93" s="64">
        <v>41.75</v>
      </c>
      <c r="H93" s="64">
        <v>11.18</v>
      </c>
      <c r="I93" s="64">
        <v>3.89</v>
      </c>
      <c r="J93" s="64">
        <v>1.21</v>
      </c>
      <c r="K93" s="64">
        <v>220.43</v>
      </c>
      <c r="L93" s="64">
        <v>26.7</v>
      </c>
      <c r="M93" s="64">
        <v>57.77</v>
      </c>
      <c r="N93" s="64">
        <v>37.299999999999997</v>
      </c>
      <c r="O93" s="64">
        <v>0</v>
      </c>
      <c r="P93" s="64">
        <v>0.45</v>
      </c>
      <c r="Q93" s="64">
        <v>8.59</v>
      </c>
      <c r="R93" s="198"/>
      <c r="S93" s="198"/>
      <c r="T93" s="198"/>
      <c r="U93" s="198"/>
    </row>
    <row r="94" spans="1:26" s="12" customFormat="1" x14ac:dyDescent="0.25">
      <c r="A94" s="215" t="s">
        <v>1963</v>
      </c>
      <c r="B94" s="64">
        <v>2.37</v>
      </c>
      <c r="C94" s="64">
        <v>48.08</v>
      </c>
      <c r="D94" s="64">
        <v>45.71</v>
      </c>
      <c r="E94" s="64">
        <v>3.09</v>
      </c>
      <c r="F94" s="64">
        <v>12.26</v>
      </c>
      <c r="G94" s="64">
        <v>37.44</v>
      </c>
      <c r="H94" s="64">
        <v>10.87</v>
      </c>
      <c r="I94" s="64">
        <v>3.97</v>
      </c>
      <c r="J94" s="64">
        <v>1.02</v>
      </c>
      <c r="K94" s="64">
        <v>206.73</v>
      </c>
      <c r="L94" s="64">
        <v>26.66</v>
      </c>
      <c r="M94" s="64">
        <v>56.48</v>
      </c>
      <c r="N94" s="64">
        <v>37.200000000000003</v>
      </c>
      <c r="O94" s="64">
        <v>0</v>
      </c>
      <c r="P94" s="64">
        <v>0.48</v>
      </c>
      <c r="Q94" s="64">
        <v>8.3800000000000008</v>
      </c>
      <c r="R94" s="198"/>
      <c r="S94" s="198"/>
      <c r="T94" s="198"/>
      <c r="U94" s="198"/>
    </row>
    <row r="95" spans="1:26" s="12" customFormat="1" x14ac:dyDescent="0.25">
      <c r="A95" s="215" t="s">
        <v>1964</v>
      </c>
      <c r="B95" s="64">
        <v>1.79</v>
      </c>
      <c r="C95" s="64">
        <v>44.83</v>
      </c>
      <c r="D95" s="64">
        <v>43.04</v>
      </c>
      <c r="E95" s="64">
        <v>2.85</v>
      </c>
      <c r="F95" s="64">
        <v>7.53</v>
      </c>
      <c r="G95" s="64">
        <v>32.94</v>
      </c>
      <c r="H95" s="64">
        <v>10.55</v>
      </c>
      <c r="I95" s="64">
        <v>4.04</v>
      </c>
      <c r="J95" s="64">
        <v>1.87</v>
      </c>
      <c r="K95" s="64">
        <v>171.86</v>
      </c>
      <c r="L95" s="64">
        <v>26.52</v>
      </c>
      <c r="M95" s="64">
        <v>56.37</v>
      </c>
      <c r="N95" s="64">
        <v>37.1</v>
      </c>
      <c r="O95" s="64">
        <v>0</v>
      </c>
      <c r="P95" s="64">
        <v>0.46</v>
      </c>
      <c r="Q95" s="64">
        <v>8.49</v>
      </c>
      <c r="R95" s="198"/>
      <c r="S95" s="198"/>
      <c r="T95" s="198"/>
      <c r="U95" s="198"/>
    </row>
    <row r="96" spans="1:26" s="12" customFormat="1" x14ac:dyDescent="0.25">
      <c r="A96" s="215" t="s">
        <v>1965</v>
      </c>
      <c r="B96" s="64">
        <v>1.95</v>
      </c>
      <c r="C96" s="64">
        <v>44.33</v>
      </c>
      <c r="D96" s="64">
        <v>42.38</v>
      </c>
      <c r="E96" s="64">
        <v>2.65</v>
      </c>
      <c r="F96" s="64">
        <v>9.92</v>
      </c>
      <c r="G96" s="64">
        <v>32.94</v>
      </c>
      <c r="H96" s="64">
        <v>10.55</v>
      </c>
      <c r="I96" s="64">
        <v>4.1100000000000003</v>
      </c>
      <c r="J96" s="64">
        <v>2.2200000000000002</v>
      </c>
      <c r="K96" s="64">
        <v>163.29</v>
      </c>
      <c r="L96" s="64">
        <v>26.59</v>
      </c>
      <c r="M96" s="64">
        <v>55.61</v>
      </c>
      <c r="N96" s="64">
        <v>37.1</v>
      </c>
      <c r="O96" s="64">
        <v>0</v>
      </c>
      <c r="P96" s="64">
        <v>0.44</v>
      </c>
      <c r="Q96" s="64">
        <v>8.7200000000000006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1966</v>
      </c>
      <c r="B97" s="64">
        <v>1.84</v>
      </c>
      <c r="C97" s="64">
        <v>44.16</v>
      </c>
      <c r="D97" s="64">
        <v>42.31</v>
      </c>
      <c r="E97" s="64">
        <v>3.18</v>
      </c>
      <c r="F97" s="64">
        <v>9.52</v>
      </c>
      <c r="G97" s="64">
        <v>32.94</v>
      </c>
      <c r="H97" s="64">
        <v>10.55</v>
      </c>
      <c r="I97" s="64">
        <v>4.0999999999999996</v>
      </c>
      <c r="J97" s="64">
        <v>2.0099999999999998</v>
      </c>
      <c r="K97" s="64">
        <v>154.52000000000001</v>
      </c>
      <c r="L97" s="64">
        <v>26.44</v>
      </c>
      <c r="M97" s="64">
        <v>57.15</v>
      </c>
      <c r="N97" s="64">
        <v>37.4</v>
      </c>
      <c r="O97" s="64">
        <v>0</v>
      </c>
      <c r="P97" s="64">
        <v>0.42</v>
      </c>
      <c r="Q97" s="64">
        <v>8.5</v>
      </c>
      <c r="R97" s="198"/>
      <c r="S97" s="198"/>
      <c r="T97" s="198"/>
      <c r="U97" s="198"/>
    </row>
    <row r="98" spans="1:33" s="12" customFormat="1" x14ac:dyDescent="0.25">
      <c r="A98" s="215" t="s">
        <v>1967</v>
      </c>
      <c r="B98" s="64">
        <v>2.2000000000000002</v>
      </c>
      <c r="C98" s="64">
        <v>45.65</v>
      </c>
      <c r="D98" s="64">
        <v>43.45</v>
      </c>
      <c r="E98" s="64">
        <v>2.92</v>
      </c>
      <c r="F98" s="64">
        <v>9.3000000000000007</v>
      </c>
      <c r="G98" s="64">
        <v>32.729999999999997</v>
      </c>
      <c r="H98" s="64">
        <v>10.69</v>
      </c>
      <c r="I98" s="64">
        <v>3.88</v>
      </c>
      <c r="J98" s="64">
        <v>1.4</v>
      </c>
      <c r="K98" s="64">
        <v>207.08</v>
      </c>
      <c r="L98" s="64">
        <v>26.45</v>
      </c>
      <c r="M98" s="64">
        <v>56.5</v>
      </c>
      <c r="N98" s="64">
        <v>37.299999999999997</v>
      </c>
      <c r="O98" s="64">
        <v>0</v>
      </c>
      <c r="P98" s="64">
        <v>0.42</v>
      </c>
      <c r="Q98" s="64">
        <v>8.41</v>
      </c>
      <c r="R98" s="198"/>
      <c r="S98" s="198"/>
      <c r="T98" s="198"/>
      <c r="U98" s="198"/>
    </row>
    <row r="99" spans="1:33" s="12" customFormat="1" x14ac:dyDescent="0.25">
      <c r="A99" s="215" t="s">
        <v>1968</v>
      </c>
      <c r="B99" s="64">
        <v>2.5499999999999998</v>
      </c>
      <c r="C99" s="64">
        <v>42.65</v>
      </c>
      <c r="D99" s="64">
        <v>40.1</v>
      </c>
      <c r="E99" s="64">
        <v>3.13</v>
      </c>
      <c r="F99" s="64">
        <v>10.19</v>
      </c>
      <c r="G99" s="64">
        <v>32.5</v>
      </c>
      <c r="H99" s="64">
        <v>10.84</v>
      </c>
      <c r="I99" s="64">
        <v>4.08</v>
      </c>
      <c r="J99" s="64">
        <v>1.64</v>
      </c>
      <c r="K99" s="64">
        <v>176.83</v>
      </c>
      <c r="L99" s="64">
        <v>26.39</v>
      </c>
      <c r="M99" s="64">
        <v>57.26</v>
      </c>
      <c r="N99" s="64">
        <v>37.4</v>
      </c>
      <c r="O99" s="64">
        <v>0</v>
      </c>
      <c r="P99" s="64">
        <v>0.41</v>
      </c>
      <c r="Q99" s="64">
        <v>8.5299999999999994</v>
      </c>
      <c r="R99" s="198"/>
      <c r="S99" s="198"/>
      <c r="T99" s="198"/>
      <c r="U99" s="198"/>
    </row>
    <row r="100" spans="1:33" s="12" customFormat="1" x14ac:dyDescent="0.25">
      <c r="A100" s="215" t="s">
        <v>1969</v>
      </c>
      <c r="B100" s="64">
        <v>2.4</v>
      </c>
      <c r="C100" s="64">
        <v>39.94</v>
      </c>
      <c r="D100" s="64">
        <v>37.54</v>
      </c>
      <c r="E100" s="64">
        <v>2.87</v>
      </c>
      <c r="F100" s="64">
        <v>11.4</v>
      </c>
      <c r="G100" s="64">
        <v>32.5</v>
      </c>
      <c r="H100" s="64">
        <v>10.84</v>
      </c>
      <c r="I100" s="64">
        <v>3.93</v>
      </c>
      <c r="J100" s="64">
        <v>1.62</v>
      </c>
      <c r="K100" s="64">
        <v>190.23</v>
      </c>
      <c r="L100" s="64">
        <v>26.16</v>
      </c>
      <c r="M100" s="64">
        <v>59.07</v>
      </c>
      <c r="N100" s="64">
        <v>37.5</v>
      </c>
      <c r="O100" s="64">
        <v>0</v>
      </c>
      <c r="P100" s="64">
        <v>0.4</v>
      </c>
      <c r="Q100" s="64">
        <v>8.59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1970</v>
      </c>
      <c r="B101" s="64">
        <v>2.58</v>
      </c>
      <c r="C101" s="64">
        <v>40.07</v>
      </c>
      <c r="D101" s="64">
        <v>37.49</v>
      </c>
      <c r="E101" s="64">
        <v>2.79</v>
      </c>
      <c r="F101" s="64">
        <v>8.4600000000000009</v>
      </c>
      <c r="G101" s="64">
        <v>32.5</v>
      </c>
      <c r="H101" s="64">
        <v>10.84</v>
      </c>
      <c r="I101" s="64">
        <v>3.98</v>
      </c>
      <c r="J101" s="64">
        <v>2.2799999999999998</v>
      </c>
      <c r="K101" s="64">
        <v>167.48</v>
      </c>
      <c r="L101" s="64">
        <v>26.13</v>
      </c>
      <c r="M101" s="64">
        <v>60.62</v>
      </c>
      <c r="N101" s="64">
        <v>37.200000000000003</v>
      </c>
      <c r="O101" s="64">
        <v>0</v>
      </c>
      <c r="P101" s="64">
        <v>0.41</v>
      </c>
      <c r="Q101" s="64">
        <v>8.34</v>
      </c>
      <c r="R101" s="198"/>
      <c r="S101" s="198"/>
      <c r="T101" s="198"/>
      <c r="U101" s="198"/>
    </row>
    <row r="102" spans="1:33" s="12" customFormat="1" x14ac:dyDescent="0.25">
      <c r="A102" s="215" t="s">
        <v>1971</v>
      </c>
      <c r="B102" s="64">
        <v>2.31</v>
      </c>
      <c r="C102" s="64">
        <v>39.11</v>
      </c>
      <c r="D102" s="64">
        <v>36.799999999999997</v>
      </c>
      <c r="E102" s="64">
        <v>2.75</v>
      </c>
      <c r="F102" s="64">
        <v>12.44</v>
      </c>
      <c r="G102" s="64">
        <v>30.6</v>
      </c>
      <c r="H102" s="64">
        <v>11.58</v>
      </c>
      <c r="I102" s="64">
        <v>3.87</v>
      </c>
      <c r="J102" s="64">
        <v>1.31</v>
      </c>
      <c r="K102" s="64">
        <v>179.4</v>
      </c>
      <c r="L102" s="64">
        <v>26.09</v>
      </c>
      <c r="M102" s="64">
        <v>61.97</v>
      </c>
      <c r="N102" s="64">
        <v>37.4</v>
      </c>
      <c r="O102" s="64">
        <v>0</v>
      </c>
      <c r="P102" s="64">
        <v>0.38</v>
      </c>
      <c r="Q102" s="64">
        <v>8.35</v>
      </c>
      <c r="R102" s="198"/>
      <c r="S102" s="198"/>
      <c r="T102" s="198"/>
      <c r="U102" s="198"/>
    </row>
    <row r="103" spans="1:33" s="12" customFormat="1" x14ac:dyDescent="0.25">
      <c r="A103" s="215" t="s">
        <v>1972</v>
      </c>
      <c r="B103" s="64">
        <v>2.5499999999999998</v>
      </c>
      <c r="C103" s="64">
        <v>39.270000000000003</v>
      </c>
      <c r="D103" s="64">
        <v>36.72</v>
      </c>
      <c r="E103" s="64">
        <v>2.64</v>
      </c>
      <c r="F103" s="64">
        <v>8.2100000000000009</v>
      </c>
      <c r="G103" s="64">
        <v>28.61</v>
      </c>
      <c r="H103" s="64">
        <v>12.36</v>
      </c>
      <c r="I103" s="64">
        <v>3.94</v>
      </c>
      <c r="J103" s="64">
        <v>1.25</v>
      </c>
      <c r="K103" s="64">
        <v>202.59</v>
      </c>
      <c r="L103" s="64">
        <v>26.09</v>
      </c>
      <c r="M103" s="64">
        <v>62.39</v>
      </c>
      <c r="N103" s="64">
        <v>37.5</v>
      </c>
      <c r="O103" s="64">
        <v>0</v>
      </c>
      <c r="P103" s="64">
        <v>0.41</v>
      </c>
      <c r="Q103" s="64">
        <v>8.23</v>
      </c>
      <c r="R103" s="198"/>
      <c r="S103" s="198"/>
      <c r="T103" s="198"/>
      <c r="U103" s="198"/>
    </row>
    <row r="104" spans="1:33" s="12" customFormat="1" x14ac:dyDescent="0.25">
      <c r="A104" s="215" t="s">
        <v>1973</v>
      </c>
      <c r="B104" s="64">
        <v>2.72</v>
      </c>
      <c r="C104" s="64">
        <v>40.729999999999997</v>
      </c>
      <c r="D104" s="64">
        <v>38.01</v>
      </c>
      <c r="E104" s="64">
        <v>2.0499999999999998</v>
      </c>
      <c r="F104" s="64">
        <v>9.58</v>
      </c>
      <c r="G104" s="64">
        <v>28.61</v>
      </c>
      <c r="H104" s="64">
        <v>12.36</v>
      </c>
      <c r="I104" s="64">
        <v>4.04</v>
      </c>
      <c r="J104" s="64">
        <v>1.48</v>
      </c>
      <c r="K104" s="64">
        <v>184.57</v>
      </c>
      <c r="L104" s="64">
        <v>25.87</v>
      </c>
      <c r="M104" s="64">
        <v>64.67</v>
      </c>
      <c r="N104" s="64">
        <v>37.6</v>
      </c>
      <c r="O104" s="64">
        <v>0</v>
      </c>
      <c r="P104" s="64">
        <v>0.39</v>
      </c>
      <c r="Q104" s="64">
        <v>8.48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0.06</v>
      </c>
      <c r="C106" s="67">
        <f>MIN(C9:C104)</f>
        <v>25.35</v>
      </c>
      <c r="D106" s="67">
        <f t="shared" ref="D106:Q106" si="0">MIN(D9:D104)</f>
        <v>24.8</v>
      </c>
      <c r="E106" s="67">
        <f t="shared" si="0"/>
        <v>2.0499999999999998</v>
      </c>
      <c r="F106" s="67">
        <f t="shared" si="0"/>
        <v>7.51</v>
      </c>
      <c r="G106" s="67">
        <f t="shared" si="0"/>
        <v>28.61</v>
      </c>
      <c r="H106" s="67">
        <f t="shared" si="0"/>
        <v>9.0299999999999994</v>
      </c>
      <c r="I106" s="67">
        <f t="shared" si="0"/>
        <v>3.78</v>
      </c>
      <c r="J106" s="67">
        <f t="shared" si="0"/>
        <v>7.0000000000000007E-2</v>
      </c>
      <c r="K106" s="67">
        <f t="shared" si="0"/>
        <v>88.16</v>
      </c>
      <c r="L106" s="67">
        <f t="shared" si="0"/>
        <v>25.31</v>
      </c>
      <c r="M106" s="67">
        <f t="shared" si="0"/>
        <v>24.02</v>
      </c>
      <c r="N106" s="67">
        <f t="shared" si="0"/>
        <v>34.4</v>
      </c>
      <c r="O106" s="67">
        <f t="shared" si="0"/>
        <v>0</v>
      </c>
      <c r="P106" s="67">
        <f t="shared" si="0"/>
        <v>0.33</v>
      </c>
      <c r="Q106" s="67">
        <f t="shared" si="0"/>
        <v>8.23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9.84</v>
      </c>
      <c r="C107" s="66">
        <f t="shared" ref="C107:Q107" si="1">MAX(C9:C104)</f>
        <v>76.95</v>
      </c>
      <c r="D107" s="66">
        <f t="shared" si="1"/>
        <v>69.34</v>
      </c>
      <c r="E107" s="66">
        <f t="shared" si="1"/>
        <v>4.08</v>
      </c>
      <c r="F107" s="66">
        <f t="shared" si="1"/>
        <v>22.98</v>
      </c>
      <c r="G107" s="66">
        <f t="shared" si="1"/>
        <v>70.069999999999993</v>
      </c>
      <c r="H107" s="66">
        <f t="shared" si="1"/>
        <v>16.600000000000001</v>
      </c>
      <c r="I107" s="66">
        <f t="shared" si="1"/>
        <v>4.24</v>
      </c>
      <c r="J107" s="66">
        <f t="shared" si="1"/>
        <v>3.54</v>
      </c>
      <c r="K107" s="66">
        <f t="shared" si="1"/>
        <v>345.73</v>
      </c>
      <c r="L107" s="66">
        <f t="shared" si="1"/>
        <v>39.43</v>
      </c>
      <c r="M107" s="66">
        <f t="shared" si="1"/>
        <v>71.319999999999993</v>
      </c>
      <c r="N107" s="66">
        <f t="shared" si="1"/>
        <v>959.6</v>
      </c>
      <c r="O107" s="66">
        <f t="shared" si="1"/>
        <v>0</v>
      </c>
      <c r="P107" s="66">
        <f t="shared" si="1"/>
        <v>0.6</v>
      </c>
      <c r="Q107" s="66">
        <f t="shared" si="1"/>
        <v>8.92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2.5273958333333337</v>
      </c>
      <c r="C108" s="67">
        <f t="shared" ref="C108:Q108" si="2">AVERAGE(C9:C104)</f>
        <v>42.451145833333349</v>
      </c>
      <c r="D108" s="67">
        <f t="shared" si="2"/>
        <v>39.923229166666658</v>
      </c>
      <c r="E108" s="67">
        <f t="shared" si="2"/>
        <v>2.8890625000000001</v>
      </c>
      <c r="F108" s="67">
        <f t="shared" si="2"/>
        <v>12.302812500000002</v>
      </c>
      <c r="G108" s="67">
        <f t="shared" si="2"/>
        <v>43.719375000000021</v>
      </c>
      <c r="H108" s="67">
        <f t="shared" si="2"/>
        <v>13.182916666666666</v>
      </c>
      <c r="I108" s="67">
        <f t="shared" si="2"/>
        <v>3.9883333333333333</v>
      </c>
      <c r="J108" s="67">
        <f t="shared" si="2"/>
        <v>1.4864583333333334</v>
      </c>
      <c r="K108" s="67">
        <f t="shared" si="2"/>
        <v>231.72052083333335</v>
      </c>
      <c r="L108" s="67">
        <f t="shared" si="2"/>
        <v>29.898854166666666</v>
      </c>
      <c r="M108" s="67">
        <f t="shared" si="2"/>
        <v>51.996979166666677</v>
      </c>
      <c r="N108" s="67">
        <f t="shared" si="2"/>
        <v>252.37812500000004</v>
      </c>
      <c r="O108" s="67">
        <f t="shared" si="2"/>
        <v>0</v>
      </c>
      <c r="P108" s="67">
        <f t="shared" si="2"/>
        <v>0.43875000000000003</v>
      </c>
      <c r="Q108" s="67">
        <f t="shared" si="2"/>
        <v>8.5047916666666676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2.4148131647425704</v>
      </c>
      <c r="C109" s="67">
        <f t="shared" ref="C109:Q109" si="3">STDEV(C9:C104)</f>
        <v>7.3983050505243355</v>
      </c>
      <c r="D109" s="67">
        <f t="shared" si="3"/>
        <v>6.3700629584250548</v>
      </c>
      <c r="E109" s="67">
        <f t="shared" si="3"/>
        <v>0.36942367098523926</v>
      </c>
      <c r="F109" s="67">
        <f t="shared" si="3"/>
        <v>3.0969104139193426</v>
      </c>
      <c r="G109" s="67">
        <f t="shared" si="3"/>
        <v>8.8173424582644682</v>
      </c>
      <c r="H109" s="67">
        <f t="shared" si="3"/>
        <v>2.2991947865865203</v>
      </c>
      <c r="I109" s="67">
        <f t="shared" si="3"/>
        <v>9.3950341493081721E-2</v>
      </c>
      <c r="J109" s="67">
        <f t="shared" si="3"/>
        <v>0.5103599950636839</v>
      </c>
      <c r="K109" s="67">
        <f t="shared" si="3"/>
        <v>43.847214455599449</v>
      </c>
      <c r="L109" s="67">
        <f t="shared" si="3"/>
        <v>4.5801615392775012</v>
      </c>
      <c r="M109" s="67">
        <f t="shared" si="3"/>
        <v>14.568373179401211</v>
      </c>
      <c r="N109" s="67">
        <f t="shared" si="3"/>
        <v>327.33685987410092</v>
      </c>
      <c r="O109" s="67">
        <f t="shared" si="3"/>
        <v>0</v>
      </c>
      <c r="P109" s="67">
        <f t="shared" si="3"/>
        <v>6.2175473248575037E-2</v>
      </c>
      <c r="Q109" s="67">
        <f t="shared" si="3"/>
        <v>0.13285511829109309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1974</v>
      </c>
      <c r="B9" s="64">
        <v>2.46</v>
      </c>
      <c r="C9" s="64">
        <v>39.68</v>
      </c>
      <c r="D9" s="64">
        <v>37.229999999999997</v>
      </c>
      <c r="E9" s="64">
        <v>2.1</v>
      </c>
      <c r="F9" s="64">
        <v>9.48</v>
      </c>
      <c r="G9" s="64">
        <v>28.61</v>
      </c>
      <c r="H9" s="64">
        <v>12.36</v>
      </c>
      <c r="I9" s="64">
        <v>3.96</v>
      </c>
      <c r="J9" s="64">
        <v>2.14</v>
      </c>
      <c r="K9" s="64">
        <v>162.1</v>
      </c>
      <c r="L9" s="64">
        <v>25.74</v>
      </c>
      <c r="M9" s="64">
        <v>66.41</v>
      </c>
      <c r="N9" s="64">
        <v>37.299999999999997</v>
      </c>
      <c r="O9" s="64">
        <v>0</v>
      </c>
      <c r="P9" s="64">
        <v>0.39</v>
      </c>
      <c r="Q9" s="64">
        <v>8.59</v>
      </c>
      <c r="R9" s="198"/>
      <c r="S9" s="198"/>
      <c r="T9" s="198"/>
      <c r="U9" s="198"/>
    </row>
    <row r="10" spans="1:21" s="12" customFormat="1" x14ac:dyDescent="0.25">
      <c r="A10" s="215" t="s">
        <v>1975</v>
      </c>
      <c r="B10" s="64">
        <v>2.72</v>
      </c>
      <c r="C10" s="64">
        <v>39.799999999999997</v>
      </c>
      <c r="D10" s="64">
        <v>37.08</v>
      </c>
      <c r="E10" s="64">
        <v>2.4500000000000002</v>
      </c>
      <c r="F10" s="64">
        <v>8.57</v>
      </c>
      <c r="G10" s="64">
        <v>26.6</v>
      </c>
      <c r="H10" s="64">
        <v>11.08</v>
      </c>
      <c r="I10" s="64">
        <v>3.98</v>
      </c>
      <c r="J10" s="64">
        <v>2.2999999999999998</v>
      </c>
      <c r="K10" s="64">
        <v>155.59</v>
      </c>
      <c r="L10" s="64">
        <v>25.85</v>
      </c>
      <c r="M10" s="64">
        <v>66.22</v>
      </c>
      <c r="N10" s="64">
        <v>37.200000000000003</v>
      </c>
      <c r="O10" s="64">
        <v>0</v>
      </c>
      <c r="P10" s="64">
        <v>0.41</v>
      </c>
      <c r="Q10" s="64">
        <v>8.4600000000000009</v>
      </c>
      <c r="R10" s="198"/>
      <c r="S10" s="198"/>
      <c r="T10" s="198"/>
      <c r="U10" s="198"/>
    </row>
    <row r="11" spans="1:21" s="12" customFormat="1" x14ac:dyDescent="0.25">
      <c r="A11" s="215" t="s">
        <v>1976</v>
      </c>
      <c r="B11" s="64">
        <v>2.7</v>
      </c>
      <c r="C11" s="64">
        <v>40.5</v>
      </c>
      <c r="D11" s="64">
        <v>37.79</v>
      </c>
      <c r="E11" s="64">
        <v>1.96</v>
      </c>
      <c r="F11" s="64">
        <v>8.5500000000000007</v>
      </c>
      <c r="G11" s="64">
        <v>24.49</v>
      </c>
      <c r="H11" s="64">
        <v>9.74</v>
      </c>
      <c r="I11" s="64">
        <v>4.05</v>
      </c>
      <c r="J11" s="64">
        <v>2.11</v>
      </c>
      <c r="K11" s="64">
        <v>162.6</v>
      </c>
      <c r="L11" s="64">
        <v>25.9</v>
      </c>
      <c r="M11" s="64">
        <v>66.290000000000006</v>
      </c>
      <c r="N11" s="64">
        <v>37.299999999999997</v>
      </c>
      <c r="O11" s="64">
        <v>0</v>
      </c>
      <c r="P11" s="64">
        <v>0.4</v>
      </c>
      <c r="Q11" s="64">
        <v>8.69</v>
      </c>
      <c r="R11" s="198"/>
      <c r="S11" s="198"/>
      <c r="T11" s="198"/>
      <c r="U11" s="198"/>
    </row>
    <row r="12" spans="1:21" s="12" customFormat="1" x14ac:dyDescent="0.25">
      <c r="A12" s="215" t="s">
        <v>1977</v>
      </c>
      <c r="B12" s="64">
        <v>2.4700000000000002</v>
      </c>
      <c r="C12" s="64">
        <v>40.61</v>
      </c>
      <c r="D12" s="64">
        <v>38.14</v>
      </c>
      <c r="E12" s="64">
        <v>1.93</v>
      </c>
      <c r="F12" s="64">
        <v>8.82</v>
      </c>
      <c r="G12" s="64">
        <v>24.49</v>
      </c>
      <c r="H12" s="64">
        <v>9.74</v>
      </c>
      <c r="I12" s="64">
        <v>4.05</v>
      </c>
      <c r="J12" s="64">
        <v>1.96</v>
      </c>
      <c r="K12" s="64">
        <v>163.06</v>
      </c>
      <c r="L12" s="64">
        <v>25.94</v>
      </c>
      <c r="M12" s="64">
        <v>66.349999999999994</v>
      </c>
      <c r="N12" s="64">
        <v>37.4</v>
      </c>
      <c r="O12" s="64">
        <v>0</v>
      </c>
      <c r="P12" s="64">
        <v>0.38</v>
      </c>
      <c r="Q12" s="64">
        <v>8.35</v>
      </c>
      <c r="R12" s="198"/>
      <c r="S12" s="198"/>
      <c r="T12" s="198"/>
      <c r="U12" s="198"/>
    </row>
    <row r="13" spans="1:21" s="12" customFormat="1" x14ac:dyDescent="0.25">
      <c r="A13" s="215" t="s">
        <v>1978</v>
      </c>
      <c r="B13" s="64">
        <v>2.38</v>
      </c>
      <c r="C13" s="64">
        <v>39.64</v>
      </c>
      <c r="D13" s="64">
        <v>37.26</v>
      </c>
      <c r="E13" s="64">
        <v>1.89</v>
      </c>
      <c r="F13" s="64">
        <v>9.35</v>
      </c>
      <c r="G13" s="64">
        <v>24.49</v>
      </c>
      <c r="H13" s="64">
        <v>9.74</v>
      </c>
      <c r="I13" s="64">
        <v>4.08</v>
      </c>
      <c r="J13" s="64">
        <v>1.96</v>
      </c>
      <c r="K13" s="64">
        <v>159.94999999999999</v>
      </c>
      <c r="L13" s="64">
        <v>25.98</v>
      </c>
      <c r="M13" s="64">
        <v>66.680000000000007</v>
      </c>
      <c r="N13" s="64">
        <v>37.4</v>
      </c>
      <c r="O13" s="64">
        <v>0</v>
      </c>
      <c r="P13" s="64">
        <v>0.37</v>
      </c>
      <c r="Q13" s="64">
        <v>8.57</v>
      </c>
      <c r="R13" s="198"/>
      <c r="S13" s="198"/>
      <c r="T13" s="198"/>
      <c r="U13" s="198"/>
    </row>
    <row r="14" spans="1:21" s="12" customFormat="1" x14ac:dyDescent="0.25">
      <c r="A14" s="215" t="s">
        <v>1979</v>
      </c>
      <c r="B14" s="64">
        <v>1.64</v>
      </c>
      <c r="C14" s="64">
        <v>36.47</v>
      </c>
      <c r="D14" s="64">
        <v>34.83</v>
      </c>
      <c r="E14" s="64">
        <v>2.13</v>
      </c>
      <c r="F14" s="64">
        <v>11.31</v>
      </c>
      <c r="G14" s="64">
        <v>25.27</v>
      </c>
      <c r="H14" s="64">
        <v>9.44</v>
      </c>
      <c r="I14" s="64">
        <v>3.91</v>
      </c>
      <c r="J14" s="64">
        <v>1</v>
      </c>
      <c r="K14" s="64">
        <v>229.93</v>
      </c>
      <c r="L14" s="64">
        <v>25.99</v>
      </c>
      <c r="M14" s="64">
        <v>66.28</v>
      </c>
      <c r="N14" s="64">
        <v>37.700000000000003</v>
      </c>
      <c r="O14" s="64">
        <v>0</v>
      </c>
      <c r="P14" s="64">
        <v>0.36</v>
      </c>
      <c r="Q14" s="64">
        <v>8.82</v>
      </c>
      <c r="R14" s="198"/>
      <c r="S14" s="198"/>
      <c r="T14" s="198"/>
      <c r="U14" s="198"/>
    </row>
    <row r="15" spans="1:21" s="12" customFormat="1" x14ac:dyDescent="0.25">
      <c r="A15" s="215" t="s">
        <v>1980</v>
      </c>
      <c r="B15" s="64">
        <v>1.37</v>
      </c>
      <c r="C15" s="64">
        <v>35.659999999999997</v>
      </c>
      <c r="D15" s="64">
        <v>34.29</v>
      </c>
      <c r="E15" s="64">
        <v>2.2000000000000002</v>
      </c>
      <c r="F15" s="64">
        <v>13.49</v>
      </c>
      <c r="G15" s="64">
        <v>26.08</v>
      </c>
      <c r="H15" s="64">
        <v>9.1199999999999992</v>
      </c>
      <c r="I15" s="64">
        <v>4.09</v>
      </c>
      <c r="J15" s="64">
        <v>1.28</v>
      </c>
      <c r="K15" s="64">
        <v>190.47</v>
      </c>
      <c r="L15" s="64">
        <v>25.87</v>
      </c>
      <c r="M15" s="64">
        <v>66.98</v>
      </c>
      <c r="N15" s="64">
        <v>37.5</v>
      </c>
      <c r="O15" s="64">
        <v>0</v>
      </c>
      <c r="P15" s="64">
        <v>0.35</v>
      </c>
      <c r="Q15" s="64">
        <v>8.32</v>
      </c>
      <c r="R15" s="198"/>
      <c r="S15" s="198"/>
      <c r="T15" s="198"/>
      <c r="U15" s="198"/>
    </row>
    <row r="16" spans="1:21" s="12" customFormat="1" x14ac:dyDescent="0.25">
      <c r="A16" s="215" t="s">
        <v>1981</v>
      </c>
      <c r="B16" s="64">
        <v>2.04</v>
      </c>
      <c r="C16" s="64">
        <v>37.21</v>
      </c>
      <c r="D16" s="64">
        <v>35.17</v>
      </c>
      <c r="E16" s="64">
        <v>2.36</v>
      </c>
      <c r="F16" s="64">
        <v>8.33</v>
      </c>
      <c r="G16" s="64">
        <v>26.08</v>
      </c>
      <c r="H16" s="64">
        <v>9.1199999999999992</v>
      </c>
      <c r="I16" s="64">
        <v>3.95</v>
      </c>
      <c r="J16" s="64">
        <v>2.0499999999999998</v>
      </c>
      <c r="K16" s="64">
        <v>162.16</v>
      </c>
      <c r="L16" s="64">
        <v>25.89</v>
      </c>
      <c r="M16" s="64">
        <v>67.5</v>
      </c>
      <c r="N16" s="64">
        <v>37.1</v>
      </c>
      <c r="O16" s="64">
        <v>0</v>
      </c>
      <c r="P16" s="64">
        <v>0.38</v>
      </c>
      <c r="Q16" s="64">
        <v>8.41</v>
      </c>
      <c r="R16" s="198"/>
      <c r="S16" s="198"/>
      <c r="T16" s="198"/>
      <c r="U16" s="198"/>
    </row>
    <row r="17" spans="1:21" s="12" customFormat="1" x14ac:dyDescent="0.25">
      <c r="A17" s="215" t="s">
        <v>1982</v>
      </c>
      <c r="B17" s="64">
        <v>1.96</v>
      </c>
      <c r="C17" s="64">
        <v>38.909999999999997</v>
      </c>
      <c r="D17" s="64">
        <v>36.950000000000003</v>
      </c>
      <c r="E17" s="64">
        <v>2.15</v>
      </c>
      <c r="F17" s="64">
        <v>13.34</v>
      </c>
      <c r="G17" s="64">
        <v>26.08</v>
      </c>
      <c r="H17" s="64">
        <v>9.1199999999999992</v>
      </c>
      <c r="I17" s="64">
        <v>4</v>
      </c>
      <c r="J17" s="64">
        <v>1.57</v>
      </c>
      <c r="K17" s="64">
        <v>171.03</v>
      </c>
      <c r="L17" s="64">
        <v>25.9</v>
      </c>
      <c r="M17" s="64">
        <v>67.2</v>
      </c>
      <c r="N17" s="64">
        <v>37.5</v>
      </c>
      <c r="O17" s="64">
        <v>0</v>
      </c>
      <c r="P17" s="64">
        <v>0.35</v>
      </c>
      <c r="Q17" s="64">
        <v>8.6999999999999993</v>
      </c>
      <c r="R17" s="198"/>
      <c r="S17" s="198"/>
      <c r="T17" s="198"/>
      <c r="U17" s="198"/>
    </row>
    <row r="18" spans="1:21" s="12" customFormat="1" x14ac:dyDescent="0.25">
      <c r="A18" s="215" t="s">
        <v>1983</v>
      </c>
      <c r="B18" s="64">
        <v>1.17</v>
      </c>
      <c r="C18" s="64">
        <v>35.909999999999997</v>
      </c>
      <c r="D18" s="64">
        <v>34.729999999999997</v>
      </c>
      <c r="E18" s="64">
        <v>2.11</v>
      </c>
      <c r="F18" s="64">
        <v>14.33</v>
      </c>
      <c r="G18" s="64">
        <v>25.34</v>
      </c>
      <c r="H18" s="64">
        <v>9.81</v>
      </c>
      <c r="I18" s="64">
        <v>3.84</v>
      </c>
      <c r="J18" s="64">
        <v>1.25</v>
      </c>
      <c r="K18" s="64">
        <v>152.19</v>
      </c>
      <c r="L18" s="64">
        <v>25.86</v>
      </c>
      <c r="M18" s="64">
        <v>67.599999999999994</v>
      </c>
      <c r="N18" s="64">
        <v>37.5</v>
      </c>
      <c r="O18" s="64">
        <v>0</v>
      </c>
      <c r="P18" s="64">
        <v>0.34</v>
      </c>
      <c r="Q18" s="64">
        <v>8.41</v>
      </c>
      <c r="R18" s="198"/>
      <c r="S18" s="198"/>
      <c r="T18" s="198"/>
      <c r="U18" s="198"/>
    </row>
    <row r="19" spans="1:21" s="12" customFormat="1" x14ac:dyDescent="0.25">
      <c r="A19" s="215" t="s">
        <v>1984</v>
      </c>
      <c r="B19" s="64">
        <v>0.97</v>
      </c>
      <c r="C19" s="64">
        <v>34.06</v>
      </c>
      <c r="D19" s="64">
        <v>33.090000000000003</v>
      </c>
      <c r="E19" s="64">
        <v>2.29</v>
      </c>
      <c r="F19" s="64">
        <v>14.7</v>
      </c>
      <c r="G19" s="64">
        <v>24.55</v>
      </c>
      <c r="H19" s="64">
        <v>10.52</v>
      </c>
      <c r="I19" s="64">
        <v>4.16</v>
      </c>
      <c r="J19" s="64">
        <v>0.39</v>
      </c>
      <c r="K19" s="64">
        <v>209.96</v>
      </c>
      <c r="L19" s="64">
        <v>25.73</v>
      </c>
      <c r="M19" s="64">
        <v>68.61</v>
      </c>
      <c r="N19" s="64">
        <v>37.700000000000003</v>
      </c>
      <c r="O19" s="64">
        <v>0</v>
      </c>
      <c r="P19" s="64">
        <v>0.35</v>
      </c>
      <c r="Q19" s="64">
        <v>8.5399999999999991</v>
      </c>
      <c r="R19" s="198"/>
      <c r="S19" s="198"/>
      <c r="T19" s="198"/>
      <c r="U19" s="198"/>
    </row>
    <row r="20" spans="1:21" s="12" customFormat="1" x14ac:dyDescent="0.25">
      <c r="A20" s="215" t="s">
        <v>1985</v>
      </c>
      <c r="B20" s="64">
        <v>2.6</v>
      </c>
      <c r="C20" s="64">
        <v>38.549999999999997</v>
      </c>
      <c r="D20" s="64">
        <v>35.950000000000003</v>
      </c>
      <c r="E20" s="64">
        <v>1.97</v>
      </c>
      <c r="F20" s="64">
        <v>12.15</v>
      </c>
      <c r="G20" s="64">
        <v>24.55</v>
      </c>
      <c r="H20" s="64">
        <v>10.52</v>
      </c>
      <c r="I20" s="64">
        <v>4.07</v>
      </c>
      <c r="J20" s="64">
        <v>1.56</v>
      </c>
      <c r="K20" s="64">
        <v>291.42</v>
      </c>
      <c r="L20" s="64">
        <v>25.48</v>
      </c>
      <c r="M20" s="64">
        <v>71.959999999999994</v>
      </c>
      <c r="N20" s="64">
        <v>38.1</v>
      </c>
      <c r="O20" s="64">
        <v>0</v>
      </c>
      <c r="P20" s="64">
        <v>0.37</v>
      </c>
      <c r="Q20" s="64">
        <v>8.33</v>
      </c>
      <c r="R20" s="198"/>
      <c r="S20" s="198"/>
      <c r="T20" s="198"/>
      <c r="U20" s="198"/>
    </row>
    <row r="21" spans="1:21" s="12" customFormat="1" x14ac:dyDescent="0.25">
      <c r="A21" s="215" t="s">
        <v>1986</v>
      </c>
      <c r="B21" s="64">
        <v>3.67</v>
      </c>
      <c r="C21" s="64">
        <v>39.85</v>
      </c>
      <c r="D21" s="64">
        <v>36.19</v>
      </c>
      <c r="E21" s="64">
        <v>2.11</v>
      </c>
      <c r="F21" s="64">
        <v>11.75</v>
      </c>
      <c r="G21" s="64">
        <v>24.55</v>
      </c>
      <c r="H21" s="64">
        <v>10.52</v>
      </c>
      <c r="I21" s="64">
        <v>4.05</v>
      </c>
      <c r="J21" s="64">
        <v>0.78</v>
      </c>
      <c r="K21" s="64">
        <v>98.08</v>
      </c>
      <c r="L21" s="64">
        <v>25.03</v>
      </c>
      <c r="M21" s="64">
        <v>75.33</v>
      </c>
      <c r="N21" s="64">
        <v>37.6</v>
      </c>
      <c r="O21" s="64">
        <v>0</v>
      </c>
      <c r="P21" s="64">
        <v>0.34</v>
      </c>
      <c r="Q21" s="64">
        <v>8.44</v>
      </c>
      <c r="R21" s="198"/>
      <c r="S21" s="198"/>
      <c r="T21" s="198"/>
      <c r="U21" s="198"/>
    </row>
    <row r="22" spans="1:21" s="12" customFormat="1" x14ac:dyDescent="0.25">
      <c r="A22" s="215" t="s">
        <v>1987</v>
      </c>
      <c r="B22" s="64">
        <v>2.97</v>
      </c>
      <c r="C22" s="64">
        <v>37.93</v>
      </c>
      <c r="D22" s="64">
        <v>34.96</v>
      </c>
      <c r="E22" s="64">
        <v>2.0699999999999998</v>
      </c>
      <c r="F22" s="64">
        <v>13.31</v>
      </c>
      <c r="G22" s="64">
        <v>24.1</v>
      </c>
      <c r="H22" s="64">
        <v>10.9</v>
      </c>
      <c r="I22" s="64">
        <v>3.99</v>
      </c>
      <c r="J22" s="64">
        <v>0.59</v>
      </c>
      <c r="K22" s="64">
        <v>75.86</v>
      </c>
      <c r="L22" s="64">
        <v>25.77</v>
      </c>
      <c r="M22" s="64">
        <v>69.72</v>
      </c>
      <c r="N22" s="64">
        <v>37</v>
      </c>
      <c r="O22" s="64">
        <v>0</v>
      </c>
      <c r="P22" s="64">
        <v>0.32</v>
      </c>
      <c r="Q22" s="64">
        <v>8.44</v>
      </c>
      <c r="R22" s="198"/>
      <c r="S22" s="198"/>
      <c r="T22" s="198"/>
      <c r="U22" s="198"/>
    </row>
    <row r="23" spans="1:21" s="12" customFormat="1" x14ac:dyDescent="0.25">
      <c r="A23" s="215" t="s">
        <v>1988</v>
      </c>
      <c r="B23" s="64">
        <v>3.2</v>
      </c>
      <c r="C23" s="64">
        <v>38.299999999999997</v>
      </c>
      <c r="D23" s="64">
        <v>35.090000000000003</v>
      </c>
      <c r="E23" s="64">
        <v>2.27</v>
      </c>
      <c r="F23" s="64">
        <v>13.58</v>
      </c>
      <c r="G23" s="64">
        <v>23.62</v>
      </c>
      <c r="H23" s="64">
        <v>11.3</v>
      </c>
      <c r="I23" s="64">
        <v>3.82</v>
      </c>
      <c r="J23" s="64">
        <v>0.8</v>
      </c>
      <c r="K23" s="64">
        <v>167.07</v>
      </c>
      <c r="L23" s="64">
        <v>25.67</v>
      </c>
      <c r="M23" s="64">
        <v>70.59</v>
      </c>
      <c r="N23" s="64">
        <v>37.799999999999997</v>
      </c>
      <c r="O23" s="64">
        <v>0</v>
      </c>
      <c r="P23" s="64">
        <v>0.32</v>
      </c>
      <c r="Q23" s="64">
        <v>8.4700000000000006</v>
      </c>
      <c r="R23" s="198"/>
      <c r="S23" s="198"/>
      <c r="T23" s="198"/>
      <c r="U23" s="198"/>
    </row>
    <row r="24" spans="1:21" s="12" customFormat="1" x14ac:dyDescent="0.25">
      <c r="A24" s="215" t="s">
        <v>1989</v>
      </c>
      <c r="B24" s="64">
        <v>3.36</v>
      </c>
      <c r="C24" s="64">
        <v>44.85</v>
      </c>
      <c r="D24" s="64">
        <v>41.49</v>
      </c>
      <c r="E24" s="64">
        <v>2.44</v>
      </c>
      <c r="F24" s="64">
        <v>12.01</v>
      </c>
      <c r="G24" s="64">
        <v>23.62</v>
      </c>
      <c r="H24" s="64">
        <v>11.3</v>
      </c>
      <c r="I24" s="64">
        <v>3.86</v>
      </c>
      <c r="J24" s="64">
        <v>0.77</v>
      </c>
      <c r="K24" s="64">
        <v>79.239999999999995</v>
      </c>
      <c r="L24" s="64">
        <v>25.76</v>
      </c>
      <c r="M24" s="64">
        <v>70.27</v>
      </c>
      <c r="N24" s="64">
        <v>37.4</v>
      </c>
      <c r="O24" s="64">
        <v>0</v>
      </c>
      <c r="P24" s="64">
        <v>0.33</v>
      </c>
      <c r="Q24" s="64">
        <v>8.66</v>
      </c>
      <c r="R24" s="198"/>
      <c r="S24" s="198"/>
      <c r="T24" s="198"/>
      <c r="U24" s="198"/>
    </row>
    <row r="25" spans="1:21" s="12" customFormat="1" x14ac:dyDescent="0.25">
      <c r="A25" s="215" t="s">
        <v>1990</v>
      </c>
      <c r="B25" s="64">
        <v>3.76</v>
      </c>
      <c r="C25" s="64">
        <v>42.86</v>
      </c>
      <c r="D25" s="64">
        <v>39.11</v>
      </c>
      <c r="E25" s="64">
        <v>2.2999999999999998</v>
      </c>
      <c r="F25" s="64">
        <v>9.49</v>
      </c>
      <c r="G25" s="64">
        <v>23.62</v>
      </c>
      <c r="H25" s="64">
        <v>11.3</v>
      </c>
      <c r="I25" s="64">
        <v>4.0599999999999996</v>
      </c>
      <c r="J25" s="64">
        <v>0.79</v>
      </c>
      <c r="K25" s="64">
        <v>119.85</v>
      </c>
      <c r="L25" s="64">
        <v>25.76</v>
      </c>
      <c r="M25" s="64">
        <v>70.37</v>
      </c>
      <c r="N25" s="64">
        <v>37.799999999999997</v>
      </c>
      <c r="O25" s="64">
        <v>0</v>
      </c>
      <c r="P25" s="64">
        <v>0.36</v>
      </c>
      <c r="Q25" s="64">
        <v>8.89</v>
      </c>
      <c r="R25" s="198"/>
      <c r="S25" s="198"/>
      <c r="T25" s="198"/>
      <c r="U25" s="198"/>
    </row>
    <row r="26" spans="1:21" s="12" customFormat="1" x14ac:dyDescent="0.25">
      <c r="A26" s="215" t="s">
        <v>1991</v>
      </c>
      <c r="B26" s="64">
        <v>3.37</v>
      </c>
      <c r="C26" s="64">
        <v>39.51</v>
      </c>
      <c r="D26" s="64">
        <v>36.14</v>
      </c>
      <c r="E26" s="64">
        <v>2.4300000000000002</v>
      </c>
      <c r="F26" s="64">
        <v>10.09</v>
      </c>
      <c r="G26" s="64">
        <v>27.21</v>
      </c>
      <c r="H26" s="64">
        <v>10.61</v>
      </c>
      <c r="I26" s="64">
        <v>4.16</v>
      </c>
      <c r="J26" s="64">
        <v>2.3199999999999998</v>
      </c>
      <c r="K26" s="64">
        <v>92.25</v>
      </c>
      <c r="L26" s="64">
        <v>25.84</v>
      </c>
      <c r="M26" s="64">
        <v>69.959999999999994</v>
      </c>
      <c r="N26" s="64">
        <v>36.9</v>
      </c>
      <c r="O26" s="64">
        <v>0</v>
      </c>
      <c r="P26" s="64">
        <v>0.36</v>
      </c>
      <c r="Q26" s="64">
        <v>8.48</v>
      </c>
      <c r="R26" s="198"/>
      <c r="S26" s="198"/>
      <c r="T26" s="198"/>
      <c r="U26" s="198"/>
    </row>
    <row r="27" spans="1:21" s="12" customFormat="1" x14ac:dyDescent="0.25">
      <c r="A27" s="215" t="s">
        <v>1992</v>
      </c>
      <c r="B27" s="64">
        <v>4.3099999999999996</v>
      </c>
      <c r="C27" s="64">
        <v>44.47</v>
      </c>
      <c r="D27" s="64">
        <v>40.159999999999997</v>
      </c>
      <c r="E27" s="64">
        <v>2.2200000000000002</v>
      </c>
      <c r="F27" s="64">
        <v>10.4</v>
      </c>
      <c r="G27" s="64">
        <v>30.96</v>
      </c>
      <c r="H27" s="64">
        <v>9.8800000000000008</v>
      </c>
      <c r="I27" s="64">
        <v>3.84</v>
      </c>
      <c r="J27" s="64">
        <v>2.37</v>
      </c>
      <c r="K27" s="64">
        <v>99.92</v>
      </c>
      <c r="L27" s="64">
        <v>25.96</v>
      </c>
      <c r="M27" s="64">
        <v>70.16</v>
      </c>
      <c r="N27" s="64">
        <v>37.6</v>
      </c>
      <c r="O27" s="64">
        <v>0</v>
      </c>
      <c r="P27" s="64">
        <v>0.39</v>
      </c>
      <c r="Q27" s="64">
        <v>8.4</v>
      </c>
      <c r="R27" s="198"/>
      <c r="S27" s="198"/>
      <c r="T27" s="198"/>
      <c r="U27" s="198"/>
    </row>
    <row r="28" spans="1:21" s="12" customFormat="1" x14ac:dyDescent="0.25">
      <c r="A28" s="215" t="s">
        <v>1993</v>
      </c>
      <c r="B28" s="64">
        <v>4.55</v>
      </c>
      <c r="C28" s="64">
        <v>44.6</v>
      </c>
      <c r="D28" s="64">
        <v>40.049999999999997</v>
      </c>
      <c r="E28" s="64">
        <v>1.91</v>
      </c>
      <c r="F28" s="64">
        <v>9.39</v>
      </c>
      <c r="G28" s="64">
        <v>30.96</v>
      </c>
      <c r="H28" s="64">
        <v>9.8800000000000008</v>
      </c>
      <c r="I28" s="64">
        <v>3.9</v>
      </c>
      <c r="J28" s="64">
        <v>1.54</v>
      </c>
      <c r="K28" s="64">
        <v>89.83</v>
      </c>
      <c r="L28" s="64">
        <v>25.76</v>
      </c>
      <c r="M28" s="64">
        <v>71.739999999999995</v>
      </c>
      <c r="N28" s="64">
        <v>38</v>
      </c>
      <c r="O28" s="64">
        <v>0</v>
      </c>
      <c r="P28" s="64">
        <v>0.39</v>
      </c>
      <c r="Q28" s="64">
        <v>8.59</v>
      </c>
      <c r="R28" s="198"/>
      <c r="S28" s="198"/>
      <c r="T28" s="198"/>
      <c r="U28" s="198"/>
    </row>
    <row r="29" spans="1:21" s="12" customFormat="1" x14ac:dyDescent="0.25">
      <c r="A29" s="215" t="s">
        <v>1994</v>
      </c>
      <c r="B29" s="64">
        <v>4.4800000000000004</v>
      </c>
      <c r="C29" s="64">
        <v>41.24</v>
      </c>
      <c r="D29" s="64">
        <v>36.75</v>
      </c>
      <c r="E29" s="64">
        <v>2.29</v>
      </c>
      <c r="F29" s="64">
        <v>9.82</v>
      </c>
      <c r="G29" s="64">
        <v>30.96</v>
      </c>
      <c r="H29" s="64">
        <v>9.8800000000000008</v>
      </c>
      <c r="I29" s="64">
        <v>4.2</v>
      </c>
      <c r="J29" s="64">
        <v>1.73</v>
      </c>
      <c r="K29" s="64">
        <v>91.45</v>
      </c>
      <c r="L29" s="64">
        <v>25.71</v>
      </c>
      <c r="M29" s="64">
        <v>70.37</v>
      </c>
      <c r="N29" s="64">
        <v>37.799999999999997</v>
      </c>
      <c r="O29" s="64">
        <v>0</v>
      </c>
      <c r="P29" s="64">
        <v>0.37</v>
      </c>
      <c r="Q29" s="64">
        <v>8.43</v>
      </c>
      <c r="R29" s="198"/>
      <c r="S29" s="198"/>
      <c r="T29" s="198"/>
      <c r="U29" s="198"/>
    </row>
    <row r="30" spans="1:21" s="12" customFormat="1" x14ac:dyDescent="0.25">
      <c r="A30" s="215" t="s">
        <v>1995</v>
      </c>
      <c r="B30" s="64">
        <v>11.09</v>
      </c>
      <c r="C30" s="64">
        <v>58.47</v>
      </c>
      <c r="D30" s="64">
        <v>47.38</v>
      </c>
      <c r="E30" s="64">
        <v>1.93</v>
      </c>
      <c r="F30" s="64">
        <v>7.16</v>
      </c>
      <c r="G30" s="64">
        <v>29.12</v>
      </c>
      <c r="H30" s="64">
        <v>10.51</v>
      </c>
      <c r="I30" s="64">
        <v>4.18</v>
      </c>
      <c r="J30" s="64">
        <v>1.32</v>
      </c>
      <c r="K30" s="64">
        <v>182.02</v>
      </c>
      <c r="L30" s="64">
        <v>25.44</v>
      </c>
      <c r="M30" s="64">
        <v>72.22</v>
      </c>
      <c r="N30" s="64">
        <v>38.299999999999997</v>
      </c>
      <c r="O30" s="64">
        <v>0</v>
      </c>
      <c r="P30" s="64">
        <v>0.4</v>
      </c>
      <c r="Q30" s="64">
        <v>8.6199999999999992</v>
      </c>
      <c r="R30" s="198"/>
      <c r="S30" s="198"/>
      <c r="T30" s="198"/>
      <c r="U30" s="198"/>
    </row>
    <row r="31" spans="1:21" s="12" customFormat="1" x14ac:dyDescent="0.25">
      <c r="A31" s="215" t="s">
        <v>1996</v>
      </c>
      <c r="B31" s="64">
        <v>7.32</v>
      </c>
      <c r="C31" s="64">
        <v>47.53</v>
      </c>
      <c r="D31" s="64">
        <v>40.21</v>
      </c>
      <c r="E31" s="64">
        <v>1.86</v>
      </c>
      <c r="F31" s="64">
        <v>7.6</v>
      </c>
      <c r="G31" s="64">
        <v>27.19</v>
      </c>
      <c r="H31" s="64">
        <v>11.17</v>
      </c>
      <c r="I31" s="64">
        <v>4.01</v>
      </c>
      <c r="J31" s="64">
        <v>1.44</v>
      </c>
      <c r="K31" s="64">
        <v>184.78</v>
      </c>
      <c r="L31" s="64">
        <v>25.29</v>
      </c>
      <c r="M31" s="64">
        <v>70.349999999999994</v>
      </c>
      <c r="N31" s="64">
        <v>41.5</v>
      </c>
      <c r="O31" s="64">
        <v>0</v>
      </c>
      <c r="P31" s="64">
        <v>0.39</v>
      </c>
      <c r="Q31" s="64">
        <v>8.7100000000000009</v>
      </c>
      <c r="R31" s="198"/>
      <c r="S31" s="198"/>
      <c r="T31" s="198"/>
      <c r="U31" s="198"/>
    </row>
    <row r="32" spans="1:21" s="12" customFormat="1" x14ac:dyDescent="0.25">
      <c r="A32" s="215" t="s">
        <v>1997</v>
      </c>
      <c r="B32" s="64">
        <v>7.14</v>
      </c>
      <c r="C32" s="64">
        <v>50.3</v>
      </c>
      <c r="D32" s="64">
        <v>43.17</v>
      </c>
      <c r="E32" s="64">
        <v>1.84</v>
      </c>
      <c r="F32" s="64">
        <v>7.66</v>
      </c>
      <c r="G32" s="64">
        <v>27.19</v>
      </c>
      <c r="H32" s="64">
        <v>11.17</v>
      </c>
      <c r="I32" s="64">
        <v>3.94</v>
      </c>
      <c r="J32" s="64">
        <v>1.1200000000000001</v>
      </c>
      <c r="K32" s="64">
        <v>185.91</v>
      </c>
      <c r="L32" s="64">
        <v>25.17</v>
      </c>
      <c r="M32" s="64">
        <v>70.72</v>
      </c>
      <c r="N32" s="64">
        <v>51.6</v>
      </c>
      <c r="O32" s="64">
        <v>0</v>
      </c>
      <c r="P32" s="64">
        <v>0.38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5" t="s">
        <v>1998</v>
      </c>
      <c r="B33" s="64">
        <v>7.53</v>
      </c>
      <c r="C33" s="64">
        <v>49.03</v>
      </c>
      <c r="D33" s="64">
        <v>41.5</v>
      </c>
      <c r="E33" s="64">
        <v>1.99</v>
      </c>
      <c r="F33" s="64">
        <v>7.38</v>
      </c>
      <c r="G33" s="64">
        <v>27.19</v>
      </c>
      <c r="H33" s="64">
        <v>11.17</v>
      </c>
      <c r="I33" s="64">
        <v>3.95</v>
      </c>
      <c r="J33" s="64">
        <v>1.17</v>
      </c>
      <c r="K33" s="64">
        <v>203.95</v>
      </c>
      <c r="L33" s="64">
        <v>25.2</v>
      </c>
      <c r="M33" s="64">
        <v>71.099999999999994</v>
      </c>
      <c r="N33" s="64">
        <v>68.2</v>
      </c>
      <c r="O33" s="64">
        <v>0</v>
      </c>
      <c r="P33" s="64">
        <v>0.4</v>
      </c>
      <c r="Q33" s="64">
        <v>9.25</v>
      </c>
      <c r="R33" s="198"/>
      <c r="S33" s="198"/>
      <c r="T33" s="198"/>
      <c r="U33" s="198"/>
    </row>
    <row r="34" spans="1:21" s="12" customFormat="1" x14ac:dyDescent="0.25">
      <c r="A34" s="215" t="s">
        <v>1999</v>
      </c>
      <c r="B34" s="64">
        <v>6.67</v>
      </c>
      <c r="C34" s="64">
        <v>46.3</v>
      </c>
      <c r="D34" s="64">
        <v>39.619999999999997</v>
      </c>
      <c r="E34" s="64">
        <v>1.94</v>
      </c>
      <c r="F34" s="64">
        <v>8.83</v>
      </c>
      <c r="G34" s="64">
        <v>28.37</v>
      </c>
      <c r="H34" s="64">
        <v>10.74</v>
      </c>
      <c r="I34" s="64">
        <v>4.09</v>
      </c>
      <c r="J34" s="64">
        <v>0.55000000000000004</v>
      </c>
      <c r="K34" s="64">
        <v>160.30000000000001</v>
      </c>
      <c r="L34" s="64">
        <v>25.37</v>
      </c>
      <c r="M34" s="64">
        <v>70.53</v>
      </c>
      <c r="N34" s="64">
        <v>95.3</v>
      </c>
      <c r="O34" s="64">
        <v>0</v>
      </c>
      <c r="P34" s="64">
        <v>0.38</v>
      </c>
      <c r="Q34" s="64">
        <v>8.56</v>
      </c>
      <c r="R34" s="198"/>
      <c r="S34" s="198"/>
      <c r="T34" s="198"/>
      <c r="U34" s="198"/>
    </row>
    <row r="35" spans="1:21" s="12" customFormat="1" x14ac:dyDescent="0.25">
      <c r="A35" s="215" t="s">
        <v>2000</v>
      </c>
      <c r="B35" s="64">
        <v>6.32</v>
      </c>
      <c r="C35" s="64">
        <v>47.04</v>
      </c>
      <c r="D35" s="64">
        <v>40.72</v>
      </c>
      <c r="E35" s="64">
        <v>1.91</v>
      </c>
      <c r="F35" s="64">
        <v>10.18</v>
      </c>
      <c r="G35" s="64">
        <v>29.61</v>
      </c>
      <c r="H35" s="64">
        <v>10.29</v>
      </c>
      <c r="I35" s="64">
        <v>3.82</v>
      </c>
      <c r="J35" s="64">
        <v>0.26</v>
      </c>
      <c r="K35" s="64">
        <v>192.26</v>
      </c>
      <c r="L35" s="64">
        <v>26.04</v>
      </c>
      <c r="M35" s="64">
        <v>68.709999999999994</v>
      </c>
      <c r="N35" s="64">
        <v>130.19999999999999</v>
      </c>
      <c r="O35" s="64">
        <v>0</v>
      </c>
      <c r="P35" s="64">
        <v>0.39</v>
      </c>
      <c r="Q35" s="64">
        <v>8.52</v>
      </c>
      <c r="R35" s="198"/>
      <c r="S35" s="198"/>
      <c r="T35" s="198"/>
      <c r="U35" s="198"/>
    </row>
    <row r="36" spans="1:21" s="12" customFormat="1" x14ac:dyDescent="0.25">
      <c r="A36" s="215" t="s">
        <v>2001</v>
      </c>
      <c r="B36" s="64">
        <v>7.49</v>
      </c>
      <c r="C36" s="64">
        <v>49.58</v>
      </c>
      <c r="D36" s="64">
        <v>42.09</v>
      </c>
      <c r="E36" s="64">
        <v>1.93</v>
      </c>
      <c r="F36" s="64">
        <v>9.89</v>
      </c>
      <c r="G36" s="64">
        <v>29.61</v>
      </c>
      <c r="H36" s="64">
        <v>10.29</v>
      </c>
      <c r="I36" s="64">
        <v>3.93</v>
      </c>
      <c r="J36" s="64">
        <v>1.23</v>
      </c>
      <c r="K36" s="64">
        <v>192.86</v>
      </c>
      <c r="L36" s="64">
        <v>26.57</v>
      </c>
      <c r="M36" s="64">
        <v>67.63</v>
      </c>
      <c r="N36" s="64">
        <v>164.5</v>
      </c>
      <c r="O36" s="64">
        <v>0</v>
      </c>
      <c r="P36" s="64">
        <v>0.39</v>
      </c>
      <c r="Q36" s="64">
        <v>8.77</v>
      </c>
      <c r="R36" s="198"/>
      <c r="S36" s="198"/>
      <c r="T36" s="198"/>
      <c r="U36" s="198"/>
    </row>
    <row r="37" spans="1:21" s="12" customFormat="1" x14ac:dyDescent="0.25">
      <c r="A37" s="215" t="s">
        <v>2002</v>
      </c>
      <c r="B37" s="64">
        <v>8.67</v>
      </c>
      <c r="C37" s="64">
        <v>51.42</v>
      </c>
      <c r="D37" s="64">
        <v>42.76</v>
      </c>
      <c r="E37" s="64">
        <v>1.69</v>
      </c>
      <c r="F37" s="64">
        <v>11.36</v>
      </c>
      <c r="G37" s="64">
        <v>29.61</v>
      </c>
      <c r="H37" s="64">
        <v>10.29</v>
      </c>
      <c r="I37" s="64">
        <v>3.9</v>
      </c>
      <c r="J37" s="64">
        <v>1.03</v>
      </c>
      <c r="K37" s="64">
        <v>165.96</v>
      </c>
      <c r="L37" s="64">
        <v>27.08</v>
      </c>
      <c r="M37" s="64">
        <v>66.83</v>
      </c>
      <c r="N37" s="64">
        <v>169.8</v>
      </c>
      <c r="O37" s="64">
        <v>0</v>
      </c>
      <c r="P37" s="64">
        <v>0.39</v>
      </c>
      <c r="Q37" s="64">
        <v>8.4</v>
      </c>
      <c r="R37" s="198"/>
      <c r="S37" s="198"/>
      <c r="T37" s="198"/>
      <c r="U37" s="198"/>
    </row>
    <row r="38" spans="1:21" s="12" customFormat="1" x14ac:dyDescent="0.25">
      <c r="A38" s="215" t="s">
        <v>2003</v>
      </c>
      <c r="B38" s="64">
        <v>6.45</v>
      </c>
      <c r="C38" s="64">
        <v>44.08</v>
      </c>
      <c r="D38" s="64">
        <v>37.64</v>
      </c>
      <c r="E38" s="64">
        <v>2.34</v>
      </c>
      <c r="F38" s="64">
        <v>13.29</v>
      </c>
      <c r="G38" s="64">
        <v>29.01</v>
      </c>
      <c r="H38" s="64">
        <v>11.71</v>
      </c>
      <c r="I38" s="64">
        <v>4.2</v>
      </c>
      <c r="J38" s="64">
        <v>1.47</v>
      </c>
      <c r="K38" s="64">
        <v>166.11</v>
      </c>
      <c r="L38" s="64">
        <v>27.76</v>
      </c>
      <c r="M38" s="64">
        <v>65.010000000000005</v>
      </c>
      <c r="N38" s="64">
        <v>256.89999999999998</v>
      </c>
      <c r="O38" s="64">
        <v>0</v>
      </c>
      <c r="P38" s="64">
        <v>0.41</v>
      </c>
      <c r="Q38" s="64">
        <v>8.4600000000000009</v>
      </c>
      <c r="R38" s="198"/>
      <c r="S38" s="198"/>
      <c r="T38" s="198"/>
      <c r="U38" s="198"/>
    </row>
    <row r="39" spans="1:21" s="12" customFormat="1" x14ac:dyDescent="0.25">
      <c r="A39" s="215" t="s">
        <v>2004</v>
      </c>
      <c r="B39" s="64">
        <v>7.33</v>
      </c>
      <c r="C39" s="64">
        <v>45.82</v>
      </c>
      <c r="D39" s="64">
        <v>38.49</v>
      </c>
      <c r="E39" s="64">
        <v>2.09</v>
      </c>
      <c r="F39" s="64">
        <v>9.2200000000000006</v>
      </c>
      <c r="G39" s="64">
        <v>28.38</v>
      </c>
      <c r="H39" s="64">
        <v>13.2</v>
      </c>
      <c r="I39" s="64">
        <v>4</v>
      </c>
      <c r="J39" s="64">
        <v>2.34</v>
      </c>
      <c r="K39" s="64">
        <v>159.61000000000001</v>
      </c>
      <c r="L39" s="64">
        <v>28.47</v>
      </c>
      <c r="M39" s="64">
        <v>63.49</v>
      </c>
      <c r="N39" s="64">
        <v>320.10000000000002</v>
      </c>
      <c r="O39" s="64">
        <v>0</v>
      </c>
      <c r="P39" s="64">
        <v>0.42</v>
      </c>
      <c r="Q39" s="64">
        <v>8.42</v>
      </c>
      <c r="R39" s="198"/>
      <c r="S39" s="198"/>
      <c r="T39" s="198"/>
      <c r="U39" s="198"/>
    </row>
    <row r="40" spans="1:21" s="12" customFormat="1" x14ac:dyDescent="0.25">
      <c r="A40" s="215" t="s">
        <v>2005</v>
      </c>
      <c r="B40" s="64">
        <v>7.71</v>
      </c>
      <c r="C40" s="64">
        <v>45.82</v>
      </c>
      <c r="D40" s="64">
        <v>38.11</v>
      </c>
      <c r="E40" s="64">
        <v>2.95</v>
      </c>
      <c r="F40" s="64">
        <v>8.9499999999999993</v>
      </c>
      <c r="G40" s="64">
        <v>28.38</v>
      </c>
      <c r="H40" s="64">
        <v>13.2</v>
      </c>
      <c r="I40" s="64">
        <v>3.9</v>
      </c>
      <c r="J40" s="64">
        <v>2.44</v>
      </c>
      <c r="K40" s="64">
        <v>162.43</v>
      </c>
      <c r="L40" s="64">
        <v>29.01</v>
      </c>
      <c r="M40" s="64">
        <v>62.93</v>
      </c>
      <c r="N40" s="64">
        <v>370.4</v>
      </c>
      <c r="O40" s="64">
        <v>0</v>
      </c>
      <c r="P40" s="64">
        <v>0.4</v>
      </c>
      <c r="Q40" s="64">
        <v>8.77</v>
      </c>
      <c r="R40" s="198"/>
      <c r="S40" s="198"/>
      <c r="T40" s="198"/>
      <c r="U40" s="198"/>
    </row>
    <row r="41" spans="1:21" s="12" customFormat="1" x14ac:dyDescent="0.25">
      <c r="A41" s="215" t="s">
        <v>2006</v>
      </c>
      <c r="B41" s="64">
        <v>7.35</v>
      </c>
      <c r="C41" s="64">
        <v>44.88</v>
      </c>
      <c r="D41" s="64">
        <v>37.53</v>
      </c>
      <c r="E41" s="64">
        <v>2.7</v>
      </c>
      <c r="F41" s="64">
        <v>8.5399999999999991</v>
      </c>
      <c r="G41" s="64">
        <v>28.38</v>
      </c>
      <c r="H41" s="64">
        <v>13.2</v>
      </c>
      <c r="I41" s="64">
        <v>3.9</v>
      </c>
      <c r="J41" s="64">
        <v>2.52</v>
      </c>
      <c r="K41" s="64">
        <v>162.49</v>
      </c>
      <c r="L41" s="64">
        <v>29.36</v>
      </c>
      <c r="M41" s="64">
        <v>63.22</v>
      </c>
      <c r="N41" s="64">
        <v>424.3</v>
      </c>
      <c r="O41" s="64">
        <v>0</v>
      </c>
      <c r="P41" s="64">
        <v>0.41</v>
      </c>
      <c r="Q41" s="64">
        <v>8.3699999999999992</v>
      </c>
      <c r="R41" s="198"/>
      <c r="S41" s="198"/>
      <c r="T41" s="198"/>
      <c r="U41" s="198"/>
    </row>
    <row r="42" spans="1:21" s="12" customFormat="1" x14ac:dyDescent="0.25">
      <c r="A42" s="215" t="s">
        <v>2007</v>
      </c>
      <c r="B42" s="64">
        <v>6.6</v>
      </c>
      <c r="C42" s="64">
        <v>44.27</v>
      </c>
      <c r="D42" s="64">
        <v>37.67</v>
      </c>
      <c r="E42" s="64">
        <v>2.73</v>
      </c>
      <c r="F42" s="64">
        <v>7.35</v>
      </c>
      <c r="G42" s="64">
        <v>28.79</v>
      </c>
      <c r="H42" s="64">
        <v>11.74</v>
      </c>
      <c r="I42" s="64">
        <v>4.09</v>
      </c>
      <c r="J42" s="64">
        <v>2.3199999999999998</v>
      </c>
      <c r="K42" s="64">
        <v>167.57</v>
      </c>
      <c r="L42" s="64">
        <v>29.73</v>
      </c>
      <c r="M42" s="64">
        <v>62.7</v>
      </c>
      <c r="N42" s="64">
        <v>479</v>
      </c>
      <c r="O42" s="64">
        <v>0</v>
      </c>
      <c r="P42" s="64">
        <v>0.4</v>
      </c>
      <c r="Q42" s="64">
        <v>8.48</v>
      </c>
      <c r="R42" s="198"/>
      <c r="S42" s="198"/>
      <c r="T42" s="198"/>
      <c r="U42" s="198"/>
    </row>
    <row r="43" spans="1:21" s="12" customFormat="1" x14ac:dyDescent="0.25">
      <c r="A43" s="215" t="s">
        <v>2008</v>
      </c>
      <c r="B43" s="64">
        <v>5.85</v>
      </c>
      <c r="C43" s="64">
        <v>46.71</v>
      </c>
      <c r="D43" s="64">
        <v>40.86</v>
      </c>
      <c r="E43" s="64">
        <v>2.93</v>
      </c>
      <c r="F43" s="64">
        <v>7.68</v>
      </c>
      <c r="G43" s="64">
        <v>29.23</v>
      </c>
      <c r="H43" s="64">
        <v>10.220000000000001</v>
      </c>
      <c r="I43" s="64">
        <v>3.92</v>
      </c>
      <c r="J43" s="64">
        <v>1.6</v>
      </c>
      <c r="K43" s="64">
        <v>190.39</v>
      </c>
      <c r="L43" s="64">
        <v>30.26</v>
      </c>
      <c r="M43" s="64">
        <v>61.42</v>
      </c>
      <c r="N43" s="64">
        <v>516.5</v>
      </c>
      <c r="O43" s="64">
        <v>0</v>
      </c>
      <c r="P43" s="64">
        <v>0.4</v>
      </c>
      <c r="Q43" s="64">
        <v>8.43</v>
      </c>
      <c r="R43" s="198"/>
      <c r="S43" s="198"/>
      <c r="T43" s="198"/>
      <c r="U43" s="198"/>
    </row>
    <row r="44" spans="1:21" s="12" customFormat="1" x14ac:dyDescent="0.25">
      <c r="A44" s="215" t="s">
        <v>2009</v>
      </c>
      <c r="B44" s="64">
        <v>4.49</v>
      </c>
      <c r="C44" s="64">
        <v>42.92</v>
      </c>
      <c r="D44" s="64">
        <v>38.43</v>
      </c>
      <c r="E44" s="64">
        <v>2.79</v>
      </c>
      <c r="F44" s="64">
        <v>8.74</v>
      </c>
      <c r="G44" s="64">
        <v>29.23</v>
      </c>
      <c r="H44" s="64">
        <v>10.220000000000001</v>
      </c>
      <c r="I44" s="64">
        <v>3.96</v>
      </c>
      <c r="J44" s="64">
        <v>2.31</v>
      </c>
      <c r="K44" s="64">
        <v>171.51</v>
      </c>
      <c r="L44" s="64">
        <v>30.6</v>
      </c>
      <c r="M44" s="64">
        <v>60.53</v>
      </c>
      <c r="N44" s="64">
        <v>575.70000000000005</v>
      </c>
      <c r="O44" s="64">
        <v>0</v>
      </c>
      <c r="P44" s="64">
        <v>0.4</v>
      </c>
      <c r="Q44" s="64">
        <v>8.3699999999999992</v>
      </c>
      <c r="R44" s="198"/>
      <c r="S44" s="198"/>
      <c r="T44" s="198"/>
      <c r="U44" s="198"/>
    </row>
    <row r="45" spans="1:21" s="12" customFormat="1" x14ac:dyDescent="0.25">
      <c r="A45" s="215" t="s">
        <v>2010</v>
      </c>
      <c r="B45" s="64">
        <v>2.93</v>
      </c>
      <c r="C45" s="64">
        <v>42.75</v>
      </c>
      <c r="D45" s="64">
        <v>39.83</v>
      </c>
      <c r="E45" s="64">
        <v>2.97</v>
      </c>
      <c r="F45" s="64">
        <v>7.88</v>
      </c>
      <c r="G45" s="64">
        <v>29.23</v>
      </c>
      <c r="H45" s="64">
        <v>10.220000000000001</v>
      </c>
      <c r="I45" s="64">
        <v>4.0199999999999996</v>
      </c>
      <c r="J45" s="64">
        <v>2.33</v>
      </c>
      <c r="K45" s="64">
        <v>180.26</v>
      </c>
      <c r="L45" s="64">
        <v>30.75</v>
      </c>
      <c r="M45" s="64">
        <v>59.33</v>
      </c>
      <c r="N45" s="64">
        <v>619</v>
      </c>
      <c r="O45" s="64">
        <v>0</v>
      </c>
      <c r="P45" s="64">
        <v>0.4</v>
      </c>
      <c r="Q45" s="64">
        <v>9.2899999999999991</v>
      </c>
      <c r="R45" s="198"/>
      <c r="S45" s="198"/>
      <c r="T45" s="198"/>
      <c r="U45" s="198"/>
    </row>
    <row r="46" spans="1:21" s="12" customFormat="1" x14ac:dyDescent="0.25">
      <c r="A46" s="215" t="s">
        <v>2011</v>
      </c>
      <c r="B46" s="64">
        <v>1.58</v>
      </c>
      <c r="C46" s="64">
        <v>38.31</v>
      </c>
      <c r="D46" s="64">
        <v>36.74</v>
      </c>
      <c r="E46" s="64">
        <v>2.71</v>
      </c>
      <c r="F46" s="64">
        <v>11.04</v>
      </c>
      <c r="G46" s="64">
        <v>30.26</v>
      </c>
      <c r="H46" s="64">
        <v>11.52</v>
      </c>
      <c r="I46" s="64">
        <v>4.0999999999999996</v>
      </c>
      <c r="J46" s="64">
        <v>2.16</v>
      </c>
      <c r="K46" s="64">
        <v>164.22</v>
      </c>
      <c r="L46" s="64">
        <v>31.29</v>
      </c>
      <c r="M46" s="64">
        <v>57.67</v>
      </c>
      <c r="N46" s="64">
        <v>661.8</v>
      </c>
      <c r="O46" s="64">
        <v>0</v>
      </c>
      <c r="P46" s="64">
        <v>0.39</v>
      </c>
      <c r="Q46" s="64">
        <v>8.6999999999999993</v>
      </c>
      <c r="R46" s="198"/>
      <c r="S46" s="198"/>
      <c r="T46" s="198"/>
      <c r="U46" s="198"/>
    </row>
    <row r="47" spans="1:21" s="12" customFormat="1" x14ac:dyDescent="0.25">
      <c r="A47" s="215" t="s">
        <v>2012</v>
      </c>
      <c r="B47" s="64">
        <v>1.08</v>
      </c>
      <c r="C47" s="64">
        <v>40.770000000000003</v>
      </c>
      <c r="D47" s="64">
        <v>39.69</v>
      </c>
      <c r="E47" s="64">
        <v>2.81</v>
      </c>
      <c r="F47" s="64">
        <v>8.1199999999999992</v>
      </c>
      <c r="G47" s="64">
        <v>31.33</v>
      </c>
      <c r="H47" s="64">
        <v>12.89</v>
      </c>
      <c r="I47" s="64">
        <v>3.97</v>
      </c>
      <c r="J47" s="64">
        <v>2.15</v>
      </c>
      <c r="K47" s="64">
        <v>197.54</v>
      </c>
      <c r="L47" s="64">
        <v>31.66</v>
      </c>
      <c r="M47" s="64">
        <v>56.94</v>
      </c>
      <c r="N47" s="64">
        <v>704.1</v>
      </c>
      <c r="O47" s="64">
        <v>0</v>
      </c>
      <c r="P47" s="64">
        <v>0.39</v>
      </c>
      <c r="Q47" s="64">
        <v>8.91</v>
      </c>
      <c r="R47" s="198"/>
      <c r="S47" s="198"/>
      <c r="T47" s="198"/>
      <c r="U47" s="198"/>
    </row>
    <row r="48" spans="1:21" s="12" customFormat="1" x14ac:dyDescent="0.25">
      <c r="A48" s="215" t="s">
        <v>2013</v>
      </c>
      <c r="B48" s="64">
        <v>0.57999999999999996</v>
      </c>
      <c r="C48" s="64">
        <v>34.49</v>
      </c>
      <c r="D48" s="64">
        <v>33.909999999999997</v>
      </c>
      <c r="E48" s="64">
        <v>2.46</v>
      </c>
      <c r="F48" s="64">
        <v>11.75</v>
      </c>
      <c r="G48" s="64">
        <v>31.33</v>
      </c>
      <c r="H48" s="64">
        <v>12.89</v>
      </c>
      <c r="I48" s="64">
        <v>3.88</v>
      </c>
      <c r="J48" s="64">
        <v>2.4500000000000002</v>
      </c>
      <c r="K48" s="64">
        <v>174.64</v>
      </c>
      <c r="L48" s="64">
        <v>31.54</v>
      </c>
      <c r="M48" s="64">
        <v>58.59</v>
      </c>
      <c r="N48" s="64">
        <v>732.8</v>
      </c>
      <c r="O48" s="64">
        <v>0</v>
      </c>
      <c r="P48" s="64">
        <v>0.39</v>
      </c>
      <c r="Q48" s="64">
        <v>8.52</v>
      </c>
      <c r="R48" s="198"/>
      <c r="S48" s="198"/>
      <c r="T48" s="198"/>
      <c r="U48" s="198"/>
    </row>
    <row r="49" spans="1:21" s="12" customFormat="1" x14ac:dyDescent="0.25">
      <c r="A49" s="215" t="s">
        <v>2014</v>
      </c>
      <c r="B49" s="64">
        <v>0.44</v>
      </c>
      <c r="C49" s="64">
        <v>34.33</v>
      </c>
      <c r="D49" s="64">
        <v>33.880000000000003</v>
      </c>
      <c r="E49" s="64">
        <v>2.38</v>
      </c>
      <c r="F49" s="64">
        <v>10.54</v>
      </c>
      <c r="G49" s="64">
        <v>31.33</v>
      </c>
      <c r="H49" s="64">
        <v>12.89</v>
      </c>
      <c r="I49" s="64">
        <v>3.89</v>
      </c>
      <c r="J49" s="64">
        <v>1.46</v>
      </c>
      <c r="K49" s="64">
        <v>210.98</v>
      </c>
      <c r="L49" s="64">
        <v>32.979999999999997</v>
      </c>
      <c r="M49" s="64">
        <v>53.29</v>
      </c>
      <c r="N49" s="64">
        <v>765.3</v>
      </c>
      <c r="O49" s="64">
        <v>0</v>
      </c>
      <c r="P49" s="64">
        <v>0.4</v>
      </c>
      <c r="Q49" s="64">
        <v>8.4600000000000009</v>
      </c>
      <c r="R49" s="198"/>
      <c r="S49" s="198"/>
      <c r="T49" s="198"/>
      <c r="U49" s="198"/>
    </row>
    <row r="50" spans="1:21" s="12" customFormat="1" x14ac:dyDescent="0.25">
      <c r="A50" s="215" t="s">
        <v>2015</v>
      </c>
      <c r="B50" s="64">
        <v>0.53</v>
      </c>
      <c r="C50" s="64">
        <v>40.39</v>
      </c>
      <c r="D50" s="64">
        <v>39.86</v>
      </c>
      <c r="E50" s="64">
        <v>2.58</v>
      </c>
      <c r="F50" s="64">
        <v>10.23</v>
      </c>
      <c r="G50" s="64">
        <v>32.799999999999997</v>
      </c>
      <c r="H50" s="64">
        <v>14.83</v>
      </c>
      <c r="I50" s="64">
        <v>3.98</v>
      </c>
      <c r="J50" s="64">
        <v>1.59</v>
      </c>
      <c r="K50" s="64">
        <v>247.7</v>
      </c>
      <c r="L50" s="64">
        <v>34.090000000000003</v>
      </c>
      <c r="M50" s="64">
        <v>48.65</v>
      </c>
      <c r="N50" s="64">
        <v>795.4</v>
      </c>
      <c r="O50" s="64">
        <v>0</v>
      </c>
      <c r="P50" s="64">
        <v>0.4</v>
      </c>
      <c r="Q50" s="64">
        <v>8.86</v>
      </c>
      <c r="R50" s="198"/>
      <c r="S50" s="198"/>
      <c r="T50" s="198"/>
      <c r="U50" s="198"/>
    </row>
    <row r="51" spans="1:21" s="12" customFormat="1" x14ac:dyDescent="0.25">
      <c r="A51" s="215" t="s">
        <v>2016</v>
      </c>
      <c r="B51" s="64">
        <v>0.32</v>
      </c>
      <c r="C51" s="64">
        <v>34.020000000000003</v>
      </c>
      <c r="D51" s="64">
        <v>33.69</v>
      </c>
      <c r="E51" s="64">
        <v>2.73</v>
      </c>
      <c r="F51" s="64">
        <v>10.99</v>
      </c>
      <c r="G51" s="64">
        <v>34.33</v>
      </c>
      <c r="H51" s="64">
        <v>16.86</v>
      </c>
      <c r="I51" s="64">
        <v>4.12</v>
      </c>
      <c r="J51" s="64">
        <v>1.31</v>
      </c>
      <c r="K51" s="64">
        <v>234.01</v>
      </c>
      <c r="L51" s="64">
        <v>34.840000000000003</v>
      </c>
      <c r="M51" s="64">
        <v>45.76</v>
      </c>
      <c r="N51" s="64">
        <v>823.8</v>
      </c>
      <c r="O51" s="64">
        <v>0</v>
      </c>
      <c r="P51" s="64">
        <v>0.4</v>
      </c>
      <c r="Q51" s="64">
        <v>8.91</v>
      </c>
      <c r="R51" s="198"/>
      <c r="S51" s="198"/>
      <c r="T51" s="198"/>
      <c r="U51" s="198"/>
    </row>
    <row r="52" spans="1:21" s="12" customFormat="1" x14ac:dyDescent="0.25">
      <c r="A52" s="215" t="s">
        <v>2017</v>
      </c>
      <c r="B52" s="64">
        <v>0.34</v>
      </c>
      <c r="C52" s="64">
        <v>34.380000000000003</v>
      </c>
      <c r="D52" s="64">
        <v>34.04</v>
      </c>
      <c r="E52" s="64">
        <v>2.82</v>
      </c>
      <c r="F52" s="64">
        <v>11.2</v>
      </c>
      <c r="G52" s="64">
        <v>34.33</v>
      </c>
      <c r="H52" s="64">
        <v>16.86</v>
      </c>
      <c r="I52" s="64">
        <v>3.97</v>
      </c>
      <c r="J52" s="64">
        <v>1.49</v>
      </c>
      <c r="K52" s="64">
        <v>218.4</v>
      </c>
      <c r="L52" s="64">
        <v>34.549999999999997</v>
      </c>
      <c r="M52" s="64">
        <v>44.86</v>
      </c>
      <c r="N52" s="64">
        <v>858</v>
      </c>
      <c r="O52" s="64">
        <v>0</v>
      </c>
      <c r="P52" s="64">
        <v>0.42</v>
      </c>
      <c r="Q52" s="64">
        <v>8.9499999999999993</v>
      </c>
      <c r="R52" s="198"/>
      <c r="S52" s="198"/>
      <c r="T52" s="198"/>
      <c r="U52" s="198"/>
    </row>
    <row r="53" spans="1:21" s="12" customFormat="1" x14ac:dyDescent="0.25">
      <c r="A53" s="215" t="s">
        <v>2018</v>
      </c>
      <c r="B53" s="64">
        <v>0.42</v>
      </c>
      <c r="C53" s="64">
        <v>38.479999999999997</v>
      </c>
      <c r="D53" s="64">
        <v>38.06</v>
      </c>
      <c r="E53" s="64">
        <v>2.89</v>
      </c>
      <c r="F53" s="64">
        <v>9.81</v>
      </c>
      <c r="G53" s="64">
        <v>34.33</v>
      </c>
      <c r="H53" s="64">
        <v>16.86</v>
      </c>
      <c r="I53" s="64">
        <v>4.2</v>
      </c>
      <c r="J53" s="64">
        <v>1.86</v>
      </c>
      <c r="K53" s="64">
        <v>218.07</v>
      </c>
      <c r="L53" s="64">
        <v>34.64</v>
      </c>
      <c r="M53" s="64">
        <v>43.21</v>
      </c>
      <c r="N53" s="64">
        <v>879.1</v>
      </c>
      <c r="O53" s="64">
        <v>0</v>
      </c>
      <c r="P53" s="64">
        <v>0.41</v>
      </c>
      <c r="Q53" s="64">
        <v>9.16</v>
      </c>
      <c r="R53" s="198"/>
      <c r="S53" s="198"/>
      <c r="T53" s="198"/>
      <c r="U53" s="198"/>
    </row>
    <row r="54" spans="1:21" s="12" customFormat="1" x14ac:dyDescent="0.25">
      <c r="A54" s="215" t="s">
        <v>2019</v>
      </c>
      <c r="B54" s="64">
        <v>0.56999999999999995</v>
      </c>
      <c r="C54" s="64">
        <v>34.96</v>
      </c>
      <c r="D54" s="64">
        <v>34.39</v>
      </c>
      <c r="E54" s="64">
        <v>3.13</v>
      </c>
      <c r="F54" s="64">
        <v>13.25</v>
      </c>
      <c r="G54" s="64">
        <v>35.380000000000003</v>
      </c>
      <c r="H54" s="64">
        <v>17.55</v>
      </c>
      <c r="I54" s="64">
        <v>3.96</v>
      </c>
      <c r="J54" s="64">
        <v>1.42</v>
      </c>
      <c r="K54" s="64">
        <v>261.16000000000003</v>
      </c>
      <c r="L54" s="64">
        <v>35.659999999999997</v>
      </c>
      <c r="M54" s="64">
        <v>39.69</v>
      </c>
      <c r="N54" s="64">
        <v>896.6</v>
      </c>
      <c r="O54" s="64">
        <v>0</v>
      </c>
      <c r="P54" s="64">
        <v>0.41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5" t="s">
        <v>2020</v>
      </c>
      <c r="B55" s="64">
        <v>0.4</v>
      </c>
      <c r="C55" s="64">
        <v>31.34</v>
      </c>
      <c r="D55" s="64">
        <v>30.94</v>
      </c>
      <c r="E55" s="64">
        <v>3.36</v>
      </c>
      <c r="F55" s="64">
        <v>13.56</v>
      </c>
      <c r="G55" s="64">
        <v>36.479999999999997</v>
      </c>
      <c r="H55" s="64">
        <v>18.28</v>
      </c>
      <c r="I55" s="64">
        <v>4.0599999999999996</v>
      </c>
      <c r="J55" s="64">
        <v>1.6</v>
      </c>
      <c r="K55" s="64">
        <v>240.9</v>
      </c>
      <c r="L55" s="64">
        <v>36.53</v>
      </c>
      <c r="M55" s="64">
        <v>37.81</v>
      </c>
      <c r="N55" s="64">
        <v>891.9</v>
      </c>
      <c r="O55" s="64">
        <v>0</v>
      </c>
      <c r="P55" s="64">
        <v>0.4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5" t="s">
        <v>2021</v>
      </c>
      <c r="B56" s="64">
        <v>0.41</v>
      </c>
      <c r="C56" s="64">
        <v>31.08</v>
      </c>
      <c r="D56" s="64">
        <v>30.67</v>
      </c>
      <c r="E56" s="64">
        <v>2.97</v>
      </c>
      <c r="F56" s="64">
        <v>15</v>
      </c>
      <c r="G56" s="64">
        <v>36.479999999999997</v>
      </c>
      <c r="H56" s="64">
        <v>18.28</v>
      </c>
      <c r="I56" s="64">
        <v>4.0199999999999996</v>
      </c>
      <c r="J56" s="64">
        <v>1.49</v>
      </c>
      <c r="K56" s="64">
        <v>235.61</v>
      </c>
      <c r="L56" s="64">
        <v>35.6</v>
      </c>
      <c r="M56" s="64">
        <v>39.04</v>
      </c>
      <c r="N56" s="64">
        <v>898.5</v>
      </c>
      <c r="O56" s="64">
        <v>0</v>
      </c>
      <c r="P56" s="64">
        <v>0.41</v>
      </c>
      <c r="Q56" s="64">
        <v>9.5500000000000007</v>
      </c>
      <c r="R56" s="198"/>
      <c r="S56" s="198"/>
      <c r="T56" s="198"/>
      <c r="U56" s="198"/>
    </row>
    <row r="57" spans="1:21" s="12" customFormat="1" x14ac:dyDescent="0.25">
      <c r="A57" s="215" t="s">
        <v>2022</v>
      </c>
      <c r="B57" s="64">
        <v>0.26</v>
      </c>
      <c r="C57" s="64">
        <v>31.02</v>
      </c>
      <c r="D57" s="64">
        <v>30.77</v>
      </c>
      <c r="E57" s="64">
        <v>3.27</v>
      </c>
      <c r="F57" s="64">
        <v>14.39</v>
      </c>
      <c r="G57" s="64">
        <v>36.479999999999997</v>
      </c>
      <c r="H57" s="64">
        <v>18.28</v>
      </c>
      <c r="I57" s="64">
        <v>4.07</v>
      </c>
      <c r="J57" s="64">
        <v>1.48</v>
      </c>
      <c r="K57" s="64">
        <v>243.15</v>
      </c>
      <c r="L57" s="64">
        <v>36.340000000000003</v>
      </c>
      <c r="M57" s="64">
        <v>37.75</v>
      </c>
      <c r="N57" s="64">
        <v>906.7</v>
      </c>
      <c r="O57" s="64">
        <v>0</v>
      </c>
      <c r="P57" s="64">
        <v>0.41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5" t="s">
        <v>2023</v>
      </c>
      <c r="B58" s="64">
        <v>0.27</v>
      </c>
      <c r="C58" s="64">
        <v>30.71</v>
      </c>
      <c r="D58" s="64">
        <v>30.44</v>
      </c>
      <c r="E58" s="64">
        <v>3.09</v>
      </c>
      <c r="F58" s="64">
        <v>14.49</v>
      </c>
      <c r="G58" s="64">
        <v>38.01</v>
      </c>
      <c r="H58" s="64">
        <v>17.940000000000001</v>
      </c>
      <c r="I58" s="64">
        <v>3.87</v>
      </c>
      <c r="J58" s="64">
        <v>1.44</v>
      </c>
      <c r="K58" s="64">
        <v>229.88</v>
      </c>
      <c r="L58" s="64">
        <v>36.630000000000003</v>
      </c>
      <c r="M58" s="64">
        <v>36.24</v>
      </c>
      <c r="N58" s="64">
        <v>897.7</v>
      </c>
      <c r="O58" s="64">
        <v>0</v>
      </c>
      <c r="P58" s="64">
        <v>0.4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15" t="s">
        <v>2024</v>
      </c>
      <c r="B59" s="64">
        <v>0.21</v>
      </c>
      <c r="C59" s="64">
        <v>30.2</v>
      </c>
      <c r="D59" s="64">
        <v>30</v>
      </c>
      <c r="E59" s="64">
        <v>2.94</v>
      </c>
      <c r="F59" s="64">
        <v>13.94</v>
      </c>
      <c r="G59" s="64">
        <v>39.619999999999997</v>
      </c>
      <c r="H59" s="64">
        <v>17.57</v>
      </c>
      <c r="I59" s="64">
        <v>4.18</v>
      </c>
      <c r="J59" s="64">
        <v>1.49</v>
      </c>
      <c r="K59" s="64">
        <v>252.83</v>
      </c>
      <c r="L59" s="64">
        <v>37.020000000000003</v>
      </c>
      <c r="M59" s="64">
        <v>33.75</v>
      </c>
      <c r="N59" s="64">
        <v>894.2</v>
      </c>
      <c r="O59" s="64">
        <v>0</v>
      </c>
      <c r="P59" s="64">
        <v>0.41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5" t="s">
        <v>2025</v>
      </c>
      <c r="B60" s="64">
        <v>0.1</v>
      </c>
      <c r="C60" s="64">
        <v>31.77</v>
      </c>
      <c r="D60" s="64">
        <v>31.67</v>
      </c>
      <c r="E60" s="64">
        <v>3.26</v>
      </c>
      <c r="F60" s="64">
        <v>12.21</v>
      </c>
      <c r="G60" s="64">
        <v>39.619999999999997</v>
      </c>
      <c r="H60" s="64">
        <v>17.57</v>
      </c>
      <c r="I60" s="64">
        <v>4.16</v>
      </c>
      <c r="J60" s="64">
        <v>1.57</v>
      </c>
      <c r="K60" s="64">
        <v>254.1</v>
      </c>
      <c r="L60" s="64">
        <v>37.22</v>
      </c>
      <c r="M60" s="64">
        <v>32.86</v>
      </c>
      <c r="N60" s="64">
        <v>866.5</v>
      </c>
      <c r="O60" s="64">
        <v>0</v>
      </c>
      <c r="P60" s="64">
        <v>0.41</v>
      </c>
      <c r="Q60" s="64">
        <v>9.57</v>
      </c>
      <c r="R60" s="198"/>
      <c r="S60" s="198"/>
      <c r="T60" s="198"/>
      <c r="U60" s="198"/>
    </row>
    <row r="61" spans="1:21" s="12" customFormat="1" x14ac:dyDescent="0.25">
      <c r="A61" s="215" t="s">
        <v>2026</v>
      </c>
      <c r="B61" s="64">
        <v>7.0000000000000007E-2</v>
      </c>
      <c r="C61" s="64">
        <v>35.409999999999997</v>
      </c>
      <c r="D61" s="64">
        <v>35.33</v>
      </c>
      <c r="E61" s="64">
        <v>3.38</v>
      </c>
      <c r="F61" s="64">
        <v>11.92</v>
      </c>
      <c r="G61" s="64">
        <v>39.619999999999997</v>
      </c>
      <c r="H61" s="64">
        <v>17.57</v>
      </c>
      <c r="I61" s="64">
        <v>3.94</v>
      </c>
      <c r="J61" s="64">
        <v>1.26</v>
      </c>
      <c r="K61" s="64">
        <v>236.52</v>
      </c>
      <c r="L61" s="64">
        <v>37.549999999999997</v>
      </c>
      <c r="M61" s="64">
        <v>32.409999999999997</v>
      </c>
      <c r="N61" s="64">
        <v>841.5</v>
      </c>
      <c r="O61" s="64">
        <v>0</v>
      </c>
      <c r="P61" s="64">
        <v>0.39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15" t="s">
        <v>2027</v>
      </c>
      <c r="B62" s="64">
        <v>0.1</v>
      </c>
      <c r="C62" s="64">
        <v>34.36</v>
      </c>
      <c r="D62" s="64">
        <v>34.26</v>
      </c>
      <c r="E62" s="64">
        <v>3.92</v>
      </c>
      <c r="F62" s="64">
        <v>14.24</v>
      </c>
      <c r="G62" s="64">
        <v>40.81</v>
      </c>
      <c r="H62" s="64">
        <v>18.149999999999999</v>
      </c>
      <c r="I62" s="64">
        <v>4.01</v>
      </c>
      <c r="J62" s="64">
        <v>1.52</v>
      </c>
      <c r="K62" s="64">
        <v>234.35</v>
      </c>
      <c r="L62" s="64">
        <v>37.39</v>
      </c>
      <c r="M62" s="64">
        <v>32.06</v>
      </c>
      <c r="N62" s="64">
        <v>794.6</v>
      </c>
      <c r="O62" s="64">
        <v>0</v>
      </c>
      <c r="P62" s="64">
        <v>0.41</v>
      </c>
      <c r="Q62" s="64">
        <v>9.58</v>
      </c>
      <c r="R62" s="198"/>
      <c r="S62" s="198"/>
      <c r="T62" s="198"/>
      <c r="U62" s="198"/>
    </row>
    <row r="63" spans="1:21" s="12" customFormat="1" x14ac:dyDescent="0.25">
      <c r="A63" s="215" t="s">
        <v>2028</v>
      </c>
      <c r="B63" s="64">
        <v>1.1499999999999999</v>
      </c>
      <c r="C63" s="64">
        <v>38.07</v>
      </c>
      <c r="D63" s="64">
        <v>36.92</v>
      </c>
      <c r="E63" s="64">
        <v>4.25</v>
      </c>
      <c r="F63" s="64">
        <v>21.65</v>
      </c>
      <c r="G63" s="64">
        <v>42.05</v>
      </c>
      <c r="H63" s="64">
        <v>18.75</v>
      </c>
      <c r="I63" s="64">
        <v>3.94</v>
      </c>
      <c r="J63" s="64">
        <v>1.1100000000000001</v>
      </c>
      <c r="K63" s="64">
        <v>244.46</v>
      </c>
      <c r="L63" s="64">
        <v>37.799999999999997</v>
      </c>
      <c r="M63" s="64">
        <v>30.93</v>
      </c>
      <c r="N63" s="64">
        <v>773.8</v>
      </c>
      <c r="O63" s="64">
        <v>0</v>
      </c>
      <c r="P63" s="64">
        <v>0.41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5" t="s">
        <v>2029</v>
      </c>
      <c r="B64" s="64">
        <v>0.37</v>
      </c>
      <c r="C64" s="64">
        <v>35.46</v>
      </c>
      <c r="D64" s="64">
        <v>35.090000000000003</v>
      </c>
      <c r="E64" s="64">
        <v>3.39</v>
      </c>
      <c r="F64" s="64">
        <v>13.17</v>
      </c>
      <c r="G64" s="64">
        <v>42.05</v>
      </c>
      <c r="H64" s="64">
        <v>18.75</v>
      </c>
      <c r="I64" s="64">
        <v>3.95</v>
      </c>
      <c r="J64" s="64">
        <v>1.63</v>
      </c>
      <c r="K64" s="64">
        <v>271.57</v>
      </c>
      <c r="L64" s="64">
        <v>38.380000000000003</v>
      </c>
      <c r="M64" s="64">
        <v>29.77</v>
      </c>
      <c r="N64" s="64">
        <v>561.20000000000005</v>
      </c>
      <c r="O64" s="64">
        <v>0</v>
      </c>
      <c r="P64" s="64">
        <v>0.43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5" t="s">
        <v>2030</v>
      </c>
      <c r="B65" s="64">
        <v>0.87</v>
      </c>
      <c r="C65" s="64">
        <v>39.71</v>
      </c>
      <c r="D65" s="64">
        <v>38.840000000000003</v>
      </c>
      <c r="E65" s="64">
        <v>3.46</v>
      </c>
      <c r="F65" s="64">
        <v>15.21</v>
      </c>
      <c r="G65" s="64">
        <v>42.05</v>
      </c>
      <c r="H65" s="64">
        <v>18.75</v>
      </c>
      <c r="I65" s="64">
        <v>4.08</v>
      </c>
      <c r="J65" s="64">
        <v>1.91</v>
      </c>
      <c r="K65" s="64">
        <v>288.63</v>
      </c>
      <c r="L65" s="64">
        <v>39.04</v>
      </c>
      <c r="M65" s="64">
        <v>28</v>
      </c>
      <c r="N65" s="64">
        <v>491.8</v>
      </c>
      <c r="O65" s="64">
        <v>0</v>
      </c>
      <c r="P65" s="64">
        <v>0.45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5" t="s">
        <v>2031</v>
      </c>
      <c r="B66" s="64">
        <v>1.07</v>
      </c>
      <c r="C66" s="64">
        <v>40.049999999999997</v>
      </c>
      <c r="D66" s="64">
        <v>38.97</v>
      </c>
      <c r="E66" s="64">
        <v>3.65</v>
      </c>
      <c r="F66" s="64">
        <v>16.87</v>
      </c>
      <c r="G66" s="64">
        <v>42.42</v>
      </c>
      <c r="H66" s="64">
        <v>17.62</v>
      </c>
      <c r="I66" s="64">
        <v>3.97</v>
      </c>
      <c r="J66" s="64">
        <v>1.92</v>
      </c>
      <c r="K66" s="64">
        <v>289.8</v>
      </c>
      <c r="L66" s="64">
        <v>39.31</v>
      </c>
      <c r="M66" s="64">
        <v>27.71</v>
      </c>
      <c r="N66" s="64">
        <v>539.70000000000005</v>
      </c>
      <c r="O66" s="64">
        <v>0</v>
      </c>
      <c r="P66" s="64">
        <v>0.45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5" t="s">
        <v>2032</v>
      </c>
      <c r="B67" s="64">
        <v>0.54</v>
      </c>
      <c r="C67" s="64">
        <v>38.79</v>
      </c>
      <c r="D67" s="64">
        <v>38.25</v>
      </c>
      <c r="E67" s="64">
        <v>3.7</v>
      </c>
      <c r="F67" s="64">
        <v>16.149999999999999</v>
      </c>
      <c r="G67" s="64">
        <v>42.81</v>
      </c>
      <c r="H67" s="64">
        <v>16.45</v>
      </c>
      <c r="I67" s="64">
        <v>3.97</v>
      </c>
      <c r="J67" s="64">
        <v>1.94</v>
      </c>
      <c r="K67" s="64">
        <v>280.5</v>
      </c>
      <c r="L67" s="64">
        <v>38.46</v>
      </c>
      <c r="M67" s="64">
        <v>28.39</v>
      </c>
      <c r="N67" s="64">
        <v>474.8</v>
      </c>
      <c r="O67" s="64">
        <v>0</v>
      </c>
      <c r="P67" s="64">
        <v>0.44</v>
      </c>
      <c r="Q67" s="64">
        <v>9.57</v>
      </c>
      <c r="R67" s="198"/>
      <c r="S67" s="198"/>
      <c r="T67" s="198"/>
      <c r="U67" s="198"/>
    </row>
    <row r="68" spans="1:21" s="12" customFormat="1" x14ac:dyDescent="0.25">
      <c r="A68" s="215" t="s">
        <v>2033</v>
      </c>
      <c r="B68" s="64">
        <v>1.22</v>
      </c>
      <c r="C68" s="64">
        <v>39.549999999999997</v>
      </c>
      <c r="D68" s="64">
        <v>38.340000000000003</v>
      </c>
      <c r="E68" s="64">
        <v>4.71</v>
      </c>
      <c r="F68" s="64">
        <v>24.97</v>
      </c>
      <c r="G68" s="64">
        <v>42.81</v>
      </c>
      <c r="H68" s="64">
        <v>16.45</v>
      </c>
      <c r="I68" s="64">
        <v>3.94</v>
      </c>
      <c r="J68" s="64">
        <v>1.3</v>
      </c>
      <c r="K68" s="64">
        <v>284.92</v>
      </c>
      <c r="L68" s="64">
        <v>38.53</v>
      </c>
      <c r="M68" s="64">
        <v>27.32</v>
      </c>
      <c r="N68" s="64">
        <v>307.8</v>
      </c>
      <c r="O68" s="64">
        <v>0</v>
      </c>
      <c r="P68" s="64">
        <v>0.47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5" t="s">
        <v>2034</v>
      </c>
      <c r="B69" s="64">
        <v>0.81</v>
      </c>
      <c r="C69" s="64">
        <v>41.16</v>
      </c>
      <c r="D69" s="64">
        <v>40.35</v>
      </c>
      <c r="E69" s="64">
        <v>5.08</v>
      </c>
      <c r="F69" s="64">
        <v>20.71</v>
      </c>
      <c r="G69" s="64">
        <v>42.81</v>
      </c>
      <c r="H69" s="64">
        <v>16.45</v>
      </c>
      <c r="I69" s="64">
        <v>3.98</v>
      </c>
      <c r="J69" s="64">
        <v>1.3</v>
      </c>
      <c r="K69" s="64">
        <v>262.7</v>
      </c>
      <c r="L69" s="64">
        <v>38.31</v>
      </c>
      <c r="M69" s="64">
        <v>26.23</v>
      </c>
      <c r="N69" s="64">
        <v>362</v>
      </c>
      <c r="O69" s="64">
        <v>0</v>
      </c>
      <c r="P69" s="64">
        <v>0.47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2035</v>
      </c>
      <c r="B70" s="64">
        <v>0.87</v>
      </c>
      <c r="C70" s="64">
        <v>39.11</v>
      </c>
      <c r="D70" s="64">
        <v>38.24</v>
      </c>
      <c r="E70" s="64">
        <v>6.03</v>
      </c>
      <c r="F70" s="64">
        <v>30.58</v>
      </c>
      <c r="G70" s="64">
        <v>41.69</v>
      </c>
      <c r="H70" s="64">
        <v>16.62</v>
      </c>
      <c r="I70" s="64">
        <v>4.1100000000000003</v>
      </c>
      <c r="J70" s="64">
        <v>1.29</v>
      </c>
      <c r="K70" s="64">
        <v>241.33</v>
      </c>
      <c r="L70" s="64">
        <v>37.479999999999997</v>
      </c>
      <c r="M70" s="64">
        <v>26.13</v>
      </c>
      <c r="N70" s="64">
        <v>328.4</v>
      </c>
      <c r="O70" s="64">
        <v>0</v>
      </c>
      <c r="P70" s="64">
        <v>0.48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5" t="s">
        <v>2036</v>
      </c>
      <c r="B71" s="64">
        <v>1.39</v>
      </c>
      <c r="C71" s="64">
        <v>41.39</v>
      </c>
      <c r="D71" s="64">
        <v>40</v>
      </c>
      <c r="E71" s="64">
        <v>7.75</v>
      </c>
      <c r="F71" s="64">
        <v>26.47</v>
      </c>
      <c r="G71" s="64">
        <v>40.51</v>
      </c>
      <c r="H71" s="64">
        <v>16.809999999999999</v>
      </c>
      <c r="I71" s="64">
        <v>3.95</v>
      </c>
      <c r="J71" s="64">
        <v>1.48</v>
      </c>
      <c r="K71" s="64">
        <v>289.82</v>
      </c>
      <c r="L71" s="64">
        <v>38.01</v>
      </c>
      <c r="M71" s="64">
        <v>26.74</v>
      </c>
      <c r="N71" s="64">
        <v>195.3</v>
      </c>
      <c r="O71" s="64">
        <v>0</v>
      </c>
      <c r="P71" s="64">
        <v>0.47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5" t="s">
        <v>2037</v>
      </c>
      <c r="B72" s="64">
        <v>1.4</v>
      </c>
      <c r="C72" s="64">
        <v>40.090000000000003</v>
      </c>
      <c r="D72" s="64">
        <v>38.69</v>
      </c>
      <c r="E72" s="64">
        <v>4.41</v>
      </c>
      <c r="F72" s="64">
        <v>26.66</v>
      </c>
      <c r="G72" s="64">
        <v>40.51</v>
      </c>
      <c r="H72" s="64">
        <v>16.809999999999999</v>
      </c>
      <c r="I72" s="64">
        <v>4.01</v>
      </c>
      <c r="J72" s="64">
        <v>1.06</v>
      </c>
      <c r="K72" s="64">
        <v>256.97000000000003</v>
      </c>
      <c r="L72" s="64">
        <v>37.409999999999997</v>
      </c>
      <c r="M72" s="64">
        <v>27.04</v>
      </c>
      <c r="N72" s="64">
        <v>181</v>
      </c>
      <c r="O72" s="64">
        <v>0</v>
      </c>
      <c r="P72" s="64">
        <v>0.44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5" t="s">
        <v>2038</v>
      </c>
      <c r="B73" s="64">
        <v>0.67</v>
      </c>
      <c r="C73" s="64">
        <v>41.28</v>
      </c>
      <c r="D73" s="64">
        <v>40.61</v>
      </c>
      <c r="E73" s="64">
        <v>6.02</v>
      </c>
      <c r="F73" s="64">
        <v>25.53</v>
      </c>
      <c r="G73" s="64">
        <v>40.51</v>
      </c>
      <c r="H73" s="64">
        <v>16.809999999999999</v>
      </c>
      <c r="I73" s="64">
        <v>4.12</v>
      </c>
      <c r="J73" s="64">
        <v>0.99</v>
      </c>
      <c r="K73" s="64">
        <v>234.76</v>
      </c>
      <c r="L73" s="64">
        <v>37.51</v>
      </c>
      <c r="M73" s="64">
        <v>27.03</v>
      </c>
      <c r="N73" s="64">
        <v>174.3</v>
      </c>
      <c r="O73" s="64">
        <v>0</v>
      </c>
      <c r="P73" s="64">
        <v>0.45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5" t="s">
        <v>2039</v>
      </c>
      <c r="B74" s="64">
        <v>0.06</v>
      </c>
      <c r="C74" s="64">
        <v>35.43</v>
      </c>
      <c r="D74" s="64">
        <v>35.369999999999997</v>
      </c>
      <c r="E74" s="64">
        <v>5.17</v>
      </c>
      <c r="F74" s="64">
        <v>27.17</v>
      </c>
      <c r="G74" s="64">
        <v>44.13</v>
      </c>
      <c r="H74" s="64">
        <v>17.04</v>
      </c>
      <c r="I74" s="64">
        <v>4.07</v>
      </c>
      <c r="J74" s="64">
        <v>1.63</v>
      </c>
      <c r="K74" s="64">
        <v>208.46</v>
      </c>
      <c r="L74" s="64">
        <v>37.06</v>
      </c>
      <c r="M74" s="64">
        <v>26.99</v>
      </c>
      <c r="N74" s="64">
        <v>149.1</v>
      </c>
      <c r="O74" s="64">
        <v>0</v>
      </c>
      <c r="P74" s="64">
        <v>0.4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5" t="s">
        <v>2040</v>
      </c>
      <c r="B75" s="64">
        <v>0.18</v>
      </c>
      <c r="C75" s="64">
        <v>41.25</v>
      </c>
      <c r="D75" s="64">
        <v>41.07</v>
      </c>
      <c r="E75" s="64">
        <v>5.39</v>
      </c>
      <c r="F75" s="64">
        <v>27.29</v>
      </c>
      <c r="G75" s="64">
        <v>47.92</v>
      </c>
      <c r="H75" s="64">
        <v>17.28</v>
      </c>
      <c r="I75" s="64">
        <v>4.01</v>
      </c>
      <c r="J75" s="64">
        <v>1.87</v>
      </c>
      <c r="K75" s="64">
        <v>182.66</v>
      </c>
      <c r="L75" s="64">
        <v>36.770000000000003</v>
      </c>
      <c r="M75" s="64">
        <v>27.16</v>
      </c>
      <c r="N75" s="64">
        <v>134.9</v>
      </c>
      <c r="O75" s="64">
        <v>0</v>
      </c>
      <c r="P75" s="64">
        <v>0.39</v>
      </c>
      <c r="Q75" s="64">
        <v>9.65</v>
      </c>
      <c r="R75" s="198"/>
      <c r="S75" s="198"/>
      <c r="T75" s="198"/>
      <c r="U75" s="198"/>
    </row>
    <row r="76" spans="1:21" s="12" customFormat="1" x14ac:dyDescent="0.25">
      <c r="A76" s="215" t="s">
        <v>2041</v>
      </c>
      <c r="B76" s="64">
        <v>0.23</v>
      </c>
      <c r="C76" s="64">
        <v>41.87</v>
      </c>
      <c r="D76" s="64">
        <v>41.64</v>
      </c>
      <c r="E76" s="64">
        <v>5.75</v>
      </c>
      <c r="F76" s="64">
        <v>26.83</v>
      </c>
      <c r="G76" s="64">
        <v>47.92</v>
      </c>
      <c r="H76" s="64">
        <v>17.28</v>
      </c>
      <c r="I76" s="64">
        <v>4.12</v>
      </c>
      <c r="J76" s="64">
        <v>1.94</v>
      </c>
      <c r="K76" s="64">
        <v>172.66</v>
      </c>
      <c r="L76" s="64">
        <v>36.39</v>
      </c>
      <c r="M76" s="64">
        <v>27.86</v>
      </c>
      <c r="N76" s="64">
        <v>121.6</v>
      </c>
      <c r="O76" s="64">
        <v>0</v>
      </c>
      <c r="P76" s="64">
        <v>0.37</v>
      </c>
      <c r="Q76" s="64">
        <v>9.67</v>
      </c>
      <c r="R76" s="198"/>
      <c r="S76" s="198"/>
      <c r="T76" s="198"/>
      <c r="U76" s="198"/>
    </row>
    <row r="77" spans="1:21" s="12" customFormat="1" x14ac:dyDescent="0.25">
      <c r="A77" s="215" t="s">
        <v>2042</v>
      </c>
      <c r="B77" s="64">
        <v>0.23</v>
      </c>
      <c r="C77" s="64">
        <v>37.770000000000003</v>
      </c>
      <c r="D77" s="64">
        <v>37.54</v>
      </c>
      <c r="E77" s="64">
        <v>6.49</v>
      </c>
      <c r="F77" s="64">
        <v>32.22</v>
      </c>
      <c r="G77" s="64">
        <v>47.92</v>
      </c>
      <c r="H77" s="64">
        <v>17.28</v>
      </c>
      <c r="I77" s="64">
        <v>3.87</v>
      </c>
      <c r="J77" s="64">
        <v>1.57</v>
      </c>
      <c r="K77" s="64">
        <v>194.22</v>
      </c>
      <c r="L77" s="64">
        <v>36.26</v>
      </c>
      <c r="M77" s="64">
        <v>28.53</v>
      </c>
      <c r="N77" s="64">
        <v>108.9</v>
      </c>
      <c r="O77" s="64">
        <v>0</v>
      </c>
      <c r="P77" s="64">
        <v>0.39</v>
      </c>
      <c r="Q77" s="64">
        <v>9.67</v>
      </c>
      <c r="R77" s="198"/>
      <c r="S77" s="198"/>
      <c r="T77" s="198"/>
      <c r="U77" s="198"/>
    </row>
    <row r="78" spans="1:21" s="12" customFormat="1" x14ac:dyDescent="0.25">
      <c r="A78" s="215" t="s">
        <v>2043</v>
      </c>
      <c r="B78" s="64">
        <v>0.13</v>
      </c>
      <c r="C78" s="64">
        <v>37.86</v>
      </c>
      <c r="D78" s="64">
        <v>37.74</v>
      </c>
      <c r="E78" s="64">
        <v>7.13</v>
      </c>
      <c r="F78" s="64">
        <v>30.21</v>
      </c>
      <c r="G78" s="64">
        <v>47.45</v>
      </c>
      <c r="H78" s="64">
        <v>16.5</v>
      </c>
      <c r="I78" s="64">
        <v>4.0199999999999996</v>
      </c>
      <c r="J78" s="64">
        <v>1.55</v>
      </c>
      <c r="K78" s="64">
        <v>187.39</v>
      </c>
      <c r="L78" s="64">
        <v>36.159999999999997</v>
      </c>
      <c r="M78" s="64">
        <v>28.98</v>
      </c>
      <c r="N78" s="64">
        <v>97.8</v>
      </c>
      <c r="O78" s="64">
        <v>0</v>
      </c>
      <c r="P78" s="64">
        <v>0.38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5" t="s">
        <v>2044</v>
      </c>
      <c r="B79" s="64">
        <v>0.86</v>
      </c>
      <c r="C79" s="64">
        <v>55.68</v>
      </c>
      <c r="D79" s="64">
        <v>54.82</v>
      </c>
      <c r="E79" s="64">
        <v>6.82</v>
      </c>
      <c r="F79" s="64">
        <v>28.7</v>
      </c>
      <c r="G79" s="64">
        <v>46.95</v>
      </c>
      <c r="H79" s="64">
        <v>15.68</v>
      </c>
      <c r="I79" s="64">
        <v>4.09</v>
      </c>
      <c r="J79" s="64">
        <v>1.99</v>
      </c>
      <c r="K79" s="64">
        <v>154.53</v>
      </c>
      <c r="L79" s="64">
        <v>35.54</v>
      </c>
      <c r="M79" s="64">
        <v>30.51</v>
      </c>
      <c r="N79" s="64">
        <v>82</v>
      </c>
      <c r="O79" s="64">
        <v>0</v>
      </c>
      <c r="P79" s="64">
        <v>0.42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5" t="s">
        <v>2045</v>
      </c>
      <c r="B80" s="64">
        <v>4.8499999999999996</v>
      </c>
      <c r="C80" s="64">
        <v>70.53</v>
      </c>
      <c r="D80" s="64">
        <v>65.680000000000007</v>
      </c>
      <c r="E80" s="64">
        <v>6.87</v>
      </c>
      <c r="F80" s="64">
        <v>27.08</v>
      </c>
      <c r="G80" s="64">
        <v>46.95</v>
      </c>
      <c r="H80" s="64">
        <v>15.68</v>
      </c>
      <c r="I80" s="64">
        <v>3.99</v>
      </c>
      <c r="J80" s="64">
        <v>0.46</v>
      </c>
      <c r="K80" s="64">
        <v>204.6</v>
      </c>
      <c r="L80" s="64">
        <v>35.21</v>
      </c>
      <c r="M80" s="64">
        <v>30.88</v>
      </c>
      <c r="N80" s="64">
        <v>68.3</v>
      </c>
      <c r="O80" s="64">
        <v>0</v>
      </c>
      <c r="P80" s="64">
        <v>0.63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5" t="s">
        <v>2046</v>
      </c>
      <c r="B81" s="64">
        <v>4.45</v>
      </c>
      <c r="C81" s="64">
        <v>45.45</v>
      </c>
      <c r="D81" s="64">
        <v>41</v>
      </c>
      <c r="E81" s="64">
        <v>4.1399999999999997</v>
      </c>
      <c r="F81" s="64">
        <v>11.21</v>
      </c>
      <c r="G81" s="64">
        <v>46.95</v>
      </c>
      <c r="H81" s="64">
        <v>15.68</v>
      </c>
      <c r="I81" s="64">
        <v>3.98</v>
      </c>
      <c r="J81" s="64">
        <v>4.2300000000000004</v>
      </c>
      <c r="K81" s="64">
        <v>323.73</v>
      </c>
      <c r="L81" s="64">
        <v>33.58</v>
      </c>
      <c r="M81" s="64">
        <v>35.200000000000003</v>
      </c>
      <c r="N81" s="64">
        <v>63</v>
      </c>
      <c r="O81" s="64">
        <v>0</v>
      </c>
      <c r="P81" s="64">
        <v>0.52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5" t="s">
        <v>2047</v>
      </c>
      <c r="B82" s="64">
        <v>2.48</v>
      </c>
      <c r="C82" s="64">
        <v>42.89</v>
      </c>
      <c r="D82" s="64">
        <v>40.409999999999997</v>
      </c>
      <c r="E82" s="64">
        <v>3.23</v>
      </c>
      <c r="F82" s="64">
        <v>15.31</v>
      </c>
      <c r="G82" s="64">
        <v>57.75</v>
      </c>
      <c r="H82" s="64">
        <v>15.17</v>
      </c>
      <c r="I82" s="64">
        <v>3.89</v>
      </c>
      <c r="J82" s="64">
        <v>3.18</v>
      </c>
      <c r="K82" s="64">
        <v>333.08</v>
      </c>
      <c r="L82" s="64">
        <v>32.08</v>
      </c>
      <c r="M82" s="64">
        <v>38.08</v>
      </c>
      <c r="N82" s="64">
        <v>54.5</v>
      </c>
      <c r="O82" s="64">
        <v>0</v>
      </c>
      <c r="P82" s="64">
        <v>0.53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5" t="s">
        <v>2048</v>
      </c>
      <c r="B83" s="64">
        <v>4.05</v>
      </c>
      <c r="C83" s="64">
        <v>51.86</v>
      </c>
      <c r="D83" s="64">
        <v>47.81</v>
      </c>
      <c r="E83" s="64">
        <v>4.3899999999999997</v>
      </c>
      <c r="F83" s="64">
        <v>17.149999999999999</v>
      </c>
      <c r="G83" s="64">
        <v>69.040000000000006</v>
      </c>
      <c r="H83" s="64">
        <v>14.63</v>
      </c>
      <c r="I83" s="64">
        <v>3.95</v>
      </c>
      <c r="J83" s="64">
        <v>2.67</v>
      </c>
      <c r="K83" s="64">
        <v>342.63</v>
      </c>
      <c r="L83" s="64">
        <v>31.52</v>
      </c>
      <c r="M83" s="64">
        <v>39.26</v>
      </c>
      <c r="N83" s="64">
        <v>52</v>
      </c>
      <c r="O83" s="64">
        <v>0</v>
      </c>
      <c r="P83" s="64">
        <v>0.6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2049</v>
      </c>
      <c r="B84" s="64">
        <v>4.97</v>
      </c>
      <c r="C84" s="64">
        <v>58.27</v>
      </c>
      <c r="D84" s="64">
        <v>53.3</v>
      </c>
      <c r="E84" s="64">
        <v>12.24</v>
      </c>
      <c r="F84" s="64">
        <v>16.399999999999999</v>
      </c>
      <c r="G84" s="64">
        <v>69.040000000000006</v>
      </c>
      <c r="H84" s="64">
        <v>14.63</v>
      </c>
      <c r="I84" s="64">
        <v>4.01</v>
      </c>
      <c r="J84" s="64">
        <v>2.46</v>
      </c>
      <c r="K84" s="64">
        <v>331.93</v>
      </c>
      <c r="L84" s="64">
        <v>31.57</v>
      </c>
      <c r="M84" s="64">
        <v>39.049999999999997</v>
      </c>
      <c r="N84" s="64">
        <v>51.2</v>
      </c>
      <c r="O84" s="64">
        <v>0</v>
      </c>
      <c r="P84" s="64">
        <v>0.75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2050</v>
      </c>
      <c r="B85" s="64">
        <v>5.56</v>
      </c>
      <c r="C85" s="64">
        <v>67.91</v>
      </c>
      <c r="D85" s="64">
        <v>62.35</v>
      </c>
      <c r="E85" s="64">
        <v>18.239999999999998</v>
      </c>
      <c r="F85" s="64">
        <v>17.190000000000001</v>
      </c>
      <c r="G85" s="64">
        <v>69.040000000000006</v>
      </c>
      <c r="H85" s="64">
        <v>14.63</v>
      </c>
      <c r="I85" s="64">
        <v>4.25</v>
      </c>
      <c r="J85" s="64">
        <v>2.41</v>
      </c>
      <c r="K85" s="64">
        <v>343.06</v>
      </c>
      <c r="L85" s="64">
        <v>31.65</v>
      </c>
      <c r="M85" s="64">
        <v>37.5</v>
      </c>
      <c r="N85" s="64">
        <v>51</v>
      </c>
      <c r="O85" s="64">
        <v>0</v>
      </c>
      <c r="P85" s="64">
        <v>0.81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2051</v>
      </c>
      <c r="B86" s="64">
        <v>9.94</v>
      </c>
      <c r="C86" s="64">
        <v>71.22</v>
      </c>
      <c r="D86" s="64">
        <v>61.28</v>
      </c>
      <c r="E86" s="64">
        <v>26.4</v>
      </c>
      <c r="F86" s="64">
        <v>20.62</v>
      </c>
      <c r="G86" s="64">
        <v>76.11</v>
      </c>
      <c r="H86" s="64">
        <v>16.09</v>
      </c>
      <c r="I86" s="64">
        <v>3.98</v>
      </c>
      <c r="J86" s="64">
        <v>2.17</v>
      </c>
      <c r="K86" s="64">
        <v>347.43</v>
      </c>
      <c r="L86" s="64">
        <v>31.89</v>
      </c>
      <c r="M86" s="64">
        <v>34.4</v>
      </c>
      <c r="N86" s="64">
        <v>51.3</v>
      </c>
      <c r="O86" s="64">
        <v>0</v>
      </c>
      <c r="P86" s="64">
        <v>0.93</v>
      </c>
      <c r="Q86" s="64">
        <v>9.58</v>
      </c>
      <c r="R86" s="198"/>
      <c r="S86" s="198"/>
      <c r="T86" s="198"/>
      <c r="U86" s="198"/>
    </row>
    <row r="87" spans="1:26" s="12" customFormat="1" x14ac:dyDescent="0.25">
      <c r="A87" s="215" t="s">
        <v>2052</v>
      </c>
      <c r="B87" s="64">
        <v>15.67</v>
      </c>
      <c r="C87" s="64">
        <v>100.12</v>
      </c>
      <c r="D87" s="64">
        <v>84.45</v>
      </c>
      <c r="E87" s="64">
        <v>19.75</v>
      </c>
      <c r="F87" s="64">
        <v>17.95</v>
      </c>
      <c r="G87" s="64">
        <v>83.5</v>
      </c>
      <c r="H87" s="64">
        <v>17.62</v>
      </c>
      <c r="I87" s="64">
        <v>4.04</v>
      </c>
      <c r="J87" s="64">
        <v>1.1100000000000001</v>
      </c>
      <c r="K87" s="64">
        <v>319.36</v>
      </c>
      <c r="L87" s="64">
        <v>31.75</v>
      </c>
      <c r="M87" s="64">
        <v>33.840000000000003</v>
      </c>
      <c r="N87" s="64">
        <v>51.8</v>
      </c>
      <c r="O87" s="64">
        <v>0</v>
      </c>
      <c r="P87" s="64">
        <v>1.42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5" t="s">
        <v>2053</v>
      </c>
      <c r="B88" s="64">
        <v>1.33</v>
      </c>
      <c r="C88" s="64">
        <v>65.23</v>
      </c>
      <c r="D88" s="64">
        <v>63.9</v>
      </c>
      <c r="E88" s="64">
        <v>19.260000000000002</v>
      </c>
      <c r="F88" s="64">
        <v>22.98</v>
      </c>
      <c r="G88" s="64">
        <v>83.5</v>
      </c>
      <c r="H88" s="64">
        <v>17.62</v>
      </c>
      <c r="I88" s="64">
        <v>4.05</v>
      </c>
      <c r="J88" s="64">
        <v>2.0299999999999998</v>
      </c>
      <c r="K88" s="64">
        <v>109.36</v>
      </c>
      <c r="L88" s="64">
        <v>31.85</v>
      </c>
      <c r="M88" s="64">
        <v>32.619999999999997</v>
      </c>
      <c r="N88" s="64">
        <v>51.3</v>
      </c>
      <c r="O88" s="64">
        <v>0</v>
      </c>
      <c r="P88" s="64">
        <v>0.92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5" t="s">
        <v>2054</v>
      </c>
      <c r="B89" s="64">
        <v>1.95</v>
      </c>
      <c r="C89" s="64">
        <v>66.55</v>
      </c>
      <c r="D89" s="64">
        <v>64.599999999999994</v>
      </c>
      <c r="E89" s="64">
        <v>18.63</v>
      </c>
      <c r="F89" s="64">
        <v>17.350000000000001</v>
      </c>
      <c r="G89" s="64">
        <v>83.5</v>
      </c>
      <c r="H89" s="64">
        <v>17.62</v>
      </c>
      <c r="I89" s="64">
        <v>3.87</v>
      </c>
      <c r="J89" s="64">
        <v>1.89</v>
      </c>
      <c r="K89" s="64">
        <v>136.93</v>
      </c>
      <c r="L89" s="64">
        <v>31.73</v>
      </c>
      <c r="M89" s="64">
        <v>33.53</v>
      </c>
      <c r="N89" s="64">
        <v>51.4</v>
      </c>
      <c r="O89" s="64">
        <v>0</v>
      </c>
      <c r="P89" s="64">
        <v>0.93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2055</v>
      </c>
      <c r="B90" s="64">
        <v>2.87</v>
      </c>
      <c r="C90" s="64">
        <v>68.77</v>
      </c>
      <c r="D90" s="64">
        <v>65.900000000000006</v>
      </c>
      <c r="E90" s="64">
        <v>13.14</v>
      </c>
      <c r="F90" s="64">
        <v>11.97</v>
      </c>
      <c r="G90" s="64">
        <v>80.88</v>
      </c>
      <c r="H90" s="64">
        <v>17.46</v>
      </c>
      <c r="I90" s="64">
        <v>4.07</v>
      </c>
      <c r="J90" s="64">
        <v>1.54</v>
      </c>
      <c r="K90" s="64">
        <v>164.42</v>
      </c>
      <c r="L90" s="64">
        <v>31.76</v>
      </c>
      <c r="M90" s="64">
        <v>33.56</v>
      </c>
      <c r="N90" s="64">
        <v>51.4</v>
      </c>
      <c r="O90" s="64">
        <v>0</v>
      </c>
      <c r="P90" s="64">
        <v>1.01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2056</v>
      </c>
      <c r="B91" s="64">
        <v>5.09</v>
      </c>
      <c r="C91" s="64">
        <v>63.28</v>
      </c>
      <c r="D91" s="64">
        <v>58.19</v>
      </c>
      <c r="E91" s="64">
        <v>10.18</v>
      </c>
      <c r="F91" s="64">
        <v>11.9</v>
      </c>
      <c r="G91" s="64">
        <v>78.150000000000006</v>
      </c>
      <c r="H91" s="64">
        <v>17.29</v>
      </c>
      <c r="I91" s="64">
        <v>4.03</v>
      </c>
      <c r="J91" s="64">
        <v>2.0299999999999998</v>
      </c>
      <c r="K91" s="64">
        <v>175.92</v>
      </c>
      <c r="L91" s="64">
        <v>31.3</v>
      </c>
      <c r="M91" s="64">
        <v>37.4</v>
      </c>
      <c r="N91" s="64">
        <v>52</v>
      </c>
      <c r="O91" s="64">
        <v>0</v>
      </c>
      <c r="P91" s="64">
        <v>0.84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5" t="s">
        <v>2057</v>
      </c>
      <c r="B92" s="64">
        <v>3.4</v>
      </c>
      <c r="C92" s="64">
        <v>71.81</v>
      </c>
      <c r="D92" s="64">
        <v>68.41</v>
      </c>
      <c r="E92" s="64">
        <v>9.7899999999999991</v>
      </c>
      <c r="F92" s="64">
        <v>16.82</v>
      </c>
      <c r="G92" s="64">
        <v>78.150000000000006</v>
      </c>
      <c r="H92" s="64">
        <v>17.29</v>
      </c>
      <c r="I92" s="64">
        <v>3.9</v>
      </c>
      <c r="J92" s="64">
        <v>1.32</v>
      </c>
      <c r="K92" s="64">
        <v>200.6</v>
      </c>
      <c r="L92" s="64">
        <v>30.86</v>
      </c>
      <c r="M92" s="64">
        <v>40.06</v>
      </c>
      <c r="N92" s="64">
        <v>52.1</v>
      </c>
      <c r="O92" s="64">
        <v>0</v>
      </c>
      <c r="P92" s="64">
        <v>0.76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5" t="s">
        <v>2058</v>
      </c>
      <c r="B93" s="64">
        <v>7</v>
      </c>
      <c r="C93" s="64">
        <v>85.56</v>
      </c>
      <c r="D93" s="64">
        <v>78.56</v>
      </c>
      <c r="E93" s="64">
        <v>9.44</v>
      </c>
      <c r="F93" s="64">
        <v>14.42</v>
      </c>
      <c r="G93" s="64">
        <v>78.150000000000006</v>
      </c>
      <c r="H93" s="64">
        <v>17.29</v>
      </c>
      <c r="I93" s="64">
        <v>3.91</v>
      </c>
      <c r="J93" s="64">
        <v>1.17</v>
      </c>
      <c r="K93" s="64">
        <v>195.62</v>
      </c>
      <c r="L93" s="64">
        <v>30.45</v>
      </c>
      <c r="M93" s="64">
        <v>42.33</v>
      </c>
      <c r="N93" s="64">
        <v>52.2</v>
      </c>
      <c r="O93" s="64">
        <v>0</v>
      </c>
      <c r="P93" s="64">
        <v>0.69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2059</v>
      </c>
      <c r="B94" s="64">
        <v>2.14</v>
      </c>
      <c r="C94" s="64">
        <v>65.11</v>
      </c>
      <c r="D94" s="64">
        <v>62.98</v>
      </c>
      <c r="E94" s="64">
        <v>7.94</v>
      </c>
      <c r="F94" s="64">
        <v>17.75</v>
      </c>
      <c r="G94" s="64">
        <v>77.540000000000006</v>
      </c>
      <c r="H94" s="64">
        <v>18.27</v>
      </c>
      <c r="I94" s="64">
        <v>4.09</v>
      </c>
      <c r="J94" s="64">
        <v>1.21</v>
      </c>
      <c r="K94" s="64">
        <v>222.15</v>
      </c>
      <c r="L94" s="64">
        <v>30.12</v>
      </c>
      <c r="M94" s="64">
        <v>44.48</v>
      </c>
      <c r="N94" s="64">
        <v>52.2</v>
      </c>
      <c r="O94" s="64">
        <v>0</v>
      </c>
      <c r="P94" s="64">
        <v>0.65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15" t="s">
        <v>2060</v>
      </c>
      <c r="B95" s="64">
        <v>25.92</v>
      </c>
      <c r="C95" s="64">
        <v>106.99</v>
      </c>
      <c r="D95" s="64">
        <v>81.069999999999993</v>
      </c>
      <c r="E95" s="64">
        <v>7.13</v>
      </c>
      <c r="F95" s="64">
        <v>12.5</v>
      </c>
      <c r="G95" s="64">
        <v>76.900000000000006</v>
      </c>
      <c r="H95" s="64">
        <v>19.3</v>
      </c>
      <c r="I95" s="64">
        <v>4.03</v>
      </c>
      <c r="J95" s="64">
        <v>0.99</v>
      </c>
      <c r="K95" s="64">
        <v>253.3</v>
      </c>
      <c r="L95" s="64">
        <v>29.74</v>
      </c>
      <c r="M95" s="64">
        <v>47.02</v>
      </c>
      <c r="N95" s="64">
        <v>52.2</v>
      </c>
      <c r="O95" s="64">
        <v>0</v>
      </c>
      <c r="P95" s="64">
        <v>1.21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5" t="s">
        <v>2061</v>
      </c>
      <c r="B96" s="64">
        <v>27.61</v>
      </c>
      <c r="C96" s="64">
        <v>108.67</v>
      </c>
      <c r="D96" s="64">
        <v>81.06</v>
      </c>
      <c r="E96" s="64">
        <v>6.08</v>
      </c>
      <c r="F96" s="64">
        <v>9.33</v>
      </c>
      <c r="G96" s="64">
        <v>76.900000000000006</v>
      </c>
      <c r="H96" s="64">
        <v>19.3</v>
      </c>
      <c r="I96" s="64">
        <v>4.04</v>
      </c>
      <c r="J96" s="64">
        <v>0.69</v>
      </c>
      <c r="K96" s="64">
        <v>322.81</v>
      </c>
      <c r="L96" s="64">
        <v>29.27</v>
      </c>
      <c r="M96" s="64">
        <v>51.02</v>
      </c>
      <c r="N96" s="64">
        <v>52.2</v>
      </c>
      <c r="O96" s="64">
        <v>0</v>
      </c>
      <c r="P96" s="64">
        <v>1.66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2062</v>
      </c>
      <c r="B97" s="64">
        <v>15.14</v>
      </c>
      <c r="C97" s="64">
        <v>87.69</v>
      </c>
      <c r="D97" s="64">
        <v>72.55</v>
      </c>
      <c r="E97" s="64">
        <v>5.47</v>
      </c>
      <c r="F97" s="64">
        <v>12.67</v>
      </c>
      <c r="G97" s="64">
        <v>76.900000000000006</v>
      </c>
      <c r="H97" s="64">
        <v>19.3</v>
      </c>
      <c r="I97" s="64">
        <v>4.0199999999999996</v>
      </c>
      <c r="J97" s="64">
        <v>0.28000000000000003</v>
      </c>
      <c r="K97" s="64">
        <v>147.68</v>
      </c>
      <c r="L97" s="64">
        <v>29.52</v>
      </c>
      <c r="M97" s="64">
        <v>48.89</v>
      </c>
      <c r="N97" s="64">
        <v>51.3</v>
      </c>
      <c r="O97" s="64">
        <v>0</v>
      </c>
      <c r="P97" s="64">
        <v>0.83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5" t="s">
        <v>2063</v>
      </c>
      <c r="B98" s="64">
        <v>11.26</v>
      </c>
      <c r="C98" s="64">
        <v>79.03</v>
      </c>
      <c r="D98" s="64">
        <v>67.760000000000005</v>
      </c>
      <c r="E98" s="64">
        <v>4.88</v>
      </c>
      <c r="F98" s="64">
        <v>13.8</v>
      </c>
      <c r="G98" s="64">
        <v>76.2</v>
      </c>
      <c r="H98" s="64">
        <v>19.170000000000002</v>
      </c>
      <c r="I98" s="64">
        <v>3.9</v>
      </c>
      <c r="J98" s="64">
        <v>1.53</v>
      </c>
      <c r="K98" s="64">
        <v>199.6</v>
      </c>
      <c r="L98" s="64">
        <v>29.53</v>
      </c>
      <c r="M98" s="64">
        <v>48.93</v>
      </c>
      <c r="N98" s="64">
        <v>51.5</v>
      </c>
      <c r="O98" s="64">
        <v>0</v>
      </c>
      <c r="P98" s="64">
        <v>0.65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2064</v>
      </c>
      <c r="B99" s="64">
        <v>9.77</v>
      </c>
      <c r="C99" s="64">
        <v>82.25</v>
      </c>
      <c r="D99" s="64">
        <v>72.48</v>
      </c>
      <c r="E99" s="64">
        <v>4.6100000000000003</v>
      </c>
      <c r="F99" s="64">
        <v>12.63</v>
      </c>
      <c r="G99" s="64">
        <v>75.47</v>
      </c>
      <c r="H99" s="64">
        <v>19.03</v>
      </c>
      <c r="I99" s="64">
        <v>4.03</v>
      </c>
      <c r="J99" s="64">
        <v>1.25</v>
      </c>
      <c r="K99" s="64">
        <v>252.74</v>
      </c>
      <c r="L99" s="64">
        <v>29.45</v>
      </c>
      <c r="M99" s="64">
        <v>49.61</v>
      </c>
      <c r="N99" s="64">
        <v>52.1</v>
      </c>
      <c r="O99" s="64">
        <v>0</v>
      </c>
      <c r="P99" s="64">
        <v>0.66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2065</v>
      </c>
      <c r="B100" s="64">
        <v>41.83</v>
      </c>
      <c r="C100" s="64">
        <v>122.28</v>
      </c>
      <c r="D100" s="64">
        <v>80.45</v>
      </c>
      <c r="E100" s="64">
        <v>4.53</v>
      </c>
      <c r="F100" s="64">
        <v>9.5399999999999991</v>
      </c>
      <c r="G100" s="64">
        <v>75.47</v>
      </c>
      <c r="H100" s="64">
        <v>19.03</v>
      </c>
      <c r="I100" s="64">
        <v>4.16</v>
      </c>
      <c r="J100" s="64">
        <v>1.25</v>
      </c>
      <c r="K100" s="64">
        <v>323.69</v>
      </c>
      <c r="L100" s="64">
        <v>29.1</v>
      </c>
      <c r="M100" s="64">
        <v>52.62</v>
      </c>
      <c r="N100" s="64">
        <v>52.4</v>
      </c>
      <c r="O100" s="64">
        <v>0</v>
      </c>
      <c r="P100" s="64">
        <v>1.49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2066</v>
      </c>
      <c r="B101" s="64">
        <v>46.79</v>
      </c>
      <c r="C101" s="64">
        <v>127.33</v>
      </c>
      <c r="D101" s="64">
        <v>80.540000000000006</v>
      </c>
      <c r="E101" s="64">
        <v>4.38</v>
      </c>
      <c r="F101" s="64">
        <v>9.4</v>
      </c>
      <c r="G101" s="64">
        <v>75.47</v>
      </c>
      <c r="H101" s="64">
        <v>19.03</v>
      </c>
      <c r="I101" s="64">
        <v>4.04</v>
      </c>
      <c r="J101" s="64">
        <v>1.48</v>
      </c>
      <c r="K101" s="64">
        <v>294.13</v>
      </c>
      <c r="L101" s="64">
        <v>28.58</v>
      </c>
      <c r="M101" s="64">
        <v>53.85</v>
      </c>
      <c r="N101" s="64">
        <v>52.4</v>
      </c>
      <c r="O101" s="64">
        <v>0</v>
      </c>
      <c r="P101" s="64">
        <v>1.48</v>
      </c>
      <c r="Q101" s="64">
        <v>9.59</v>
      </c>
      <c r="R101" s="198"/>
      <c r="S101" s="198"/>
      <c r="T101" s="198"/>
      <c r="U101" s="198"/>
    </row>
    <row r="102" spans="1:33" s="12" customFormat="1" x14ac:dyDescent="0.25">
      <c r="A102" s="215" t="s">
        <v>2067</v>
      </c>
      <c r="B102" s="64">
        <v>25.65</v>
      </c>
      <c r="C102" s="64">
        <v>92.05</v>
      </c>
      <c r="D102" s="64">
        <v>66.400000000000006</v>
      </c>
      <c r="E102" s="64">
        <v>4.25</v>
      </c>
      <c r="F102" s="64">
        <v>11.02</v>
      </c>
      <c r="G102" s="64">
        <v>74.17</v>
      </c>
      <c r="H102" s="64">
        <v>19.079999999999998</v>
      </c>
      <c r="I102" s="64">
        <v>4.05</v>
      </c>
      <c r="J102" s="64">
        <v>1.37</v>
      </c>
      <c r="K102" s="64">
        <v>292.69</v>
      </c>
      <c r="L102" s="64">
        <v>28.18</v>
      </c>
      <c r="M102" s="64">
        <v>57.59</v>
      </c>
      <c r="N102" s="64">
        <v>52.4</v>
      </c>
      <c r="O102" s="64">
        <v>0</v>
      </c>
      <c r="P102" s="64">
        <v>1.02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5" t="s">
        <v>2068</v>
      </c>
      <c r="B103" s="64">
        <v>12.95</v>
      </c>
      <c r="C103" s="64">
        <v>84.01</v>
      </c>
      <c r="D103" s="64">
        <v>71.06</v>
      </c>
      <c r="E103" s="64">
        <v>4.04</v>
      </c>
      <c r="F103" s="64">
        <v>10.61</v>
      </c>
      <c r="G103" s="64">
        <v>72.819999999999993</v>
      </c>
      <c r="H103" s="64">
        <v>19.12</v>
      </c>
      <c r="I103" s="64">
        <v>3.98</v>
      </c>
      <c r="J103" s="64">
        <v>1.07</v>
      </c>
      <c r="K103" s="64">
        <v>234.42</v>
      </c>
      <c r="L103" s="64">
        <v>28.16</v>
      </c>
      <c r="M103" s="64">
        <v>55.36</v>
      </c>
      <c r="N103" s="64">
        <v>51.8</v>
      </c>
      <c r="O103" s="64">
        <v>0</v>
      </c>
      <c r="P103" s="64">
        <v>0.83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2069</v>
      </c>
      <c r="B104" s="64">
        <v>5.13</v>
      </c>
      <c r="C104" s="64">
        <v>61.29</v>
      </c>
      <c r="D104" s="64">
        <v>56.16</v>
      </c>
      <c r="E104" s="64">
        <v>4.63</v>
      </c>
      <c r="F104" s="64">
        <v>14.78</v>
      </c>
      <c r="G104" s="64">
        <v>72.819999999999993</v>
      </c>
      <c r="H104" s="64">
        <v>19.12</v>
      </c>
      <c r="I104" s="64">
        <v>4.09</v>
      </c>
      <c r="J104" s="64">
        <v>1.26</v>
      </c>
      <c r="K104" s="64">
        <v>280.64</v>
      </c>
      <c r="L104" s="64">
        <v>28.71</v>
      </c>
      <c r="M104" s="64">
        <v>53.01</v>
      </c>
      <c r="N104" s="64">
        <v>52</v>
      </c>
      <c r="O104" s="64">
        <v>0</v>
      </c>
      <c r="P104" s="64">
        <v>0.71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0.06</v>
      </c>
      <c r="C106" s="67">
        <f>MIN(C9:C104)</f>
        <v>30.2</v>
      </c>
      <c r="D106" s="67">
        <f t="shared" ref="D106:Q106" si="0">MIN(D9:D104)</f>
        <v>30</v>
      </c>
      <c r="E106" s="67">
        <f t="shared" si="0"/>
        <v>1.69</v>
      </c>
      <c r="F106" s="67">
        <f t="shared" si="0"/>
        <v>7.16</v>
      </c>
      <c r="G106" s="67">
        <f t="shared" si="0"/>
        <v>23.62</v>
      </c>
      <c r="H106" s="67">
        <f t="shared" si="0"/>
        <v>9.1199999999999992</v>
      </c>
      <c r="I106" s="67">
        <f t="shared" si="0"/>
        <v>3.82</v>
      </c>
      <c r="J106" s="67">
        <f t="shared" si="0"/>
        <v>0.26</v>
      </c>
      <c r="K106" s="67">
        <f t="shared" si="0"/>
        <v>75.86</v>
      </c>
      <c r="L106" s="67">
        <f t="shared" si="0"/>
        <v>25.03</v>
      </c>
      <c r="M106" s="67">
        <f t="shared" si="0"/>
        <v>26.13</v>
      </c>
      <c r="N106" s="67">
        <f t="shared" si="0"/>
        <v>36.9</v>
      </c>
      <c r="O106" s="67">
        <f t="shared" si="0"/>
        <v>0</v>
      </c>
      <c r="P106" s="67">
        <f t="shared" si="0"/>
        <v>0.32</v>
      </c>
      <c r="Q106" s="67">
        <f t="shared" si="0"/>
        <v>8.32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46.79</v>
      </c>
      <c r="C107" s="66">
        <f t="shared" ref="C107:Q107" si="1">MAX(C9:C104)</f>
        <v>127.33</v>
      </c>
      <c r="D107" s="66">
        <f t="shared" si="1"/>
        <v>84.45</v>
      </c>
      <c r="E107" s="66">
        <f t="shared" si="1"/>
        <v>26.4</v>
      </c>
      <c r="F107" s="66">
        <f t="shared" si="1"/>
        <v>32.22</v>
      </c>
      <c r="G107" s="66">
        <f t="shared" si="1"/>
        <v>83.5</v>
      </c>
      <c r="H107" s="66">
        <f t="shared" si="1"/>
        <v>19.3</v>
      </c>
      <c r="I107" s="66">
        <f t="shared" si="1"/>
        <v>4.25</v>
      </c>
      <c r="J107" s="66">
        <f t="shared" si="1"/>
        <v>4.2300000000000004</v>
      </c>
      <c r="K107" s="66">
        <f t="shared" si="1"/>
        <v>347.43</v>
      </c>
      <c r="L107" s="66">
        <f t="shared" si="1"/>
        <v>39.31</v>
      </c>
      <c r="M107" s="66">
        <f t="shared" si="1"/>
        <v>75.33</v>
      </c>
      <c r="N107" s="66">
        <f t="shared" si="1"/>
        <v>906.7</v>
      </c>
      <c r="O107" s="66">
        <f t="shared" si="1"/>
        <v>0</v>
      </c>
      <c r="P107" s="66">
        <f t="shared" si="1"/>
        <v>1.66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5.0689583333333319</v>
      </c>
      <c r="C108" s="67">
        <f t="shared" ref="C108:Q108" si="2">AVERAGE(C9:C104)</f>
        <v>50.043958333333329</v>
      </c>
      <c r="D108" s="67">
        <f t="shared" si="2"/>
        <v>44.975312500000001</v>
      </c>
      <c r="E108" s="67">
        <f t="shared" si="2"/>
        <v>4.7469791666666659</v>
      </c>
      <c r="F108" s="67">
        <f t="shared" si="2"/>
        <v>14.202291666666673</v>
      </c>
      <c r="G108" s="67">
        <f t="shared" si="2"/>
        <v>43.553854166666646</v>
      </c>
      <c r="H108" s="67">
        <f t="shared" si="2"/>
        <v>14.601979166666659</v>
      </c>
      <c r="I108" s="67">
        <f t="shared" si="2"/>
        <v>4.0079166666666657</v>
      </c>
      <c r="J108" s="67">
        <f t="shared" si="2"/>
        <v>1.583124999999999</v>
      </c>
      <c r="K108" s="67">
        <f t="shared" si="2"/>
        <v>210.46229166666652</v>
      </c>
      <c r="L108" s="67">
        <f t="shared" si="2"/>
        <v>31.093749999999996</v>
      </c>
      <c r="M108" s="67">
        <f t="shared" si="2"/>
        <v>49.784375000000018</v>
      </c>
      <c r="N108" s="67">
        <f t="shared" si="2"/>
        <v>266.95625000000001</v>
      </c>
      <c r="O108" s="67">
        <f t="shared" si="2"/>
        <v>0</v>
      </c>
      <c r="P108" s="67">
        <f t="shared" si="2"/>
        <v>0.5279166666666667</v>
      </c>
      <c r="Q108" s="67">
        <f t="shared" si="2"/>
        <v>9.137708333333336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7.811103093359332</v>
      </c>
      <c r="C109" s="67">
        <f t="shared" ref="C109:Q109" si="3">STDEV(C9:C104)</f>
        <v>20.548581023063459</v>
      </c>
      <c r="D109" s="67">
        <f t="shared" si="3"/>
        <v>14.287920400639138</v>
      </c>
      <c r="E109" s="67">
        <f t="shared" si="3"/>
        <v>4.3986368988565605</v>
      </c>
      <c r="F109" s="67">
        <f t="shared" si="3"/>
        <v>6.1688247586966423</v>
      </c>
      <c r="G109" s="67">
        <f t="shared" si="3"/>
        <v>19.420860535424431</v>
      </c>
      <c r="H109" s="67">
        <f t="shared" si="3"/>
        <v>3.4753370513684589</v>
      </c>
      <c r="I109" s="67">
        <f t="shared" si="3"/>
        <v>9.5673971235283331E-2</v>
      </c>
      <c r="J109" s="67">
        <f t="shared" si="3"/>
        <v>0.6310514408926059</v>
      </c>
      <c r="K109" s="67">
        <f t="shared" si="3"/>
        <v>65.211929591209341</v>
      </c>
      <c r="L109" s="67">
        <f t="shared" si="3"/>
        <v>4.5762442081505768</v>
      </c>
      <c r="M109" s="67">
        <f t="shared" si="3"/>
        <v>16.355248107500294</v>
      </c>
      <c r="N109" s="67">
        <f t="shared" si="3"/>
        <v>308.46843046267361</v>
      </c>
      <c r="O109" s="67">
        <f t="shared" si="3"/>
        <v>0</v>
      </c>
      <c r="P109" s="67">
        <f t="shared" si="3"/>
        <v>0.27560809959325133</v>
      </c>
      <c r="Q109" s="67">
        <f t="shared" si="3"/>
        <v>0.51994023779391518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2070</v>
      </c>
      <c r="B9" s="64">
        <v>6.21</v>
      </c>
      <c r="C9" s="64">
        <v>64.98</v>
      </c>
      <c r="D9" s="64">
        <v>58.76</v>
      </c>
      <c r="E9" s="64">
        <v>4.24</v>
      </c>
      <c r="F9" s="64">
        <v>13.27</v>
      </c>
      <c r="G9" s="64">
        <v>72.819999999999993</v>
      </c>
      <c r="H9" s="64">
        <v>19.12</v>
      </c>
      <c r="I9" s="64">
        <v>3.97</v>
      </c>
      <c r="J9" s="64">
        <v>0.93</v>
      </c>
      <c r="K9" s="64">
        <v>319.43</v>
      </c>
      <c r="L9" s="64">
        <v>28.4</v>
      </c>
      <c r="M9" s="64">
        <v>55.08</v>
      </c>
      <c r="N9" s="64">
        <v>52.4</v>
      </c>
      <c r="O9" s="64">
        <v>0</v>
      </c>
      <c r="P9" s="64">
        <v>0.77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5" t="s">
        <v>2071</v>
      </c>
      <c r="B10" s="64">
        <v>3.09</v>
      </c>
      <c r="C10" s="64">
        <v>60.06</v>
      </c>
      <c r="D10" s="64">
        <v>56.97</v>
      </c>
      <c r="E10" s="64">
        <v>4.59</v>
      </c>
      <c r="F10" s="64">
        <v>13.88</v>
      </c>
      <c r="G10" s="64">
        <v>72.239999999999995</v>
      </c>
      <c r="H10" s="64">
        <v>19</v>
      </c>
      <c r="I10" s="64">
        <v>3.91</v>
      </c>
      <c r="J10" s="64">
        <v>0.64</v>
      </c>
      <c r="K10" s="64">
        <v>47.55</v>
      </c>
      <c r="L10" s="64">
        <v>28.15</v>
      </c>
      <c r="M10" s="64">
        <v>56.46</v>
      </c>
      <c r="N10" s="64">
        <v>52.3</v>
      </c>
      <c r="O10" s="64">
        <v>0</v>
      </c>
      <c r="P10" s="64">
        <v>0.73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5" t="s">
        <v>2072</v>
      </c>
      <c r="B11" s="64">
        <v>22.21</v>
      </c>
      <c r="C11" s="64">
        <v>84.59</v>
      </c>
      <c r="D11" s="64">
        <v>62.38</v>
      </c>
      <c r="E11" s="64">
        <v>4.1399999999999997</v>
      </c>
      <c r="F11" s="64">
        <v>12.91</v>
      </c>
      <c r="G11" s="64">
        <v>71.64</v>
      </c>
      <c r="H11" s="64">
        <v>18.87</v>
      </c>
      <c r="I11" s="64">
        <v>4</v>
      </c>
      <c r="J11" s="64">
        <v>0.46</v>
      </c>
      <c r="K11" s="64">
        <v>70.81</v>
      </c>
      <c r="L11" s="64">
        <v>28.22</v>
      </c>
      <c r="M11" s="64">
        <v>56.51</v>
      </c>
      <c r="N11" s="64">
        <v>52.1</v>
      </c>
      <c r="O11" s="64">
        <v>0</v>
      </c>
      <c r="P11" s="64">
        <v>0.64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5" t="s">
        <v>2073</v>
      </c>
      <c r="B12" s="64">
        <v>10.59</v>
      </c>
      <c r="C12" s="64">
        <v>72.95</v>
      </c>
      <c r="D12" s="64">
        <v>62.36</v>
      </c>
      <c r="E12" s="64">
        <v>3.71</v>
      </c>
      <c r="F12" s="64">
        <v>8.8699999999999992</v>
      </c>
      <c r="G12" s="64">
        <v>71.64</v>
      </c>
      <c r="H12" s="64">
        <v>18.87</v>
      </c>
      <c r="I12" s="64">
        <v>3.91</v>
      </c>
      <c r="J12" s="64">
        <v>1.1100000000000001</v>
      </c>
      <c r="K12" s="64">
        <v>318.27999999999997</v>
      </c>
      <c r="L12" s="64">
        <v>27.69</v>
      </c>
      <c r="M12" s="64">
        <v>62.23</v>
      </c>
      <c r="N12" s="64">
        <v>52.8</v>
      </c>
      <c r="O12" s="64">
        <v>0</v>
      </c>
      <c r="P12" s="64">
        <v>0.75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5" t="s">
        <v>2074</v>
      </c>
      <c r="B13" s="64">
        <v>17.739999999999998</v>
      </c>
      <c r="C13" s="64">
        <v>83.02</v>
      </c>
      <c r="D13" s="64">
        <v>65.28</v>
      </c>
      <c r="E13" s="64">
        <v>3.49</v>
      </c>
      <c r="F13" s="64">
        <v>9.3699999999999992</v>
      </c>
      <c r="G13" s="64">
        <v>71.64</v>
      </c>
      <c r="H13" s="64">
        <v>18.87</v>
      </c>
      <c r="I13" s="64">
        <v>3.87</v>
      </c>
      <c r="J13" s="64">
        <v>0.8</v>
      </c>
      <c r="K13" s="64">
        <v>56.59</v>
      </c>
      <c r="L13" s="64">
        <v>27.59</v>
      </c>
      <c r="M13" s="64">
        <v>60.49</v>
      </c>
      <c r="N13" s="64">
        <v>52.2</v>
      </c>
      <c r="O13" s="64">
        <v>0</v>
      </c>
      <c r="P13" s="64">
        <v>0.6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5" t="s">
        <v>2075</v>
      </c>
      <c r="B14" s="64">
        <v>18.75</v>
      </c>
      <c r="C14" s="64">
        <v>83.47</v>
      </c>
      <c r="D14" s="64">
        <v>64.709999999999994</v>
      </c>
      <c r="E14" s="64">
        <v>3.56</v>
      </c>
      <c r="F14" s="64">
        <v>9.64</v>
      </c>
      <c r="G14" s="64">
        <v>69.819999999999993</v>
      </c>
      <c r="H14" s="64">
        <v>20.059999999999999</v>
      </c>
      <c r="I14" s="64">
        <v>4.0199999999999996</v>
      </c>
      <c r="J14" s="64">
        <v>1.2</v>
      </c>
      <c r="K14" s="64">
        <v>251.22</v>
      </c>
      <c r="L14" s="64">
        <v>27.53</v>
      </c>
      <c r="M14" s="64">
        <v>62.72</v>
      </c>
      <c r="N14" s="64">
        <v>52.5</v>
      </c>
      <c r="O14" s="64">
        <v>0</v>
      </c>
      <c r="P14" s="64">
        <v>0.57999999999999996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5" t="s">
        <v>2076</v>
      </c>
      <c r="B15" s="64">
        <v>7.83</v>
      </c>
      <c r="C15" s="64">
        <v>69.05</v>
      </c>
      <c r="D15" s="64">
        <v>61.22</v>
      </c>
      <c r="E15" s="64">
        <v>3.12</v>
      </c>
      <c r="F15" s="64">
        <v>10.18</v>
      </c>
      <c r="G15" s="64">
        <v>67.91</v>
      </c>
      <c r="H15" s="64">
        <v>21.31</v>
      </c>
      <c r="I15" s="64">
        <v>3.86</v>
      </c>
      <c r="J15" s="64">
        <v>1.26</v>
      </c>
      <c r="K15" s="64">
        <v>225.39</v>
      </c>
      <c r="L15" s="64">
        <v>27.58</v>
      </c>
      <c r="M15" s="64">
        <v>62.22</v>
      </c>
      <c r="N15" s="64">
        <v>52.4</v>
      </c>
      <c r="O15" s="64">
        <v>0</v>
      </c>
      <c r="P15" s="64">
        <v>0.51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5" t="s">
        <v>2077</v>
      </c>
      <c r="B16" s="64">
        <v>6.04</v>
      </c>
      <c r="C16" s="64">
        <v>69.959999999999994</v>
      </c>
      <c r="D16" s="64">
        <v>63.92</v>
      </c>
      <c r="E16" s="64">
        <v>3.33</v>
      </c>
      <c r="F16" s="64">
        <v>9.06</v>
      </c>
      <c r="G16" s="64">
        <v>67.91</v>
      </c>
      <c r="H16" s="64">
        <v>21.31</v>
      </c>
      <c r="I16" s="64">
        <v>4</v>
      </c>
      <c r="J16" s="64">
        <v>0.8</v>
      </c>
      <c r="K16" s="64">
        <v>214.02</v>
      </c>
      <c r="L16" s="64">
        <v>27.48</v>
      </c>
      <c r="M16" s="64">
        <v>62.43</v>
      </c>
      <c r="N16" s="64">
        <v>52.5</v>
      </c>
      <c r="O16" s="64">
        <v>0</v>
      </c>
      <c r="P16" s="64">
        <v>0.51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5" t="s">
        <v>2078</v>
      </c>
      <c r="B17" s="64">
        <v>10.93</v>
      </c>
      <c r="C17" s="64">
        <v>61.14</v>
      </c>
      <c r="D17" s="64">
        <v>50.21</v>
      </c>
      <c r="E17" s="64">
        <v>3.37</v>
      </c>
      <c r="F17" s="64">
        <v>10.35</v>
      </c>
      <c r="G17" s="64">
        <v>67.91</v>
      </c>
      <c r="H17" s="64">
        <v>21.31</v>
      </c>
      <c r="I17" s="64">
        <v>4.16</v>
      </c>
      <c r="J17" s="64">
        <v>1.25</v>
      </c>
      <c r="K17" s="64">
        <v>285.13</v>
      </c>
      <c r="L17" s="64">
        <v>27.42</v>
      </c>
      <c r="M17" s="64">
        <v>63.12</v>
      </c>
      <c r="N17" s="64">
        <v>52.9</v>
      </c>
      <c r="O17" s="64">
        <v>0</v>
      </c>
      <c r="P17" s="64">
        <v>0.56999999999999995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5" t="s">
        <v>2079</v>
      </c>
      <c r="B18" s="64">
        <v>10.65</v>
      </c>
      <c r="C18" s="64">
        <v>64.09</v>
      </c>
      <c r="D18" s="64">
        <v>53.44</v>
      </c>
      <c r="E18" s="64">
        <v>3.54</v>
      </c>
      <c r="F18" s="64">
        <v>8.75</v>
      </c>
      <c r="G18" s="64">
        <v>68.88</v>
      </c>
      <c r="H18" s="64">
        <v>20.66</v>
      </c>
      <c r="I18" s="64">
        <v>4</v>
      </c>
      <c r="J18" s="64">
        <v>1.35</v>
      </c>
      <c r="K18" s="64">
        <v>280.66000000000003</v>
      </c>
      <c r="L18" s="64">
        <v>27.03</v>
      </c>
      <c r="M18" s="64">
        <v>66.41</v>
      </c>
      <c r="N18" s="64">
        <v>53</v>
      </c>
      <c r="O18" s="64">
        <v>0</v>
      </c>
      <c r="P18" s="64">
        <v>0.62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5" t="s">
        <v>2080</v>
      </c>
      <c r="B19" s="64">
        <v>17.100000000000001</v>
      </c>
      <c r="C19" s="64">
        <v>65.430000000000007</v>
      </c>
      <c r="D19" s="64">
        <v>48.33</v>
      </c>
      <c r="E19" s="64">
        <v>3.07</v>
      </c>
      <c r="F19" s="64">
        <v>8.9600000000000009</v>
      </c>
      <c r="G19" s="64">
        <v>69.900000000000006</v>
      </c>
      <c r="H19" s="64">
        <v>19.98</v>
      </c>
      <c r="I19" s="64">
        <v>4.0199999999999996</v>
      </c>
      <c r="J19" s="64">
        <v>1.57</v>
      </c>
      <c r="K19" s="64">
        <v>294.32</v>
      </c>
      <c r="L19" s="64">
        <v>26.77</v>
      </c>
      <c r="M19" s="64">
        <v>68.2</v>
      </c>
      <c r="N19" s="64">
        <v>53</v>
      </c>
      <c r="O19" s="64">
        <v>0</v>
      </c>
      <c r="P19" s="64">
        <v>0.59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5" t="s">
        <v>2081</v>
      </c>
      <c r="B20" s="64">
        <v>7.54</v>
      </c>
      <c r="C20" s="64">
        <v>60.53</v>
      </c>
      <c r="D20" s="64">
        <v>52.99</v>
      </c>
      <c r="E20" s="64">
        <v>3.24</v>
      </c>
      <c r="F20" s="64">
        <v>8.66</v>
      </c>
      <c r="G20" s="64">
        <v>69.900000000000006</v>
      </c>
      <c r="H20" s="64">
        <v>19.98</v>
      </c>
      <c r="I20" s="64">
        <v>4.08</v>
      </c>
      <c r="J20" s="64">
        <v>0.95</v>
      </c>
      <c r="K20" s="64">
        <v>240.78</v>
      </c>
      <c r="L20" s="64">
        <v>26.53</v>
      </c>
      <c r="M20" s="64">
        <v>69.599999999999994</v>
      </c>
      <c r="N20" s="64">
        <v>52.9</v>
      </c>
      <c r="O20" s="64">
        <v>0</v>
      </c>
      <c r="P20" s="64">
        <v>0.52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5" t="s">
        <v>2082</v>
      </c>
      <c r="B21" s="64">
        <v>20.97</v>
      </c>
      <c r="C21" s="64">
        <v>73.44</v>
      </c>
      <c r="D21" s="64">
        <v>52.47</v>
      </c>
      <c r="E21" s="64">
        <v>2.75</v>
      </c>
      <c r="F21" s="64">
        <v>8.7200000000000006</v>
      </c>
      <c r="G21" s="64">
        <v>69.900000000000006</v>
      </c>
      <c r="H21" s="64">
        <v>19.98</v>
      </c>
      <c r="I21" s="64">
        <v>4.2</v>
      </c>
      <c r="J21" s="64">
        <v>1.17</v>
      </c>
      <c r="K21" s="64">
        <v>340.8</v>
      </c>
      <c r="L21" s="64">
        <v>26.54</v>
      </c>
      <c r="M21" s="64">
        <v>69.69</v>
      </c>
      <c r="N21" s="64">
        <v>53</v>
      </c>
      <c r="O21" s="64">
        <v>0</v>
      </c>
      <c r="P21" s="64">
        <v>0.56000000000000005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15" t="s">
        <v>2083</v>
      </c>
      <c r="B22" s="64">
        <v>27.83</v>
      </c>
      <c r="C22" s="64">
        <v>84.58</v>
      </c>
      <c r="D22" s="64">
        <v>56.75</v>
      </c>
      <c r="E22" s="64">
        <v>2.83</v>
      </c>
      <c r="F22" s="64">
        <v>9.41</v>
      </c>
      <c r="G22" s="64">
        <v>70.44</v>
      </c>
      <c r="H22" s="64">
        <v>19.93</v>
      </c>
      <c r="I22" s="64">
        <v>3.9</v>
      </c>
      <c r="J22" s="64">
        <v>0.97</v>
      </c>
      <c r="K22" s="64">
        <v>132.11000000000001</v>
      </c>
      <c r="L22" s="64">
        <v>26.41</v>
      </c>
      <c r="M22" s="64">
        <v>67.98</v>
      </c>
      <c r="N22" s="64">
        <v>52.8</v>
      </c>
      <c r="O22" s="64">
        <v>0</v>
      </c>
      <c r="P22" s="64">
        <v>0.44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5" t="s">
        <v>2084</v>
      </c>
      <c r="B23" s="64">
        <v>10.97</v>
      </c>
      <c r="C23" s="64">
        <v>64.89</v>
      </c>
      <c r="D23" s="64">
        <v>53.92</v>
      </c>
      <c r="E23" s="64">
        <v>2.72</v>
      </c>
      <c r="F23" s="64">
        <v>8.27</v>
      </c>
      <c r="G23" s="64">
        <v>71.010000000000005</v>
      </c>
      <c r="H23" s="64">
        <v>19.88</v>
      </c>
      <c r="I23" s="64">
        <v>3.91</v>
      </c>
      <c r="J23" s="64">
        <v>1.43</v>
      </c>
      <c r="K23" s="64">
        <v>281.97000000000003</v>
      </c>
      <c r="L23" s="64">
        <v>26.42</v>
      </c>
      <c r="M23" s="64">
        <v>69.459999999999994</v>
      </c>
      <c r="N23" s="64">
        <v>52.9</v>
      </c>
      <c r="O23" s="64">
        <v>0</v>
      </c>
      <c r="P23" s="64">
        <v>0.46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5" t="s">
        <v>2085</v>
      </c>
      <c r="B24" s="64">
        <v>19.350000000000001</v>
      </c>
      <c r="C24" s="64">
        <v>72.260000000000005</v>
      </c>
      <c r="D24" s="64">
        <v>52.91</v>
      </c>
      <c r="E24" s="64">
        <v>2.74</v>
      </c>
      <c r="F24" s="64">
        <v>8.2100000000000009</v>
      </c>
      <c r="G24" s="64">
        <v>71.010000000000005</v>
      </c>
      <c r="H24" s="64">
        <v>19.88</v>
      </c>
      <c r="I24" s="64">
        <v>4.1500000000000004</v>
      </c>
      <c r="J24" s="64">
        <v>1.44</v>
      </c>
      <c r="K24" s="64">
        <v>283.86</v>
      </c>
      <c r="L24" s="64">
        <v>26.32</v>
      </c>
      <c r="M24" s="64">
        <v>70.27</v>
      </c>
      <c r="N24" s="64">
        <v>53</v>
      </c>
      <c r="O24" s="64">
        <v>0</v>
      </c>
      <c r="P24" s="64">
        <v>0.52</v>
      </c>
      <c r="Q24" s="64">
        <v>9.68</v>
      </c>
      <c r="R24" s="198"/>
      <c r="S24" s="198"/>
      <c r="T24" s="198"/>
      <c r="U24" s="198"/>
    </row>
    <row r="25" spans="1:21" s="12" customFormat="1" x14ac:dyDescent="0.25">
      <c r="A25" s="215" t="s">
        <v>2086</v>
      </c>
      <c r="B25" s="64">
        <v>4.33</v>
      </c>
      <c r="C25" s="64">
        <v>48.04</v>
      </c>
      <c r="D25" s="64">
        <v>43.71</v>
      </c>
      <c r="E25" s="64">
        <v>2.92</v>
      </c>
      <c r="F25" s="64">
        <v>13.61</v>
      </c>
      <c r="G25" s="64">
        <v>71.010000000000005</v>
      </c>
      <c r="H25" s="64">
        <v>19.88</v>
      </c>
      <c r="I25" s="64">
        <v>4.08</v>
      </c>
      <c r="J25" s="64">
        <v>1.17</v>
      </c>
      <c r="K25" s="64">
        <v>242.89</v>
      </c>
      <c r="L25" s="64">
        <v>26.26</v>
      </c>
      <c r="M25" s="64">
        <v>67.95</v>
      </c>
      <c r="N25" s="64">
        <v>53</v>
      </c>
      <c r="O25" s="64">
        <v>0</v>
      </c>
      <c r="P25" s="64">
        <v>0.45</v>
      </c>
      <c r="Q25" s="64">
        <v>9.69</v>
      </c>
      <c r="R25" s="198"/>
      <c r="S25" s="198"/>
      <c r="T25" s="198"/>
      <c r="U25" s="198"/>
    </row>
    <row r="26" spans="1:21" s="12" customFormat="1" x14ac:dyDescent="0.25">
      <c r="A26" s="215" t="s">
        <v>2087</v>
      </c>
      <c r="B26" s="64">
        <v>18.809999999999999</v>
      </c>
      <c r="C26" s="64">
        <v>78.069999999999993</v>
      </c>
      <c r="D26" s="64">
        <v>59.26</v>
      </c>
      <c r="E26" s="64">
        <v>2.62</v>
      </c>
      <c r="F26" s="64">
        <v>9.3000000000000007</v>
      </c>
      <c r="G26" s="64">
        <v>71.62</v>
      </c>
      <c r="H26" s="64">
        <v>19.37</v>
      </c>
      <c r="I26" s="64">
        <v>4.01</v>
      </c>
      <c r="J26" s="64">
        <v>1.4</v>
      </c>
      <c r="K26" s="64">
        <v>284.98</v>
      </c>
      <c r="L26" s="64">
        <v>26.44</v>
      </c>
      <c r="M26" s="64">
        <v>65.069999999999993</v>
      </c>
      <c r="N26" s="64">
        <v>53</v>
      </c>
      <c r="O26" s="64">
        <v>0</v>
      </c>
      <c r="P26" s="64">
        <v>0.55000000000000004</v>
      </c>
      <c r="Q26" s="64">
        <v>9.7100000000000009</v>
      </c>
      <c r="R26" s="198"/>
      <c r="S26" s="198"/>
      <c r="T26" s="198"/>
      <c r="U26" s="198"/>
    </row>
    <row r="27" spans="1:21" s="12" customFormat="1" x14ac:dyDescent="0.25">
      <c r="A27" s="215" t="s">
        <v>2088</v>
      </c>
      <c r="B27" s="64">
        <v>16.84</v>
      </c>
      <c r="C27" s="64">
        <v>77.599999999999994</v>
      </c>
      <c r="D27" s="64">
        <v>60.77</v>
      </c>
      <c r="E27" s="64">
        <v>2.75</v>
      </c>
      <c r="F27" s="64">
        <v>9.82</v>
      </c>
      <c r="G27" s="64">
        <v>72.260000000000005</v>
      </c>
      <c r="H27" s="64">
        <v>18.829999999999998</v>
      </c>
      <c r="I27" s="64">
        <v>4.18</v>
      </c>
      <c r="J27" s="64">
        <v>0.83</v>
      </c>
      <c r="K27" s="64">
        <v>294.7</v>
      </c>
      <c r="L27" s="64">
        <v>26.45</v>
      </c>
      <c r="M27" s="64">
        <v>65.510000000000005</v>
      </c>
      <c r="N27" s="64">
        <v>53</v>
      </c>
      <c r="O27" s="64">
        <v>0</v>
      </c>
      <c r="P27" s="64">
        <v>0.57999999999999996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5" t="s">
        <v>2089</v>
      </c>
      <c r="B28" s="64">
        <v>25.69</v>
      </c>
      <c r="C28" s="64">
        <v>91.19</v>
      </c>
      <c r="D28" s="64">
        <v>65.5</v>
      </c>
      <c r="E28" s="64">
        <v>2.8</v>
      </c>
      <c r="F28" s="64">
        <v>7.22</v>
      </c>
      <c r="G28" s="64">
        <v>72.260000000000005</v>
      </c>
      <c r="H28" s="64">
        <v>18.829999999999998</v>
      </c>
      <c r="I28" s="64">
        <v>3.92</v>
      </c>
      <c r="J28" s="64">
        <v>0.83</v>
      </c>
      <c r="K28" s="64">
        <v>351.05</v>
      </c>
      <c r="L28" s="64">
        <v>26.24</v>
      </c>
      <c r="M28" s="64">
        <v>67.8</v>
      </c>
      <c r="N28" s="64">
        <v>53.1</v>
      </c>
      <c r="O28" s="64">
        <v>0</v>
      </c>
      <c r="P28" s="64">
        <v>0.72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5" t="s">
        <v>2090</v>
      </c>
      <c r="B29" s="64">
        <v>9.66</v>
      </c>
      <c r="C29" s="64">
        <v>63.3</v>
      </c>
      <c r="D29" s="64">
        <v>53.63</v>
      </c>
      <c r="E29" s="64">
        <v>2.65</v>
      </c>
      <c r="F29" s="64">
        <v>9.77</v>
      </c>
      <c r="G29" s="64">
        <v>72.260000000000005</v>
      </c>
      <c r="H29" s="64">
        <v>18.829999999999998</v>
      </c>
      <c r="I29" s="64">
        <v>3.94</v>
      </c>
      <c r="J29" s="64">
        <v>1.63</v>
      </c>
      <c r="K29" s="64">
        <v>85.79</v>
      </c>
      <c r="L29" s="64">
        <v>26.31</v>
      </c>
      <c r="M29" s="64">
        <v>67.819999999999993</v>
      </c>
      <c r="N29" s="64">
        <v>52.6</v>
      </c>
      <c r="O29" s="64">
        <v>0</v>
      </c>
      <c r="P29" s="64">
        <v>0.59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15" t="s">
        <v>2091</v>
      </c>
      <c r="B30" s="64">
        <v>14.94</v>
      </c>
      <c r="C30" s="64">
        <v>60.18</v>
      </c>
      <c r="D30" s="64">
        <v>45.24</v>
      </c>
      <c r="E30" s="64">
        <v>2.63</v>
      </c>
      <c r="F30" s="64">
        <v>11.82</v>
      </c>
      <c r="G30" s="64">
        <v>73.33</v>
      </c>
      <c r="H30" s="64">
        <v>19.100000000000001</v>
      </c>
      <c r="I30" s="64">
        <v>4.1100000000000003</v>
      </c>
      <c r="J30" s="64">
        <v>0.93</v>
      </c>
      <c r="K30" s="64">
        <v>90.21</v>
      </c>
      <c r="L30" s="64">
        <v>26.86</v>
      </c>
      <c r="M30" s="64">
        <v>68.239999999999995</v>
      </c>
      <c r="N30" s="64">
        <v>53.1</v>
      </c>
      <c r="O30" s="64">
        <v>0</v>
      </c>
      <c r="P30" s="64">
        <v>0.53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5" t="s">
        <v>2092</v>
      </c>
      <c r="B31" s="64">
        <v>41.01</v>
      </c>
      <c r="C31" s="64">
        <v>102.03</v>
      </c>
      <c r="D31" s="64">
        <v>61.02</v>
      </c>
      <c r="E31" s="64">
        <v>2.76</v>
      </c>
      <c r="F31" s="64">
        <v>7.57</v>
      </c>
      <c r="G31" s="64">
        <v>74.44</v>
      </c>
      <c r="H31" s="64">
        <v>19.39</v>
      </c>
      <c r="I31" s="64">
        <v>4.1500000000000004</v>
      </c>
      <c r="J31" s="64">
        <v>1.08</v>
      </c>
      <c r="K31" s="64">
        <v>309.55</v>
      </c>
      <c r="L31" s="64">
        <v>26.52</v>
      </c>
      <c r="M31" s="64">
        <v>71.5</v>
      </c>
      <c r="N31" s="64">
        <v>58.1</v>
      </c>
      <c r="O31" s="64">
        <v>0</v>
      </c>
      <c r="P31" s="64">
        <v>0.95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5" t="s">
        <v>2093</v>
      </c>
      <c r="B32" s="64">
        <v>30.71</v>
      </c>
      <c r="C32" s="64">
        <v>84.2</v>
      </c>
      <c r="D32" s="64">
        <v>53.49</v>
      </c>
      <c r="E32" s="64">
        <v>2.41</v>
      </c>
      <c r="F32" s="64">
        <v>9.02</v>
      </c>
      <c r="G32" s="64">
        <v>74.44</v>
      </c>
      <c r="H32" s="64">
        <v>19.39</v>
      </c>
      <c r="I32" s="64">
        <v>3.98</v>
      </c>
      <c r="J32" s="64">
        <v>0.97</v>
      </c>
      <c r="K32" s="64">
        <v>25.25</v>
      </c>
      <c r="L32" s="64">
        <v>26.34</v>
      </c>
      <c r="M32" s="64">
        <v>72.16</v>
      </c>
      <c r="N32" s="64">
        <v>70.3</v>
      </c>
      <c r="O32" s="64">
        <v>0</v>
      </c>
      <c r="P32" s="64">
        <v>0.9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5" t="s">
        <v>2094</v>
      </c>
      <c r="B33" s="64">
        <v>30.28</v>
      </c>
      <c r="C33" s="64">
        <v>86.01</v>
      </c>
      <c r="D33" s="64">
        <v>55.72</v>
      </c>
      <c r="E33" s="64">
        <v>2.97</v>
      </c>
      <c r="F33" s="64">
        <v>8.56</v>
      </c>
      <c r="G33" s="64">
        <v>74.44</v>
      </c>
      <c r="H33" s="64">
        <v>19.39</v>
      </c>
      <c r="I33" s="64">
        <v>3.97</v>
      </c>
      <c r="J33" s="64">
        <v>0.85</v>
      </c>
      <c r="K33" s="64">
        <v>32.380000000000003</v>
      </c>
      <c r="L33" s="64">
        <v>26.61</v>
      </c>
      <c r="M33" s="64">
        <v>68.319999999999993</v>
      </c>
      <c r="N33" s="64">
        <v>87.5</v>
      </c>
      <c r="O33" s="64">
        <v>0</v>
      </c>
      <c r="P33" s="64">
        <v>0.93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5" t="s">
        <v>2095</v>
      </c>
      <c r="B34" s="64">
        <v>23.62</v>
      </c>
      <c r="C34" s="64">
        <v>78.81</v>
      </c>
      <c r="D34" s="64">
        <v>55.2</v>
      </c>
      <c r="E34" s="64">
        <v>3.02</v>
      </c>
      <c r="F34" s="64">
        <v>8.73</v>
      </c>
      <c r="G34" s="64">
        <v>77.150000000000006</v>
      </c>
      <c r="H34" s="64">
        <v>20.34</v>
      </c>
      <c r="I34" s="64">
        <v>4</v>
      </c>
      <c r="J34" s="64">
        <v>0.94</v>
      </c>
      <c r="K34" s="64">
        <v>89.58</v>
      </c>
      <c r="L34" s="64">
        <v>27.41</v>
      </c>
      <c r="M34" s="64">
        <v>60.58</v>
      </c>
      <c r="N34" s="64">
        <v>115.1</v>
      </c>
      <c r="O34" s="64">
        <v>0</v>
      </c>
      <c r="P34" s="64">
        <v>1.17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5" t="s">
        <v>2096</v>
      </c>
      <c r="B35" s="64">
        <v>20.59</v>
      </c>
      <c r="C35" s="64">
        <v>78.25</v>
      </c>
      <c r="D35" s="64">
        <v>57.67</v>
      </c>
      <c r="E35" s="64">
        <v>3.36</v>
      </c>
      <c r="F35" s="64">
        <v>9.7899999999999991</v>
      </c>
      <c r="G35" s="64">
        <v>79.98</v>
      </c>
      <c r="H35" s="64">
        <v>21.34</v>
      </c>
      <c r="I35" s="64">
        <v>3.87</v>
      </c>
      <c r="J35" s="64">
        <v>0.36</v>
      </c>
      <c r="K35" s="64">
        <v>78.86</v>
      </c>
      <c r="L35" s="64">
        <v>28.3</v>
      </c>
      <c r="M35" s="64">
        <v>57.84</v>
      </c>
      <c r="N35" s="64">
        <v>147.9</v>
      </c>
      <c r="O35" s="64">
        <v>0</v>
      </c>
      <c r="P35" s="64">
        <v>1.17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5" t="s">
        <v>2097</v>
      </c>
      <c r="B36" s="64">
        <v>58.51</v>
      </c>
      <c r="C36" s="64">
        <v>129.12</v>
      </c>
      <c r="D36" s="64">
        <v>70.61</v>
      </c>
      <c r="E36" s="64">
        <v>3.82</v>
      </c>
      <c r="F36" s="64">
        <v>9.0399999999999991</v>
      </c>
      <c r="G36" s="64">
        <v>79.98</v>
      </c>
      <c r="H36" s="64">
        <v>21.34</v>
      </c>
      <c r="I36" s="64">
        <v>4.0599999999999996</v>
      </c>
      <c r="J36" s="64">
        <v>1.1399999999999999</v>
      </c>
      <c r="K36" s="64">
        <v>10.78</v>
      </c>
      <c r="L36" s="64">
        <v>29.59</v>
      </c>
      <c r="M36" s="64">
        <v>57.97</v>
      </c>
      <c r="N36" s="64">
        <v>173.4</v>
      </c>
      <c r="O36" s="64">
        <v>0</v>
      </c>
      <c r="P36" s="64">
        <v>1.6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5" t="s">
        <v>2098</v>
      </c>
      <c r="B37" s="64">
        <v>27.71</v>
      </c>
      <c r="C37" s="64">
        <v>90.96</v>
      </c>
      <c r="D37" s="64">
        <v>63.25</v>
      </c>
      <c r="E37" s="64">
        <v>4.34</v>
      </c>
      <c r="F37" s="64">
        <v>10.130000000000001</v>
      </c>
      <c r="G37" s="64">
        <v>79.98</v>
      </c>
      <c r="H37" s="64">
        <v>21.34</v>
      </c>
      <c r="I37" s="64">
        <v>4.0599999999999996</v>
      </c>
      <c r="J37" s="64">
        <v>1.3</v>
      </c>
      <c r="K37" s="64">
        <v>309.77999999999997</v>
      </c>
      <c r="L37" s="64">
        <v>30.44</v>
      </c>
      <c r="M37" s="64">
        <v>54.13</v>
      </c>
      <c r="N37" s="64">
        <v>194.6</v>
      </c>
      <c r="O37" s="64">
        <v>0</v>
      </c>
      <c r="P37" s="64">
        <v>1.1599999999999999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5" t="s">
        <v>2099</v>
      </c>
      <c r="B38" s="64">
        <v>23.19</v>
      </c>
      <c r="C38" s="64">
        <v>66.8</v>
      </c>
      <c r="D38" s="64">
        <v>43.61</v>
      </c>
      <c r="E38" s="64">
        <v>3.63</v>
      </c>
      <c r="F38" s="64">
        <v>10.01</v>
      </c>
      <c r="G38" s="64">
        <v>92.63</v>
      </c>
      <c r="H38" s="64">
        <v>25.02</v>
      </c>
      <c r="I38" s="64">
        <v>3.89</v>
      </c>
      <c r="J38" s="64">
        <v>1.41</v>
      </c>
      <c r="K38" s="64">
        <v>247.3</v>
      </c>
      <c r="L38" s="64">
        <v>30.54</v>
      </c>
      <c r="M38" s="64">
        <v>56.2</v>
      </c>
      <c r="N38" s="64">
        <v>292.89999999999998</v>
      </c>
      <c r="O38" s="64">
        <v>0</v>
      </c>
      <c r="P38" s="64">
        <v>0.92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5" t="s">
        <v>2100</v>
      </c>
      <c r="B39" s="64">
        <v>24.45</v>
      </c>
      <c r="C39" s="64">
        <v>68.61</v>
      </c>
      <c r="D39" s="64">
        <v>44.16</v>
      </c>
      <c r="E39" s="64">
        <v>3.04</v>
      </c>
      <c r="F39" s="64">
        <v>7.88</v>
      </c>
      <c r="G39" s="64">
        <v>105.86</v>
      </c>
      <c r="H39" s="64">
        <v>28.87</v>
      </c>
      <c r="I39" s="64">
        <v>3.91</v>
      </c>
      <c r="J39" s="64">
        <v>1.44</v>
      </c>
      <c r="K39" s="64">
        <v>266.68</v>
      </c>
      <c r="L39" s="64">
        <v>31.11</v>
      </c>
      <c r="M39" s="64">
        <v>55.57</v>
      </c>
      <c r="N39" s="64">
        <v>355.1</v>
      </c>
      <c r="O39" s="64">
        <v>0</v>
      </c>
      <c r="P39" s="64">
        <v>0.88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5" t="s">
        <v>2101</v>
      </c>
      <c r="B40" s="64">
        <v>19.43</v>
      </c>
      <c r="C40" s="64">
        <v>67.34</v>
      </c>
      <c r="D40" s="64">
        <v>47.91</v>
      </c>
      <c r="E40" s="64">
        <v>3.55</v>
      </c>
      <c r="F40" s="64">
        <v>8.7200000000000006</v>
      </c>
      <c r="G40" s="64">
        <v>105.86</v>
      </c>
      <c r="H40" s="64">
        <v>28.87</v>
      </c>
      <c r="I40" s="64">
        <v>4.13</v>
      </c>
      <c r="J40" s="64">
        <v>1.56</v>
      </c>
      <c r="K40" s="64">
        <v>278.61</v>
      </c>
      <c r="L40" s="64">
        <v>32.93</v>
      </c>
      <c r="M40" s="64">
        <v>50.68</v>
      </c>
      <c r="N40" s="64">
        <v>415.9</v>
      </c>
      <c r="O40" s="64">
        <v>0</v>
      </c>
      <c r="P40" s="64">
        <v>0.88</v>
      </c>
      <c r="Q40" s="64">
        <v>9.6999999999999993</v>
      </c>
      <c r="R40" s="198"/>
      <c r="S40" s="198"/>
      <c r="T40" s="198"/>
      <c r="U40" s="198"/>
    </row>
    <row r="41" spans="1:21" s="12" customFormat="1" x14ac:dyDescent="0.25">
      <c r="A41" s="215" t="s">
        <v>2102</v>
      </c>
      <c r="B41" s="64">
        <v>15.96</v>
      </c>
      <c r="C41" s="64">
        <v>65.150000000000006</v>
      </c>
      <c r="D41" s="64">
        <v>49.19</v>
      </c>
      <c r="E41" s="64">
        <v>3.77</v>
      </c>
      <c r="F41" s="64">
        <v>8.19</v>
      </c>
      <c r="G41" s="64">
        <v>105.86</v>
      </c>
      <c r="H41" s="64">
        <v>28.87</v>
      </c>
      <c r="I41" s="64">
        <v>3.93</v>
      </c>
      <c r="J41" s="64">
        <v>1.21</v>
      </c>
      <c r="K41" s="64">
        <v>222.87</v>
      </c>
      <c r="L41" s="64">
        <v>32.67</v>
      </c>
      <c r="M41" s="64">
        <v>51.79</v>
      </c>
      <c r="N41" s="64">
        <v>492</v>
      </c>
      <c r="O41" s="64">
        <v>0</v>
      </c>
      <c r="P41" s="64">
        <v>0.85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5" t="s">
        <v>2103</v>
      </c>
      <c r="B42" s="64">
        <v>11.68</v>
      </c>
      <c r="C42" s="64">
        <v>57.59</v>
      </c>
      <c r="D42" s="64">
        <v>45.91</v>
      </c>
      <c r="E42" s="64">
        <v>3.47</v>
      </c>
      <c r="F42" s="64">
        <v>13.28</v>
      </c>
      <c r="G42" s="64">
        <v>98.49</v>
      </c>
      <c r="H42" s="64">
        <v>27.08</v>
      </c>
      <c r="I42" s="64">
        <v>3.88</v>
      </c>
      <c r="J42" s="64">
        <v>1.26</v>
      </c>
      <c r="K42" s="64">
        <v>225.41</v>
      </c>
      <c r="L42" s="64">
        <v>32.82</v>
      </c>
      <c r="M42" s="64">
        <v>52.49</v>
      </c>
      <c r="N42" s="64">
        <v>537.5</v>
      </c>
      <c r="O42" s="64">
        <v>0</v>
      </c>
      <c r="P42" s="64">
        <v>0.88</v>
      </c>
      <c r="Q42" s="64">
        <v>9.73</v>
      </c>
      <c r="R42" s="198"/>
      <c r="S42" s="198"/>
      <c r="T42" s="198"/>
      <c r="U42" s="198"/>
    </row>
    <row r="43" spans="1:21" s="12" customFormat="1" x14ac:dyDescent="0.25">
      <c r="A43" s="215" t="s">
        <v>2104</v>
      </c>
      <c r="B43" s="64">
        <v>11.44</v>
      </c>
      <c r="C43" s="64">
        <v>54.57</v>
      </c>
      <c r="D43" s="64">
        <v>43.13</v>
      </c>
      <c r="E43" s="64">
        <v>3.58</v>
      </c>
      <c r="F43" s="64">
        <v>9.9</v>
      </c>
      <c r="G43" s="64">
        <v>90.8</v>
      </c>
      <c r="H43" s="64">
        <v>25.2</v>
      </c>
      <c r="I43" s="64">
        <v>4.0999999999999996</v>
      </c>
      <c r="J43" s="64">
        <v>0.89</v>
      </c>
      <c r="K43" s="64">
        <v>222.22</v>
      </c>
      <c r="L43" s="64">
        <v>32.35</v>
      </c>
      <c r="M43" s="64">
        <v>55.07</v>
      </c>
      <c r="N43" s="64">
        <v>584.1</v>
      </c>
      <c r="O43" s="64">
        <v>0</v>
      </c>
      <c r="P43" s="64">
        <v>0.85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5" t="s">
        <v>2105</v>
      </c>
      <c r="B44" s="64">
        <v>11.18</v>
      </c>
      <c r="C44" s="64">
        <v>59.37</v>
      </c>
      <c r="D44" s="64">
        <v>48.19</v>
      </c>
      <c r="E44" s="64">
        <v>3.61</v>
      </c>
      <c r="F44" s="64">
        <v>7.64</v>
      </c>
      <c r="G44" s="64">
        <v>90.8</v>
      </c>
      <c r="H44" s="64">
        <v>25.2</v>
      </c>
      <c r="I44" s="64">
        <v>4.1399999999999997</v>
      </c>
      <c r="J44" s="64">
        <v>1.52</v>
      </c>
      <c r="K44" s="64">
        <v>265.02999999999997</v>
      </c>
      <c r="L44" s="64">
        <v>34.22</v>
      </c>
      <c r="M44" s="64">
        <v>49.8</v>
      </c>
      <c r="N44" s="64">
        <v>622</v>
      </c>
      <c r="O44" s="64">
        <v>0</v>
      </c>
      <c r="P44" s="64">
        <v>0.84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2106</v>
      </c>
      <c r="B45" s="64">
        <v>7.5</v>
      </c>
      <c r="C45" s="64">
        <v>53.47</v>
      </c>
      <c r="D45" s="64">
        <v>45.97</v>
      </c>
      <c r="E45" s="64">
        <v>3.39</v>
      </c>
      <c r="F45" s="64">
        <v>8.27</v>
      </c>
      <c r="G45" s="64">
        <v>90.8</v>
      </c>
      <c r="H45" s="64">
        <v>25.2</v>
      </c>
      <c r="I45" s="64">
        <v>4.1100000000000003</v>
      </c>
      <c r="J45" s="64">
        <v>1.33</v>
      </c>
      <c r="K45" s="64">
        <v>256.20999999999998</v>
      </c>
      <c r="L45" s="64">
        <v>34.049999999999997</v>
      </c>
      <c r="M45" s="64">
        <v>49.47</v>
      </c>
      <c r="N45" s="64">
        <v>666.1</v>
      </c>
      <c r="O45" s="64">
        <v>0</v>
      </c>
      <c r="P45" s="64">
        <v>0.79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5" t="s">
        <v>2107</v>
      </c>
      <c r="B46" s="64">
        <v>3.31</v>
      </c>
      <c r="C46" s="64">
        <v>48.81</v>
      </c>
      <c r="D46" s="64">
        <v>45.49</v>
      </c>
      <c r="E46" s="64">
        <v>3.65</v>
      </c>
      <c r="F46" s="64">
        <v>13.28</v>
      </c>
      <c r="G46" s="64">
        <v>81.96</v>
      </c>
      <c r="H46" s="64">
        <v>25.21</v>
      </c>
      <c r="I46" s="64">
        <v>4.01</v>
      </c>
      <c r="J46" s="64">
        <v>1.44</v>
      </c>
      <c r="K46" s="64">
        <v>244.71</v>
      </c>
      <c r="L46" s="64">
        <v>34.79</v>
      </c>
      <c r="M46" s="64">
        <v>46.92</v>
      </c>
      <c r="N46" s="64">
        <v>710.4</v>
      </c>
      <c r="O46" s="64">
        <v>0</v>
      </c>
      <c r="P46" s="64">
        <v>0.73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5" t="s">
        <v>2108</v>
      </c>
      <c r="B47" s="64">
        <v>1.46</v>
      </c>
      <c r="C47" s="64">
        <v>47.3</v>
      </c>
      <c r="D47" s="64">
        <v>45.83</v>
      </c>
      <c r="E47" s="64">
        <v>3.29</v>
      </c>
      <c r="F47" s="64">
        <v>10.210000000000001</v>
      </c>
      <c r="G47" s="64">
        <v>72.72</v>
      </c>
      <c r="H47" s="64">
        <v>25.22</v>
      </c>
      <c r="I47" s="64">
        <v>4.03</v>
      </c>
      <c r="J47" s="64">
        <v>1.48</v>
      </c>
      <c r="K47" s="64">
        <v>252.15</v>
      </c>
      <c r="L47" s="64">
        <v>34.03</v>
      </c>
      <c r="M47" s="64">
        <v>46.94</v>
      </c>
      <c r="N47" s="64">
        <v>770.1</v>
      </c>
      <c r="O47" s="64">
        <v>0</v>
      </c>
      <c r="P47" s="64">
        <v>0.69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5" t="s">
        <v>2109</v>
      </c>
      <c r="B48" s="64">
        <v>0.66</v>
      </c>
      <c r="C48" s="64">
        <v>44.56</v>
      </c>
      <c r="D48" s="64">
        <v>43.9</v>
      </c>
      <c r="E48" s="64">
        <v>3.16</v>
      </c>
      <c r="F48" s="64">
        <v>11.02</v>
      </c>
      <c r="G48" s="64">
        <v>72.72</v>
      </c>
      <c r="H48" s="64">
        <v>25.22</v>
      </c>
      <c r="I48" s="64">
        <v>3.99</v>
      </c>
      <c r="J48" s="64">
        <v>1.34</v>
      </c>
      <c r="K48" s="64">
        <v>269.69</v>
      </c>
      <c r="L48" s="64">
        <v>34.950000000000003</v>
      </c>
      <c r="M48" s="64">
        <v>43.46</v>
      </c>
      <c r="N48" s="64">
        <v>819.3</v>
      </c>
      <c r="O48" s="64">
        <v>0</v>
      </c>
      <c r="P48" s="64">
        <v>0.65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2110</v>
      </c>
      <c r="B49" s="64">
        <v>0.03</v>
      </c>
      <c r="C49" s="64">
        <v>42.96</v>
      </c>
      <c r="D49" s="64">
        <v>42.93</v>
      </c>
      <c r="E49" s="64">
        <v>3.25</v>
      </c>
      <c r="F49" s="64">
        <v>11.63</v>
      </c>
      <c r="G49" s="64">
        <v>72.72</v>
      </c>
      <c r="H49" s="64">
        <v>25.22</v>
      </c>
      <c r="I49" s="64">
        <v>4.04</v>
      </c>
      <c r="J49" s="64">
        <v>1.57</v>
      </c>
      <c r="K49" s="64">
        <v>265.58</v>
      </c>
      <c r="L49" s="64">
        <v>34.69</v>
      </c>
      <c r="M49" s="64">
        <v>42.96</v>
      </c>
      <c r="N49" s="64">
        <v>855.4</v>
      </c>
      <c r="O49" s="64">
        <v>0</v>
      </c>
      <c r="P49" s="64">
        <v>0.6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5" t="s">
        <v>2111</v>
      </c>
      <c r="B50" s="64">
        <v>0.26</v>
      </c>
      <c r="C50" s="64">
        <v>38.090000000000003</v>
      </c>
      <c r="D50" s="64">
        <v>37.83</v>
      </c>
      <c r="E50" s="64">
        <v>3.14</v>
      </c>
      <c r="F50" s="64">
        <v>10.14</v>
      </c>
      <c r="G50" s="64">
        <v>70.58</v>
      </c>
      <c r="H50" s="64">
        <v>24.31</v>
      </c>
      <c r="I50" s="64">
        <v>3.88</v>
      </c>
      <c r="J50" s="64">
        <v>1.54</v>
      </c>
      <c r="K50" s="64">
        <v>274.54000000000002</v>
      </c>
      <c r="L50" s="64">
        <v>36.69</v>
      </c>
      <c r="M50" s="64">
        <v>37.630000000000003</v>
      </c>
      <c r="N50" s="64">
        <v>880.8</v>
      </c>
      <c r="O50" s="64">
        <v>0</v>
      </c>
      <c r="P50" s="64">
        <v>0.59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5" t="s">
        <v>2112</v>
      </c>
      <c r="B51" s="64">
        <v>0.64</v>
      </c>
      <c r="C51" s="64">
        <v>42.48</v>
      </c>
      <c r="D51" s="64">
        <v>41.84</v>
      </c>
      <c r="E51" s="64">
        <v>4.17</v>
      </c>
      <c r="F51" s="64">
        <v>14.29</v>
      </c>
      <c r="G51" s="64">
        <v>68.34</v>
      </c>
      <c r="H51" s="64">
        <v>23.35</v>
      </c>
      <c r="I51" s="64">
        <v>4.03</v>
      </c>
      <c r="J51" s="64">
        <v>1.46</v>
      </c>
      <c r="K51" s="64">
        <v>259.70999999999998</v>
      </c>
      <c r="L51" s="64">
        <v>36.1</v>
      </c>
      <c r="M51" s="64">
        <v>38.119999999999997</v>
      </c>
      <c r="N51" s="64">
        <v>890.4</v>
      </c>
      <c r="O51" s="64">
        <v>0</v>
      </c>
      <c r="P51" s="64">
        <v>0.55000000000000004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2113</v>
      </c>
      <c r="B52" s="64">
        <v>0.65</v>
      </c>
      <c r="C52" s="64">
        <v>41.02</v>
      </c>
      <c r="D52" s="64">
        <v>40.369999999999997</v>
      </c>
      <c r="E52" s="64">
        <v>4.17</v>
      </c>
      <c r="F52" s="64">
        <v>12.94</v>
      </c>
      <c r="G52" s="64">
        <v>68.34</v>
      </c>
      <c r="H52" s="64">
        <v>23.35</v>
      </c>
      <c r="I52" s="64">
        <v>4.05</v>
      </c>
      <c r="J52" s="64">
        <v>1.25</v>
      </c>
      <c r="K52" s="64">
        <v>257.99</v>
      </c>
      <c r="L52" s="64">
        <v>37.89</v>
      </c>
      <c r="M52" s="64">
        <v>34.380000000000003</v>
      </c>
      <c r="N52" s="64">
        <v>908.6</v>
      </c>
      <c r="O52" s="64">
        <v>0</v>
      </c>
      <c r="P52" s="64">
        <v>0.56000000000000005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2114</v>
      </c>
      <c r="B53" s="64">
        <v>0.46</v>
      </c>
      <c r="C53" s="64">
        <v>42.84</v>
      </c>
      <c r="D53" s="64">
        <v>42.38</v>
      </c>
      <c r="E53" s="64">
        <v>3.44</v>
      </c>
      <c r="F53" s="64">
        <v>13.75</v>
      </c>
      <c r="G53" s="64">
        <v>68.34</v>
      </c>
      <c r="H53" s="64">
        <v>23.35</v>
      </c>
      <c r="I53" s="64">
        <v>3.96</v>
      </c>
      <c r="J53" s="64">
        <v>0.76</v>
      </c>
      <c r="K53" s="64">
        <v>227.33</v>
      </c>
      <c r="L53" s="64">
        <v>37.590000000000003</v>
      </c>
      <c r="M53" s="64">
        <v>32.72</v>
      </c>
      <c r="N53" s="64">
        <v>932.7</v>
      </c>
      <c r="O53" s="64">
        <v>0</v>
      </c>
      <c r="P53" s="64">
        <v>0.55000000000000004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2115</v>
      </c>
      <c r="B54" s="64">
        <v>0.21</v>
      </c>
      <c r="C54" s="64">
        <v>41.33</v>
      </c>
      <c r="D54" s="64">
        <v>41.12</v>
      </c>
      <c r="E54" s="64">
        <v>5.5</v>
      </c>
      <c r="F54" s="64">
        <v>19.420000000000002</v>
      </c>
      <c r="G54" s="64">
        <v>62.06</v>
      </c>
      <c r="H54" s="64">
        <v>22.72</v>
      </c>
      <c r="I54" s="64">
        <v>4.04</v>
      </c>
      <c r="J54" s="64">
        <v>1.74</v>
      </c>
      <c r="K54" s="64">
        <v>294.11</v>
      </c>
      <c r="L54" s="64">
        <v>38.85</v>
      </c>
      <c r="M54" s="64">
        <v>29.28</v>
      </c>
      <c r="N54" s="64">
        <v>928.4</v>
      </c>
      <c r="O54" s="64">
        <v>0</v>
      </c>
      <c r="P54" s="64">
        <v>0.56000000000000005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5" t="s">
        <v>2116</v>
      </c>
      <c r="B55" s="64">
        <v>1.04</v>
      </c>
      <c r="C55" s="64">
        <v>43.22</v>
      </c>
      <c r="D55" s="64">
        <v>42.18</v>
      </c>
      <c r="E55" s="64">
        <v>7.03</v>
      </c>
      <c r="F55" s="64">
        <v>22.47</v>
      </c>
      <c r="G55" s="64">
        <v>55.5</v>
      </c>
      <c r="H55" s="64">
        <v>22.07</v>
      </c>
      <c r="I55" s="64">
        <v>4.01</v>
      </c>
      <c r="J55" s="64">
        <v>1.19</v>
      </c>
      <c r="K55" s="64">
        <v>284.01</v>
      </c>
      <c r="L55" s="64">
        <v>39.65</v>
      </c>
      <c r="M55" s="64">
        <v>26.13</v>
      </c>
      <c r="N55" s="64">
        <v>935</v>
      </c>
      <c r="O55" s="64">
        <v>0</v>
      </c>
      <c r="P55" s="64">
        <v>0.6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5" t="s">
        <v>2117</v>
      </c>
      <c r="B56" s="64">
        <v>0.15</v>
      </c>
      <c r="C56" s="64">
        <v>41.33</v>
      </c>
      <c r="D56" s="64">
        <v>41.18</v>
      </c>
      <c r="E56" s="64">
        <v>6.86</v>
      </c>
      <c r="F56" s="64">
        <v>19.45</v>
      </c>
      <c r="G56" s="64">
        <v>55.5</v>
      </c>
      <c r="H56" s="64">
        <v>22.07</v>
      </c>
      <c r="I56" s="64">
        <v>4.1500000000000004</v>
      </c>
      <c r="J56" s="64">
        <v>1.25</v>
      </c>
      <c r="K56" s="64">
        <v>213.82</v>
      </c>
      <c r="L56" s="64">
        <v>38.72</v>
      </c>
      <c r="M56" s="64">
        <v>26.79</v>
      </c>
      <c r="N56" s="64">
        <v>931.6</v>
      </c>
      <c r="O56" s="64">
        <v>0</v>
      </c>
      <c r="P56" s="64">
        <v>0.59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5" t="s">
        <v>2118</v>
      </c>
      <c r="B57" s="64">
        <v>0.68</v>
      </c>
      <c r="C57" s="64">
        <v>41.57</v>
      </c>
      <c r="D57" s="64">
        <v>40.880000000000003</v>
      </c>
      <c r="E57" s="64">
        <v>6.36</v>
      </c>
      <c r="F57" s="64">
        <v>21.36</v>
      </c>
      <c r="G57" s="64">
        <v>55.5</v>
      </c>
      <c r="H57" s="64">
        <v>22.07</v>
      </c>
      <c r="I57" s="64">
        <v>3.93</v>
      </c>
      <c r="J57" s="64">
        <v>1.73</v>
      </c>
      <c r="K57" s="64">
        <v>282.41000000000003</v>
      </c>
      <c r="L57" s="64">
        <v>39.22</v>
      </c>
      <c r="M57" s="64">
        <v>26.01</v>
      </c>
      <c r="N57" s="64">
        <v>947.1</v>
      </c>
      <c r="O57" s="64">
        <v>0</v>
      </c>
      <c r="P57" s="64">
        <v>0.6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5" t="s">
        <v>2119</v>
      </c>
      <c r="B58" s="64">
        <v>0.45</v>
      </c>
      <c r="C58" s="64">
        <v>38.32</v>
      </c>
      <c r="D58" s="64">
        <v>37.869999999999997</v>
      </c>
      <c r="E58" s="64">
        <v>6.93</v>
      </c>
      <c r="F58" s="64">
        <v>15.73</v>
      </c>
      <c r="G58" s="64">
        <v>54.41</v>
      </c>
      <c r="H58" s="64">
        <v>21.07</v>
      </c>
      <c r="I58" s="64">
        <v>4.0199999999999996</v>
      </c>
      <c r="J58" s="64">
        <v>1.41</v>
      </c>
      <c r="K58" s="64">
        <v>289.42</v>
      </c>
      <c r="L58" s="64">
        <v>39.36</v>
      </c>
      <c r="M58" s="64">
        <v>24.07</v>
      </c>
      <c r="N58" s="64">
        <v>934.1</v>
      </c>
      <c r="O58" s="64">
        <v>0</v>
      </c>
      <c r="P58" s="64">
        <v>0.56999999999999995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5" t="s">
        <v>2120</v>
      </c>
      <c r="B59" s="64">
        <v>0.32</v>
      </c>
      <c r="C59" s="64">
        <v>37.229999999999997</v>
      </c>
      <c r="D59" s="64">
        <v>36.9</v>
      </c>
      <c r="E59" s="64">
        <v>7.95</v>
      </c>
      <c r="F59" s="64">
        <v>28.3</v>
      </c>
      <c r="G59" s="64">
        <v>53.27</v>
      </c>
      <c r="H59" s="64">
        <v>20.03</v>
      </c>
      <c r="I59" s="64">
        <v>3.98</v>
      </c>
      <c r="J59" s="64">
        <v>0.81</v>
      </c>
      <c r="K59" s="64">
        <v>205.35</v>
      </c>
      <c r="L59" s="64">
        <v>39.79</v>
      </c>
      <c r="M59" s="64">
        <v>23.16</v>
      </c>
      <c r="N59" s="64">
        <v>930.9</v>
      </c>
      <c r="O59" s="64">
        <v>0</v>
      </c>
      <c r="P59" s="64">
        <v>0.45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5" t="s">
        <v>2121</v>
      </c>
      <c r="B60" s="64">
        <v>0.74</v>
      </c>
      <c r="C60" s="64">
        <v>38.880000000000003</v>
      </c>
      <c r="D60" s="64">
        <v>38.15</v>
      </c>
      <c r="E60" s="64">
        <v>5.62</v>
      </c>
      <c r="F60" s="64">
        <v>16.41</v>
      </c>
      <c r="G60" s="64">
        <v>53.27</v>
      </c>
      <c r="H60" s="64">
        <v>20.03</v>
      </c>
      <c r="I60" s="64">
        <v>4.07</v>
      </c>
      <c r="J60" s="64">
        <v>1.49</v>
      </c>
      <c r="K60" s="64">
        <v>275.18</v>
      </c>
      <c r="L60" s="64">
        <v>40.1</v>
      </c>
      <c r="M60" s="64">
        <v>22.35</v>
      </c>
      <c r="N60" s="64">
        <v>927.3</v>
      </c>
      <c r="O60" s="64">
        <v>0</v>
      </c>
      <c r="P60" s="64">
        <v>0.55000000000000004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2122</v>
      </c>
      <c r="B61" s="64">
        <v>0.66</v>
      </c>
      <c r="C61" s="64">
        <v>30.37</v>
      </c>
      <c r="D61" s="64">
        <v>29.71</v>
      </c>
      <c r="E61" s="64">
        <v>8.93</v>
      </c>
      <c r="F61" s="64">
        <v>34.89</v>
      </c>
      <c r="G61" s="64">
        <v>53.27</v>
      </c>
      <c r="H61" s="64">
        <v>20.03</v>
      </c>
      <c r="I61" s="64">
        <v>4</v>
      </c>
      <c r="J61" s="64">
        <v>1.1399999999999999</v>
      </c>
      <c r="K61" s="64">
        <v>289.32</v>
      </c>
      <c r="L61" s="64">
        <v>41.84</v>
      </c>
      <c r="M61" s="64">
        <v>20.11</v>
      </c>
      <c r="N61" s="64">
        <v>884.3</v>
      </c>
      <c r="O61" s="64">
        <v>0</v>
      </c>
      <c r="P61" s="64">
        <v>0.38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5" t="s">
        <v>2123</v>
      </c>
      <c r="B62" s="64">
        <v>0.28999999999999998</v>
      </c>
      <c r="C62" s="64">
        <v>29.97</v>
      </c>
      <c r="D62" s="64">
        <v>29.67</v>
      </c>
      <c r="E62" s="64">
        <v>6.95</v>
      </c>
      <c r="F62" s="64">
        <v>35.950000000000003</v>
      </c>
      <c r="G62" s="64">
        <v>51.5</v>
      </c>
      <c r="H62" s="64">
        <v>20.239999999999998</v>
      </c>
      <c r="I62" s="64">
        <v>4.01</v>
      </c>
      <c r="J62" s="64">
        <v>0.09</v>
      </c>
      <c r="K62" s="64">
        <v>230.12</v>
      </c>
      <c r="L62" s="64">
        <v>40.9</v>
      </c>
      <c r="M62" s="64">
        <v>22.14</v>
      </c>
      <c r="N62" s="64">
        <v>846</v>
      </c>
      <c r="O62" s="64">
        <v>0</v>
      </c>
      <c r="P62" s="64">
        <v>0.46</v>
      </c>
      <c r="Q62" s="64">
        <v>9.58</v>
      </c>
      <c r="R62" s="198"/>
      <c r="S62" s="198"/>
      <c r="T62" s="198"/>
      <c r="U62" s="198"/>
    </row>
    <row r="63" spans="1:21" s="12" customFormat="1" x14ac:dyDescent="0.25">
      <c r="A63" s="215" t="s">
        <v>2124</v>
      </c>
      <c r="B63" s="64">
        <v>1.1499999999999999</v>
      </c>
      <c r="C63" s="64">
        <v>38.119999999999997</v>
      </c>
      <c r="D63" s="64">
        <v>36.97</v>
      </c>
      <c r="E63" s="64">
        <v>4.54</v>
      </c>
      <c r="F63" s="64">
        <v>20.95</v>
      </c>
      <c r="G63" s="64">
        <v>49.65</v>
      </c>
      <c r="H63" s="64">
        <v>20.45</v>
      </c>
      <c r="I63" s="64">
        <v>3.93</v>
      </c>
      <c r="J63" s="64">
        <v>1.41</v>
      </c>
      <c r="K63" s="64">
        <v>281.42</v>
      </c>
      <c r="L63" s="64">
        <v>40.83</v>
      </c>
      <c r="M63" s="64">
        <v>21.78</v>
      </c>
      <c r="N63" s="64">
        <v>803.9</v>
      </c>
      <c r="O63" s="64">
        <v>0</v>
      </c>
      <c r="P63" s="64">
        <v>0.5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5" t="s">
        <v>2125</v>
      </c>
      <c r="B64" s="64">
        <v>1.38</v>
      </c>
      <c r="C64" s="64">
        <v>31.43</v>
      </c>
      <c r="D64" s="64">
        <v>30.05</v>
      </c>
      <c r="E64" s="64">
        <v>7.09</v>
      </c>
      <c r="F64" s="64">
        <v>34.31</v>
      </c>
      <c r="G64" s="64">
        <v>49.65</v>
      </c>
      <c r="H64" s="64">
        <v>20.45</v>
      </c>
      <c r="I64" s="64">
        <v>3.93</v>
      </c>
      <c r="J64" s="64">
        <v>0.72</v>
      </c>
      <c r="K64" s="64">
        <v>247.88</v>
      </c>
      <c r="L64" s="64">
        <v>40.630000000000003</v>
      </c>
      <c r="M64" s="64">
        <v>21.24</v>
      </c>
      <c r="N64" s="64">
        <v>590.4</v>
      </c>
      <c r="O64" s="64">
        <v>0</v>
      </c>
      <c r="P64" s="64">
        <v>0.46</v>
      </c>
      <c r="Q64" s="64">
        <v>9.59</v>
      </c>
      <c r="R64" s="198"/>
      <c r="S64" s="198"/>
      <c r="T64" s="198"/>
      <c r="U64" s="198"/>
    </row>
    <row r="65" spans="1:21" s="12" customFormat="1" x14ac:dyDescent="0.25">
      <c r="A65" s="215" t="s">
        <v>2126</v>
      </c>
      <c r="B65" s="64">
        <v>0.97</v>
      </c>
      <c r="C65" s="64">
        <v>40.92</v>
      </c>
      <c r="D65" s="64">
        <v>39.950000000000003</v>
      </c>
      <c r="E65" s="64">
        <v>8.74</v>
      </c>
      <c r="F65" s="64">
        <v>38.270000000000003</v>
      </c>
      <c r="G65" s="64">
        <v>49.65</v>
      </c>
      <c r="H65" s="64">
        <v>20.45</v>
      </c>
      <c r="I65" s="64">
        <v>4.0599999999999996</v>
      </c>
      <c r="J65" s="64">
        <v>1.1100000000000001</v>
      </c>
      <c r="K65" s="64">
        <v>290.48</v>
      </c>
      <c r="L65" s="64">
        <v>41.2</v>
      </c>
      <c r="M65" s="64">
        <v>20.92</v>
      </c>
      <c r="N65" s="64">
        <v>469</v>
      </c>
      <c r="O65" s="64">
        <v>0</v>
      </c>
      <c r="P65" s="64">
        <v>0.46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2127</v>
      </c>
      <c r="B66" s="64">
        <v>0.22</v>
      </c>
      <c r="C66" s="64">
        <v>38.44</v>
      </c>
      <c r="D66" s="64">
        <v>38.22</v>
      </c>
      <c r="E66" s="64">
        <v>8.9</v>
      </c>
      <c r="F66" s="64">
        <v>28.94</v>
      </c>
      <c r="G66" s="64">
        <v>48.55</v>
      </c>
      <c r="H66" s="64">
        <v>19.09</v>
      </c>
      <c r="I66" s="64">
        <v>3.93</v>
      </c>
      <c r="J66" s="64">
        <v>0.83</v>
      </c>
      <c r="K66" s="64">
        <v>218.68</v>
      </c>
      <c r="L66" s="64">
        <v>39.869999999999997</v>
      </c>
      <c r="M66" s="64">
        <v>22.07</v>
      </c>
      <c r="N66" s="64">
        <v>537.1</v>
      </c>
      <c r="O66" s="64">
        <v>0</v>
      </c>
      <c r="P66" s="64">
        <v>0.44</v>
      </c>
      <c r="Q66" s="64">
        <v>9.59</v>
      </c>
      <c r="R66" s="198"/>
      <c r="S66" s="198"/>
      <c r="T66" s="198"/>
      <c r="U66" s="198"/>
    </row>
    <row r="67" spans="1:21" s="12" customFormat="1" x14ac:dyDescent="0.25">
      <c r="A67" s="215" t="s">
        <v>2128</v>
      </c>
      <c r="B67" s="64">
        <v>1.48</v>
      </c>
      <c r="C67" s="64">
        <v>43.95</v>
      </c>
      <c r="D67" s="64">
        <v>42.47</v>
      </c>
      <c r="E67" s="64">
        <v>7.2</v>
      </c>
      <c r="F67" s="64">
        <v>33.67</v>
      </c>
      <c r="G67" s="64">
        <v>47.41</v>
      </c>
      <c r="H67" s="64">
        <v>17.670000000000002</v>
      </c>
      <c r="I67" s="64">
        <v>3.94</v>
      </c>
      <c r="J67" s="64">
        <v>1.32</v>
      </c>
      <c r="K67" s="64">
        <v>274.24</v>
      </c>
      <c r="L67" s="64">
        <v>40.39</v>
      </c>
      <c r="M67" s="64">
        <v>21.23</v>
      </c>
      <c r="N67" s="64">
        <v>536.70000000000005</v>
      </c>
      <c r="O67" s="64">
        <v>0</v>
      </c>
      <c r="P67" s="64">
        <v>0.43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2129</v>
      </c>
      <c r="B68" s="64">
        <v>0.04</v>
      </c>
      <c r="C68" s="64">
        <v>30.12</v>
      </c>
      <c r="D68" s="64">
        <v>30.07</v>
      </c>
      <c r="E68" s="64">
        <v>9.92</v>
      </c>
      <c r="F68" s="64">
        <v>39.58</v>
      </c>
      <c r="G68" s="64">
        <v>47.41</v>
      </c>
      <c r="H68" s="64">
        <v>17.670000000000002</v>
      </c>
      <c r="I68" s="64">
        <v>3.95</v>
      </c>
      <c r="J68" s="64">
        <v>1.01</v>
      </c>
      <c r="K68" s="64">
        <v>156.11000000000001</v>
      </c>
      <c r="L68" s="64">
        <v>39.44</v>
      </c>
      <c r="M68" s="64">
        <v>22.2</v>
      </c>
      <c r="N68" s="64">
        <v>271.8</v>
      </c>
      <c r="O68" s="64">
        <v>0</v>
      </c>
      <c r="P68" s="64">
        <v>0.39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2130</v>
      </c>
      <c r="B69" s="6" t="s">
        <v>42</v>
      </c>
      <c r="C69" s="64">
        <v>37.51</v>
      </c>
      <c r="D69" s="64">
        <v>37.51</v>
      </c>
      <c r="E69" s="64">
        <v>7.2</v>
      </c>
      <c r="F69" s="64">
        <v>30.15</v>
      </c>
      <c r="G69" s="64">
        <v>47.41</v>
      </c>
      <c r="H69" s="64">
        <v>17.670000000000002</v>
      </c>
      <c r="I69" s="64">
        <v>3.99</v>
      </c>
      <c r="J69" s="64">
        <v>1.39</v>
      </c>
      <c r="K69" s="64">
        <v>204.33</v>
      </c>
      <c r="L69" s="64">
        <v>38.729999999999997</v>
      </c>
      <c r="M69" s="64">
        <v>22.24</v>
      </c>
      <c r="N69" s="64">
        <v>380.6</v>
      </c>
      <c r="O69" s="64">
        <v>0</v>
      </c>
      <c r="P69" s="64">
        <v>0.45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5" t="s">
        <v>2131</v>
      </c>
      <c r="B70" s="64">
        <v>0.62</v>
      </c>
      <c r="C70" s="64">
        <v>40.68</v>
      </c>
      <c r="D70" s="64">
        <v>40.07</v>
      </c>
      <c r="E70" s="64">
        <v>9.84</v>
      </c>
      <c r="F70" s="64">
        <v>42.21</v>
      </c>
      <c r="G70" s="64">
        <v>46.82</v>
      </c>
      <c r="H70" s="64">
        <v>18.690000000000001</v>
      </c>
      <c r="I70" s="64">
        <v>4.03</v>
      </c>
      <c r="J70" s="64">
        <v>0.57999999999999996</v>
      </c>
      <c r="K70" s="64">
        <v>235.55</v>
      </c>
      <c r="L70" s="64">
        <v>39.36</v>
      </c>
      <c r="M70" s="64">
        <v>21.71</v>
      </c>
      <c r="N70" s="64">
        <v>264.8</v>
      </c>
      <c r="O70" s="64">
        <v>0</v>
      </c>
      <c r="P70" s="64">
        <v>0.47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5" t="s">
        <v>2132</v>
      </c>
      <c r="B71" s="64">
        <v>1.62</v>
      </c>
      <c r="C71" s="64">
        <v>42.26</v>
      </c>
      <c r="D71" s="64">
        <v>40.630000000000003</v>
      </c>
      <c r="E71" s="64">
        <v>9.6999999999999993</v>
      </c>
      <c r="F71" s="64">
        <v>33.119999999999997</v>
      </c>
      <c r="G71" s="64">
        <v>46.21</v>
      </c>
      <c r="H71" s="64">
        <v>19.77</v>
      </c>
      <c r="I71" s="64">
        <v>4.0599999999999996</v>
      </c>
      <c r="J71" s="64">
        <v>1.61</v>
      </c>
      <c r="K71" s="64">
        <v>290.14</v>
      </c>
      <c r="L71" s="64">
        <v>39.74</v>
      </c>
      <c r="M71" s="64">
        <v>21.27</v>
      </c>
      <c r="N71" s="64">
        <v>185</v>
      </c>
      <c r="O71" s="64">
        <v>0</v>
      </c>
      <c r="P71" s="64">
        <v>0.51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5" t="s">
        <v>2133</v>
      </c>
      <c r="B72" s="6" t="s">
        <v>42</v>
      </c>
      <c r="C72" s="64">
        <v>37.68</v>
      </c>
      <c r="D72" s="64">
        <v>37.68</v>
      </c>
      <c r="E72" s="64">
        <v>5.76</v>
      </c>
      <c r="F72" s="64">
        <v>24.4</v>
      </c>
      <c r="G72" s="64">
        <v>46.21</v>
      </c>
      <c r="H72" s="64">
        <v>19.77</v>
      </c>
      <c r="I72" s="64">
        <v>4.03</v>
      </c>
      <c r="J72" s="64">
        <v>2.16</v>
      </c>
      <c r="K72" s="64">
        <v>165.99</v>
      </c>
      <c r="L72" s="64">
        <v>38.659999999999997</v>
      </c>
      <c r="M72" s="64">
        <v>20.91</v>
      </c>
      <c r="N72" s="64">
        <v>196.8</v>
      </c>
      <c r="O72" s="64">
        <v>0</v>
      </c>
      <c r="P72" s="64">
        <v>0.45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5" t="s">
        <v>2134</v>
      </c>
      <c r="B73" s="6" t="s">
        <v>42</v>
      </c>
      <c r="C73" s="64">
        <v>36.85</v>
      </c>
      <c r="D73" s="64">
        <v>36.85</v>
      </c>
      <c r="E73" s="64">
        <v>6.97</v>
      </c>
      <c r="F73" s="64">
        <v>38.22</v>
      </c>
      <c r="G73" s="64">
        <v>46.21</v>
      </c>
      <c r="H73" s="64">
        <v>19.77</v>
      </c>
      <c r="I73" s="64">
        <v>3.88</v>
      </c>
      <c r="J73" s="64">
        <v>1.76</v>
      </c>
      <c r="K73" s="64">
        <v>176.24</v>
      </c>
      <c r="L73" s="64">
        <v>38.369999999999997</v>
      </c>
      <c r="M73" s="64">
        <v>21.31</v>
      </c>
      <c r="N73" s="64">
        <v>143</v>
      </c>
      <c r="O73" s="64">
        <v>0</v>
      </c>
      <c r="P73" s="64">
        <v>0.39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2135</v>
      </c>
      <c r="B74" s="64">
        <v>0.43</v>
      </c>
      <c r="C74" s="64">
        <v>44.1</v>
      </c>
      <c r="D74" s="64">
        <v>43.67</v>
      </c>
      <c r="E74" s="64">
        <v>9.98</v>
      </c>
      <c r="F74" s="64">
        <v>36.42</v>
      </c>
      <c r="G74" s="64">
        <v>46.06</v>
      </c>
      <c r="H74" s="64">
        <v>17.579999999999998</v>
      </c>
      <c r="I74" s="64">
        <v>3.92</v>
      </c>
      <c r="J74" s="64">
        <v>0.92</v>
      </c>
      <c r="K74" s="64">
        <v>265.36</v>
      </c>
      <c r="L74" s="64">
        <v>38.67</v>
      </c>
      <c r="M74" s="64">
        <v>20.49</v>
      </c>
      <c r="N74" s="64">
        <v>133</v>
      </c>
      <c r="O74" s="64">
        <v>0</v>
      </c>
      <c r="P74" s="64">
        <v>0.49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5" t="s">
        <v>2136</v>
      </c>
      <c r="B75" s="64">
        <v>0.82</v>
      </c>
      <c r="C75" s="64">
        <v>42.88</v>
      </c>
      <c r="D75" s="64">
        <v>42.06</v>
      </c>
      <c r="E75" s="64">
        <v>10.32</v>
      </c>
      <c r="F75" s="64">
        <v>39.64</v>
      </c>
      <c r="G75" s="64">
        <v>45.91</v>
      </c>
      <c r="H75" s="64">
        <v>15.29</v>
      </c>
      <c r="I75" s="64">
        <v>4.04</v>
      </c>
      <c r="J75" s="64">
        <v>1.1499999999999999</v>
      </c>
      <c r="K75" s="64">
        <v>196.44</v>
      </c>
      <c r="L75" s="64">
        <v>38.549999999999997</v>
      </c>
      <c r="M75" s="64">
        <v>20.81</v>
      </c>
      <c r="N75" s="64">
        <v>127.6</v>
      </c>
      <c r="O75" s="64">
        <v>0</v>
      </c>
      <c r="P75" s="64">
        <v>0.5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5" t="s">
        <v>2137</v>
      </c>
      <c r="B76" s="6" t="s">
        <v>42</v>
      </c>
      <c r="C76" s="64">
        <v>31.31</v>
      </c>
      <c r="D76" s="64">
        <v>31.31</v>
      </c>
      <c r="E76" s="64">
        <v>12.05</v>
      </c>
      <c r="F76" s="64">
        <v>43.45</v>
      </c>
      <c r="G76" s="64">
        <v>45.91</v>
      </c>
      <c r="H76" s="64">
        <v>15.29</v>
      </c>
      <c r="I76" s="64">
        <v>3.86</v>
      </c>
      <c r="J76" s="64">
        <v>1.21</v>
      </c>
      <c r="K76" s="64">
        <v>196.82</v>
      </c>
      <c r="L76" s="64">
        <v>38.22</v>
      </c>
      <c r="M76" s="64">
        <v>20.27</v>
      </c>
      <c r="N76" s="64">
        <v>116.5</v>
      </c>
      <c r="O76" s="64">
        <v>0</v>
      </c>
      <c r="P76" s="64">
        <v>0.4</v>
      </c>
      <c r="Q76" s="64">
        <v>9.59</v>
      </c>
      <c r="R76" s="198"/>
      <c r="S76" s="198"/>
      <c r="T76" s="198"/>
      <c r="U76" s="198"/>
    </row>
    <row r="77" spans="1:21" s="12" customFormat="1" x14ac:dyDescent="0.25">
      <c r="A77" s="215" t="s">
        <v>2138</v>
      </c>
      <c r="B77" s="64">
        <v>0.05</v>
      </c>
      <c r="C77" s="64">
        <v>35.86</v>
      </c>
      <c r="D77" s="64">
        <v>35.81</v>
      </c>
      <c r="E77" s="64">
        <v>14.61</v>
      </c>
      <c r="F77" s="64">
        <v>40.44</v>
      </c>
      <c r="G77" s="64">
        <v>45.91</v>
      </c>
      <c r="H77" s="64">
        <v>15.29</v>
      </c>
      <c r="I77" s="64">
        <v>3.99</v>
      </c>
      <c r="J77" s="64">
        <v>1.33</v>
      </c>
      <c r="K77" s="64">
        <v>166.73</v>
      </c>
      <c r="L77" s="64">
        <v>38.020000000000003</v>
      </c>
      <c r="M77" s="64">
        <v>20.25</v>
      </c>
      <c r="N77" s="64">
        <v>103.1</v>
      </c>
      <c r="O77" s="64">
        <v>0</v>
      </c>
      <c r="P77" s="64">
        <v>0.42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5" t="s">
        <v>2139</v>
      </c>
      <c r="B78" s="6" t="s">
        <v>42</v>
      </c>
      <c r="C78" s="64">
        <v>50.36</v>
      </c>
      <c r="D78" s="64">
        <v>50.36</v>
      </c>
      <c r="E78" s="64">
        <v>15.35</v>
      </c>
      <c r="F78" s="64">
        <v>37.270000000000003</v>
      </c>
      <c r="G78" s="64">
        <v>45.47</v>
      </c>
      <c r="H78" s="64">
        <v>15.36</v>
      </c>
      <c r="I78" s="64">
        <v>3.99</v>
      </c>
      <c r="J78" s="64">
        <v>1.18</v>
      </c>
      <c r="K78" s="64">
        <v>242.23</v>
      </c>
      <c r="L78" s="64">
        <v>37.770000000000003</v>
      </c>
      <c r="M78" s="64">
        <v>21.8</v>
      </c>
      <c r="N78" s="64">
        <v>91.8</v>
      </c>
      <c r="O78" s="64">
        <v>0</v>
      </c>
      <c r="P78" s="64">
        <v>0.53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5" t="s">
        <v>2140</v>
      </c>
      <c r="B79" s="64">
        <v>0.37</v>
      </c>
      <c r="C79" s="64">
        <v>50.69</v>
      </c>
      <c r="D79" s="64">
        <v>50.32</v>
      </c>
      <c r="E79" s="64">
        <v>15.7</v>
      </c>
      <c r="F79" s="64">
        <v>39.1</v>
      </c>
      <c r="G79" s="64">
        <v>45.01</v>
      </c>
      <c r="H79" s="64">
        <v>15.43</v>
      </c>
      <c r="I79" s="64">
        <v>4.09</v>
      </c>
      <c r="J79" s="64">
        <v>0.92</v>
      </c>
      <c r="K79" s="64">
        <v>227.77</v>
      </c>
      <c r="L79" s="64">
        <v>37.33</v>
      </c>
      <c r="M79" s="64">
        <v>23.53</v>
      </c>
      <c r="N79" s="64">
        <v>77.099999999999994</v>
      </c>
      <c r="O79" s="64">
        <v>0</v>
      </c>
      <c r="P79" s="64">
        <v>0.64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5" t="s">
        <v>2141</v>
      </c>
      <c r="B80" s="6" t="s">
        <v>42</v>
      </c>
      <c r="C80" s="64">
        <v>44.36</v>
      </c>
      <c r="D80" s="64">
        <v>44.36</v>
      </c>
      <c r="E80" s="64">
        <v>15.9</v>
      </c>
      <c r="F80" s="64">
        <v>40.72</v>
      </c>
      <c r="G80" s="64">
        <v>45.01</v>
      </c>
      <c r="H80" s="64">
        <v>15.43</v>
      </c>
      <c r="I80" s="64">
        <v>3.98</v>
      </c>
      <c r="J80" s="64">
        <v>1.19</v>
      </c>
      <c r="K80" s="64">
        <v>220.69</v>
      </c>
      <c r="L80" s="64">
        <v>36.869999999999997</v>
      </c>
      <c r="M80" s="64">
        <v>24.15</v>
      </c>
      <c r="N80" s="64">
        <v>65.3</v>
      </c>
      <c r="O80" s="64">
        <v>0</v>
      </c>
      <c r="P80" s="64">
        <v>0.67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5" t="s">
        <v>2142</v>
      </c>
      <c r="B81" s="64">
        <v>0.1</v>
      </c>
      <c r="C81" s="64">
        <v>61.48</v>
      </c>
      <c r="D81" s="64">
        <v>61.37</v>
      </c>
      <c r="E81" s="64">
        <v>16.61</v>
      </c>
      <c r="F81" s="64">
        <v>37.57</v>
      </c>
      <c r="G81" s="64">
        <v>45.01</v>
      </c>
      <c r="H81" s="64">
        <v>15.43</v>
      </c>
      <c r="I81" s="64">
        <v>3.94</v>
      </c>
      <c r="J81" s="64">
        <v>1.01</v>
      </c>
      <c r="K81" s="64">
        <v>256.82</v>
      </c>
      <c r="L81" s="64">
        <v>36.409999999999997</v>
      </c>
      <c r="M81" s="64">
        <v>24.33</v>
      </c>
      <c r="N81" s="64">
        <v>57.3</v>
      </c>
      <c r="O81" s="64">
        <v>0</v>
      </c>
      <c r="P81" s="64">
        <v>0.82</v>
      </c>
      <c r="Q81" s="64">
        <v>9.5500000000000007</v>
      </c>
      <c r="R81" s="198"/>
      <c r="S81" s="198"/>
      <c r="T81" s="198"/>
      <c r="U81" s="198"/>
    </row>
    <row r="82" spans="1:26" s="12" customFormat="1" x14ac:dyDescent="0.25">
      <c r="A82" s="215" t="s">
        <v>2143</v>
      </c>
      <c r="B82" s="6" t="s">
        <v>42</v>
      </c>
      <c r="C82" s="64">
        <v>68.930000000000007</v>
      </c>
      <c r="D82" s="64">
        <v>68.930000000000007</v>
      </c>
      <c r="E82" s="64">
        <v>14.69</v>
      </c>
      <c r="F82" s="64">
        <v>33.25</v>
      </c>
      <c r="G82" s="64">
        <v>48.86</v>
      </c>
      <c r="H82" s="64">
        <v>16.2</v>
      </c>
      <c r="I82" s="64">
        <v>3.83</v>
      </c>
      <c r="J82" s="64">
        <v>1.39</v>
      </c>
      <c r="K82" s="64">
        <v>231.22</v>
      </c>
      <c r="L82" s="64">
        <v>35.869999999999997</v>
      </c>
      <c r="M82" s="64">
        <v>25.67</v>
      </c>
      <c r="N82" s="64">
        <v>52.4</v>
      </c>
      <c r="O82" s="64">
        <v>0</v>
      </c>
      <c r="P82" s="64">
        <v>0.8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15" t="s">
        <v>2144</v>
      </c>
      <c r="B83" s="64">
        <v>18.43</v>
      </c>
      <c r="C83" s="64">
        <v>164.52</v>
      </c>
      <c r="D83" s="64">
        <v>146.09</v>
      </c>
      <c r="E83" s="64">
        <v>12.21</v>
      </c>
      <c r="F83" s="64">
        <v>14.66</v>
      </c>
      <c r="G83" s="64">
        <v>52.89</v>
      </c>
      <c r="H83" s="64">
        <v>17</v>
      </c>
      <c r="I83" s="64">
        <v>4.08</v>
      </c>
      <c r="J83" s="64">
        <v>1.57</v>
      </c>
      <c r="K83" s="64">
        <v>225.21</v>
      </c>
      <c r="L83" s="64">
        <v>35.32</v>
      </c>
      <c r="M83" s="64">
        <v>27.33</v>
      </c>
      <c r="N83" s="64">
        <v>51</v>
      </c>
      <c r="O83" s="64">
        <v>0</v>
      </c>
      <c r="P83" s="64">
        <v>1.08</v>
      </c>
      <c r="Q83" s="64">
        <v>9.52</v>
      </c>
      <c r="R83" s="198"/>
      <c r="S83" s="198"/>
      <c r="T83" s="198"/>
      <c r="U83" s="198"/>
    </row>
    <row r="84" spans="1:26" s="12" customFormat="1" x14ac:dyDescent="0.25">
      <c r="A84" s="215" t="s">
        <v>2145</v>
      </c>
      <c r="B84" s="64">
        <v>3.31</v>
      </c>
      <c r="C84" s="64">
        <v>140.69999999999999</v>
      </c>
      <c r="D84" s="64">
        <v>137.38999999999999</v>
      </c>
      <c r="E84" s="64">
        <v>11.56</v>
      </c>
      <c r="F84" s="64">
        <v>15.65</v>
      </c>
      <c r="G84" s="64">
        <v>52.89</v>
      </c>
      <c r="H84" s="64">
        <v>17</v>
      </c>
      <c r="I84" s="64">
        <v>4.08</v>
      </c>
      <c r="J84" s="64">
        <v>0.74</v>
      </c>
      <c r="K84" s="64">
        <v>229.23</v>
      </c>
      <c r="L84" s="64">
        <v>34.69</v>
      </c>
      <c r="M84" s="64">
        <v>28.57</v>
      </c>
      <c r="N84" s="64">
        <v>51.1</v>
      </c>
      <c r="O84" s="64">
        <v>0</v>
      </c>
      <c r="P84" s="64">
        <v>1.1499999999999999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15" t="s">
        <v>2146</v>
      </c>
      <c r="B85" s="64">
        <v>9.7799999999999994</v>
      </c>
      <c r="C85" s="64">
        <v>140.31</v>
      </c>
      <c r="D85" s="64">
        <v>130.53</v>
      </c>
      <c r="E85" s="64">
        <v>10.99</v>
      </c>
      <c r="F85" s="64">
        <v>18.190000000000001</v>
      </c>
      <c r="G85" s="64">
        <v>52.89</v>
      </c>
      <c r="H85" s="64">
        <v>17</v>
      </c>
      <c r="I85" s="64">
        <v>4.08</v>
      </c>
      <c r="J85" s="64">
        <v>1.86</v>
      </c>
      <c r="K85" s="64">
        <v>152.88999999999999</v>
      </c>
      <c r="L85" s="64">
        <v>34.42</v>
      </c>
      <c r="M85" s="64">
        <v>28.25</v>
      </c>
      <c r="N85" s="64">
        <v>49.9</v>
      </c>
      <c r="O85" s="64">
        <v>0</v>
      </c>
      <c r="P85" s="64">
        <v>0.95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15" t="s">
        <v>2147</v>
      </c>
      <c r="B86" s="64">
        <v>2.9</v>
      </c>
      <c r="C86" s="64">
        <v>113.18</v>
      </c>
      <c r="D86" s="64">
        <v>110.27</v>
      </c>
      <c r="E86" s="64">
        <v>10.41</v>
      </c>
      <c r="F86" s="64">
        <v>21.41</v>
      </c>
      <c r="G86" s="64">
        <v>59.86</v>
      </c>
      <c r="H86" s="64">
        <v>18.29</v>
      </c>
      <c r="I86" s="64">
        <v>4.04</v>
      </c>
      <c r="J86" s="64">
        <v>1.22</v>
      </c>
      <c r="K86" s="64">
        <v>181.26</v>
      </c>
      <c r="L86" s="64">
        <v>34.21</v>
      </c>
      <c r="M86" s="64">
        <v>29.21</v>
      </c>
      <c r="N86" s="64">
        <v>50.7</v>
      </c>
      <c r="O86" s="64">
        <v>0</v>
      </c>
      <c r="P86" s="64">
        <v>1.05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5" t="s">
        <v>2148</v>
      </c>
      <c r="B87" s="64">
        <v>1.41</v>
      </c>
      <c r="C87" s="64">
        <v>81.39</v>
      </c>
      <c r="D87" s="64">
        <v>79.98</v>
      </c>
      <c r="E87" s="64">
        <v>9.2899999999999991</v>
      </c>
      <c r="F87" s="64">
        <v>25.25</v>
      </c>
      <c r="G87" s="64">
        <v>66.84</v>
      </c>
      <c r="H87" s="64">
        <v>19.64</v>
      </c>
      <c r="I87" s="64">
        <v>3.93</v>
      </c>
      <c r="J87" s="64">
        <v>1.68</v>
      </c>
      <c r="K87" s="64">
        <v>167.81</v>
      </c>
      <c r="L87" s="64">
        <v>33.96</v>
      </c>
      <c r="M87" s="64">
        <v>30.08</v>
      </c>
      <c r="N87" s="64">
        <v>50.4</v>
      </c>
      <c r="O87" s="64">
        <v>0</v>
      </c>
      <c r="P87" s="64">
        <v>0.96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5" t="s">
        <v>2149</v>
      </c>
      <c r="B88" s="64">
        <v>4.01</v>
      </c>
      <c r="C88" s="64">
        <v>98.7</v>
      </c>
      <c r="D88" s="64">
        <v>94.68</v>
      </c>
      <c r="E88" s="64">
        <v>7.98</v>
      </c>
      <c r="F88" s="64">
        <v>14.87</v>
      </c>
      <c r="G88" s="64">
        <v>66.84</v>
      </c>
      <c r="H88" s="64">
        <v>19.64</v>
      </c>
      <c r="I88" s="64">
        <v>3.81</v>
      </c>
      <c r="J88" s="64">
        <v>1.7</v>
      </c>
      <c r="K88" s="64">
        <v>179.97</v>
      </c>
      <c r="L88" s="64">
        <v>33.770000000000003</v>
      </c>
      <c r="M88" s="64">
        <v>30.66</v>
      </c>
      <c r="N88" s="64">
        <v>50.1</v>
      </c>
      <c r="O88" s="64">
        <v>0</v>
      </c>
      <c r="P88" s="64">
        <v>1.03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5" t="s">
        <v>2150</v>
      </c>
      <c r="B89" s="64">
        <v>3.59</v>
      </c>
      <c r="C89" s="64">
        <v>65.14</v>
      </c>
      <c r="D89" s="64">
        <v>61.55</v>
      </c>
      <c r="E89" s="64">
        <v>3.91</v>
      </c>
      <c r="F89" s="64">
        <v>10.44</v>
      </c>
      <c r="G89" s="64">
        <v>66.84</v>
      </c>
      <c r="H89" s="64">
        <v>19.64</v>
      </c>
      <c r="I89" s="64">
        <v>3.97</v>
      </c>
      <c r="J89" s="64">
        <v>2.64</v>
      </c>
      <c r="K89" s="64">
        <v>159.26</v>
      </c>
      <c r="L89" s="64">
        <v>33.46</v>
      </c>
      <c r="M89" s="64">
        <v>33.31</v>
      </c>
      <c r="N89" s="64">
        <v>50.7</v>
      </c>
      <c r="O89" s="64">
        <v>0</v>
      </c>
      <c r="P89" s="64">
        <v>0.77</v>
      </c>
      <c r="Q89" s="64">
        <v>9.49</v>
      </c>
      <c r="R89" s="198"/>
      <c r="S89" s="198"/>
      <c r="T89" s="198"/>
      <c r="U89" s="198"/>
    </row>
    <row r="90" spans="1:26" s="12" customFormat="1" x14ac:dyDescent="0.25">
      <c r="A90" s="215" t="s">
        <v>2151</v>
      </c>
      <c r="B90" s="64">
        <v>2.62</v>
      </c>
      <c r="C90" s="64">
        <v>58.16</v>
      </c>
      <c r="D90" s="64">
        <v>55.53</v>
      </c>
      <c r="E90" s="64">
        <v>3.95</v>
      </c>
      <c r="F90" s="64">
        <v>12.22</v>
      </c>
      <c r="G90" s="64">
        <v>67.05</v>
      </c>
      <c r="H90" s="64">
        <v>20.25</v>
      </c>
      <c r="I90" s="64">
        <v>4.03</v>
      </c>
      <c r="J90" s="64">
        <v>2.44</v>
      </c>
      <c r="K90" s="64">
        <v>163.68</v>
      </c>
      <c r="L90" s="64">
        <v>32.799999999999997</v>
      </c>
      <c r="M90" s="64">
        <v>36.61</v>
      </c>
      <c r="N90" s="64">
        <v>51.1</v>
      </c>
      <c r="O90" s="64">
        <v>0</v>
      </c>
      <c r="P90" s="64">
        <v>0.69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5" t="s">
        <v>2152</v>
      </c>
      <c r="B91" s="64">
        <v>2.2000000000000002</v>
      </c>
      <c r="C91" s="64">
        <v>52.06</v>
      </c>
      <c r="D91" s="64">
        <v>49.86</v>
      </c>
      <c r="E91" s="64">
        <v>2.99</v>
      </c>
      <c r="F91" s="64">
        <v>11.7</v>
      </c>
      <c r="G91" s="64">
        <v>67.260000000000005</v>
      </c>
      <c r="H91" s="64">
        <v>20.9</v>
      </c>
      <c r="I91" s="64">
        <v>3.98</v>
      </c>
      <c r="J91" s="64">
        <v>2.74</v>
      </c>
      <c r="K91" s="64">
        <v>161.27000000000001</v>
      </c>
      <c r="L91" s="64">
        <v>32.33</v>
      </c>
      <c r="M91" s="64">
        <v>39.369999999999997</v>
      </c>
      <c r="N91" s="64">
        <v>51</v>
      </c>
      <c r="O91" s="64">
        <v>0</v>
      </c>
      <c r="P91" s="64">
        <v>0.66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15" t="s">
        <v>2153</v>
      </c>
      <c r="B92" s="64">
        <v>1.89</v>
      </c>
      <c r="C92" s="64">
        <v>50.81</v>
      </c>
      <c r="D92" s="64">
        <v>48.92</v>
      </c>
      <c r="E92" s="64">
        <v>3.82</v>
      </c>
      <c r="F92" s="64">
        <v>14.37</v>
      </c>
      <c r="G92" s="64">
        <v>67.260000000000005</v>
      </c>
      <c r="H92" s="64">
        <v>20.9</v>
      </c>
      <c r="I92" s="64">
        <v>3.94</v>
      </c>
      <c r="J92" s="64">
        <v>2.06</v>
      </c>
      <c r="K92" s="64">
        <v>179.83</v>
      </c>
      <c r="L92" s="64">
        <v>31.95</v>
      </c>
      <c r="M92" s="64">
        <v>41.14</v>
      </c>
      <c r="N92" s="64">
        <v>51</v>
      </c>
      <c r="O92" s="64">
        <v>0</v>
      </c>
      <c r="P92" s="64">
        <v>0.56000000000000005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5" t="s">
        <v>2154</v>
      </c>
      <c r="B93" s="64">
        <v>1.82</v>
      </c>
      <c r="C93" s="64">
        <v>53.53</v>
      </c>
      <c r="D93" s="64">
        <v>51.72</v>
      </c>
      <c r="E93" s="64">
        <v>3.54</v>
      </c>
      <c r="F93" s="64">
        <v>11.38</v>
      </c>
      <c r="G93" s="64">
        <v>67.260000000000005</v>
      </c>
      <c r="H93" s="64">
        <v>20.9</v>
      </c>
      <c r="I93" s="64">
        <v>3.98</v>
      </c>
      <c r="J93" s="64">
        <v>2.46</v>
      </c>
      <c r="K93" s="64">
        <v>164.43</v>
      </c>
      <c r="L93" s="64">
        <v>31.52</v>
      </c>
      <c r="M93" s="64">
        <v>42.49</v>
      </c>
      <c r="N93" s="64">
        <v>50.9</v>
      </c>
      <c r="O93" s="64">
        <v>0</v>
      </c>
      <c r="P93" s="64">
        <v>0.61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5" t="s">
        <v>2155</v>
      </c>
      <c r="B94" s="64">
        <v>1.54</v>
      </c>
      <c r="C94" s="64">
        <v>48.3</v>
      </c>
      <c r="D94" s="64">
        <v>46.76</v>
      </c>
      <c r="E94" s="64">
        <v>3.57</v>
      </c>
      <c r="F94" s="64">
        <v>15.17</v>
      </c>
      <c r="G94" s="64">
        <v>62.53</v>
      </c>
      <c r="H94" s="64">
        <v>18.95</v>
      </c>
      <c r="I94" s="64">
        <v>4.2</v>
      </c>
      <c r="J94" s="64">
        <v>2.17</v>
      </c>
      <c r="K94" s="64">
        <v>161.96</v>
      </c>
      <c r="L94" s="64">
        <v>31.26</v>
      </c>
      <c r="M94" s="64">
        <v>43.28</v>
      </c>
      <c r="N94" s="64">
        <v>50.9</v>
      </c>
      <c r="O94" s="64">
        <v>0</v>
      </c>
      <c r="P94" s="64">
        <v>0.52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5" t="s">
        <v>2156</v>
      </c>
      <c r="B95" s="64">
        <v>1.21</v>
      </c>
      <c r="C95" s="64">
        <v>43.81</v>
      </c>
      <c r="D95" s="64">
        <v>42.6</v>
      </c>
      <c r="E95" s="64">
        <v>3.09</v>
      </c>
      <c r="F95" s="64">
        <v>12.93</v>
      </c>
      <c r="G95" s="64">
        <v>57.57</v>
      </c>
      <c r="H95" s="64">
        <v>16.91</v>
      </c>
      <c r="I95" s="64">
        <v>3.97</v>
      </c>
      <c r="J95" s="64">
        <v>2.42</v>
      </c>
      <c r="K95" s="64">
        <v>157.66999999999999</v>
      </c>
      <c r="L95" s="64">
        <v>30.91</v>
      </c>
      <c r="M95" s="64">
        <v>44.24</v>
      </c>
      <c r="N95" s="64">
        <v>50.8</v>
      </c>
      <c r="O95" s="64">
        <v>0</v>
      </c>
      <c r="P95" s="64">
        <v>0.55000000000000004</v>
      </c>
      <c r="Q95" s="64">
        <v>9.57</v>
      </c>
      <c r="R95" s="198"/>
      <c r="S95" s="198"/>
      <c r="T95" s="198"/>
      <c r="U95" s="198"/>
    </row>
    <row r="96" spans="1:26" s="12" customFormat="1" x14ac:dyDescent="0.25">
      <c r="A96" s="215" t="s">
        <v>2157</v>
      </c>
      <c r="B96" s="64">
        <v>0.89</v>
      </c>
      <c r="C96" s="64">
        <v>44.32</v>
      </c>
      <c r="D96" s="64">
        <v>43.43</v>
      </c>
      <c r="E96" s="64">
        <v>3.15</v>
      </c>
      <c r="F96" s="64">
        <v>15.82</v>
      </c>
      <c r="G96" s="64">
        <v>57.57</v>
      </c>
      <c r="H96" s="64">
        <v>16.91</v>
      </c>
      <c r="I96" s="64">
        <v>4.0199999999999996</v>
      </c>
      <c r="J96" s="64">
        <v>1.94</v>
      </c>
      <c r="K96" s="64">
        <v>181.24</v>
      </c>
      <c r="L96" s="64">
        <v>30.7</v>
      </c>
      <c r="M96" s="64">
        <v>44.37</v>
      </c>
      <c r="N96" s="64">
        <v>50.8</v>
      </c>
      <c r="O96" s="64">
        <v>0</v>
      </c>
      <c r="P96" s="64">
        <v>0.5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2158</v>
      </c>
      <c r="B97" s="64">
        <v>0.85</v>
      </c>
      <c r="C97" s="64">
        <v>40.85</v>
      </c>
      <c r="D97" s="64">
        <v>40</v>
      </c>
      <c r="E97" s="64">
        <v>3.12</v>
      </c>
      <c r="F97" s="64">
        <v>13.76</v>
      </c>
      <c r="G97" s="64">
        <v>57.57</v>
      </c>
      <c r="H97" s="64">
        <v>16.91</v>
      </c>
      <c r="I97" s="64">
        <v>4</v>
      </c>
      <c r="J97" s="64">
        <v>2.38</v>
      </c>
      <c r="K97" s="64">
        <v>158.08000000000001</v>
      </c>
      <c r="L97" s="64">
        <v>30.47</v>
      </c>
      <c r="M97" s="64">
        <v>45.33</v>
      </c>
      <c r="N97" s="64">
        <v>50.8</v>
      </c>
      <c r="O97" s="64">
        <v>0</v>
      </c>
      <c r="P97" s="64">
        <v>0.5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5" t="s">
        <v>2159</v>
      </c>
      <c r="B98" s="64">
        <v>0.96</v>
      </c>
      <c r="C98" s="64">
        <v>38.479999999999997</v>
      </c>
      <c r="D98" s="64">
        <v>37.520000000000003</v>
      </c>
      <c r="E98" s="64">
        <v>3.25</v>
      </c>
      <c r="F98" s="64">
        <v>17.579999999999998</v>
      </c>
      <c r="G98" s="64">
        <v>52.62</v>
      </c>
      <c r="H98" s="64">
        <v>16.63</v>
      </c>
      <c r="I98" s="64">
        <v>3.95</v>
      </c>
      <c r="J98" s="64">
        <v>1.75</v>
      </c>
      <c r="K98" s="64">
        <v>165.18</v>
      </c>
      <c r="L98" s="64">
        <v>30.2</v>
      </c>
      <c r="M98" s="64">
        <v>46.44</v>
      </c>
      <c r="N98" s="64">
        <v>51.1</v>
      </c>
      <c r="O98" s="64">
        <v>0</v>
      </c>
      <c r="P98" s="64">
        <v>0.47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5" t="s">
        <v>2160</v>
      </c>
      <c r="B99" s="64">
        <v>2.33</v>
      </c>
      <c r="C99" s="64">
        <v>47.89</v>
      </c>
      <c r="D99" s="64">
        <v>45.56</v>
      </c>
      <c r="E99" s="64">
        <v>3.71</v>
      </c>
      <c r="F99" s="64">
        <v>17.010000000000002</v>
      </c>
      <c r="G99" s="64">
        <v>47.45</v>
      </c>
      <c r="H99" s="64">
        <v>16.34</v>
      </c>
      <c r="I99" s="64">
        <v>4.09</v>
      </c>
      <c r="J99" s="64">
        <v>1.25</v>
      </c>
      <c r="K99" s="64">
        <v>201.86</v>
      </c>
      <c r="L99" s="64">
        <v>30</v>
      </c>
      <c r="M99" s="64">
        <v>46.74</v>
      </c>
      <c r="N99" s="64">
        <v>51.1</v>
      </c>
      <c r="O99" s="64">
        <v>0</v>
      </c>
      <c r="P99" s="64">
        <v>0.42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5" t="s">
        <v>2161</v>
      </c>
      <c r="B100" s="64">
        <v>1.99</v>
      </c>
      <c r="C100" s="64">
        <v>47.79</v>
      </c>
      <c r="D100" s="64">
        <v>45.8</v>
      </c>
      <c r="E100" s="64">
        <v>3.61</v>
      </c>
      <c r="F100" s="64">
        <v>16.87</v>
      </c>
      <c r="G100" s="64">
        <v>47.45</v>
      </c>
      <c r="H100" s="64">
        <v>16.34</v>
      </c>
      <c r="I100" s="64">
        <v>3.83</v>
      </c>
      <c r="J100" s="64">
        <v>1.05</v>
      </c>
      <c r="K100" s="64">
        <v>184.91</v>
      </c>
      <c r="L100" s="64">
        <v>29.74</v>
      </c>
      <c r="M100" s="64">
        <v>46.72</v>
      </c>
      <c r="N100" s="64">
        <v>51</v>
      </c>
      <c r="O100" s="64">
        <v>0</v>
      </c>
      <c r="P100" s="64">
        <v>0.39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2162</v>
      </c>
      <c r="B101" s="64">
        <v>0.82</v>
      </c>
      <c r="C101" s="64">
        <v>41.09</v>
      </c>
      <c r="D101" s="64">
        <v>40.270000000000003</v>
      </c>
      <c r="E101" s="64">
        <v>3.59</v>
      </c>
      <c r="F101" s="64">
        <v>17.059999999999999</v>
      </c>
      <c r="G101" s="64">
        <v>47.45</v>
      </c>
      <c r="H101" s="64">
        <v>16.34</v>
      </c>
      <c r="I101" s="64">
        <v>3.94</v>
      </c>
      <c r="J101" s="64">
        <v>1.1499999999999999</v>
      </c>
      <c r="K101" s="64">
        <v>175.66</v>
      </c>
      <c r="L101" s="64">
        <v>29.5</v>
      </c>
      <c r="M101" s="64">
        <v>47.55</v>
      </c>
      <c r="N101" s="64">
        <v>51</v>
      </c>
      <c r="O101" s="64">
        <v>0</v>
      </c>
      <c r="P101" s="64">
        <v>0.39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5" t="s">
        <v>2163</v>
      </c>
      <c r="B102" s="64">
        <v>0.89</v>
      </c>
      <c r="C102" s="64">
        <v>39.89</v>
      </c>
      <c r="D102" s="64">
        <v>39</v>
      </c>
      <c r="E102" s="64">
        <v>3.84</v>
      </c>
      <c r="F102" s="64">
        <v>17.059999999999999</v>
      </c>
      <c r="G102" s="64">
        <v>45.19</v>
      </c>
      <c r="H102" s="64">
        <v>16.170000000000002</v>
      </c>
      <c r="I102" s="64">
        <v>4</v>
      </c>
      <c r="J102" s="64">
        <v>1.44</v>
      </c>
      <c r="K102" s="64">
        <v>184.91</v>
      </c>
      <c r="L102" s="64">
        <v>29.32</v>
      </c>
      <c r="M102" s="64">
        <v>47.69</v>
      </c>
      <c r="N102" s="64">
        <v>50.8</v>
      </c>
      <c r="O102" s="64">
        <v>0</v>
      </c>
      <c r="P102" s="64">
        <v>0.42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5" t="s">
        <v>2164</v>
      </c>
      <c r="B103" s="64">
        <v>0.76</v>
      </c>
      <c r="C103" s="64">
        <v>35.01</v>
      </c>
      <c r="D103" s="64">
        <v>34.25</v>
      </c>
      <c r="E103" s="64">
        <v>3.73</v>
      </c>
      <c r="F103" s="64">
        <v>19.91</v>
      </c>
      <c r="G103" s="64">
        <v>42.94</v>
      </c>
      <c r="H103" s="64">
        <v>16</v>
      </c>
      <c r="I103" s="64">
        <v>4.12</v>
      </c>
      <c r="J103" s="64">
        <v>0.84</v>
      </c>
      <c r="K103" s="64">
        <v>208.04</v>
      </c>
      <c r="L103" s="64">
        <v>29.05</v>
      </c>
      <c r="M103" s="64">
        <v>47.89</v>
      </c>
      <c r="N103" s="64">
        <v>51.4</v>
      </c>
      <c r="O103" s="64">
        <v>0</v>
      </c>
      <c r="P103" s="64">
        <v>0.37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5" t="s">
        <v>2165</v>
      </c>
      <c r="B104" s="64">
        <v>0.48</v>
      </c>
      <c r="C104" s="64">
        <v>29.49</v>
      </c>
      <c r="D104" s="64">
        <v>29.01</v>
      </c>
      <c r="E104" s="64">
        <v>3.59</v>
      </c>
      <c r="F104" s="64">
        <v>19.89</v>
      </c>
      <c r="G104" s="64">
        <v>42.94</v>
      </c>
      <c r="H104" s="64">
        <v>16</v>
      </c>
      <c r="I104" s="64">
        <v>4.04</v>
      </c>
      <c r="J104" s="64">
        <v>1.44</v>
      </c>
      <c r="K104" s="64">
        <v>218.99</v>
      </c>
      <c r="L104" s="64">
        <v>28.81</v>
      </c>
      <c r="M104" s="64">
        <v>48.47</v>
      </c>
      <c r="N104" s="64">
        <v>51</v>
      </c>
      <c r="O104" s="64">
        <v>0</v>
      </c>
      <c r="P104" s="64">
        <v>0.36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0.03</v>
      </c>
      <c r="C106" s="67">
        <f>MIN(C9:C104)</f>
        <v>29.49</v>
      </c>
      <c r="D106" s="67">
        <f t="shared" ref="D106:Q106" si="0">MIN(D9:D104)</f>
        <v>29.01</v>
      </c>
      <c r="E106" s="67">
        <f t="shared" si="0"/>
        <v>2.41</v>
      </c>
      <c r="F106" s="67">
        <f t="shared" si="0"/>
        <v>7.22</v>
      </c>
      <c r="G106" s="67">
        <f t="shared" si="0"/>
        <v>42.94</v>
      </c>
      <c r="H106" s="67">
        <f t="shared" si="0"/>
        <v>15.29</v>
      </c>
      <c r="I106" s="67">
        <f t="shared" si="0"/>
        <v>3.81</v>
      </c>
      <c r="J106" s="67">
        <f t="shared" si="0"/>
        <v>0.09</v>
      </c>
      <c r="K106" s="67">
        <f t="shared" si="0"/>
        <v>10.78</v>
      </c>
      <c r="L106" s="67">
        <f t="shared" si="0"/>
        <v>26.24</v>
      </c>
      <c r="M106" s="67">
        <f t="shared" si="0"/>
        <v>20.11</v>
      </c>
      <c r="N106" s="67">
        <f t="shared" si="0"/>
        <v>49.9</v>
      </c>
      <c r="O106" s="67">
        <f t="shared" si="0"/>
        <v>0</v>
      </c>
      <c r="P106" s="67">
        <f t="shared" si="0"/>
        <v>0.36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58.51</v>
      </c>
      <c r="C107" s="66">
        <f t="shared" ref="C107:Q107" si="1">MAX(C9:C104)</f>
        <v>164.52</v>
      </c>
      <c r="D107" s="66">
        <f t="shared" si="1"/>
        <v>146.09</v>
      </c>
      <c r="E107" s="66">
        <f t="shared" si="1"/>
        <v>16.61</v>
      </c>
      <c r="F107" s="66">
        <f t="shared" si="1"/>
        <v>43.45</v>
      </c>
      <c r="G107" s="66">
        <f t="shared" si="1"/>
        <v>105.86</v>
      </c>
      <c r="H107" s="66">
        <f t="shared" si="1"/>
        <v>28.87</v>
      </c>
      <c r="I107" s="66">
        <f t="shared" si="1"/>
        <v>4.2</v>
      </c>
      <c r="J107" s="66">
        <f t="shared" si="1"/>
        <v>2.74</v>
      </c>
      <c r="K107" s="66">
        <f t="shared" si="1"/>
        <v>351.05</v>
      </c>
      <c r="L107" s="66">
        <f t="shared" si="1"/>
        <v>41.84</v>
      </c>
      <c r="M107" s="66">
        <f t="shared" si="1"/>
        <v>72.16</v>
      </c>
      <c r="N107" s="66">
        <f t="shared" si="1"/>
        <v>947.1</v>
      </c>
      <c r="O107" s="66">
        <f t="shared" si="1"/>
        <v>0</v>
      </c>
      <c r="P107" s="66">
        <f t="shared" si="1"/>
        <v>1.6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8.4412359550561806</v>
      </c>
      <c r="C108" s="67">
        <f t="shared" ref="C108:Q108" si="2">AVERAGE(C9:C104)</f>
        <v>59.465937500000031</v>
      </c>
      <c r="D108" s="67">
        <f t="shared" si="2"/>
        <v>51.639270833333363</v>
      </c>
      <c r="E108" s="67">
        <f t="shared" si="2"/>
        <v>5.6447916666666691</v>
      </c>
      <c r="F108" s="67">
        <f t="shared" si="2"/>
        <v>18.05104166666667</v>
      </c>
      <c r="G108" s="67">
        <f t="shared" si="2"/>
        <v>63.919895833333328</v>
      </c>
      <c r="H108" s="67">
        <f t="shared" si="2"/>
        <v>20.038125000000012</v>
      </c>
      <c r="I108" s="67">
        <f t="shared" si="2"/>
        <v>4.0003125000000006</v>
      </c>
      <c r="J108" s="67">
        <f t="shared" si="2"/>
        <v>1.3146874999999998</v>
      </c>
      <c r="K108" s="67">
        <f t="shared" si="2"/>
        <v>216.21843750000005</v>
      </c>
      <c r="L108" s="67">
        <f t="shared" si="2"/>
        <v>33.01062499999999</v>
      </c>
      <c r="M108" s="67">
        <f t="shared" si="2"/>
        <v>43.186666666666667</v>
      </c>
      <c r="N108" s="67">
        <f t="shared" si="2"/>
        <v>284.65833333333325</v>
      </c>
      <c r="O108" s="67">
        <f t="shared" si="2"/>
        <v>0</v>
      </c>
      <c r="P108" s="67">
        <f t="shared" si="2"/>
        <v>0.64437500000000025</v>
      </c>
      <c r="Q108" s="67">
        <f t="shared" si="2"/>
        <v>9.6155208333333331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10.913528179222906</v>
      </c>
      <c r="C109" s="67">
        <f t="shared" ref="C109:Q109" si="3">STDEV(C9:C104)</f>
        <v>25.599939250673117</v>
      </c>
      <c r="D109" s="67">
        <f t="shared" si="3"/>
        <v>20.289959935878624</v>
      </c>
      <c r="E109" s="67">
        <f t="shared" si="3"/>
        <v>3.6198199952823065</v>
      </c>
      <c r="F109" s="67">
        <f t="shared" si="3"/>
        <v>10.723126849469999</v>
      </c>
      <c r="G109" s="67">
        <f t="shared" si="3"/>
        <v>15.174098810996343</v>
      </c>
      <c r="H109" s="67">
        <f t="shared" si="3"/>
        <v>3.1614424797284228</v>
      </c>
      <c r="I109" s="67">
        <f t="shared" si="3"/>
        <v>8.6601970623014543E-2</v>
      </c>
      <c r="J109" s="67">
        <f t="shared" si="3"/>
        <v>0.4835830155151622</v>
      </c>
      <c r="K109" s="67">
        <f t="shared" si="3"/>
        <v>72.804066736153999</v>
      </c>
      <c r="L109" s="67">
        <f t="shared" si="3"/>
        <v>4.9597196042348912</v>
      </c>
      <c r="M109" s="67">
        <f t="shared" si="3"/>
        <v>17.378394733368502</v>
      </c>
      <c r="N109" s="67">
        <f t="shared" si="3"/>
        <v>327.10397080943289</v>
      </c>
      <c r="O109" s="67">
        <f t="shared" si="3"/>
        <v>0</v>
      </c>
      <c r="P109" s="67">
        <f t="shared" si="3"/>
        <v>0.22836633773506573</v>
      </c>
      <c r="Q109" s="67">
        <f t="shared" si="3"/>
        <v>5.9007043141907134E-2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COUNT(B9:B104)+7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2166</v>
      </c>
      <c r="B9" s="64">
        <v>0.72</v>
      </c>
      <c r="C9" s="64">
        <v>31.14</v>
      </c>
      <c r="D9" s="64">
        <v>30.42</v>
      </c>
      <c r="E9" s="64">
        <v>3.62</v>
      </c>
      <c r="F9" s="64">
        <v>20.99</v>
      </c>
      <c r="G9" s="64">
        <v>42.94</v>
      </c>
      <c r="H9" s="64">
        <v>16</v>
      </c>
      <c r="I9" s="64">
        <v>4.05</v>
      </c>
      <c r="J9" s="64">
        <v>0.96</v>
      </c>
      <c r="K9" s="64">
        <v>279.48</v>
      </c>
      <c r="L9" s="64">
        <v>28.49</v>
      </c>
      <c r="M9" s="64">
        <v>49.57</v>
      </c>
      <c r="N9" s="64">
        <v>51.5</v>
      </c>
      <c r="O9" s="64">
        <v>0</v>
      </c>
      <c r="P9" s="64">
        <v>0.33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5" t="s">
        <v>2167</v>
      </c>
      <c r="B10" s="64">
        <v>0.96</v>
      </c>
      <c r="C10" s="64">
        <v>31.48</v>
      </c>
      <c r="D10" s="64">
        <v>30.51</v>
      </c>
      <c r="E10" s="64">
        <v>3.83</v>
      </c>
      <c r="F10" s="64">
        <v>16.12</v>
      </c>
      <c r="G10" s="64">
        <v>41.49</v>
      </c>
      <c r="H10" s="64">
        <v>14.82</v>
      </c>
      <c r="I10" s="64">
        <v>3.99</v>
      </c>
      <c r="J10" s="64">
        <v>1.03</v>
      </c>
      <c r="K10" s="64">
        <v>266.11</v>
      </c>
      <c r="L10" s="64">
        <v>28.29</v>
      </c>
      <c r="M10" s="64">
        <v>50.08</v>
      </c>
      <c r="N10" s="64">
        <v>51.3</v>
      </c>
      <c r="O10" s="64">
        <v>0</v>
      </c>
      <c r="P10" s="64">
        <v>0.37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5" t="s">
        <v>2168</v>
      </c>
      <c r="B11" s="64">
        <v>1.1599999999999999</v>
      </c>
      <c r="C11" s="64">
        <v>35.65</v>
      </c>
      <c r="D11" s="64">
        <v>34.49</v>
      </c>
      <c r="E11" s="64">
        <v>3.27</v>
      </c>
      <c r="F11" s="64">
        <v>16.2</v>
      </c>
      <c r="G11" s="64">
        <v>40.04</v>
      </c>
      <c r="H11" s="64">
        <v>13.6</v>
      </c>
      <c r="I11" s="64">
        <v>3.89</v>
      </c>
      <c r="J11" s="64">
        <v>1.03</v>
      </c>
      <c r="K11" s="64">
        <v>265.56</v>
      </c>
      <c r="L11" s="64">
        <v>28.32</v>
      </c>
      <c r="M11" s="64">
        <v>50.08</v>
      </c>
      <c r="N11" s="64">
        <v>51</v>
      </c>
      <c r="O11" s="64">
        <v>0</v>
      </c>
      <c r="P11" s="64">
        <v>0.37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5" t="s">
        <v>2169</v>
      </c>
      <c r="B12" s="64">
        <v>1.65</v>
      </c>
      <c r="C12" s="64">
        <v>36.549999999999997</v>
      </c>
      <c r="D12" s="64">
        <v>34.9</v>
      </c>
      <c r="E12" s="64">
        <v>3.42</v>
      </c>
      <c r="F12" s="64">
        <v>14.89</v>
      </c>
      <c r="G12" s="64">
        <v>40.04</v>
      </c>
      <c r="H12" s="64">
        <v>13.6</v>
      </c>
      <c r="I12" s="64">
        <v>3.89</v>
      </c>
      <c r="J12" s="64">
        <v>1.1200000000000001</v>
      </c>
      <c r="K12" s="64">
        <v>290.93</v>
      </c>
      <c r="L12" s="64">
        <v>27.94</v>
      </c>
      <c r="M12" s="64">
        <v>53.17</v>
      </c>
      <c r="N12" s="64">
        <v>51.4</v>
      </c>
      <c r="O12" s="64">
        <v>0</v>
      </c>
      <c r="P12" s="64">
        <v>0.44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5" t="s">
        <v>2170</v>
      </c>
      <c r="B13" s="64">
        <v>7.83</v>
      </c>
      <c r="C13" s="64">
        <v>48.25</v>
      </c>
      <c r="D13" s="64">
        <v>40.42</v>
      </c>
      <c r="E13" s="64">
        <v>3.75</v>
      </c>
      <c r="F13" s="64">
        <v>16.68</v>
      </c>
      <c r="G13" s="64">
        <v>40.04</v>
      </c>
      <c r="H13" s="64">
        <v>13.6</v>
      </c>
      <c r="I13" s="64">
        <v>3.91</v>
      </c>
      <c r="J13" s="64">
        <v>0.65</v>
      </c>
      <c r="K13" s="64">
        <v>322.14999999999998</v>
      </c>
      <c r="L13" s="64">
        <v>27.44</v>
      </c>
      <c r="M13" s="64">
        <v>54.88</v>
      </c>
      <c r="N13" s="64">
        <v>51.7</v>
      </c>
      <c r="O13" s="64">
        <v>0</v>
      </c>
      <c r="P13" s="64">
        <v>0.42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2171</v>
      </c>
      <c r="B14" s="64">
        <v>0.74</v>
      </c>
      <c r="C14" s="64">
        <v>33.93</v>
      </c>
      <c r="D14" s="64">
        <v>33.19</v>
      </c>
      <c r="E14" s="64">
        <v>3.54</v>
      </c>
      <c r="F14" s="64">
        <v>16.670000000000002</v>
      </c>
      <c r="G14" s="64">
        <v>39.51</v>
      </c>
      <c r="H14" s="64">
        <v>13.4</v>
      </c>
      <c r="I14" s="64">
        <v>3.92</v>
      </c>
      <c r="J14" s="64">
        <v>0.23</v>
      </c>
      <c r="K14" s="64">
        <v>224.96</v>
      </c>
      <c r="L14" s="64">
        <v>27.29</v>
      </c>
      <c r="M14" s="64">
        <v>54.17</v>
      </c>
      <c r="N14" s="64">
        <v>51.6</v>
      </c>
      <c r="O14" s="64">
        <v>0</v>
      </c>
      <c r="P14" s="64">
        <v>0.42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2172</v>
      </c>
      <c r="B15" s="64">
        <v>0.76</v>
      </c>
      <c r="C15" s="64">
        <v>35.56</v>
      </c>
      <c r="D15" s="64">
        <v>34.799999999999997</v>
      </c>
      <c r="E15" s="64">
        <v>3.02</v>
      </c>
      <c r="F15" s="64">
        <v>14.91</v>
      </c>
      <c r="G15" s="64">
        <v>38.97</v>
      </c>
      <c r="H15" s="64">
        <v>13.2</v>
      </c>
      <c r="I15" s="64">
        <v>3.91</v>
      </c>
      <c r="J15" s="64">
        <v>1.02</v>
      </c>
      <c r="K15" s="64">
        <v>249.56</v>
      </c>
      <c r="L15" s="64">
        <v>28.02</v>
      </c>
      <c r="M15" s="64">
        <v>49.47</v>
      </c>
      <c r="N15" s="64">
        <v>50.6</v>
      </c>
      <c r="O15" s="64">
        <v>0</v>
      </c>
      <c r="P15" s="64">
        <v>0.39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5" t="s">
        <v>2173</v>
      </c>
      <c r="B16" s="64">
        <v>1.57</v>
      </c>
      <c r="C16" s="64">
        <v>37.799999999999997</v>
      </c>
      <c r="D16" s="64">
        <v>36.229999999999997</v>
      </c>
      <c r="E16" s="64">
        <v>2.98</v>
      </c>
      <c r="F16" s="64">
        <v>12.32</v>
      </c>
      <c r="G16" s="64">
        <v>38.97</v>
      </c>
      <c r="H16" s="64">
        <v>13.2</v>
      </c>
      <c r="I16" s="64">
        <v>4</v>
      </c>
      <c r="J16" s="64">
        <v>1.07</v>
      </c>
      <c r="K16" s="64">
        <v>242.77</v>
      </c>
      <c r="L16" s="64">
        <v>28.36</v>
      </c>
      <c r="M16" s="64">
        <v>47.76</v>
      </c>
      <c r="N16" s="64">
        <v>51.3</v>
      </c>
      <c r="O16" s="64">
        <v>0</v>
      </c>
      <c r="P16" s="64">
        <v>0.42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5" t="s">
        <v>2174</v>
      </c>
      <c r="B17" s="64">
        <v>0.96</v>
      </c>
      <c r="C17" s="64">
        <v>35.15</v>
      </c>
      <c r="D17" s="64">
        <v>34.19</v>
      </c>
      <c r="E17" s="64">
        <v>3.33</v>
      </c>
      <c r="F17" s="64">
        <v>17.8</v>
      </c>
      <c r="G17" s="64">
        <v>38.97</v>
      </c>
      <c r="H17" s="64">
        <v>13.2</v>
      </c>
      <c r="I17" s="64">
        <v>4</v>
      </c>
      <c r="J17" s="64">
        <v>1.1299999999999999</v>
      </c>
      <c r="K17" s="64">
        <v>209.29</v>
      </c>
      <c r="L17" s="64">
        <v>28.2</v>
      </c>
      <c r="M17" s="64">
        <v>48.56</v>
      </c>
      <c r="N17" s="64">
        <v>51.5</v>
      </c>
      <c r="O17" s="64">
        <v>0</v>
      </c>
      <c r="P17" s="64">
        <v>0.35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2175</v>
      </c>
      <c r="B18" s="64">
        <v>0.57999999999999996</v>
      </c>
      <c r="C18" s="64">
        <v>34.49</v>
      </c>
      <c r="D18" s="64">
        <v>33.909999999999997</v>
      </c>
      <c r="E18" s="64">
        <v>3.17</v>
      </c>
      <c r="F18" s="64">
        <v>16.11</v>
      </c>
      <c r="G18" s="64">
        <v>38.869999999999997</v>
      </c>
      <c r="H18" s="64">
        <v>14.29</v>
      </c>
      <c r="I18" s="64">
        <v>3.98</v>
      </c>
      <c r="J18" s="64">
        <v>1.58</v>
      </c>
      <c r="K18" s="64">
        <v>200.24</v>
      </c>
      <c r="L18" s="64">
        <v>27.79</v>
      </c>
      <c r="M18" s="64">
        <v>50.97</v>
      </c>
      <c r="N18" s="64">
        <v>52</v>
      </c>
      <c r="O18" s="64">
        <v>0</v>
      </c>
      <c r="P18" s="64">
        <v>0.36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2176</v>
      </c>
      <c r="B19" s="64">
        <v>1.57</v>
      </c>
      <c r="C19" s="64">
        <v>41.3</v>
      </c>
      <c r="D19" s="64">
        <v>39.729999999999997</v>
      </c>
      <c r="E19" s="64">
        <v>2.98</v>
      </c>
      <c r="F19" s="64">
        <v>13.24</v>
      </c>
      <c r="G19" s="64">
        <v>38.78</v>
      </c>
      <c r="H19" s="64">
        <v>15.43</v>
      </c>
      <c r="I19" s="64">
        <v>3.91</v>
      </c>
      <c r="J19" s="64">
        <v>1.52</v>
      </c>
      <c r="K19" s="64">
        <v>206.05</v>
      </c>
      <c r="L19" s="64">
        <v>27.39</v>
      </c>
      <c r="M19" s="64">
        <v>52.73</v>
      </c>
      <c r="N19" s="64">
        <v>52.1</v>
      </c>
      <c r="O19" s="64">
        <v>0</v>
      </c>
      <c r="P19" s="64">
        <v>0.38</v>
      </c>
      <c r="Q19" s="64">
        <v>9.59</v>
      </c>
      <c r="R19" s="198"/>
      <c r="S19" s="198"/>
      <c r="T19" s="198"/>
      <c r="U19" s="198"/>
    </row>
    <row r="20" spans="1:21" s="12" customFormat="1" x14ac:dyDescent="0.25">
      <c r="A20" s="215" t="s">
        <v>2177</v>
      </c>
      <c r="B20" s="64">
        <v>0.9</v>
      </c>
      <c r="C20" s="64">
        <v>39.020000000000003</v>
      </c>
      <c r="D20" s="64">
        <v>38.119999999999997</v>
      </c>
      <c r="E20" s="64">
        <v>3.11</v>
      </c>
      <c r="F20" s="64">
        <v>14.94</v>
      </c>
      <c r="G20" s="64">
        <v>38.78</v>
      </c>
      <c r="H20" s="64">
        <v>15.43</v>
      </c>
      <c r="I20" s="64">
        <v>4.05</v>
      </c>
      <c r="J20" s="64">
        <v>1.18</v>
      </c>
      <c r="K20" s="64">
        <v>225.08</v>
      </c>
      <c r="L20" s="64">
        <v>27.28</v>
      </c>
      <c r="M20" s="64">
        <v>53.26</v>
      </c>
      <c r="N20" s="64">
        <v>52</v>
      </c>
      <c r="O20" s="64">
        <v>0</v>
      </c>
      <c r="P20" s="64">
        <v>0.36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5" t="s">
        <v>2178</v>
      </c>
      <c r="B21" s="64">
        <v>0.99</v>
      </c>
      <c r="C21" s="64">
        <v>34.83</v>
      </c>
      <c r="D21" s="64">
        <v>33.840000000000003</v>
      </c>
      <c r="E21" s="64">
        <v>3.05</v>
      </c>
      <c r="F21" s="64">
        <v>14.79</v>
      </c>
      <c r="G21" s="64">
        <v>38.78</v>
      </c>
      <c r="H21" s="64">
        <v>15.43</v>
      </c>
      <c r="I21" s="64">
        <v>3.9</v>
      </c>
      <c r="J21" s="64">
        <v>1.1399999999999999</v>
      </c>
      <c r="K21" s="64">
        <v>246.54</v>
      </c>
      <c r="L21" s="64">
        <v>27.75</v>
      </c>
      <c r="M21" s="64">
        <v>50.46</v>
      </c>
      <c r="N21" s="64">
        <v>51.3</v>
      </c>
      <c r="O21" s="64">
        <v>0</v>
      </c>
      <c r="P21" s="64">
        <v>0.37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2179</v>
      </c>
      <c r="B22" s="64">
        <v>0.67</v>
      </c>
      <c r="C22" s="64">
        <v>31.12</v>
      </c>
      <c r="D22" s="64">
        <v>30.45</v>
      </c>
      <c r="E22" s="64">
        <v>2.93</v>
      </c>
      <c r="F22" s="64">
        <v>19.46</v>
      </c>
      <c r="G22" s="64">
        <v>37.79</v>
      </c>
      <c r="H22" s="64">
        <v>14.7</v>
      </c>
      <c r="I22" s="64">
        <v>3.96</v>
      </c>
      <c r="J22" s="64">
        <v>1.02</v>
      </c>
      <c r="K22" s="64">
        <v>269.95999999999998</v>
      </c>
      <c r="L22" s="64">
        <v>27.96</v>
      </c>
      <c r="M22" s="64">
        <v>49.44</v>
      </c>
      <c r="N22" s="64">
        <v>51.9</v>
      </c>
      <c r="O22" s="64">
        <v>0</v>
      </c>
      <c r="P22" s="64">
        <v>0.33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2180</v>
      </c>
      <c r="B23" s="64">
        <v>0.63</v>
      </c>
      <c r="C23" s="64">
        <v>31.12</v>
      </c>
      <c r="D23" s="64">
        <v>30.49</v>
      </c>
      <c r="E23" s="64">
        <v>3.1</v>
      </c>
      <c r="F23" s="64">
        <v>17.489999999999998</v>
      </c>
      <c r="G23" s="64">
        <v>36.76</v>
      </c>
      <c r="H23" s="64">
        <v>13.94</v>
      </c>
      <c r="I23" s="64">
        <v>3.93</v>
      </c>
      <c r="J23" s="64">
        <v>1.18</v>
      </c>
      <c r="K23" s="64">
        <v>251.61</v>
      </c>
      <c r="L23" s="64">
        <v>28</v>
      </c>
      <c r="M23" s="64">
        <v>48.87</v>
      </c>
      <c r="N23" s="64">
        <v>51.9</v>
      </c>
      <c r="O23" s="64">
        <v>0</v>
      </c>
      <c r="P23" s="64">
        <v>0.34</v>
      </c>
      <c r="Q23" s="64">
        <v>9.6</v>
      </c>
      <c r="R23" s="198"/>
      <c r="S23" s="198"/>
      <c r="T23" s="198"/>
      <c r="U23" s="198"/>
    </row>
    <row r="24" spans="1:21" s="12" customFormat="1" x14ac:dyDescent="0.25">
      <c r="A24" s="215" t="s">
        <v>2181</v>
      </c>
      <c r="B24" s="64">
        <v>0.19</v>
      </c>
      <c r="C24" s="64">
        <v>31.07</v>
      </c>
      <c r="D24" s="64">
        <v>30.88</v>
      </c>
      <c r="E24" s="64">
        <v>3.59</v>
      </c>
      <c r="F24" s="64">
        <v>19.16</v>
      </c>
      <c r="G24" s="64">
        <v>36.76</v>
      </c>
      <c r="H24" s="64">
        <v>13.94</v>
      </c>
      <c r="I24" s="64">
        <v>3.94</v>
      </c>
      <c r="J24" s="64">
        <v>1.06</v>
      </c>
      <c r="K24" s="64">
        <v>207.43</v>
      </c>
      <c r="L24" s="64">
        <v>27.78</v>
      </c>
      <c r="M24" s="64">
        <v>50.82</v>
      </c>
      <c r="N24" s="64">
        <v>52.4</v>
      </c>
      <c r="O24" s="64">
        <v>0</v>
      </c>
      <c r="P24" s="64">
        <v>0.31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2182</v>
      </c>
      <c r="B25" s="64">
        <v>1.73</v>
      </c>
      <c r="C25" s="64">
        <v>45.44</v>
      </c>
      <c r="D25" s="64">
        <v>43.71</v>
      </c>
      <c r="E25" s="64">
        <v>3.26</v>
      </c>
      <c r="F25" s="64">
        <v>16.72</v>
      </c>
      <c r="G25" s="64">
        <v>36.76</v>
      </c>
      <c r="H25" s="64">
        <v>13.94</v>
      </c>
      <c r="I25" s="64">
        <v>3.99</v>
      </c>
      <c r="J25" s="64">
        <v>1.3</v>
      </c>
      <c r="K25" s="64">
        <v>220.03</v>
      </c>
      <c r="L25" s="64">
        <v>27.35</v>
      </c>
      <c r="M25" s="64">
        <v>52.48</v>
      </c>
      <c r="N25" s="64">
        <v>52.4</v>
      </c>
      <c r="O25" s="64">
        <v>0</v>
      </c>
      <c r="P25" s="64">
        <v>0.34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2183</v>
      </c>
      <c r="B26" s="64">
        <v>0.09</v>
      </c>
      <c r="C26" s="64">
        <v>30.94</v>
      </c>
      <c r="D26" s="64">
        <v>30.85</v>
      </c>
      <c r="E26" s="64">
        <v>3.67</v>
      </c>
      <c r="F26" s="64">
        <v>18.73</v>
      </c>
      <c r="G26" s="64">
        <v>36.18</v>
      </c>
      <c r="H26" s="64">
        <v>13.14</v>
      </c>
      <c r="I26" s="64">
        <v>4.09</v>
      </c>
      <c r="J26" s="64">
        <v>1.52</v>
      </c>
      <c r="K26" s="64">
        <v>202.94</v>
      </c>
      <c r="L26" s="64">
        <v>27.14</v>
      </c>
      <c r="M26" s="64">
        <v>53.81</v>
      </c>
      <c r="N26" s="64">
        <v>52.3</v>
      </c>
      <c r="O26" s="64">
        <v>0</v>
      </c>
      <c r="P26" s="64">
        <v>0.33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2184</v>
      </c>
      <c r="B27" s="64">
        <v>0.35</v>
      </c>
      <c r="C27" s="64">
        <v>34.64</v>
      </c>
      <c r="D27" s="64">
        <v>34.29</v>
      </c>
      <c r="E27" s="64">
        <v>3.5</v>
      </c>
      <c r="F27" s="64">
        <v>14.57</v>
      </c>
      <c r="G27" s="64">
        <v>35.590000000000003</v>
      </c>
      <c r="H27" s="64">
        <v>12.3</v>
      </c>
      <c r="I27" s="64">
        <v>4.12</v>
      </c>
      <c r="J27" s="64">
        <v>1.76</v>
      </c>
      <c r="K27" s="64">
        <v>159.59</v>
      </c>
      <c r="L27" s="64">
        <v>26.92</v>
      </c>
      <c r="M27" s="64">
        <v>55.78</v>
      </c>
      <c r="N27" s="64">
        <v>52.4</v>
      </c>
      <c r="O27" s="64">
        <v>0</v>
      </c>
      <c r="P27" s="64">
        <v>0.35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2185</v>
      </c>
      <c r="B28" s="64">
        <v>1.99</v>
      </c>
      <c r="C28" s="64">
        <v>39.54</v>
      </c>
      <c r="D28" s="64">
        <v>37.549999999999997</v>
      </c>
      <c r="E28" s="64">
        <v>3.07</v>
      </c>
      <c r="F28" s="64">
        <v>12.43</v>
      </c>
      <c r="G28" s="64">
        <v>35.590000000000003</v>
      </c>
      <c r="H28" s="64">
        <v>12.3</v>
      </c>
      <c r="I28" s="64">
        <v>3.91</v>
      </c>
      <c r="J28" s="64">
        <v>1.52</v>
      </c>
      <c r="K28" s="64">
        <v>186.98</v>
      </c>
      <c r="L28" s="64">
        <v>26.82</v>
      </c>
      <c r="M28" s="64">
        <v>56.31</v>
      </c>
      <c r="N28" s="64">
        <v>52.3</v>
      </c>
      <c r="O28" s="64">
        <v>0</v>
      </c>
      <c r="P28" s="64">
        <v>0.36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5" t="s">
        <v>2186</v>
      </c>
      <c r="B29" s="64">
        <v>1.51</v>
      </c>
      <c r="C29" s="64">
        <v>39.630000000000003</v>
      </c>
      <c r="D29" s="64">
        <v>38.119999999999997</v>
      </c>
      <c r="E29" s="64">
        <v>3.42</v>
      </c>
      <c r="F29" s="64">
        <v>15.66</v>
      </c>
      <c r="G29" s="64">
        <v>35.590000000000003</v>
      </c>
      <c r="H29" s="64">
        <v>12.3</v>
      </c>
      <c r="I29" s="64">
        <v>3.92</v>
      </c>
      <c r="J29" s="64">
        <v>1.34</v>
      </c>
      <c r="K29" s="64">
        <v>235.08</v>
      </c>
      <c r="L29" s="64">
        <v>26.84</v>
      </c>
      <c r="M29" s="64">
        <v>55.54</v>
      </c>
      <c r="N29" s="64">
        <v>52.4</v>
      </c>
      <c r="O29" s="64">
        <v>0</v>
      </c>
      <c r="P29" s="64">
        <v>0.36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2187</v>
      </c>
      <c r="B30" s="64">
        <v>0.95</v>
      </c>
      <c r="C30" s="64">
        <v>38.32</v>
      </c>
      <c r="D30" s="64">
        <v>37.380000000000003</v>
      </c>
      <c r="E30" s="64">
        <v>3.63</v>
      </c>
      <c r="F30" s="64">
        <v>14.89</v>
      </c>
      <c r="G30" s="64">
        <v>37.46</v>
      </c>
      <c r="H30" s="64">
        <v>12.37</v>
      </c>
      <c r="I30" s="64">
        <v>3.75</v>
      </c>
      <c r="J30" s="64">
        <v>1.31</v>
      </c>
      <c r="K30" s="64">
        <v>195.57</v>
      </c>
      <c r="L30" s="64">
        <v>26.81</v>
      </c>
      <c r="M30" s="64">
        <v>56.17</v>
      </c>
      <c r="N30" s="64">
        <v>52.6</v>
      </c>
      <c r="O30" s="64">
        <v>0</v>
      </c>
      <c r="P30" s="64">
        <v>0.36</v>
      </c>
      <c r="Q30" s="64">
        <v>9.58</v>
      </c>
      <c r="R30" s="198"/>
      <c r="S30" s="198"/>
      <c r="T30" s="198"/>
      <c r="U30" s="198"/>
    </row>
    <row r="31" spans="1:21" s="12" customFormat="1" x14ac:dyDescent="0.25">
      <c r="A31" s="215" t="s">
        <v>2188</v>
      </c>
      <c r="B31" s="64">
        <v>0.73</v>
      </c>
      <c r="C31" s="64">
        <v>37.72</v>
      </c>
      <c r="D31" s="64">
        <v>36.979999999999997</v>
      </c>
      <c r="E31" s="64">
        <v>3.33</v>
      </c>
      <c r="F31" s="64">
        <v>14.17</v>
      </c>
      <c r="G31" s="64">
        <v>39.33</v>
      </c>
      <c r="H31" s="64">
        <v>12.44</v>
      </c>
      <c r="I31" s="64">
        <v>4.01</v>
      </c>
      <c r="J31" s="64">
        <v>1.1499999999999999</v>
      </c>
      <c r="K31" s="64">
        <v>222.5</v>
      </c>
      <c r="L31" s="64">
        <v>26.81</v>
      </c>
      <c r="M31" s="64">
        <v>56.39</v>
      </c>
      <c r="N31" s="64">
        <v>56</v>
      </c>
      <c r="O31" s="64">
        <v>0</v>
      </c>
      <c r="P31" s="64">
        <v>0.39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15" t="s">
        <v>2189</v>
      </c>
      <c r="B32" s="64">
        <v>0.56000000000000005</v>
      </c>
      <c r="C32" s="64">
        <v>38.700000000000003</v>
      </c>
      <c r="D32" s="64">
        <v>38.15</v>
      </c>
      <c r="E32" s="64">
        <v>3.45</v>
      </c>
      <c r="F32" s="64">
        <v>13.42</v>
      </c>
      <c r="G32" s="64">
        <v>39.33</v>
      </c>
      <c r="H32" s="64">
        <v>12.44</v>
      </c>
      <c r="I32" s="64">
        <v>3.87</v>
      </c>
      <c r="J32" s="64">
        <v>1.1599999999999999</v>
      </c>
      <c r="K32" s="64">
        <v>204.23</v>
      </c>
      <c r="L32" s="64">
        <v>26.81</v>
      </c>
      <c r="M32" s="64">
        <v>57.31</v>
      </c>
      <c r="N32" s="64">
        <v>65.099999999999994</v>
      </c>
      <c r="O32" s="64">
        <v>0</v>
      </c>
      <c r="P32" s="64">
        <v>0.42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5" t="s">
        <v>2190</v>
      </c>
      <c r="B33" s="64">
        <v>0.82</v>
      </c>
      <c r="C33" s="64">
        <v>41.14</v>
      </c>
      <c r="D33" s="64">
        <v>40.32</v>
      </c>
      <c r="E33" s="64">
        <v>3.52</v>
      </c>
      <c r="F33" s="64">
        <v>15.49</v>
      </c>
      <c r="G33" s="64">
        <v>39.33</v>
      </c>
      <c r="H33" s="64">
        <v>12.44</v>
      </c>
      <c r="I33" s="64">
        <v>4.01</v>
      </c>
      <c r="J33" s="64">
        <v>1.47</v>
      </c>
      <c r="K33" s="64">
        <v>191.23</v>
      </c>
      <c r="L33" s="64">
        <v>27.03</v>
      </c>
      <c r="M33" s="64">
        <v>57.5</v>
      </c>
      <c r="N33" s="64">
        <v>89.4</v>
      </c>
      <c r="O33" s="64">
        <v>0</v>
      </c>
      <c r="P33" s="64">
        <v>0.41</v>
      </c>
      <c r="Q33" s="64">
        <v>9.58</v>
      </c>
      <c r="R33" s="198"/>
      <c r="S33" s="198"/>
      <c r="T33" s="198"/>
      <c r="U33" s="198"/>
    </row>
    <row r="34" spans="1:21" s="12" customFormat="1" x14ac:dyDescent="0.25">
      <c r="A34" s="215" t="s">
        <v>2191</v>
      </c>
      <c r="B34" s="64">
        <v>2.33</v>
      </c>
      <c r="C34" s="64">
        <v>48.69</v>
      </c>
      <c r="D34" s="64">
        <v>46.36</v>
      </c>
      <c r="E34" s="64">
        <v>3.41</v>
      </c>
      <c r="F34" s="64">
        <v>12.15</v>
      </c>
      <c r="G34" s="64">
        <v>41.55</v>
      </c>
      <c r="H34" s="64">
        <v>13.28</v>
      </c>
      <c r="I34" s="64">
        <v>3.72</v>
      </c>
      <c r="J34" s="64">
        <v>1.31</v>
      </c>
      <c r="K34" s="64">
        <v>199.39</v>
      </c>
      <c r="L34" s="64">
        <v>27.43</v>
      </c>
      <c r="M34" s="64">
        <v>57.38</v>
      </c>
      <c r="N34" s="64">
        <v>122.4</v>
      </c>
      <c r="O34" s="64">
        <v>0</v>
      </c>
      <c r="P34" s="64">
        <v>0.43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2192</v>
      </c>
      <c r="B35" s="64">
        <v>3.18</v>
      </c>
      <c r="C35" s="64">
        <v>49</v>
      </c>
      <c r="D35" s="64">
        <v>45.82</v>
      </c>
      <c r="E35" s="64">
        <v>3.24</v>
      </c>
      <c r="F35" s="64">
        <v>14.41</v>
      </c>
      <c r="G35" s="64">
        <v>43.76</v>
      </c>
      <c r="H35" s="64">
        <v>14.16</v>
      </c>
      <c r="I35" s="64">
        <v>4.0999999999999996</v>
      </c>
      <c r="J35" s="64">
        <v>1.31</v>
      </c>
      <c r="K35" s="64">
        <v>218.75</v>
      </c>
      <c r="L35" s="64">
        <v>28.23</v>
      </c>
      <c r="M35" s="64">
        <v>55.92</v>
      </c>
      <c r="N35" s="64">
        <v>166.8</v>
      </c>
      <c r="O35" s="64">
        <v>0</v>
      </c>
      <c r="P35" s="64">
        <v>0.51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5" t="s">
        <v>2193</v>
      </c>
      <c r="B36" s="64">
        <v>6.68</v>
      </c>
      <c r="C36" s="64">
        <v>63.97</v>
      </c>
      <c r="D36" s="64">
        <v>57.3</v>
      </c>
      <c r="E36" s="64">
        <v>3.51</v>
      </c>
      <c r="F36" s="64">
        <v>12.15</v>
      </c>
      <c r="G36" s="64">
        <v>43.76</v>
      </c>
      <c r="H36" s="64">
        <v>14.16</v>
      </c>
      <c r="I36" s="64">
        <v>4.03</v>
      </c>
      <c r="J36" s="64">
        <v>1.73</v>
      </c>
      <c r="K36" s="64">
        <v>147.93</v>
      </c>
      <c r="L36" s="64">
        <v>29.29</v>
      </c>
      <c r="M36" s="64">
        <v>53.97</v>
      </c>
      <c r="N36" s="64">
        <v>197.5</v>
      </c>
      <c r="O36" s="64">
        <v>0</v>
      </c>
      <c r="P36" s="64">
        <v>0.52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5" t="s">
        <v>2194</v>
      </c>
      <c r="B37" s="64">
        <v>6.82</v>
      </c>
      <c r="C37" s="64">
        <v>54.45</v>
      </c>
      <c r="D37" s="64">
        <v>47.63</v>
      </c>
      <c r="E37" s="64">
        <v>3.21</v>
      </c>
      <c r="F37" s="64">
        <v>10.4</v>
      </c>
      <c r="G37" s="64">
        <v>43.76</v>
      </c>
      <c r="H37" s="64">
        <v>14.16</v>
      </c>
      <c r="I37" s="64">
        <v>4.04</v>
      </c>
      <c r="J37" s="64">
        <v>2.36</v>
      </c>
      <c r="K37" s="64">
        <v>156.5</v>
      </c>
      <c r="L37" s="64">
        <v>29.29</v>
      </c>
      <c r="M37" s="64">
        <v>54.64</v>
      </c>
      <c r="N37" s="64">
        <v>208.2</v>
      </c>
      <c r="O37" s="64">
        <v>0</v>
      </c>
      <c r="P37" s="64">
        <v>0.46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2195</v>
      </c>
      <c r="B38" s="64">
        <v>4.22</v>
      </c>
      <c r="C38" s="64">
        <v>48.07</v>
      </c>
      <c r="D38" s="64">
        <v>43.85</v>
      </c>
      <c r="E38" s="64">
        <v>3.12</v>
      </c>
      <c r="F38" s="64">
        <v>12.76</v>
      </c>
      <c r="G38" s="64">
        <v>47.75</v>
      </c>
      <c r="H38" s="64">
        <v>14.07</v>
      </c>
      <c r="I38" s="64">
        <v>3.87</v>
      </c>
      <c r="J38" s="64">
        <v>2.4</v>
      </c>
      <c r="K38" s="64">
        <v>164.71</v>
      </c>
      <c r="L38" s="64">
        <v>29.36</v>
      </c>
      <c r="M38" s="64">
        <v>53.62</v>
      </c>
      <c r="N38" s="64">
        <v>314</v>
      </c>
      <c r="O38" s="64">
        <v>0</v>
      </c>
      <c r="P38" s="64">
        <v>0.43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5" t="s">
        <v>2196</v>
      </c>
      <c r="B39" s="64">
        <v>3.39</v>
      </c>
      <c r="C39" s="64">
        <v>42.34</v>
      </c>
      <c r="D39" s="64">
        <v>38.950000000000003</v>
      </c>
      <c r="E39" s="64">
        <v>3.26</v>
      </c>
      <c r="F39" s="64">
        <v>15.89</v>
      </c>
      <c r="G39" s="64">
        <v>51.74</v>
      </c>
      <c r="H39" s="64">
        <v>13.99</v>
      </c>
      <c r="I39" s="64">
        <v>4.1500000000000004</v>
      </c>
      <c r="J39" s="64">
        <v>1.92</v>
      </c>
      <c r="K39" s="64">
        <v>162.94</v>
      </c>
      <c r="L39" s="64">
        <v>29.93</v>
      </c>
      <c r="M39" s="64">
        <v>52.66</v>
      </c>
      <c r="N39" s="64">
        <v>362.4</v>
      </c>
      <c r="O39" s="64">
        <v>0</v>
      </c>
      <c r="P39" s="64">
        <v>0.45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5" t="s">
        <v>2197</v>
      </c>
      <c r="B40" s="64">
        <v>4.0599999999999996</v>
      </c>
      <c r="C40" s="64">
        <v>40.56</v>
      </c>
      <c r="D40" s="64">
        <v>36.5</v>
      </c>
      <c r="E40" s="64">
        <v>2.6</v>
      </c>
      <c r="F40" s="64">
        <v>16.14</v>
      </c>
      <c r="G40" s="64">
        <v>51.74</v>
      </c>
      <c r="H40" s="64">
        <v>13.99</v>
      </c>
      <c r="I40" s="64">
        <v>4.05</v>
      </c>
      <c r="J40" s="64">
        <v>1.24</v>
      </c>
      <c r="K40" s="64">
        <v>243.63</v>
      </c>
      <c r="L40" s="64">
        <v>31.43</v>
      </c>
      <c r="M40" s="64">
        <v>49.12</v>
      </c>
      <c r="N40" s="64">
        <v>417.6</v>
      </c>
      <c r="O40" s="64">
        <v>0</v>
      </c>
      <c r="P40" s="64">
        <v>0.46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2198</v>
      </c>
      <c r="B41" s="64">
        <v>5.52</v>
      </c>
      <c r="C41" s="64">
        <v>43.23</v>
      </c>
      <c r="D41" s="64">
        <v>37.71</v>
      </c>
      <c r="E41" s="64">
        <v>3.31</v>
      </c>
      <c r="F41" s="64">
        <v>16.11</v>
      </c>
      <c r="G41" s="64">
        <v>51.74</v>
      </c>
      <c r="H41" s="64">
        <v>13.99</v>
      </c>
      <c r="I41" s="64">
        <v>4.2</v>
      </c>
      <c r="J41" s="64">
        <v>1.31</v>
      </c>
      <c r="K41" s="64">
        <v>238.86</v>
      </c>
      <c r="L41" s="64">
        <v>32.840000000000003</v>
      </c>
      <c r="M41" s="64">
        <v>47.06</v>
      </c>
      <c r="N41" s="64">
        <v>477.2</v>
      </c>
      <c r="O41" s="64">
        <v>0</v>
      </c>
      <c r="P41" s="64">
        <v>0.51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5" t="s">
        <v>2199</v>
      </c>
      <c r="B42" s="64">
        <v>3.99</v>
      </c>
      <c r="C42" s="64">
        <v>44.43</v>
      </c>
      <c r="D42" s="64">
        <v>40.44</v>
      </c>
      <c r="E42" s="64">
        <v>2.75</v>
      </c>
      <c r="F42" s="64">
        <v>12.59</v>
      </c>
      <c r="G42" s="64">
        <v>49.66</v>
      </c>
      <c r="H42" s="64">
        <v>14.87</v>
      </c>
      <c r="I42" s="64">
        <v>4.12</v>
      </c>
      <c r="J42" s="64">
        <v>1.33</v>
      </c>
      <c r="K42" s="64">
        <v>249.64</v>
      </c>
      <c r="L42" s="64">
        <v>32.74</v>
      </c>
      <c r="M42" s="64">
        <v>47.98</v>
      </c>
      <c r="N42" s="64">
        <v>542.29999999999995</v>
      </c>
      <c r="O42" s="64">
        <v>0</v>
      </c>
      <c r="P42" s="64">
        <v>0.48</v>
      </c>
      <c r="Q42" s="64">
        <v>9.58</v>
      </c>
      <c r="R42" s="198"/>
      <c r="S42" s="198"/>
      <c r="T42" s="198"/>
      <c r="U42" s="198"/>
    </row>
    <row r="43" spans="1:21" s="12" customFormat="1" x14ac:dyDescent="0.25">
      <c r="A43" s="215" t="s">
        <v>2200</v>
      </c>
      <c r="B43" s="64">
        <v>2.91</v>
      </c>
      <c r="C43" s="64">
        <v>42.19</v>
      </c>
      <c r="D43" s="64">
        <v>39.28</v>
      </c>
      <c r="E43" s="64">
        <v>2.61</v>
      </c>
      <c r="F43" s="64">
        <v>11.59</v>
      </c>
      <c r="G43" s="64">
        <v>47.48</v>
      </c>
      <c r="H43" s="64">
        <v>15.79</v>
      </c>
      <c r="I43" s="64">
        <v>4.07</v>
      </c>
      <c r="J43" s="64">
        <v>1.54</v>
      </c>
      <c r="K43" s="64">
        <v>253.68</v>
      </c>
      <c r="L43" s="64">
        <v>33.299999999999997</v>
      </c>
      <c r="M43" s="64">
        <v>47.18</v>
      </c>
      <c r="N43" s="64">
        <v>599.79999999999995</v>
      </c>
      <c r="O43" s="64">
        <v>0</v>
      </c>
      <c r="P43" s="64">
        <v>0.46</v>
      </c>
      <c r="Q43" s="64">
        <v>9.59</v>
      </c>
      <c r="R43" s="198"/>
      <c r="S43" s="198"/>
      <c r="T43" s="198"/>
      <c r="U43" s="198"/>
    </row>
    <row r="44" spans="1:21" s="12" customFormat="1" x14ac:dyDescent="0.25">
      <c r="A44" s="215" t="s">
        <v>2201</v>
      </c>
      <c r="B44" s="64">
        <v>2.0699999999999998</v>
      </c>
      <c r="C44" s="64">
        <v>41.54</v>
      </c>
      <c r="D44" s="64">
        <v>39.47</v>
      </c>
      <c r="E44" s="64">
        <v>2.38</v>
      </c>
      <c r="F44" s="64">
        <v>11.3</v>
      </c>
      <c r="G44" s="64">
        <v>47.48</v>
      </c>
      <c r="H44" s="64">
        <v>15.79</v>
      </c>
      <c r="I44" s="64">
        <v>4.18</v>
      </c>
      <c r="J44" s="64">
        <v>1.39</v>
      </c>
      <c r="K44" s="64">
        <v>275.51</v>
      </c>
      <c r="L44" s="64">
        <v>34.54</v>
      </c>
      <c r="M44" s="64">
        <v>43.88</v>
      </c>
      <c r="N44" s="64">
        <v>639.5</v>
      </c>
      <c r="O44" s="64">
        <v>0</v>
      </c>
      <c r="P44" s="64">
        <v>0.45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2202</v>
      </c>
      <c r="B45" s="64">
        <v>1.25</v>
      </c>
      <c r="C45" s="64">
        <v>42.32</v>
      </c>
      <c r="D45" s="64">
        <v>41.07</v>
      </c>
      <c r="E45" s="64">
        <v>2.25</v>
      </c>
      <c r="F45" s="64">
        <v>8.34</v>
      </c>
      <c r="G45" s="64">
        <v>47.48</v>
      </c>
      <c r="H45" s="64">
        <v>15.79</v>
      </c>
      <c r="I45" s="64">
        <v>3.94</v>
      </c>
      <c r="J45" s="64">
        <v>1.37</v>
      </c>
      <c r="K45" s="64">
        <v>262.76</v>
      </c>
      <c r="L45" s="64">
        <v>34.74</v>
      </c>
      <c r="M45" s="64">
        <v>41.19</v>
      </c>
      <c r="N45" s="64">
        <v>679.8</v>
      </c>
      <c r="O45" s="64">
        <v>0</v>
      </c>
      <c r="P45" s="64">
        <v>0.46</v>
      </c>
      <c r="Q45" s="64">
        <v>9.59</v>
      </c>
      <c r="R45" s="198"/>
      <c r="S45" s="198"/>
      <c r="T45" s="198"/>
      <c r="U45" s="198"/>
    </row>
    <row r="46" spans="1:21" s="12" customFormat="1" x14ac:dyDescent="0.25">
      <c r="A46" s="215" t="s">
        <v>2203</v>
      </c>
      <c r="B46" s="64">
        <v>0.72</v>
      </c>
      <c r="C46" s="64">
        <v>41.87</v>
      </c>
      <c r="D46" s="64">
        <v>41.15</v>
      </c>
      <c r="E46" s="64">
        <v>2.5099999999999998</v>
      </c>
      <c r="F46" s="64">
        <v>10.91</v>
      </c>
      <c r="G46" s="64">
        <v>48.91</v>
      </c>
      <c r="H46" s="64">
        <v>17.61</v>
      </c>
      <c r="I46" s="64">
        <v>4.0999999999999996</v>
      </c>
      <c r="J46" s="64">
        <v>1.32</v>
      </c>
      <c r="K46" s="64">
        <v>251.17</v>
      </c>
      <c r="L46" s="64">
        <v>35.08</v>
      </c>
      <c r="M46" s="64">
        <v>38.57</v>
      </c>
      <c r="N46" s="64">
        <v>722.1</v>
      </c>
      <c r="O46" s="64">
        <v>0</v>
      </c>
      <c r="P46" s="64">
        <v>0.46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2204</v>
      </c>
      <c r="B47" s="64">
        <v>0.24</v>
      </c>
      <c r="C47" s="64">
        <v>39.22</v>
      </c>
      <c r="D47" s="64">
        <v>38.979999999999997</v>
      </c>
      <c r="E47" s="64">
        <v>2.2599999999999998</v>
      </c>
      <c r="F47" s="64">
        <v>8.98</v>
      </c>
      <c r="G47" s="64">
        <v>50.34</v>
      </c>
      <c r="H47" s="64">
        <v>19.510000000000002</v>
      </c>
      <c r="I47" s="64">
        <v>4.0199999999999996</v>
      </c>
      <c r="J47" s="64">
        <v>1.68</v>
      </c>
      <c r="K47" s="64">
        <v>254.27</v>
      </c>
      <c r="L47" s="64">
        <v>35.72</v>
      </c>
      <c r="M47" s="64">
        <v>36.42</v>
      </c>
      <c r="N47" s="64">
        <v>779.5</v>
      </c>
      <c r="O47" s="64">
        <v>0</v>
      </c>
      <c r="P47" s="64">
        <v>0.45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2205</v>
      </c>
      <c r="B48" s="64">
        <v>7.0000000000000007E-2</v>
      </c>
      <c r="C48" s="64">
        <v>40.799999999999997</v>
      </c>
      <c r="D48" s="64">
        <v>40.72</v>
      </c>
      <c r="E48" s="64">
        <v>1.92</v>
      </c>
      <c r="F48" s="64">
        <v>10.64</v>
      </c>
      <c r="G48" s="64">
        <v>50.34</v>
      </c>
      <c r="H48" s="64">
        <v>19.510000000000002</v>
      </c>
      <c r="I48" s="64">
        <v>3.86</v>
      </c>
      <c r="J48" s="64">
        <v>1.49</v>
      </c>
      <c r="K48" s="64">
        <v>249.22</v>
      </c>
      <c r="L48" s="64">
        <v>35.630000000000003</v>
      </c>
      <c r="M48" s="64">
        <v>36.409999999999997</v>
      </c>
      <c r="N48" s="64">
        <v>821.6</v>
      </c>
      <c r="O48" s="64">
        <v>0</v>
      </c>
      <c r="P48" s="64">
        <v>0.45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5" t="s">
        <v>2206</v>
      </c>
      <c r="B49" s="64">
        <v>0</v>
      </c>
      <c r="C49" s="64">
        <v>37.43</v>
      </c>
      <c r="D49" s="64">
        <v>37.43</v>
      </c>
      <c r="E49" s="64">
        <v>2.2400000000000002</v>
      </c>
      <c r="F49" s="64">
        <v>9.0399999999999991</v>
      </c>
      <c r="G49" s="64">
        <v>50.34</v>
      </c>
      <c r="H49" s="64">
        <v>19.510000000000002</v>
      </c>
      <c r="I49" s="64">
        <v>3.99</v>
      </c>
      <c r="J49" s="64">
        <v>1.6</v>
      </c>
      <c r="K49" s="64">
        <v>270.99</v>
      </c>
      <c r="L49" s="64">
        <v>36.46</v>
      </c>
      <c r="M49" s="64">
        <v>34.65</v>
      </c>
      <c r="N49" s="64">
        <v>858.1</v>
      </c>
      <c r="O49" s="64">
        <v>0</v>
      </c>
      <c r="P49" s="64">
        <v>0.45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5" t="s">
        <v>2207</v>
      </c>
      <c r="B50" s="64">
        <v>0.26</v>
      </c>
      <c r="C50" s="64">
        <v>38.369999999999997</v>
      </c>
      <c r="D50" s="64">
        <v>38.11</v>
      </c>
      <c r="E50" s="64">
        <v>1.82</v>
      </c>
      <c r="F50" s="64">
        <v>10.86</v>
      </c>
      <c r="G50" s="64">
        <v>51.12</v>
      </c>
      <c r="H50" s="64">
        <v>19.89</v>
      </c>
      <c r="I50" s="64">
        <v>3.83</v>
      </c>
      <c r="J50" s="64">
        <v>1.3</v>
      </c>
      <c r="K50" s="64">
        <v>265.39</v>
      </c>
      <c r="L50" s="64">
        <v>37.450000000000003</v>
      </c>
      <c r="M50" s="64">
        <v>33.21</v>
      </c>
      <c r="N50" s="64">
        <v>863.7</v>
      </c>
      <c r="O50" s="64">
        <v>0</v>
      </c>
      <c r="P50" s="64">
        <v>0.46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5" t="s">
        <v>2208</v>
      </c>
      <c r="B51" s="64">
        <v>0.36</v>
      </c>
      <c r="C51" s="64">
        <v>45.13</v>
      </c>
      <c r="D51" s="64">
        <v>44.78</v>
      </c>
      <c r="E51" s="64">
        <v>1.51</v>
      </c>
      <c r="F51" s="64">
        <v>10.52</v>
      </c>
      <c r="G51" s="64">
        <v>51.9</v>
      </c>
      <c r="H51" s="64">
        <v>20.28</v>
      </c>
      <c r="I51" s="64">
        <v>4.0999999999999996</v>
      </c>
      <c r="J51" s="64">
        <v>1.93</v>
      </c>
      <c r="K51" s="64">
        <v>289.94</v>
      </c>
      <c r="L51" s="64">
        <v>38.799999999999997</v>
      </c>
      <c r="M51" s="64">
        <v>31.64</v>
      </c>
      <c r="N51" s="64">
        <v>880.7</v>
      </c>
      <c r="O51" s="64">
        <v>0</v>
      </c>
      <c r="P51" s="64">
        <v>0.48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5" t="s">
        <v>2209</v>
      </c>
      <c r="B52" s="64">
        <v>0.69</v>
      </c>
      <c r="C52" s="64">
        <v>39.729999999999997</v>
      </c>
      <c r="D52" s="64">
        <v>39.049999999999997</v>
      </c>
      <c r="E52" s="64">
        <v>1.97</v>
      </c>
      <c r="F52" s="64">
        <v>9.18</v>
      </c>
      <c r="G52" s="64">
        <v>51.9</v>
      </c>
      <c r="H52" s="64">
        <v>20.28</v>
      </c>
      <c r="I52" s="64">
        <v>4.04</v>
      </c>
      <c r="J52" s="64">
        <v>1.87</v>
      </c>
      <c r="K52" s="64">
        <v>282.14999999999998</v>
      </c>
      <c r="L52" s="64">
        <v>39.99</v>
      </c>
      <c r="M52" s="64">
        <v>27.93</v>
      </c>
      <c r="N52" s="64">
        <v>895</v>
      </c>
      <c r="O52" s="64">
        <v>0</v>
      </c>
      <c r="P52" s="64">
        <v>0.48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5" t="s">
        <v>2210</v>
      </c>
      <c r="B53" s="64">
        <v>0.09</v>
      </c>
      <c r="C53" s="64">
        <v>36.58</v>
      </c>
      <c r="D53" s="64">
        <v>36.49</v>
      </c>
      <c r="E53" s="64">
        <v>1.86</v>
      </c>
      <c r="F53" s="64">
        <v>9.73</v>
      </c>
      <c r="G53" s="64">
        <v>51.9</v>
      </c>
      <c r="H53" s="64">
        <v>20.28</v>
      </c>
      <c r="I53" s="64">
        <v>4.08</v>
      </c>
      <c r="J53" s="64">
        <v>1.98</v>
      </c>
      <c r="K53" s="64">
        <v>281.01</v>
      </c>
      <c r="L53" s="64">
        <v>39.020000000000003</v>
      </c>
      <c r="M53" s="64">
        <v>26.6</v>
      </c>
      <c r="N53" s="64">
        <v>920.5</v>
      </c>
      <c r="O53" s="64">
        <v>0</v>
      </c>
      <c r="P53" s="64">
        <v>0.47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2211</v>
      </c>
      <c r="B54" s="64">
        <v>7.0000000000000007E-2</v>
      </c>
      <c r="C54" s="64">
        <v>35.700000000000003</v>
      </c>
      <c r="D54" s="64">
        <v>35.630000000000003</v>
      </c>
      <c r="E54" s="64">
        <v>2.17</v>
      </c>
      <c r="F54" s="64">
        <v>11</v>
      </c>
      <c r="G54" s="64">
        <v>50.04</v>
      </c>
      <c r="H54" s="64">
        <v>18.760000000000002</v>
      </c>
      <c r="I54" s="64">
        <v>3.91</v>
      </c>
      <c r="J54" s="64">
        <v>1.77</v>
      </c>
      <c r="K54" s="64">
        <v>279.77999999999997</v>
      </c>
      <c r="L54" s="64">
        <v>39.56</v>
      </c>
      <c r="M54" s="64">
        <v>24.41</v>
      </c>
      <c r="N54" s="64">
        <v>925.7</v>
      </c>
      <c r="O54" s="64">
        <v>0</v>
      </c>
      <c r="P54" s="64">
        <v>0.48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5" t="s">
        <v>2212</v>
      </c>
      <c r="B55" s="64">
        <v>0.03</v>
      </c>
      <c r="C55" s="64">
        <v>38</v>
      </c>
      <c r="D55" s="64">
        <v>37.97</v>
      </c>
      <c r="E55" s="64">
        <v>2.4700000000000002</v>
      </c>
      <c r="F55" s="64">
        <v>12.85</v>
      </c>
      <c r="G55" s="64">
        <v>48.17</v>
      </c>
      <c r="H55" s="64">
        <v>17.170000000000002</v>
      </c>
      <c r="I55" s="64">
        <v>3.86</v>
      </c>
      <c r="J55" s="64">
        <v>1.54</v>
      </c>
      <c r="K55" s="64">
        <v>269.18</v>
      </c>
      <c r="L55" s="64">
        <v>39.85</v>
      </c>
      <c r="M55" s="64">
        <v>22.34</v>
      </c>
      <c r="N55" s="64">
        <v>935.4</v>
      </c>
      <c r="O55" s="64">
        <v>0</v>
      </c>
      <c r="P55" s="64">
        <v>0.49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5" t="s">
        <v>2213</v>
      </c>
      <c r="B56" s="64">
        <v>0.15</v>
      </c>
      <c r="C56" s="64">
        <v>42.97</v>
      </c>
      <c r="D56" s="64">
        <v>42.82</v>
      </c>
      <c r="E56" s="64">
        <v>5.54</v>
      </c>
      <c r="F56" s="64">
        <v>19.690000000000001</v>
      </c>
      <c r="G56" s="64">
        <v>48.17</v>
      </c>
      <c r="H56" s="64">
        <v>17.170000000000002</v>
      </c>
      <c r="I56" s="64">
        <v>3.89</v>
      </c>
      <c r="J56" s="64">
        <v>1.2</v>
      </c>
      <c r="K56" s="64">
        <v>220.98</v>
      </c>
      <c r="L56" s="64">
        <v>38.75</v>
      </c>
      <c r="M56" s="64">
        <v>23.24</v>
      </c>
      <c r="N56" s="64">
        <v>930.4</v>
      </c>
      <c r="O56" s="64">
        <v>0</v>
      </c>
      <c r="P56" s="64">
        <v>0.55000000000000004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2214</v>
      </c>
      <c r="B57" s="64">
        <v>0.56999999999999995</v>
      </c>
      <c r="C57" s="64">
        <v>47.25</v>
      </c>
      <c r="D57" s="64">
        <v>46.68</v>
      </c>
      <c r="E57" s="64">
        <v>5.52</v>
      </c>
      <c r="F57" s="64">
        <v>15.03</v>
      </c>
      <c r="G57" s="64">
        <v>48.17</v>
      </c>
      <c r="H57" s="64">
        <v>17.170000000000002</v>
      </c>
      <c r="I57" s="64">
        <v>3.99</v>
      </c>
      <c r="J57" s="64">
        <v>1.59</v>
      </c>
      <c r="K57" s="64">
        <v>282.25</v>
      </c>
      <c r="L57" s="64">
        <v>40.32</v>
      </c>
      <c r="M57" s="64">
        <v>22.74</v>
      </c>
      <c r="N57" s="64">
        <v>925.8</v>
      </c>
      <c r="O57" s="64">
        <v>0</v>
      </c>
      <c r="P57" s="64">
        <v>0.6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5" t="s">
        <v>2215</v>
      </c>
      <c r="B58" s="64">
        <v>1.1100000000000001</v>
      </c>
      <c r="C58" s="64">
        <v>45.97</v>
      </c>
      <c r="D58" s="64">
        <v>44.86</v>
      </c>
      <c r="E58" s="64">
        <v>5.71</v>
      </c>
      <c r="F58" s="64">
        <v>21.26</v>
      </c>
      <c r="G58" s="64">
        <v>48.29</v>
      </c>
      <c r="H58" s="64">
        <v>18.41</v>
      </c>
      <c r="I58" s="64">
        <v>3.97</v>
      </c>
      <c r="J58" s="64">
        <v>1.27</v>
      </c>
      <c r="K58" s="64">
        <v>263.52</v>
      </c>
      <c r="L58" s="64">
        <v>40.35</v>
      </c>
      <c r="M58" s="64">
        <v>22.14</v>
      </c>
      <c r="N58" s="64">
        <v>932.8</v>
      </c>
      <c r="O58" s="64">
        <v>0</v>
      </c>
      <c r="P58" s="64">
        <v>0.56999999999999995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5" t="s">
        <v>2216</v>
      </c>
      <c r="B59" s="64">
        <v>0.31</v>
      </c>
      <c r="C59" s="64">
        <v>48.35</v>
      </c>
      <c r="D59" s="64">
        <v>48.05</v>
      </c>
      <c r="E59" s="64">
        <v>6.57</v>
      </c>
      <c r="F59" s="64">
        <v>17.36</v>
      </c>
      <c r="G59" s="64">
        <v>48.41</v>
      </c>
      <c r="H59" s="64">
        <v>19.7</v>
      </c>
      <c r="I59" s="64">
        <v>4.03</v>
      </c>
      <c r="J59" s="64">
        <v>1.25</v>
      </c>
      <c r="K59" s="64">
        <v>225.99</v>
      </c>
      <c r="L59" s="64">
        <v>40.049999999999997</v>
      </c>
      <c r="M59" s="64">
        <v>22.44</v>
      </c>
      <c r="N59" s="64">
        <v>902</v>
      </c>
      <c r="O59" s="64">
        <v>0</v>
      </c>
      <c r="P59" s="64">
        <v>0.57999999999999996</v>
      </c>
      <c r="Q59" s="64">
        <v>9.57</v>
      </c>
      <c r="R59" s="198"/>
      <c r="S59" s="198"/>
      <c r="T59" s="198"/>
      <c r="U59" s="198"/>
    </row>
    <row r="60" spans="1:21" s="12" customFormat="1" x14ac:dyDescent="0.25">
      <c r="A60" s="215" t="s">
        <v>2217</v>
      </c>
      <c r="B60" s="64">
        <v>0.69</v>
      </c>
      <c r="C60" s="64">
        <v>46</v>
      </c>
      <c r="D60" s="64">
        <v>45.31</v>
      </c>
      <c r="E60" s="64">
        <v>5.79</v>
      </c>
      <c r="F60" s="64">
        <v>22.69</v>
      </c>
      <c r="G60" s="64">
        <v>48.41</v>
      </c>
      <c r="H60" s="64">
        <v>19.7</v>
      </c>
      <c r="I60" s="64">
        <v>4</v>
      </c>
      <c r="J60" s="64">
        <v>0.97</v>
      </c>
      <c r="K60" s="64">
        <v>193.59</v>
      </c>
      <c r="L60" s="64">
        <v>39.520000000000003</v>
      </c>
      <c r="M60" s="64">
        <v>22.92</v>
      </c>
      <c r="N60" s="64">
        <v>893.4</v>
      </c>
      <c r="O60" s="64">
        <v>0</v>
      </c>
      <c r="P60" s="64">
        <v>0.54</v>
      </c>
      <c r="Q60" s="64">
        <v>9.59</v>
      </c>
      <c r="R60" s="198"/>
      <c r="S60" s="198"/>
      <c r="T60" s="198"/>
      <c r="U60" s="198"/>
    </row>
    <row r="61" spans="1:21" s="12" customFormat="1" x14ac:dyDescent="0.25">
      <c r="A61" s="215" t="s">
        <v>2218</v>
      </c>
      <c r="B61" s="64">
        <v>0.12</v>
      </c>
      <c r="C61" s="64">
        <v>45.77</v>
      </c>
      <c r="D61" s="64">
        <v>45.65</v>
      </c>
      <c r="E61" s="64">
        <v>5.62</v>
      </c>
      <c r="F61" s="64">
        <v>18.91</v>
      </c>
      <c r="G61" s="64">
        <v>48.41</v>
      </c>
      <c r="H61" s="64">
        <v>19.7</v>
      </c>
      <c r="I61" s="64">
        <v>3.78</v>
      </c>
      <c r="J61" s="64">
        <v>1.43</v>
      </c>
      <c r="K61" s="64">
        <v>229.29</v>
      </c>
      <c r="L61" s="64">
        <v>39.979999999999997</v>
      </c>
      <c r="M61" s="64">
        <v>21.41</v>
      </c>
      <c r="N61" s="64">
        <v>855.9</v>
      </c>
      <c r="O61" s="64">
        <v>0</v>
      </c>
      <c r="P61" s="64">
        <v>0.55000000000000004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5" t="s">
        <v>2219</v>
      </c>
      <c r="B62" s="64">
        <v>0.94</v>
      </c>
      <c r="C62" s="64">
        <v>51.94</v>
      </c>
      <c r="D62" s="64">
        <v>51</v>
      </c>
      <c r="E62" s="64">
        <v>6.5</v>
      </c>
      <c r="F62" s="64">
        <v>22.35</v>
      </c>
      <c r="G62" s="64">
        <v>50.75</v>
      </c>
      <c r="H62" s="64">
        <v>20.04</v>
      </c>
      <c r="I62" s="64">
        <v>3.86</v>
      </c>
      <c r="J62" s="64">
        <v>1.03</v>
      </c>
      <c r="K62" s="64">
        <v>213.27</v>
      </c>
      <c r="L62" s="64">
        <v>39.83</v>
      </c>
      <c r="M62" s="64">
        <v>21.38</v>
      </c>
      <c r="N62" s="64">
        <v>832.3</v>
      </c>
      <c r="O62" s="64">
        <v>0</v>
      </c>
      <c r="P62" s="64">
        <v>0.57999999999999996</v>
      </c>
      <c r="Q62" s="64">
        <v>9.58</v>
      </c>
      <c r="R62" s="198"/>
      <c r="S62" s="198"/>
      <c r="T62" s="198"/>
      <c r="U62" s="198"/>
    </row>
    <row r="63" spans="1:21" s="12" customFormat="1" x14ac:dyDescent="0.25">
      <c r="A63" s="215" t="s">
        <v>2220</v>
      </c>
      <c r="B63" s="64">
        <v>0.06</v>
      </c>
      <c r="C63" s="64">
        <v>38.92</v>
      </c>
      <c r="D63" s="64">
        <v>38.85</v>
      </c>
      <c r="E63" s="64">
        <v>12.79</v>
      </c>
      <c r="F63" s="64">
        <v>33.26</v>
      </c>
      <c r="G63" s="64">
        <v>53.09</v>
      </c>
      <c r="H63" s="64">
        <v>20.399999999999999</v>
      </c>
      <c r="I63" s="64">
        <v>3.96</v>
      </c>
      <c r="J63" s="64">
        <v>1.31</v>
      </c>
      <c r="K63" s="64">
        <v>161.12</v>
      </c>
      <c r="L63" s="64">
        <v>40.03</v>
      </c>
      <c r="M63" s="64">
        <v>21.06</v>
      </c>
      <c r="N63" s="64">
        <v>759.5</v>
      </c>
      <c r="O63" s="64">
        <v>0</v>
      </c>
      <c r="P63" s="64">
        <v>0.52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5" t="s">
        <v>2221</v>
      </c>
      <c r="B64" s="64">
        <v>0.05</v>
      </c>
      <c r="C64" s="64">
        <v>38.71</v>
      </c>
      <c r="D64" s="64">
        <v>38.67</v>
      </c>
      <c r="E64" s="64">
        <v>9.86</v>
      </c>
      <c r="F64" s="64">
        <v>25.81</v>
      </c>
      <c r="G64" s="64">
        <v>53.09</v>
      </c>
      <c r="H64" s="64">
        <v>20.399999999999999</v>
      </c>
      <c r="I64" s="64">
        <v>4.04</v>
      </c>
      <c r="J64" s="64">
        <v>0.83</v>
      </c>
      <c r="K64" s="64">
        <v>264.51</v>
      </c>
      <c r="L64" s="64">
        <v>41.21</v>
      </c>
      <c r="M64" s="64">
        <v>19.190000000000001</v>
      </c>
      <c r="N64" s="64">
        <v>531.29999999999995</v>
      </c>
      <c r="O64" s="64">
        <v>0</v>
      </c>
      <c r="P64" s="64">
        <v>0.57999999999999996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5" t="s">
        <v>2222</v>
      </c>
      <c r="B65" s="64">
        <v>0.15</v>
      </c>
      <c r="C65" s="64">
        <v>35.549999999999997</v>
      </c>
      <c r="D65" s="64">
        <v>35.4</v>
      </c>
      <c r="E65" s="64">
        <v>14.34</v>
      </c>
      <c r="F65" s="64">
        <v>33.81</v>
      </c>
      <c r="G65" s="64">
        <v>53.09</v>
      </c>
      <c r="H65" s="64">
        <v>20.399999999999999</v>
      </c>
      <c r="I65" s="64">
        <v>3.96</v>
      </c>
      <c r="J65" s="64">
        <v>0.81</v>
      </c>
      <c r="K65" s="64">
        <v>182.48</v>
      </c>
      <c r="L65" s="64">
        <v>40.92</v>
      </c>
      <c r="M65" s="64">
        <v>19.84</v>
      </c>
      <c r="N65" s="64">
        <v>483.5</v>
      </c>
      <c r="O65" s="64">
        <v>0</v>
      </c>
      <c r="P65" s="64">
        <v>0.54</v>
      </c>
      <c r="Q65" s="64">
        <v>9.57</v>
      </c>
      <c r="R65" s="198"/>
      <c r="S65" s="198"/>
      <c r="T65" s="198"/>
      <c r="U65" s="198"/>
    </row>
    <row r="66" spans="1:21" s="12" customFormat="1" x14ac:dyDescent="0.25">
      <c r="A66" s="215" t="s">
        <v>2223</v>
      </c>
      <c r="B66" s="64">
        <v>0</v>
      </c>
      <c r="C66" s="64">
        <v>32.880000000000003</v>
      </c>
      <c r="D66" s="64">
        <v>32.880000000000003</v>
      </c>
      <c r="E66" s="64">
        <v>16.670000000000002</v>
      </c>
      <c r="F66" s="64">
        <v>44.79</v>
      </c>
      <c r="G66" s="64">
        <v>52.73</v>
      </c>
      <c r="H66" s="64">
        <v>19.64</v>
      </c>
      <c r="I66" s="64">
        <v>4.0199999999999996</v>
      </c>
      <c r="J66" s="64">
        <v>1.23</v>
      </c>
      <c r="K66" s="64">
        <v>128.11000000000001</v>
      </c>
      <c r="L66" s="64">
        <v>39.520000000000003</v>
      </c>
      <c r="M66" s="64">
        <v>21.16</v>
      </c>
      <c r="N66" s="64">
        <v>487.8</v>
      </c>
      <c r="O66" s="64">
        <v>0</v>
      </c>
      <c r="P66" s="64">
        <v>0.48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5" t="s">
        <v>2224</v>
      </c>
      <c r="B67" s="64">
        <v>0</v>
      </c>
      <c r="C67" s="64">
        <v>39.1</v>
      </c>
      <c r="D67" s="64">
        <v>39.1</v>
      </c>
      <c r="E67" s="64">
        <v>8.9600000000000009</v>
      </c>
      <c r="F67" s="64">
        <v>26.05</v>
      </c>
      <c r="G67" s="64">
        <v>52.37</v>
      </c>
      <c r="H67" s="64">
        <v>18.850000000000001</v>
      </c>
      <c r="I67" s="64">
        <v>3.96</v>
      </c>
      <c r="J67" s="64">
        <v>1.3</v>
      </c>
      <c r="K67" s="64">
        <v>189.48</v>
      </c>
      <c r="L67" s="64">
        <v>39.770000000000003</v>
      </c>
      <c r="M67" s="64">
        <v>19.78</v>
      </c>
      <c r="N67" s="64">
        <v>543.4</v>
      </c>
      <c r="O67" s="64">
        <v>0</v>
      </c>
      <c r="P67" s="64">
        <v>0.55000000000000004</v>
      </c>
      <c r="Q67" s="64">
        <v>9.57</v>
      </c>
      <c r="R67" s="198"/>
      <c r="S67" s="198"/>
      <c r="T67" s="198"/>
      <c r="U67" s="198"/>
    </row>
    <row r="68" spans="1:21" s="12" customFormat="1" x14ac:dyDescent="0.25">
      <c r="A68" s="215" t="s">
        <v>2225</v>
      </c>
      <c r="B68" s="64">
        <v>0.48</v>
      </c>
      <c r="C68" s="64">
        <v>44.94</v>
      </c>
      <c r="D68" s="64">
        <v>44.46</v>
      </c>
      <c r="E68" s="64">
        <v>9.98</v>
      </c>
      <c r="F68" s="64">
        <v>28.54</v>
      </c>
      <c r="G68" s="64">
        <v>52.37</v>
      </c>
      <c r="H68" s="64">
        <v>18.850000000000001</v>
      </c>
      <c r="I68" s="64">
        <v>3.85</v>
      </c>
      <c r="J68" s="64">
        <v>1.07</v>
      </c>
      <c r="K68" s="64">
        <v>224.7</v>
      </c>
      <c r="L68" s="64">
        <v>39.96</v>
      </c>
      <c r="M68" s="64">
        <v>19.329999999999998</v>
      </c>
      <c r="N68" s="64">
        <v>317</v>
      </c>
      <c r="O68" s="64">
        <v>0</v>
      </c>
      <c r="P68" s="64">
        <v>0.53</v>
      </c>
      <c r="Q68" s="64">
        <v>9.57</v>
      </c>
      <c r="R68" s="198"/>
      <c r="S68" s="198"/>
      <c r="T68" s="198"/>
      <c r="U68" s="198"/>
    </row>
    <row r="69" spans="1:21" s="12" customFormat="1" x14ac:dyDescent="0.25">
      <c r="A69" s="215" t="s">
        <v>2226</v>
      </c>
      <c r="B69" s="64">
        <v>0.26</v>
      </c>
      <c r="C69" s="64">
        <v>42.78</v>
      </c>
      <c r="D69" s="64">
        <v>42.53</v>
      </c>
      <c r="E69" s="64">
        <v>10.9</v>
      </c>
      <c r="F69" s="64">
        <v>31.69</v>
      </c>
      <c r="G69" s="64">
        <v>52.37</v>
      </c>
      <c r="H69" s="64">
        <v>18.850000000000001</v>
      </c>
      <c r="I69" s="64">
        <v>4.0199999999999996</v>
      </c>
      <c r="J69" s="64">
        <v>1.97</v>
      </c>
      <c r="K69" s="64">
        <v>158.02000000000001</v>
      </c>
      <c r="L69" s="64">
        <v>39.94</v>
      </c>
      <c r="M69" s="64">
        <v>19.690000000000001</v>
      </c>
      <c r="N69" s="64">
        <v>374.9</v>
      </c>
      <c r="O69" s="64">
        <v>0</v>
      </c>
      <c r="P69" s="64">
        <v>0.52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5" t="s">
        <v>2227</v>
      </c>
      <c r="B70" s="64">
        <v>2.2599999999999998</v>
      </c>
      <c r="C70" s="64">
        <v>55.12</v>
      </c>
      <c r="D70" s="64">
        <v>52.86</v>
      </c>
      <c r="E70" s="64">
        <v>8.2799999999999994</v>
      </c>
      <c r="F70" s="64">
        <v>30.9</v>
      </c>
      <c r="G70" s="64">
        <v>52.98</v>
      </c>
      <c r="H70" s="64">
        <v>19.03</v>
      </c>
      <c r="I70" s="64">
        <v>4.1100000000000003</v>
      </c>
      <c r="J70" s="64">
        <v>1.06</v>
      </c>
      <c r="K70" s="64">
        <v>273.95999999999998</v>
      </c>
      <c r="L70" s="64">
        <v>39.729999999999997</v>
      </c>
      <c r="M70" s="64">
        <v>19.91</v>
      </c>
      <c r="N70" s="64">
        <v>252.3</v>
      </c>
      <c r="O70" s="64">
        <v>0</v>
      </c>
      <c r="P70" s="64">
        <v>0.56000000000000005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5" t="s">
        <v>2228</v>
      </c>
      <c r="B71" s="64">
        <v>0.17</v>
      </c>
      <c r="C71" s="64">
        <v>43.21</v>
      </c>
      <c r="D71" s="64">
        <v>43.03</v>
      </c>
      <c r="E71" s="64">
        <v>16.2</v>
      </c>
      <c r="F71" s="64">
        <v>27.56</v>
      </c>
      <c r="G71" s="64">
        <v>53.6</v>
      </c>
      <c r="H71" s="64">
        <v>19.22</v>
      </c>
      <c r="I71" s="64">
        <v>3.98</v>
      </c>
      <c r="J71" s="64">
        <v>0.98</v>
      </c>
      <c r="K71" s="64">
        <v>266.95999999999998</v>
      </c>
      <c r="L71" s="64">
        <v>40.14</v>
      </c>
      <c r="M71" s="64">
        <v>18.37</v>
      </c>
      <c r="N71" s="64">
        <v>190.6</v>
      </c>
      <c r="O71" s="64">
        <v>0</v>
      </c>
      <c r="P71" s="64">
        <v>0.54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5" t="s">
        <v>2229</v>
      </c>
      <c r="B72" s="64">
        <v>0</v>
      </c>
      <c r="C72" s="64">
        <v>47.99</v>
      </c>
      <c r="D72" s="64">
        <v>47.99</v>
      </c>
      <c r="E72" s="64">
        <v>8.52</v>
      </c>
      <c r="F72" s="64">
        <v>29.83</v>
      </c>
      <c r="G72" s="64">
        <v>53.6</v>
      </c>
      <c r="H72" s="64">
        <v>19.22</v>
      </c>
      <c r="I72" s="64">
        <v>3.88</v>
      </c>
      <c r="J72" s="64">
        <v>1.73</v>
      </c>
      <c r="K72" s="64">
        <v>168.19</v>
      </c>
      <c r="L72" s="64">
        <v>39.369999999999997</v>
      </c>
      <c r="M72" s="64">
        <v>19.53</v>
      </c>
      <c r="N72" s="64">
        <v>211.1</v>
      </c>
      <c r="O72" s="64">
        <v>0</v>
      </c>
      <c r="P72" s="64">
        <v>0.53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5" t="s">
        <v>2230</v>
      </c>
      <c r="B73" s="64">
        <v>0.05</v>
      </c>
      <c r="C73" s="64">
        <v>43.48</v>
      </c>
      <c r="D73" s="64">
        <v>43.43</v>
      </c>
      <c r="E73" s="64">
        <v>14.04</v>
      </c>
      <c r="F73" s="64">
        <v>32.36</v>
      </c>
      <c r="G73" s="64">
        <v>53.6</v>
      </c>
      <c r="H73" s="64">
        <v>19.22</v>
      </c>
      <c r="I73" s="64">
        <v>3.99</v>
      </c>
      <c r="J73" s="64">
        <v>0.92</v>
      </c>
      <c r="K73" s="64">
        <v>233.73</v>
      </c>
      <c r="L73" s="64">
        <v>39.159999999999997</v>
      </c>
      <c r="M73" s="64">
        <v>19.2</v>
      </c>
      <c r="N73" s="64">
        <v>161.4</v>
      </c>
      <c r="O73" s="64">
        <v>0</v>
      </c>
      <c r="P73" s="64">
        <v>0.48</v>
      </c>
      <c r="Q73" s="64">
        <v>9.51</v>
      </c>
      <c r="R73" s="198"/>
      <c r="S73" s="198"/>
      <c r="T73" s="198"/>
      <c r="U73" s="198"/>
    </row>
    <row r="74" spans="1:21" s="12" customFormat="1" x14ac:dyDescent="0.25">
      <c r="A74" s="215" t="s">
        <v>2231</v>
      </c>
      <c r="B74" s="64">
        <v>0</v>
      </c>
      <c r="C74" s="64">
        <v>38.79</v>
      </c>
      <c r="D74" s="64">
        <v>38.79</v>
      </c>
      <c r="E74" s="64">
        <v>12.38</v>
      </c>
      <c r="F74" s="64">
        <v>29.64</v>
      </c>
      <c r="G74" s="64">
        <v>53</v>
      </c>
      <c r="H74" s="64">
        <v>19</v>
      </c>
      <c r="I74" s="64">
        <v>3.98</v>
      </c>
      <c r="J74" s="64">
        <v>1.47</v>
      </c>
      <c r="K74" s="64">
        <v>199.76</v>
      </c>
      <c r="L74" s="64">
        <v>39.19</v>
      </c>
      <c r="M74" s="64">
        <v>18.25</v>
      </c>
      <c r="N74" s="64">
        <v>150.9</v>
      </c>
      <c r="O74" s="64">
        <v>0</v>
      </c>
      <c r="P74" s="64">
        <v>0.45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5" t="s">
        <v>2232</v>
      </c>
      <c r="B75" s="64">
        <v>0</v>
      </c>
      <c r="C75" s="64">
        <v>38.85</v>
      </c>
      <c r="D75" s="64">
        <v>38.85</v>
      </c>
      <c r="E75" s="64">
        <v>13.06</v>
      </c>
      <c r="F75" s="64">
        <v>32.14</v>
      </c>
      <c r="G75" s="64">
        <v>52.4</v>
      </c>
      <c r="H75" s="64">
        <v>18.78</v>
      </c>
      <c r="I75" s="64">
        <v>4.12</v>
      </c>
      <c r="J75" s="64">
        <v>1.22</v>
      </c>
      <c r="K75" s="64">
        <v>230.57</v>
      </c>
      <c r="L75" s="64">
        <v>38.99</v>
      </c>
      <c r="M75" s="64">
        <v>18.39</v>
      </c>
      <c r="N75" s="64">
        <v>136.19999999999999</v>
      </c>
      <c r="O75" s="64">
        <v>0</v>
      </c>
      <c r="P75" s="64">
        <v>0.45</v>
      </c>
      <c r="Q75" s="64">
        <v>9.4700000000000006</v>
      </c>
      <c r="R75" s="198"/>
      <c r="S75" s="198"/>
      <c r="T75" s="198"/>
      <c r="U75" s="198"/>
    </row>
    <row r="76" spans="1:21" s="12" customFormat="1" x14ac:dyDescent="0.25">
      <c r="A76" s="215" t="s">
        <v>2233</v>
      </c>
      <c r="B76" s="64">
        <v>0</v>
      </c>
      <c r="C76" s="64">
        <v>37.25</v>
      </c>
      <c r="D76" s="64">
        <v>37.25</v>
      </c>
      <c r="E76" s="64">
        <v>17.82</v>
      </c>
      <c r="F76" s="64">
        <v>37.4</v>
      </c>
      <c r="G76" s="64">
        <v>52.4</v>
      </c>
      <c r="H76" s="64">
        <v>18.78</v>
      </c>
      <c r="I76" s="64">
        <v>4.24</v>
      </c>
      <c r="J76" s="64">
        <v>1.24</v>
      </c>
      <c r="K76" s="64">
        <v>220.65</v>
      </c>
      <c r="L76" s="64">
        <v>38.9</v>
      </c>
      <c r="M76" s="64">
        <v>18.8</v>
      </c>
      <c r="N76" s="64">
        <v>123.3</v>
      </c>
      <c r="O76" s="64">
        <v>0</v>
      </c>
      <c r="P76" s="64">
        <v>0.44</v>
      </c>
      <c r="Q76" s="64">
        <v>9.4600000000000009</v>
      </c>
      <c r="R76" s="198"/>
      <c r="S76" s="198"/>
      <c r="T76" s="198"/>
      <c r="U76" s="198"/>
    </row>
    <row r="77" spans="1:21" s="12" customFormat="1" x14ac:dyDescent="0.25">
      <c r="A77" s="215" t="s">
        <v>2234</v>
      </c>
      <c r="B77" s="64">
        <v>0.02</v>
      </c>
      <c r="C77" s="64">
        <v>41.69</v>
      </c>
      <c r="D77" s="64">
        <v>41.68</v>
      </c>
      <c r="E77" s="64">
        <v>16.079999999999998</v>
      </c>
      <c r="F77" s="64">
        <v>34.24</v>
      </c>
      <c r="G77" s="64">
        <v>52.4</v>
      </c>
      <c r="H77" s="64">
        <v>18.78</v>
      </c>
      <c r="I77" s="64">
        <v>4.01</v>
      </c>
      <c r="J77" s="64">
        <v>1.08</v>
      </c>
      <c r="K77" s="64">
        <v>216.88</v>
      </c>
      <c r="L77" s="64">
        <v>38.47</v>
      </c>
      <c r="M77" s="64">
        <v>20.420000000000002</v>
      </c>
      <c r="N77" s="64">
        <v>107.6</v>
      </c>
      <c r="O77" s="64">
        <v>0</v>
      </c>
      <c r="P77" s="64">
        <v>0.45</v>
      </c>
      <c r="Q77" s="64">
        <v>9.4600000000000009</v>
      </c>
      <c r="R77" s="198"/>
      <c r="S77" s="198"/>
      <c r="T77" s="198"/>
      <c r="U77" s="198"/>
    </row>
    <row r="78" spans="1:21" s="12" customFormat="1" x14ac:dyDescent="0.25">
      <c r="A78" s="215" t="s">
        <v>2235</v>
      </c>
      <c r="B78" s="64">
        <v>0.33</v>
      </c>
      <c r="C78" s="64">
        <v>45.03</v>
      </c>
      <c r="D78" s="64">
        <v>44.7</v>
      </c>
      <c r="E78" s="64">
        <v>16.28</v>
      </c>
      <c r="F78" s="64">
        <v>36.33</v>
      </c>
      <c r="G78" s="64">
        <v>54.11</v>
      </c>
      <c r="H78" s="64">
        <v>18.489999999999998</v>
      </c>
      <c r="I78" s="64">
        <v>3.94</v>
      </c>
      <c r="J78" s="64">
        <v>1.25</v>
      </c>
      <c r="K78" s="64">
        <v>229.68</v>
      </c>
      <c r="L78" s="64">
        <v>38.25</v>
      </c>
      <c r="M78" s="64">
        <v>20.440000000000001</v>
      </c>
      <c r="N78" s="64">
        <v>95.5</v>
      </c>
      <c r="O78" s="64">
        <v>0</v>
      </c>
      <c r="P78" s="64">
        <v>0.55000000000000004</v>
      </c>
      <c r="Q78" s="64">
        <v>9.44</v>
      </c>
      <c r="R78" s="198"/>
      <c r="S78" s="198"/>
      <c r="T78" s="198"/>
      <c r="U78" s="198"/>
    </row>
    <row r="79" spans="1:21" s="12" customFormat="1" x14ac:dyDescent="0.25">
      <c r="A79" s="215" t="s">
        <v>2236</v>
      </c>
      <c r="B79" s="64">
        <v>0.3</v>
      </c>
      <c r="C79" s="64">
        <v>54.85</v>
      </c>
      <c r="D79" s="64">
        <v>54.55</v>
      </c>
      <c r="E79" s="64">
        <v>16.2</v>
      </c>
      <c r="F79" s="64">
        <v>33.74</v>
      </c>
      <c r="G79" s="64">
        <v>55.82</v>
      </c>
      <c r="H79" s="64">
        <v>18.2</v>
      </c>
      <c r="I79" s="64">
        <v>3.86</v>
      </c>
      <c r="J79" s="64">
        <v>1.21</v>
      </c>
      <c r="K79" s="64">
        <v>229.1</v>
      </c>
      <c r="L79" s="64">
        <v>37.86</v>
      </c>
      <c r="M79" s="64">
        <v>22.04</v>
      </c>
      <c r="N79" s="64">
        <v>84.4</v>
      </c>
      <c r="O79" s="64">
        <v>0</v>
      </c>
      <c r="P79" s="64">
        <v>0.82</v>
      </c>
      <c r="Q79" s="64">
        <v>9.43</v>
      </c>
      <c r="R79" s="198"/>
      <c r="S79" s="198"/>
      <c r="T79" s="198"/>
      <c r="U79" s="198"/>
    </row>
    <row r="80" spans="1:21" s="12" customFormat="1" x14ac:dyDescent="0.25">
      <c r="A80" s="215" t="s">
        <v>2237</v>
      </c>
      <c r="B80" s="64">
        <v>0.11</v>
      </c>
      <c r="C80" s="64">
        <v>72.64</v>
      </c>
      <c r="D80" s="64">
        <v>72.53</v>
      </c>
      <c r="E80" s="64">
        <v>17.96</v>
      </c>
      <c r="F80" s="64">
        <v>29.41</v>
      </c>
      <c r="G80" s="64">
        <v>55.82</v>
      </c>
      <c r="H80" s="64">
        <v>18.2</v>
      </c>
      <c r="I80" s="64">
        <v>3.81</v>
      </c>
      <c r="J80" s="64">
        <v>1.44</v>
      </c>
      <c r="K80" s="64">
        <v>210.37</v>
      </c>
      <c r="L80" s="64">
        <v>37.450000000000003</v>
      </c>
      <c r="M80" s="64">
        <v>22.82</v>
      </c>
      <c r="N80" s="64">
        <v>73.400000000000006</v>
      </c>
      <c r="O80" s="64">
        <v>0</v>
      </c>
      <c r="P80" s="64">
        <v>0.78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5" t="s">
        <v>2238</v>
      </c>
      <c r="B81" s="64">
        <v>0</v>
      </c>
      <c r="C81" s="64">
        <v>49.16</v>
      </c>
      <c r="D81" s="64">
        <v>49.16</v>
      </c>
      <c r="E81" s="64">
        <v>14.4</v>
      </c>
      <c r="F81" s="64">
        <v>30.66</v>
      </c>
      <c r="G81" s="64">
        <v>55.82</v>
      </c>
      <c r="H81" s="64">
        <v>18.2</v>
      </c>
      <c r="I81" s="64">
        <v>3.99</v>
      </c>
      <c r="J81" s="64">
        <v>1.34</v>
      </c>
      <c r="K81" s="64">
        <v>231.21</v>
      </c>
      <c r="L81" s="64">
        <v>36.82</v>
      </c>
      <c r="M81" s="64">
        <v>23.84</v>
      </c>
      <c r="N81" s="64">
        <v>63.3</v>
      </c>
      <c r="O81" s="64">
        <v>0</v>
      </c>
      <c r="P81" s="64">
        <v>0.57999999999999996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5" t="s">
        <v>2239</v>
      </c>
      <c r="B82" s="64">
        <v>0</v>
      </c>
      <c r="C82" s="64">
        <v>61.22</v>
      </c>
      <c r="D82" s="64">
        <v>61.22</v>
      </c>
      <c r="E82" s="64">
        <v>12</v>
      </c>
      <c r="F82" s="64">
        <v>26.37</v>
      </c>
      <c r="G82" s="64">
        <v>56.47</v>
      </c>
      <c r="H82" s="64">
        <v>19.22</v>
      </c>
      <c r="I82" s="64">
        <v>3.91</v>
      </c>
      <c r="J82" s="64">
        <v>1.6</v>
      </c>
      <c r="K82" s="64">
        <v>215.72</v>
      </c>
      <c r="L82" s="64">
        <v>36.130000000000003</v>
      </c>
      <c r="M82" s="64">
        <v>25.51</v>
      </c>
      <c r="N82" s="64">
        <v>56.8</v>
      </c>
      <c r="O82" s="64">
        <v>0</v>
      </c>
      <c r="P82" s="64">
        <v>0.61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5" t="s">
        <v>2240</v>
      </c>
      <c r="B83" s="64">
        <v>0.36</v>
      </c>
      <c r="C83" s="64">
        <v>88.06</v>
      </c>
      <c r="D83" s="64">
        <v>87.7</v>
      </c>
      <c r="E83" s="64">
        <v>10.99</v>
      </c>
      <c r="F83" s="64">
        <v>19.55</v>
      </c>
      <c r="G83" s="64">
        <v>57.12</v>
      </c>
      <c r="H83" s="64">
        <v>20.28</v>
      </c>
      <c r="I83" s="64">
        <v>4.2</v>
      </c>
      <c r="J83" s="64">
        <v>0.67</v>
      </c>
      <c r="K83" s="64">
        <v>201.15</v>
      </c>
      <c r="L83" s="64">
        <v>35.54</v>
      </c>
      <c r="M83" s="64">
        <v>26.13</v>
      </c>
      <c r="N83" s="64">
        <v>54.9</v>
      </c>
      <c r="O83" s="64">
        <v>0</v>
      </c>
      <c r="P83" s="64">
        <v>0.74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5" t="s">
        <v>2241</v>
      </c>
      <c r="B84" s="64">
        <v>1.1100000000000001</v>
      </c>
      <c r="C84" s="64">
        <v>78.459999999999994</v>
      </c>
      <c r="D84" s="64">
        <v>77.34</v>
      </c>
      <c r="E84" s="64">
        <v>10.3</v>
      </c>
      <c r="F84" s="64">
        <v>21.91</v>
      </c>
      <c r="G84" s="64">
        <v>57.12</v>
      </c>
      <c r="H84" s="64">
        <v>20.28</v>
      </c>
      <c r="I84" s="64">
        <v>3.96</v>
      </c>
      <c r="J84" s="64">
        <v>1.29</v>
      </c>
      <c r="K84" s="64">
        <v>221.36</v>
      </c>
      <c r="L84" s="64">
        <v>35.14</v>
      </c>
      <c r="M84" s="64">
        <v>26.24</v>
      </c>
      <c r="N84" s="64">
        <v>54.3</v>
      </c>
      <c r="O84" s="64">
        <v>0</v>
      </c>
      <c r="P84" s="64">
        <v>0.75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5" t="s">
        <v>2242</v>
      </c>
      <c r="B85" s="64">
        <v>3.46</v>
      </c>
      <c r="C85" s="64">
        <v>88.73</v>
      </c>
      <c r="D85" s="64">
        <v>85.27</v>
      </c>
      <c r="E85" s="64">
        <v>10.62</v>
      </c>
      <c r="F85" s="64">
        <v>19.989999999999998</v>
      </c>
      <c r="G85" s="64">
        <v>57.12</v>
      </c>
      <c r="H85" s="64">
        <v>20.28</v>
      </c>
      <c r="I85" s="64">
        <v>4.07</v>
      </c>
      <c r="J85" s="64">
        <v>0.97</v>
      </c>
      <c r="K85" s="64">
        <v>240.86</v>
      </c>
      <c r="L85" s="64">
        <v>35.130000000000003</v>
      </c>
      <c r="M85" s="64">
        <v>25.53</v>
      </c>
      <c r="N85" s="64">
        <v>53.9</v>
      </c>
      <c r="O85" s="64">
        <v>0</v>
      </c>
      <c r="P85" s="64">
        <v>0.93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5" t="s">
        <v>2243</v>
      </c>
      <c r="B86" s="64">
        <v>29.59</v>
      </c>
      <c r="C86" s="64">
        <v>128.38</v>
      </c>
      <c r="D86" s="64">
        <v>98.78</v>
      </c>
      <c r="E86" s="64">
        <v>10.48</v>
      </c>
      <c r="F86" s="64">
        <v>13.79</v>
      </c>
      <c r="G86" s="64">
        <v>65.14</v>
      </c>
      <c r="H86" s="64">
        <v>20.23</v>
      </c>
      <c r="I86" s="64">
        <v>3.78</v>
      </c>
      <c r="J86" s="64">
        <v>1.3</v>
      </c>
      <c r="K86" s="64">
        <v>280.63</v>
      </c>
      <c r="L86" s="64">
        <v>34.549999999999997</v>
      </c>
      <c r="M86" s="64">
        <v>29.34</v>
      </c>
      <c r="N86" s="64">
        <v>54.6</v>
      </c>
      <c r="O86" s="64">
        <v>0</v>
      </c>
      <c r="P86" s="64">
        <v>2.0699999999999998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5" t="s">
        <v>2244</v>
      </c>
      <c r="B87" s="64">
        <v>23.69</v>
      </c>
      <c r="C87" s="64">
        <v>128.77000000000001</v>
      </c>
      <c r="D87" s="64">
        <v>105.08</v>
      </c>
      <c r="E87" s="64">
        <v>10.54</v>
      </c>
      <c r="F87" s="64">
        <v>13.61</v>
      </c>
      <c r="G87" s="64">
        <v>73.150000000000006</v>
      </c>
      <c r="H87" s="64">
        <v>20.190000000000001</v>
      </c>
      <c r="I87" s="64">
        <v>4.2300000000000004</v>
      </c>
      <c r="J87" s="64">
        <v>1.28</v>
      </c>
      <c r="K87" s="64">
        <v>262.14</v>
      </c>
      <c r="L87" s="64">
        <v>34.340000000000003</v>
      </c>
      <c r="M87" s="64">
        <v>26.17</v>
      </c>
      <c r="N87" s="64">
        <v>54.1</v>
      </c>
      <c r="O87" s="64">
        <v>0</v>
      </c>
      <c r="P87" s="64">
        <v>1.79</v>
      </c>
      <c r="Q87" s="64">
        <v>9.43</v>
      </c>
      <c r="R87" s="198"/>
      <c r="S87" s="198"/>
      <c r="T87" s="198"/>
      <c r="U87" s="198"/>
    </row>
    <row r="88" spans="1:26" s="12" customFormat="1" x14ac:dyDescent="0.25">
      <c r="A88" s="215" t="s">
        <v>2245</v>
      </c>
      <c r="B88" s="64">
        <v>9.7100000000000009</v>
      </c>
      <c r="C88" s="64">
        <v>111.81</v>
      </c>
      <c r="D88" s="64">
        <v>102.1</v>
      </c>
      <c r="E88" s="64">
        <v>11.62</v>
      </c>
      <c r="F88" s="64">
        <v>14.51</v>
      </c>
      <c r="G88" s="64">
        <v>73.150000000000006</v>
      </c>
      <c r="H88" s="64">
        <v>20.190000000000001</v>
      </c>
      <c r="I88" s="64">
        <v>4.12</v>
      </c>
      <c r="J88" s="64">
        <v>1.26</v>
      </c>
      <c r="K88" s="64">
        <v>242.46</v>
      </c>
      <c r="L88" s="64">
        <v>34.14</v>
      </c>
      <c r="M88" s="64">
        <v>26.23</v>
      </c>
      <c r="N88" s="64">
        <v>54.1</v>
      </c>
      <c r="O88" s="64">
        <v>0</v>
      </c>
      <c r="P88" s="64">
        <v>1.62</v>
      </c>
      <c r="Q88" s="64">
        <v>9.4499999999999993</v>
      </c>
      <c r="R88" s="198"/>
      <c r="S88" s="198"/>
      <c r="T88" s="198"/>
      <c r="U88" s="198"/>
    </row>
    <row r="89" spans="1:26" s="12" customFormat="1" x14ac:dyDescent="0.25">
      <c r="A89" s="215" t="s">
        <v>2246</v>
      </c>
      <c r="B89" s="64">
        <v>37.549999999999997</v>
      </c>
      <c r="C89" s="64">
        <v>157.4</v>
      </c>
      <c r="D89" s="64">
        <v>119.84</v>
      </c>
      <c r="E89" s="64">
        <v>11.29</v>
      </c>
      <c r="F89" s="64">
        <v>10.72</v>
      </c>
      <c r="G89" s="64">
        <v>73.150000000000006</v>
      </c>
      <c r="H89" s="64">
        <v>20.190000000000001</v>
      </c>
      <c r="I89" s="64">
        <v>3.97</v>
      </c>
      <c r="J89" s="64">
        <v>1.18</v>
      </c>
      <c r="K89" s="64">
        <v>249.96</v>
      </c>
      <c r="L89" s="64">
        <v>33.840000000000003</v>
      </c>
      <c r="M89" s="64">
        <v>26.89</v>
      </c>
      <c r="N89" s="64">
        <v>54.5</v>
      </c>
      <c r="O89" s="64">
        <v>0</v>
      </c>
      <c r="P89" s="64">
        <v>2.4700000000000002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5" t="s">
        <v>2247</v>
      </c>
      <c r="B90" s="64">
        <v>116.13</v>
      </c>
      <c r="C90" s="64">
        <v>230.75</v>
      </c>
      <c r="D90" s="64">
        <v>114.62</v>
      </c>
      <c r="E90" s="64">
        <v>11.05</v>
      </c>
      <c r="F90" s="64">
        <v>7.7</v>
      </c>
      <c r="G90" s="64">
        <v>76.099999999999994</v>
      </c>
      <c r="H90" s="64">
        <v>21.85</v>
      </c>
      <c r="I90" s="64">
        <v>3.93</v>
      </c>
      <c r="J90" s="64">
        <v>0.85</v>
      </c>
      <c r="K90" s="64">
        <v>17.77</v>
      </c>
      <c r="L90" s="64">
        <v>33.119999999999997</v>
      </c>
      <c r="M90" s="64">
        <v>28.93</v>
      </c>
      <c r="N90" s="64">
        <v>54.7</v>
      </c>
      <c r="O90" s="64">
        <v>0</v>
      </c>
      <c r="P90" s="64">
        <v>3.47</v>
      </c>
      <c r="Q90" s="64">
        <v>9.42</v>
      </c>
      <c r="R90" s="198"/>
      <c r="S90" s="198"/>
      <c r="T90" s="198"/>
      <c r="U90" s="198"/>
    </row>
    <row r="91" spans="1:26" s="12" customFormat="1" x14ac:dyDescent="0.25">
      <c r="A91" s="215" t="s">
        <v>2248</v>
      </c>
      <c r="B91" s="64">
        <v>72.349999999999994</v>
      </c>
      <c r="C91" s="64">
        <v>194.94</v>
      </c>
      <c r="D91" s="64">
        <v>122.59</v>
      </c>
      <c r="E91" s="64">
        <v>10.52</v>
      </c>
      <c r="F91" s="64">
        <v>7.27</v>
      </c>
      <c r="G91" s="64">
        <v>79.05</v>
      </c>
      <c r="H91" s="64">
        <v>23.6</v>
      </c>
      <c r="I91" s="64">
        <v>4.0999999999999996</v>
      </c>
      <c r="J91" s="64">
        <v>0.63</v>
      </c>
      <c r="K91" s="64">
        <v>237.53</v>
      </c>
      <c r="L91" s="64">
        <v>32.47</v>
      </c>
      <c r="M91" s="64">
        <v>29.71</v>
      </c>
      <c r="N91" s="64">
        <v>54.6</v>
      </c>
      <c r="O91" s="64">
        <v>0</v>
      </c>
      <c r="P91" s="64">
        <v>2.17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5" t="s">
        <v>2249</v>
      </c>
      <c r="B92" s="64">
        <v>160.12</v>
      </c>
      <c r="C92" s="64">
        <v>272.44</v>
      </c>
      <c r="D92" s="64">
        <v>112.31</v>
      </c>
      <c r="E92" s="64">
        <v>9.6</v>
      </c>
      <c r="F92" s="64">
        <v>7.08</v>
      </c>
      <c r="G92" s="64">
        <v>79.05</v>
      </c>
      <c r="H92" s="64">
        <v>23.6</v>
      </c>
      <c r="I92" s="64">
        <v>4.0199999999999996</v>
      </c>
      <c r="J92" s="64">
        <v>1.54</v>
      </c>
      <c r="K92" s="64">
        <v>281.2</v>
      </c>
      <c r="L92" s="64">
        <v>31.81</v>
      </c>
      <c r="M92" s="64">
        <v>32.909999999999997</v>
      </c>
      <c r="N92" s="64">
        <v>54.6</v>
      </c>
      <c r="O92" s="64">
        <v>0</v>
      </c>
      <c r="P92" s="64">
        <v>2.99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15" t="s">
        <v>2250</v>
      </c>
      <c r="B93" s="64">
        <v>88.23</v>
      </c>
      <c r="C93" s="64">
        <v>200.11</v>
      </c>
      <c r="D93" s="64">
        <v>111.89</v>
      </c>
      <c r="E93" s="64">
        <v>9.91</v>
      </c>
      <c r="F93" s="64">
        <v>6.46</v>
      </c>
      <c r="G93" s="64">
        <v>79.05</v>
      </c>
      <c r="H93" s="64">
        <v>23.6</v>
      </c>
      <c r="I93" s="64">
        <v>4.0599999999999996</v>
      </c>
      <c r="J93" s="64">
        <v>1.5</v>
      </c>
      <c r="K93" s="64">
        <v>283.02999999999997</v>
      </c>
      <c r="L93" s="64">
        <v>31.4</v>
      </c>
      <c r="M93" s="64">
        <v>32.39</v>
      </c>
      <c r="N93" s="64">
        <v>54.6</v>
      </c>
      <c r="O93" s="64">
        <v>0</v>
      </c>
      <c r="P93" s="64">
        <v>2.68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5" t="s">
        <v>2251</v>
      </c>
      <c r="B94" s="64">
        <v>81.67</v>
      </c>
      <c r="C94" s="64">
        <v>185.23</v>
      </c>
      <c r="D94" s="64">
        <v>103.56</v>
      </c>
      <c r="E94" s="64">
        <v>8.86</v>
      </c>
      <c r="F94" s="64">
        <v>7.33</v>
      </c>
      <c r="G94" s="64">
        <v>85.94</v>
      </c>
      <c r="H94" s="64">
        <v>24.72</v>
      </c>
      <c r="I94" s="64">
        <v>4.17</v>
      </c>
      <c r="J94" s="64">
        <v>0.65</v>
      </c>
      <c r="K94" s="64">
        <v>299.52</v>
      </c>
      <c r="L94" s="64">
        <v>31.24</v>
      </c>
      <c r="M94" s="64">
        <v>36.93</v>
      </c>
      <c r="N94" s="64">
        <v>54.3</v>
      </c>
      <c r="O94" s="64">
        <v>0</v>
      </c>
      <c r="P94" s="64">
        <v>2.64</v>
      </c>
      <c r="Q94" s="64">
        <v>9.43</v>
      </c>
      <c r="R94" s="198"/>
      <c r="S94" s="198"/>
      <c r="T94" s="198"/>
      <c r="U94" s="198"/>
    </row>
    <row r="95" spans="1:26" s="12" customFormat="1" x14ac:dyDescent="0.25">
      <c r="A95" s="215" t="s">
        <v>2252</v>
      </c>
      <c r="B95" s="64">
        <v>58.39</v>
      </c>
      <c r="C95" s="64">
        <v>157.31</v>
      </c>
      <c r="D95" s="64">
        <v>98.92</v>
      </c>
      <c r="E95" s="64">
        <v>9.2200000000000006</v>
      </c>
      <c r="F95" s="64">
        <v>9.51</v>
      </c>
      <c r="G95" s="64">
        <v>92.84</v>
      </c>
      <c r="H95" s="64">
        <v>25.85</v>
      </c>
      <c r="I95" s="64">
        <v>4.1100000000000003</v>
      </c>
      <c r="J95" s="64">
        <v>1.56</v>
      </c>
      <c r="K95" s="64">
        <v>282.05</v>
      </c>
      <c r="L95" s="64">
        <v>31.35</v>
      </c>
      <c r="M95" s="64">
        <v>30.38</v>
      </c>
      <c r="N95" s="64">
        <v>53.9</v>
      </c>
      <c r="O95" s="64">
        <v>0</v>
      </c>
      <c r="P95" s="64">
        <v>1.96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5" t="s">
        <v>2253</v>
      </c>
      <c r="B96" s="64">
        <v>32.24</v>
      </c>
      <c r="C96" s="64">
        <v>130.79</v>
      </c>
      <c r="D96" s="64">
        <v>98.55</v>
      </c>
      <c r="E96" s="64">
        <v>10.92</v>
      </c>
      <c r="F96" s="64">
        <v>11.83</v>
      </c>
      <c r="G96" s="64">
        <v>92.84</v>
      </c>
      <c r="H96" s="64">
        <v>25.85</v>
      </c>
      <c r="I96" s="64">
        <v>3.87</v>
      </c>
      <c r="J96" s="64">
        <v>1.64</v>
      </c>
      <c r="K96" s="64">
        <v>280.94</v>
      </c>
      <c r="L96" s="64">
        <v>31.64</v>
      </c>
      <c r="M96" s="64">
        <v>26.6</v>
      </c>
      <c r="N96" s="64">
        <v>53.8</v>
      </c>
      <c r="O96" s="64">
        <v>0</v>
      </c>
      <c r="P96" s="64">
        <v>1.54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2254</v>
      </c>
      <c r="B97" s="64">
        <v>52.59</v>
      </c>
      <c r="C97" s="64">
        <v>149.9</v>
      </c>
      <c r="D97" s="64">
        <v>97.31</v>
      </c>
      <c r="E97" s="64">
        <v>9</v>
      </c>
      <c r="F97" s="64">
        <v>10.199999999999999</v>
      </c>
      <c r="G97" s="64">
        <v>92.84</v>
      </c>
      <c r="H97" s="64">
        <v>25.85</v>
      </c>
      <c r="I97" s="64">
        <v>3.81</v>
      </c>
      <c r="J97" s="64">
        <v>1.46</v>
      </c>
      <c r="K97" s="64">
        <v>291.11</v>
      </c>
      <c r="L97" s="64">
        <v>31.72</v>
      </c>
      <c r="M97" s="64">
        <v>26.27</v>
      </c>
      <c r="N97" s="64">
        <v>54.5</v>
      </c>
      <c r="O97" s="64">
        <v>0</v>
      </c>
      <c r="P97" s="64">
        <v>1.6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5" t="s">
        <v>2255</v>
      </c>
      <c r="B98" s="64">
        <v>24.88</v>
      </c>
      <c r="C98" s="64">
        <v>112.17</v>
      </c>
      <c r="D98" s="64">
        <v>87.29</v>
      </c>
      <c r="E98" s="64">
        <v>7.85</v>
      </c>
      <c r="F98" s="64">
        <v>12.83</v>
      </c>
      <c r="G98" s="64">
        <v>90.45</v>
      </c>
      <c r="H98" s="64">
        <v>25.4</v>
      </c>
      <c r="I98" s="64">
        <v>4.04</v>
      </c>
      <c r="J98" s="64">
        <v>0.84</v>
      </c>
      <c r="K98" s="64">
        <v>261.52999999999997</v>
      </c>
      <c r="L98" s="64">
        <v>31.35</v>
      </c>
      <c r="M98" s="64">
        <v>26.38</v>
      </c>
      <c r="N98" s="64">
        <v>54.7</v>
      </c>
      <c r="O98" s="64">
        <v>0</v>
      </c>
      <c r="P98" s="64">
        <v>1.22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5" t="s">
        <v>2256</v>
      </c>
      <c r="B99" s="64">
        <v>24.29</v>
      </c>
      <c r="C99" s="64">
        <v>121.3</v>
      </c>
      <c r="D99" s="64">
        <v>97.01</v>
      </c>
      <c r="E99" s="64">
        <v>7.43</v>
      </c>
      <c r="F99" s="64">
        <v>11.58</v>
      </c>
      <c r="G99" s="64">
        <v>88.06</v>
      </c>
      <c r="H99" s="64">
        <v>24.94</v>
      </c>
      <c r="I99" s="64">
        <v>3.98</v>
      </c>
      <c r="J99" s="64">
        <v>0.85</v>
      </c>
      <c r="K99" s="64">
        <v>251.38</v>
      </c>
      <c r="L99" s="64">
        <v>31.24</v>
      </c>
      <c r="M99" s="64">
        <v>26.39</v>
      </c>
      <c r="N99" s="64">
        <v>54.7</v>
      </c>
      <c r="O99" s="64">
        <v>0</v>
      </c>
      <c r="P99" s="64">
        <v>1.18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5" t="s">
        <v>2257</v>
      </c>
      <c r="B100" s="64">
        <v>63.9</v>
      </c>
      <c r="C100" s="64">
        <v>169.39</v>
      </c>
      <c r="D100" s="64">
        <v>105.49</v>
      </c>
      <c r="E100" s="64">
        <v>6.95</v>
      </c>
      <c r="F100" s="64">
        <v>8.1199999999999992</v>
      </c>
      <c r="G100" s="64">
        <v>88.06</v>
      </c>
      <c r="H100" s="64">
        <v>24.94</v>
      </c>
      <c r="I100" s="64">
        <v>4.0199999999999996</v>
      </c>
      <c r="J100" s="64">
        <v>0.7</v>
      </c>
      <c r="K100" s="64">
        <v>221.58</v>
      </c>
      <c r="L100" s="64">
        <v>30.8</v>
      </c>
      <c r="M100" s="64">
        <v>28.91</v>
      </c>
      <c r="N100" s="64">
        <v>54.9</v>
      </c>
      <c r="O100" s="64">
        <v>0</v>
      </c>
      <c r="P100" s="64">
        <v>1.1299999999999999</v>
      </c>
      <c r="Q100" s="64">
        <v>9.5299999999999994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2258</v>
      </c>
      <c r="B101" s="64">
        <v>46.15</v>
      </c>
      <c r="C101" s="64">
        <v>124.45</v>
      </c>
      <c r="D101" s="64">
        <v>78.3</v>
      </c>
      <c r="E101" s="64">
        <v>5.84</v>
      </c>
      <c r="F101" s="64">
        <v>7.92</v>
      </c>
      <c r="G101" s="64">
        <v>88.06</v>
      </c>
      <c r="H101" s="64">
        <v>24.94</v>
      </c>
      <c r="I101" s="64">
        <v>3.78</v>
      </c>
      <c r="J101" s="64">
        <v>1.67</v>
      </c>
      <c r="K101" s="64">
        <v>195.28</v>
      </c>
      <c r="L101" s="64">
        <v>30.51</v>
      </c>
      <c r="M101" s="64">
        <v>33.25</v>
      </c>
      <c r="N101" s="64">
        <v>53.7</v>
      </c>
      <c r="O101" s="64">
        <v>0</v>
      </c>
      <c r="P101" s="64">
        <v>1.21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5" t="s">
        <v>2259</v>
      </c>
      <c r="B102" s="64">
        <v>27.62</v>
      </c>
      <c r="C102" s="64">
        <v>107.86</v>
      </c>
      <c r="D102" s="64">
        <v>80.239999999999995</v>
      </c>
      <c r="E102" s="64">
        <v>6.81</v>
      </c>
      <c r="F102" s="64">
        <v>9.4499999999999993</v>
      </c>
      <c r="G102" s="64">
        <v>89.74</v>
      </c>
      <c r="H102" s="64">
        <v>24.15</v>
      </c>
      <c r="I102" s="64">
        <v>3.87</v>
      </c>
      <c r="J102" s="64">
        <v>0.88</v>
      </c>
      <c r="K102" s="64">
        <v>222.97</v>
      </c>
      <c r="L102" s="64">
        <v>30.18</v>
      </c>
      <c r="M102" s="64">
        <v>34.79</v>
      </c>
      <c r="N102" s="64">
        <v>55</v>
      </c>
      <c r="O102" s="64">
        <v>0</v>
      </c>
      <c r="P102" s="64">
        <v>0.92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5" t="s">
        <v>2260</v>
      </c>
      <c r="B103" s="64">
        <v>38.880000000000003</v>
      </c>
      <c r="C103" s="64">
        <v>119.24</v>
      </c>
      <c r="D103" s="64">
        <v>80.36</v>
      </c>
      <c r="E103" s="64">
        <v>6.48</v>
      </c>
      <c r="F103" s="64">
        <v>7.23</v>
      </c>
      <c r="G103" s="64">
        <v>91.43</v>
      </c>
      <c r="H103" s="64">
        <v>23.32</v>
      </c>
      <c r="I103" s="64">
        <v>3.89</v>
      </c>
      <c r="J103" s="64">
        <v>1.25</v>
      </c>
      <c r="K103" s="64">
        <v>276.13</v>
      </c>
      <c r="L103" s="64">
        <v>29.61</v>
      </c>
      <c r="M103" s="64">
        <v>37.409999999999997</v>
      </c>
      <c r="N103" s="64">
        <v>54.8</v>
      </c>
      <c r="O103" s="64">
        <v>0</v>
      </c>
      <c r="P103" s="64">
        <v>1.1599999999999999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2261</v>
      </c>
      <c r="B104" s="64">
        <v>59.01</v>
      </c>
      <c r="C104" s="64">
        <v>140.72</v>
      </c>
      <c r="D104" s="64">
        <v>81.709999999999994</v>
      </c>
      <c r="E104" s="64">
        <v>5.01</v>
      </c>
      <c r="F104" s="64">
        <v>6.76</v>
      </c>
      <c r="G104" s="64">
        <v>91.43</v>
      </c>
      <c r="H104" s="64">
        <v>23.32</v>
      </c>
      <c r="I104" s="64">
        <v>4.03</v>
      </c>
      <c r="J104" s="64">
        <v>0.76</v>
      </c>
      <c r="K104" s="64">
        <v>343.9</v>
      </c>
      <c r="L104" s="64">
        <v>28.9</v>
      </c>
      <c r="M104" s="64">
        <v>39.619999999999997</v>
      </c>
      <c r="N104" s="64">
        <v>55</v>
      </c>
      <c r="O104" s="64">
        <v>0</v>
      </c>
      <c r="P104" s="64">
        <v>1.32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30.94</v>
      </c>
      <c r="D106" s="67">
        <f t="shared" ref="D106:Q106" si="0">MIN(D9:D104)</f>
        <v>30.42</v>
      </c>
      <c r="E106" s="67">
        <f t="shared" si="0"/>
        <v>1.51</v>
      </c>
      <c r="F106" s="67">
        <f t="shared" si="0"/>
        <v>6.46</v>
      </c>
      <c r="G106" s="67">
        <f t="shared" si="0"/>
        <v>35.590000000000003</v>
      </c>
      <c r="H106" s="67">
        <f t="shared" si="0"/>
        <v>12.3</v>
      </c>
      <c r="I106" s="67">
        <f t="shared" si="0"/>
        <v>3.72</v>
      </c>
      <c r="J106" s="67">
        <f t="shared" si="0"/>
        <v>0.23</v>
      </c>
      <c r="K106" s="67">
        <f t="shared" si="0"/>
        <v>17.77</v>
      </c>
      <c r="L106" s="67">
        <f t="shared" si="0"/>
        <v>26.81</v>
      </c>
      <c r="M106" s="67">
        <f t="shared" si="0"/>
        <v>18.25</v>
      </c>
      <c r="N106" s="67">
        <f t="shared" si="0"/>
        <v>50.6</v>
      </c>
      <c r="O106" s="67">
        <f t="shared" si="0"/>
        <v>0</v>
      </c>
      <c r="P106" s="67">
        <f t="shared" si="0"/>
        <v>0.31</v>
      </c>
      <c r="Q106" s="67">
        <f t="shared" si="0"/>
        <v>9.41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160.12</v>
      </c>
      <c r="C107" s="66">
        <f t="shared" ref="C107:Q107" si="1">MAX(C9:C104)</f>
        <v>272.44</v>
      </c>
      <c r="D107" s="66">
        <f t="shared" si="1"/>
        <v>122.59</v>
      </c>
      <c r="E107" s="66">
        <f t="shared" si="1"/>
        <v>17.96</v>
      </c>
      <c r="F107" s="66">
        <f t="shared" si="1"/>
        <v>44.79</v>
      </c>
      <c r="G107" s="66">
        <f t="shared" si="1"/>
        <v>92.84</v>
      </c>
      <c r="H107" s="66">
        <f t="shared" si="1"/>
        <v>25.85</v>
      </c>
      <c r="I107" s="66">
        <f t="shared" si="1"/>
        <v>4.24</v>
      </c>
      <c r="J107" s="66">
        <f t="shared" si="1"/>
        <v>2.4</v>
      </c>
      <c r="K107" s="66">
        <f t="shared" si="1"/>
        <v>343.9</v>
      </c>
      <c r="L107" s="66">
        <f t="shared" si="1"/>
        <v>41.21</v>
      </c>
      <c r="M107" s="66">
        <f t="shared" si="1"/>
        <v>57.5</v>
      </c>
      <c r="N107" s="66">
        <f t="shared" si="1"/>
        <v>935.4</v>
      </c>
      <c r="O107" s="66">
        <f t="shared" si="1"/>
        <v>0</v>
      </c>
      <c r="P107" s="66">
        <f t="shared" si="1"/>
        <v>3.47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11.870937499999998</v>
      </c>
      <c r="C108" s="67">
        <f t="shared" ref="C108:Q108" si="2">AVERAGE(C9:C104)</f>
        <v>65.591354166666648</v>
      </c>
      <c r="D108" s="67">
        <f t="shared" si="2"/>
        <v>53.720520833333346</v>
      </c>
      <c r="E108" s="67">
        <f t="shared" si="2"/>
        <v>6.7622916666666653</v>
      </c>
      <c r="F108" s="67">
        <f t="shared" si="2"/>
        <v>17.422499999999996</v>
      </c>
      <c r="G108" s="67">
        <f t="shared" si="2"/>
        <v>54.251458333333353</v>
      </c>
      <c r="H108" s="67">
        <f t="shared" si="2"/>
        <v>18.015416666666663</v>
      </c>
      <c r="I108" s="67">
        <f t="shared" si="2"/>
        <v>3.9825000000000017</v>
      </c>
      <c r="J108" s="67">
        <f t="shared" si="2"/>
        <v>1.2882291666666668</v>
      </c>
      <c r="K108" s="67">
        <f t="shared" si="2"/>
        <v>232.83166666666671</v>
      </c>
      <c r="L108" s="67">
        <f t="shared" si="2"/>
        <v>33.438958333333318</v>
      </c>
      <c r="M108" s="67">
        <f t="shared" si="2"/>
        <v>35.974999999999994</v>
      </c>
      <c r="N108" s="67">
        <f t="shared" si="2"/>
        <v>284.95</v>
      </c>
      <c r="O108" s="67">
        <f t="shared" si="2"/>
        <v>0</v>
      </c>
      <c r="P108" s="67">
        <f t="shared" si="2"/>
        <v>0.75062499999999988</v>
      </c>
      <c r="Q108" s="67">
        <f t="shared" si="2"/>
        <v>9.5501041666666691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26.939467508437467</v>
      </c>
      <c r="C109" s="67">
        <f t="shared" ref="C109:Q109" si="3">STDEV(C9:C104)</f>
        <v>49.677086778297593</v>
      </c>
      <c r="D109" s="67">
        <f t="shared" si="3"/>
        <v>25.695414269139906</v>
      </c>
      <c r="E109" s="67">
        <f t="shared" si="3"/>
        <v>4.5360876904098451</v>
      </c>
      <c r="F109" s="67">
        <f t="shared" si="3"/>
        <v>8.4912827125978723</v>
      </c>
      <c r="G109" s="67">
        <f t="shared" si="3"/>
        <v>16.282408458802909</v>
      </c>
      <c r="H109" s="67">
        <f t="shared" si="3"/>
        <v>3.8364588707122502</v>
      </c>
      <c r="I109" s="67">
        <f t="shared" si="3"/>
        <v>0.10935215926922569</v>
      </c>
      <c r="J109" s="67">
        <f t="shared" si="3"/>
        <v>0.36512144999385387</v>
      </c>
      <c r="K109" s="67">
        <f t="shared" si="3"/>
        <v>46.314460323830808</v>
      </c>
      <c r="L109" s="67">
        <f t="shared" si="3"/>
        <v>4.9122556677778437</v>
      </c>
      <c r="M109" s="67">
        <f t="shared" si="3"/>
        <v>13.716910884398386</v>
      </c>
      <c r="N109" s="67">
        <f t="shared" si="3"/>
        <v>321.73664287491573</v>
      </c>
      <c r="O109" s="67">
        <f t="shared" si="3"/>
        <v>0</v>
      </c>
      <c r="P109" s="67">
        <f t="shared" si="3"/>
        <v>0.64085109938186702</v>
      </c>
      <c r="Q109" s="67">
        <f t="shared" si="3"/>
        <v>6.1275818045889573E-2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2262</v>
      </c>
      <c r="B9" s="64">
        <v>80.209999999999994</v>
      </c>
      <c r="C9" s="64">
        <v>172.61</v>
      </c>
      <c r="D9" s="64">
        <v>92.4</v>
      </c>
      <c r="E9" s="64">
        <v>7.16</v>
      </c>
      <c r="F9" s="64">
        <v>6.55</v>
      </c>
      <c r="G9" s="64">
        <v>91.43</v>
      </c>
      <c r="H9" s="64">
        <v>23.32</v>
      </c>
      <c r="I9" s="64">
        <v>4</v>
      </c>
      <c r="J9" s="64">
        <v>1.02</v>
      </c>
      <c r="K9" s="64">
        <v>275.41000000000003</v>
      </c>
      <c r="L9" s="64">
        <v>28.53</v>
      </c>
      <c r="M9" s="64">
        <v>40.26</v>
      </c>
      <c r="N9" s="64">
        <v>54.9</v>
      </c>
      <c r="O9" s="64">
        <v>0</v>
      </c>
      <c r="P9" s="64">
        <v>1.27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5" t="s">
        <v>2263</v>
      </c>
      <c r="B10" s="64">
        <v>19.73</v>
      </c>
      <c r="C10" s="64">
        <v>93.86</v>
      </c>
      <c r="D10" s="64">
        <v>74.13</v>
      </c>
      <c r="E10" s="64">
        <v>6.04</v>
      </c>
      <c r="F10" s="64">
        <v>7.37</v>
      </c>
      <c r="G10" s="64">
        <v>93.4</v>
      </c>
      <c r="H10" s="64">
        <v>22.29</v>
      </c>
      <c r="I10" s="64">
        <v>3.96</v>
      </c>
      <c r="J10" s="64">
        <v>0.92</v>
      </c>
      <c r="K10" s="64">
        <v>275.06</v>
      </c>
      <c r="L10" s="64">
        <v>28.38</v>
      </c>
      <c r="M10" s="64">
        <v>41.89</v>
      </c>
      <c r="N10" s="64">
        <v>54.7</v>
      </c>
      <c r="O10" s="64">
        <v>0</v>
      </c>
      <c r="P10" s="64">
        <v>1.03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5" t="s">
        <v>2264</v>
      </c>
      <c r="B11" s="64">
        <v>18.079999999999998</v>
      </c>
      <c r="C11" s="64">
        <v>94.49</v>
      </c>
      <c r="D11" s="64">
        <v>76.41</v>
      </c>
      <c r="E11" s="64">
        <v>5.69</v>
      </c>
      <c r="F11" s="64">
        <v>7.68</v>
      </c>
      <c r="G11" s="64">
        <v>95.37</v>
      </c>
      <c r="H11" s="64">
        <v>21.21</v>
      </c>
      <c r="I11" s="64">
        <v>3.88</v>
      </c>
      <c r="J11" s="64">
        <v>0.52</v>
      </c>
      <c r="K11" s="64">
        <v>298.10000000000002</v>
      </c>
      <c r="L11" s="64">
        <v>27.85</v>
      </c>
      <c r="M11" s="64">
        <v>45.43</v>
      </c>
      <c r="N11" s="64">
        <v>54.7</v>
      </c>
      <c r="O11" s="64">
        <v>0</v>
      </c>
      <c r="P11" s="64">
        <v>1.07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5" t="s">
        <v>2265</v>
      </c>
      <c r="B12" s="64">
        <v>16.72</v>
      </c>
      <c r="C12" s="64">
        <v>78.14</v>
      </c>
      <c r="D12" s="64">
        <v>61.41</v>
      </c>
      <c r="E12" s="64">
        <v>5.15</v>
      </c>
      <c r="F12" s="64">
        <v>10.37</v>
      </c>
      <c r="G12" s="64">
        <v>95.37</v>
      </c>
      <c r="H12" s="64">
        <v>21.21</v>
      </c>
      <c r="I12" s="64">
        <v>3.93</v>
      </c>
      <c r="J12" s="64">
        <v>1.19</v>
      </c>
      <c r="K12" s="64">
        <v>247.82</v>
      </c>
      <c r="L12" s="64">
        <v>27.81</v>
      </c>
      <c r="M12" s="64">
        <v>42.81</v>
      </c>
      <c r="N12" s="64">
        <v>54.4</v>
      </c>
      <c r="O12" s="64">
        <v>0</v>
      </c>
      <c r="P12" s="64">
        <v>1.03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2266</v>
      </c>
      <c r="B13" s="64">
        <v>18.190000000000001</v>
      </c>
      <c r="C13" s="64">
        <v>98</v>
      </c>
      <c r="D13" s="64">
        <v>79.81</v>
      </c>
      <c r="E13" s="64">
        <v>6.39</v>
      </c>
      <c r="F13" s="64">
        <v>8.6999999999999993</v>
      </c>
      <c r="G13" s="64">
        <v>95.37</v>
      </c>
      <c r="H13" s="64">
        <v>21.21</v>
      </c>
      <c r="I13" s="64">
        <v>3.98</v>
      </c>
      <c r="J13" s="64">
        <v>0.88</v>
      </c>
      <c r="K13" s="64">
        <v>252.11</v>
      </c>
      <c r="L13" s="64">
        <v>28.13</v>
      </c>
      <c r="M13" s="64">
        <v>38.380000000000003</v>
      </c>
      <c r="N13" s="64">
        <v>54.1</v>
      </c>
      <c r="O13" s="64">
        <v>0</v>
      </c>
      <c r="P13" s="64">
        <v>0.7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5" t="s">
        <v>2267</v>
      </c>
      <c r="B14" s="64">
        <v>19.010000000000002</v>
      </c>
      <c r="C14" s="64">
        <v>96.7</v>
      </c>
      <c r="D14" s="64">
        <v>77.69</v>
      </c>
      <c r="E14" s="64">
        <v>5.31</v>
      </c>
      <c r="F14" s="64">
        <v>7.49</v>
      </c>
      <c r="G14" s="64">
        <v>93.28</v>
      </c>
      <c r="H14" s="64">
        <v>21.97</v>
      </c>
      <c r="I14" s="64">
        <v>3.95</v>
      </c>
      <c r="J14" s="64">
        <v>0.89</v>
      </c>
      <c r="K14" s="64">
        <v>282.56</v>
      </c>
      <c r="L14" s="64">
        <v>28.14</v>
      </c>
      <c r="M14" s="64">
        <v>40.86</v>
      </c>
      <c r="N14" s="64">
        <v>55</v>
      </c>
      <c r="O14" s="64">
        <v>0</v>
      </c>
      <c r="P14" s="64">
        <v>0.86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2268</v>
      </c>
      <c r="B15" s="64">
        <v>6.29</v>
      </c>
      <c r="C15" s="64">
        <v>67.760000000000005</v>
      </c>
      <c r="D15" s="64">
        <v>61.48</v>
      </c>
      <c r="E15" s="64">
        <v>5.86</v>
      </c>
      <c r="F15" s="64">
        <v>13.67</v>
      </c>
      <c r="G15" s="64">
        <v>91.09</v>
      </c>
      <c r="H15" s="64">
        <v>22.75</v>
      </c>
      <c r="I15" s="64">
        <v>3.92</v>
      </c>
      <c r="J15" s="64">
        <v>1.1200000000000001</v>
      </c>
      <c r="K15" s="64">
        <v>190.06</v>
      </c>
      <c r="L15" s="64">
        <v>28.11</v>
      </c>
      <c r="M15" s="64">
        <v>37.450000000000003</v>
      </c>
      <c r="N15" s="64">
        <v>54</v>
      </c>
      <c r="O15" s="64">
        <v>0</v>
      </c>
      <c r="P15" s="64">
        <v>0.56000000000000005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2269</v>
      </c>
      <c r="B16" s="64">
        <v>5.36</v>
      </c>
      <c r="C16" s="64">
        <v>56.79</v>
      </c>
      <c r="D16" s="64">
        <v>51.43</v>
      </c>
      <c r="E16" s="64">
        <v>6.05</v>
      </c>
      <c r="F16" s="64">
        <v>14.78</v>
      </c>
      <c r="G16" s="64">
        <v>91.09</v>
      </c>
      <c r="H16" s="64">
        <v>22.75</v>
      </c>
      <c r="I16" s="64">
        <v>3.84</v>
      </c>
      <c r="J16" s="64">
        <v>0.93</v>
      </c>
      <c r="K16" s="64">
        <v>273.94</v>
      </c>
      <c r="L16" s="64">
        <v>28.02</v>
      </c>
      <c r="M16" s="64">
        <v>38.5</v>
      </c>
      <c r="N16" s="64">
        <v>55</v>
      </c>
      <c r="O16" s="64">
        <v>0</v>
      </c>
      <c r="P16" s="64">
        <v>0.51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5" t="s">
        <v>2270</v>
      </c>
      <c r="B17" s="64">
        <v>9.35</v>
      </c>
      <c r="C17" s="64">
        <v>59.91</v>
      </c>
      <c r="D17" s="64">
        <v>50.57</v>
      </c>
      <c r="E17" s="64">
        <v>5.94</v>
      </c>
      <c r="F17" s="64">
        <v>13.18</v>
      </c>
      <c r="G17" s="64">
        <v>91.09</v>
      </c>
      <c r="H17" s="64">
        <v>22.75</v>
      </c>
      <c r="I17" s="64">
        <v>4.12</v>
      </c>
      <c r="J17" s="64">
        <v>1.29</v>
      </c>
      <c r="K17" s="64">
        <v>227.14</v>
      </c>
      <c r="L17" s="64">
        <v>27.88</v>
      </c>
      <c r="M17" s="64">
        <v>38.24</v>
      </c>
      <c r="N17" s="64">
        <v>54</v>
      </c>
      <c r="O17" s="64">
        <v>0</v>
      </c>
      <c r="P17" s="64">
        <v>0.56999999999999995</v>
      </c>
      <c r="Q17" s="64">
        <v>9.58</v>
      </c>
      <c r="R17" s="198"/>
      <c r="S17" s="198"/>
      <c r="T17" s="198"/>
      <c r="U17" s="198"/>
    </row>
    <row r="18" spans="1:21" s="12" customFormat="1" x14ac:dyDescent="0.25">
      <c r="A18" s="215" t="s">
        <v>2271</v>
      </c>
      <c r="B18" s="64">
        <v>6.21</v>
      </c>
      <c r="C18" s="64">
        <v>46.91</v>
      </c>
      <c r="D18" s="64">
        <v>40.71</v>
      </c>
      <c r="E18" s="64">
        <v>6.78</v>
      </c>
      <c r="F18" s="64">
        <v>15.62</v>
      </c>
      <c r="G18" s="64">
        <v>87.27</v>
      </c>
      <c r="H18" s="64">
        <v>22.78</v>
      </c>
      <c r="I18" s="64">
        <v>4.08</v>
      </c>
      <c r="J18" s="64">
        <v>0.77</v>
      </c>
      <c r="K18" s="64">
        <v>268.48</v>
      </c>
      <c r="L18" s="64">
        <v>28.18</v>
      </c>
      <c r="M18" s="64">
        <v>36.479999999999997</v>
      </c>
      <c r="N18" s="64">
        <v>54.2</v>
      </c>
      <c r="O18" s="64">
        <v>0</v>
      </c>
      <c r="P18" s="64">
        <v>0.53</v>
      </c>
      <c r="Q18" s="64">
        <v>9.57</v>
      </c>
      <c r="R18" s="198"/>
      <c r="S18" s="198"/>
      <c r="T18" s="198"/>
      <c r="U18" s="198"/>
    </row>
    <row r="19" spans="1:21" s="12" customFormat="1" x14ac:dyDescent="0.25">
      <c r="A19" s="215" t="s">
        <v>2272</v>
      </c>
      <c r="B19" s="64">
        <v>9.8699999999999992</v>
      </c>
      <c r="C19" s="64">
        <v>46.61</v>
      </c>
      <c r="D19" s="64">
        <v>36.74</v>
      </c>
      <c r="E19" s="64">
        <v>7.19</v>
      </c>
      <c r="F19" s="64">
        <v>17.309999999999999</v>
      </c>
      <c r="G19" s="64">
        <v>83.28</v>
      </c>
      <c r="H19" s="64">
        <v>22.81</v>
      </c>
      <c r="I19" s="64">
        <v>4.0599999999999996</v>
      </c>
      <c r="J19" s="64">
        <v>1.27</v>
      </c>
      <c r="K19" s="64">
        <v>270.89</v>
      </c>
      <c r="L19" s="64">
        <v>28.49</v>
      </c>
      <c r="M19" s="64">
        <v>34.92</v>
      </c>
      <c r="N19" s="64">
        <v>54.2</v>
      </c>
      <c r="O19" s="64">
        <v>0</v>
      </c>
      <c r="P19" s="64">
        <v>0.52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5" t="s">
        <v>2273</v>
      </c>
      <c r="B20" s="64">
        <v>11.27</v>
      </c>
      <c r="C20" s="64">
        <v>46.86</v>
      </c>
      <c r="D20" s="64">
        <v>35.590000000000003</v>
      </c>
      <c r="E20" s="64">
        <v>6.31</v>
      </c>
      <c r="F20" s="64">
        <v>15.59</v>
      </c>
      <c r="G20" s="64">
        <v>83.28</v>
      </c>
      <c r="H20" s="64">
        <v>22.81</v>
      </c>
      <c r="I20" s="64">
        <v>3.97</v>
      </c>
      <c r="J20" s="64">
        <v>1.38</v>
      </c>
      <c r="K20" s="64">
        <v>265.68</v>
      </c>
      <c r="L20" s="64">
        <v>28.46</v>
      </c>
      <c r="M20" s="64">
        <v>35.08</v>
      </c>
      <c r="N20" s="64">
        <v>54.5</v>
      </c>
      <c r="O20" s="64">
        <v>0</v>
      </c>
      <c r="P20" s="64">
        <v>0.53</v>
      </c>
      <c r="Q20" s="64">
        <v>9.6</v>
      </c>
      <c r="R20" s="198"/>
      <c r="S20" s="198"/>
      <c r="T20" s="198"/>
      <c r="U20" s="198"/>
    </row>
    <row r="21" spans="1:21" s="12" customFormat="1" x14ac:dyDescent="0.25">
      <c r="A21" s="215" t="s">
        <v>2274</v>
      </c>
      <c r="B21" s="64">
        <v>13.95</v>
      </c>
      <c r="C21" s="64">
        <v>66.25</v>
      </c>
      <c r="D21" s="64">
        <v>52.3</v>
      </c>
      <c r="E21" s="64">
        <v>6.44</v>
      </c>
      <c r="F21" s="64">
        <v>13.97</v>
      </c>
      <c r="G21" s="64">
        <v>83.28</v>
      </c>
      <c r="H21" s="64">
        <v>22.81</v>
      </c>
      <c r="I21" s="64">
        <v>3.88</v>
      </c>
      <c r="J21" s="64">
        <v>0.72</v>
      </c>
      <c r="K21" s="64">
        <v>313.63</v>
      </c>
      <c r="L21" s="64">
        <v>28.4</v>
      </c>
      <c r="M21" s="64">
        <v>36.520000000000003</v>
      </c>
      <c r="N21" s="64">
        <v>55</v>
      </c>
      <c r="O21" s="64">
        <v>0</v>
      </c>
      <c r="P21" s="64">
        <v>0.38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5" t="s">
        <v>2275</v>
      </c>
      <c r="B22" s="64">
        <v>8.2899999999999991</v>
      </c>
      <c r="C22" s="64">
        <v>59.51</v>
      </c>
      <c r="D22" s="64">
        <v>51.22</v>
      </c>
      <c r="E22" s="64">
        <v>5.98</v>
      </c>
      <c r="F22" s="64">
        <v>15.34</v>
      </c>
      <c r="G22" s="64">
        <v>80.36</v>
      </c>
      <c r="H22" s="64">
        <v>21.73</v>
      </c>
      <c r="I22" s="64">
        <v>4.07</v>
      </c>
      <c r="J22" s="64">
        <v>1.22</v>
      </c>
      <c r="K22" s="64">
        <v>169.66</v>
      </c>
      <c r="L22" s="64">
        <v>28.16</v>
      </c>
      <c r="M22" s="64">
        <v>37.49</v>
      </c>
      <c r="N22" s="64">
        <v>54.4</v>
      </c>
      <c r="O22" s="64">
        <v>0</v>
      </c>
      <c r="P22" s="64">
        <v>0.41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15" t="s">
        <v>2276</v>
      </c>
      <c r="B23" s="64">
        <v>6.89</v>
      </c>
      <c r="C23" s="64">
        <v>56.5</v>
      </c>
      <c r="D23" s="64">
        <v>49.61</v>
      </c>
      <c r="E23" s="64">
        <v>6.54</v>
      </c>
      <c r="F23" s="64">
        <v>15.93</v>
      </c>
      <c r="G23" s="64">
        <v>77.31</v>
      </c>
      <c r="H23" s="64">
        <v>20.61</v>
      </c>
      <c r="I23" s="64">
        <v>4.1500000000000004</v>
      </c>
      <c r="J23" s="64">
        <v>0.9</v>
      </c>
      <c r="K23" s="64">
        <v>252.99</v>
      </c>
      <c r="L23" s="64">
        <v>28.14</v>
      </c>
      <c r="M23" s="64">
        <v>39.04</v>
      </c>
      <c r="N23" s="64">
        <v>54.8</v>
      </c>
      <c r="O23" s="64">
        <v>0</v>
      </c>
      <c r="P23" s="64">
        <v>0.36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5" t="s">
        <v>2277</v>
      </c>
      <c r="B24" s="64">
        <v>7.07</v>
      </c>
      <c r="C24" s="64">
        <v>56.75</v>
      </c>
      <c r="D24" s="64">
        <v>49.67</v>
      </c>
      <c r="E24" s="64">
        <v>5.98</v>
      </c>
      <c r="F24" s="64">
        <v>16.57</v>
      </c>
      <c r="G24" s="64">
        <v>77.31</v>
      </c>
      <c r="H24" s="64">
        <v>20.61</v>
      </c>
      <c r="I24" s="64">
        <v>4.03</v>
      </c>
      <c r="J24" s="64">
        <v>1.4</v>
      </c>
      <c r="K24" s="64">
        <v>257.60000000000002</v>
      </c>
      <c r="L24" s="64">
        <v>28.18</v>
      </c>
      <c r="M24" s="64">
        <v>41.08</v>
      </c>
      <c r="N24" s="64">
        <v>54.8</v>
      </c>
      <c r="O24" s="64">
        <v>0</v>
      </c>
      <c r="P24" s="64">
        <v>0.38</v>
      </c>
      <c r="Q24" s="64">
        <v>9.58</v>
      </c>
      <c r="R24" s="198"/>
      <c r="S24" s="198"/>
      <c r="T24" s="198"/>
      <c r="U24" s="198"/>
    </row>
    <row r="25" spans="1:21" s="12" customFormat="1" x14ac:dyDescent="0.25">
      <c r="A25" s="215" t="s">
        <v>2278</v>
      </c>
      <c r="B25" s="64">
        <v>5.91</v>
      </c>
      <c r="C25" s="64">
        <v>48.87</v>
      </c>
      <c r="D25" s="64">
        <v>42.96</v>
      </c>
      <c r="E25" s="64">
        <v>5.55</v>
      </c>
      <c r="F25" s="64">
        <v>18.649999999999999</v>
      </c>
      <c r="G25" s="64">
        <v>77.31</v>
      </c>
      <c r="H25" s="64">
        <v>20.61</v>
      </c>
      <c r="I25" s="64">
        <v>3.9</v>
      </c>
      <c r="J25" s="64">
        <v>0.92</v>
      </c>
      <c r="K25" s="64">
        <v>170.62</v>
      </c>
      <c r="L25" s="64">
        <v>28.21</v>
      </c>
      <c r="M25" s="64">
        <v>43.35</v>
      </c>
      <c r="N25" s="64">
        <v>54.8</v>
      </c>
      <c r="O25" s="64">
        <v>0</v>
      </c>
      <c r="P25" s="64">
        <v>0.35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5" t="s">
        <v>2279</v>
      </c>
      <c r="B26" s="64">
        <v>4.01</v>
      </c>
      <c r="C26" s="64">
        <v>42.95</v>
      </c>
      <c r="D26" s="64">
        <v>38.94</v>
      </c>
      <c r="E26" s="64">
        <v>5.46</v>
      </c>
      <c r="F26" s="64">
        <v>19.7</v>
      </c>
      <c r="G26" s="64">
        <v>70.81</v>
      </c>
      <c r="H26" s="64">
        <v>19.88</v>
      </c>
      <c r="I26" s="64">
        <v>3.95</v>
      </c>
      <c r="J26" s="64">
        <v>1.2</v>
      </c>
      <c r="K26" s="64">
        <v>177.24</v>
      </c>
      <c r="L26" s="64">
        <v>27.77</v>
      </c>
      <c r="M26" s="64">
        <v>46.24</v>
      </c>
      <c r="N26" s="64">
        <v>55</v>
      </c>
      <c r="O26" s="64">
        <v>0</v>
      </c>
      <c r="P26" s="64">
        <v>0.33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15" t="s">
        <v>2280</v>
      </c>
      <c r="B27" s="64">
        <v>7.58</v>
      </c>
      <c r="C27" s="64">
        <v>63.12</v>
      </c>
      <c r="D27" s="64">
        <v>55.54</v>
      </c>
      <c r="E27" s="64">
        <v>5.04</v>
      </c>
      <c r="F27" s="64">
        <v>13.53</v>
      </c>
      <c r="G27" s="64">
        <v>64.010000000000005</v>
      </c>
      <c r="H27" s="64">
        <v>19.11</v>
      </c>
      <c r="I27" s="64">
        <v>4.05</v>
      </c>
      <c r="J27" s="64">
        <v>1.32</v>
      </c>
      <c r="K27" s="64">
        <v>273.57</v>
      </c>
      <c r="L27" s="64">
        <v>27.45</v>
      </c>
      <c r="M27" s="64">
        <v>49.48</v>
      </c>
      <c r="N27" s="64">
        <v>55.3</v>
      </c>
      <c r="O27" s="64">
        <v>0</v>
      </c>
      <c r="P27" s="64">
        <v>0.48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5" t="s">
        <v>2281</v>
      </c>
      <c r="B28" s="64">
        <v>5.35</v>
      </c>
      <c r="C28" s="64">
        <v>50.48</v>
      </c>
      <c r="D28" s="64">
        <v>45.13</v>
      </c>
      <c r="E28" s="64">
        <v>4.26</v>
      </c>
      <c r="F28" s="64">
        <v>15.41</v>
      </c>
      <c r="G28" s="64">
        <v>64.010000000000005</v>
      </c>
      <c r="H28" s="64">
        <v>19.11</v>
      </c>
      <c r="I28" s="64">
        <v>3.82</v>
      </c>
      <c r="J28" s="64">
        <v>1.52</v>
      </c>
      <c r="K28" s="64">
        <v>232.19</v>
      </c>
      <c r="L28" s="64">
        <v>28.01</v>
      </c>
      <c r="M28" s="64">
        <v>46.33</v>
      </c>
      <c r="N28" s="64">
        <v>54.1</v>
      </c>
      <c r="O28" s="64">
        <v>0</v>
      </c>
      <c r="P28" s="64">
        <v>0.4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15" t="s">
        <v>2282</v>
      </c>
      <c r="B29" s="64">
        <v>5.27</v>
      </c>
      <c r="C29" s="64">
        <v>47.62</v>
      </c>
      <c r="D29" s="64">
        <v>42.35</v>
      </c>
      <c r="E29" s="64">
        <v>4.55</v>
      </c>
      <c r="F29" s="64">
        <v>15.85</v>
      </c>
      <c r="G29" s="64">
        <v>64.010000000000005</v>
      </c>
      <c r="H29" s="64">
        <v>19.11</v>
      </c>
      <c r="I29" s="64">
        <v>4.0999999999999996</v>
      </c>
      <c r="J29" s="64">
        <v>1.29</v>
      </c>
      <c r="K29" s="64">
        <v>234.34</v>
      </c>
      <c r="L29" s="64">
        <v>28.4</v>
      </c>
      <c r="M29" s="64">
        <v>45.09</v>
      </c>
      <c r="N29" s="64">
        <v>54.1</v>
      </c>
      <c r="O29" s="64">
        <v>0</v>
      </c>
      <c r="P29" s="64">
        <v>0.44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5" t="s">
        <v>2283</v>
      </c>
      <c r="B30" s="64">
        <v>4.03</v>
      </c>
      <c r="C30" s="64">
        <v>53.58</v>
      </c>
      <c r="D30" s="64">
        <v>49.55</v>
      </c>
      <c r="E30" s="64">
        <v>4.84</v>
      </c>
      <c r="F30" s="64">
        <v>15.98</v>
      </c>
      <c r="G30" s="64">
        <v>63.82</v>
      </c>
      <c r="H30" s="64">
        <v>17.93</v>
      </c>
      <c r="I30" s="64">
        <v>4.09</v>
      </c>
      <c r="J30" s="64">
        <v>1.4</v>
      </c>
      <c r="K30" s="64">
        <v>200.5</v>
      </c>
      <c r="L30" s="64">
        <v>28.16</v>
      </c>
      <c r="M30" s="64">
        <v>46.2</v>
      </c>
      <c r="N30" s="64">
        <v>55.6</v>
      </c>
      <c r="O30" s="64">
        <v>0</v>
      </c>
      <c r="P30" s="64">
        <v>0.36</v>
      </c>
      <c r="Q30" s="64">
        <v>9.52</v>
      </c>
      <c r="R30" s="198"/>
      <c r="S30" s="198"/>
      <c r="T30" s="198"/>
      <c r="U30" s="198"/>
    </row>
    <row r="31" spans="1:21" s="12" customFormat="1" x14ac:dyDescent="0.25">
      <c r="A31" s="215" t="s">
        <v>2284</v>
      </c>
      <c r="B31" s="64">
        <v>1.83</v>
      </c>
      <c r="C31" s="64">
        <v>44.61</v>
      </c>
      <c r="D31" s="64">
        <v>42.77</v>
      </c>
      <c r="E31" s="64">
        <v>4.99</v>
      </c>
      <c r="F31" s="64">
        <v>18.63</v>
      </c>
      <c r="G31" s="64">
        <v>63.62</v>
      </c>
      <c r="H31" s="64">
        <v>16.690000000000001</v>
      </c>
      <c r="I31" s="64">
        <v>3.88</v>
      </c>
      <c r="J31" s="64">
        <v>1.35</v>
      </c>
      <c r="K31" s="64">
        <v>195.8</v>
      </c>
      <c r="L31" s="64">
        <v>27.99</v>
      </c>
      <c r="M31" s="64">
        <v>46.88</v>
      </c>
      <c r="N31" s="64">
        <v>60.5</v>
      </c>
      <c r="O31" s="64">
        <v>0</v>
      </c>
      <c r="P31" s="64">
        <v>0.28999999999999998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5" t="s">
        <v>2285</v>
      </c>
      <c r="B32" s="64">
        <v>3.65</v>
      </c>
      <c r="C32" s="64">
        <v>46.38</v>
      </c>
      <c r="D32" s="64">
        <v>42.73</v>
      </c>
      <c r="E32" s="64">
        <v>4.92</v>
      </c>
      <c r="F32" s="64">
        <v>16.149999999999999</v>
      </c>
      <c r="G32" s="64">
        <v>63.62</v>
      </c>
      <c r="H32" s="64">
        <v>16.690000000000001</v>
      </c>
      <c r="I32" s="64">
        <v>4</v>
      </c>
      <c r="J32" s="64">
        <v>1.1000000000000001</v>
      </c>
      <c r="K32" s="64">
        <v>241.92</v>
      </c>
      <c r="L32" s="64">
        <v>27.93</v>
      </c>
      <c r="M32" s="64">
        <v>46.34</v>
      </c>
      <c r="N32" s="64">
        <v>73.7</v>
      </c>
      <c r="O32" s="64">
        <v>0</v>
      </c>
      <c r="P32" s="64">
        <v>0.37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5" t="s">
        <v>2286</v>
      </c>
      <c r="B33" s="64">
        <v>6.3</v>
      </c>
      <c r="C33" s="64">
        <v>63.97</v>
      </c>
      <c r="D33" s="64">
        <v>57.67</v>
      </c>
      <c r="E33" s="64">
        <v>5.04</v>
      </c>
      <c r="F33" s="64">
        <v>15.75</v>
      </c>
      <c r="G33" s="64">
        <v>63.62</v>
      </c>
      <c r="H33" s="64">
        <v>16.690000000000001</v>
      </c>
      <c r="I33" s="64">
        <v>4.2</v>
      </c>
      <c r="J33" s="64">
        <v>1.1599999999999999</v>
      </c>
      <c r="K33" s="64">
        <v>262.89</v>
      </c>
      <c r="L33" s="64">
        <v>28.38</v>
      </c>
      <c r="M33" s="64">
        <v>45</v>
      </c>
      <c r="N33" s="64">
        <v>98.6</v>
      </c>
      <c r="O33" s="64">
        <v>0</v>
      </c>
      <c r="P33" s="64">
        <v>0.5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5" t="s">
        <v>2287</v>
      </c>
      <c r="B34" s="64">
        <v>3.72</v>
      </c>
      <c r="C34" s="64">
        <v>51.6</v>
      </c>
      <c r="D34" s="64">
        <v>47.88</v>
      </c>
      <c r="E34" s="64">
        <v>5.39</v>
      </c>
      <c r="F34" s="64">
        <v>16.399999999999999</v>
      </c>
      <c r="G34" s="64">
        <v>64.37</v>
      </c>
      <c r="H34" s="64">
        <v>17.2</v>
      </c>
      <c r="I34" s="64">
        <v>3.96</v>
      </c>
      <c r="J34" s="64">
        <v>1.37</v>
      </c>
      <c r="K34" s="64">
        <v>262.39</v>
      </c>
      <c r="L34" s="64">
        <v>28.69</v>
      </c>
      <c r="M34" s="64">
        <v>45.16</v>
      </c>
      <c r="N34" s="64">
        <v>134.1</v>
      </c>
      <c r="O34" s="64">
        <v>0</v>
      </c>
      <c r="P34" s="64">
        <v>0.47</v>
      </c>
      <c r="Q34" s="64">
        <v>9.49</v>
      </c>
      <c r="R34" s="198"/>
      <c r="S34" s="198"/>
      <c r="T34" s="198"/>
      <c r="U34" s="198"/>
    </row>
    <row r="35" spans="1:21" s="12" customFormat="1" x14ac:dyDescent="0.25">
      <c r="A35" s="215" t="s">
        <v>2288</v>
      </c>
      <c r="B35" s="64">
        <v>5.91</v>
      </c>
      <c r="C35" s="64">
        <v>56.01</v>
      </c>
      <c r="D35" s="64">
        <v>50.1</v>
      </c>
      <c r="E35" s="64">
        <v>5.15</v>
      </c>
      <c r="F35" s="64">
        <v>14.3</v>
      </c>
      <c r="G35" s="64">
        <v>65.16</v>
      </c>
      <c r="H35" s="64">
        <v>17.72</v>
      </c>
      <c r="I35" s="64">
        <v>4.04</v>
      </c>
      <c r="J35" s="64">
        <v>1.3</v>
      </c>
      <c r="K35" s="64">
        <v>253.78</v>
      </c>
      <c r="L35" s="64">
        <v>29.28</v>
      </c>
      <c r="M35" s="64">
        <v>45.09</v>
      </c>
      <c r="N35" s="64">
        <v>177.7</v>
      </c>
      <c r="O35" s="64">
        <v>0</v>
      </c>
      <c r="P35" s="64">
        <v>0.54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15" t="s">
        <v>2289</v>
      </c>
      <c r="B36" s="64">
        <v>6.41</v>
      </c>
      <c r="C36" s="64">
        <v>56.32</v>
      </c>
      <c r="D36" s="64">
        <v>49.91</v>
      </c>
      <c r="E36" s="64">
        <v>4.3600000000000003</v>
      </c>
      <c r="F36" s="64">
        <v>10.49</v>
      </c>
      <c r="G36" s="64">
        <v>65.16</v>
      </c>
      <c r="H36" s="64">
        <v>17.72</v>
      </c>
      <c r="I36" s="64">
        <v>3.98</v>
      </c>
      <c r="J36" s="64">
        <v>1.48</v>
      </c>
      <c r="K36" s="64">
        <v>255.01</v>
      </c>
      <c r="L36" s="64">
        <v>29.49</v>
      </c>
      <c r="M36" s="64">
        <v>45.73</v>
      </c>
      <c r="N36" s="64">
        <v>222.4</v>
      </c>
      <c r="O36" s="64">
        <v>0</v>
      </c>
      <c r="P36" s="64">
        <v>0.53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5" t="s">
        <v>2290</v>
      </c>
      <c r="B37" s="64">
        <v>6.14</v>
      </c>
      <c r="C37" s="64">
        <v>55.2</v>
      </c>
      <c r="D37" s="64">
        <v>49.06</v>
      </c>
      <c r="E37" s="64">
        <v>4.08</v>
      </c>
      <c r="F37" s="64">
        <v>11.86</v>
      </c>
      <c r="G37" s="64">
        <v>65.16</v>
      </c>
      <c r="H37" s="64">
        <v>17.72</v>
      </c>
      <c r="I37" s="64">
        <v>3.92</v>
      </c>
      <c r="J37" s="64">
        <v>1.4</v>
      </c>
      <c r="K37" s="64">
        <v>241.23</v>
      </c>
      <c r="L37" s="64">
        <v>29.78</v>
      </c>
      <c r="M37" s="64">
        <v>46.48</v>
      </c>
      <c r="N37" s="64">
        <v>226.6</v>
      </c>
      <c r="O37" s="64">
        <v>0</v>
      </c>
      <c r="P37" s="64">
        <v>0.54</v>
      </c>
      <c r="Q37" s="64">
        <v>9.49</v>
      </c>
      <c r="R37" s="198"/>
      <c r="S37" s="198"/>
      <c r="T37" s="198"/>
      <c r="U37" s="198"/>
    </row>
    <row r="38" spans="1:21" s="12" customFormat="1" x14ac:dyDescent="0.25">
      <c r="A38" s="215" t="s">
        <v>2291</v>
      </c>
      <c r="B38" s="64">
        <v>5.21</v>
      </c>
      <c r="C38" s="64">
        <v>56.07</v>
      </c>
      <c r="D38" s="64">
        <v>50.86</v>
      </c>
      <c r="E38" s="64">
        <v>4.24</v>
      </c>
      <c r="F38" s="64">
        <v>8.6300000000000008</v>
      </c>
      <c r="G38" s="64">
        <v>63.79</v>
      </c>
      <c r="H38" s="64">
        <v>18.64</v>
      </c>
      <c r="I38" s="64">
        <v>3.93</v>
      </c>
      <c r="J38" s="64">
        <v>1.52</v>
      </c>
      <c r="K38" s="64">
        <v>251.54</v>
      </c>
      <c r="L38" s="64">
        <v>30.74</v>
      </c>
      <c r="M38" s="64">
        <v>45.32</v>
      </c>
      <c r="N38" s="64">
        <v>339.5</v>
      </c>
      <c r="O38" s="64">
        <v>0</v>
      </c>
      <c r="P38" s="64">
        <v>0.62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15" t="s">
        <v>2292</v>
      </c>
      <c r="B39" s="64">
        <v>5.0999999999999996</v>
      </c>
      <c r="C39" s="64">
        <v>59.3</v>
      </c>
      <c r="D39" s="64">
        <v>54.2</v>
      </c>
      <c r="E39" s="64">
        <v>3.41</v>
      </c>
      <c r="F39" s="64">
        <v>8.44</v>
      </c>
      <c r="G39" s="64">
        <v>62.37</v>
      </c>
      <c r="H39" s="64">
        <v>19.59</v>
      </c>
      <c r="I39" s="64">
        <v>4.04</v>
      </c>
      <c r="J39" s="64">
        <v>1.4</v>
      </c>
      <c r="K39" s="64">
        <v>253.94</v>
      </c>
      <c r="L39" s="64">
        <v>31.13</v>
      </c>
      <c r="M39" s="64">
        <v>45.59</v>
      </c>
      <c r="N39" s="64">
        <v>399.9</v>
      </c>
      <c r="O39" s="64">
        <v>0</v>
      </c>
      <c r="P39" s="64">
        <v>0.63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5" t="s">
        <v>2293</v>
      </c>
      <c r="B40" s="64">
        <v>3.27</v>
      </c>
      <c r="C40" s="64">
        <v>56.76</v>
      </c>
      <c r="D40" s="64">
        <v>53.5</v>
      </c>
      <c r="E40" s="64">
        <v>2.5499999999999998</v>
      </c>
      <c r="F40" s="64">
        <v>8.6300000000000008</v>
      </c>
      <c r="G40" s="64">
        <v>62.37</v>
      </c>
      <c r="H40" s="64">
        <v>19.59</v>
      </c>
      <c r="I40" s="64">
        <v>3.96</v>
      </c>
      <c r="J40" s="64">
        <v>1.58</v>
      </c>
      <c r="K40" s="64">
        <v>246.25</v>
      </c>
      <c r="L40" s="64">
        <v>31.86</v>
      </c>
      <c r="M40" s="64">
        <v>45.06</v>
      </c>
      <c r="N40" s="64">
        <v>459.8</v>
      </c>
      <c r="O40" s="64">
        <v>0</v>
      </c>
      <c r="P40" s="64">
        <v>0.61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5" t="s">
        <v>2294</v>
      </c>
      <c r="B41" s="64">
        <v>1.77</v>
      </c>
      <c r="C41" s="64">
        <v>51.17</v>
      </c>
      <c r="D41" s="64">
        <v>49.4</v>
      </c>
      <c r="E41" s="64">
        <v>2.89</v>
      </c>
      <c r="F41" s="64">
        <v>8.15</v>
      </c>
      <c r="G41" s="64">
        <v>62.37</v>
      </c>
      <c r="H41" s="64">
        <v>19.59</v>
      </c>
      <c r="I41" s="64">
        <v>4.09</v>
      </c>
      <c r="J41" s="64">
        <v>1.53</v>
      </c>
      <c r="K41" s="64">
        <v>264.66000000000003</v>
      </c>
      <c r="L41" s="64">
        <v>32.43</v>
      </c>
      <c r="M41" s="64">
        <v>45.27</v>
      </c>
      <c r="N41" s="64">
        <v>514.20000000000005</v>
      </c>
      <c r="O41" s="64">
        <v>0</v>
      </c>
      <c r="P41" s="64">
        <v>0.6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5" t="s">
        <v>2295</v>
      </c>
      <c r="B42" s="64">
        <v>0.65</v>
      </c>
      <c r="C42" s="64">
        <v>53.28</v>
      </c>
      <c r="D42" s="64">
        <v>52.62</v>
      </c>
      <c r="E42" s="64">
        <v>2.91</v>
      </c>
      <c r="F42" s="64">
        <v>8.51</v>
      </c>
      <c r="G42" s="64">
        <v>60.38</v>
      </c>
      <c r="H42" s="64">
        <v>19.010000000000002</v>
      </c>
      <c r="I42" s="64">
        <v>4.1100000000000003</v>
      </c>
      <c r="J42" s="64">
        <v>1.54</v>
      </c>
      <c r="K42" s="64">
        <v>261.39999999999998</v>
      </c>
      <c r="L42" s="64">
        <v>33.270000000000003</v>
      </c>
      <c r="M42" s="64">
        <v>44.48</v>
      </c>
      <c r="N42" s="64">
        <v>563.4</v>
      </c>
      <c r="O42" s="64">
        <v>0</v>
      </c>
      <c r="P42" s="64">
        <v>0.57999999999999996</v>
      </c>
      <c r="Q42" s="64">
        <v>9.49</v>
      </c>
      <c r="R42" s="198"/>
      <c r="S42" s="198"/>
      <c r="T42" s="198"/>
      <c r="U42" s="198"/>
    </row>
    <row r="43" spans="1:21" s="12" customFormat="1" x14ac:dyDescent="0.25">
      <c r="A43" s="215" t="s">
        <v>2296</v>
      </c>
      <c r="B43" s="64">
        <v>0.06</v>
      </c>
      <c r="C43" s="64">
        <v>48.51</v>
      </c>
      <c r="D43" s="64">
        <v>48.46</v>
      </c>
      <c r="E43" s="64">
        <v>3.22</v>
      </c>
      <c r="F43" s="64">
        <v>9.48</v>
      </c>
      <c r="G43" s="64">
        <v>58.31</v>
      </c>
      <c r="H43" s="64">
        <v>18.399999999999999</v>
      </c>
      <c r="I43" s="64">
        <v>4.13</v>
      </c>
      <c r="J43" s="64">
        <v>1.52</v>
      </c>
      <c r="K43" s="64">
        <v>260.85000000000002</v>
      </c>
      <c r="L43" s="64">
        <v>33.99</v>
      </c>
      <c r="M43" s="64">
        <v>43.16</v>
      </c>
      <c r="N43" s="64">
        <v>610.70000000000005</v>
      </c>
      <c r="O43" s="64">
        <v>0</v>
      </c>
      <c r="P43" s="64">
        <v>0.56000000000000005</v>
      </c>
      <c r="Q43" s="64">
        <v>9.5</v>
      </c>
      <c r="R43" s="198"/>
      <c r="S43" s="198"/>
      <c r="T43" s="198"/>
      <c r="U43" s="198"/>
    </row>
    <row r="44" spans="1:21" s="12" customFormat="1" x14ac:dyDescent="0.25">
      <c r="A44" s="215" t="s">
        <v>2297</v>
      </c>
      <c r="B44" s="64">
        <v>0.18</v>
      </c>
      <c r="C44" s="64">
        <v>54.67</v>
      </c>
      <c r="D44" s="64">
        <v>54.49</v>
      </c>
      <c r="E44" s="64">
        <v>3.49</v>
      </c>
      <c r="F44" s="64">
        <v>9.52</v>
      </c>
      <c r="G44" s="64">
        <v>58.31</v>
      </c>
      <c r="H44" s="64">
        <v>18.399999999999999</v>
      </c>
      <c r="I44" s="64">
        <v>3.95</v>
      </c>
      <c r="J44" s="64">
        <v>1.4</v>
      </c>
      <c r="K44" s="64">
        <v>259.63</v>
      </c>
      <c r="L44" s="64">
        <v>34.29</v>
      </c>
      <c r="M44" s="64">
        <v>42.26</v>
      </c>
      <c r="N44" s="64">
        <v>655</v>
      </c>
      <c r="O44" s="64">
        <v>0</v>
      </c>
      <c r="P44" s="64">
        <v>0.59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5" t="s">
        <v>2298</v>
      </c>
      <c r="B45" s="64">
        <v>0.54</v>
      </c>
      <c r="C45" s="64">
        <v>49.85</v>
      </c>
      <c r="D45" s="64">
        <v>49.31</v>
      </c>
      <c r="E45" s="64">
        <v>4.0599999999999996</v>
      </c>
      <c r="F45" s="64">
        <v>10.02</v>
      </c>
      <c r="G45" s="64">
        <v>58.31</v>
      </c>
      <c r="H45" s="64">
        <v>18.399999999999999</v>
      </c>
      <c r="I45" s="64">
        <v>3.96</v>
      </c>
      <c r="J45" s="64">
        <v>1.75</v>
      </c>
      <c r="K45" s="64">
        <v>269.51</v>
      </c>
      <c r="L45" s="64">
        <v>35.72</v>
      </c>
      <c r="M45" s="64">
        <v>39.19</v>
      </c>
      <c r="N45" s="64">
        <v>690.2</v>
      </c>
      <c r="O45" s="64">
        <v>0</v>
      </c>
      <c r="P45" s="64">
        <v>0.61</v>
      </c>
      <c r="Q45" s="64">
        <v>9.5</v>
      </c>
      <c r="R45" s="198"/>
      <c r="S45" s="198"/>
      <c r="T45" s="198"/>
      <c r="U45" s="198"/>
    </row>
    <row r="46" spans="1:21" s="12" customFormat="1" x14ac:dyDescent="0.25">
      <c r="A46" s="215" t="s">
        <v>2299</v>
      </c>
      <c r="B46" s="64">
        <v>0.65</v>
      </c>
      <c r="C46" s="64">
        <v>51.52</v>
      </c>
      <c r="D46" s="64">
        <v>50.87</v>
      </c>
      <c r="E46" s="64">
        <v>4.5599999999999996</v>
      </c>
      <c r="F46" s="64">
        <v>9.5500000000000007</v>
      </c>
      <c r="G46" s="64">
        <v>59.26</v>
      </c>
      <c r="H46" s="64">
        <v>19.48</v>
      </c>
      <c r="I46" s="64">
        <v>4.08</v>
      </c>
      <c r="J46" s="64">
        <v>1.47</v>
      </c>
      <c r="K46" s="64">
        <v>269.72000000000003</v>
      </c>
      <c r="L46" s="64">
        <v>36.32</v>
      </c>
      <c r="M46" s="64">
        <v>37.06</v>
      </c>
      <c r="N46" s="64">
        <v>736.1</v>
      </c>
      <c r="O46" s="64">
        <v>0</v>
      </c>
      <c r="P46" s="64">
        <v>0.69</v>
      </c>
      <c r="Q46" s="64">
        <v>9.52</v>
      </c>
      <c r="R46" s="198"/>
      <c r="S46" s="198"/>
      <c r="T46" s="198"/>
      <c r="U46" s="198"/>
    </row>
    <row r="47" spans="1:21" s="12" customFormat="1" x14ac:dyDescent="0.25">
      <c r="A47" s="215" t="s">
        <v>2300</v>
      </c>
      <c r="B47" s="64">
        <v>0.19</v>
      </c>
      <c r="C47" s="64">
        <v>57.04</v>
      </c>
      <c r="D47" s="64">
        <v>56.86</v>
      </c>
      <c r="E47" s="64">
        <v>3.4</v>
      </c>
      <c r="F47" s="64">
        <v>8.52</v>
      </c>
      <c r="G47" s="64">
        <v>60.25</v>
      </c>
      <c r="H47" s="64">
        <v>20.61</v>
      </c>
      <c r="I47" s="64">
        <v>4.03</v>
      </c>
      <c r="J47" s="64">
        <v>1.75</v>
      </c>
      <c r="K47" s="64">
        <v>276.67</v>
      </c>
      <c r="L47" s="64">
        <v>37.880000000000003</v>
      </c>
      <c r="M47" s="64">
        <v>31.27</v>
      </c>
      <c r="N47" s="64">
        <v>776.5</v>
      </c>
      <c r="O47" s="64">
        <v>0</v>
      </c>
      <c r="P47" s="64">
        <v>0.67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15" t="s">
        <v>2301</v>
      </c>
      <c r="B48" s="64">
        <v>0.28999999999999998</v>
      </c>
      <c r="C48" s="64">
        <v>53.04</v>
      </c>
      <c r="D48" s="64">
        <v>52.75</v>
      </c>
      <c r="E48" s="64">
        <v>4.41</v>
      </c>
      <c r="F48" s="64">
        <v>11.57</v>
      </c>
      <c r="G48" s="64">
        <v>60.25</v>
      </c>
      <c r="H48" s="64">
        <v>20.61</v>
      </c>
      <c r="I48" s="64">
        <v>4.0999999999999996</v>
      </c>
      <c r="J48" s="64">
        <v>1.74</v>
      </c>
      <c r="K48" s="64">
        <v>275.06</v>
      </c>
      <c r="L48" s="64">
        <v>39.130000000000003</v>
      </c>
      <c r="M48" s="64">
        <v>28.48</v>
      </c>
      <c r="N48" s="64">
        <v>808.1</v>
      </c>
      <c r="O48" s="64">
        <v>0</v>
      </c>
      <c r="P48" s="64">
        <v>0.66</v>
      </c>
      <c r="Q48" s="64">
        <v>9.5299999999999994</v>
      </c>
      <c r="R48" s="198"/>
      <c r="S48" s="198"/>
      <c r="T48" s="198"/>
      <c r="U48" s="198"/>
    </row>
    <row r="49" spans="1:21" s="12" customFormat="1" x14ac:dyDescent="0.25">
      <c r="A49" s="215" t="s">
        <v>2302</v>
      </c>
      <c r="B49" s="64">
        <v>0.66</v>
      </c>
      <c r="C49" s="64">
        <v>53.87</v>
      </c>
      <c r="D49" s="64">
        <v>53.21</v>
      </c>
      <c r="E49" s="64">
        <v>4.9000000000000004</v>
      </c>
      <c r="F49" s="64">
        <v>12.66</v>
      </c>
      <c r="G49" s="64">
        <v>60.25</v>
      </c>
      <c r="H49" s="64">
        <v>20.61</v>
      </c>
      <c r="I49" s="64">
        <v>3.9</v>
      </c>
      <c r="J49" s="64">
        <v>1.6</v>
      </c>
      <c r="K49" s="64">
        <v>272.75</v>
      </c>
      <c r="L49" s="64">
        <v>39.08</v>
      </c>
      <c r="M49" s="64">
        <v>25.99</v>
      </c>
      <c r="N49" s="64">
        <v>841.4</v>
      </c>
      <c r="O49" s="64">
        <v>0</v>
      </c>
      <c r="P49" s="64">
        <v>0.65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5" t="s">
        <v>2303</v>
      </c>
      <c r="B50" s="64">
        <v>0.2</v>
      </c>
      <c r="C50" s="64">
        <v>55.74</v>
      </c>
      <c r="D50" s="64">
        <v>55.54</v>
      </c>
      <c r="E50" s="64">
        <v>4.6500000000000004</v>
      </c>
      <c r="F50" s="64">
        <v>12.39</v>
      </c>
      <c r="G50" s="64">
        <v>62.94</v>
      </c>
      <c r="H50" s="64">
        <v>21.04</v>
      </c>
      <c r="I50" s="64">
        <v>4.09</v>
      </c>
      <c r="J50" s="64">
        <v>2.0499999999999998</v>
      </c>
      <c r="K50" s="64">
        <v>276.98</v>
      </c>
      <c r="L50" s="64">
        <v>39.17</v>
      </c>
      <c r="M50" s="64">
        <v>23.91</v>
      </c>
      <c r="N50" s="64">
        <v>875.2</v>
      </c>
      <c r="O50" s="64">
        <v>0</v>
      </c>
      <c r="P50" s="64">
        <v>0.63</v>
      </c>
      <c r="Q50" s="64">
        <v>9.5299999999999994</v>
      </c>
      <c r="R50" s="198"/>
      <c r="S50" s="198"/>
      <c r="T50" s="198"/>
      <c r="U50" s="198"/>
    </row>
    <row r="51" spans="1:21" s="12" customFormat="1" x14ac:dyDescent="0.25">
      <c r="A51" s="215" t="s">
        <v>2304</v>
      </c>
      <c r="B51" s="212" t="s">
        <v>40</v>
      </c>
      <c r="C51" s="212" t="s">
        <v>40</v>
      </c>
      <c r="D51" s="212" t="s">
        <v>40</v>
      </c>
      <c r="E51" s="64">
        <v>4.0199999999999996</v>
      </c>
      <c r="F51" s="64">
        <v>13.77</v>
      </c>
      <c r="G51" s="64">
        <v>65.739999999999995</v>
      </c>
      <c r="H51" s="64">
        <v>21.49</v>
      </c>
      <c r="I51" s="64">
        <v>3.96</v>
      </c>
      <c r="J51" s="64">
        <v>1.59</v>
      </c>
      <c r="K51" s="64">
        <v>258.42</v>
      </c>
      <c r="L51" s="64">
        <v>40.79</v>
      </c>
      <c r="M51" s="64">
        <v>18.71</v>
      </c>
      <c r="N51" s="64">
        <v>905.4</v>
      </c>
      <c r="O51" s="64">
        <v>0</v>
      </c>
      <c r="P51" s="64">
        <v>0.61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5" t="s">
        <v>2305</v>
      </c>
      <c r="B52" s="212" t="s">
        <v>40</v>
      </c>
      <c r="C52" s="212" t="s">
        <v>40</v>
      </c>
      <c r="D52" s="212" t="s">
        <v>40</v>
      </c>
      <c r="E52" s="64">
        <v>4.82</v>
      </c>
      <c r="F52" s="64">
        <v>17.03</v>
      </c>
      <c r="G52" s="64">
        <v>65.739999999999995</v>
      </c>
      <c r="H52" s="64">
        <v>21.49</v>
      </c>
      <c r="I52" s="64">
        <v>4.04</v>
      </c>
      <c r="J52" s="64">
        <v>1.57</v>
      </c>
      <c r="K52" s="64">
        <v>276.77</v>
      </c>
      <c r="L52" s="64">
        <v>41.67</v>
      </c>
      <c r="M52" s="64">
        <v>17.39</v>
      </c>
      <c r="N52" s="64">
        <v>927.9</v>
      </c>
      <c r="O52" s="64">
        <v>0</v>
      </c>
      <c r="P52" s="64">
        <v>0.56000000000000005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5" t="s">
        <v>2306</v>
      </c>
      <c r="B53" s="212" t="s">
        <v>40</v>
      </c>
      <c r="C53" s="212" t="s">
        <v>40</v>
      </c>
      <c r="D53" s="212" t="s">
        <v>40</v>
      </c>
      <c r="E53" s="64">
        <v>4.72</v>
      </c>
      <c r="F53" s="64">
        <v>14.14</v>
      </c>
      <c r="G53" s="64">
        <v>65.739999999999995</v>
      </c>
      <c r="H53" s="64">
        <v>21.49</v>
      </c>
      <c r="I53" s="64">
        <v>4.0199999999999996</v>
      </c>
      <c r="J53" s="64">
        <v>1.51</v>
      </c>
      <c r="K53" s="64">
        <v>272.83999999999997</v>
      </c>
      <c r="L53" s="64">
        <v>41.45</v>
      </c>
      <c r="M53" s="64">
        <v>17.309999999999999</v>
      </c>
      <c r="N53" s="64">
        <v>949.7</v>
      </c>
      <c r="O53" s="64">
        <v>0</v>
      </c>
      <c r="P53" s="64">
        <v>0.53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15" t="s">
        <v>2307</v>
      </c>
      <c r="B54" s="64">
        <v>1.1399999999999999</v>
      </c>
      <c r="C54" s="64">
        <v>64.900000000000006</v>
      </c>
      <c r="D54" s="64">
        <v>63.76</v>
      </c>
      <c r="E54" s="64">
        <v>3.5</v>
      </c>
      <c r="F54" s="64">
        <v>14.92</v>
      </c>
      <c r="G54" s="64">
        <v>65.739999999999995</v>
      </c>
      <c r="H54" s="64">
        <v>21.49</v>
      </c>
      <c r="I54" s="64">
        <v>4</v>
      </c>
      <c r="J54" s="64">
        <v>2.0099999999999998</v>
      </c>
      <c r="K54" s="64">
        <v>288.58</v>
      </c>
      <c r="L54" s="64">
        <v>42.56</v>
      </c>
      <c r="M54" s="64">
        <v>16.54</v>
      </c>
      <c r="N54" s="64">
        <v>959.8</v>
      </c>
      <c r="O54" s="64">
        <v>0</v>
      </c>
      <c r="P54" s="64">
        <v>0.51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5" t="s">
        <v>2308</v>
      </c>
      <c r="B55" s="64">
        <v>0.9</v>
      </c>
      <c r="C55" s="64">
        <v>62.03</v>
      </c>
      <c r="D55" s="64">
        <v>61.13</v>
      </c>
      <c r="E55" s="64">
        <v>53.13</v>
      </c>
      <c r="F55" s="64">
        <v>13.66</v>
      </c>
      <c r="G55" s="64">
        <v>65.739999999999995</v>
      </c>
      <c r="H55" s="64">
        <v>21.49</v>
      </c>
      <c r="I55" s="64">
        <v>3.93</v>
      </c>
      <c r="J55" s="64">
        <v>1.4</v>
      </c>
      <c r="K55" s="64">
        <v>258.52</v>
      </c>
      <c r="L55" s="64">
        <v>41.66</v>
      </c>
      <c r="M55" s="64">
        <v>16.41</v>
      </c>
      <c r="N55" s="64">
        <v>975.7</v>
      </c>
      <c r="O55" s="64">
        <v>0</v>
      </c>
      <c r="P55" s="64">
        <v>0.5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5" t="s">
        <v>2309</v>
      </c>
      <c r="B56" s="64">
        <v>1.01</v>
      </c>
      <c r="C56" s="64">
        <v>63.98</v>
      </c>
      <c r="D56" s="64">
        <v>62.97</v>
      </c>
      <c r="E56" s="212" t="s">
        <v>40</v>
      </c>
      <c r="F56" s="64">
        <v>14.46</v>
      </c>
      <c r="G56" s="212" t="s">
        <v>40</v>
      </c>
      <c r="H56" s="212" t="s">
        <v>40</v>
      </c>
      <c r="I56" s="64">
        <v>4.01</v>
      </c>
      <c r="J56" s="64">
        <v>1.73</v>
      </c>
      <c r="K56" s="64">
        <v>285.73</v>
      </c>
      <c r="L56" s="64">
        <v>42.03</v>
      </c>
      <c r="M56" s="64">
        <v>15.54</v>
      </c>
      <c r="N56" s="64">
        <v>998.8</v>
      </c>
      <c r="O56" s="64">
        <v>0</v>
      </c>
      <c r="P56" s="64">
        <v>0.48</v>
      </c>
      <c r="Q56" s="64">
        <v>9.48</v>
      </c>
      <c r="R56" s="198"/>
      <c r="S56" s="198"/>
      <c r="T56" s="198"/>
      <c r="U56" s="198"/>
    </row>
    <row r="57" spans="1:21" s="12" customFormat="1" x14ac:dyDescent="0.25">
      <c r="A57" s="215" t="s">
        <v>2310</v>
      </c>
      <c r="B57" s="64">
        <v>0.74</v>
      </c>
      <c r="C57" s="64">
        <v>59.38</v>
      </c>
      <c r="D57" s="64">
        <v>58.64</v>
      </c>
      <c r="E57" s="212" t="s">
        <v>40</v>
      </c>
      <c r="F57" s="64">
        <v>14.97</v>
      </c>
      <c r="G57" s="212" t="s">
        <v>40</v>
      </c>
      <c r="H57" s="212" t="s">
        <v>40</v>
      </c>
      <c r="I57" s="64">
        <v>4.07</v>
      </c>
      <c r="J57" s="64">
        <v>1.66</v>
      </c>
      <c r="K57" s="64">
        <v>264.37</v>
      </c>
      <c r="L57" s="64">
        <v>42.29</v>
      </c>
      <c r="M57" s="64">
        <v>14.56</v>
      </c>
      <c r="N57" s="64">
        <v>985.8</v>
      </c>
      <c r="O57" s="64">
        <v>0</v>
      </c>
      <c r="P57" s="64">
        <v>0.47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15" t="s">
        <v>2311</v>
      </c>
      <c r="B58" s="64">
        <v>0.56000000000000005</v>
      </c>
      <c r="C58" s="64">
        <v>63.18</v>
      </c>
      <c r="D58" s="64">
        <v>62.63</v>
      </c>
      <c r="E58" s="212" t="s">
        <v>40</v>
      </c>
      <c r="F58" s="64">
        <v>13.99</v>
      </c>
      <c r="G58" s="212" t="s">
        <v>40</v>
      </c>
      <c r="H58" s="212" t="s">
        <v>40</v>
      </c>
      <c r="I58" s="64">
        <v>4.1100000000000003</v>
      </c>
      <c r="J58" s="64">
        <v>1.38</v>
      </c>
      <c r="K58" s="64">
        <v>259.08</v>
      </c>
      <c r="L58" s="64">
        <v>41.67</v>
      </c>
      <c r="M58" s="64">
        <v>14.48</v>
      </c>
      <c r="N58" s="64">
        <v>971.8</v>
      </c>
      <c r="O58" s="64">
        <v>0</v>
      </c>
      <c r="P58" s="64">
        <v>0.46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15" t="s">
        <v>2312</v>
      </c>
      <c r="B59" s="64">
        <v>0.85</v>
      </c>
      <c r="C59" s="64">
        <v>57.58</v>
      </c>
      <c r="D59" s="64">
        <v>56.73</v>
      </c>
      <c r="E59" s="212" t="s">
        <v>40</v>
      </c>
      <c r="F59" s="64">
        <v>14.8</v>
      </c>
      <c r="G59" s="212" t="s">
        <v>40</v>
      </c>
      <c r="H59" s="212" t="s">
        <v>40</v>
      </c>
      <c r="I59" s="64">
        <v>4.13</v>
      </c>
      <c r="J59" s="64">
        <v>1.56</v>
      </c>
      <c r="K59" s="64">
        <v>278.95999999999998</v>
      </c>
      <c r="L59" s="64">
        <v>42.33</v>
      </c>
      <c r="M59" s="64">
        <v>13.59</v>
      </c>
      <c r="N59" s="64">
        <v>959.1</v>
      </c>
      <c r="O59" s="64">
        <v>0</v>
      </c>
      <c r="P59" s="64">
        <v>0.45</v>
      </c>
      <c r="Q59" s="64">
        <v>9.42</v>
      </c>
      <c r="R59" s="198"/>
      <c r="S59" s="198"/>
      <c r="T59" s="198"/>
      <c r="U59" s="198"/>
    </row>
    <row r="60" spans="1:21" s="12" customFormat="1" x14ac:dyDescent="0.25">
      <c r="A60" s="215" t="s">
        <v>2313</v>
      </c>
      <c r="B60" s="64">
        <v>3.38</v>
      </c>
      <c r="C60" s="64">
        <v>50.62</v>
      </c>
      <c r="D60" s="64">
        <v>47.25</v>
      </c>
      <c r="E60" s="64">
        <v>6.97</v>
      </c>
      <c r="F60" s="64">
        <v>19.96</v>
      </c>
      <c r="G60" s="64">
        <v>70.47</v>
      </c>
      <c r="H60" s="64">
        <v>9.01</v>
      </c>
      <c r="I60" s="64">
        <v>4.05</v>
      </c>
      <c r="J60" s="64">
        <v>0.99</v>
      </c>
      <c r="K60" s="64">
        <v>283.57</v>
      </c>
      <c r="L60" s="64">
        <v>42.45</v>
      </c>
      <c r="M60" s="64">
        <v>12.33</v>
      </c>
      <c r="N60" s="64">
        <v>925.2</v>
      </c>
      <c r="O60" s="64">
        <v>0</v>
      </c>
      <c r="P60" s="64">
        <v>0.34</v>
      </c>
      <c r="Q60" s="64">
        <v>9.3800000000000008</v>
      </c>
      <c r="R60" s="198"/>
      <c r="S60" s="198"/>
      <c r="T60" s="198"/>
      <c r="U60" s="198"/>
    </row>
    <row r="61" spans="1:21" s="12" customFormat="1" x14ac:dyDescent="0.25">
      <c r="A61" s="215" t="s">
        <v>2314</v>
      </c>
      <c r="B61" s="64">
        <v>0.93</v>
      </c>
      <c r="C61" s="64">
        <v>58.96</v>
      </c>
      <c r="D61" s="64">
        <v>58.03</v>
      </c>
      <c r="E61" s="64">
        <v>3.54</v>
      </c>
      <c r="F61" s="64">
        <v>15.39</v>
      </c>
      <c r="G61" s="64">
        <v>90.6</v>
      </c>
      <c r="H61" s="64">
        <v>11.59</v>
      </c>
      <c r="I61" s="64">
        <v>4.0199999999999996</v>
      </c>
      <c r="J61" s="64">
        <v>1.76</v>
      </c>
      <c r="K61" s="64">
        <v>289.89</v>
      </c>
      <c r="L61" s="64">
        <v>43.35</v>
      </c>
      <c r="M61" s="64">
        <v>10.83</v>
      </c>
      <c r="N61" s="64">
        <v>806.2</v>
      </c>
      <c r="O61" s="64">
        <v>0</v>
      </c>
      <c r="P61" s="212" t="s">
        <v>40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5" t="s">
        <v>2315</v>
      </c>
      <c r="B62" s="64">
        <v>1.4</v>
      </c>
      <c r="C62" s="64">
        <v>62.65</v>
      </c>
      <c r="D62" s="64">
        <v>61.25</v>
      </c>
      <c r="E62" s="64">
        <v>2.64</v>
      </c>
      <c r="F62" s="64">
        <v>13.01</v>
      </c>
      <c r="G62" s="64">
        <v>90.6</v>
      </c>
      <c r="H62" s="64">
        <v>11.59</v>
      </c>
      <c r="I62" s="64">
        <v>3.94</v>
      </c>
      <c r="J62" s="64">
        <v>1.98</v>
      </c>
      <c r="K62" s="64">
        <v>284.33999999999997</v>
      </c>
      <c r="L62" s="64">
        <v>43.37</v>
      </c>
      <c r="M62" s="64">
        <v>10.53</v>
      </c>
      <c r="N62" s="64">
        <v>754.3</v>
      </c>
      <c r="O62" s="64">
        <v>0</v>
      </c>
      <c r="P62" s="212" t="s">
        <v>40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5" t="s">
        <v>2316</v>
      </c>
      <c r="B63" s="64">
        <v>1.56</v>
      </c>
      <c r="C63" s="64">
        <v>56.52</v>
      </c>
      <c r="D63" s="64">
        <v>54.96</v>
      </c>
      <c r="E63" s="64">
        <v>3.06</v>
      </c>
      <c r="F63" s="64">
        <v>15.39</v>
      </c>
      <c r="G63" s="64">
        <v>90.6</v>
      </c>
      <c r="H63" s="64">
        <v>11.59</v>
      </c>
      <c r="I63" s="64">
        <v>4.13</v>
      </c>
      <c r="J63" s="64">
        <v>2.38</v>
      </c>
      <c r="K63" s="64">
        <v>310.17</v>
      </c>
      <c r="L63" s="64">
        <v>43.62</v>
      </c>
      <c r="M63" s="64">
        <v>10.18</v>
      </c>
      <c r="N63" s="64">
        <v>653.5</v>
      </c>
      <c r="O63" s="64">
        <v>0</v>
      </c>
      <c r="P63" s="64">
        <v>0.43</v>
      </c>
      <c r="Q63" s="64">
        <v>9.26</v>
      </c>
      <c r="R63" s="198"/>
      <c r="S63" s="198"/>
      <c r="T63" s="198"/>
      <c r="U63" s="198"/>
    </row>
    <row r="64" spans="1:21" s="12" customFormat="1" x14ac:dyDescent="0.25">
      <c r="A64" s="215" t="s">
        <v>2317</v>
      </c>
      <c r="B64" s="64">
        <v>2.0699999999999998</v>
      </c>
      <c r="C64" s="64">
        <v>60.19</v>
      </c>
      <c r="D64" s="64">
        <v>58.12</v>
      </c>
      <c r="E64" s="64">
        <v>2.4500000000000002</v>
      </c>
      <c r="F64" s="64">
        <v>11.33</v>
      </c>
      <c r="G64" s="64">
        <v>80.099999999999994</v>
      </c>
      <c r="H64" s="64">
        <v>13.33</v>
      </c>
      <c r="I64" s="64">
        <v>4.0999999999999996</v>
      </c>
      <c r="J64" s="64">
        <v>2.54</v>
      </c>
      <c r="K64" s="64">
        <v>292.63</v>
      </c>
      <c r="L64" s="64">
        <v>43.86</v>
      </c>
      <c r="M64" s="64">
        <v>10.45</v>
      </c>
      <c r="N64" s="64">
        <v>659.2</v>
      </c>
      <c r="O64" s="64">
        <v>0</v>
      </c>
      <c r="P64" s="64">
        <v>0.44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5" t="s">
        <v>2318</v>
      </c>
      <c r="B65" s="64">
        <v>1.39</v>
      </c>
      <c r="C65" s="64">
        <v>58.46</v>
      </c>
      <c r="D65" s="64">
        <v>57.06</v>
      </c>
      <c r="E65" s="64">
        <v>2.12</v>
      </c>
      <c r="F65" s="64">
        <v>8.8000000000000007</v>
      </c>
      <c r="G65" s="64">
        <v>77.099999999999994</v>
      </c>
      <c r="H65" s="64">
        <v>13.82</v>
      </c>
      <c r="I65" s="64">
        <v>3.9</v>
      </c>
      <c r="J65" s="64">
        <v>2.44</v>
      </c>
      <c r="K65" s="64">
        <v>288.08</v>
      </c>
      <c r="L65" s="64">
        <v>42.74</v>
      </c>
      <c r="M65" s="64">
        <v>9.8000000000000007</v>
      </c>
      <c r="N65" s="64">
        <v>436.8</v>
      </c>
      <c r="O65" s="64">
        <v>0</v>
      </c>
      <c r="P65" s="64">
        <v>0.43</v>
      </c>
      <c r="Q65" s="64">
        <v>9.26</v>
      </c>
      <c r="R65" s="198"/>
      <c r="S65" s="198"/>
      <c r="T65" s="198"/>
      <c r="U65" s="198"/>
    </row>
    <row r="66" spans="1:21" s="12" customFormat="1" x14ac:dyDescent="0.25">
      <c r="A66" s="215" t="s">
        <v>2319</v>
      </c>
      <c r="B66" s="64">
        <v>4.6100000000000003</v>
      </c>
      <c r="C66" s="64">
        <v>53.16</v>
      </c>
      <c r="D66" s="64">
        <v>48.55</v>
      </c>
      <c r="E66" s="64">
        <v>4.47</v>
      </c>
      <c r="F66" s="64">
        <v>24.75</v>
      </c>
      <c r="G66" s="64">
        <v>77.099999999999994</v>
      </c>
      <c r="H66" s="64">
        <v>13.82</v>
      </c>
      <c r="I66" s="64">
        <v>3.79</v>
      </c>
      <c r="J66" s="64">
        <v>0.88</v>
      </c>
      <c r="K66" s="64">
        <v>280.70999999999998</v>
      </c>
      <c r="L66" s="64">
        <v>42.05</v>
      </c>
      <c r="M66" s="64">
        <v>9.61</v>
      </c>
      <c r="N66" s="64">
        <v>447.9</v>
      </c>
      <c r="O66" s="64">
        <v>0</v>
      </c>
      <c r="P66" s="64">
        <v>0.33</v>
      </c>
      <c r="Q66" s="64">
        <v>9.26</v>
      </c>
      <c r="R66" s="198"/>
      <c r="S66" s="198"/>
      <c r="T66" s="198"/>
      <c r="U66" s="198"/>
    </row>
    <row r="67" spans="1:21" s="12" customFormat="1" x14ac:dyDescent="0.25">
      <c r="A67" s="215" t="s">
        <v>2320</v>
      </c>
      <c r="B67" s="64">
        <v>2.94</v>
      </c>
      <c r="C67" s="64">
        <v>58.16</v>
      </c>
      <c r="D67" s="64">
        <v>55.22</v>
      </c>
      <c r="E67" s="64">
        <v>2.77</v>
      </c>
      <c r="F67" s="64">
        <v>18.059999999999999</v>
      </c>
      <c r="G67" s="64">
        <v>77.099999999999994</v>
      </c>
      <c r="H67" s="64">
        <v>13.82</v>
      </c>
      <c r="I67" s="64">
        <v>4.0599999999999996</v>
      </c>
      <c r="J67" s="64">
        <v>2.19</v>
      </c>
      <c r="K67" s="64">
        <v>293.31</v>
      </c>
      <c r="L67" s="64">
        <v>42.05</v>
      </c>
      <c r="M67" s="64">
        <v>10.119999999999999</v>
      </c>
      <c r="N67" s="64">
        <v>448.8</v>
      </c>
      <c r="O67" s="64">
        <v>0</v>
      </c>
      <c r="P67" s="64">
        <v>0.39</v>
      </c>
      <c r="Q67" s="64">
        <v>9.25</v>
      </c>
      <c r="R67" s="198"/>
      <c r="S67" s="198"/>
      <c r="T67" s="198"/>
      <c r="U67" s="198"/>
    </row>
    <row r="68" spans="1:21" s="12" customFormat="1" x14ac:dyDescent="0.25">
      <c r="A68" s="215" t="s">
        <v>2321</v>
      </c>
      <c r="B68" s="64">
        <v>2.13</v>
      </c>
      <c r="C68" s="64">
        <v>55.68</v>
      </c>
      <c r="D68" s="64">
        <v>53.55</v>
      </c>
      <c r="E68" s="64">
        <v>2.94</v>
      </c>
      <c r="F68" s="64">
        <v>12.82</v>
      </c>
      <c r="G68" s="64">
        <v>69.489999999999995</v>
      </c>
      <c r="H68" s="64">
        <v>15.16</v>
      </c>
      <c r="I68" s="64">
        <v>3.99</v>
      </c>
      <c r="J68" s="64">
        <v>2.25</v>
      </c>
      <c r="K68" s="64">
        <v>290.72000000000003</v>
      </c>
      <c r="L68" s="64">
        <v>42.28</v>
      </c>
      <c r="M68" s="64">
        <v>9.86</v>
      </c>
      <c r="N68" s="64">
        <v>380.7</v>
      </c>
      <c r="O68" s="64">
        <v>0</v>
      </c>
      <c r="P68" s="64">
        <v>0.4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5" t="s">
        <v>2322</v>
      </c>
      <c r="B69" s="64">
        <v>2.94</v>
      </c>
      <c r="C69" s="64">
        <v>55.87</v>
      </c>
      <c r="D69" s="64">
        <v>52.93</v>
      </c>
      <c r="E69" s="64">
        <v>2.5299999999999998</v>
      </c>
      <c r="F69" s="64">
        <v>13.54</v>
      </c>
      <c r="G69" s="64">
        <v>67.319999999999993</v>
      </c>
      <c r="H69" s="64">
        <v>15.55</v>
      </c>
      <c r="I69" s="64">
        <v>3.94</v>
      </c>
      <c r="J69" s="64">
        <v>2.71</v>
      </c>
      <c r="K69" s="64">
        <v>295.01</v>
      </c>
      <c r="L69" s="64">
        <v>41.58</v>
      </c>
      <c r="M69" s="64">
        <v>10.07</v>
      </c>
      <c r="N69" s="64">
        <v>379.2</v>
      </c>
      <c r="O69" s="64">
        <v>0</v>
      </c>
      <c r="P69" s="64">
        <v>0.39</v>
      </c>
      <c r="Q69" s="64">
        <v>9.27</v>
      </c>
      <c r="R69" s="198"/>
      <c r="S69" s="198"/>
      <c r="T69" s="198"/>
      <c r="U69" s="198"/>
    </row>
    <row r="70" spans="1:21" s="12" customFormat="1" x14ac:dyDescent="0.25">
      <c r="A70" s="215" t="s">
        <v>2323</v>
      </c>
      <c r="B70" s="64">
        <v>2.29</v>
      </c>
      <c r="C70" s="64">
        <v>50.92</v>
      </c>
      <c r="D70" s="64">
        <v>48.62</v>
      </c>
      <c r="E70" s="64">
        <v>2.65</v>
      </c>
      <c r="F70" s="64">
        <v>18.39</v>
      </c>
      <c r="G70" s="64">
        <v>67.319999999999993</v>
      </c>
      <c r="H70" s="64">
        <v>15.55</v>
      </c>
      <c r="I70" s="64">
        <v>4.01</v>
      </c>
      <c r="J70" s="64">
        <v>2.2999999999999998</v>
      </c>
      <c r="K70" s="64">
        <v>292.67</v>
      </c>
      <c r="L70" s="64">
        <v>40.92</v>
      </c>
      <c r="M70" s="64">
        <v>10.17</v>
      </c>
      <c r="N70" s="64">
        <v>274.8</v>
      </c>
      <c r="O70" s="64">
        <v>0</v>
      </c>
      <c r="P70" s="64">
        <v>0.36</v>
      </c>
      <c r="Q70" s="64">
        <v>9.2799999999999994</v>
      </c>
      <c r="R70" s="198"/>
      <c r="S70" s="198"/>
      <c r="T70" s="198"/>
      <c r="U70" s="198"/>
    </row>
    <row r="71" spans="1:21" s="12" customFormat="1" x14ac:dyDescent="0.25">
      <c r="A71" s="215" t="s">
        <v>2324</v>
      </c>
      <c r="B71" s="64">
        <v>3.45</v>
      </c>
      <c r="C71" s="64">
        <v>48.57</v>
      </c>
      <c r="D71" s="64">
        <v>45.12</v>
      </c>
      <c r="E71" s="64">
        <v>4.4800000000000004</v>
      </c>
      <c r="F71" s="64">
        <v>34.119999999999997</v>
      </c>
      <c r="G71" s="64">
        <v>67.319999999999993</v>
      </c>
      <c r="H71" s="64">
        <v>15.55</v>
      </c>
      <c r="I71" s="64">
        <v>4</v>
      </c>
      <c r="J71" s="64">
        <v>1.1399999999999999</v>
      </c>
      <c r="K71" s="64">
        <v>264.76</v>
      </c>
      <c r="L71" s="64">
        <v>40.53</v>
      </c>
      <c r="M71" s="64">
        <v>9.74</v>
      </c>
      <c r="N71" s="64">
        <v>175.6</v>
      </c>
      <c r="O71" s="64">
        <v>0</v>
      </c>
      <c r="P71" s="64">
        <v>0.34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15" t="s">
        <v>2325</v>
      </c>
      <c r="B72" s="64">
        <v>1.5</v>
      </c>
      <c r="C72" s="64">
        <v>54.52</v>
      </c>
      <c r="D72" s="64">
        <v>53.01</v>
      </c>
      <c r="E72" s="64">
        <v>4.45</v>
      </c>
      <c r="F72" s="64">
        <v>17.05</v>
      </c>
      <c r="G72" s="64">
        <v>48.07</v>
      </c>
      <c r="H72" s="64">
        <v>14.05</v>
      </c>
      <c r="I72" s="64">
        <v>4.0199999999999996</v>
      </c>
      <c r="J72" s="64">
        <v>1.51</v>
      </c>
      <c r="K72" s="64">
        <v>265.61</v>
      </c>
      <c r="L72" s="64">
        <v>40.31</v>
      </c>
      <c r="M72" s="64">
        <v>9.57</v>
      </c>
      <c r="N72" s="64">
        <v>208.1</v>
      </c>
      <c r="O72" s="64">
        <v>0</v>
      </c>
      <c r="P72" s="64">
        <v>0.37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5" t="s">
        <v>2326</v>
      </c>
      <c r="B73" s="64">
        <v>2.2200000000000002</v>
      </c>
      <c r="C73" s="64">
        <v>57.17</v>
      </c>
      <c r="D73" s="64">
        <v>54.95</v>
      </c>
      <c r="E73" s="64">
        <v>4.5999999999999996</v>
      </c>
      <c r="F73" s="64">
        <v>23.67</v>
      </c>
      <c r="G73" s="64">
        <v>48.07</v>
      </c>
      <c r="H73" s="64">
        <v>13.62</v>
      </c>
      <c r="I73" s="64">
        <v>4.12</v>
      </c>
      <c r="J73" s="64">
        <v>1.95</v>
      </c>
      <c r="K73" s="64">
        <v>290.70999999999998</v>
      </c>
      <c r="L73" s="64">
        <v>40.31</v>
      </c>
      <c r="M73" s="64">
        <v>10.199999999999999</v>
      </c>
      <c r="N73" s="64">
        <v>178.6</v>
      </c>
      <c r="O73" s="64">
        <v>0</v>
      </c>
      <c r="P73" s="64">
        <v>0.38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5" t="s">
        <v>2327</v>
      </c>
      <c r="B74" s="64">
        <v>9.0500000000000007</v>
      </c>
      <c r="C74" s="64">
        <v>71.510000000000005</v>
      </c>
      <c r="D74" s="64">
        <v>62.46</v>
      </c>
      <c r="E74" s="64">
        <v>5.74</v>
      </c>
      <c r="F74" s="64">
        <v>25.24</v>
      </c>
      <c r="G74" s="64">
        <v>48.07</v>
      </c>
      <c r="H74" s="64">
        <v>13.62</v>
      </c>
      <c r="I74" s="64">
        <v>3.97</v>
      </c>
      <c r="J74" s="64">
        <v>0.89</v>
      </c>
      <c r="K74" s="64">
        <v>266.14999999999998</v>
      </c>
      <c r="L74" s="64">
        <v>40.090000000000003</v>
      </c>
      <c r="M74" s="64">
        <v>9.64</v>
      </c>
      <c r="N74" s="64">
        <v>164.4</v>
      </c>
      <c r="O74" s="64">
        <v>0</v>
      </c>
      <c r="P74" s="64">
        <v>0.49</v>
      </c>
      <c r="Q74" s="64">
        <v>9.24</v>
      </c>
      <c r="R74" s="198"/>
      <c r="S74" s="198"/>
      <c r="T74" s="198"/>
      <c r="U74" s="198"/>
    </row>
    <row r="75" spans="1:21" s="12" customFormat="1" x14ac:dyDescent="0.25">
      <c r="A75" s="215" t="s">
        <v>2328</v>
      </c>
      <c r="B75" s="64">
        <v>3.7</v>
      </c>
      <c r="C75" s="64">
        <v>35.950000000000003</v>
      </c>
      <c r="D75" s="64">
        <v>55.56</v>
      </c>
      <c r="E75" s="64">
        <v>5.3</v>
      </c>
      <c r="F75" s="64">
        <v>19.21</v>
      </c>
      <c r="G75" s="64">
        <v>48.07</v>
      </c>
      <c r="H75" s="64">
        <v>13.62</v>
      </c>
      <c r="I75" s="64">
        <v>3.95</v>
      </c>
      <c r="J75" s="64">
        <v>1.51</v>
      </c>
      <c r="K75" s="64">
        <v>273.73</v>
      </c>
      <c r="L75" s="64">
        <v>43.72</v>
      </c>
      <c r="M75" s="64">
        <v>10.58</v>
      </c>
      <c r="N75" s="64">
        <v>149.9</v>
      </c>
      <c r="O75" s="64">
        <v>0</v>
      </c>
      <c r="P75" s="64">
        <v>0.38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5" t="s">
        <v>2329</v>
      </c>
      <c r="B76" s="64">
        <v>8.8000000000000007</v>
      </c>
      <c r="C76" s="64">
        <v>41.14</v>
      </c>
      <c r="D76" s="64">
        <v>65.239999999999995</v>
      </c>
      <c r="E76" s="64">
        <v>6.19</v>
      </c>
      <c r="F76" s="64">
        <v>25.67</v>
      </c>
      <c r="G76" s="64">
        <v>48.12</v>
      </c>
      <c r="H76" s="64">
        <v>13.98</v>
      </c>
      <c r="I76" s="64">
        <v>4</v>
      </c>
      <c r="J76" s="64">
        <v>1.63</v>
      </c>
      <c r="K76" s="64">
        <v>279.76</v>
      </c>
      <c r="L76" s="64">
        <v>43.51</v>
      </c>
      <c r="M76" s="64">
        <v>11.32</v>
      </c>
      <c r="N76" s="64">
        <v>138.30000000000001</v>
      </c>
      <c r="O76" s="64">
        <v>0</v>
      </c>
      <c r="P76" s="64">
        <v>0.46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5" t="s">
        <v>2330</v>
      </c>
      <c r="B77" s="64">
        <v>3.19</v>
      </c>
      <c r="C77" s="64">
        <v>37.81</v>
      </c>
      <c r="D77" s="64">
        <v>67.47</v>
      </c>
      <c r="E77" s="64">
        <v>11.07</v>
      </c>
      <c r="F77" s="64">
        <v>29.47</v>
      </c>
      <c r="G77" s="64">
        <v>48.12</v>
      </c>
      <c r="H77" s="64">
        <v>14.09</v>
      </c>
      <c r="I77" s="64">
        <v>4.13</v>
      </c>
      <c r="J77" s="64">
        <v>0.98</v>
      </c>
      <c r="K77" s="64">
        <v>271.52999999999997</v>
      </c>
      <c r="L77" s="64">
        <v>43.07</v>
      </c>
      <c r="M77" s="64">
        <v>12.74</v>
      </c>
      <c r="N77" s="64">
        <v>128.1</v>
      </c>
      <c r="O77" s="64">
        <v>0</v>
      </c>
      <c r="P77" s="64">
        <v>0.62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5" t="s">
        <v>2331</v>
      </c>
      <c r="B78" s="64">
        <v>1.1499999999999999</v>
      </c>
      <c r="C78" s="64">
        <v>30.5</v>
      </c>
      <c r="D78" s="64">
        <v>56.61</v>
      </c>
      <c r="E78" s="64">
        <v>15.54</v>
      </c>
      <c r="F78" s="64">
        <v>34.380000000000003</v>
      </c>
      <c r="G78" s="64">
        <v>48.12</v>
      </c>
      <c r="H78" s="64">
        <v>14.09</v>
      </c>
      <c r="I78" s="64">
        <v>4.0199999999999996</v>
      </c>
      <c r="J78" s="64">
        <v>1.21</v>
      </c>
      <c r="K78" s="64">
        <v>250.23</v>
      </c>
      <c r="L78" s="64">
        <v>42.76</v>
      </c>
      <c r="M78" s="64">
        <v>12.88</v>
      </c>
      <c r="N78" s="64">
        <v>118.4</v>
      </c>
      <c r="O78" s="64">
        <v>0</v>
      </c>
      <c r="P78" s="64">
        <v>0.55000000000000004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5" t="s">
        <v>2332</v>
      </c>
      <c r="B79" s="64">
        <v>6.69</v>
      </c>
      <c r="C79" s="64">
        <v>59.38</v>
      </c>
      <c r="D79" s="64">
        <v>103.38</v>
      </c>
      <c r="E79" s="64">
        <v>16.93</v>
      </c>
      <c r="F79" s="64">
        <v>25.14</v>
      </c>
      <c r="G79" s="64">
        <v>48.12</v>
      </c>
      <c r="H79" s="64">
        <v>14.09</v>
      </c>
      <c r="I79" s="64">
        <v>3.99</v>
      </c>
      <c r="J79" s="64">
        <v>0.65</v>
      </c>
      <c r="K79" s="64">
        <v>263.83999999999997</v>
      </c>
      <c r="L79" s="64">
        <v>42.36</v>
      </c>
      <c r="M79" s="64">
        <v>13.52</v>
      </c>
      <c r="N79" s="64">
        <v>106.4</v>
      </c>
      <c r="O79" s="64">
        <v>0</v>
      </c>
      <c r="P79" s="64">
        <v>0.93</v>
      </c>
      <c r="Q79" s="64">
        <v>9.35</v>
      </c>
      <c r="R79" s="198"/>
      <c r="S79" s="198"/>
      <c r="T79" s="198"/>
      <c r="U79" s="198"/>
    </row>
    <row r="80" spans="1:21" s="12" customFormat="1" x14ac:dyDescent="0.25">
      <c r="A80" s="215" t="s">
        <v>2333</v>
      </c>
      <c r="B80" s="64">
        <v>0.51</v>
      </c>
      <c r="C80" s="64">
        <v>36.06</v>
      </c>
      <c r="D80" s="64">
        <v>68.23</v>
      </c>
      <c r="E80" s="64">
        <v>14</v>
      </c>
      <c r="F80" s="64">
        <v>30.64</v>
      </c>
      <c r="G80" s="64">
        <v>62.99</v>
      </c>
      <c r="H80" s="64">
        <v>15.06</v>
      </c>
      <c r="I80" s="64">
        <v>3.99</v>
      </c>
      <c r="J80" s="64">
        <v>1.48</v>
      </c>
      <c r="K80" s="64">
        <v>238.13</v>
      </c>
      <c r="L80" s="64">
        <v>41.94</v>
      </c>
      <c r="M80" s="64">
        <v>14.13</v>
      </c>
      <c r="N80" s="64">
        <v>92.9</v>
      </c>
      <c r="O80" s="64">
        <v>0</v>
      </c>
      <c r="P80" s="64">
        <v>0.74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5" t="s">
        <v>2334</v>
      </c>
      <c r="B81" s="64">
        <v>5.83</v>
      </c>
      <c r="C81" s="64">
        <v>46.58</v>
      </c>
      <c r="D81" s="64">
        <v>80.209999999999994</v>
      </c>
      <c r="E81" s="64">
        <v>8.74</v>
      </c>
      <c r="F81" s="64">
        <v>23.37</v>
      </c>
      <c r="G81" s="64">
        <v>67.239999999999995</v>
      </c>
      <c r="H81" s="64">
        <v>15.34</v>
      </c>
      <c r="I81" s="64">
        <v>4</v>
      </c>
      <c r="J81" s="64">
        <v>1.17</v>
      </c>
      <c r="K81" s="64">
        <v>258.73</v>
      </c>
      <c r="L81" s="64">
        <v>41.38</v>
      </c>
      <c r="M81" s="64">
        <v>14.34</v>
      </c>
      <c r="N81" s="64">
        <v>80.900000000000006</v>
      </c>
      <c r="O81" s="64">
        <v>0</v>
      </c>
      <c r="P81" s="64">
        <v>0.9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5" t="s">
        <v>2335</v>
      </c>
      <c r="B82" s="64">
        <v>29.06</v>
      </c>
      <c r="C82" s="64">
        <v>71.540000000000006</v>
      </c>
      <c r="D82" s="64">
        <v>92.32</v>
      </c>
      <c r="E82" s="64">
        <v>7.5</v>
      </c>
      <c r="F82" s="64">
        <v>19.57</v>
      </c>
      <c r="G82" s="64">
        <v>67.239999999999995</v>
      </c>
      <c r="H82" s="64">
        <v>15.34</v>
      </c>
      <c r="I82" s="64">
        <v>3.96</v>
      </c>
      <c r="J82" s="64">
        <v>0.53</v>
      </c>
      <c r="K82" s="64">
        <v>285.60000000000002</v>
      </c>
      <c r="L82" s="64">
        <v>40.57</v>
      </c>
      <c r="M82" s="64">
        <v>15.93</v>
      </c>
      <c r="N82" s="64">
        <v>74.5</v>
      </c>
      <c r="O82" s="64">
        <v>0</v>
      </c>
      <c r="P82" s="64">
        <v>1.08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5" t="s">
        <v>2336</v>
      </c>
      <c r="B83" s="64">
        <v>27.45</v>
      </c>
      <c r="C83" s="64">
        <v>89.78</v>
      </c>
      <c r="D83" s="64">
        <v>129.71</v>
      </c>
      <c r="E83" s="64">
        <v>7.36</v>
      </c>
      <c r="F83" s="64">
        <v>9.7100000000000009</v>
      </c>
      <c r="G83" s="64">
        <v>67.239999999999995</v>
      </c>
      <c r="H83" s="64">
        <v>15.34</v>
      </c>
      <c r="I83" s="64">
        <v>4.0599999999999996</v>
      </c>
      <c r="J83" s="64">
        <v>0.77</v>
      </c>
      <c r="K83" s="64">
        <v>55.33</v>
      </c>
      <c r="L83" s="64">
        <v>39.14</v>
      </c>
      <c r="M83" s="64">
        <v>20.52</v>
      </c>
      <c r="N83" s="64">
        <v>73.099999999999994</v>
      </c>
      <c r="O83" s="64">
        <v>0</v>
      </c>
      <c r="P83" s="64">
        <v>1.72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5" t="s">
        <v>2337</v>
      </c>
      <c r="B84" s="64">
        <v>31.57</v>
      </c>
      <c r="C84" s="64">
        <v>77.37</v>
      </c>
      <c r="D84" s="64">
        <v>99.64</v>
      </c>
      <c r="E84" s="64">
        <v>6.77</v>
      </c>
      <c r="F84" s="64">
        <v>14.1</v>
      </c>
      <c r="G84" s="64">
        <v>69.69</v>
      </c>
      <c r="H84" s="64">
        <v>17.3</v>
      </c>
      <c r="I84" s="64">
        <v>3.9</v>
      </c>
      <c r="J84" s="64">
        <v>1.4</v>
      </c>
      <c r="K84" s="64">
        <v>289.55</v>
      </c>
      <c r="L84" s="64">
        <v>38.01</v>
      </c>
      <c r="M84" s="64">
        <v>23.14</v>
      </c>
      <c r="N84" s="64">
        <v>75.099999999999994</v>
      </c>
      <c r="O84" s="64">
        <v>0</v>
      </c>
      <c r="P84" s="64">
        <v>1.44</v>
      </c>
      <c r="Q84" s="64">
        <v>9.35</v>
      </c>
      <c r="R84" s="198"/>
      <c r="S84" s="198"/>
      <c r="T84" s="198"/>
      <c r="U84" s="198"/>
    </row>
    <row r="85" spans="1:26" s="12" customFormat="1" x14ac:dyDescent="0.25">
      <c r="A85" s="215" t="s">
        <v>2338</v>
      </c>
      <c r="B85" s="64">
        <v>30.28</v>
      </c>
      <c r="C85" s="64">
        <v>78.25</v>
      </c>
      <c r="D85" s="64">
        <v>103.3</v>
      </c>
      <c r="E85" s="64">
        <v>6.89</v>
      </c>
      <c r="F85" s="64">
        <v>12.35</v>
      </c>
      <c r="G85" s="64">
        <v>70.39</v>
      </c>
      <c r="H85" s="64">
        <v>17.86</v>
      </c>
      <c r="I85" s="64">
        <v>4.09</v>
      </c>
      <c r="J85" s="64">
        <v>1.56</v>
      </c>
      <c r="K85" s="64">
        <v>281.43</v>
      </c>
      <c r="L85" s="64">
        <v>37.72</v>
      </c>
      <c r="M85" s="64">
        <v>20.100000000000001</v>
      </c>
      <c r="N85" s="64">
        <v>71.599999999999994</v>
      </c>
      <c r="O85" s="64">
        <v>0</v>
      </c>
      <c r="P85" s="64">
        <v>1.58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15" t="s">
        <v>2339</v>
      </c>
      <c r="B86" s="64">
        <v>29.34</v>
      </c>
      <c r="C86" s="64">
        <v>80.260000000000005</v>
      </c>
      <c r="D86" s="64">
        <v>108.58</v>
      </c>
      <c r="E86" s="64">
        <v>7.12</v>
      </c>
      <c r="F86" s="64">
        <v>10.59</v>
      </c>
      <c r="G86" s="64">
        <v>70.39</v>
      </c>
      <c r="H86" s="64">
        <v>17.86</v>
      </c>
      <c r="I86" s="64">
        <v>3.93</v>
      </c>
      <c r="J86" s="64">
        <v>1.43</v>
      </c>
      <c r="K86" s="64">
        <v>282.72000000000003</v>
      </c>
      <c r="L86" s="64">
        <v>37.79</v>
      </c>
      <c r="M86" s="64">
        <v>19.39</v>
      </c>
      <c r="N86" s="64">
        <v>67.099999999999994</v>
      </c>
      <c r="O86" s="64">
        <v>0</v>
      </c>
      <c r="P86" s="64">
        <v>2.19</v>
      </c>
      <c r="Q86" s="64">
        <v>9.4</v>
      </c>
      <c r="R86" s="198"/>
      <c r="S86" s="198"/>
      <c r="T86" s="198"/>
      <c r="U86" s="198"/>
    </row>
    <row r="87" spans="1:26" s="12" customFormat="1" x14ac:dyDescent="0.25">
      <c r="A87" s="215" t="s">
        <v>2340</v>
      </c>
      <c r="B87" s="64">
        <v>48.32</v>
      </c>
      <c r="C87" s="64">
        <v>94.43</v>
      </c>
      <c r="D87" s="64">
        <v>106.56</v>
      </c>
      <c r="E87" s="64">
        <v>8.52</v>
      </c>
      <c r="F87" s="64">
        <v>12.09</v>
      </c>
      <c r="G87" s="64">
        <v>70.39</v>
      </c>
      <c r="H87" s="64">
        <v>17.86</v>
      </c>
      <c r="I87" s="64">
        <v>3.89</v>
      </c>
      <c r="J87" s="64">
        <v>1.76</v>
      </c>
      <c r="K87" s="64">
        <v>285.74</v>
      </c>
      <c r="L87" s="64">
        <v>37.54</v>
      </c>
      <c r="M87" s="64">
        <v>19.61</v>
      </c>
      <c r="N87" s="64">
        <v>66</v>
      </c>
      <c r="O87" s="64">
        <v>0</v>
      </c>
      <c r="P87" s="64">
        <v>1.9</v>
      </c>
      <c r="Q87" s="64">
        <v>9.41</v>
      </c>
      <c r="R87" s="198"/>
      <c r="S87" s="198"/>
      <c r="T87" s="198"/>
      <c r="U87" s="198"/>
    </row>
    <row r="88" spans="1:26" s="12" customFormat="1" x14ac:dyDescent="0.25">
      <c r="A88" s="215" t="s">
        <v>2341</v>
      </c>
      <c r="B88" s="64">
        <v>56.93</v>
      </c>
      <c r="C88" s="64">
        <v>105.27</v>
      </c>
      <c r="D88" s="64">
        <v>114.1</v>
      </c>
      <c r="E88" s="64">
        <v>9.32</v>
      </c>
      <c r="F88" s="64">
        <v>9.52</v>
      </c>
      <c r="G88" s="64">
        <v>75.08</v>
      </c>
      <c r="H88" s="64">
        <v>17.899999999999999</v>
      </c>
      <c r="I88" s="64">
        <v>4.08</v>
      </c>
      <c r="J88" s="64">
        <v>1.06</v>
      </c>
      <c r="K88" s="64">
        <v>307.33</v>
      </c>
      <c r="L88" s="64">
        <v>37.049999999999997</v>
      </c>
      <c r="M88" s="64">
        <v>21.09</v>
      </c>
      <c r="N88" s="64">
        <v>65.8</v>
      </c>
      <c r="O88" s="64">
        <v>0</v>
      </c>
      <c r="P88" s="64">
        <v>2.12</v>
      </c>
      <c r="Q88" s="64">
        <v>9.41</v>
      </c>
      <c r="R88" s="198"/>
      <c r="S88" s="198"/>
      <c r="T88" s="198"/>
      <c r="U88" s="198"/>
    </row>
    <row r="89" spans="1:26" s="12" customFormat="1" x14ac:dyDescent="0.25">
      <c r="A89" s="215" t="s">
        <v>2342</v>
      </c>
      <c r="B89" s="64">
        <v>60.52</v>
      </c>
      <c r="C89" s="64">
        <v>107.21</v>
      </c>
      <c r="D89" s="64">
        <v>112.3</v>
      </c>
      <c r="E89" s="64">
        <v>10.039999999999999</v>
      </c>
      <c r="F89" s="64">
        <v>8.6</v>
      </c>
      <c r="G89" s="64">
        <v>76.42</v>
      </c>
      <c r="H89" s="64">
        <v>17.91</v>
      </c>
      <c r="I89" s="64">
        <v>4.09</v>
      </c>
      <c r="J89" s="64">
        <v>1.24</v>
      </c>
      <c r="K89" s="64">
        <v>294.79000000000002</v>
      </c>
      <c r="L89" s="64">
        <v>36.590000000000003</v>
      </c>
      <c r="M89" s="64">
        <v>20.78</v>
      </c>
      <c r="N89" s="64">
        <v>66.7</v>
      </c>
      <c r="O89" s="64">
        <v>0</v>
      </c>
      <c r="P89" s="64">
        <v>2.34</v>
      </c>
      <c r="Q89" s="64">
        <v>9.44</v>
      </c>
      <c r="R89" s="198"/>
      <c r="S89" s="198"/>
      <c r="T89" s="198"/>
      <c r="U89" s="198"/>
    </row>
    <row r="90" spans="1:26" s="12" customFormat="1" x14ac:dyDescent="0.25">
      <c r="A90" s="215" t="s">
        <v>2343</v>
      </c>
      <c r="B90" s="64">
        <v>64.19</v>
      </c>
      <c r="C90" s="64">
        <v>114.57</v>
      </c>
      <c r="D90" s="64">
        <v>120.76</v>
      </c>
      <c r="E90" s="64">
        <v>13.1</v>
      </c>
      <c r="F90" s="64">
        <v>7.55</v>
      </c>
      <c r="G90" s="64">
        <v>76.42</v>
      </c>
      <c r="H90" s="64">
        <v>17.91</v>
      </c>
      <c r="I90" s="64">
        <v>4.0999999999999996</v>
      </c>
      <c r="J90" s="64">
        <v>1.3</v>
      </c>
      <c r="K90" s="64">
        <v>292.12</v>
      </c>
      <c r="L90" s="64">
        <v>36.46</v>
      </c>
      <c r="M90" s="64">
        <v>20.100000000000001</v>
      </c>
      <c r="N90" s="64">
        <v>74.400000000000006</v>
      </c>
      <c r="O90" s="64">
        <v>0</v>
      </c>
      <c r="P90" s="64">
        <v>2.5099999999999998</v>
      </c>
      <c r="Q90" s="64">
        <v>9.43</v>
      </c>
      <c r="R90" s="198"/>
      <c r="S90" s="198"/>
      <c r="T90" s="198"/>
      <c r="U90" s="198"/>
    </row>
    <row r="91" spans="1:26" s="12" customFormat="1" x14ac:dyDescent="0.25">
      <c r="A91" s="215" t="s">
        <v>2344</v>
      </c>
      <c r="B91" s="64">
        <v>56.88</v>
      </c>
      <c r="C91" s="64">
        <v>102.95</v>
      </c>
      <c r="D91" s="64">
        <v>109.74</v>
      </c>
      <c r="E91" s="64">
        <v>13.33</v>
      </c>
      <c r="F91" s="64">
        <v>9.11</v>
      </c>
      <c r="G91" s="64">
        <v>76.42</v>
      </c>
      <c r="H91" s="64">
        <v>17.91</v>
      </c>
      <c r="I91" s="64">
        <v>3.94</v>
      </c>
      <c r="J91" s="64">
        <v>1.6</v>
      </c>
      <c r="K91" s="64">
        <v>289.26</v>
      </c>
      <c r="L91" s="64">
        <v>36.58</v>
      </c>
      <c r="M91" s="64">
        <v>19.66</v>
      </c>
      <c r="N91" s="64">
        <v>71.400000000000006</v>
      </c>
      <c r="O91" s="64">
        <v>0</v>
      </c>
      <c r="P91" s="64">
        <v>2.02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5" t="s">
        <v>2345</v>
      </c>
      <c r="B92" s="64">
        <v>22.03</v>
      </c>
      <c r="C92" s="64">
        <v>64.25</v>
      </c>
      <c r="D92" s="64">
        <v>89.17</v>
      </c>
      <c r="E92" s="64">
        <v>13.89</v>
      </c>
      <c r="F92" s="64">
        <v>12.14</v>
      </c>
      <c r="G92" s="64">
        <v>75.47</v>
      </c>
      <c r="H92" s="64">
        <v>18.25</v>
      </c>
      <c r="I92" s="64">
        <v>3.98</v>
      </c>
      <c r="J92" s="64">
        <v>1.5</v>
      </c>
      <c r="K92" s="64">
        <v>288.64999999999998</v>
      </c>
      <c r="L92" s="64">
        <v>36.729999999999997</v>
      </c>
      <c r="M92" s="64">
        <v>18.329999999999998</v>
      </c>
      <c r="N92" s="64">
        <v>70.2</v>
      </c>
      <c r="O92" s="64">
        <v>0</v>
      </c>
      <c r="P92" s="64">
        <v>1.57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5" t="s">
        <v>2346</v>
      </c>
      <c r="B93" s="64">
        <v>27.53</v>
      </c>
      <c r="C93" s="64">
        <v>68.319999999999993</v>
      </c>
      <c r="D93" s="64">
        <v>88.51</v>
      </c>
      <c r="E93" s="64">
        <v>14.23</v>
      </c>
      <c r="F93" s="64">
        <v>12.44</v>
      </c>
      <c r="G93" s="64">
        <v>75.2</v>
      </c>
      <c r="H93" s="64">
        <v>18.350000000000001</v>
      </c>
      <c r="I93" s="64">
        <v>3.97</v>
      </c>
      <c r="J93" s="64">
        <v>1.72</v>
      </c>
      <c r="K93" s="64">
        <v>286.94</v>
      </c>
      <c r="L93" s="64">
        <v>36.64</v>
      </c>
      <c r="M93" s="64">
        <v>18.72</v>
      </c>
      <c r="N93" s="64">
        <v>74.3</v>
      </c>
      <c r="O93" s="64">
        <v>0</v>
      </c>
      <c r="P93" s="64">
        <v>1.41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5" t="s">
        <v>2347</v>
      </c>
      <c r="B94" s="64">
        <v>42.99</v>
      </c>
      <c r="C94" s="64">
        <v>86.83</v>
      </c>
      <c r="D94" s="64">
        <v>100.2</v>
      </c>
      <c r="E94" s="64">
        <v>15.08</v>
      </c>
      <c r="F94" s="64">
        <v>10.76</v>
      </c>
      <c r="G94" s="64">
        <v>75.2</v>
      </c>
      <c r="H94" s="64">
        <v>18.350000000000001</v>
      </c>
      <c r="I94" s="64">
        <v>4.17</v>
      </c>
      <c r="J94" s="64">
        <v>1.64</v>
      </c>
      <c r="K94" s="64">
        <v>289.99</v>
      </c>
      <c r="L94" s="64">
        <v>36.28</v>
      </c>
      <c r="M94" s="64">
        <v>19.48</v>
      </c>
      <c r="N94" s="64">
        <v>83.3</v>
      </c>
      <c r="O94" s="64">
        <v>0</v>
      </c>
      <c r="P94" s="64">
        <v>1.73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5" t="s">
        <v>2348</v>
      </c>
      <c r="B95" s="64">
        <v>34.159999999999997</v>
      </c>
      <c r="C95" s="64">
        <v>77.680000000000007</v>
      </c>
      <c r="D95" s="64">
        <v>96.25</v>
      </c>
      <c r="E95" s="64">
        <v>13.81</v>
      </c>
      <c r="F95" s="64">
        <v>10.039999999999999</v>
      </c>
      <c r="G95" s="64">
        <v>75.2</v>
      </c>
      <c r="H95" s="64">
        <v>18.350000000000001</v>
      </c>
      <c r="I95" s="64">
        <v>4.21</v>
      </c>
      <c r="J95" s="64">
        <v>1.59</v>
      </c>
      <c r="K95" s="64">
        <v>287.81</v>
      </c>
      <c r="L95" s="64">
        <v>35.700000000000003</v>
      </c>
      <c r="M95" s="64">
        <v>21.15</v>
      </c>
      <c r="N95" s="64">
        <v>85.7</v>
      </c>
      <c r="O95" s="64">
        <v>0</v>
      </c>
      <c r="P95" s="64">
        <v>1.71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5" t="s">
        <v>2349</v>
      </c>
      <c r="B96" s="64">
        <v>53.86</v>
      </c>
      <c r="C96" s="64">
        <v>90.77</v>
      </c>
      <c r="D96" s="64">
        <v>91.07</v>
      </c>
      <c r="E96" s="64">
        <v>14.15</v>
      </c>
      <c r="F96" s="64">
        <v>9.42</v>
      </c>
      <c r="G96" s="64">
        <v>79.319999999999993</v>
      </c>
      <c r="H96" s="64">
        <v>19.309999999999999</v>
      </c>
      <c r="I96" s="64">
        <v>4.01</v>
      </c>
      <c r="J96" s="64">
        <v>1.67</v>
      </c>
      <c r="K96" s="64">
        <v>324.68</v>
      </c>
      <c r="L96" s="64">
        <v>35.15</v>
      </c>
      <c r="M96" s="64">
        <v>23.3</v>
      </c>
      <c r="N96" s="64">
        <v>85.4</v>
      </c>
      <c r="O96" s="64">
        <v>0</v>
      </c>
      <c r="P96" s="64">
        <v>1.72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2350</v>
      </c>
      <c r="B97" s="64">
        <v>30.6</v>
      </c>
      <c r="C97" s="64">
        <v>74.28</v>
      </c>
      <c r="D97" s="64">
        <v>95.2</v>
      </c>
      <c r="E97" s="64">
        <v>17.850000000000001</v>
      </c>
      <c r="F97" s="64">
        <v>10.119999999999999</v>
      </c>
      <c r="G97" s="64">
        <v>80.5</v>
      </c>
      <c r="H97" s="64">
        <v>19.59</v>
      </c>
      <c r="I97" s="64">
        <v>4</v>
      </c>
      <c r="J97" s="64">
        <v>1.1499999999999999</v>
      </c>
      <c r="K97" s="64">
        <v>286.62</v>
      </c>
      <c r="L97" s="64">
        <v>34.89</v>
      </c>
      <c r="M97" s="64">
        <v>22.82</v>
      </c>
      <c r="N97" s="64">
        <v>85.7</v>
      </c>
      <c r="O97" s="64">
        <v>0</v>
      </c>
      <c r="P97" s="64">
        <v>1.37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5" t="s">
        <v>2351</v>
      </c>
      <c r="B98" s="64">
        <v>43.63</v>
      </c>
      <c r="C98" s="64">
        <v>86.35</v>
      </c>
      <c r="D98" s="64">
        <v>98.3</v>
      </c>
      <c r="E98" s="64">
        <v>17.809999999999999</v>
      </c>
      <c r="F98" s="64">
        <v>11.32</v>
      </c>
      <c r="G98" s="64">
        <v>80.5</v>
      </c>
      <c r="H98" s="64">
        <v>19.59</v>
      </c>
      <c r="I98" s="64">
        <v>4.01</v>
      </c>
      <c r="J98" s="64">
        <v>1.58</v>
      </c>
      <c r="K98" s="64">
        <v>274.72000000000003</v>
      </c>
      <c r="L98" s="64">
        <v>34.56</v>
      </c>
      <c r="M98" s="64">
        <v>21.49</v>
      </c>
      <c r="N98" s="64">
        <v>85.8</v>
      </c>
      <c r="O98" s="64">
        <v>0</v>
      </c>
      <c r="P98" s="64">
        <v>1.17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5" t="s">
        <v>2352</v>
      </c>
      <c r="B99" s="64">
        <v>38.04</v>
      </c>
      <c r="C99" s="64">
        <v>78.61</v>
      </c>
      <c r="D99" s="64">
        <v>92.06</v>
      </c>
      <c r="E99" s="64">
        <v>12.26</v>
      </c>
      <c r="F99" s="64">
        <v>12.48</v>
      </c>
      <c r="G99" s="64">
        <v>80.5</v>
      </c>
      <c r="H99" s="64">
        <v>19.59</v>
      </c>
      <c r="I99" s="64">
        <v>3.85</v>
      </c>
      <c r="J99" s="64">
        <v>1.48</v>
      </c>
      <c r="K99" s="64">
        <v>313.66000000000003</v>
      </c>
      <c r="L99" s="64">
        <v>34.65</v>
      </c>
      <c r="M99" s="64">
        <v>21.89</v>
      </c>
      <c r="N99" s="64">
        <v>81.599999999999994</v>
      </c>
      <c r="O99" s="64">
        <v>0</v>
      </c>
      <c r="P99" s="64">
        <v>1.07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5" t="s">
        <v>2353</v>
      </c>
      <c r="B100" s="64">
        <v>55.88</v>
      </c>
      <c r="C100" s="64">
        <v>100.84</v>
      </c>
      <c r="D100" s="64">
        <v>107.24</v>
      </c>
      <c r="E100" s="64">
        <v>11.01</v>
      </c>
      <c r="F100" s="64">
        <v>10.62</v>
      </c>
      <c r="G100" s="64">
        <v>81.849999999999994</v>
      </c>
      <c r="H100" s="64">
        <v>20.46</v>
      </c>
      <c r="I100" s="64">
        <v>4</v>
      </c>
      <c r="J100" s="64">
        <v>1.1299999999999999</v>
      </c>
      <c r="K100" s="64">
        <v>355.5</v>
      </c>
      <c r="L100" s="64">
        <v>34.5</v>
      </c>
      <c r="M100" s="64">
        <v>21.68</v>
      </c>
      <c r="N100" s="64">
        <v>80.8</v>
      </c>
      <c r="O100" s="64">
        <v>0</v>
      </c>
      <c r="P100" s="64">
        <v>1.23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2354</v>
      </c>
      <c r="B101" s="64">
        <v>27.49</v>
      </c>
      <c r="C101" s="64">
        <v>65.34</v>
      </c>
      <c r="D101" s="64">
        <v>82.87</v>
      </c>
      <c r="E101" s="64">
        <v>9.74</v>
      </c>
      <c r="F101" s="64">
        <v>14.27</v>
      </c>
      <c r="G101" s="64">
        <v>82.24</v>
      </c>
      <c r="H101" s="64">
        <v>20.71</v>
      </c>
      <c r="I101" s="64">
        <v>4.03</v>
      </c>
      <c r="J101" s="64">
        <v>1.38</v>
      </c>
      <c r="K101" s="64">
        <v>330.08</v>
      </c>
      <c r="L101" s="64">
        <v>34.25</v>
      </c>
      <c r="M101" s="64">
        <v>22.86</v>
      </c>
      <c r="N101" s="64">
        <v>80.900000000000006</v>
      </c>
      <c r="O101" s="64">
        <v>0</v>
      </c>
      <c r="P101" s="64">
        <v>0.87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5" t="s">
        <v>2355</v>
      </c>
      <c r="B102" s="64">
        <v>19.8</v>
      </c>
      <c r="C102" s="64">
        <v>65.680000000000007</v>
      </c>
      <c r="D102" s="64">
        <v>95.31</v>
      </c>
      <c r="E102" s="64">
        <v>8.98</v>
      </c>
      <c r="F102" s="64">
        <v>11.36</v>
      </c>
      <c r="G102" s="64">
        <v>82.24</v>
      </c>
      <c r="H102" s="64">
        <v>20.71</v>
      </c>
      <c r="I102" s="64">
        <v>4.12</v>
      </c>
      <c r="J102" s="64">
        <v>1.47</v>
      </c>
      <c r="K102" s="64">
        <v>108.9</v>
      </c>
      <c r="L102" s="64">
        <v>34.31</v>
      </c>
      <c r="M102" s="64">
        <v>20.95</v>
      </c>
      <c r="N102" s="64">
        <v>83.5</v>
      </c>
      <c r="O102" s="64">
        <v>0</v>
      </c>
      <c r="P102" s="64">
        <v>0.82</v>
      </c>
      <c r="Q102" s="64">
        <v>9.5399999999999991</v>
      </c>
      <c r="R102" s="198"/>
      <c r="S102" s="198"/>
      <c r="T102" s="198"/>
      <c r="U102" s="198"/>
    </row>
    <row r="103" spans="1:33" s="12" customFormat="1" x14ac:dyDescent="0.25">
      <c r="A103" s="215" t="s">
        <v>2356</v>
      </c>
      <c r="B103" s="64">
        <v>16.32</v>
      </c>
      <c r="C103" s="64">
        <v>60.35</v>
      </c>
      <c r="D103" s="64">
        <v>90.47</v>
      </c>
      <c r="E103" s="64">
        <v>8.6199999999999992</v>
      </c>
      <c r="F103" s="64">
        <v>11.34</v>
      </c>
      <c r="G103" s="64">
        <v>82.24</v>
      </c>
      <c r="H103" s="64">
        <v>20.71</v>
      </c>
      <c r="I103" s="64">
        <v>4.0199999999999996</v>
      </c>
      <c r="J103" s="64">
        <v>1.1000000000000001</v>
      </c>
      <c r="K103" s="64">
        <v>298.36</v>
      </c>
      <c r="L103" s="64">
        <v>33.840000000000003</v>
      </c>
      <c r="M103" s="64">
        <v>23.91</v>
      </c>
      <c r="N103" s="64">
        <v>70.599999999999994</v>
      </c>
      <c r="O103" s="64">
        <v>0</v>
      </c>
      <c r="P103" s="64">
        <v>0.86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5" t="s">
        <v>2357</v>
      </c>
      <c r="B104" s="64">
        <v>9.8699999999999992</v>
      </c>
      <c r="C104" s="64">
        <v>50.34</v>
      </c>
      <c r="D104" s="64">
        <v>81.2</v>
      </c>
      <c r="E104" s="64">
        <v>7.86</v>
      </c>
      <c r="F104" s="64">
        <v>13.5</v>
      </c>
      <c r="G104" s="64">
        <v>81.430000000000007</v>
      </c>
      <c r="H104" s="64">
        <v>22.2</v>
      </c>
      <c r="I104" s="64">
        <v>3.99</v>
      </c>
      <c r="J104" s="64">
        <v>1.07</v>
      </c>
      <c r="K104" s="64">
        <v>281.39999999999998</v>
      </c>
      <c r="L104" s="64">
        <v>33.17</v>
      </c>
      <c r="M104" s="64">
        <v>23.52</v>
      </c>
      <c r="N104" s="64">
        <v>64.900000000000006</v>
      </c>
      <c r="O104" s="64">
        <v>0</v>
      </c>
      <c r="P104" s="64">
        <v>0.82</v>
      </c>
      <c r="Q104" s="64">
        <v>9.56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0.06</v>
      </c>
      <c r="C106" s="67">
        <f>MIN(C9:C104)</f>
        <v>30.5</v>
      </c>
      <c r="D106" s="67">
        <f t="shared" ref="D106:Q106" si="0">MIN(D9:D104)</f>
        <v>35.590000000000003</v>
      </c>
      <c r="E106" s="67">
        <f t="shared" si="0"/>
        <v>2.12</v>
      </c>
      <c r="F106" s="67">
        <f t="shared" si="0"/>
        <v>6.55</v>
      </c>
      <c r="G106" s="67">
        <f t="shared" si="0"/>
        <v>48.07</v>
      </c>
      <c r="H106" s="67">
        <f t="shared" si="0"/>
        <v>9.01</v>
      </c>
      <c r="I106" s="67">
        <f t="shared" si="0"/>
        <v>3.79</v>
      </c>
      <c r="J106" s="67">
        <f t="shared" si="0"/>
        <v>0.52</v>
      </c>
      <c r="K106" s="67">
        <f t="shared" si="0"/>
        <v>55.33</v>
      </c>
      <c r="L106" s="67">
        <f t="shared" si="0"/>
        <v>27.45</v>
      </c>
      <c r="M106" s="67">
        <f t="shared" si="0"/>
        <v>9.57</v>
      </c>
      <c r="N106" s="67">
        <f t="shared" si="0"/>
        <v>54</v>
      </c>
      <c r="O106" s="67">
        <f t="shared" si="0"/>
        <v>0</v>
      </c>
      <c r="P106" s="67">
        <f t="shared" si="0"/>
        <v>0.28999999999999998</v>
      </c>
      <c r="Q106" s="67">
        <f t="shared" si="0"/>
        <v>9.24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80.209999999999994</v>
      </c>
      <c r="C107" s="66">
        <f t="shared" ref="C107:Q107" si="1">MAX(C9:C104)</f>
        <v>172.61</v>
      </c>
      <c r="D107" s="66">
        <f t="shared" si="1"/>
        <v>129.71</v>
      </c>
      <c r="E107" s="66">
        <f t="shared" si="1"/>
        <v>53.13</v>
      </c>
      <c r="F107" s="66">
        <f t="shared" si="1"/>
        <v>34.380000000000003</v>
      </c>
      <c r="G107" s="66">
        <f t="shared" si="1"/>
        <v>95.37</v>
      </c>
      <c r="H107" s="66">
        <f t="shared" si="1"/>
        <v>23.32</v>
      </c>
      <c r="I107" s="66">
        <f t="shared" si="1"/>
        <v>4.21</v>
      </c>
      <c r="J107" s="66">
        <f t="shared" si="1"/>
        <v>2.71</v>
      </c>
      <c r="K107" s="66">
        <f t="shared" si="1"/>
        <v>355.5</v>
      </c>
      <c r="L107" s="66">
        <f t="shared" si="1"/>
        <v>43.86</v>
      </c>
      <c r="M107" s="66">
        <f t="shared" si="1"/>
        <v>49.48</v>
      </c>
      <c r="N107" s="66">
        <f t="shared" si="1"/>
        <v>998.8</v>
      </c>
      <c r="O107" s="66">
        <f t="shared" si="1"/>
        <v>0</v>
      </c>
      <c r="P107" s="66">
        <f t="shared" si="1"/>
        <v>2.5099999999999998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13.710107526881718</v>
      </c>
      <c r="C108" s="67">
        <f t="shared" ref="C108:Q108" si="2">AVERAGE(C9:C104)</f>
        <v>64.321290322580651</v>
      </c>
      <c r="D108" s="67">
        <f t="shared" si="2"/>
        <v>66.842258064516145</v>
      </c>
      <c r="E108" s="67">
        <f t="shared" si="2"/>
        <v>7.2797826086956539</v>
      </c>
      <c r="F108" s="67">
        <f t="shared" si="2"/>
        <v>14.406562499999991</v>
      </c>
      <c r="G108" s="67">
        <f t="shared" si="2"/>
        <v>71.454347826086888</v>
      </c>
      <c r="H108" s="67">
        <f t="shared" si="2"/>
        <v>18.288260869565207</v>
      </c>
      <c r="I108" s="67">
        <f t="shared" si="2"/>
        <v>4.0090624999999998</v>
      </c>
      <c r="J108" s="67">
        <f t="shared" si="2"/>
        <v>1.4183333333333332</v>
      </c>
      <c r="K108" s="67">
        <f t="shared" si="2"/>
        <v>265.83645833333338</v>
      </c>
      <c r="L108" s="67">
        <f t="shared" si="2"/>
        <v>35.54406250000001</v>
      </c>
      <c r="M108" s="67">
        <f t="shared" si="2"/>
        <v>26.941666666666659</v>
      </c>
      <c r="N108" s="67">
        <f t="shared" si="2"/>
        <v>297.35208333333333</v>
      </c>
      <c r="O108" s="67">
        <f t="shared" si="2"/>
        <v>0</v>
      </c>
      <c r="P108" s="67">
        <f t="shared" si="2"/>
        <v>0.78617021276595722</v>
      </c>
      <c r="Q108" s="67">
        <f t="shared" si="2"/>
        <v>9.4589583333333316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17.833555419527418</v>
      </c>
      <c r="C109" s="67">
        <f t="shared" ref="C109:Q109" si="3">STDEV(C9:C104)</f>
        <v>20.877542866512218</v>
      </c>
      <c r="D109" s="67">
        <f t="shared" si="3"/>
        <v>22.590892890385028</v>
      </c>
      <c r="E109" s="67">
        <f t="shared" si="3"/>
        <v>6.1639747377488723</v>
      </c>
      <c r="F109" s="67">
        <f t="shared" si="3"/>
        <v>5.7009158688250547</v>
      </c>
      <c r="G109" s="67">
        <f t="shared" si="3"/>
        <v>12.491752118841113</v>
      </c>
      <c r="H109" s="67">
        <f t="shared" si="3"/>
        <v>3.1813711221600784</v>
      </c>
      <c r="I109" s="67">
        <f t="shared" si="3"/>
        <v>8.4903389368833709E-2</v>
      </c>
      <c r="J109" s="67">
        <f t="shared" si="3"/>
        <v>0.42338154166728009</v>
      </c>
      <c r="K109" s="67">
        <f t="shared" si="3"/>
        <v>40.963216875609753</v>
      </c>
      <c r="L109" s="67">
        <f t="shared" si="3"/>
        <v>5.7077719089390069</v>
      </c>
      <c r="M109" s="67">
        <f t="shared" si="3"/>
        <v>13.477040957957222</v>
      </c>
      <c r="N109" s="67">
        <f t="shared" si="3"/>
        <v>323.02014373529693</v>
      </c>
      <c r="O109" s="67">
        <f t="shared" si="3"/>
        <v>0</v>
      </c>
      <c r="P109" s="67">
        <f t="shared" si="3"/>
        <v>0.51893212596759208</v>
      </c>
      <c r="Q109" s="67">
        <f t="shared" si="3"/>
        <v>0.10809819285374586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D110" si="4">COUNT(C9:C104)+3</f>
        <v>96</v>
      </c>
      <c r="D110" s="66">
        <f t="shared" si="4"/>
        <v>96</v>
      </c>
      <c r="E110" s="66">
        <f>COUNT(E9:E104)+4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COUNT(P9:P104)+2</f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/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2358</v>
      </c>
      <c r="B9" s="60">
        <v>4.45</v>
      </c>
      <c r="C9" s="60">
        <v>39.659999999999997</v>
      </c>
      <c r="D9" s="60">
        <v>69.08</v>
      </c>
      <c r="E9" s="60">
        <v>7.57</v>
      </c>
      <c r="F9" s="60">
        <v>14.91</v>
      </c>
      <c r="G9" s="60">
        <v>81.2</v>
      </c>
      <c r="H9" s="60">
        <v>22.62</v>
      </c>
      <c r="I9" s="60">
        <v>3.96</v>
      </c>
      <c r="J9" s="60">
        <v>1.62</v>
      </c>
      <c r="K9" s="60">
        <v>224.92</v>
      </c>
      <c r="L9" s="60">
        <v>33.21</v>
      </c>
      <c r="M9" s="60">
        <v>23.79</v>
      </c>
      <c r="N9" s="60">
        <v>55.6</v>
      </c>
      <c r="O9" s="60">
        <v>0</v>
      </c>
      <c r="P9" s="60">
        <v>0.61</v>
      </c>
      <c r="Q9" s="60">
        <v>9.56</v>
      </c>
      <c r="S9" s="198"/>
      <c r="T9" s="198"/>
      <c r="U9" s="198"/>
    </row>
    <row r="10" spans="1:21" s="12" customFormat="1" x14ac:dyDescent="0.25">
      <c r="A10" s="201" t="s">
        <v>2359</v>
      </c>
      <c r="B10" s="60">
        <v>14.19</v>
      </c>
      <c r="C10" s="60">
        <v>43.67</v>
      </c>
      <c r="D10" s="60">
        <v>61.81</v>
      </c>
      <c r="E10" s="60">
        <v>6.87</v>
      </c>
      <c r="F10" s="60">
        <v>15.5</v>
      </c>
      <c r="G10" s="60">
        <v>81.2</v>
      </c>
      <c r="H10" s="60">
        <v>22.62</v>
      </c>
      <c r="I10" s="60">
        <v>4.1399999999999997</v>
      </c>
      <c r="J10" s="60">
        <v>1.08</v>
      </c>
      <c r="K10" s="60">
        <v>264.02999999999997</v>
      </c>
      <c r="L10" s="60">
        <v>32.869999999999997</v>
      </c>
      <c r="M10" s="60">
        <v>24.87</v>
      </c>
      <c r="N10" s="60">
        <v>55.7</v>
      </c>
      <c r="O10" s="60">
        <v>0</v>
      </c>
      <c r="P10" s="60">
        <v>0.68</v>
      </c>
      <c r="Q10" s="60">
        <v>9.56</v>
      </c>
      <c r="S10" s="198"/>
      <c r="T10" s="198"/>
      <c r="U10" s="198"/>
    </row>
    <row r="11" spans="1:21" s="12" customFormat="1" x14ac:dyDescent="0.25">
      <c r="A11" s="201" t="s">
        <v>2360</v>
      </c>
      <c r="B11" s="60">
        <v>13.98</v>
      </c>
      <c r="C11" s="60">
        <v>54.75</v>
      </c>
      <c r="D11" s="60">
        <v>83.32</v>
      </c>
      <c r="E11" s="60">
        <v>6.05</v>
      </c>
      <c r="F11" s="60">
        <v>9.25</v>
      </c>
      <c r="G11" s="60">
        <v>81.2</v>
      </c>
      <c r="H11" s="60">
        <v>22.62</v>
      </c>
      <c r="I11" s="60">
        <v>4</v>
      </c>
      <c r="J11" s="60">
        <v>0.8</v>
      </c>
      <c r="K11" s="60">
        <v>238.83</v>
      </c>
      <c r="L11" s="60">
        <v>32.090000000000003</v>
      </c>
      <c r="M11" s="60">
        <v>27.99</v>
      </c>
      <c r="N11" s="60">
        <v>56.1</v>
      </c>
      <c r="O11" s="60">
        <v>0</v>
      </c>
      <c r="P11" s="60">
        <v>0.84</v>
      </c>
      <c r="Q11" s="60">
        <v>9.57</v>
      </c>
      <c r="S11" s="198"/>
      <c r="T11" s="198"/>
      <c r="U11" s="198"/>
    </row>
    <row r="12" spans="1:21" s="12" customFormat="1" x14ac:dyDescent="0.25">
      <c r="A12" s="201" t="s">
        <v>2361</v>
      </c>
      <c r="B12" s="60">
        <v>14.22</v>
      </c>
      <c r="C12" s="60">
        <v>46.57</v>
      </c>
      <c r="D12" s="60">
        <v>67.3</v>
      </c>
      <c r="E12" s="60">
        <v>4.67</v>
      </c>
      <c r="F12" s="60">
        <v>9.5399999999999991</v>
      </c>
      <c r="G12" s="60">
        <v>79</v>
      </c>
      <c r="H12" s="60">
        <v>21.91</v>
      </c>
      <c r="I12" s="60">
        <v>4.01</v>
      </c>
      <c r="J12" s="60">
        <v>1.99</v>
      </c>
      <c r="K12" s="60">
        <v>197.72</v>
      </c>
      <c r="L12" s="60">
        <v>32.4</v>
      </c>
      <c r="M12" s="60">
        <v>28.26</v>
      </c>
      <c r="N12" s="60">
        <v>52.9</v>
      </c>
      <c r="O12" s="60">
        <v>0</v>
      </c>
      <c r="P12" s="60">
        <v>0.8</v>
      </c>
      <c r="Q12" s="60">
        <v>9.57</v>
      </c>
      <c r="S12" s="198"/>
      <c r="T12" s="198"/>
      <c r="U12" s="198"/>
    </row>
    <row r="13" spans="1:21" s="12" customFormat="1" x14ac:dyDescent="0.25">
      <c r="A13" s="201" t="s">
        <v>2362</v>
      </c>
      <c r="B13" s="60">
        <v>23.91</v>
      </c>
      <c r="C13" s="60">
        <v>51.21</v>
      </c>
      <c r="D13" s="60">
        <v>61.32</v>
      </c>
      <c r="E13" s="60">
        <v>3.54</v>
      </c>
      <c r="F13" s="60">
        <v>7.75</v>
      </c>
      <c r="G13" s="60">
        <v>78.36</v>
      </c>
      <c r="H13" s="60">
        <v>21.71</v>
      </c>
      <c r="I13" s="60">
        <v>4.08</v>
      </c>
      <c r="J13" s="60">
        <v>1.72</v>
      </c>
      <c r="K13" s="60">
        <v>193.13</v>
      </c>
      <c r="L13" s="60">
        <v>32.56</v>
      </c>
      <c r="M13" s="60">
        <v>27.55</v>
      </c>
      <c r="N13" s="60">
        <v>58</v>
      </c>
      <c r="O13" s="60">
        <v>0</v>
      </c>
      <c r="P13" s="60">
        <v>0.9</v>
      </c>
      <c r="Q13" s="60">
        <v>9.57</v>
      </c>
      <c r="S13" s="198"/>
      <c r="T13" s="198"/>
      <c r="U13" s="198"/>
    </row>
    <row r="14" spans="1:21" s="12" customFormat="1" x14ac:dyDescent="0.25">
      <c r="A14" s="201" t="s">
        <v>2363</v>
      </c>
      <c r="B14" s="60">
        <v>10.93</v>
      </c>
      <c r="C14" s="60">
        <v>41.84</v>
      </c>
      <c r="D14" s="60">
        <v>63.32</v>
      </c>
      <c r="E14" s="60">
        <v>8.8000000000000007</v>
      </c>
      <c r="F14" s="60">
        <v>10.67</v>
      </c>
      <c r="G14" s="60">
        <v>78.36</v>
      </c>
      <c r="H14" s="60">
        <v>21.71</v>
      </c>
      <c r="I14" s="60">
        <v>4.18</v>
      </c>
      <c r="J14" s="60">
        <v>1.54</v>
      </c>
      <c r="K14" s="60">
        <v>249.44</v>
      </c>
      <c r="L14" s="60">
        <v>31.85</v>
      </c>
      <c r="M14" s="60">
        <v>29.52</v>
      </c>
      <c r="N14" s="60">
        <v>60</v>
      </c>
      <c r="O14" s="60">
        <v>0</v>
      </c>
      <c r="P14" s="60">
        <v>0.72</v>
      </c>
      <c r="Q14" s="60">
        <v>9.5299999999999994</v>
      </c>
      <c r="S14" s="198"/>
      <c r="T14" s="198"/>
      <c r="U14" s="198"/>
    </row>
    <row r="15" spans="1:21" s="12" customFormat="1" x14ac:dyDescent="0.25">
      <c r="A15" s="201" t="s">
        <v>2364</v>
      </c>
      <c r="B15" s="60">
        <v>14.1</v>
      </c>
      <c r="C15" s="60">
        <v>43.84</v>
      </c>
      <c r="D15" s="60">
        <v>62.27</v>
      </c>
      <c r="E15" s="60">
        <v>7.23</v>
      </c>
      <c r="F15" s="60">
        <v>9.4</v>
      </c>
      <c r="G15" s="60">
        <v>78.36</v>
      </c>
      <c r="H15" s="60">
        <v>21.71</v>
      </c>
      <c r="I15" s="60">
        <v>4.1500000000000004</v>
      </c>
      <c r="J15" s="60">
        <v>1.19</v>
      </c>
      <c r="K15" s="60">
        <v>299.70999999999998</v>
      </c>
      <c r="L15" s="60">
        <v>31.11</v>
      </c>
      <c r="M15" s="60">
        <v>33.97</v>
      </c>
      <c r="N15" s="60">
        <v>60.9</v>
      </c>
      <c r="O15" s="60">
        <v>0</v>
      </c>
      <c r="P15" s="60">
        <v>0.8</v>
      </c>
      <c r="Q15" s="60">
        <v>9.52</v>
      </c>
      <c r="S15" s="198"/>
      <c r="T15" s="198"/>
      <c r="U15" s="198"/>
    </row>
    <row r="16" spans="1:21" s="12" customFormat="1" x14ac:dyDescent="0.25">
      <c r="A16" s="201" t="s">
        <v>2365</v>
      </c>
      <c r="B16" s="60">
        <v>18.809999999999999</v>
      </c>
      <c r="C16" s="60">
        <v>50.55</v>
      </c>
      <c r="D16" s="60">
        <v>67.87</v>
      </c>
      <c r="E16" s="60">
        <v>6.46</v>
      </c>
      <c r="F16" s="60">
        <v>8.31</v>
      </c>
      <c r="G16" s="60">
        <v>76.2</v>
      </c>
      <c r="H16" s="60">
        <v>20.010000000000002</v>
      </c>
      <c r="I16" s="60">
        <v>3.93</v>
      </c>
      <c r="J16" s="60">
        <v>0.54</v>
      </c>
      <c r="K16" s="60">
        <v>325.75</v>
      </c>
      <c r="L16" s="60">
        <v>30.44</v>
      </c>
      <c r="M16" s="60">
        <v>36.18</v>
      </c>
      <c r="N16" s="60">
        <v>61.1</v>
      </c>
      <c r="O16" s="60">
        <v>0</v>
      </c>
      <c r="P16" s="60">
        <v>0.85</v>
      </c>
      <c r="Q16" s="60">
        <v>9.52</v>
      </c>
      <c r="S16" s="198"/>
      <c r="T16" s="198"/>
      <c r="U16" s="198"/>
    </row>
    <row r="17" spans="1:21" s="12" customFormat="1" x14ac:dyDescent="0.25">
      <c r="A17" s="201" t="s">
        <v>2366</v>
      </c>
      <c r="B17" s="60">
        <v>8.99</v>
      </c>
      <c r="C17" s="60">
        <v>38.630000000000003</v>
      </c>
      <c r="D17" s="60">
        <v>60.15</v>
      </c>
      <c r="E17" s="60">
        <v>6.92</v>
      </c>
      <c r="F17" s="60">
        <v>10.69</v>
      </c>
      <c r="G17" s="60">
        <v>75.59</v>
      </c>
      <c r="H17" s="60">
        <v>19.52</v>
      </c>
      <c r="I17" s="60">
        <v>3.92</v>
      </c>
      <c r="J17" s="60">
        <v>1.3</v>
      </c>
      <c r="K17" s="60">
        <v>213.56</v>
      </c>
      <c r="L17" s="60">
        <v>30.57</v>
      </c>
      <c r="M17" s="60">
        <v>33.380000000000003</v>
      </c>
      <c r="N17" s="60">
        <v>60.8</v>
      </c>
      <c r="O17" s="60">
        <v>0</v>
      </c>
      <c r="P17" s="60">
        <v>0.77</v>
      </c>
      <c r="Q17" s="60">
        <v>9.5399999999999991</v>
      </c>
      <c r="S17" s="198"/>
      <c r="T17" s="198"/>
      <c r="U17" s="198"/>
    </row>
    <row r="18" spans="1:21" s="12" customFormat="1" x14ac:dyDescent="0.25">
      <c r="A18" s="201" t="s">
        <v>2367</v>
      </c>
      <c r="B18" s="60">
        <v>6.81</v>
      </c>
      <c r="C18" s="60">
        <v>32.479999999999997</v>
      </c>
      <c r="D18" s="60">
        <v>51.71</v>
      </c>
      <c r="E18" s="60">
        <v>8.7100000000000009</v>
      </c>
      <c r="F18" s="60">
        <v>13.58</v>
      </c>
      <c r="G18" s="60">
        <v>75.59</v>
      </c>
      <c r="H18" s="60">
        <v>19.52</v>
      </c>
      <c r="I18" s="60">
        <v>3.76</v>
      </c>
      <c r="J18" s="60">
        <v>0.41</v>
      </c>
      <c r="K18" s="60">
        <v>316.41000000000003</v>
      </c>
      <c r="L18" s="60">
        <v>30.8</v>
      </c>
      <c r="M18" s="60">
        <v>32.74</v>
      </c>
      <c r="N18" s="60">
        <v>61.1</v>
      </c>
      <c r="O18" s="60">
        <v>0</v>
      </c>
      <c r="P18" s="60">
        <v>0.72</v>
      </c>
      <c r="Q18" s="60">
        <v>9.5399999999999991</v>
      </c>
      <c r="S18" s="198"/>
      <c r="T18" s="198"/>
      <c r="U18" s="198"/>
    </row>
    <row r="19" spans="1:21" s="12" customFormat="1" x14ac:dyDescent="0.25">
      <c r="A19" s="201" t="s">
        <v>2368</v>
      </c>
      <c r="B19" s="60">
        <v>4.6900000000000004</v>
      </c>
      <c r="C19" s="60">
        <v>29.97</v>
      </c>
      <c r="D19" s="60">
        <v>50.16</v>
      </c>
      <c r="E19" s="60">
        <v>10.5</v>
      </c>
      <c r="F19" s="60">
        <v>15.84</v>
      </c>
      <c r="G19" s="60">
        <v>75.59</v>
      </c>
      <c r="H19" s="60">
        <v>19.52</v>
      </c>
      <c r="I19" s="60">
        <v>3.89</v>
      </c>
      <c r="J19" s="60">
        <v>0.51</v>
      </c>
      <c r="K19" s="60">
        <v>183.8</v>
      </c>
      <c r="L19" s="60">
        <v>31.2</v>
      </c>
      <c r="M19" s="60">
        <v>30.64</v>
      </c>
      <c r="N19" s="60">
        <v>60.7</v>
      </c>
      <c r="O19" s="60">
        <v>0</v>
      </c>
      <c r="P19" s="60">
        <v>0.59</v>
      </c>
      <c r="Q19" s="60">
        <v>9.5299999999999994</v>
      </c>
      <c r="S19" s="198"/>
      <c r="T19" s="198"/>
      <c r="U19" s="198"/>
    </row>
    <row r="20" spans="1:21" s="12" customFormat="1" x14ac:dyDescent="0.25">
      <c r="A20" s="201" t="s">
        <v>2369</v>
      </c>
      <c r="B20" s="60">
        <v>14.43</v>
      </c>
      <c r="C20" s="60">
        <v>43.14</v>
      </c>
      <c r="D20" s="60">
        <v>60.42</v>
      </c>
      <c r="E20" s="60">
        <v>5.75</v>
      </c>
      <c r="F20" s="60">
        <v>9.58</v>
      </c>
      <c r="G20" s="60">
        <v>75.36</v>
      </c>
      <c r="H20" s="60">
        <v>20.72</v>
      </c>
      <c r="I20" s="60">
        <v>4.1500000000000004</v>
      </c>
      <c r="J20" s="60">
        <v>1.72</v>
      </c>
      <c r="K20" s="60">
        <v>199.65</v>
      </c>
      <c r="L20" s="60">
        <v>31.32</v>
      </c>
      <c r="M20" s="60">
        <v>30.36</v>
      </c>
      <c r="N20" s="60">
        <v>60.3</v>
      </c>
      <c r="O20" s="60">
        <v>0</v>
      </c>
      <c r="P20" s="60">
        <v>0.7</v>
      </c>
      <c r="Q20" s="60">
        <v>9.5399999999999991</v>
      </c>
      <c r="S20" s="198"/>
      <c r="T20" s="198"/>
      <c r="U20" s="198"/>
    </row>
    <row r="21" spans="1:21" s="12" customFormat="1" x14ac:dyDescent="0.25">
      <c r="A21" s="201" t="s">
        <v>2370</v>
      </c>
      <c r="B21" s="60">
        <v>13.84</v>
      </c>
      <c r="C21" s="60">
        <v>43.48</v>
      </c>
      <c r="D21" s="60">
        <v>61.99</v>
      </c>
      <c r="E21" s="60">
        <v>7.54</v>
      </c>
      <c r="F21" s="60">
        <v>12</v>
      </c>
      <c r="G21" s="60">
        <v>75.3</v>
      </c>
      <c r="H21" s="60">
        <v>21.06</v>
      </c>
      <c r="I21" s="60">
        <v>4.05</v>
      </c>
      <c r="J21" s="60">
        <v>1.31</v>
      </c>
      <c r="K21" s="60">
        <v>233.63</v>
      </c>
      <c r="L21" s="60">
        <v>31.61</v>
      </c>
      <c r="M21" s="60">
        <v>31.06</v>
      </c>
      <c r="N21" s="60">
        <v>61.7</v>
      </c>
      <c r="O21" s="60">
        <v>0</v>
      </c>
      <c r="P21" s="60">
        <v>0.62</v>
      </c>
      <c r="Q21" s="60">
        <v>9.5299999999999994</v>
      </c>
      <c r="S21" s="198"/>
      <c r="T21" s="198"/>
      <c r="U21" s="198"/>
    </row>
    <row r="22" spans="1:21" s="12" customFormat="1" x14ac:dyDescent="0.25">
      <c r="A22" s="201" t="s">
        <v>2371</v>
      </c>
      <c r="B22" s="60">
        <v>7.13</v>
      </c>
      <c r="C22" s="60">
        <v>33.31</v>
      </c>
      <c r="D22" s="60">
        <v>52.81</v>
      </c>
      <c r="E22" s="60">
        <v>6.23</v>
      </c>
      <c r="F22" s="60">
        <v>11.5</v>
      </c>
      <c r="G22" s="60">
        <v>75.3</v>
      </c>
      <c r="H22" s="60">
        <v>21.06</v>
      </c>
      <c r="I22" s="60">
        <v>3.9</v>
      </c>
      <c r="J22" s="60">
        <v>1.55</v>
      </c>
      <c r="K22" s="60">
        <v>210.29</v>
      </c>
      <c r="L22" s="60">
        <v>31.01</v>
      </c>
      <c r="M22" s="60">
        <v>30.49</v>
      </c>
      <c r="N22" s="60">
        <v>61.8</v>
      </c>
      <c r="O22" s="60">
        <v>0</v>
      </c>
      <c r="P22" s="60">
        <v>0.62</v>
      </c>
      <c r="Q22" s="60">
        <v>9.5299999999999994</v>
      </c>
      <c r="S22" s="198"/>
      <c r="T22" s="198"/>
      <c r="U22" s="198"/>
    </row>
    <row r="23" spans="1:21" s="12" customFormat="1" x14ac:dyDescent="0.25">
      <c r="A23" s="201" t="s">
        <v>2372</v>
      </c>
      <c r="B23" s="60">
        <v>6.53</v>
      </c>
      <c r="C23" s="60">
        <v>31.27</v>
      </c>
      <c r="D23" s="60">
        <v>49.83</v>
      </c>
      <c r="E23" s="60">
        <v>7.17</v>
      </c>
      <c r="F23" s="60">
        <v>14.3</v>
      </c>
      <c r="G23" s="60">
        <v>75.3</v>
      </c>
      <c r="H23" s="60">
        <v>21.06</v>
      </c>
      <c r="I23" s="60">
        <v>4.04</v>
      </c>
      <c r="J23" s="60">
        <v>1.33</v>
      </c>
      <c r="K23" s="60">
        <v>199.19</v>
      </c>
      <c r="L23" s="60">
        <v>30.84</v>
      </c>
      <c r="M23" s="60">
        <v>31.31</v>
      </c>
      <c r="N23" s="60">
        <v>61.9</v>
      </c>
      <c r="O23" s="60">
        <v>0</v>
      </c>
      <c r="P23" s="60">
        <v>0.56000000000000005</v>
      </c>
      <c r="Q23" s="60">
        <v>9.5399999999999991</v>
      </c>
      <c r="S23" s="198"/>
      <c r="T23" s="198"/>
      <c r="U23" s="198"/>
    </row>
    <row r="24" spans="1:21" s="12" customFormat="1" x14ac:dyDescent="0.25">
      <c r="A24" s="201" t="s">
        <v>2373</v>
      </c>
      <c r="B24" s="60">
        <v>5.59</v>
      </c>
      <c r="C24" s="60">
        <v>32.590000000000003</v>
      </c>
      <c r="D24" s="60">
        <v>53.79</v>
      </c>
      <c r="E24" s="60">
        <v>6.65</v>
      </c>
      <c r="F24" s="60">
        <v>13.4</v>
      </c>
      <c r="G24" s="60">
        <v>73.16</v>
      </c>
      <c r="H24" s="60">
        <v>20.99</v>
      </c>
      <c r="I24" s="60">
        <v>4.21</v>
      </c>
      <c r="J24" s="60">
        <v>1.54</v>
      </c>
      <c r="K24" s="60">
        <v>241.22</v>
      </c>
      <c r="L24" s="60">
        <v>30.95</v>
      </c>
      <c r="M24" s="60">
        <v>32.71</v>
      </c>
      <c r="N24" s="60">
        <v>61.8</v>
      </c>
      <c r="O24" s="60">
        <v>0</v>
      </c>
      <c r="P24" s="60">
        <v>0.51</v>
      </c>
      <c r="Q24" s="60">
        <v>9.5500000000000007</v>
      </c>
      <c r="S24" s="198"/>
      <c r="T24" s="198"/>
      <c r="U24" s="198"/>
    </row>
    <row r="25" spans="1:21" s="12" customFormat="1" x14ac:dyDescent="0.25">
      <c r="A25" s="201" t="s">
        <v>2374</v>
      </c>
      <c r="B25" s="60">
        <v>5.64</v>
      </c>
      <c r="C25" s="60">
        <v>36.99</v>
      </c>
      <c r="D25" s="60">
        <v>62.13</v>
      </c>
      <c r="E25" s="60">
        <v>5.82</v>
      </c>
      <c r="F25" s="60">
        <v>12.57</v>
      </c>
      <c r="G25" s="60">
        <v>72.55</v>
      </c>
      <c r="H25" s="60">
        <v>20.97</v>
      </c>
      <c r="I25" s="60">
        <v>4.04</v>
      </c>
      <c r="J25" s="60">
        <v>1.33</v>
      </c>
      <c r="K25" s="60">
        <v>224.09</v>
      </c>
      <c r="L25" s="60">
        <v>31.16</v>
      </c>
      <c r="M25" s="60">
        <v>33.119999999999997</v>
      </c>
      <c r="N25" s="60">
        <v>61.5</v>
      </c>
      <c r="O25" s="60">
        <v>0</v>
      </c>
      <c r="P25" s="60">
        <v>0.49</v>
      </c>
      <c r="Q25" s="60">
        <v>9.5500000000000007</v>
      </c>
      <c r="S25" s="198"/>
      <c r="T25" s="198"/>
      <c r="U25" s="198"/>
    </row>
    <row r="26" spans="1:21" s="12" customFormat="1" x14ac:dyDescent="0.25">
      <c r="A26" s="201" t="s">
        <v>2375</v>
      </c>
      <c r="B26" s="60">
        <v>8.52</v>
      </c>
      <c r="C26" s="60">
        <v>29.91</v>
      </c>
      <c r="D26" s="60">
        <v>44.17</v>
      </c>
      <c r="E26" s="60">
        <v>4.9800000000000004</v>
      </c>
      <c r="F26" s="60">
        <v>12.85</v>
      </c>
      <c r="G26" s="60">
        <v>72.55</v>
      </c>
      <c r="H26" s="60">
        <v>20.97</v>
      </c>
      <c r="I26" s="60">
        <v>4.13</v>
      </c>
      <c r="J26" s="60">
        <v>2.06</v>
      </c>
      <c r="K26" s="60">
        <v>157.5</v>
      </c>
      <c r="L26" s="60">
        <v>31.01</v>
      </c>
      <c r="M26" s="60">
        <v>34.78</v>
      </c>
      <c r="N26" s="60">
        <v>60.9</v>
      </c>
      <c r="O26" s="60">
        <v>0</v>
      </c>
      <c r="P26" s="60">
        <v>0.55000000000000004</v>
      </c>
      <c r="Q26" s="60">
        <v>9.5500000000000007</v>
      </c>
      <c r="S26" s="198"/>
      <c r="T26" s="198"/>
      <c r="U26" s="198"/>
    </row>
    <row r="27" spans="1:21" s="12" customFormat="1" x14ac:dyDescent="0.25">
      <c r="A27" s="201" t="s">
        <v>2376</v>
      </c>
      <c r="B27" s="60">
        <v>8.25</v>
      </c>
      <c r="C27" s="60">
        <v>29.26</v>
      </c>
      <c r="D27" s="60">
        <v>43.35</v>
      </c>
      <c r="E27" s="60">
        <v>3.66</v>
      </c>
      <c r="F27" s="60">
        <v>14.26</v>
      </c>
      <c r="G27" s="60">
        <v>72.55</v>
      </c>
      <c r="H27" s="60">
        <v>20.97</v>
      </c>
      <c r="I27" s="60">
        <v>4.12</v>
      </c>
      <c r="J27" s="60">
        <v>1.95</v>
      </c>
      <c r="K27" s="60">
        <v>162.79</v>
      </c>
      <c r="L27" s="60">
        <v>30.89</v>
      </c>
      <c r="M27" s="60">
        <v>36.76</v>
      </c>
      <c r="N27" s="60">
        <v>62.3</v>
      </c>
      <c r="O27" s="60">
        <v>0</v>
      </c>
      <c r="P27" s="60">
        <v>0.53</v>
      </c>
      <c r="Q27" s="60">
        <v>9.5399999999999991</v>
      </c>
      <c r="S27" s="198"/>
      <c r="T27" s="198"/>
      <c r="U27" s="198"/>
    </row>
    <row r="28" spans="1:21" s="12" customFormat="1" x14ac:dyDescent="0.25">
      <c r="A28" s="201" t="s">
        <v>2377</v>
      </c>
      <c r="B28" s="60">
        <v>8.17</v>
      </c>
      <c r="C28" s="60">
        <v>30.6</v>
      </c>
      <c r="D28" s="60">
        <v>46.02</v>
      </c>
      <c r="E28" s="60">
        <v>4.0199999999999996</v>
      </c>
      <c r="F28" s="60">
        <v>13.61</v>
      </c>
      <c r="G28" s="60">
        <v>68.180000000000007</v>
      </c>
      <c r="H28" s="60">
        <v>18.09</v>
      </c>
      <c r="I28" s="60">
        <v>3.95</v>
      </c>
      <c r="J28" s="60">
        <v>1.71</v>
      </c>
      <c r="K28" s="60">
        <v>164.95</v>
      </c>
      <c r="L28" s="60">
        <v>30.75</v>
      </c>
      <c r="M28" s="60">
        <v>38.46</v>
      </c>
      <c r="N28" s="60">
        <v>63.2</v>
      </c>
      <c r="O28" s="60">
        <v>0</v>
      </c>
      <c r="P28" s="60">
        <v>0.48</v>
      </c>
      <c r="Q28" s="60">
        <v>9.5399999999999991</v>
      </c>
      <c r="S28" s="198"/>
      <c r="T28" s="198"/>
      <c r="U28" s="198"/>
    </row>
    <row r="29" spans="1:21" s="12" customFormat="1" x14ac:dyDescent="0.25">
      <c r="A29" s="201" t="s">
        <v>2378</v>
      </c>
      <c r="B29" s="60">
        <v>9.23</v>
      </c>
      <c r="C29" s="60">
        <v>35.67</v>
      </c>
      <c r="D29" s="60">
        <v>54.1</v>
      </c>
      <c r="E29" s="60">
        <v>4.18</v>
      </c>
      <c r="F29" s="60">
        <v>13.45</v>
      </c>
      <c r="G29" s="60">
        <v>66.930000000000007</v>
      </c>
      <c r="H29" s="60">
        <v>17.27</v>
      </c>
      <c r="I29" s="60">
        <v>3.86</v>
      </c>
      <c r="J29" s="60">
        <v>1.35</v>
      </c>
      <c r="K29" s="60">
        <v>170.39</v>
      </c>
      <c r="L29" s="60">
        <v>31.06</v>
      </c>
      <c r="M29" s="60">
        <v>40.380000000000003</v>
      </c>
      <c r="N29" s="60">
        <v>64</v>
      </c>
      <c r="O29" s="60">
        <v>0</v>
      </c>
      <c r="P29" s="60">
        <v>0.44</v>
      </c>
      <c r="Q29" s="60">
        <v>9.5299999999999994</v>
      </c>
      <c r="S29" s="198"/>
      <c r="T29" s="198"/>
      <c r="U29" s="198"/>
    </row>
    <row r="30" spans="1:21" s="12" customFormat="1" x14ac:dyDescent="0.25">
      <c r="A30" s="201" t="s">
        <v>2379</v>
      </c>
      <c r="B30" s="60">
        <v>8.76</v>
      </c>
      <c r="C30" s="60">
        <v>39</v>
      </c>
      <c r="D30" s="60">
        <v>61.2</v>
      </c>
      <c r="E30" s="60">
        <v>3.87</v>
      </c>
      <c r="F30" s="60">
        <v>10.89</v>
      </c>
      <c r="G30" s="60">
        <v>66.930000000000007</v>
      </c>
      <c r="H30" s="60">
        <v>17.27</v>
      </c>
      <c r="I30" s="60">
        <v>4.03</v>
      </c>
      <c r="J30" s="60">
        <v>0.91</v>
      </c>
      <c r="K30" s="60">
        <v>236.46</v>
      </c>
      <c r="L30" s="60">
        <v>30.5</v>
      </c>
      <c r="M30" s="60">
        <v>42.28</v>
      </c>
      <c r="N30" s="60">
        <v>65.599999999999994</v>
      </c>
      <c r="O30" s="60">
        <v>0</v>
      </c>
      <c r="P30" s="60">
        <v>0.46</v>
      </c>
      <c r="Q30" s="60">
        <v>9.5299999999999994</v>
      </c>
      <c r="S30" s="198"/>
      <c r="T30" s="198"/>
      <c r="U30" s="198"/>
    </row>
    <row r="31" spans="1:21" s="12" customFormat="1" x14ac:dyDescent="0.25">
      <c r="A31" s="201" t="s">
        <v>2380</v>
      </c>
      <c r="B31" s="60">
        <v>34.119999999999997</v>
      </c>
      <c r="C31" s="60">
        <v>62.72</v>
      </c>
      <c r="D31" s="60">
        <v>67.66</v>
      </c>
      <c r="E31" s="60">
        <v>3.55</v>
      </c>
      <c r="F31" s="60">
        <v>6.9</v>
      </c>
      <c r="G31" s="60">
        <v>66.930000000000007</v>
      </c>
      <c r="H31" s="60">
        <v>17.27</v>
      </c>
      <c r="I31" s="60">
        <v>3.97</v>
      </c>
      <c r="J31" s="60">
        <v>1.52</v>
      </c>
      <c r="K31" s="60">
        <v>300.45999999999998</v>
      </c>
      <c r="L31" s="60">
        <v>30.01</v>
      </c>
      <c r="M31" s="60">
        <v>46.25</v>
      </c>
      <c r="N31" s="60">
        <v>71.3</v>
      </c>
      <c r="O31" s="60">
        <v>0</v>
      </c>
      <c r="P31" s="60">
        <v>0.76</v>
      </c>
      <c r="Q31" s="60">
        <v>9.52</v>
      </c>
      <c r="S31" s="198"/>
      <c r="T31" s="198"/>
      <c r="U31" s="198"/>
    </row>
    <row r="32" spans="1:21" s="12" customFormat="1" x14ac:dyDescent="0.25">
      <c r="A32" s="201" t="s">
        <v>2381</v>
      </c>
      <c r="B32" s="60">
        <v>44.4</v>
      </c>
      <c r="C32" s="60">
        <v>79.099999999999994</v>
      </c>
      <c r="D32" s="60">
        <v>83.25</v>
      </c>
      <c r="E32" s="60">
        <v>3.64</v>
      </c>
      <c r="F32" s="60">
        <v>6.32</v>
      </c>
      <c r="G32" s="60">
        <v>65.010000000000005</v>
      </c>
      <c r="H32" s="60">
        <v>18.82</v>
      </c>
      <c r="I32" s="60">
        <v>3.89</v>
      </c>
      <c r="J32" s="60">
        <v>1.41</v>
      </c>
      <c r="K32" s="60">
        <v>314.7</v>
      </c>
      <c r="L32" s="60">
        <v>29.67</v>
      </c>
      <c r="M32" s="60">
        <v>48.79</v>
      </c>
      <c r="N32" s="60">
        <v>85.7</v>
      </c>
      <c r="O32" s="60">
        <v>0</v>
      </c>
      <c r="P32" s="60">
        <v>0.86</v>
      </c>
      <c r="Q32" s="60">
        <v>9.49</v>
      </c>
      <c r="S32" s="198"/>
      <c r="T32" s="198"/>
      <c r="U32" s="198"/>
    </row>
    <row r="33" spans="1:21" s="12" customFormat="1" x14ac:dyDescent="0.25">
      <c r="A33" s="201" t="s">
        <v>2382</v>
      </c>
      <c r="B33" s="60">
        <v>50.66</v>
      </c>
      <c r="C33" s="60">
        <v>83.13</v>
      </c>
      <c r="D33" s="60">
        <v>81.349999999999994</v>
      </c>
      <c r="E33" s="60">
        <v>3.43</v>
      </c>
      <c r="F33" s="60">
        <v>5.93</v>
      </c>
      <c r="G33" s="60">
        <v>64.459999999999994</v>
      </c>
      <c r="H33" s="60">
        <v>19.260000000000002</v>
      </c>
      <c r="I33" s="60">
        <v>3.96</v>
      </c>
      <c r="J33" s="60">
        <v>1.3</v>
      </c>
      <c r="K33" s="60">
        <v>304.58999999999997</v>
      </c>
      <c r="L33" s="60">
        <v>30.18</v>
      </c>
      <c r="M33" s="60">
        <v>49.53</v>
      </c>
      <c r="N33" s="60">
        <v>108.3</v>
      </c>
      <c r="O33" s="60">
        <v>0</v>
      </c>
      <c r="P33" s="60">
        <v>0.9</v>
      </c>
      <c r="Q33" s="60">
        <v>9.48</v>
      </c>
      <c r="S33" s="198"/>
      <c r="T33" s="198"/>
      <c r="U33" s="198"/>
    </row>
    <row r="34" spans="1:21" s="12" customFormat="1" x14ac:dyDescent="0.25">
      <c r="A34" s="201" t="s">
        <v>2383</v>
      </c>
      <c r="B34" s="60">
        <v>39.18</v>
      </c>
      <c r="C34" s="60">
        <v>70.44</v>
      </c>
      <c r="D34" s="60">
        <v>74.7</v>
      </c>
      <c r="E34" s="60">
        <v>3.51</v>
      </c>
      <c r="F34" s="60">
        <v>5.98</v>
      </c>
      <c r="G34" s="60">
        <v>64.459999999999994</v>
      </c>
      <c r="H34" s="60">
        <v>19.260000000000002</v>
      </c>
      <c r="I34" s="60">
        <v>3.97</v>
      </c>
      <c r="J34" s="60">
        <v>0.24</v>
      </c>
      <c r="K34" s="60">
        <v>198.37</v>
      </c>
      <c r="L34" s="60">
        <v>30.6</v>
      </c>
      <c r="M34" s="60">
        <v>48.87</v>
      </c>
      <c r="N34" s="60">
        <v>138</v>
      </c>
      <c r="O34" s="60">
        <v>0</v>
      </c>
      <c r="P34" s="60">
        <v>0.93</v>
      </c>
      <c r="Q34" s="60">
        <v>9.49</v>
      </c>
      <c r="S34" s="198"/>
      <c r="T34" s="198"/>
      <c r="U34" s="198"/>
    </row>
    <row r="35" spans="1:21" s="12" customFormat="1" x14ac:dyDescent="0.25">
      <c r="A35" s="201" t="s">
        <v>2384</v>
      </c>
      <c r="B35" s="60">
        <v>15.62</v>
      </c>
      <c r="C35" s="60">
        <v>46.84</v>
      </c>
      <c r="D35" s="60">
        <v>65.67</v>
      </c>
      <c r="E35" s="60">
        <v>4.05</v>
      </c>
      <c r="F35" s="60">
        <v>10.01</v>
      </c>
      <c r="G35" s="60">
        <v>64.459999999999994</v>
      </c>
      <c r="H35" s="60">
        <v>19.260000000000002</v>
      </c>
      <c r="I35" s="60">
        <v>4</v>
      </c>
      <c r="J35" s="60">
        <v>1.48</v>
      </c>
      <c r="K35" s="60">
        <v>207.16</v>
      </c>
      <c r="L35" s="60">
        <v>31.88</v>
      </c>
      <c r="M35" s="60">
        <v>42.71</v>
      </c>
      <c r="N35" s="60">
        <v>176.3</v>
      </c>
      <c r="O35" s="60">
        <v>0</v>
      </c>
      <c r="P35" s="60">
        <v>0.67</v>
      </c>
      <c r="Q35" s="60">
        <v>9.5</v>
      </c>
      <c r="S35" s="198"/>
      <c r="T35" s="198"/>
      <c r="U35" s="198"/>
    </row>
    <row r="36" spans="1:21" s="12" customFormat="1" x14ac:dyDescent="0.25">
      <c r="A36" s="201" t="s">
        <v>2385</v>
      </c>
      <c r="B36" s="60">
        <v>14.53</v>
      </c>
      <c r="C36" s="60">
        <v>42.23</v>
      </c>
      <c r="D36" s="60">
        <v>58.52</v>
      </c>
      <c r="E36" s="60">
        <v>3.61</v>
      </c>
      <c r="F36" s="60">
        <v>10.33</v>
      </c>
      <c r="G36" s="60">
        <v>68.48</v>
      </c>
      <c r="H36" s="60">
        <v>19.39</v>
      </c>
      <c r="I36" s="60">
        <v>4.01</v>
      </c>
      <c r="J36" s="60">
        <v>1.84</v>
      </c>
      <c r="K36" s="60">
        <v>200.28</v>
      </c>
      <c r="L36" s="60">
        <v>32.659999999999997</v>
      </c>
      <c r="M36" s="60">
        <v>41.08</v>
      </c>
      <c r="N36" s="60">
        <v>230.3</v>
      </c>
      <c r="O36" s="60">
        <v>0</v>
      </c>
      <c r="P36" s="60">
        <v>0.59</v>
      </c>
      <c r="Q36" s="60">
        <v>9.5299999999999994</v>
      </c>
      <c r="S36" s="198"/>
      <c r="T36" s="198"/>
      <c r="U36" s="198"/>
    </row>
    <row r="37" spans="1:21" s="12" customFormat="1" x14ac:dyDescent="0.25">
      <c r="A37" s="201" t="s">
        <v>2386</v>
      </c>
      <c r="B37" s="60">
        <v>14.08</v>
      </c>
      <c r="C37" s="60">
        <v>38.61</v>
      </c>
      <c r="D37" s="60">
        <v>52.28</v>
      </c>
      <c r="E37" s="60">
        <v>3.47</v>
      </c>
      <c r="F37" s="60">
        <v>11.36</v>
      </c>
      <c r="G37" s="60">
        <v>69.63</v>
      </c>
      <c r="H37" s="60">
        <v>19.43</v>
      </c>
      <c r="I37" s="60">
        <v>4</v>
      </c>
      <c r="J37" s="60">
        <v>1.56</v>
      </c>
      <c r="K37" s="60">
        <v>216.46</v>
      </c>
      <c r="L37" s="60">
        <v>33.67</v>
      </c>
      <c r="M37" s="60">
        <v>39.9</v>
      </c>
      <c r="N37" s="60">
        <v>262.3</v>
      </c>
      <c r="O37" s="60">
        <v>0</v>
      </c>
      <c r="P37" s="60">
        <v>0.59</v>
      </c>
      <c r="Q37" s="60">
        <v>9.57</v>
      </c>
      <c r="S37" s="198"/>
      <c r="T37" s="198"/>
      <c r="U37" s="198"/>
    </row>
    <row r="38" spans="1:21" s="12" customFormat="1" x14ac:dyDescent="0.25">
      <c r="A38" s="201" t="s">
        <v>2387</v>
      </c>
      <c r="B38" s="60">
        <v>14.47</v>
      </c>
      <c r="C38" s="60">
        <v>39.28</v>
      </c>
      <c r="D38" s="60">
        <v>52.98</v>
      </c>
      <c r="E38" s="60">
        <v>3.23</v>
      </c>
      <c r="F38" s="60">
        <v>9.39</v>
      </c>
      <c r="G38" s="60">
        <v>69.63</v>
      </c>
      <c r="H38" s="60">
        <v>19.43</v>
      </c>
      <c r="I38" s="60">
        <v>4.01</v>
      </c>
      <c r="J38" s="60">
        <v>1.89</v>
      </c>
      <c r="K38" s="60">
        <v>183.62</v>
      </c>
      <c r="L38" s="60">
        <v>33.9</v>
      </c>
      <c r="M38" s="60">
        <v>39.979999999999997</v>
      </c>
      <c r="N38" s="60">
        <v>346.8</v>
      </c>
      <c r="O38" s="60">
        <v>0</v>
      </c>
      <c r="P38" s="60">
        <v>0.65</v>
      </c>
      <c r="Q38" s="60">
        <v>9.57</v>
      </c>
      <c r="S38" s="198"/>
      <c r="T38" s="198"/>
      <c r="U38" s="198"/>
    </row>
    <row r="39" spans="1:21" s="12" customFormat="1" x14ac:dyDescent="0.25">
      <c r="A39" s="201" t="s">
        <v>2388</v>
      </c>
      <c r="B39" s="60">
        <v>12.62</v>
      </c>
      <c r="C39" s="60">
        <v>38.85</v>
      </c>
      <c r="D39" s="60">
        <v>55</v>
      </c>
      <c r="E39" s="60">
        <v>3.19</v>
      </c>
      <c r="F39" s="60">
        <v>9.06</v>
      </c>
      <c r="G39" s="60">
        <v>69.63</v>
      </c>
      <c r="H39" s="60">
        <v>19.43</v>
      </c>
      <c r="I39" s="60">
        <v>3.98</v>
      </c>
      <c r="J39" s="60">
        <v>1.76</v>
      </c>
      <c r="K39" s="60">
        <v>183.29</v>
      </c>
      <c r="L39" s="60">
        <v>34.67</v>
      </c>
      <c r="M39" s="60">
        <v>39.22</v>
      </c>
      <c r="N39" s="60">
        <v>404.8</v>
      </c>
      <c r="O39" s="60">
        <v>0</v>
      </c>
      <c r="P39" s="60">
        <v>0.63</v>
      </c>
      <c r="Q39" s="60">
        <v>9.56</v>
      </c>
      <c r="S39" s="198"/>
      <c r="T39" s="198"/>
      <c r="U39" s="198"/>
    </row>
    <row r="40" spans="1:21" s="12" customFormat="1" x14ac:dyDescent="0.25">
      <c r="A40" s="201" t="s">
        <v>2389</v>
      </c>
      <c r="B40" s="60">
        <v>9.58</v>
      </c>
      <c r="C40" s="60">
        <v>35.479999999999997</v>
      </c>
      <c r="D40" s="60">
        <v>53.2</v>
      </c>
      <c r="E40" s="60">
        <v>4.24</v>
      </c>
      <c r="F40" s="60">
        <v>10.23</v>
      </c>
      <c r="G40" s="60">
        <v>67.73</v>
      </c>
      <c r="H40" s="60">
        <v>19.79</v>
      </c>
      <c r="I40" s="60">
        <v>4.08</v>
      </c>
      <c r="J40" s="60">
        <v>1.51</v>
      </c>
      <c r="K40" s="60">
        <v>204.01</v>
      </c>
      <c r="L40" s="60">
        <v>35.14</v>
      </c>
      <c r="M40" s="60">
        <v>39.200000000000003</v>
      </c>
      <c r="N40" s="60">
        <v>458.2</v>
      </c>
      <c r="O40" s="60">
        <v>0</v>
      </c>
      <c r="P40" s="60">
        <v>0.61</v>
      </c>
      <c r="Q40" s="60">
        <v>9.5500000000000007</v>
      </c>
      <c r="S40" s="198"/>
      <c r="T40" s="198"/>
      <c r="U40" s="198"/>
    </row>
    <row r="41" spans="1:21" s="12" customFormat="1" x14ac:dyDescent="0.25">
      <c r="A41" s="201" t="s">
        <v>2390</v>
      </c>
      <c r="B41" s="60">
        <v>8.6199999999999992</v>
      </c>
      <c r="C41" s="60">
        <v>34.119999999999997</v>
      </c>
      <c r="D41" s="60">
        <v>52.08</v>
      </c>
      <c r="E41" s="60">
        <v>6.15</v>
      </c>
      <c r="F41" s="60">
        <v>12.39</v>
      </c>
      <c r="G41" s="60">
        <v>67.180000000000007</v>
      </c>
      <c r="H41" s="60">
        <v>19.89</v>
      </c>
      <c r="I41" s="60">
        <v>3.91</v>
      </c>
      <c r="J41" s="60">
        <v>1.43</v>
      </c>
      <c r="K41" s="60">
        <v>219.39</v>
      </c>
      <c r="L41" s="60">
        <v>36.04</v>
      </c>
      <c r="M41" s="60">
        <v>38.479999999999997</v>
      </c>
      <c r="N41" s="60">
        <v>515.79999999999995</v>
      </c>
      <c r="O41" s="60">
        <v>0</v>
      </c>
      <c r="P41" s="60">
        <v>0.65</v>
      </c>
      <c r="Q41" s="60">
        <v>9.56</v>
      </c>
      <c r="S41" s="198"/>
      <c r="T41" s="198"/>
      <c r="U41" s="198"/>
    </row>
    <row r="42" spans="1:21" s="12" customFormat="1" x14ac:dyDescent="0.25">
      <c r="A42" s="201" t="s">
        <v>2391</v>
      </c>
      <c r="B42" s="60">
        <v>7.49</v>
      </c>
      <c r="C42" s="60">
        <v>34.21</v>
      </c>
      <c r="D42" s="60">
        <v>53.99</v>
      </c>
      <c r="E42" s="60">
        <v>6.09</v>
      </c>
      <c r="F42" s="60">
        <v>12.44</v>
      </c>
      <c r="G42" s="60">
        <v>67.180000000000007</v>
      </c>
      <c r="H42" s="60">
        <v>19.89</v>
      </c>
      <c r="I42" s="60">
        <v>4.1500000000000004</v>
      </c>
      <c r="J42" s="60">
        <v>1.2</v>
      </c>
      <c r="K42" s="60">
        <v>242.32</v>
      </c>
      <c r="L42" s="60">
        <v>36.83</v>
      </c>
      <c r="M42" s="60">
        <v>37.83</v>
      </c>
      <c r="N42" s="60">
        <v>565.5</v>
      </c>
      <c r="O42" s="60">
        <v>0</v>
      </c>
      <c r="P42" s="60">
        <v>0.65</v>
      </c>
      <c r="Q42" s="60">
        <v>9.5500000000000007</v>
      </c>
      <c r="S42" s="198"/>
      <c r="T42" s="198"/>
      <c r="U42" s="198"/>
    </row>
    <row r="43" spans="1:21" s="12" customFormat="1" x14ac:dyDescent="0.25">
      <c r="A43" s="201" t="s">
        <v>2392</v>
      </c>
      <c r="B43" s="60">
        <v>7.52</v>
      </c>
      <c r="C43" s="60">
        <v>36.44</v>
      </c>
      <c r="D43" s="60">
        <v>58.2</v>
      </c>
      <c r="E43" s="60">
        <v>4</v>
      </c>
      <c r="F43" s="60">
        <v>8.5299999999999994</v>
      </c>
      <c r="G43" s="60">
        <v>67.180000000000007</v>
      </c>
      <c r="H43" s="60">
        <v>19.89</v>
      </c>
      <c r="I43" s="60">
        <v>4.0199999999999996</v>
      </c>
      <c r="J43" s="60">
        <v>1.5</v>
      </c>
      <c r="K43" s="60">
        <v>263.47000000000003</v>
      </c>
      <c r="L43" s="60">
        <v>37.78</v>
      </c>
      <c r="M43" s="60">
        <v>35.76</v>
      </c>
      <c r="N43" s="60">
        <v>609.9</v>
      </c>
      <c r="O43" s="60">
        <v>0</v>
      </c>
      <c r="P43" s="60">
        <v>0.65</v>
      </c>
      <c r="Q43" s="60">
        <v>9.5399999999999991</v>
      </c>
      <c r="S43" s="198"/>
      <c r="T43" s="198"/>
      <c r="U43" s="198"/>
    </row>
    <row r="44" spans="1:21" s="12" customFormat="1" x14ac:dyDescent="0.25">
      <c r="A44" s="201" t="s">
        <v>2393</v>
      </c>
      <c r="B44" s="60">
        <v>5.04</v>
      </c>
      <c r="C44" s="60">
        <v>34.96</v>
      </c>
      <c r="D44" s="60">
        <v>59.18</v>
      </c>
      <c r="E44" s="60">
        <v>3.78</v>
      </c>
      <c r="F44" s="60">
        <v>7.53</v>
      </c>
      <c r="G44" s="60">
        <v>62.9</v>
      </c>
      <c r="H44" s="60">
        <v>19.78</v>
      </c>
      <c r="I44" s="60">
        <v>4.08</v>
      </c>
      <c r="J44" s="60">
        <v>1.66</v>
      </c>
      <c r="K44" s="60">
        <v>262.23</v>
      </c>
      <c r="L44" s="60">
        <v>37.68</v>
      </c>
      <c r="M44" s="60">
        <v>36.04</v>
      </c>
      <c r="N44" s="60">
        <v>657.8</v>
      </c>
      <c r="O44" s="60">
        <v>0</v>
      </c>
      <c r="P44" s="60">
        <v>0.61</v>
      </c>
      <c r="Q44" s="60">
        <v>9.5299999999999994</v>
      </c>
      <c r="S44" s="198"/>
      <c r="T44" s="198"/>
      <c r="U44" s="198"/>
    </row>
    <row r="45" spans="1:21" s="12" customFormat="1" x14ac:dyDescent="0.25">
      <c r="A45" s="201" t="s">
        <v>2394</v>
      </c>
      <c r="B45" s="60">
        <v>3.08</v>
      </c>
      <c r="C45" s="60">
        <v>34.090000000000003</v>
      </c>
      <c r="D45" s="60">
        <v>60.52</v>
      </c>
      <c r="E45" s="60">
        <v>4.05</v>
      </c>
      <c r="F45" s="60">
        <v>9.6300000000000008</v>
      </c>
      <c r="G45" s="60">
        <v>61.67</v>
      </c>
      <c r="H45" s="60">
        <v>19.75</v>
      </c>
      <c r="I45" s="60">
        <v>3.97</v>
      </c>
      <c r="J45" s="60">
        <v>1.38</v>
      </c>
      <c r="K45" s="60">
        <v>258.72000000000003</v>
      </c>
      <c r="L45" s="60">
        <v>38.479999999999997</v>
      </c>
      <c r="M45" s="60">
        <v>35.35</v>
      </c>
      <c r="N45" s="60">
        <v>706</v>
      </c>
      <c r="O45" s="60">
        <v>0</v>
      </c>
      <c r="P45" s="60">
        <v>0.56000000000000005</v>
      </c>
      <c r="Q45" s="60">
        <v>9.51</v>
      </c>
      <c r="S45" s="198"/>
      <c r="T45" s="198"/>
      <c r="U45" s="198"/>
    </row>
    <row r="46" spans="1:21" s="12" customFormat="1" x14ac:dyDescent="0.25">
      <c r="A46" s="201" t="s">
        <v>2395</v>
      </c>
      <c r="B46" s="60">
        <v>2.0299999999999998</v>
      </c>
      <c r="C46" s="60">
        <v>32.64</v>
      </c>
      <c r="D46" s="60">
        <v>59.36</v>
      </c>
      <c r="E46" s="60">
        <v>4.0199999999999996</v>
      </c>
      <c r="F46" s="60">
        <v>9.4600000000000009</v>
      </c>
      <c r="G46" s="60">
        <v>61.67</v>
      </c>
      <c r="H46" s="60">
        <v>19.75</v>
      </c>
      <c r="I46" s="60">
        <v>3.98</v>
      </c>
      <c r="J46" s="60">
        <v>1.7</v>
      </c>
      <c r="K46" s="60">
        <v>253.49</v>
      </c>
      <c r="L46" s="60">
        <v>39.200000000000003</v>
      </c>
      <c r="M46" s="60">
        <v>35.04</v>
      </c>
      <c r="N46" s="60">
        <v>748.8</v>
      </c>
      <c r="O46" s="60">
        <v>0</v>
      </c>
      <c r="P46" s="60">
        <v>0.55000000000000004</v>
      </c>
      <c r="Q46" s="60">
        <v>9.49</v>
      </c>
      <c r="S46" s="198"/>
      <c r="T46" s="198"/>
      <c r="U46" s="198"/>
    </row>
    <row r="47" spans="1:21" s="12" customFormat="1" x14ac:dyDescent="0.25">
      <c r="A47" s="201" t="s">
        <v>2396</v>
      </c>
      <c r="B47" s="60">
        <v>1.6</v>
      </c>
      <c r="C47" s="60">
        <v>30.63</v>
      </c>
      <c r="D47" s="60">
        <v>56.17</v>
      </c>
      <c r="E47" s="60">
        <v>4.28</v>
      </c>
      <c r="F47" s="60">
        <v>9.4600000000000009</v>
      </c>
      <c r="G47" s="60">
        <v>61.67</v>
      </c>
      <c r="H47" s="60">
        <v>19.75</v>
      </c>
      <c r="I47" s="60">
        <v>3.95</v>
      </c>
      <c r="J47" s="60">
        <v>1.77</v>
      </c>
      <c r="K47" s="60">
        <v>246.12</v>
      </c>
      <c r="L47" s="60">
        <v>38.869999999999997</v>
      </c>
      <c r="M47" s="60">
        <v>35.590000000000003</v>
      </c>
      <c r="N47" s="60">
        <v>794</v>
      </c>
      <c r="O47" s="60">
        <v>0</v>
      </c>
      <c r="P47" s="60">
        <v>0.51</v>
      </c>
      <c r="Q47" s="60">
        <v>9.48</v>
      </c>
      <c r="S47" s="198"/>
      <c r="T47" s="198"/>
      <c r="U47" s="198"/>
    </row>
    <row r="48" spans="1:21" s="12" customFormat="1" x14ac:dyDescent="0.25">
      <c r="A48" s="201" t="s">
        <v>2397</v>
      </c>
      <c r="B48" s="60">
        <v>1.38</v>
      </c>
      <c r="C48" s="60">
        <v>30.27</v>
      </c>
      <c r="D48" s="60">
        <v>55.82</v>
      </c>
      <c r="E48" s="60">
        <v>4.07</v>
      </c>
      <c r="F48" s="60">
        <v>11.31</v>
      </c>
      <c r="G48" s="60">
        <v>60.9</v>
      </c>
      <c r="H48" s="60">
        <v>20.99</v>
      </c>
      <c r="I48" s="60">
        <v>4.1100000000000003</v>
      </c>
      <c r="J48" s="60">
        <v>1.72</v>
      </c>
      <c r="K48" s="60">
        <v>250.03</v>
      </c>
      <c r="L48" s="60">
        <v>39.57</v>
      </c>
      <c r="M48" s="60">
        <v>34.9</v>
      </c>
      <c r="N48" s="60">
        <v>823.6</v>
      </c>
      <c r="O48" s="60">
        <v>0</v>
      </c>
      <c r="P48" s="60">
        <v>0.5</v>
      </c>
      <c r="Q48" s="60">
        <v>9.4600000000000009</v>
      </c>
      <c r="S48" s="198"/>
      <c r="T48" s="198"/>
      <c r="U48" s="198"/>
    </row>
    <row r="49" spans="1:21" s="12" customFormat="1" x14ac:dyDescent="0.25">
      <c r="A49" s="201" t="s">
        <v>2398</v>
      </c>
      <c r="B49" s="60">
        <v>1.56</v>
      </c>
      <c r="C49" s="60">
        <v>31.82</v>
      </c>
      <c r="D49" s="60">
        <v>58.52</v>
      </c>
      <c r="E49" s="60">
        <v>3.88</v>
      </c>
      <c r="F49" s="60">
        <v>9.35</v>
      </c>
      <c r="G49" s="60">
        <v>60.68</v>
      </c>
      <c r="H49" s="60">
        <v>21.34</v>
      </c>
      <c r="I49" s="60">
        <v>4.1900000000000004</v>
      </c>
      <c r="J49" s="60">
        <v>1.63</v>
      </c>
      <c r="K49" s="60">
        <v>250.06</v>
      </c>
      <c r="L49" s="60">
        <v>40.36</v>
      </c>
      <c r="M49" s="60">
        <v>34.119999999999997</v>
      </c>
      <c r="N49" s="60">
        <v>849.7</v>
      </c>
      <c r="O49" s="60">
        <v>0</v>
      </c>
      <c r="P49" s="60">
        <v>0.5</v>
      </c>
      <c r="Q49" s="60">
        <v>9.4499999999999993</v>
      </c>
      <c r="S49" s="198"/>
      <c r="T49" s="198"/>
      <c r="U49" s="198"/>
    </row>
    <row r="50" spans="1:21" s="12" customFormat="1" x14ac:dyDescent="0.25">
      <c r="A50" s="201" t="s">
        <v>2399</v>
      </c>
      <c r="B50" s="60">
        <v>1.83</v>
      </c>
      <c r="C50" s="60">
        <v>31.94</v>
      </c>
      <c r="D50" s="60">
        <v>58.33</v>
      </c>
      <c r="E50" s="60">
        <v>4.2699999999999996</v>
      </c>
      <c r="F50" s="60">
        <v>10.6</v>
      </c>
      <c r="G50" s="60">
        <v>60.68</v>
      </c>
      <c r="H50" s="60">
        <v>21.34</v>
      </c>
      <c r="I50" s="60">
        <v>3.98</v>
      </c>
      <c r="J50" s="60">
        <v>1.62</v>
      </c>
      <c r="K50" s="60">
        <v>254.08</v>
      </c>
      <c r="L50" s="60">
        <v>41.49</v>
      </c>
      <c r="M50" s="60">
        <v>32.53</v>
      </c>
      <c r="N50" s="60">
        <v>872.3</v>
      </c>
      <c r="O50" s="60">
        <v>0</v>
      </c>
      <c r="P50" s="60">
        <v>0.5</v>
      </c>
      <c r="Q50" s="60">
        <v>9.48</v>
      </c>
      <c r="S50" s="198"/>
      <c r="T50" s="198"/>
      <c r="U50" s="198"/>
    </row>
    <row r="51" spans="1:21" s="12" customFormat="1" x14ac:dyDescent="0.25">
      <c r="A51" s="201" t="s">
        <v>2400</v>
      </c>
      <c r="B51" s="60">
        <v>1.55</v>
      </c>
      <c r="C51" s="60">
        <v>30.16</v>
      </c>
      <c r="D51" s="60">
        <v>55.34</v>
      </c>
      <c r="E51" s="60">
        <v>4.17</v>
      </c>
      <c r="F51" s="60">
        <v>7.83</v>
      </c>
      <c r="G51" s="60">
        <v>60.68</v>
      </c>
      <c r="H51" s="60">
        <v>21.34</v>
      </c>
      <c r="I51" s="60">
        <v>3.91</v>
      </c>
      <c r="J51" s="60">
        <v>1.59</v>
      </c>
      <c r="K51" s="60">
        <v>245.77</v>
      </c>
      <c r="L51" s="60">
        <v>41.73</v>
      </c>
      <c r="M51" s="60">
        <v>31.84</v>
      </c>
      <c r="N51" s="60">
        <v>894.8</v>
      </c>
      <c r="O51" s="60">
        <v>0</v>
      </c>
      <c r="P51" s="60">
        <v>0.49</v>
      </c>
      <c r="Q51" s="60">
        <v>9.52</v>
      </c>
      <c r="S51" s="198"/>
      <c r="T51" s="198"/>
      <c r="U51" s="198"/>
    </row>
    <row r="52" spans="1:21" s="12" customFormat="1" x14ac:dyDescent="0.25">
      <c r="A52" s="201" t="s">
        <v>2401</v>
      </c>
      <c r="B52" s="60">
        <v>1.33</v>
      </c>
      <c r="C52" s="60">
        <v>29.14</v>
      </c>
      <c r="D52" s="60">
        <v>53.73</v>
      </c>
      <c r="E52" s="60">
        <v>4.01</v>
      </c>
      <c r="F52" s="60">
        <v>8.59</v>
      </c>
      <c r="G52" s="60">
        <v>58.54</v>
      </c>
      <c r="H52" s="60">
        <v>21.31</v>
      </c>
      <c r="I52" s="60">
        <v>3.85</v>
      </c>
      <c r="J52" s="60">
        <v>1.39</v>
      </c>
      <c r="K52" s="60">
        <v>248.78</v>
      </c>
      <c r="L52" s="60">
        <v>41.69</v>
      </c>
      <c r="M52" s="60">
        <v>31.2</v>
      </c>
      <c r="N52" s="60">
        <v>904</v>
      </c>
      <c r="O52" s="60">
        <v>0</v>
      </c>
      <c r="P52" s="60">
        <v>0.47</v>
      </c>
      <c r="Q52" s="60">
        <v>9.5500000000000007</v>
      </c>
      <c r="S52" s="198"/>
      <c r="T52" s="198"/>
      <c r="U52" s="198"/>
    </row>
    <row r="53" spans="1:21" s="12" customFormat="1" x14ac:dyDescent="0.25">
      <c r="A53" s="201" t="s">
        <v>2402</v>
      </c>
      <c r="B53" s="60">
        <v>1.3</v>
      </c>
      <c r="C53" s="60">
        <v>28.87</v>
      </c>
      <c r="D53" s="60">
        <v>53.27</v>
      </c>
      <c r="E53" s="60">
        <v>4.38</v>
      </c>
      <c r="F53" s="60">
        <v>8.23</v>
      </c>
      <c r="G53" s="60">
        <v>57.93</v>
      </c>
      <c r="H53" s="60">
        <v>21.31</v>
      </c>
      <c r="I53" s="60">
        <v>4.04</v>
      </c>
      <c r="J53" s="60">
        <v>2.0699999999999998</v>
      </c>
      <c r="K53" s="60">
        <v>278.72000000000003</v>
      </c>
      <c r="L53" s="60">
        <v>43.1</v>
      </c>
      <c r="M53" s="60">
        <v>28.22</v>
      </c>
      <c r="N53" s="60">
        <v>921.7</v>
      </c>
      <c r="O53" s="60">
        <v>0</v>
      </c>
      <c r="P53" s="60">
        <v>0.46</v>
      </c>
      <c r="Q53" s="60">
        <v>9.5500000000000007</v>
      </c>
      <c r="S53" s="198"/>
      <c r="T53" s="198"/>
      <c r="U53" s="198"/>
    </row>
    <row r="54" spans="1:21" s="12" customFormat="1" x14ac:dyDescent="0.25">
      <c r="A54" s="201" t="s">
        <v>2403</v>
      </c>
      <c r="B54" s="60">
        <v>1.48</v>
      </c>
      <c r="C54" s="60">
        <v>28.69</v>
      </c>
      <c r="D54" s="60">
        <v>52.64</v>
      </c>
      <c r="E54" s="60">
        <v>4.08</v>
      </c>
      <c r="F54" s="60">
        <v>9.19</v>
      </c>
      <c r="G54" s="60">
        <v>57.93</v>
      </c>
      <c r="H54" s="60">
        <v>21.31</v>
      </c>
      <c r="I54" s="60">
        <v>3.99</v>
      </c>
      <c r="J54" s="60">
        <v>1.7</v>
      </c>
      <c r="K54" s="60">
        <v>270.35000000000002</v>
      </c>
      <c r="L54" s="60">
        <v>43.63</v>
      </c>
      <c r="M54" s="60">
        <v>25.26</v>
      </c>
      <c r="N54" s="60">
        <v>939.2</v>
      </c>
      <c r="O54" s="60">
        <v>0</v>
      </c>
      <c r="P54" s="60">
        <v>0.45</v>
      </c>
      <c r="Q54" s="60">
        <v>9.57</v>
      </c>
      <c r="S54" s="198"/>
      <c r="T54" s="198"/>
      <c r="U54" s="198"/>
    </row>
    <row r="55" spans="1:21" s="12" customFormat="1" x14ac:dyDescent="0.25">
      <c r="A55" s="201" t="s">
        <v>2404</v>
      </c>
      <c r="B55" s="60">
        <v>1.79</v>
      </c>
      <c r="C55" s="60">
        <v>26.65</v>
      </c>
      <c r="D55" s="60">
        <v>48.26</v>
      </c>
      <c r="E55" s="60">
        <v>4.93</v>
      </c>
      <c r="F55" s="60">
        <v>16.59</v>
      </c>
      <c r="G55" s="60">
        <v>57.93</v>
      </c>
      <c r="H55" s="60">
        <v>21.31</v>
      </c>
      <c r="I55" s="60">
        <v>3.97</v>
      </c>
      <c r="J55" s="60">
        <v>1.34</v>
      </c>
      <c r="K55" s="60">
        <v>257.12</v>
      </c>
      <c r="L55" s="60">
        <v>42.96</v>
      </c>
      <c r="M55" s="60">
        <v>24.64</v>
      </c>
      <c r="N55" s="60">
        <v>929.2</v>
      </c>
      <c r="O55" s="60">
        <v>0</v>
      </c>
      <c r="P55" s="60">
        <v>0.43</v>
      </c>
      <c r="Q55" s="60">
        <v>9.58</v>
      </c>
      <c r="S55" s="198"/>
      <c r="T55" s="198"/>
      <c r="U55" s="198"/>
    </row>
    <row r="56" spans="1:21" s="12" customFormat="1" x14ac:dyDescent="0.25">
      <c r="A56" s="201" t="s">
        <v>2405</v>
      </c>
      <c r="B56" s="60">
        <v>2.83</v>
      </c>
      <c r="C56" s="60">
        <v>28.4</v>
      </c>
      <c r="D56" s="60">
        <v>50.02</v>
      </c>
      <c r="E56" s="60">
        <v>6.44</v>
      </c>
      <c r="F56" s="60">
        <v>14.88</v>
      </c>
      <c r="G56" s="60">
        <v>57.65</v>
      </c>
      <c r="H56" s="60">
        <v>20.79</v>
      </c>
      <c r="I56" s="60">
        <v>4.05</v>
      </c>
      <c r="J56" s="60">
        <v>1.79</v>
      </c>
      <c r="K56" s="60">
        <v>277.60000000000002</v>
      </c>
      <c r="L56" s="60">
        <v>44.8</v>
      </c>
      <c r="M56" s="60">
        <v>22.02</v>
      </c>
      <c r="N56" s="60">
        <v>917.6</v>
      </c>
      <c r="O56" s="60">
        <v>0</v>
      </c>
      <c r="P56" s="60">
        <v>0.43</v>
      </c>
      <c r="Q56" s="60">
        <v>9.59</v>
      </c>
      <c r="S56" s="198"/>
      <c r="T56" s="198"/>
      <c r="U56" s="198"/>
    </row>
    <row r="57" spans="1:21" s="12" customFormat="1" x14ac:dyDescent="0.25">
      <c r="A57" s="201" t="s">
        <v>2406</v>
      </c>
      <c r="B57" s="60">
        <v>1.92</v>
      </c>
      <c r="C57" s="60">
        <v>30.13</v>
      </c>
      <c r="D57" s="60">
        <v>54.74</v>
      </c>
      <c r="E57" s="60">
        <v>5.07</v>
      </c>
      <c r="F57" s="60">
        <v>10.55</v>
      </c>
      <c r="G57" s="60">
        <v>57.56</v>
      </c>
      <c r="H57" s="60">
        <v>20.64</v>
      </c>
      <c r="I57" s="60">
        <v>4.09</v>
      </c>
      <c r="J57" s="60">
        <v>2.6</v>
      </c>
      <c r="K57" s="60">
        <v>291.98</v>
      </c>
      <c r="L57" s="60">
        <v>46.01</v>
      </c>
      <c r="M57" s="60">
        <v>20.49</v>
      </c>
      <c r="N57" s="60">
        <v>922</v>
      </c>
      <c r="O57" s="60">
        <v>0</v>
      </c>
      <c r="P57" s="60">
        <v>0.44</v>
      </c>
      <c r="Q57" s="60">
        <v>9.57</v>
      </c>
      <c r="S57" s="198"/>
      <c r="T57" s="198"/>
      <c r="U57" s="198"/>
    </row>
    <row r="58" spans="1:21" s="12" customFormat="1" x14ac:dyDescent="0.25">
      <c r="A58" s="201" t="s">
        <v>2407</v>
      </c>
      <c r="B58" s="60">
        <v>2.11</v>
      </c>
      <c r="C58" s="60">
        <v>30.06</v>
      </c>
      <c r="D58" s="60">
        <v>54.29</v>
      </c>
      <c r="E58" s="60">
        <v>4.9800000000000004</v>
      </c>
      <c r="F58" s="60">
        <v>10.7</v>
      </c>
      <c r="G58" s="60">
        <v>57.56</v>
      </c>
      <c r="H58" s="60">
        <v>20.64</v>
      </c>
      <c r="I58" s="60">
        <v>3.94</v>
      </c>
      <c r="J58" s="60">
        <v>2.34</v>
      </c>
      <c r="K58" s="60">
        <v>285.70999999999998</v>
      </c>
      <c r="L58" s="60">
        <v>46.87</v>
      </c>
      <c r="M58" s="60">
        <v>19.329999999999998</v>
      </c>
      <c r="N58" s="60">
        <v>920.3</v>
      </c>
      <c r="O58" s="60">
        <v>0</v>
      </c>
      <c r="P58" s="60">
        <v>0.45</v>
      </c>
      <c r="Q58" s="60">
        <v>9.57</v>
      </c>
      <c r="S58" s="198"/>
      <c r="T58" s="198"/>
      <c r="U58" s="198"/>
    </row>
    <row r="59" spans="1:21" s="12" customFormat="1" x14ac:dyDescent="0.25">
      <c r="A59" s="201" t="s">
        <v>2408</v>
      </c>
      <c r="B59" s="60">
        <v>2.5499999999999998</v>
      </c>
      <c r="C59" s="60">
        <v>28.25</v>
      </c>
      <c r="D59" s="60">
        <v>50.16</v>
      </c>
      <c r="E59" s="60">
        <v>6.89</v>
      </c>
      <c r="F59" s="60">
        <v>18.03</v>
      </c>
      <c r="G59" s="60">
        <v>57.56</v>
      </c>
      <c r="H59" s="60">
        <v>20.64</v>
      </c>
      <c r="I59" s="60">
        <v>3.96</v>
      </c>
      <c r="J59" s="60">
        <v>2.41</v>
      </c>
      <c r="K59" s="60">
        <v>289.57</v>
      </c>
      <c r="L59" s="60">
        <v>46.79</v>
      </c>
      <c r="M59" s="60">
        <v>16.95</v>
      </c>
      <c r="N59" s="60">
        <v>895.4</v>
      </c>
      <c r="O59" s="60">
        <v>0</v>
      </c>
      <c r="P59" s="60">
        <v>0.45</v>
      </c>
      <c r="Q59" s="60">
        <v>9.59</v>
      </c>
      <c r="S59" s="198"/>
      <c r="T59" s="198"/>
      <c r="U59" s="198"/>
    </row>
    <row r="60" spans="1:21" s="12" customFormat="1" x14ac:dyDescent="0.25">
      <c r="A60" s="201" t="s">
        <v>2409</v>
      </c>
      <c r="B60" s="60">
        <v>2.02</v>
      </c>
      <c r="C60" s="60">
        <v>24.97</v>
      </c>
      <c r="D60" s="60">
        <v>44.69</v>
      </c>
      <c r="E60" s="60">
        <v>10.06</v>
      </c>
      <c r="F60" s="60">
        <v>23.38</v>
      </c>
      <c r="G60" s="60">
        <v>53.03</v>
      </c>
      <c r="H60" s="60">
        <v>18.079999999999998</v>
      </c>
      <c r="I60" s="60">
        <v>4.03</v>
      </c>
      <c r="J60" s="60">
        <v>1.66</v>
      </c>
      <c r="K60" s="60">
        <v>274.43</v>
      </c>
      <c r="L60" s="60">
        <v>46.24</v>
      </c>
      <c r="M60" s="60">
        <v>19.059999999999999</v>
      </c>
      <c r="N60" s="60">
        <v>874.1</v>
      </c>
      <c r="O60" s="60">
        <v>0</v>
      </c>
      <c r="P60" s="60">
        <v>0.41</v>
      </c>
      <c r="Q60" s="60">
        <v>9.57</v>
      </c>
      <c r="S60" s="198"/>
      <c r="T60" s="198"/>
      <c r="U60" s="198"/>
    </row>
    <row r="61" spans="1:21" s="12" customFormat="1" x14ac:dyDescent="0.25">
      <c r="A61" s="201" t="s">
        <v>2410</v>
      </c>
      <c r="B61" s="60">
        <v>1.71</v>
      </c>
      <c r="C61" s="60">
        <v>27.55</v>
      </c>
      <c r="D61" s="60">
        <v>50.11</v>
      </c>
      <c r="E61" s="60">
        <v>7.19</v>
      </c>
      <c r="F61" s="60">
        <v>15.56</v>
      </c>
      <c r="G61" s="60">
        <v>51.73</v>
      </c>
      <c r="H61" s="60">
        <v>17.34</v>
      </c>
      <c r="I61" s="60">
        <v>4.07</v>
      </c>
      <c r="J61" s="60">
        <v>2.2000000000000002</v>
      </c>
      <c r="K61" s="60">
        <v>284.7</v>
      </c>
      <c r="L61" s="60">
        <v>45.96</v>
      </c>
      <c r="M61" s="60">
        <v>19.61</v>
      </c>
      <c r="N61" s="60">
        <v>693.4</v>
      </c>
      <c r="O61" s="60">
        <v>0</v>
      </c>
      <c r="P61" s="60">
        <v>0.5</v>
      </c>
      <c r="Q61" s="60">
        <v>9.56</v>
      </c>
      <c r="S61" s="198"/>
      <c r="T61" s="198"/>
      <c r="U61" s="198"/>
    </row>
    <row r="62" spans="1:21" s="12" customFormat="1" x14ac:dyDescent="0.25">
      <c r="A62" s="201" t="s">
        <v>2411</v>
      </c>
      <c r="B62" s="60">
        <v>2.06</v>
      </c>
      <c r="C62" s="60">
        <v>27.4</v>
      </c>
      <c r="D62" s="60">
        <v>49.28</v>
      </c>
      <c r="E62" s="60">
        <v>7.38</v>
      </c>
      <c r="F62" s="60">
        <v>16.559999999999999</v>
      </c>
      <c r="G62" s="60">
        <v>51.73</v>
      </c>
      <c r="H62" s="60">
        <v>17.34</v>
      </c>
      <c r="I62" s="60">
        <v>3.9</v>
      </c>
      <c r="J62" s="60">
        <v>1.76</v>
      </c>
      <c r="K62" s="60">
        <v>268.25</v>
      </c>
      <c r="L62" s="60">
        <v>45.91</v>
      </c>
      <c r="M62" s="60">
        <v>21.49</v>
      </c>
      <c r="N62" s="60">
        <v>717.1</v>
      </c>
      <c r="O62" s="60">
        <v>0</v>
      </c>
      <c r="P62" s="60">
        <v>0.52</v>
      </c>
      <c r="Q62" s="60">
        <v>9.5500000000000007</v>
      </c>
      <c r="S62" s="198"/>
      <c r="T62" s="198"/>
      <c r="U62" s="198"/>
    </row>
    <row r="63" spans="1:21" s="12" customFormat="1" x14ac:dyDescent="0.25">
      <c r="A63" s="201" t="s">
        <v>2412</v>
      </c>
      <c r="B63" s="60">
        <v>1.78</v>
      </c>
      <c r="C63" s="60">
        <v>26.19</v>
      </c>
      <c r="D63" s="60">
        <v>47.38</v>
      </c>
      <c r="E63" s="60">
        <v>7.73</v>
      </c>
      <c r="F63" s="60">
        <v>19.440000000000001</v>
      </c>
      <c r="G63" s="60">
        <v>51.73</v>
      </c>
      <c r="H63" s="60">
        <v>17.34</v>
      </c>
      <c r="I63" s="60">
        <v>4.05</v>
      </c>
      <c r="J63" s="60">
        <v>1.99</v>
      </c>
      <c r="K63" s="60">
        <v>281.95999999999998</v>
      </c>
      <c r="L63" s="60">
        <v>45.03</v>
      </c>
      <c r="M63" s="60">
        <v>21.61</v>
      </c>
      <c r="N63" s="60">
        <v>578.1</v>
      </c>
      <c r="O63" s="60">
        <v>0</v>
      </c>
      <c r="P63" s="60">
        <v>0.51</v>
      </c>
      <c r="Q63" s="60">
        <v>9.5399999999999991</v>
      </c>
      <c r="S63" s="198"/>
      <c r="T63" s="198"/>
      <c r="U63" s="198"/>
    </row>
    <row r="64" spans="1:21" s="12" customFormat="1" x14ac:dyDescent="0.25">
      <c r="A64" s="201" t="s">
        <v>2413</v>
      </c>
      <c r="B64" s="60">
        <v>1.31</v>
      </c>
      <c r="C64" s="60">
        <v>26.33</v>
      </c>
      <c r="D64" s="60">
        <v>48.37</v>
      </c>
      <c r="E64" s="60">
        <v>9.35</v>
      </c>
      <c r="F64" s="60">
        <v>23.61</v>
      </c>
      <c r="G64" s="60">
        <v>51.65</v>
      </c>
      <c r="H64" s="60">
        <v>17.82</v>
      </c>
      <c r="I64" s="60">
        <v>4.0999999999999996</v>
      </c>
      <c r="J64" s="60">
        <v>1.35</v>
      </c>
      <c r="K64" s="60">
        <v>227.65</v>
      </c>
      <c r="L64" s="60">
        <v>44.4</v>
      </c>
      <c r="M64" s="60">
        <v>21.28</v>
      </c>
      <c r="N64" s="60">
        <v>550.29999999999995</v>
      </c>
      <c r="O64" s="60">
        <v>0</v>
      </c>
      <c r="P64" s="60">
        <v>0.46</v>
      </c>
      <c r="Q64" s="60">
        <v>9.51</v>
      </c>
      <c r="S64" s="198"/>
      <c r="T64" s="198"/>
      <c r="U64" s="198"/>
    </row>
    <row r="65" spans="1:21" s="12" customFormat="1" x14ac:dyDescent="0.25">
      <c r="A65" s="201" t="s">
        <v>2414</v>
      </c>
      <c r="B65" s="60">
        <v>1.31</v>
      </c>
      <c r="C65" s="60">
        <v>28.34</v>
      </c>
      <c r="D65" s="60">
        <v>52.22</v>
      </c>
      <c r="E65" s="60">
        <v>6.86</v>
      </c>
      <c r="F65" s="60">
        <v>17.850000000000001</v>
      </c>
      <c r="G65" s="60">
        <v>51.63</v>
      </c>
      <c r="H65" s="60">
        <v>17.95</v>
      </c>
      <c r="I65" s="60">
        <v>3.96</v>
      </c>
      <c r="J65" s="60">
        <v>2.2400000000000002</v>
      </c>
      <c r="K65" s="60">
        <v>286.24</v>
      </c>
      <c r="L65" s="60">
        <v>45.69</v>
      </c>
      <c r="M65" s="60">
        <v>20.96</v>
      </c>
      <c r="N65" s="60">
        <v>373.7</v>
      </c>
      <c r="O65" s="60">
        <v>0</v>
      </c>
      <c r="P65" s="60">
        <v>0.51</v>
      </c>
      <c r="Q65" s="60">
        <v>9.52</v>
      </c>
      <c r="S65" s="198"/>
      <c r="T65" s="198"/>
      <c r="U65" s="198"/>
    </row>
    <row r="66" spans="1:21" s="12" customFormat="1" x14ac:dyDescent="0.25">
      <c r="A66" s="201" t="s">
        <v>2415</v>
      </c>
      <c r="B66" s="60">
        <v>1.96</v>
      </c>
      <c r="C66" s="60">
        <v>28.58</v>
      </c>
      <c r="D66" s="60">
        <v>51.7</v>
      </c>
      <c r="E66" s="60">
        <v>8.27</v>
      </c>
      <c r="F66" s="60">
        <v>21.6</v>
      </c>
      <c r="G66" s="60">
        <v>51.63</v>
      </c>
      <c r="H66" s="60">
        <v>17.95</v>
      </c>
      <c r="I66" s="60">
        <v>3.9</v>
      </c>
      <c r="J66" s="60">
        <v>1.34</v>
      </c>
      <c r="K66" s="60">
        <v>249.96</v>
      </c>
      <c r="L66" s="60">
        <v>44.97</v>
      </c>
      <c r="M66" s="60">
        <v>21.62</v>
      </c>
      <c r="N66" s="60">
        <v>382.9</v>
      </c>
      <c r="O66" s="60">
        <v>0</v>
      </c>
      <c r="P66" s="60">
        <v>0.49</v>
      </c>
      <c r="Q66" s="60">
        <v>9.51</v>
      </c>
      <c r="S66" s="198"/>
      <c r="T66" s="198"/>
      <c r="U66" s="198"/>
    </row>
    <row r="67" spans="1:21" s="12" customFormat="1" x14ac:dyDescent="0.25">
      <c r="A67" s="201" t="s">
        <v>2416</v>
      </c>
      <c r="B67" s="60">
        <v>1.95</v>
      </c>
      <c r="C67" s="60">
        <v>25.62</v>
      </c>
      <c r="D67" s="60">
        <v>46.05</v>
      </c>
      <c r="E67" s="60">
        <v>8.49</v>
      </c>
      <c r="F67" s="60">
        <v>23.06</v>
      </c>
      <c r="G67" s="60">
        <v>51.63</v>
      </c>
      <c r="H67" s="60">
        <v>17.95</v>
      </c>
      <c r="I67" s="60">
        <v>3.95</v>
      </c>
      <c r="J67" s="60">
        <v>1.42</v>
      </c>
      <c r="K67" s="60">
        <v>263.04000000000002</v>
      </c>
      <c r="L67" s="60">
        <v>44.55</v>
      </c>
      <c r="M67" s="60">
        <v>21.04</v>
      </c>
      <c r="N67" s="60">
        <v>402.6</v>
      </c>
      <c r="O67" s="60">
        <v>0</v>
      </c>
      <c r="P67" s="60">
        <v>0.47</v>
      </c>
      <c r="Q67" s="60">
        <v>9.52</v>
      </c>
      <c r="S67" s="198"/>
      <c r="T67" s="198"/>
      <c r="U67" s="198"/>
    </row>
    <row r="68" spans="1:21" s="12" customFormat="1" x14ac:dyDescent="0.25">
      <c r="A68" s="201" t="s">
        <v>2417</v>
      </c>
      <c r="B68" s="60">
        <v>1.82</v>
      </c>
      <c r="C68" s="60">
        <v>28.1</v>
      </c>
      <c r="D68" s="60">
        <v>50.98</v>
      </c>
      <c r="E68" s="60">
        <v>6.93</v>
      </c>
      <c r="F68" s="60">
        <v>15.87</v>
      </c>
      <c r="G68" s="60">
        <v>52.03</v>
      </c>
      <c r="H68" s="60">
        <v>17.7</v>
      </c>
      <c r="I68" s="60">
        <v>3.98</v>
      </c>
      <c r="J68" s="60">
        <v>1.64</v>
      </c>
      <c r="K68" s="60">
        <v>233.74</v>
      </c>
      <c r="L68" s="60">
        <v>44.26</v>
      </c>
      <c r="M68" s="60">
        <v>21.56</v>
      </c>
      <c r="N68" s="60">
        <v>386.4</v>
      </c>
      <c r="O68" s="60">
        <v>0</v>
      </c>
      <c r="P68" s="60">
        <v>0.48</v>
      </c>
      <c r="Q68" s="60">
        <v>9.52</v>
      </c>
      <c r="S68" s="198"/>
      <c r="T68" s="198"/>
      <c r="U68" s="198"/>
    </row>
    <row r="69" spans="1:21" s="12" customFormat="1" x14ac:dyDescent="0.25">
      <c r="A69" s="201" t="s">
        <v>2418</v>
      </c>
      <c r="B69" s="60">
        <v>2.27</v>
      </c>
      <c r="C69" s="60">
        <v>27.95</v>
      </c>
      <c r="D69" s="60">
        <v>50.03</v>
      </c>
      <c r="E69" s="60">
        <v>6.8</v>
      </c>
      <c r="F69" s="60">
        <v>16.670000000000002</v>
      </c>
      <c r="G69" s="60">
        <v>52.15</v>
      </c>
      <c r="H69" s="60">
        <v>17.62</v>
      </c>
      <c r="I69" s="60">
        <v>4.0199999999999996</v>
      </c>
      <c r="J69" s="60">
        <v>1.67</v>
      </c>
      <c r="K69" s="60">
        <v>277.85000000000002</v>
      </c>
      <c r="L69" s="60">
        <v>43.94</v>
      </c>
      <c r="M69" s="60">
        <v>22.17</v>
      </c>
      <c r="N69" s="60">
        <v>364</v>
      </c>
      <c r="O69" s="60">
        <v>0</v>
      </c>
      <c r="P69" s="60">
        <v>0.46</v>
      </c>
      <c r="Q69" s="60">
        <v>9.51</v>
      </c>
      <c r="S69" s="198"/>
      <c r="T69" s="198"/>
      <c r="U69" s="198"/>
    </row>
    <row r="70" spans="1:21" s="12" customFormat="1" x14ac:dyDescent="0.25">
      <c r="A70" s="201" t="s">
        <v>2419</v>
      </c>
      <c r="B70" s="60">
        <v>1.63</v>
      </c>
      <c r="C70" s="60">
        <v>27.93</v>
      </c>
      <c r="D70" s="60">
        <v>50.94</v>
      </c>
      <c r="E70" s="60">
        <v>5.59</v>
      </c>
      <c r="F70" s="60">
        <v>12.99</v>
      </c>
      <c r="G70" s="60">
        <v>52.15</v>
      </c>
      <c r="H70" s="60">
        <v>17.62</v>
      </c>
      <c r="I70" s="60">
        <v>4.01</v>
      </c>
      <c r="J70" s="60">
        <v>1.81</v>
      </c>
      <c r="K70" s="60">
        <v>276.83999999999997</v>
      </c>
      <c r="L70" s="60">
        <v>44.25</v>
      </c>
      <c r="M70" s="60">
        <v>21.53</v>
      </c>
      <c r="N70" s="60">
        <v>223.7</v>
      </c>
      <c r="O70" s="60">
        <v>0</v>
      </c>
      <c r="P70" s="60">
        <v>0.47</v>
      </c>
      <c r="Q70" s="60">
        <v>9.51</v>
      </c>
      <c r="S70" s="198"/>
      <c r="T70" s="198"/>
      <c r="U70" s="198"/>
    </row>
    <row r="71" spans="1:21" s="12" customFormat="1" x14ac:dyDescent="0.25">
      <c r="A71" s="201" t="s">
        <v>2420</v>
      </c>
      <c r="B71" s="60">
        <v>1.02</v>
      </c>
      <c r="C71" s="60">
        <v>24.82</v>
      </c>
      <c r="D71" s="60">
        <v>45.93</v>
      </c>
      <c r="E71" s="60">
        <v>7.07</v>
      </c>
      <c r="F71" s="60">
        <v>17.72</v>
      </c>
      <c r="G71" s="60">
        <v>52.15</v>
      </c>
      <c r="H71" s="60">
        <v>17.62</v>
      </c>
      <c r="I71" s="60">
        <v>4.1399999999999997</v>
      </c>
      <c r="J71" s="60">
        <v>1.58</v>
      </c>
      <c r="K71" s="60">
        <v>252.8</v>
      </c>
      <c r="L71" s="60">
        <v>43.43</v>
      </c>
      <c r="M71" s="60">
        <v>21.76</v>
      </c>
      <c r="N71" s="60">
        <v>193.4</v>
      </c>
      <c r="O71" s="60">
        <v>0</v>
      </c>
      <c r="P71" s="60">
        <v>0.43</v>
      </c>
      <c r="Q71" s="60">
        <v>9.52</v>
      </c>
      <c r="S71" s="198"/>
      <c r="T71" s="198"/>
      <c r="U71" s="198"/>
    </row>
    <row r="72" spans="1:21" s="12" customFormat="1" x14ac:dyDescent="0.25">
      <c r="A72" s="201" t="s">
        <v>2421</v>
      </c>
      <c r="B72" s="60">
        <v>1.32</v>
      </c>
      <c r="C72" s="60">
        <v>25.52</v>
      </c>
      <c r="D72" s="60">
        <v>46.82</v>
      </c>
      <c r="E72" s="60">
        <v>3.72</v>
      </c>
      <c r="F72" s="60">
        <v>21.26</v>
      </c>
      <c r="G72" s="60">
        <v>51.58</v>
      </c>
      <c r="H72" s="60">
        <v>17.670000000000002</v>
      </c>
      <c r="I72" s="60">
        <v>3.88</v>
      </c>
      <c r="J72" s="60">
        <v>1.36</v>
      </c>
      <c r="K72" s="60">
        <v>255.74</v>
      </c>
      <c r="L72" s="60">
        <v>43.47</v>
      </c>
      <c r="M72" s="60">
        <v>21.15</v>
      </c>
      <c r="N72" s="60">
        <v>202.4</v>
      </c>
      <c r="O72" s="60">
        <v>0</v>
      </c>
      <c r="P72" s="60">
        <v>0.42</v>
      </c>
      <c r="Q72" s="60">
        <v>9.5299999999999994</v>
      </c>
      <c r="S72" s="198"/>
      <c r="T72" s="198"/>
      <c r="U72" s="198"/>
    </row>
    <row r="73" spans="1:21" s="12" customFormat="1" x14ac:dyDescent="0.25">
      <c r="A73" s="201" t="s">
        <v>2422</v>
      </c>
      <c r="B73" s="60">
        <v>1.45</v>
      </c>
      <c r="C73" s="60">
        <v>27.61</v>
      </c>
      <c r="D73" s="60">
        <v>50.63</v>
      </c>
      <c r="E73" s="60">
        <v>5.0199999999999996</v>
      </c>
      <c r="F73" s="60">
        <v>16.829999999999998</v>
      </c>
      <c r="G73" s="60">
        <v>51.41</v>
      </c>
      <c r="H73" s="60">
        <v>17.690000000000001</v>
      </c>
      <c r="I73" s="60">
        <v>4.17</v>
      </c>
      <c r="J73" s="60">
        <v>1.4</v>
      </c>
      <c r="K73" s="60">
        <v>262.56</v>
      </c>
      <c r="L73" s="60">
        <v>43.18</v>
      </c>
      <c r="M73" s="60">
        <v>21.81</v>
      </c>
      <c r="N73" s="60">
        <v>163.69999999999999</v>
      </c>
      <c r="O73" s="60">
        <v>0</v>
      </c>
      <c r="P73" s="60">
        <v>0.46</v>
      </c>
      <c r="Q73" s="60">
        <v>9.52</v>
      </c>
      <c r="S73" s="198"/>
      <c r="T73" s="198"/>
      <c r="U73" s="198"/>
    </row>
    <row r="74" spans="1:21" s="12" customFormat="1" x14ac:dyDescent="0.25">
      <c r="A74" s="201" t="s">
        <v>2423</v>
      </c>
      <c r="B74" s="60">
        <v>1.26</v>
      </c>
      <c r="C74" s="60">
        <v>29.88</v>
      </c>
      <c r="D74" s="60">
        <v>55.27</v>
      </c>
      <c r="E74" s="60">
        <v>3.82</v>
      </c>
      <c r="F74" s="60">
        <v>9.86</v>
      </c>
      <c r="G74" s="60">
        <v>51.41</v>
      </c>
      <c r="H74" s="60">
        <v>17.690000000000001</v>
      </c>
      <c r="I74" s="60">
        <v>3.89</v>
      </c>
      <c r="J74" s="60">
        <v>2.2599999999999998</v>
      </c>
      <c r="K74" s="60">
        <v>275.01</v>
      </c>
      <c r="L74" s="60">
        <v>43.34</v>
      </c>
      <c r="M74" s="60">
        <v>18.579999999999998</v>
      </c>
      <c r="N74" s="60">
        <v>150.80000000000001</v>
      </c>
      <c r="O74" s="60">
        <v>0</v>
      </c>
      <c r="P74" s="60">
        <v>0.44</v>
      </c>
      <c r="Q74" s="60">
        <v>9.51</v>
      </c>
      <c r="S74" s="198"/>
      <c r="T74" s="198"/>
      <c r="U74" s="198"/>
    </row>
    <row r="75" spans="1:21" s="12" customFormat="1" x14ac:dyDescent="0.25">
      <c r="A75" s="201" t="s">
        <v>2424</v>
      </c>
      <c r="B75" s="60">
        <v>1.61</v>
      </c>
      <c r="C75" s="60">
        <v>28.59</v>
      </c>
      <c r="D75" s="60">
        <v>52.24</v>
      </c>
      <c r="E75" s="60">
        <v>5.4</v>
      </c>
      <c r="F75" s="60">
        <v>18.350000000000001</v>
      </c>
      <c r="G75" s="60">
        <v>51.41</v>
      </c>
      <c r="H75" s="60">
        <v>17.690000000000001</v>
      </c>
      <c r="I75" s="60">
        <v>3.8</v>
      </c>
      <c r="J75" s="60">
        <v>1.1200000000000001</v>
      </c>
      <c r="K75" s="60">
        <v>274.88</v>
      </c>
      <c r="L75" s="60">
        <v>43.04</v>
      </c>
      <c r="M75" s="60">
        <v>18.82</v>
      </c>
      <c r="N75" s="60">
        <v>127.6</v>
      </c>
      <c r="O75" s="60">
        <v>0</v>
      </c>
      <c r="P75" s="60">
        <v>0.44</v>
      </c>
      <c r="Q75" s="60">
        <v>9.51</v>
      </c>
      <c r="S75" s="198"/>
      <c r="T75" s="198"/>
      <c r="U75" s="198"/>
    </row>
    <row r="76" spans="1:21" s="12" customFormat="1" x14ac:dyDescent="0.25">
      <c r="A76" s="201" t="s">
        <v>2425</v>
      </c>
      <c r="B76" s="60">
        <v>1.85</v>
      </c>
      <c r="C76" s="60">
        <v>29.8</v>
      </c>
      <c r="D76" s="60">
        <v>54.2</v>
      </c>
      <c r="E76" s="60">
        <v>7.9</v>
      </c>
      <c r="F76" s="60">
        <v>23.47</v>
      </c>
      <c r="G76" s="60">
        <v>52.42</v>
      </c>
      <c r="H76" s="60">
        <v>16.7</v>
      </c>
      <c r="I76" s="60">
        <v>3.97</v>
      </c>
      <c r="J76" s="60">
        <v>1.27</v>
      </c>
      <c r="K76" s="60">
        <v>262.33999999999997</v>
      </c>
      <c r="L76" s="60">
        <v>42.85</v>
      </c>
      <c r="M76" s="60">
        <v>19.11</v>
      </c>
      <c r="N76" s="60">
        <v>117.4</v>
      </c>
      <c r="O76" s="60">
        <v>0</v>
      </c>
      <c r="P76" s="60">
        <v>0.46</v>
      </c>
      <c r="Q76" s="60">
        <v>9.51</v>
      </c>
      <c r="S76" s="198"/>
      <c r="T76" s="198"/>
      <c r="U76" s="198"/>
    </row>
    <row r="77" spans="1:21" s="12" customFormat="1" x14ac:dyDescent="0.25">
      <c r="A77" s="201" t="s">
        <v>2426</v>
      </c>
      <c r="B77" s="60">
        <v>2.66</v>
      </c>
      <c r="C77" s="60">
        <v>28.52</v>
      </c>
      <c r="D77" s="60">
        <v>50.5</v>
      </c>
      <c r="E77" s="60">
        <v>10.88</v>
      </c>
      <c r="F77" s="60">
        <v>27.63</v>
      </c>
      <c r="G77" s="60">
        <v>52.7</v>
      </c>
      <c r="H77" s="60">
        <v>16.420000000000002</v>
      </c>
      <c r="I77" s="60">
        <v>4.1500000000000004</v>
      </c>
      <c r="J77" s="60">
        <v>1.41</v>
      </c>
      <c r="K77" s="60">
        <v>252.97</v>
      </c>
      <c r="L77" s="60">
        <v>42.53</v>
      </c>
      <c r="M77" s="60">
        <v>18.98</v>
      </c>
      <c r="N77" s="60">
        <v>103.9</v>
      </c>
      <c r="O77" s="60">
        <v>0</v>
      </c>
      <c r="P77" s="60">
        <v>0.46</v>
      </c>
      <c r="Q77" s="60">
        <v>9.49</v>
      </c>
      <c r="S77" s="198"/>
      <c r="T77" s="198"/>
      <c r="U77" s="198"/>
    </row>
    <row r="78" spans="1:21" s="12" customFormat="1" x14ac:dyDescent="0.25">
      <c r="A78" s="201" t="s">
        <v>2427</v>
      </c>
      <c r="B78" s="60">
        <v>3.5</v>
      </c>
      <c r="C78" s="60">
        <v>31.88</v>
      </c>
      <c r="D78" s="60">
        <v>55.66</v>
      </c>
      <c r="E78" s="60">
        <v>10.34</v>
      </c>
      <c r="F78" s="60">
        <v>25.16</v>
      </c>
      <c r="G78" s="60">
        <v>52.7</v>
      </c>
      <c r="H78" s="60">
        <v>16.420000000000002</v>
      </c>
      <c r="I78" s="60">
        <v>4.03</v>
      </c>
      <c r="J78" s="60">
        <v>1.32</v>
      </c>
      <c r="K78" s="60">
        <v>262.99</v>
      </c>
      <c r="L78" s="60">
        <v>42.24</v>
      </c>
      <c r="M78" s="60">
        <v>20.32</v>
      </c>
      <c r="N78" s="60">
        <v>94.8</v>
      </c>
      <c r="O78" s="60">
        <v>0</v>
      </c>
      <c r="P78" s="60">
        <v>0.56000000000000005</v>
      </c>
      <c r="Q78" s="60">
        <v>9.48</v>
      </c>
      <c r="S78" s="198"/>
      <c r="T78" s="198"/>
      <c r="U78" s="198"/>
    </row>
    <row r="79" spans="1:21" s="12" customFormat="1" x14ac:dyDescent="0.25">
      <c r="A79" s="201" t="s">
        <v>2428</v>
      </c>
      <c r="B79" s="60">
        <v>3.7</v>
      </c>
      <c r="C79" s="60">
        <v>31.37</v>
      </c>
      <c r="D79" s="60">
        <v>54.37</v>
      </c>
      <c r="E79" s="60">
        <v>13.55</v>
      </c>
      <c r="F79" s="60">
        <v>29.71</v>
      </c>
      <c r="G79" s="60">
        <v>52.7</v>
      </c>
      <c r="H79" s="60">
        <v>16.420000000000002</v>
      </c>
      <c r="I79" s="60">
        <v>3.97</v>
      </c>
      <c r="J79" s="60">
        <v>1.48</v>
      </c>
      <c r="K79" s="60">
        <v>219.83</v>
      </c>
      <c r="L79" s="60">
        <v>41.9</v>
      </c>
      <c r="M79" s="60">
        <v>21.38</v>
      </c>
      <c r="N79" s="60">
        <v>83.4</v>
      </c>
      <c r="O79" s="60">
        <v>0</v>
      </c>
      <c r="P79" s="60">
        <v>0.49</v>
      </c>
      <c r="Q79" s="60">
        <v>9.48</v>
      </c>
      <c r="S79" s="198"/>
      <c r="T79" s="198"/>
      <c r="U79" s="198"/>
    </row>
    <row r="80" spans="1:21" s="12" customFormat="1" x14ac:dyDescent="0.25">
      <c r="A80" s="201" t="s">
        <v>2429</v>
      </c>
      <c r="B80" s="60">
        <v>1.1000000000000001</v>
      </c>
      <c r="C80" s="60">
        <v>28.87</v>
      </c>
      <c r="D80" s="60">
        <v>53.57</v>
      </c>
      <c r="E80" s="60">
        <v>13.01</v>
      </c>
      <c r="F80" s="60">
        <v>28.5</v>
      </c>
      <c r="G80" s="60">
        <v>52.7</v>
      </c>
      <c r="H80" s="60">
        <v>13.57</v>
      </c>
      <c r="I80" s="60">
        <v>3.92</v>
      </c>
      <c r="J80" s="60">
        <v>1.57</v>
      </c>
      <c r="K80" s="60">
        <v>227.52</v>
      </c>
      <c r="L80" s="60">
        <v>41.36</v>
      </c>
      <c r="M80" s="60">
        <v>22.5</v>
      </c>
      <c r="N80" s="60">
        <v>68.2</v>
      </c>
      <c r="O80" s="60">
        <v>0</v>
      </c>
      <c r="P80" s="60">
        <v>0.51</v>
      </c>
      <c r="Q80" s="60">
        <v>9.48</v>
      </c>
      <c r="S80" s="198"/>
      <c r="T80" s="198"/>
      <c r="U80" s="198"/>
    </row>
    <row r="81" spans="1:26" s="12" customFormat="1" x14ac:dyDescent="0.25">
      <c r="A81" s="201" t="s">
        <v>2430</v>
      </c>
      <c r="B81" s="60">
        <v>1.32</v>
      </c>
      <c r="C81" s="60">
        <v>30.17</v>
      </c>
      <c r="D81" s="60">
        <v>55.72</v>
      </c>
      <c r="E81" s="60">
        <v>12.56</v>
      </c>
      <c r="F81" s="60">
        <v>27.33</v>
      </c>
      <c r="G81" s="60">
        <v>52.7</v>
      </c>
      <c r="H81" s="60">
        <v>12.75</v>
      </c>
      <c r="I81" s="60">
        <v>3.94</v>
      </c>
      <c r="J81" s="60">
        <v>1.41</v>
      </c>
      <c r="K81" s="60">
        <v>239.16</v>
      </c>
      <c r="L81" s="60">
        <v>40.880000000000003</v>
      </c>
      <c r="M81" s="60">
        <v>23.13</v>
      </c>
      <c r="N81" s="60">
        <v>57</v>
      </c>
      <c r="O81" s="60">
        <v>0</v>
      </c>
      <c r="P81" s="60">
        <v>0.63</v>
      </c>
      <c r="Q81" s="60">
        <v>9.4700000000000006</v>
      </c>
      <c r="S81" s="198"/>
      <c r="T81" s="198"/>
      <c r="U81" s="198"/>
    </row>
    <row r="82" spans="1:26" s="12" customFormat="1" x14ac:dyDescent="0.25">
      <c r="A82" s="201" t="s">
        <v>2431</v>
      </c>
      <c r="B82" s="60">
        <v>2.6</v>
      </c>
      <c r="C82" s="60">
        <v>40.51</v>
      </c>
      <c r="D82" s="60">
        <v>73.55</v>
      </c>
      <c r="E82" s="60">
        <v>12.21</v>
      </c>
      <c r="F82" s="60">
        <v>25.15</v>
      </c>
      <c r="G82" s="60">
        <v>52.7</v>
      </c>
      <c r="H82" s="60">
        <v>12.75</v>
      </c>
      <c r="I82" s="60">
        <v>4.03</v>
      </c>
      <c r="J82" s="60">
        <v>1.33</v>
      </c>
      <c r="K82" s="60">
        <v>257.20999999999998</v>
      </c>
      <c r="L82" s="60">
        <v>40.47</v>
      </c>
      <c r="M82" s="60">
        <v>23.22</v>
      </c>
      <c r="N82" s="60">
        <v>50.5</v>
      </c>
      <c r="O82" s="60">
        <v>0</v>
      </c>
      <c r="P82" s="60">
        <v>0.91</v>
      </c>
      <c r="Q82" s="60">
        <v>9.48</v>
      </c>
      <c r="S82" s="198"/>
      <c r="T82" s="198"/>
      <c r="U82" s="198"/>
    </row>
    <row r="83" spans="1:26" s="12" customFormat="1" x14ac:dyDescent="0.25">
      <c r="A83" s="201" t="s">
        <v>2432</v>
      </c>
      <c r="B83" s="60">
        <v>4.78</v>
      </c>
      <c r="C83" s="60">
        <v>42.5</v>
      </c>
      <c r="D83" s="60">
        <v>74.02</v>
      </c>
      <c r="E83" s="60">
        <v>12.25</v>
      </c>
      <c r="F83" s="60">
        <v>22.16</v>
      </c>
      <c r="G83" s="60">
        <v>52.7</v>
      </c>
      <c r="H83" s="60">
        <v>12.75</v>
      </c>
      <c r="I83" s="60">
        <v>3.94</v>
      </c>
      <c r="J83" s="60">
        <v>1.2</v>
      </c>
      <c r="K83" s="60">
        <v>263.56</v>
      </c>
      <c r="L83" s="60">
        <v>40.19</v>
      </c>
      <c r="M83" s="60">
        <v>23.38</v>
      </c>
      <c r="N83" s="60">
        <v>48.8</v>
      </c>
      <c r="O83" s="60">
        <v>0</v>
      </c>
      <c r="P83" s="60">
        <v>1.01</v>
      </c>
      <c r="Q83" s="60">
        <v>9.4700000000000006</v>
      </c>
      <c r="S83" s="198"/>
      <c r="T83" s="198"/>
      <c r="U83" s="198"/>
    </row>
    <row r="84" spans="1:26" s="12" customFormat="1" x14ac:dyDescent="0.25">
      <c r="A84" s="201" t="s">
        <v>2433</v>
      </c>
      <c r="B84" s="60">
        <v>10.98</v>
      </c>
      <c r="C84" s="60">
        <v>63.34</v>
      </c>
      <c r="D84" s="60">
        <v>104.37</v>
      </c>
      <c r="E84" s="60">
        <v>11.57</v>
      </c>
      <c r="F84" s="60">
        <v>16.82</v>
      </c>
      <c r="G84" s="60">
        <v>59.45</v>
      </c>
      <c r="H84" s="60">
        <v>18.66</v>
      </c>
      <c r="I84" s="60">
        <v>3.85</v>
      </c>
      <c r="J84" s="60">
        <v>1.27</v>
      </c>
      <c r="K84" s="60">
        <v>272.2</v>
      </c>
      <c r="L84" s="60">
        <v>39.71</v>
      </c>
      <c r="M84" s="60">
        <v>23.42</v>
      </c>
      <c r="N84" s="60">
        <v>48.9</v>
      </c>
      <c r="O84" s="60">
        <v>0</v>
      </c>
      <c r="P84" s="60">
        <v>1.34</v>
      </c>
      <c r="Q84" s="60">
        <v>9.4600000000000009</v>
      </c>
      <c r="S84" s="198"/>
      <c r="T84" s="198"/>
      <c r="U84" s="198"/>
    </row>
    <row r="85" spans="1:26" s="12" customFormat="1" x14ac:dyDescent="0.25">
      <c r="A85" s="201" t="s">
        <v>2434</v>
      </c>
      <c r="B85" s="60">
        <v>21.25</v>
      </c>
      <c r="C85" s="60">
        <v>80.489999999999995</v>
      </c>
      <c r="D85" s="60">
        <v>121.45</v>
      </c>
      <c r="E85" s="60">
        <v>12.29</v>
      </c>
      <c r="F85" s="60">
        <v>12.99</v>
      </c>
      <c r="G85" s="60">
        <v>61.37</v>
      </c>
      <c r="H85" s="60">
        <v>20.350000000000001</v>
      </c>
      <c r="I85" s="60">
        <v>4.0199999999999996</v>
      </c>
      <c r="J85" s="60">
        <v>1.07</v>
      </c>
      <c r="K85" s="60">
        <v>281.62</v>
      </c>
      <c r="L85" s="60">
        <v>38.89</v>
      </c>
      <c r="M85" s="60">
        <v>24.21</v>
      </c>
      <c r="N85" s="60">
        <v>49.2</v>
      </c>
      <c r="O85" s="60">
        <v>0</v>
      </c>
      <c r="P85" s="60">
        <v>1.6</v>
      </c>
      <c r="Q85" s="60">
        <v>9.44</v>
      </c>
      <c r="S85" s="198"/>
      <c r="T85" s="198"/>
      <c r="U85" s="198"/>
    </row>
    <row r="86" spans="1:26" s="12" customFormat="1" x14ac:dyDescent="0.25">
      <c r="A86" s="201" t="s">
        <v>2435</v>
      </c>
      <c r="B86" s="60">
        <v>44.39</v>
      </c>
      <c r="C86" s="60">
        <v>104.23</v>
      </c>
      <c r="D86" s="60">
        <v>131.36000000000001</v>
      </c>
      <c r="E86" s="60">
        <v>12.79</v>
      </c>
      <c r="F86" s="60">
        <v>10.46</v>
      </c>
      <c r="G86" s="60">
        <v>61.37</v>
      </c>
      <c r="H86" s="60">
        <v>20.350000000000001</v>
      </c>
      <c r="I86" s="60">
        <v>3.96</v>
      </c>
      <c r="J86" s="60">
        <v>0.83</v>
      </c>
      <c r="K86" s="60">
        <v>326.33</v>
      </c>
      <c r="L86" s="60">
        <v>38.07</v>
      </c>
      <c r="M86" s="60">
        <v>26.08</v>
      </c>
      <c r="N86" s="60">
        <v>49.2</v>
      </c>
      <c r="O86" s="60">
        <v>0</v>
      </c>
      <c r="P86" s="60">
        <v>1.79</v>
      </c>
      <c r="Q86" s="60">
        <v>9.44</v>
      </c>
      <c r="S86" s="198"/>
      <c r="T86" s="198"/>
      <c r="U86" s="198"/>
    </row>
    <row r="87" spans="1:26" s="12" customFormat="1" x14ac:dyDescent="0.25">
      <c r="A87" s="201" t="s">
        <v>2436</v>
      </c>
      <c r="B87" s="60">
        <v>52.25</v>
      </c>
      <c r="C87" s="60">
        <v>110.98</v>
      </c>
      <c r="D87" s="60">
        <v>132.22</v>
      </c>
      <c r="E87" s="60">
        <v>11.62</v>
      </c>
      <c r="F87" s="60">
        <v>8.57</v>
      </c>
      <c r="G87" s="60">
        <v>61.37</v>
      </c>
      <c r="H87" s="60">
        <v>20.350000000000001</v>
      </c>
      <c r="I87" s="60">
        <v>4.03</v>
      </c>
      <c r="J87" s="60">
        <v>0.42</v>
      </c>
      <c r="K87" s="60">
        <v>266.63</v>
      </c>
      <c r="L87" s="60">
        <v>37.380000000000003</v>
      </c>
      <c r="M87" s="60">
        <v>29.3</v>
      </c>
      <c r="N87" s="60">
        <v>49.1</v>
      </c>
      <c r="O87" s="60">
        <v>0</v>
      </c>
      <c r="P87" s="60">
        <v>2.31</v>
      </c>
      <c r="Q87" s="60">
        <v>9.42</v>
      </c>
      <c r="S87" s="198"/>
      <c r="T87" s="198"/>
      <c r="U87" s="198"/>
    </row>
    <row r="88" spans="1:26" s="12" customFormat="1" x14ac:dyDescent="0.25">
      <c r="A88" s="201" t="s">
        <v>2437</v>
      </c>
      <c r="B88" s="60">
        <v>39.380000000000003</v>
      </c>
      <c r="C88" s="60">
        <v>96.99</v>
      </c>
      <c r="D88" s="60">
        <v>125.19</v>
      </c>
      <c r="E88" s="60">
        <v>12.13</v>
      </c>
      <c r="F88" s="60">
        <v>8.3800000000000008</v>
      </c>
      <c r="G88" s="60">
        <v>66.22</v>
      </c>
      <c r="H88" s="60">
        <v>21.43</v>
      </c>
      <c r="I88" s="60">
        <v>4.03</v>
      </c>
      <c r="J88" s="60">
        <v>0.64</v>
      </c>
      <c r="K88" s="60">
        <v>265.52</v>
      </c>
      <c r="L88" s="60">
        <v>36.86</v>
      </c>
      <c r="M88" s="60">
        <v>29.55</v>
      </c>
      <c r="N88" s="60">
        <v>49.1</v>
      </c>
      <c r="O88" s="60">
        <v>0</v>
      </c>
      <c r="P88" s="60">
        <v>2.4700000000000002</v>
      </c>
      <c r="Q88" s="60">
        <v>9.4499999999999993</v>
      </c>
      <c r="S88" s="198"/>
      <c r="T88" s="198"/>
      <c r="U88" s="198"/>
    </row>
    <row r="89" spans="1:26" s="12" customFormat="1" x14ac:dyDescent="0.25">
      <c r="A89" s="201" t="s">
        <v>2438</v>
      </c>
      <c r="B89" s="60">
        <v>46.21</v>
      </c>
      <c r="C89" s="60">
        <v>104.41</v>
      </c>
      <c r="D89" s="60">
        <v>128.93</v>
      </c>
      <c r="E89" s="60">
        <v>17.2</v>
      </c>
      <c r="F89" s="60">
        <v>9.98</v>
      </c>
      <c r="G89" s="60">
        <v>67.599999999999994</v>
      </c>
      <c r="H89" s="60">
        <v>21.75</v>
      </c>
      <c r="I89" s="60">
        <v>3.92</v>
      </c>
      <c r="J89" s="60">
        <v>1.29</v>
      </c>
      <c r="K89" s="60">
        <v>240.58</v>
      </c>
      <c r="L89" s="60">
        <v>36.799999999999997</v>
      </c>
      <c r="M89" s="60">
        <v>25.4</v>
      </c>
      <c r="N89" s="60">
        <v>48.9</v>
      </c>
      <c r="O89" s="60">
        <v>0</v>
      </c>
      <c r="P89" s="60">
        <v>2.2999999999999998</v>
      </c>
      <c r="Q89" s="60">
        <v>9.44</v>
      </c>
      <c r="S89" s="198"/>
      <c r="T89" s="198"/>
      <c r="U89" s="198"/>
    </row>
    <row r="90" spans="1:26" s="12" customFormat="1" x14ac:dyDescent="0.25">
      <c r="A90" s="201" t="s">
        <v>2439</v>
      </c>
      <c r="B90" s="60">
        <v>140.88</v>
      </c>
      <c r="C90" s="60">
        <v>183.25</v>
      </c>
      <c r="D90" s="60">
        <v>134.5</v>
      </c>
      <c r="E90" s="60">
        <v>17.09</v>
      </c>
      <c r="F90" s="60">
        <v>7.44</v>
      </c>
      <c r="G90" s="60">
        <v>67.599999999999994</v>
      </c>
      <c r="H90" s="60">
        <v>21.75</v>
      </c>
      <c r="I90" s="60">
        <v>3.96</v>
      </c>
      <c r="J90" s="60">
        <v>1.25</v>
      </c>
      <c r="K90" s="60">
        <v>325.04000000000002</v>
      </c>
      <c r="L90" s="60">
        <v>36.75</v>
      </c>
      <c r="M90" s="60">
        <v>26.82</v>
      </c>
      <c r="N90" s="60">
        <v>49.2</v>
      </c>
      <c r="O90" s="60">
        <v>0</v>
      </c>
      <c r="P90" s="60">
        <v>3.58</v>
      </c>
      <c r="Q90" s="60">
        <v>9.4499999999999993</v>
      </c>
      <c r="S90" s="198"/>
      <c r="T90" s="198"/>
      <c r="U90" s="198"/>
    </row>
    <row r="91" spans="1:26" s="12" customFormat="1" x14ac:dyDescent="0.25">
      <c r="A91" s="201" t="s">
        <v>2440</v>
      </c>
      <c r="B91" s="60">
        <v>177.07</v>
      </c>
      <c r="C91" s="60">
        <v>208.86</v>
      </c>
      <c r="D91" s="60">
        <v>127.97</v>
      </c>
      <c r="E91" s="60">
        <v>12.54</v>
      </c>
      <c r="F91" s="60">
        <v>6.2</v>
      </c>
      <c r="G91" s="60">
        <v>67.599999999999994</v>
      </c>
      <c r="H91" s="60">
        <v>21.75</v>
      </c>
      <c r="I91" s="60">
        <v>4.13</v>
      </c>
      <c r="J91" s="60">
        <v>0.94</v>
      </c>
      <c r="K91" s="60">
        <v>339.68</v>
      </c>
      <c r="L91" s="60">
        <v>36.03</v>
      </c>
      <c r="M91" s="60">
        <v>32.86</v>
      </c>
      <c r="N91" s="60">
        <v>49.5</v>
      </c>
      <c r="O91" s="60">
        <v>0</v>
      </c>
      <c r="P91" s="60">
        <v>4.54</v>
      </c>
      <c r="Q91" s="60">
        <v>9.42</v>
      </c>
      <c r="S91" s="198"/>
      <c r="T91" s="198"/>
      <c r="U91" s="198"/>
    </row>
    <row r="92" spans="1:26" s="12" customFormat="1" x14ac:dyDescent="0.25">
      <c r="A92" s="201" t="s">
        <v>2441</v>
      </c>
      <c r="B92" s="60">
        <v>232.23</v>
      </c>
      <c r="C92" s="60">
        <v>256.63</v>
      </c>
      <c r="D92" s="60">
        <v>134.75</v>
      </c>
      <c r="E92" s="60">
        <v>11.9</v>
      </c>
      <c r="F92" s="60">
        <v>6.08</v>
      </c>
      <c r="G92" s="60">
        <v>81.709999999999994</v>
      </c>
      <c r="H92" s="60">
        <v>23.97</v>
      </c>
      <c r="I92" s="60">
        <v>3.99</v>
      </c>
      <c r="J92" s="60">
        <v>1.26</v>
      </c>
      <c r="K92" s="60">
        <v>231.18</v>
      </c>
      <c r="L92" s="60">
        <v>35.65</v>
      </c>
      <c r="M92" s="60">
        <v>32.86</v>
      </c>
      <c r="N92" s="60">
        <v>48.7</v>
      </c>
      <c r="O92" s="60">
        <v>0</v>
      </c>
      <c r="P92" s="60">
        <v>3.28</v>
      </c>
      <c r="Q92" s="60">
        <v>9.43</v>
      </c>
      <c r="S92" s="198"/>
      <c r="T92" s="198"/>
      <c r="U92" s="198"/>
    </row>
    <row r="93" spans="1:26" s="12" customFormat="1" x14ac:dyDescent="0.25">
      <c r="A93" s="201" t="s">
        <v>2442</v>
      </c>
      <c r="B93" s="60">
        <v>187.95</v>
      </c>
      <c r="C93" s="60">
        <v>219.41</v>
      </c>
      <c r="D93" s="60">
        <v>131.47</v>
      </c>
      <c r="E93" s="60">
        <v>12.36</v>
      </c>
      <c r="F93" s="60">
        <v>5.96</v>
      </c>
      <c r="G93" s="60">
        <v>85.73</v>
      </c>
      <c r="H93" s="60">
        <v>24.61</v>
      </c>
      <c r="I93" s="60">
        <v>4.03</v>
      </c>
      <c r="J93" s="60">
        <v>1.37</v>
      </c>
      <c r="K93" s="60">
        <v>269.29000000000002</v>
      </c>
      <c r="L93" s="60">
        <v>35.81</v>
      </c>
      <c r="M93" s="60">
        <v>31.93</v>
      </c>
      <c r="N93" s="60">
        <v>49</v>
      </c>
      <c r="O93" s="60">
        <v>0</v>
      </c>
      <c r="P93" s="60">
        <v>3.7</v>
      </c>
      <c r="Q93" s="60">
        <v>9.4499999999999993</v>
      </c>
      <c r="S93" s="198"/>
      <c r="T93" s="198"/>
      <c r="U93" s="198"/>
    </row>
    <row r="94" spans="1:26" s="12" customFormat="1" x14ac:dyDescent="0.25">
      <c r="A94" s="201" t="s">
        <v>2443</v>
      </c>
      <c r="B94" s="60">
        <v>131.68</v>
      </c>
      <c r="C94" s="60">
        <v>168.48</v>
      </c>
      <c r="D94" s="60">
        <v>120.35</v>
      </c>
      <c r="E94" s="60">
        <v>12.29</v>
      </c>
      <c r="F94" s="60">
        <v>5.87</v>
      </c>
      <c r="G94" s="60">
        <v>85.73</v>
      </c>
      <c r="H94" s="60">
        <v>24.61</v>
      </c>
      <c r="I94" s="60">
        <v>4</v>
      </c>
      <c r="J94" s="60">
        <v>1.1599999999999999</v>
      </c>
      <c r="K94" s="60">
        <v>288.98</v>
      </c>
      <c r="L94" s="60">
        <v>35.24</v>
      </c>
      <c r="M94" s="60">
        <v>34.9</v>
      </c>
      <c r="N94" s="60">
        <v>49.4</v>
      </c>
      <c r="O94" s="60">
        <v>0</v>
      </c>
      <c r="P94" s="60">
        <v>3.5</v>
      </c>
      <c r="Q94" s="60">
        <v>9.51</v>
      </c>
      <c r="S94" s="198"/>
      <c r="T94" s="198"/>
      <c r="U94" s="198"/>
    </row>
    <row r="95" spans="1:26" s="12" customFormat="1" x14ac:dyDescent="0.25">
      <c r="A95" s="201" t="s">
        <v>2444</v>
      </c>
      <c r="B95" s="60">
        <v>139.16999999999999</v>
      </c>
      <c r="C95" s="60">
        <v>176.2</v>
      </c>
      <c r="D95" s="60">
        <v>123.65</v>
      </c>
      <c r="E95" s="60">
        <v>10.34</v>
      </c>
      <c r="F95" s="60">
        <v>5.68</v>
      </c>
      <c r="G95" s="60">
        <v>85.73</v>
      </c>
      <c r="H95" s="60">
        <v>24.61</v>
      </c>
      <c r="I95" s="60">
        <v>3.91</v>
      </c>
      <c r="J95" s="60">
        <v>1.72</v>
      </c>
      <c r="K95" s="60">
        <v>282.51</v>
      </c>
      <c r="L95" s="60">
        <v>34.56</v>
      </c>
      <c r="M95" s="60">
        <v>36.19</v>
      </c>
      <c r="N95" s="60">
        <v>49.8</v>
      </c>
      <c r="O95" s="60">
        <v>0</v>
      </c>
      <c r="P95" s="60">
        <v>3.55</v>
      </c>
      <c r="Q95" s="60">
        <v>9.59</v>
      </c>
      <c r="S95" s="198"/>
      <c r="T95" s="198"/>
      <c r="U95" s="198"/>
    </row>
    <row r="96" spans="1:26" s="12" customFormat="1" x14ac:dyDescent="0.25">
      <c r="A96" s="201" t="s">
        <v>2445</v>
      </c>
      <c r="B96" s="60">
        <v>171.68</v>
      </c>
      <c r="C96" s="60">
        <v>199.85</v>
      </c>
      <c r="D96" s="60">
        <v>119</v>
      </c>
      <c r="E96" s="60">
        <v>9.75</v>
      </c>
      <c r="F96" s="60">
        <v>5.74</v>
      </c>
      <c r="G96" s="60">
        <v>105.19</v>
      </c>
      <c r="H96" s="60">
        <v>27.69</v>
      </c>
      <c r="I96" s="60">
        <v>3.92</v>
      </c>
      <c r="J96" s="60">
        <v>1.45</v>
      </c>
      <c r="K96" s="60">
        <v>288.73</v>
      </c>
      <c r="L96" s="60">
        <v>33.99</v>
      </c>
      <c r="M96" s="60">
        <v>39.9</v>
      </c>
      <c r="N96" s="60">
        <v>50.1</v>
      </c>
      <c r="O96" s="60">
        <v>0</v>
      </c>
      <c r="P96" s="60">
        <v>3.43</v>
      </c>
      <c r="Q96" s="60">
        <v>9.6199999999999992</v>
      </c>
      <c r="S96" s="198"/>
      <c r="T96" s="198"/>
      <c r="U96" s="198"/>
      <c r="Z96" s="109"/>
    </row>
    <row r="97" spans="1:33" s="12" customFormat="1" x14ac:dyDescent="0.25">
      <c r="A97" s="201" t="s">
        <v>2446</v>
      </c>
      <c r="B97" s="60">
        <v>195.56</v>
      </c>
      <c r="C97" s="60">
        <v>221.87</v>
      </c>
      <c r="D97" s="60">
        <v>124.5</v>
      </c>
      <c r="E97" s="60">
        <v>9.2899999999999991</v>
      </c>
      <c r="F97" s="60">
        <v>5.8</v>
      </c>
      <c r="G97" s="60">
        <v>110.75</v>
      </c>
      <c r="H97" s="60">
        <v>28.56</v>
      </c>
      <c r="I97" s="60">
        <v>4.09</v>
      </c>
      <c r="J97" s="60">
        <v>1.44</v>
      </c>
      <c r="K97" s="60">
        <v>267.24</v>
      </c>
      <c r="L97" s="60">
        <v>33.67</v>
      </c>
      <c r="M97" s="60">
        <v>39.299999999999997</v>
      </c>
      <c r="N97" s="60">
        <v>49.9</v>
      </c>
      <c r="O97" s="60">
        <v>0</v>
      </c>
      <c r="P97" s="60">
        <v>3.25</v>
      </c>
      <c r="Q97" s="60">
        <v>9.6300000000000008</v>
      </c>
      <c r="S97" s="198"/>
      <c r="T97" s="198"/>
      <c r="U97" s="198"/>
    </row>
    <row r="98" spans="1:33" s="12" customFormat="1" x14ac:dyDescent="0.25">
      <c r="A98" s="201" t="s">
        <v>2447</v>
      </c>
      <c r="B98" s="60">
        <v>145.47999999999999</v>
      </c>
      <c r="C98" s="60">
        <v>182.32</v>
      </c>
      <c r="D98" s="60">
        <v>125.66</v>
      </c>
      <c r="E98" s="60">
        <v>9.48</v>
      </c>
      <c r="F98" s="60">
        <v>5.62</v>
      </c>
      <c r="G98" s="60">
        <v>110.75</v>
      </c>
      <c r="H98" s="60">
        <v>28.56</v>
      </c>
      <c r="I98" s="60">
        <v>3.96</v>
      </c>
      <c r="J98" s="60">
        <v>1.87</v>
      </c>
      <c r="K98" s="60">
        <v>266.72000000000003</v>
      </c>
      <c r="L98" s="60">
        <v>33.65</v>
      </c>
      <c r="M98" s="60">
        <v>38.39</v>
      </c>
      <c r="N98" s="60">
        <v>49.5</v>
      </c>
      <c r="O98" s="60">
        <v>0</v>
      </c>
      <c r="P98" s="60">
        <v>2.5</v>
      </c>
      <c r="Q98" s="60">
        <v>9.65</v>
      </c>
      <c r="S98" s="198"/>
      <c r="T98" s="198"/>
      <c r="U98" s="198"/>
    </row>
    <row r="99" spans="1:33" s="12" customFormat="1" x14ac:dyDescent="0.25">
      <c r="A99" s="201" t="s">
        <v>2448</v>
      </c>
      <c r="B99" s="60">
        <v>179.37</v>
      </c>
      <c r="C99" s="60">
        <v>204.89</v>
      </c>
      <c r="D99" s="60">
        <v>116.85</v>
      </c>
      <c r="E99" s="60">
        <v>10.11</v>
      </c>
      <c r="F99" s="60">
        <v>5.81</v>
      </c>
      <c r="G99" s="60">
        <v>110.75</v>
      </c>
      <c r="H99" s="60">
        <v>28.56</v>
      </c>
      <c r="I99" s="60">
        <v>3.83</v>
      </c>
      <c r="J99" s="60">
        <v>1.53</v>
      </c>
      <c r="K99" s="60">
        <v>293.64999999999998</v>
      </c>
      <c r="L99" s="60">
        <v>33.49</v>
      </c>
      <c r="M99" s="60">
        <v>42.84</v>
      </c>
      <c r="N99" s="60">
        <v>49.9</v>
      </c>
      <c r="O99" s="60">
        <v>0</v>
      </c>
      <c r="P99" s="60">
        <v>2.91</v>
      </c>
      <c r="Q99" s="60">
        <v>9.68</v>
      </c>
      <c r="S99" s="198"/>
      <c r="T99" s="198"/>
      <c r="U99" s="198"/>
    </row>
    <row r="100" spans="1:33" s="12" customFormat="1" x14ac:dyDescent="0.25">
      <c r="A100" s="201" t="s">
        <v>2449</v>
      </c>
      <c r="B100" s="60">
        <v>105.63</v>
      </c>
      <c r="C100" s="60">
        <v>142.41</v>
      </c>
      <c r="D100" s="60">
        <v>110.44</v>
      </c>
      <c r="E100" s="60">
        <v>9.18</v>
      </c>
      <c r="F100" s="60">
        <v>5.3</v>
      </c>
      <c r="G100" s="60">
        <v>122.47</v>
      </c>
      <c r="H100" s="60">
        <v>31.59</v>
      </c>
      <c r="I100" s="60">
        <v>4.05</v>
      </c>
      <c r="J100" s="60">
        <v>0.74</v>
      </c>
      <c r="K100" s="60">
        <v>343.14</v>
      </c>
      <c r="L100" s="60">
        <v>33.130000000000003</v>
      </c>
      <c r="M100" s="60">
        <v>41.53</v>
      </c>
      <c r="N100" s="60">
        <v>49.9</v>
      </c>
      <c r="O100" s="60">
        <v>0</v>
      </c>
      <c r="P100" s="60">
        <v>2.3199999999999998</v>
      </c>
      <c r="Q100" s="60">
        <v>9.7100000000000009</v>
      </c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2450</v>
      </c>
      <c r="B101" s="60">
        <v>59.56</v>
      </c>
      <c r="C101" s="60">
        <v>108.84</v>
      </c>
      <c r="D101" s="60">
        <v>116.91</v>
      </c>
      <c r="E101" s="60">
        <v>10.02</v>
      </c>
      <c r="F101" s="60">
        <v>5.22</v>
      </c>
      <c r="G101" s="60">
        <v>125.82</v>
      </c>
      <c r="H101" s="60">
        <v>32.46</v>
      </c>
      <c r="I101" s="60">
        <v>3.97</v>
      </c>
      <c r="J101" s="60">
        <v>1.03</v>
      </c>
      <c r="K101" s="60">
        <v>203.66</v>
      </c>
      <c r="L101" s="60">
        <v>32.94</v>
      </c>
      <c r="M101" s="60">
        <v>41.21</v>
      </c>
      <c r="N101" s="60">
        <v>49.5</v>
      </c>
      <c r="O101" s="60">
        <v>0</v>
      </c>
      <c r="P101" s="60">
        <v>1.92</v>
      </c>
      <c r="Q101" s="60">
        <v>9.73</v>
      </c>
      <c r="S101" s="198"/>
      <c r="T101" s="198"/>
      <c r="U101" s="198"/>
    </row>
    <row r="102" spans="1:33" s="12" customFormat="1" x14ac:dyDescent="0.25">
      <c r="A102" s="201" t="s">
        <v>2451</v>
      </c>
      <c r="B102" s="60">
        <v>88.29</v>
      </c>
      <c r="C102" s="60">
        <v>127.41</v>
      </c>
      <c r="D102" s="60">
        <v>108.35</v>
      </c>
      <c r="E102" s="60">
        <v>8.9499999999999993</v>
      </c>
      <c r="F102" s="60">
        <v>5.78</v>
      </c>
      <c r="G102" s="60">
        <v>125.82</v>
      </c>
      <c r="H102" s="60">
        <v>32.46</v>
      </c>
      <c r="I102" s="60">
        <v>4.05</v>
      </c>
      <c r="J102" s="60">
        <v>0.94</v>
      </c>
      <c r="K102" s="60">
        <v>204.95</v>
      </c>
      <c r="L102" s="60">
        <v>33.08</v>
      </c>
      <c r="M102" s="60">
        <v>43.56</v>
      </c>
      <c r="N102" s="60">
        <v>49.7</v>
      </c>
      <c r="O102" s="60">
        <v>0</v>
      </c>
      <c r="P102" s="60">
        <v>1.88</v>
      </c>
      <c r="Q102" s="60">
        <v>9.75</v>
      </c>
      <c r="S102" s="198"/>
      <c r="T102" s="198"/>
      <c r="U102" s="198"/>
    </row>
    <row r="103" spans="1:33" s="12" customFormat="1" x14ac:dyDescent="0.25">
      <c r="A103" s="201" t="s">
        <v>2452</v>
      </c>
      <c r="B103" s="60">
        <v>107.88</v>
      </c>
      <c r="C103" s="60">
        <v>136.80000000000001</v>
      </c>
      <c r="D103" s="60">
        <v>96.26</v>
      </c>
      <c r="E103" s="60">
        <v>9.27</v>
      </c>
      <c r="F103" s="60">
        <v>5.2</v>
      </c>
      <c r="G103" s="60">
        <v>125.82</v>
      </c>
      <c r="H103" s="60">
        <v>32.46</v>
      </c>
      <c r="I103" s="60">
        <v>4.16</v>
      </c>
      <c r="J103" s="60">
        <v>1.42</v>
      </c>
      <c r="K103" s="60">
        <v>212.25</v>
      </c>
      <c r="L103" s="60">
        <v>33.14</v>
      </c>
      <c r="M103" s="60">
        <v>40.53</v>
      </c>
      <c r="N103" s="60">
        <v>48.3</v>
      </c>
      <c r="O103" s="60">
        <v>0</v>
      </c>
      <c r="P103" s="60">
        <v>1.87</v>
      </c>
      <c r="Q103" s="60">
        <v>9.7799999999999994</v>
      </c>
      <c r="S103" s="198"/>
      <c r="T103" s="198"/>
      <c r="U103" s="198"/>
    </row>
    <row r="104" spans="1:33" s="12" customFormat="1" x14ac:dyDescent="0.25">
      <c r="A104" s="201" t="s">
        <v>2453</v>
      </c>
      <c r="B104" s="60">
        <v>55.8</v>
      </c>
      <c r="C104" s="60">
        <v>74.209999999999994</v>
      </c>
      <c r="D104" s="60">
        <v>56.38</v>
      </c>
      <c r="E104" s="60">
        <v>6.6</v>
      </c>
      <c r="F104" s="60">
        <v>11.01</v>
      </c>
      <c r="G104" s="60">
        <v>124.3</v>
      </c>
      <c r="H104" s="60">
        <v>30.5</v>
      </c>
      <c r="I104" s="60">
        <v>4.03</v>
      </c>
      <c r="J104" s="60">
        <v>2.16</v>
      </c>
      <c r="K104" s="60">
        <v>177.85</v>
      </c>
      <c r="L104" s="60">
        <v>33.880000000000003</v>
      </c>
      <c r="M104" s="60">
        <v>34.659999999999997</v>
      </c>
      <c r="N104" s="60">
        <v>48.6</v>
      </c>
      <c r="O104" s="60">
        <v>0</v>
      </c>
      <c r="P104" s="60">
        <v>1.45</v>
      </c>
      <c r="Q104" s="60">
        <v>9.81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1.02</v>
      </c>
      <c r="C106" s="67">
        <f>MIN(C9:C104)</f>
        <v>24.82</v>
      </c>
      <c r="D106" s="67">
        <f t="shared" ref="D106:Q106" si="0">MIN(D9:D104)</f>
        <v>43.35</v>
      </c>
      <c r="E106" s="67">
        <f t="shared" si="0"/>
        <v>3.19</v>
      </c>
      <c r="F106" s="67">
        <f t="shared" si="0"/>
        <v>5.2</v>
      </c>
      <c r="G106" s="67">
        <f t="shared" si="0"/>
        <v>51.41</v>
      </c>
      <c r="H106" s="67">
        <f t="shared" si="0"/>
        <v>12.75</v>
      </c>
      <c r="I106" s="67">
        <f t="shared" si="0"/>
        <v>3.76</v>
      </c>
      <c r="J106" s="67">
        <f t="shared" si="0"/>
        <v>0.24</v>
      </c>
      <c r="K106" s="67">
        <f t="shared" si="0"/>
        <v>157.5</v>
      </c>
      <c r="L106" s="67">
        <f t="shared" si="0"/>
        <v>29.67</v>
      </c>
      <c r="M106" s="67">
        <f t="shared" si="0"/>
        <v>16.95</v>
      </c>
      <c r="N106" s="67">
        <f t="shared" si="0"/>
        <v>48.3</v>
      </c>
      <c r="O106" s="67">
        <f t="shared" si="0"/>
        <v>0</v>
      </c>
      <c r="P106" s="67">
        <f t="shared" si="0"/>
        <v>0.41</v>
      </c>
      <c r="Q106" s="67">
        <f t="shared" si="0"/>
        <v>9.42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232.23</v>
      </c>
      <c r="C107" s="66">
        <f t="shared" ref="C107:Q107" si="1">MAX(C9:C104)</f>
        <v>256.63</v>
      </c>
      <c r="D107" s="66">
        <f t="shared" si="1"/>
        <v>134.75</v>
      </c>
      <c r="E107" s="66">
        <f t="shared" si="1"/>
        <v>17.2</v>
      </c>
      <c r="F107" s="66">
        <f t="shared" si="1"/>
        <v>29.71</v>
      </c>
      <c r="G107" s="66">
        <f t="shared" si="1"/>
        <v>125.82</v>
      </c>
      <c r="H107" s="66">
        <f t="shared" si="1"/>
        <v>32.46</v>
      </c>
      <c r="I107" s="66">
        <f t="shared" si="1"/>
        <v>4.21</v>
      </c>
      <c r="J107" s="66">
        <f t="shared" si="1"/>
        <v>2.6</v>
      </c>
      <c r="K107" s="66">
        <f t="shared" si="1"/>
        <v>343.14</v>
      </c>
      <c r="L107" s="66">
        <f t="shared" si="1"/>
        <v>46.87</v>
      </c>
      <c r="M107" s="66">
        <f t="shared" si="1"/>
        <v>49.53</v>
      </c>
      <c r="N107" s="66">
        <f t="shared" si="1"/>
        <v>939.2</v>
      </c>
      <c r="O107" s="66">
        <f t="shared" si="1"/>
        <v>0</v>
      </c>
      <c r="P107" s="66">
        <f t="shared" si="1"/>
        <v>4.54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30.397083333333338</v>
      </c>
      <c r="C108" s="67">
        <f t="shared" ref="C108:Q108" si="2">AVERAGE(C9:C104)</f>
        <v>61.014687500000001</v>
      </c>
      <c r="D108" s="67">
        <f t="shared" si="2"/>
        <v>70.126458333333332</v>
      </c>
      <c r="E108" s="67">
        <f t="shared" si="2"/>
        <v>7.3104166666666659</v>
      </c>
      <c r="F108" s="67">
        <f t="shared" si="2"/>
        <v>12.64875</v>
      </c>
      <c r="G108" s="67">
        <f t="shared" si="2"/>
        <v>69.205729166666643</v>
      </c>
      <c r="H108" s="67">
        <f t="shared" si="2"/>
        <v>20.570624999999989</v>
      </c>
      <c r="I108" s="67">
        <f t="shared" si="2"/>
        <v>4.0020833333333323</v>
      </c>
      <c r="J108" s="67">
        <f t="shared" si="2"/>
        <v>1.4624999999999997</v>
      </c>
      <c r="K108" s="67">
        <f t="shared" si="2"/>
        <v>250.4676041666668</v>
      </c>
      <c r="L108" s="67">
        <f t="shared" si="2"/>
        <v>37.325624999999995</v>
      </c>
      <c r="M108" s="67">
        <f t="shared" si="2"/>
        <v>30.658645833333349</v>
      </c>
      <c r="N108" s="67">
        <f t="shared" si="2"/>
        <v>281.67812500000014</v>
      </c>
      <c r="O108" s="67">
        <f t="shared" si="2"/>
        <v>0</v>
      </c>
      <c r="P108" s="67">
        <f t="shared" si="2"/>
        <v>1.0330208333333333</v>
      </c>
      <c r="Q108" s="67">
        <f t="shared" si="2"/>
        <v>9.5361458333333324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53.054297487855067</v>
      </c>
      <c r="C109" s="67">
        <f t="shared" ref="C109:Q109" si="3">STDEV(C9:C104)</f>
        <v>55.254593749548377</v>
      </c>
      <c r="D109" s="67">
        <f t="shared" si="3"/>
        <v>28.089661779799162</v>
      </c>
      <c r="E109" s="67">
        <f t="shared" si="3"/>
        <v>3.3374399002407968</v>
      </c>
      <c r="F109" s="67">
        <f t="shared" si="3"/>
        <v>6.053650703675034</v>
      </c>
      <c r="G109" s="67">
        <f t="shared" si="3"/>
        <v>18.655007440915607</v>
      </c>
      <c r="H109" s="67">
        <f t="shared" si="3"/>
        <v>3.9369972026513365</v>
      </c>
      <c r="I109" s="67">
        <f t="shared" si="3"/>
        <v>9.1581619239103546E-2</v>
      </c>
      <c r="J109" s="67">
        <f t="shared" si="3"/>
        <v>0.4375000751879653</v>
      </c>
      <c r="K109" s="67">
        <f t="shared" si="3"/>
        <v>40.854428729711429</v>
      </c>
      <c r="L109" s="67">
        <f t="shared" si="3"/>
        <v>5.3668510442884161</v>
      </c>
      <c r="M109" s="67">
        <f t="shared" si="3"/>
        <v>8.2859091067834409</v>
      </c>
      <c r="N109" s="67">
        <f t="shared" si="3"/>
        <v>314.11628058248385</v>
      </c>
      <c r="O109" s="67">
        <f t="shared" si="3"/>
        <v>0</v>
      </c>
      <c r="P109" s="67">
        <f t="shared" si="3"/>
        <v>0.9562284683965071</v>
      </c>
      <c r="Q109" s="67">
        <f t="shared" si="3"/>
        <v>7.1057719928263388E-2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2454</v>
      </c>
      <c r="B9" s="64">
        <v>28.07</v>
      </c>
      <c r="C9" s="64">
        <v>53.41</v>
      </c>
      <c r="D9" s="64">
        <v>59.13</v>
      </c>
      <c r="E9" s="64">
        <v>8.77</v>
      </c>
      <c r="F9" s="64">
        <v>14.92</v>
      </c>
      <c r="G9" s="64">
        <v>123.87</v>
      </c>
      <c r="H9" s="64">
        <v>29.94</v>
      </c>
      <c r="I9" s="64">
        <v>3.81</v>
      </c>
      <c r="J9" s="64">
        <v>0.92</v>
      </c>
      <c r="K9" s="64">
        <v>235.53</v>
      </c>
      <c r="L9" s="64">
        <v>33.549999999999997</v>
      </c>
      <c r="M9" s="64">
        <v>34.79</v>
      </c>
      <c r="N9" s="64">
        <v>50</v>
      </c>
      <c r="O9" s="64">
        <v>0</v>
      </c>
      <c r="P9" s="64">
        <v>1.01</v>
      </c>
      <c r="Q9" s="64">
        <v>9.84</v>
      </c>
      <c r="R9" s="198"/>
      <c r="S9" s="198"/>
      <c r="T9" s="198"/>
      <c r="U9" s="198"/>
    </row>
    <row r="10" spans="1:21" s="12" customFormat="1" x14ac:dyDescent="0.25">
      <c r="A10" s="215" t="s">
        <v>2455</v>
      </c>
      <c r="B10" s="64">
        <v>16.600000000000001</v>
      </c>
      <c r="C10" s="64">
        <v>42.39</v>
      </c>
      <c r="D10" s="64">
        <v>55.66</v>
      </c>
      <c r="E10" s="64">
        <v>10.210000000000001</v>
      </c>
      <c r="F10" s="64">
        <v>16.86</v>
      </c>
      <c r="G10" s="64">
        <v>123.87</v>
      </c>
      <c r="H10" s="64">
        <v>29.94</v>
      </c>
      <c r="I10" s="64">
        <v>4.0999999999999996</v>
      </c>
      <c r="J10" s="64">
        <v>1.29</v>
      </c>
      <c r="K10" s="64">
        <v>193.57</v>
      </c>
      <c r="L10" s="64">
        <v>33.03</v>
      </c>
      <c r="M10" s="64">
        <v>35.9</v>
      </c>
      <c r="N10" s="64">
        <v>50</v>
      </c>
      <c r="O10" s="64">
        <v>0</v>
      </c>
      <c r="P10" s="64">
        <v>0.79</v>
      </c>
      <c r="Q10" s="64">
        <v>9.84</v>
      </c>
      <c r="R10" s="198"/>
      <c r="S10" s="198"/>
      <c r="T10" s="198"/>
      <c r="U10" s="198"/>
    </row>
    <row r="11" spans="1:21" s="12" customFormat="1" x14ac:dyDescent="0.25">
      <c r="A11" s="215" t="s">
        <v>2456</v>
      </c>
      <c r="B11" s="64">
        <v>20.22</v>
      </c>
      <c r="C11" s="64">
        <v>50.1</v>
      </c>
      <c r="D11" s="64">
        <v>64.86</v>
      </c>
      <c r="E11" s="64">
        <v>11.65</v>
      </c>
      <c r="F11" s="64">
        <v>16.3</v>
      </c>
      <c r="G11" s="64">
        <v>123.87</v>
      </c>
      <c r="H11" s="64">
        <v>29.94</v>
      </c>
      <c r="I11" s="64">
        <v>4.04</v>
      </c>
      <c r="J11" s="64">
        <v>1.1100000000000001</v>
      </c>
      <c r="K11" s="64">
        <v>318.16000000000003</v>
      </c>
      <c r="L11" s="64">
        <v>32.799999999999997</v>
      </c>
      <c r="M11" s="64">
        <v>35.69</v>
      </c>
      <c r="N11" s="64">
        <v>50.1</v>
      </c>
      <c r="O11" s="64">
        <v>0</v>
      </c>
      <c r="P11" s="64">
        <v>0.79</v>
      </c>
      <c r="Q11" s="64">
        <v>9.83</v>
      </c>
      <c r="R11" s="198"/>
      <c r="S11" s="198"/>
      <c r="T11" s="198"/>
      <c r="U11" s="198"/>
    </row>
    <row r="12" spans="1:21" s="12" customFormat="1" x14ac:dyDescent="0.25">
      <c r="A12" s="215" t="s">
        <v>2457</v>
      </c>
      <c r="B12" s="64">
        <v>26.18</v>
      </c>
      <c r="C12" s="64">
        <v>50.88</v>
      </c>
      <c r="D12" s="64">
        <v>57.19</v>
      </c>
      <c r="E12" s="64">
        <v>11.55</v>
      </c>
      <c r="F12" s="64">
        <v>15.38</v>
      </c>
      <c r="G12" s="64">
        <v>102.17</v>
      </c>
      <c r="H12" s="64">
        <v>42.57</v>
      </c>
      <c r="I12" s="64">
        <v>3.96</v>
      </c>
      <c r="J12" s="64">
        <v>1.32</v>
      </c>
      <c r="K12" s="64">
        <v>283.58</v>
      </c>
      <c r="L12" s="64">
        <v>33.07</v>
      </c>
      <c r="M12" s="64">
        <v>33.479999999999997</v>
      </c>
      <c r="N12" s="64">
        <v>49.6</v>
      </c>
      <c r="O12" s="64">
        <v>0</v>
      </c>
      <c r="P12" s="64">
        <v>1.1000000000000001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15" t="s">
        <v>2458</v>
      </c>
      <c r="B13" s="64">
        <v>18.48</v>
      </c>
      <c r="C13" s="64">
        <v>37.43</v>
      </c>
      <c r="D13" s="64">
        <v>43.28</v>
      </c>
      <c r="E13" s="64">
        <v>16.04</v>
      </c>
      <c r="F13" s="64">
        <v>19.850000000000001</v>
      </c>
      <c r="G13" s="64">
        <v>95.96</v>
      </c>
      <c r="H13" s="64">
        <v>46.18</v>
      </c>
      <c r="I13" s="64">
        <v>3.96</v>
      </c>
      <c r="J13" s="64">
        <v>1.62</v>
      </c>
      <c r="K13" s="64">
        <v>276.19</v>
      </c>
      <c r="L13" s="64">
        <v>33.85</v>
      </c>
      <c r="M13" s="64">
        <v>28.9</v>
      </c>
      <c r="N13" s="64">
        <v>49.1</v>
      </c>
      <c r="O13" s="64">
        <v>0</v>
      </c>
      <c r="P13" s="64">
        <v>0.75</v>
      </c>
      <c r="Q13" s="64">
        <v>9.7899999999999991</v>
      </c>
      <c r="R13" s="198"/>
      <c r="S13" s="198"/>
      <c r="T13" s="198"/>
      <c r="U13" s="198"/>
    </row>
    <row r="14" spans="1:21" s="12" customFormat="1" x14ac:dyDescent="0.25">
      <c r="A14" s="215" t="s">
        <v>2459</v>
      </c>
      <c r="B14" s="64">
        <v>32.520000000000003</v>
      </c>
      <c r="C14" s="64">
        <v>54.22</v>
      </c>
      <c r="D14" s="64">
        <v>53.86</v>
      </c>
      <c r="E14" s="64">
        <v>10.11</v>
      </c>
      <c r="F14" s="64">
        <v>16.93</v>
      </c>
      <c r="G14" s="64">
        <v>95.96</v>
      </c>
      <c r="H14" s="64">
        <v>46.18</v>
      </c>
      <c r="I14" s="64">
        <v>3.89</v>
      </c>
      <c r="J14" s="64">
        <v>1.81</v>
      </c>
      <c r="K14" s="64">
        <v>270.64999999999998</v>
      </c>
      <c r="L14" s="64">
        <v>34.409999999999997</v>
      </c>
      <c r="M14" s="64">
        <v>30.32</v>
      </c>
      <c r="N14" s="64">
        <v>49.2</v>
      </c>
      <c r="O14" s="64">
        <v>0</v>
      </c>
      <c r="P14" s="64">
        <v>0.99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15" t="s">
        <v>2460</v>
      </c>
      <c r="B15" s="64">
        <v>26.11</v>
      </c>
      <c r="C15" s="64">
        <v>46.88</v>
      </c>
      <c r="D15" s="64">
        <v>49.65</v>
      </c>
      <c r="E15" s="64">
        <v>7.85</v>
      </c>
      <c r="F15" s="64">
        <v>18.309999999999999</v>
      </c>
      <c r="G15" s="64">
        <v>95.96</v>
      </c>
      <c r="H15" s="64">
        <v>46.18</v>
      </c>
      <c r="I15" s="64">
        <v>3.91</v>
      </c>
      <c r="J15" s="64">
        <v>1.54</v>
      </c>
      <c r="K15" s="64">
        <v>259.63</v>
      </c>
      <c r="L15" s="64">
        <v>34.630000000000003</v>
      </c>
      <c r="M15" s="64">
        <v>33.29</v>
      </c>
      <c r="N15" s="64">
        <v>49.7</v>
      </c>
      <c r="O15" s="64">
        <v>0</v>
      </c>
      <c r="P15" s="64">
        <v>0.82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5" t="s">
        <v>2461</v>
      </c>
      <c r="B16" s="64">
        <v>12.5</v>
      </c>
      <c r="C16" s="64">
        <v>28.87</v>
      </c>
      <c r="D16" s="64">
        <v>36.07</v>
      </c>
      <c r="E16" s="64">
        <v>8.06</v>
      </c>
      <c r="F16" s="64">
        <v>20.39</v>
      </c>
      <c r="G16" s="64">
        <v>83.66</v>
      </c>
      <c r="H16" s="64">
        <v>35.909999999999997</v>
      </c>
      <c r="I16" s="64">
        <v>4.05</v>
      </c>
      <c r="J16" s="64">
        <v>1.69</v>
      </c>
      <c r="K16" s="64">
        <v>263.02</v>
      </c>
      <c r="L16" s="64">
        <v>34.549999999999997</v>
      </c>
      <c r="M16" s="64">
        <v>36.380000000000003</v>
      </c>
      <c r="N16" s="64">
        <v>50</v>
      </c>
      <c r="O16" s="64">
        <v>0</v>
      </c>
      <c r="P16" s="64">
        <v>0.38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15" t="s">
        <v>2462</v>
      </c>
      <c r="B17" s="64">
        <v>19.68</v>
      </c>
      <c r="C17" s="64">
        <v>39.229999999999997</v>
      </c>
      <c r="D17" s="64">
        <v>44.87</v>
      </c>
      <c r="E17" s="64">
        <v>6.76</v>
      </c>
      <c r="F17" s="64">
        <v>17.07</v>
      </c>
      <c r="G17" s="64">
        <v>80.14</v>
      </c>
      <c r="H17" s="64">
        <v>32.979999999999997</v>
      </c>
      <c r="I17" s="64">
        <v>4.01</v>
      </c>
      <c r="J17" s="64">
        <v>1.86</v>
      </c>
      <c r="K17" s="64">
        <v>269</v>
      </c>
      <c r="L17" s="64">
        <v>34.869999999999997</v>
      </c>
      <c r="M17" s="64">
        <v>38.049999999999997</v>
      </c>
      <c r="N17" s="64">
        <v>49.8</v>
      </c>
      <c r="O17" s="64">
        <v>0</v>
      </c>
      <c r="P17" s="64">
        <v>0.63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5" t="s">
        <v>2463</v>
      </c>
      <c r="B18" s="64">
        <v>6.71</v>
      </c>
      <c r="C18" s="64">
        <v>23.42</v>
      </c>
      <c r="D18" s="64">
        <v>34.53</v>
      </c>
      <c r="E18" s="64">
        <v>7.17</v>
      </c>
      <c r="F18" s="64">
        <v>21.44</v>
      </c>
      <c r="G18" s="64">
        <v>80.14</v>
      </c>
      <c r="H18" s="64">
        <v>32.979999999999997</v>
      </c>
      <c r="I18" s="64">
        <v>4.03</v>
      </c>
      <c r="J18" s="64">
        <v>1.41</v>
      </c>
      <c r="K18" s="64">
        <v>278.88</v>
      </c>
      <c r="L18" s="64">
        <v>34.78</v>
      </c>
      <c r="M18" s="64">
        <v>38.590000000000003</v>
      </c>
      <c r="N18" s="64">
        <v>50.6</v>
      </c>
      <c r="O18" s="64">
        <v>0</v>
      </c>
      <c r="P18" s="64">
        <v>0.26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5" t="s">
        <v>2464</v>
      </c>
      <c r="B19" s="64">
        <v>3.99</v>
      </c>
      <c r="C19" s="64">
        <v>18.489999999999998</v>
      </c>
      <c r="D19" s="64">
        <v>29.27</v>
      </c>
      <c r="E19" s="64">
        <v>7.52</v>
      </c>
      <c r="F19" s="64">
        <v>23.78</v>
      </c>
      <c r="G19" s="64">
        <v>80.14</v>
      </c>
      <c r="H19" s="64">
        <v>32.979999999999997</v>
      </c>
      <c r="I19" s="64">
        <v>3.95</v>
      </c>
      <c r="J19" s="64">
        <v>2.34</v>
      </c>
      <c r="K19" s="64">
        <v>267.49</v>
      </c>
      <c r="L19" s="64">
        <v>34.71</v>
      </c>
      <c r="M19" s="64">
        <v>37.549999999999997</v>
      </c>
      <c r="N19" s="64">
        <v>50.7</v>
      </c>
      <c r="O19" s="64">
        <v>0</v>
      </c>
      <c r="P19" s="64">
        <v>0.15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2465</v>
      </c>
      <c r="B20" s="64">
        <v>4.87</v>
      </c>
      <c r="C20" s="64">
        <v>18.34</v>
      </c>
      <c r="D20" s="64">
        <v>27.64</v>
      </c>
      <c r="E20" s="64">
        <v>7.82</v>
      </c>
      <c r="F20" s="64">
        <v>22.31</v>
      </c>
      <c r="G20" s="64">
        <v>62.64</v>
      </c>
      <c r="H20" s="64">
        <v>21.49</v>
      </c>
      <c r="I20" s="64">
        <v>3.96</v>
      </c>
      <c r="J20" s="64">
        <v>2.56</v>
      </c>
      <c r="K20" s="64">
        <v>270.95</v>
      </c>
      <c r="L20" s="64">
        <v>34.61</v>
      </c>
      <c r="M20" s="64">
        <v>36.69</v>
      </c>
      <c r="N20" s="64">
        <v>51.1</v>
      </c>
      <c r="O20" s="64">
        <v>0</v>
      </c>
      <c r="P20" s="64">
        <v>0.13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15" t="s">
        <v>2466</v>
      </c>
      <c r="B21" s="64">
        <v>4.22</v>
      </c>
      <c r="C21" s="64">
        <v>16.39</v>
      </c>
      <c r="D21" s="64">
        <v>24.9</v>
      </c>
      <c r="E21" s="64">
        <v>7.7</v>
      </c>
      <c r="F21" s="64">
        <v>22.26</v>
      </c>
      <c r="G21" s="64">
        <v>57.64</v>
      </c>
      <c r="H21" s="64">
        <v>18.21</v>
      </c>
      <c r="I21" s="64">
        <v>3.95</v>
      </c>
      <c r="J21" s="64">
        <v>2.16</v>
      </c>
      <c r="K21" s="64">
        <v>253.95</v>
      </c>
      <c r="L21" s="64">
        <v>34.520000000000003</v>
      </c>
      <c r="M21" s="64">
        <v>36.43</v>
      </c>
      <c r="N21" s="64">
        <v>51.9</v>
      </c>
      <c r="O21" s="64">
        <v>0</v>
      </c>
      <c r="P21" s="64">
        <v>0.15</v>
      </c>
      <c r="Q21" s="64">
        <v>9.59</v>
      </c>
      <c r="R21" s="198"/>
      <c r="S21" s="198"/>
      <c r="T21" s="198"/>
      <c r="U21" s="198"/>
    </row>
    <row r="22" spans="1:21" s="12" customFormat="1" x14ac:dyDescent="0.25">
      <c r="A22" s="215" t="s">
        <v>2467</v>
      </c>
      <c r="B22" s="64">
        <v>5.25</v>
      </c>
      <c r="C22" s="64">
        <v>21.31</v>
      </c>
      <c r="D22" s="64">
        <v>32.729999999999997</v>
      </c>
      <c r="E22" s="64">
        <v>7.48</v>
      </c>
      <c r="F22" s="64">
        <v>19.32</v>
      </c>
      <c r="G22" s="64">
        <v>57.64</v>
      </c>
      <c r="H22" s="64">
        <v>18.21</v>
      </c>
      <c r="I22" s="64">
        <v>3.84</v>
      </c>
      <c r="J22" s="64">
        <v>1.79</v>
      </c>
      <c r="K22" s="64">
        <v>275.98</v>
      </c>
      <c r="L22" s="64">
        <v>34.29</v>
      </c>
      <c r="M22" s="64">
        <v>37.49</v>
      </c>
      <c r="N22" s="64">
        <v>52.4</v>
      </c>
      <c r="O22" s="64">
        <v>0</v>
      </c>
      <c r="P22" s="64">
        <v>0.23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15" t="s">
        <v>2468</v>
      </c>
      <c r="B23" s="64">
        <v>7.25</v>
      </c>
      <c r="C23" s="64">
        <v>23.84</v>
      </c>
      <c r="D23" s="64">
        <v>34.5</v>
      </c>
      <c r="E23" s="64">
        <v>7.07</v>
      </c>
      <c r="F23" s="64">
        <v>17.78</v>
      </c>
      <c r="G23" s="64">
        <v>57.64</v>
      </c>
      <c r="H23" s="64">
        <v>18.21</v>
      </c>
      <c r="I23" s="64">
        <v>3.95</v>
      </c>
      <c r="J23" s="64">
        <v>3.11</v>
      </c>
      <c r="K23" s="64">
        <v>270.95999999999998</v>
      </c>
      <c r="L23" s="64">
        <v>34.32</v>
      </c>
      <c r="M23" s="64">
        <v>37.869999999999997</v>
      </c>
      <c r="N23" s="64">
        <v>52.3</v>
      </c>
      <c r="O23" s="64">
        <v>0</v>
      </c>
      <c r="P23" s="64">
        <v>0.36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5" t="s">
        <v>2469</v>
      </c>
      <c r="B24" s="64">
        <v>8.84</v>
      </c>
      <c r="C24" s="64">
        <v>31.48</v>
      </c>
      <c r="D24" s="64">
        <v>46.67</v>
      </c>
      <c r="E24" s="64">
        <v>6.56</v>
      </c>
      <c r="F24" s="64">
        <v>15.66</v>
      </c>
      <c r="G24" s="64">
        <v>47.18</v>
      </c>
      <c r="H24" s="64">
        <v>22.53</v>
      </c>
      <c r="I24" s="64">
        <v>4.09</v>
      </c>
      <c r="J24" s="64">
        <v>2.27</v>
      </c>
      <c r="K24" s="64">
        <v>260.08</v>
      </c>
      <c r="L24" s="64">
        <v>34.340000000000003</v>
      </c>
      <c r="M24" s="64">
        <v>38.03</v>
      </c>
      <c r="N24" s="64">
        <v>52.2</v>
      </c>
      <c r="O24" s="64">
        <v>0</v>
      </c>
      <c r="P24" s="64">
        <v>0.47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5" t="s">
        <v>2470</v>
      </c>
      <c r="B25" s="64">
        <v>6.45</v>
      </c>
      <c r="C25" s="64">
        <v>27.68</v>
      </c>
      <c r="D25" s="64">
        <v>43.07</v>
      </c>
      <c r="E25" s="64">
        <v>6.45</v>
      </c>
      <c r="F25" s="64">
        <v>17.309999999999999</v>
      </c>
      <c r="G25" s="64">
        <v>44.19</v>
      </c>
      <c r="H25" s="64">
        <v>23.76</v>
      </c>
      <c r="I25" s="64">
        <v>3.95</v>
      </c>
      <c r="J25" s="64">
        <v>2.0499999999999998</v>
      </c>
      <c r="K25" s="64">
        <v>273.36</v>
      </c>
      <c r="L25" s="64">
        <v>34.15</v>
      </c>
      <c r="M25" s="64">
        <v>38.909999999999997</v>
      </c>
      <c r="N25" s="64">
        <v>52.7</v>
      </c>
      <c r="O25" s="64">
        <v>0</v>
      </c>
      <c r="P25" s="64">
        <v>0.33</v>
      </c>
      <c r="Q25" s="64">
        <v>9.5399999999999991</v>
      </c>
      <c r="R25" s="198"/>
      <c r="S25" s="198"/>
      <c r="T25" s="198"/>
      <c r="U25" s="198"/>
    </row>
    <row r="26" spans="1:21" s="12" customFormat="1" x14ac:dyDescent="0.25">
      <c r="A26" s="215" t="s">
        <v>2471</v>
      </c>
      <c r="B26" s="64">
        <v>5.49</v>
      </c>
      <c r="C26" s="64">
        <v>27.27</v>
      </c>
      <c r="D26" s="64">
        <v>43.78</v>
      </c>
      <c r="E26" s="64">
        <v>6.67</v>
      </c>
      <c r="F26" s="64">
        <v>16.149999999999999</v>
      </c>
      <c r="G26" s="64">
        <v>44.19</v>
      </c>
      <c r="H26" s="64">
        <v>23.76</v>
      </c>
      <c r="I26" s="64">
        <v>4.03</v>
      </c>
      <c r="J26" s="64">
        <v>2.0299999999999998</v>
      </c>
      <c r="K26" s="64">
        <v>256.14999999999998</v>
      </c>
      <c r="L26" s="64">
        <v>34.03</v>
      </c>
      <c r="M26" s="64">
        <v>39.58</v>
      </c>
      <c r="N26" s="64">
        <v>52.5</v>
      </c>
      <c r="O26" s="64">
        <v>0</v>
      </c>
      <c r="P26" s="64">
        <v>0.41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15" t="s">
        <v>2472</v>
      </c>
      <c r="B27" s="64">
        <v>3.24</v>
      </c>
      <c r="C27" s="64">
        <v>23.75</v>
      </c>
      <c r="D27" s="64">
        <v>40.479999999999997</v>
      </c>
      <c r="E27" s="64">
        <v>6.66</v>
      </c>
      <c r="F27" s="64">
        <v>17.350000000000001</v>
      </c>
      <c r="G27" s="64">
        <v>44.19</v>
      </c>
      <c r="H27" s="64">
        <v>23.76</v>
      </c>
      <c r="I27" s="64">
        <v>4.03</v>
      </c>
      <c r="J27" s="64">
        <v>2.2799999999999998</v>
      </c>
      <c r="K27" s="64">
        <v>176.97</v>
      </c>
      <c r="L27" s="64">
        <v>33.590000000000003</v>
      </c>
      <c r="M27" s="64">
        <v>41.6</v>
      </c>
      <c r="N27" s="64">
        <v>52.9</v>
      </c>
      <c r="O27" s="64">
        <v>0</v>
      </c>
      <c r="P27" s="64">
        <v>0.21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15" t="s">
        <v>2473</v>
      </c>
      <c r="B28" s="64">
        <v>3.7</v>
      </c>
      <c r="C28" s="64">
        <v>27.94</v>
      </c>
      <c r="D28" s="64">
        <v>47.81</v>
      </c>
      <c r="E28" s="64">
        <v>6.85</v>
      </c>
      <c r="F28" s="64">
        <v>13.78</v>
      </c>
      <c r="G28" s="64">
        <v>45.88</v>
      </c>
      <c r="H28" s="64">
        <v>30.31</v>
      </c>
      <c r="I28" s="64">
        <v>3.87</v>
      </c>
      <c r="J28" s="64">
        <v>3.52</v>
      </c>
      <c r="K28" s="64">
        <v>174.58</v>
      </c>
      <c r="L28" s="64">
        <v>33.03</v>
      </c>
      <c r="M28" s="64">
        <v>43.79</v>
      </c>
      <c r="N28" s="64">
        <v>53</v>
      </c>
      <c r="O28" s="64">
        <v>0</v>
      </c>
      <c r="P28" s="64">
        <v>0.28000000000000003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5" t="s">
        <v>2474</v>
      </c>
      <c r="B29" s="64">
        <v>9.4</v>
      </c>
      <c r="C29" s="64">
        <v>42.29</v>
      </c>
      <c r="D29" s="64">
        <v>66.510000000000005</v>
      </c>
      <c r="E29" s="64">
        <v>6.72</v>
      </c>
      <c r="F29" s="64">
        <v>10.71</v>
      </c>
      <c r="G29" s="64">
        <v>46.36</v>
      </c>
      <c r="H29" s="64">
        <v>32.18</v>
      </c>
      <c r="I29" s="64">
        <v>3.94</v>
      </c>
      <c r="J29" s="64">
        <v>2.98</v>
      </c>
      <c r="K29" s="64">
        <v>193.73</v>
      </c>
      <c r="L29" s="64">
        <v>32.72</v>
      </c>
      <c r="M29" s="64">
        <v>44.13</v>
      </c>
      <c r="N29" s="64">
        <v>53</v>
      </c>
      <c r="O29" s="64">
        <v>0</v>
      </c>
      <c r="P29" s="64">
        <v>0.27</v>
      </c>
      <c r="Q29" s="64">
        <v>9.5500000000000007</v>
      </c>
      <c r="R29" s="198"/>
      <c r="S29" s="198"/>
      <c r="T29" s="198"/>
      <c r="U29" s="198"/>
    </row>
    <row r="30" spans="1:21" s="12" customFormat="1" x14ac:dyDescent="0.25">
      <c r="A30" s="215" t="s">
        <v>2475</v>
      </c>
      <c r="B30" s="64">
        <v>2.95</v>
      </c>
      <c r="C30" s="64">
        <v>29.98</v>
      </c>
      <c r="D30" s="64">
        <v>52.85</v>
      </c>
      <c r="E30" s="64">
        <v>6.59</v>
      </c>
      <c r="F30" s="64">
        <v>13.93</v>
      </c>
      <c r="G30" s="64">
        <v>46.36</v>
      </c>
      <c r="H30" s="64">
        <v>32.18</v>
      </c>
      <c r="I30" s="64">
        <v>4.08</v>
      </c>
      <c r="J30" s="64">
        <v>2.74</v>
      </c>
      <c r="K30" s="64">
        <v>208.74</v>
      </c>
      <c r="L30" s="64">
        <v>32.47</v>
      </c>
      <c r="M30" s="64">
        <v>44.7</v>
      </c>
      <c r="N30" s="64">
        <v>53.8</v>
      </c>
      <c r="O30" s="64">
        <v>0</v>
      </c>
      <c r="P30" s="64">
        <v>0.23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15" t="s">
        <v>2476</v>
      </c>
      <c r="B31" s="64">
        <v>6.39</v>
      </c>
      <c r="C31" s="64">
        <v>32.409999999999997</v>
      </c>
      <c r="D31" s="64">
        <v>52.23</v>
      </c>
      <c r="E31" s="64">
        <v>6.35</v>
      </c>
      <c r="F31" s="64">
        <v>11.53</v>
      </c>
      <c r="G31" s="64">
        <v>46.36</v>
      </c>
      <c r="H31" s="64">
        <v>32.18</v>
      </c>
      <c r="I31" s="64">
        <v>4.0599999999999996</v>
      </c>
      <c r="J31" s="64">
        <v>2.79</v>
      </c>
      <c r="K31" s="64">
        <v>260.16000000000003</v>
      </c>
      <c r="L31" s="64">
        <v>32.299999999999997</v>
      </c>
      <c r="M31" s="64">
        <v>44.11</v>
      </c>
      <c r="N31" s="64">
        <v>58.5</v>
      </c>
      <c r="O31" s="64">
        <v>0</v>
      </c>
      <c r="P31" s="64">
        <v>0.36</v>
      </c>
      <c r="Q31" s="64">
        <v>9.5500000000000007</v>
      </c>
      <c r="R31" s="198"/>
      <c r="S31" s="198"/>
      <c r="T31" s="198"/>
      <c r="U31" s="198"/>
    </row>
    <row r="32" spans="1:21" s="12" customFormat="1" x14ac:dyDescent="0.25">
      <c r="A32" s="215" t="s">
        <v>2477</v>
      </c>
      <c r="B32" s="64">
        <v>3.7</v>
      </c>
      <c r="C32" s="64">
        <v>28.12</v>
      </c>
      <c r="D32" s="64">
        <v>48.15</v>
      </c>
      <c r="E32" s="64">
        <v>6.54</v>
      </c>
      <c r="F32" s="64">
        <v>13.89</v>
      </c>
      <c r="G32" s="64">
        <v>45.87</v>
      </c>
      <c r="H32" s="64">
        <v>25.44</v>
      </c>
      <c r="I32" s="64">
        <v>4</v>
      </c>
      <c r="J32" s="64">
        <v>2.95</v>
      </c>
      <c r="K32" s="64">
        <v>240.82</v>
      </c>
      <c r="L32" s="64">
        <v>32.47</v>
      </c>
      <c r="M32" s="64">
        <v>42.21</v>
      </c>
      <c r="N32" s="64">
        <v>70.7</v>
      </c>
      <c r="O32" s="64">
        <v>0</v>
      </c>
      <c r="P32" s="64">
        <v>0.35</v>
      </c>
      <c r="Q32" s="64">
        <v>9.5500000000000007</v>
      </c>
      <c r="R32" s="198"/>
      <c r="S32" s="198"/>
      <c r="T32" s="198"/>
      <c r="U32" s="198"/>
    </row>
    <row r="33" spans="1:21" s="12" customFormat="1" x14ac:dyDescent="0.25">
      <c r="A33" s="215" t="s">
        <v>2478</v>
      </c>
      <c r="B33" s="64">
        <v>7.51</v>
      </c>
      <c r="C33" s="64">
        <v>42.88</v>
      </c>
      <c r="D33" s="64">
        <v>70.55</v>
      </c>
      <c r="E33" s="64">
        <v>6.42</v>
      </c>
      <c r="F33" s="64">
        <v>10.46</v>
      </c>
      <c r="G33" s="64">
        <v>45.72</v>
      </c>
      <c r="H33" s="64">
        <v>23.51</v>
      </c>
      <c r="I33" s="64">
        <v>3.99</v>
      </c>
      <c r="J33" s="64">
        <v>2.85</v>
      </c>
      <c r="K33" s="64">
        <v>193.82</v>
      </c>
      <c r="L33" s="64">
        <v>32.590000000000003</v>
      </c>
      <c r="M33" s="64">
        <v>43.46</v>
      </c>
      <c r="N33" s="64">
        <v>92.6</v>
      </c>
      <c r="O33" s="64">
        <v>0</v>
      </c>
      <c r="P33" s="64">
        <v>0.36</v>
      </c>
      <c r="Q33" s="64">
        <v>9.5500000000000007</v>
      </c>
      <c r="R33" s="198"/>
      <c r="S33" s="198"/>
      <c r="T33" s="198"/>
      <c r="U33" s="198"/>
    </row>
    <row r="34" spans="1:21" s="12" customFormat="1" x14ac:dyDescent="0.25">
      <c r="A34" s="215" t="s">
        <v>2479</v>
      </c>
      <c r="B34" s="64">
        <v>5.82</v>
      </c>
      <c r="C34" s="64">
        <v>38.630000000000003</v>
      </c>
      <c r="D34" s="64">
        <v>64.989999999999995</v>
      </c>
      <c r="E34" s="64">
        <v>7.02</v>
      </c>
      <c r="F34" s="64">
        <v>10.81</v>
      </c>
      <c r="G34" s="64">
        <v>45.72</v>
      </c>
      <c r="H34" s="64">
        <v>23.51</v>
      </c>
      <c r="I34" s="64">
        <v>4.05</v>
      </c>
      <c r="J34" s="64">
        <v>1.73</v>
      </c>
      <c r="K34" s="64">
        <v>212.1</v>
      </c>
      <c r="L34" s="64">
        <v>32.770000000000003</v>
      </c>
      <c r="M34" s="64">
        <v>43.33</v>
      </c>
      <c r="N34" s="64">
        <v>124</v>
      </c>
      <c r="O34" s="64">
        <v>0</v>
      </c>
      <c r="P34" s="64">
        <v>0.35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5" t="s">
        <v>2480</v>
      </c>
      <c r="B35" s="64">
        <v>15.43</v>
      </c>
      <c r="C35" s="64">
        <v>43.76</v>
      </c>
      <c r="D35" s="64">
        <v>60.06</v>
      </c>
      <c r="E35" s="64">
        <v>7.02</v>
      </c>
      <c r="F35" s="64">
        <v>13.02</v>
      </c>
      <c r="G35" s="64">
        <v>45.72</v>
      </c>
      <c r="H35" s="64">
        <v>23.51</v>
      </c>
      <c r="I35" s="64">
        <v>4.04</v>
      </c>
      <c r="J35" s="64">
        <v>2.08</v>
      </c>
      <c r="K35" s="64">
        <v>240.13</v>
      </c>
      <c r="L35" s="64">
        <v>33.65</v>
      </c>
      <c r="M35" s="64">
        <v>41.29</v>
      </c>
      <c r="N35" s="64">
        <v>162.80000000000001</v>
      </c>
      <c r="O35" s="64">
        <v>0</v>
      </c>
      <c r="P35" s="64">
        <v>0.38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5" t="s">
        <v>2481</v>
      </c>
      <c r="B36" s="64">
        <v>5.36</v>
      </c>
      <c r="C36" s="64">
        <v>28.94</v>
      </c>
      <c r="D36" s="64">
        <v>47.18</v>
      </c>
      <c r="E36" s="64">
        <v>6.98</v>
      </c>
      <c r="F36" s="64">
        <v>14.53</v>
      </c>
      <c r="G36" s="64">
        <v>51.32</v>
      </c>
      <c r="H36" s="64">
        <v>21.97</v>
      </c>
      <c r="I36" s="64">
        <v>4.0199999999999996</v>
      </c>
      <c r="J36" s="64">
        <v>2.75</v>
      </c>
      <c r="K36" s="64">
        <v>188.28</v>
      </c>
      <c r="L36" s="64">
        <v>34.18</v>
      </c>
      <c r="M36" s="64">
        <v>40.92</v>
      </c>
      <c r="N36" s="64">
        <v>209.5</v>
      </c>
      <c r="O36" s="64">
        <v>0</v>
      </c>
      <c r="P36" s="64">
        <v>0.34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5" t="s">
        <v>2482</v>
      </c>
      <c r="B37" s="64">
        <v>4.7</v>
      </c>
      <c r="C37" s="64">
        <v>27.71</v>
      </c>
      <c r="D37" s="64">
        <v>45.82</v>
      </c>
      <c r="E37" s="64">
        <v>6.98</v>
      </c>
      <c r="F37" s="64">
        <v>13.71</v>
      </c>
      <c r="G37" s="64">
        <v>52.91</v>
      </c>
      <c r="H37" s="64">
        <v>21.54</v>
      </c>
      <c r="I37" s="64">
        <v>4.03</v>
      </c>
      <c r="J37" s="64">
        <v>2.36</v>
      </c>
      <c r="K37" s="64">
        <v>181.66</v>
      </c>
      <c r="L37" s="64">
        <v>34.67</v>
      </c>
      <c r="M37" s="64">
        <v>41.43</v>
      </c>
      <c r="N37" s="64">
        <v>261.7</v>
      </c>
      <c r="O37" s="64">
        <v>0</v>
      </c>
      <c r="P37" s="64">
        <v>0.47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5" t="s">
        <v>2483</v>
      </c>
      <c r="B38" s="64">
        <v>4.62</v>
      </c>
      <c r="C38" s="64">
        <v>27.01</v>
      </c>
      <c r="D38" s="64">
        <v>44.6</v>
      </c>
      <c r="E38" s="64">
        <v>7.49</v>
      </c>
      <c r="F38" s="64">
        <v>15.76</v>
      </c>
      <c r="G38" s="64">
        <v>52.91</v>
      </c>
      <c r="H38" s="64">
        <v>21.54</v>
      </c>
      <c r="I38" s="64">
        <v>4.0199999999999996</v>
      </c>
      <c r="J38" s="64">
        <v>2.4500000000000002</v>
      </c>
      <c r="K38" s="64">
        <v>189.5</v>
      </c>
      <c r="L38" s="64">
        <v>35.39</v>
      </c>
      <c r="M38" s="64">
        <v>41.39</v>
      </c>
      <c r="N38" s="64">
        <v>311.89999999999998</v>
      </c>
      <c r="O38" s="64">
        <v>0</v>
      </c>
      <c r="P38" s="64">
        <v>0.48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5" t="s">
        <v>2484</v>
      </c>
      <c r="B39" s="64">
        <v>7.11</v>
      </c>
      <c r="C39" s="64">
        <v>30.44</v>
      </c>
      <c r="D39" s="64">
        <v>47.35</v>
      </c>
      <c r="E39" s="64">
        <v>7.75</v>
      </c>
      <c r="F39" s="64">
        <v>14.33</v>
      </c>
      <c r="G39" s="64">
        <v>52.91</v>
      </c>
      <c r="H39" s="64">
        <v>21.54</v>
      </c>
      <c r="I39" s="64">
        <v>3.95</v>
      </c>
      <c r="J39" s="64">
        <v>1.88</v>
      </c>
      <c r="K39" s="64">
        <v>207.42</v>
      </c>
      <c r="L39" s="64">
        <v>36.020000000000003</v>
      </c>
      <c r="M39" s="64">
        <v>41.32</v>
      </c>
      <c r="N39" s="64">
        <v>358.1</v>
      </c>
      <c r="O39" s="64">
        <v>0</v>
      </c>
      <c r="P39" s="64">
        <v>0.52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15" t="s">
        <v>2485</v>
      </c>
      <c r="B40" s="64">
        <v>8.86</v>
      </c>
      <c r="C40" s="64">
        <v>34.950000000000003</v>
      </c>
      <c r="D40" s="64">
        <v>53.29</v>
      </c>
      <c r="E40" s="64">
        <v>4.9800000000000004</v>
      </c>
      <c r="F40" s="64">
        <v>11.89</v>
      </c>
      <c r="G40" s="64">
        <v>51.39</v>
      </c>
      <c r="H40" s="64">
        <v>18.600000000000001</v>
      </c>
      <c r="I40" s="64">
        <v>4.0199999999999996</v>
      </c>
      <c r="J40" s="64">
        <v>1.95</v>
      </c>
      <c r="K40" s="64">
        <v>271.49</v>
      </c>
      <c r="L40" s="64">
        <v>37.619999999999997</v>
      </c>
      <c r="M40" s="64">
        <v>39.159999999999997</v>
      </c>
      <c r="N40" s="64">
        <v>428.5</v>
      </c>
      <c r="O40" s="64">
        <v>0</v>
      </c>
      <c r="P40" s="64">
        <v>0.64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5" t="s">
        <v>2486</v>
      </c>
      <c r="B41" s="64">
        <v>5.81</v>
      </c>
      <c r="C41" s="64">
        <v>32.25</v>
      </c>
      <c r="D41" s="64">
        <v>52.81</v>
      </c>
      <c r="E41" s="64">
        <v>3.74</v>
      </c>
      <c r="F41" s="64">
        <v>7.66</v>
      </c>
      <c r="G41" s="64">
        <v>50.95</v>
      </c>
      <c r="H41" s="64">
        <v>17.77</v>
      </c>
      <c r="I41" s="64">
        <v>3.85</v>
      </c>
      <c r="J41" s="64">
        <v>1.81</v>
      </c>
      <c r="K41" s="64">
        <v>258.2</v>
      </c>
      <c r="L41" s="64">
        <v>37.380000000000003</v>
      </c>
      <c r="M41" s="64">
        <v>38.97</v>
      </c>
      <c r="N41" s="64">
        <v>512</v>
      </c>
      <c r="O41" s="64">
        <v>0</v>
      </c>
      <c r="P41" s="64">
        <v>0.56000000000000005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5" t="s">
        <v>2487</v>
      </c>
      <c r="B42" s="64">
        <v>3.81</v>
      </c>
      <c r="C42" s="64">
        <v>32.93</v>
      </c>
      <c r="D42" s="64">
        <v>57.19</v>
      </c>
      <c r="E42" s="64">
        <v>3.47</v>
      </c>
      <c r="F42" s="64">
        <v>6.93</v>
      </c>
      <c r="G42" s="64">
        <v>50.95</v>
      </c>
      <c r="H42" s="64">
        <v>17.77</v>
      </c>
      <c r="I42" s="64">
        <v>3.78</v>
      </c>
      <c r="J42" s="64">
        <v>1.69</v>
      </c>
      <c r="K42" s="64">
        <v>256.88</v>
      </c>
      <c r="L42" s="64">
        <v>37.299999999999997</v>
      </c>
      <c r="M42" s="64">
        <v>38.76</v>
      </c>
      <c r="N42" s="64">
        <v>529.29999999999995</v>
      </c>
      <c r="O42" s="64">
        <v>0</v>
      </c>
      <c r="P42" s="64">
        <v>0.53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5" t="s">
        <v>2488</v>
      </c>
      <c r="B43" s="64">
        <v>2.12</v>
      </c>
      <c r="C43" s="64">
        <v>29.87</v>
      </c>
      <c r="D43" s="64">
        <v>53.9</v>
      </c>
      <c r="E43" s="64">
        <v>3.17</v>
      </c>
      <c r="F43" s="64">
        <v>7.32</v>
      </c>
      <c r="G43" s="64">
        <v>50.95</v>
      </c>
      <c r="H43" s="64">
        <v>17.77</v>
      </c>
      <c r="I43" s="64">
        <v>4.1100000000000003</v>
      </c>
      <c r="J43" s="64">
        <v>1.93</v>
      </c>
      <c r="K43" s="64">
        <v>251.05</v>
      </c>
      <c r="L43" s="64">
        <v>37.78</v>
      </c>
      <c r="M43" s="64">
        <v>37.700000000000003</v>
      </c>
      <c r="N43" s="64">
        <v>581.79999999999995</v>
      </c>
      <c r="O43" s="64">
        <v>0</v>
      </c>
      <c r="P43" s="64">
        <v>0.5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5" t="s">
        <v>2489</v>
      </c>
      <c r="B44" s="64">
        <v>1.39</v>
      </c>
      <c r="C44" s="64">
        <v>29.49</v>
      </c>
      <c r="D44" s="64">
        <v>54.32</v>
      </c>
      <c r="E44" s="64">
        <v>3.32</v>
      </c>
      <c r="F44" s="64">
        <v>9.1</v>
      </c>
      <c r="G44" s="64">
        <v>47.9</v>
      </c>
      <c r="H44" s="64">
        <v>18.89</v>
      </c>
      <c r="I44" s="64">
        <v>4.17</v>
      </c>
      <c r="J44" s="64">
        <v>1.56</v>
      </c>
      <c r="K44" s="64">
        <v>258.11</v>
      </c>
      <c r="L44" s="64">
        <v>38.270000000000003</v>
      </c>
      <c r="M44" s="64">
        <v>36.9</v>
      </c>
      <c r="N44" s="64">
        <v>629.5</v>
      </c>
      <c r="O44" s="64">
        <v>0</v>
      </c>
      <c r="P44" s="64">
        <v>0.48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5" t="s">
        <v>2490</v>
      </c>
      <c r="B45" s="64">
        <v>1.31</v>
      </c>
      <c r="C45" s="64">
        <v>29.18</v>
      </c>
      <c r="D45" s="64">
        <v>53.84</v>
      </c>
      <c r="E45" s="64">
        <v>3.41</v>
      </c>
      <c r="F45" s="64">
        <v>8.7899999999999991</v>
      </c>
      <c r="G45" s="64">
        <v>47.08</v>
      </c>
      <c r="H45" s="64">
        <v>19.21</v>
      </c>
      <c r="I45" s="64">
        <v>4.04</v>
      </c>
      <c r="J45" s="64">
        <v>1.65</v>
      </c>
      <c r="K45" s="64">
        <v>222.74</v>
      </c>
      <c r="L45" s="64">
        <v>38.799999999999997</v>
      </c>
      <c r="M45" s="64">
        <v>35.630000000000003</v>
      </c>
      <c r="N45" s="64">
        <v>679.3</v>
      </c>
      <c r="O45" s="64">
        <v>0</v>
      </c>
      <c r="P45" s="64">
        <v>0.46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15" t="s">
        <v>2491</v>
      </c>
      <c r="B46" s="64">
        <v>1.19</v>
      </c>
      <c r="C46" s="64">
        <v>27.54</v>
      </c>
      <c r="D46" s="64">
        <v>50.89</v>
      </c>
      <c r="E46" s="64">
        <v>3.59</v>
      </c>
      <c r="F46" s="64">
        <v>8.36</v>
      </c>
      <c r="G46" s="64">
        <v>47.08</v>
      </c>
      <c r="H46" s="64">
        <v>19.21</v>
      </c>
      <c r="I46" s="64">
        <v>3.92</v>
      </c>
      <c r="J46" s="64">
        <v>1.87</v>
      </c>
      <c r="K46" s="64">
        <v>253.83</v>
      </c>
      <c r="L46" s="64">
        <v>39.299999999999997</v>
      </c>
      <c r="M46" s="64">
        <v>34.83</v>
      </c>
      <c r="N46" s="64">
        <v>722.4</v>
      </c>
      <c r="O46" s="64">
        <v>0</v>
      </c>
      <c r="P46" s="64">
        <v>0.45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2492</v>
      </c>
      <c r="B47" s="64">
        <v>1.1100000000000001</v>
      </c>
      <c r="C47" s="64">
        <v>26.21</v>
      </c>
      <c r="D47" s="64">
        <v>48.46</v>
      </c>
      <c r="E47" s="64">
        <v>2.91</v>
      </c>
      <c r="F47" s="64">
        <v>9.6300000000000008</v>
      </c>
      <c r="G47" s="64">
        <v>47.08</v>
      </c>
      <c r="H47" s="64">
        <v>19.21</v>
      </c>
      <c r="I47" s="64">
        <v>3.96</v>
      </c>
      <c r="J47" s="64">
        <v>1.79</v>
      </c>
      <c r="K47" s="64">
        <v>257.66000000000003</v>
      </c>
      <c r="L47" s="64">
        <v>39.799999999999997</v>
      </c>
      <c r="M47" s="64">
        <v>33.380000000000003</v>
      </c>
      <c r="N47" s="64">
        <v>765.8</v>
      </c>
      <c r="O47" s="64">
        <v>0</v>
      </c>
      <c r="P47" s="64">
        <v>0.45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2493</v>
      </c>
      <c r="B48" s="64">
        <v>1.24</v>
      </c>
      <c r="C48" s="64">
        <v>26.06</v>
      </c>
      <c r="D48" s="64">
        <v>47.98</v>
      </c>
      <c r="E48" s="64">
        <v>3.5</v>
      </c>
      <c r="F48" s="64">
        <v>9.6199999999999992</v>
      </c>
      <c r="G48" s="64">
        <v>49.34</v>
      </c>
      <c r="H48" s="64">
        <v>18.13</v>
      </c>
      <c r="I48" s="64">
        <v>3.81</v>
      </c>
      <c r="J48" s="64">
        <v>1.64</v>
      </c>
      <c r="K48" s="64">
        <v>259.39</v>
      </c>
      <c r="L48" s="64">
        <v>40.93</v>
      </c>
      <c r="M48" s="64">
        <v>30.7</v>
      </c>
      <c r="N48" s="64">
        <v>807.5</v>
      </c>
      <c r="O48" s="64">
        <v>0</v>
      </c>
      <c r="P48" s="64">
        <v>0.45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2494</v>
      </c>
      <c r="B49" s="64">
        <v>1.1200000000000001</v>
      </c>
      <c r="C49" s="64">
        <v>26.64</v>
      </c>
      <c r="D49" s="64">
        <v>49.26</v>
      </c>
      <c r="E49" s="64">
        <v>3.35</v>
      </c>
      <c r="F49" s="64">
        <v>9.15</v>
      </c>
      <c r="G49" s="64">
        <v>49.98</v>
      </c>
      <c r="H49" s="64">
        <v>17.82</v>
      </c>
      <c r="I49" s="64">
        <v>4.0599999999999996</v>
      </c>
      <c r="J49" s="64">
        <v>1.72</v>
      </c>
      <c r="K49" s="64">
        <v>252</v>
      </c>
      <c r="L49" s="64">
        <v>40.97</v>
      </c>
      <c r="M49" s="64">
        <v>29.48</v>
      </c>
      <c r="N49" s="64">
        <v>839.9</v>
      </c>
      <c r="O49" s="64">
        <v>0</v>
      </c>
      <c r="P49" s="64">
        <v>0.46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2495</v>
      </c>
      <c r="B50" s="64">
        <v>1</v>
      </c>
      <c r="C50" s="64">
        <v>26.83</v>
      </c>
      <c r="D50" s="64">
        <v>49.82</v>
      </c>
      <c r="E50" s="64">
        <v>3.41</v>
      </c>
      <c r="F50" s="64">
        <v>10.029999999999999</v>
      </c>
      <c r="G50" s="64">
        <v>49.98</v>
      </c>
      <c r="H50" s="64">
        <v>17.82</v>
      </c>
      <c r="I50" s="64">
        <v>3.96</v>
      </c>
      <c r="J50" s="64">
        <v>1.75</v>
      </c>
      <c r="K50" s="64">
        <v>249.77</v>
      </c>
      <c r="L50" s="64">
        <v>41.33</v>
      </c>
      <c r="M50" s="64">
        <v>28.74</v>
      </c>
      <c r="N50" s="64">
        <v>872.4</v>
      </c>
      <c r="O50" s="64">
        <v>0</v>
      </c>
      <c r="P50" s="64">
        <v>0.45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2496</v>
      </c>
      <c r="B51" s="64">
        <v>1.02</v>
      </c>
      <c r="C51" s="64">
        <v>25.88</v>
      </c>
      <c r="D51" s="64">
        <v>47.96</v>
      </c>
      <c r="E51" s="64">
        <v>4.53</v>
      </c>
      <c r="F51" s="64">
        <v>13.68</v>
      </c>
      <c r="G51" s="64">
        <v>49.98</v>
      </c>
      <c r="H51" s="64">
        <v>17.82</v>
      </c>
      <c r="I51" s="64">
        <v>4.13</v>
      </c>
      <c r="J51" s="64">
        <v>1.6</v>
      </c>
      <c r="K51" s="64">
        <v>213.41</v>
      </c>
      <c r="L51" s="64">
        <v>42.41</v>
      </c>
      <c r="M51" s="64">
        <v>25.83</v>
      </c>
      <c r="N51" s="64">
        <v>918.4</v>
      </c>
      <c r="O51" s="64">
        <v>0</v>
      </c>
      <c r="P51" s="64">
        <v>0.44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2497</v>
      </c>
      <c r="B52" s="64">
        <v>2.54</v>
      </c>
      <c r="C52" s="64">
        <v>27.51</v>
      </c>
      <c r="D52" s="64">
        <v>48.74</v>
      </c>
      <c r="E52" s="64">
        <v>6.66</v>
      </c>
      <c r="F52" s="64">
        <v>16.97</v>
      </c>
      <c r="G52" s="64">
        <v>52.53</v>
      </c>
      <c r="H52" s="64">
        <v>18.59</v>
      </c>
      <c r="I52" s="64">
        <v>3.97</v>
      </c>
      <c r="J52" s="64">
        <v>1.49</v>
      </c>
      <c r="K52" s="64">
        <v>247.78</v>
      </c>
      <c r="L52" s="64">
        <v>42.41</v>
      </c>
      <c r="M52" s="64">
        <v>24.91</v>
      </c>
      <c r="N52" s="64">
        <v>943.5</v>
      </c>
      <c r="O52" s="64">
        <v>0</v>
      </c>
      <c r="P52" s="64">
        <v>0.48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2498</v>
      </c>
      <c r="B53" s="64">
        <v>3.42</v>
      </c>
      <c r="C53" s="64">
        <v>28.63</v>
      </c>
      <c r="D53" s="64">
        <v>49.55</v>
      </c>
      <c r="E53" s="64">
        <v>4.9000000000000004</v>
      </c>
      <c r="F53" s="64">
        <v>16.87</v>
      </c>
      <c r="G53" s="64">
        <v>53.25</v>
      </c>
      <c r="H53" s="64">
        <v>18.809999999999999</v>
      </c>
      <c r="I53" s="64">
        <v>3.91</v>
      </c>
      <c r="J53" s="64">
        <v>1.81</v>
      </c>
      <c r="K53" s="64">
        <v>292.20999999999998</v>
      </c>
      <c r="L53" s="64">
        <v>44.94</v>
      </c>
      <c r="M53" s="64">
        <v>21.5</v>
      </c>
      <c r="N53" s="64">
        <v>965.3</v>
      </c>
      <c r="O53" s="64">
        <v>0</v>
      </c>
      <c r="P53" s="64">
        <v>0.47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5" t="s">
        <v>2499</v>
      </c>
      <c r="B54" s="64">
        <v>2.52</v>
      </c>
      <c r="C54" s="64">
        <v>26.93</v>
      </c>
      <c r="D54" s="64">
        <v>47.68</v>
      </c>
      <c r="E54" s="64">
        <v>6.94</v>
      </c>
      <c r="F54" s="64">
        <v>21</v>
      </c>
      <c r="G54" s="64">
        <v>53.25</v>
      </c>
      <c r="H54" s="64">
        <v>18.809999999999999</v>
      </c>
      <c r="I54" s="64">
        <v>4.04</v>
      </c>
      <c r="J54" s="64">
        <v>0.78</v>
      </c>
      <c r="K54" s="64">
        <v>228.09</v>
      </c>
      <c r="L54" s="64">
        <v>44.39</v>
      </c>
      <c r="M54" s="64">
        <v>21.6</v>
      </c>
      <c r="N54" s="64">
        <v>970.4</v>
      </c>
      <c r="O54" s="64">
        <v>0</v>
      </c>
      <c r="P54" s="64">
        <v>0.47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5" t="s">
        <v>2500</v>
      </c>
      <c r="B55" s="64">
        <v>3.35</v>
      </c>
      <c r="C55" s="64">
        <v>28.71</v>
      </c>
      <c r="D55" s="64">
        <v>49.82</v>
      </c>
      <c r="E55" s="64">
        <v>6.81</v>
      </c>
      <c r="F55" s="64">
        <v>17.45</v>
      </c>
      <c r="G55" s="64">
        <v>53.25</v>
      </c>
      <c r="H55" s="64">
        <v>18.809999999999999</v>
      </c>
      <c r="I55" s="64">
        <v>4.04</v>
      </c>
      <c r="J55" s="64">
        <v>1.32</v>
      </c>
      <c r="K55" s="64">
        <v>226.66</v>
      </c>
      <c r="L55" s="64">
        <v>43.35</v>
      </c>
      <c r="M55" s="64">
        <v>20.69</v>
      </c>
      <c r="N55" s="64">
        <v>991.9</v>
      </c>
      <c r="O55" s="64">
        <v>0</v>
      </c>
      <c r="P55" s="64">
        <v>0.51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5" t="s">
        <v>2501</v>
      </c>
      <c r="B56" s="64">
        <v>3.4</v>
      </c>
      <c r="C56" s="64">
        <v>29.32</v>
      </c>
      <c r="D56" s="64">
        <v>50.9</v>
      </c>
      <c r="E56" s="64">
        <v>6.22</v>
      </c>
      <c r="F56" s="64">
        <v>17.77</v>
      </c>
      <c r="G56" s="64">
        <v>47.82</v>
      </c>
      <c r="H56" s="64">
        <v>18.05</v>
      </c>
      <c r="I56" s="64">
        <v>4.05</v>
      </c>
      <c r="J56" s="64">
        <v>2.0099999999999998</v>
      </c>
      <c r="K56" s="64">
        <v>289.23</v>
      </c>
      <c r="L56" s="64">
        <v>45.84</v>
      </c>
      <c r="M56" s="64">
        <v>15.77</v>
      </c>
      <c r="N56" s="64">
        <v>1007.7</v>
      </c>
      <c r="O56" s="64">
        <v>0</v>
      </c>
      <c r="P56" s="64">
        <v>0.51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5" t="s">
        <v>2502</v>
      </c>
      <c r="B57" s="64">
        <v>3.59</v>
      </c>
      <c r="C57" s="64">
        <v>29.09</v>
      </c>
      <c r="D57" s="64">
        <v>50.17</v>
      </c>
      <c r="E57" s="64">
        <v>8.2200000000000006</v>
      </c>
      <c r="F57" s="64">
        <v>21.34</v>
      </c>
      <c r="G57" s="64">
        <v>46.26</v>
      </c>
      <c r="H57" s="64">
        <v>17.829999999999998</v>
      </c>
      <c r="I57" s="64">
        <v>3.96</v>
      </c>
      <c r="J57" s="64">
        <v>1.2</v>
      </c>
      <c r="K57" s="64">
        <v>275.97000000000003</v>
      </c>
      <c r="L57" s="64">
        <v>45.92</v>
      </c>
      <c r="M57" s="64">
        <v>15.81</v>
      </c>
      <c r="N57" s="64">
        <v>995.6</v>
      </c>
      <c r="O57" s="64">
        <v>0</v>
      </c>
      <c r="P57" s="64">
        <v>0.48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2503</v>
      </c>
      <c r="B58" s="64">
        <v>2.14</v>
      </c>
      <c r="C58" s="64">
        <v>29.38</v>
      </c>
      <c r="D58" s="64">
        <v>52.95</v>
      </c>
      <c r="E58" s="64">
        <v>8.27</v>
      </c>
      <c r="F58" s="64">
        <v>21.18</v>
      </c>
      <c r="G58" s="64">
        <v>46.26</v>
      </c>
      <c r="H58" s="64">
        <v>17.829999999999998</v>
      </c>
      <c r="I58" s="64">
        <v>3.81</v>
      </c>
      <c r="J58" s="64">
        <v>1.63</v>
      </c>
      <c r="K58" s="64">
        <v>172.26</v>
      </c>
      <c r="L58" s="64">
        <v>44.7</v>
      </c>
      <c r="M58" s="64">
        <v>16.02</v>
      </c>
      <c r="N58" s="64">
        <v>982.1</v>
      </c>
      <c r="O58" s="64">
        <v>0</v>
      </c>
      <c r="P58" s="64">
        <v>0.49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5" t="s">
        <v>2504</v>
      </c>
      <c r="B59" s="64">
        <v>1.34</v>
      </c>
      <c r="C59" s="64">
        <v>27.9</v>
      </c>
      <c r="D59" s="64">
        <v>51.34</v>
      </c>
      <c r="E59" s="64">
        <v>6.14</v>
      </c>
      <c r="F59" s="64">
        <v>12.94</v>
      </c>
      <c r="G59" s="64">
        <v>46.26</v>
      </c>
      <c r="H59" s="64">
        <v>17.829999999999998</v>
      </c>
      <c r="I59" s="64">
        <v>4.12</v>
      </c>
      <c r="J59" s="64">
        <v>1.74</v>
      </c>
      <c r="K59" s="64">
        <v>274.64999999999998</v>
      </c>
      <c r="L59" s="64">
        <v>44.75</v>
      </c>
      <c r="M59" s="64">
        <v>15.67</v>
      </c>
      <c r="N59" s="64">
        <v>952.9</v>
      </c>
      <c r="O59" s="64">
        <v>0</v>
      </c>
      <c r="P59" s="64">
        <v>0.5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5" t="s">
        <v>2505</v>
      </c>
      <c r="B60" s="64">
        <v>2.2000000000000002</v>
      </c>
      <c r="C60" s="64">
        <v>31.84</v>
      </c>
      <c r="D60" s="64">
        <v>57.57</v>
      </c>
      <c r="E60" s="64">
        <v>9.1199999999999992</v>
      </c>
      <c r="F60" s="64">
        <v>22.72</v>
      </c>
      <c r="G60" s="64">
        <v>48.5</v>
      </c>
      <c r="H60" s="64">
        <v>18.579999999999998</v>
      </c>
      <c r="I60" s="64">
        <v>3.9</v>
      </c>
      <c r="J60" s="64">
        <v>1.58</v>
      </c>
      <c r="K60" s="64">
        <v>286.32</v>
      </c>
      <c r="L60" s="64">
        <v>46.46</v>
      </c>
      <c r="M60" s="64">
        <v>13.61</v>
      </c>
      <c r="N60" s="64">
        <v>946.4</v>
      </c>
      <c r="O60" s="64">
        <v>0</v>
      </c>
      <c r="P60" s="64">
        <v>0.57999999999999996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5" t="s">
        <v>2506</v>
      </c>
      <c r="B61" s="64">
        <v>1.72</v>
      </c>
      <c r="C61" s="64">
        <v>31.87</v>
      </c>
      <c r="D61" s="64">
        <v>58.36</v>
      </c>
      <c r="E61" s="64">
        <v>8.3699999999999992</v>
      </c>
      <c r="F61" s="64">
        <v>18.88</v>
      </c>
      <c r="G61" s="64">
        <v>49.1</v>
      </c>
      <c r="H61" s="64">
        <v>18.8</v>
      </c>
      <c r="I61" s="64">
        <v>4</v>
      </c>
      <c r="J61" s="64">
        <v>1.0900000000000001</v>
      </c>
      <c r="K61" s="64">
        <v>245.62</v>
      </c>
      <c r="L61" s="64">
        <v>45.38</v>
      </c>
      <c r="M61" s="64">
        <v>13.54</v>
      </c>
      <c r="N61" s="64">
        <v>764.2</v>
      </c>
      <c r="O61" s="64">
        <v>0</v>
      </c>
      <c r="P61" s="64">
        <v>0.56999999999999995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15" t="s">
        <v>2507</v>
      </c>
      <c r="B62" s="64">
        <v>1.1299999999999999</v>
      </c>
      <c r="C62" s="64">
        <v>29.67</v>
      </c>
      <c r="D62" s="64">
        <v>55.05</v>
      </c>
      <c r="E62" s="64">
        <v>8.69</v>
      </c>
      <c r="F62" s="64">
        <v>13.07</v>
      </c>
      <c r="G62" s="64">
        <v>49.1</v>
      </c>
      <c r="H62" s="64">
        <v>18.8</v>
      </c>
      <c r="I62" s="64">
        <v>3.91</v>
      </c>
      <c r="J62" s="64">
        <v>1.58</v>
      </c>
      <c r="K62" s="64">
        <v>241.38</v>
      </c>
      <c r="L62" s="64">
        <v>44.81</v>
      </c>
      <c r="M62" s="64">
        <v>12.16</v>
      </c>
      <c r="N62" s="64">
        <v>750.2</v>
      </c>
      <c r="O62" s="64">
        <v>0</v>
      </c>
      <c r="P62" s="64">
        <v>0.57999999999999996</v>
      </c>
      <c r="Q62" s="64">
        <v>9.5399999999999991</v>
      </c>
      <c r="R62" s="198"/>
      <c r="S62" s="198"/>
      <c r="T62" s="198"/>
      <c r="U62" s="198"/>
    </row>
    <row r="63" spans="1:21" s="12" customFormat="1" x14ac:dyDescent="0.25">
      <c r="A63" s="215" t="s">
        <v>2508</v>
      </c>
      <c r="B63" s="64">
        <v>1.44</v>
      </c>
      <c r="C63" s="64">
        <v>30.01</v>
      </c>
      <c r="D63" s="64">
        <v>55.22</v>
      </c>
      <c r="E63" s="64">
        <v>4.34</v>
      </c>
      <c r="F63" s="64">
        <v>16.940000000000001</v>
      </c>
      <c r="G63" s="64">
        <v>49.1</v>
      </c>
      <c r="H63" s="64">
        <v>18.8</v>
      </c>
      <c r="I63" s="64">
        <v>3.95</v>
      </c>
      <c r="J63" s="64">
        <v>1.27</v>
      </c>
      <c r="K63" s="64">
        <v>272.97000000000003</v>
      </c>
      <c r="L63" s="64">
        <v>45.89</v>
      </c>
      <c r="M63" s="64">
        <v>12.17</v>
      </c>
      <c r="N63" s="64">
        <v>583.5</v>
      </c>
      <c r="O63" s="64">
        <v>0</v>
      </c>
      <c r="P63" s="64">
        <v>0.59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5" t="s">
        <v>2509</v>
      </c>
      <c r="B64" s="64">
        <v>2</v>
      </c>
      <c r="C64" s="64">
        <v>27.49</v>
      </c>
      <c r="D64" s="64">
        <v>49.54</v>
      </c>
      <c r="E64" s="64">
        <v>14.39</v>
      </c>
      <c r="F64" s="64">
        <v>26.07</v>
      </c>
      <c r="G64" s="64">
        <v>49.18</v>
      </c>
      <c r="H64" s="64">
        <v>17.16</v>
      </c>
      <c r="I64" s="64">
        <v>3.92</v>
      </c>
      <c r="J64" s="64">
        <v>0.86</v>
      </c>
      <c r="K64" s="64">
        <v>261.52999999999997</v>
      </c>
      <c r="L64" s="64">
        <v>45.32</v>
      </c>
      <c r="M64" s="64">
        <v>12.29</v>
      </c>
      <c r="N64" s="64">
        <v>628</v>
      </c>
      <c r="O64" s="64">
        <v>0</v>
      </c>
      <c r="P64" s="64">
        <v>0.56000000000000005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5" t="s">
        <v>2510</v>
      </c>
      <c r="B65" s="64">
        <v>1.94</v>
      </c>
      <c r="C65" s="64">
        <v>28.45</v>
      </c>
      <c r="D65" s="64">
        <v>51.47</v>
      </c>
      <c r="E65" s="64">
        <v>7.55</v>
      </c>
      <c r="F65" s="64">
        <v>14.71</v>
      </c>
      <c r="G65" s="64">
        <v>49.2</v>
      </c>
      <c r="H65" s="64">
        <v>16.690000000000001</v>
      </c>
      <c r="I65" s="64">
        <v>4.08</v>
      </c>
      <c r="J65" s="64">
        <v>1.88</v>
      </c>
      <c r="K65" s="64">
        <v>296.13</v>
      </c>
      <c r="L65" s="64">
        <v>46.32</v>
      </c>
      <c r="M65" s="64">
        <v>12.03</v>
      </c>
      <c r="N65" s="64">
        <v>340.5</v>
      </c>
      <c r="O65" s="64">
        <v>0</v>
      </c>
      <c r="P65" s="64">
        <v>0.57999999999999996</v>
      </c>
      <c r="Q65" s="64">
        <v>9.51</v>
      </c>
      <c r="R65" s="198"/>
      <c r="S65" s="198"/>
      <c r="T65" s="198"/>
      <c r="U65" s="198"/>
    </row>
    <row r="66" spans="1:21" s="12" customFormat="1" x14ac:dyDescent="0.25">
      <c r="A66" s="215" t="s">
        <v>2511</v>
      </c>
      <c r="B66" s="64">
        <v>1.43</v>
      </c>
      <c r="C66" s="64">
        <v>29.14</v>
      </c>
      <c r="D66" s="64">
        <v>53.57</v>
      </c>
      <c r="E66" s="64">
        <v>4.0199999999999996</v>
      </c>
      <c r="F66" s="64">
        <v>12.65</v>
      </c>
      <c r="G66" s="64">
        <v>49.2</v>
      </c>
      <c r="H66" s="64">
        <v>16.690000000000001</v>
      </c>
      <c r="I66" s="64">
        <v>4.12</v>
      </c>
      <c r="J66" s="64">
        <v>1.84</v>
      </c>
      <c r="K66" s="64">
        <v>272.06</v>
      </c>
      <c r="L66" s="64">
        <v>45.3</v>
      </c>
      <c r="M66" s="64">
        <v>11.71</v>
      </c>
      <c r="N66" s="64">
        <v>400.7</v>
      </c>
      <c r="O66" s="64">
        <v>0</v>
      </c>
      <c r="P66" s="64">
        <v>0.56999999999999995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15" t="s">
        <v>2512</v>
      </c>
      <c r="B67" s="64">
        <v>1.44</v>
      </c>
      <c r="C67" s="64">
        <v>26.04</v>
      </c>
      <c r="D67" s="64">
        <v>47.64</v>
      </c>
      <c r="E67" s="64">
        <v>6.02</v>
      </c>
      <c r="F67" s="64">
        <v>19.21</v>
      </c>
      <c r="G67" s="64">
        <v>49.2</v>
      </c>
      <c r="H67" s="64">
        <v>16.690000000000001</v>
      </c>
      <c r="I67" s="64">
        <v>3.9</v>
      </c>
      <c r="J67" s="64">
        <v>1.54</v>
      </c>
      <c r="K67" s="64">
        <v>234.73</v>
      </c>
      <c r="L67" s="64">
        <v>44.58</v>
      </c>
      <c r="M67" s="64">
        <v>11.81</v>
      </c>
      <c r="N67" s="64">
        <v>455.7</v>
      </c>
      <c r="O67" s="64">
        <v>0</v>
      </c>
      <c r="P67" s="64">
        <v>0.52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5" t="s">
        <v>2513</v>
      </c>
      <c r="B68" s="64">
        <v>3.62</v>
      </c>
      <c r="C68" s="64">
        <v>29.6</v>
      </c>
      <c r="D68" s="64">
        <v>51.1</v>
      </c>
      <c r="E68" s="64">
        <v>4.0599999999999996</v>
      </c>
      <c r="F68" s="64">
        <v>13.61</v>
      </c>
      <c r="G68" s="64">
        <v>47.34</v>
      </c>
      <c r="H68" s="64">
        <v>16.059999999999999</v>
      </c>
      <c r="I68" s="64">
        <v>4</v>
      </c>
      <c r="J68" s="64">
        <v>1.97</v>
      </c>
      <c r="K68" s="64">
        <v>285.67</v>
      </c>
      <c r="L68" s="64">
        <v>44.48</v>
      </c>
      <c r="M68" s="64">
        <v>12.7</v>
      </c>
      <c r="N68" s="64">
        <v>437.2</v>
      </c>
      <c r="O68" s="64">
        <v>0</v>
      </c>
      <c r="P68" s="64">
        <v>0.54</v>
      </c>
      <c r="Q68" s="64">
        <v>9.4499999999999993</v>
      </c>
      <c r="R68" s="198"/>
      <c r="S68" s="198"/>
      <c r="T68" s="198"/>
      <c r="U68" s="198"/>
    </row>
    <row r="69" spans="1:21" s="12" customFormat="1" x14ac:dyDescent="0.25">
      <c r="A69" s="215" t="s">
        <v>2514</v>
      </c>
      <c r="B69" s="64">
        <v>3.12</v>
      </c>
      <c r="C69" s="64">
        <v>30.27</v>
      </c>
      <c r="D69" s="64">
        <v>53.15</v>
      </c>
      <c r="E69" s="64">
        <v>5.75</v>
      </c>
      <c r="F69" s="64">
        <v>18.87</v>
      </c>
      <c r="G69" s="64">
        <v>46.8</v>
      </c>
      <c r="H69" s="64">
        <v>15.87</v>
      </c>
      <c r="I69" s="64">
        <v>3.89</v>
      </c>
      <c r="J69" s="64">
        <v>1.77</v>
      </c>
      <c r="K69" s="64">
        <v>287.64999999999998</v>
      </c>
      <c r="L69" s="64">
        <v>44.99</v>
      </c>
      <c r="M69" s="64">
        <v>12.99</v>
      </c>
      <c r="N69" s="64">
        <v>389.8</v>
      </c>
      <c r="O69" s="64">
        <v>0</v>
      </c>
      <c r="P69" s="64">
        <v>0.53</v>
      </c>
      <c r="Q69" s="64">
        <v>9.42</v>
      </c>
      <c r="R69" s="198"/>
      <c r="S69" s="198"/>
      <c r="T69" s="198"/>
      <c r="U69" s="198"/>
    </row>
    <row r="70" spans="1:21" s="12" customFormat="1" x14ac:dyDescent="0.25">
      <c r="A70" s="215" t="s">
        <v>2515</v>
      </c>
      <c r="B70" s="64">
        <v>2.06</v>
      </c>
      <c r="C70" s="64">
        <v>27.16</v>
      </c>
      <c r="D70" s="64">
        <v>48.82</v>
      </c>
      <c r="E70" s="64">
        <v>5.18</v>
      </c>
      <c r="F70" s="64">
        <v>17.809999999999999</v>
      </c>
      <c r="G70" s="64">
        <v>46.8</v>
      </c>
      <c r="H70" s="64">
        <v>15.87</v>
      </c>
      <c r="I70" s="64">
        <v>3.87</v>
      </c>
      <c r="J70" s="64">
        <v>1.47</v>
      </c>
      <c r="K70" s="64">
        <v>259.89</v>
      </c>
      <c r="L70" s="64">
        <v>43.84</v>
      </c>
      <c r="M70" s="64">
        <v>12.71</v>
      </c>
      <c r="N70" s="64">
        <v>243.4</v>
      </c>
      <c r="O70" s="64">
        <v>0</v>
      </c>
      <c r="P70" s="64">
        <v>0.51</v>
      </c>
      <c r="Q70" s="64">
        <v>9.42</v>
      </c>
      <c r="R70" s="198"/>
      <c r="S70" s="198"/>
      <c r="T70" s="198"/>
      <c r="U70" s="198"/>
    </row>
    <row r="71" spans="1:21" s="12" customFormat="1" x14ac:dyDescent="0.25">
      <c r="A71" s="215" t="s">
        <v>2516</v>
      </c>
      <c r="B71" s="64">
        <v>1.27</v>
      </c>
      <c r="C71" s="64">
        <v>25.85</v>
      </c>
      <c r="D71" s="64">
        <v>47.52</v>
      </c>
      <c r="E71" s="64">
        <v>4.7</v>
      </c>
      <c r="F71" s="64">
        <v>16.66</v>
      </c>
      <c r="G71" s="64">
        <v>46.8</v>
      </c>
      <c r="H71" s="64">
        <v>15.87</v>
      </c>
      <c r="I71" s="64">
        <v>4.07</v>
      </c>
      <c r="J71" s="64">
        <v>1.52</v>
      </c>
      <c r="K71" s="64">
        <v>262.49</v>
      </c>
      <c r="L71" s="64">
        <v>43.57</v>
      </c>
      <c r="M71" s="64">
        <v>13.2</v>
      </c>
      <c r="N71" s="64">
        <v>206.1</v>
      </c>
      <c r="O71" s="64">
        <v>0</v>
      </c>
      <c r="P71" s="64">
        <v>0.49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5" t="s">
        <v>2517</v>
      </c>
      <c r="B72" s="64">
        <v>1.31</v>
      </c>
      <c r="C72" s="64">
        <v>24.3</v>
      </c>
      <c r="D72" s="64">
        <v>44.5</v>
      </c>
      <c r="E72" s="64">
        <v>10.210000000000001</v>
      </c>
      <c r="F72" s="64">
        <v>27.43</v>
      </c>
      <c r="G72" s="64">
        <v>46.63</v>
      </c>
      <c r="H72" s="64">
        <v>17.07</v>
      </c>
      <c r="I72" s="64">
        <v>3.9</v>
      </c>
      <c r="J72" s="64">
        <v>1.52</v>
      </c>
      <c r="K72" s="64">
        <v>260.39999999999998</v>
      </c>
      <c r="L72" s="64">
        <v>43.43</v>
      </c>
      <c r="M72" s="64">
        <v>13.51</v>
      </c>
      <c r="N72" s="64">
        <v>225.9</v>
      </c>
      <c r="O72" s="64">
        <v>0</v>
      </c>
      <c r="P72" s="64">
        <v>0.47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5" t="s">
        <v>2518</v>
      </c>
      <c r="B73" s="64">
        <v>1.72</v>
      </c>
      <c r="C73" s="64">
        <v>27.92</v>
      </c>
      <c r="D73" s="64">
        <v>50.8</v>
      </c>
      <c r="E73" s="64">
        <v>12.49</v>
      </c>
      <c r="F73" s="64">
        <v>25.5</v>
      </c>
      <c r="G73" s="64">
        <v>46.59</v>
      </c>
      <c r="H73" s="64">
        <v>17.420000000000002</v>
      </c>
      <c r="I73" s="64">
        <v>3.93</v>
      </c>
      <c r="J73" s="64">
        <v>1.41</v>
      </c>
      <c r="K73" s="64">
        <v>253.93</v>
      </c>
      <c r="L73" s="64">
        <v>43.25</v>
      </c>
      <c r="M73" s="64">
        <v>14.11</v>
      </c>
      <c r="N73" s="64">
        <v>173.1</v>
      </c>
      <c r="O73" s="64">
        <v>0</v>
      </c>
      <c r="P73" s="64">
        <v>0.5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5" t="s">
        <v>2519</v>
      </c>
      <c r="B74" s="64">
        <v>2.12</v>
      </c>
      <c r="C74" s="64">
        <v>27</v>
      </c>
      <c r="D74" s="64">
        <v>48.41</v>
      </c>
      <c r="E74" s="64">
        <v>12.32</v>
      </c>
      <c r="F74" s="64">
        <v>25.52</v>
      </c>
      <c r="G74" s="64">
        <v>46.59</v>
      </c>
      <c r="H74" s="64">
        <v>17.420000000000002</v>
      </c>
      <c r="I74" s="64">
        <v>3.97</v>
      </c>
      <c r="J74" s="64">
        <v>1.41</v>
      </c>
      <c r="K74" s="64">
        <v>252.2</v>
      </c>
      <c r="L74" s="64">
        <v>43.27</v>
      </c>
      <c r="M74" s="64">
        <v>13.98</v>
      </c>
      <c r="N74" s="64">
        <v>159</v>
      </c>
      <c r="O74" s="64">
        <v>0</v>
      </c>
      <c r="P74" s="64">
        <v>0.46</v>
      </c>
      <c r="Q74" s="64">
        <v>9.39</v>
      </c>
      <c r="R74" s="198"/>
      <c r="S74" s="198"/>
      <c r="T74" s="198"/>
      <c r="U74" s="198"/>
    </row>
    <row r="75" spans="1:21" s="12" customFormat="1" x14ac:dyDescent="0.25">
      <c r="A75" s="215" t="s">
        <v>2520</v>
      </c>
      <c r="B75" s="64">
        <v>1.4</v>
      </c>
      <c r="C75" s="64">
        <v>22.83</v>
      </c>
      <c r="D75" s="64">
        <v>41.55</v>
      </c>
      <c r="E75" s="64">
        <v>9.9600000000000009</v>
      </c>
      <c r="F75" s="64">
        <v>28.6</v>
      </c>
      <c r="G75" s="64">
        <v>46.59</v>
      </c>
      <c r="H75" s="64">
        <v>17.420000000000002</v>
      </c>
      <c r="I75" s="64">
        <v>3.94</v>
      </c>
      <c r="J75" s="64">
        <v>1.42</v>
      </c>
      <c r="K75" s="64">
        <v>215.39</v>
      </c>
      <c r="L75" s="64">
        <v>42.96</v>
      </c>
      <c r="M75" s="64">
        <v>13.56</v>
      </c>
      <c r="N75" s="64">
        <v>144.80000000000001</v>
      </c>
      <c r="O75" s="64">
        <v>0</v>
      </c>
      <c r="P75" s="64">
        <v>0.41</v>
      </c>
      <c r="Q75" s="64">
        <v>9.3800000000000008</v>
      </c>
      <c r="R75" s="198"/>
      <c r="S75" s="198"/>
      <c r="T75" s="198"/>
      <c r="U75" s="198"/>
    </row>
    <row r="76" spans="1:21" s="12" customFormat="1" x14ac:dyDescent="0.25">
      <c r="A76" s="215" t="s">
        <v>2521</v>
      </c>
      <c r="B76" s="64">
        <v>1.24</v>
      </c>
      <c r="C76" s="64">
        <v>20.059999999999999</v>
      </c>
      <c r="D76" s="64">
        <v>36.479999999999997</v>
      </c>
      <c r="E76" s="64">
        <v>10.56</v>
      </c>
      <c r="F76" s="64">
        <v>27.86</v>
      </c>
      <c r="G76" s="64">
        <v>44.52</v>
      </c>
      <c r="H76" s="64">
        <v>16.07</v>
      </c>
      <c r="I76" s="64">
        <v>4.03</v>
      </c>
      <c r="J76" s="64">
        <v>1.38</v>
      </c>
      <c r="K76" s="64">
        <v>239</v>
      </c>
      <c r="L76" s="64">
        <v>42.94</v>
      </c>
      <c r="M76" s="64">
        <v>14.04</v>
      </c>
      <c r="N76" s="64">
        <v>134.5</v>
      </c>
      <c r="O76" s="64">
        <v>0</v>
      </c>
      <c r="P76" s="64">
        <v>0.39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5" t="s">
        <v>2522</v>
      </c>
      <c r="B77" s="64">
        <v>1.22</v>
      </c>
      <c r="C77" s="64">
        <v>21.91</v>
      </c>
      <c r="D77" s="64">
        <v>40.07</v>
      </c>
      <c r="E77" s="64">
        <v>8.26</v>
      </c>
      <c r="F77" s="64">
        <v>23.92</v>
      </c>
      <c r="G77" s="64">
        <v>43.96</v>
      </c>
      <c r="H77" s="64">
        <v>15.69</v>
      </c>
      <c r="I77" s="64">
        <v>3.98</v>
      </c>
      <c r="J77" s="64">
        <v>1.17</v>
      </c>
      <c r="K77" s="64">
        <v>235.99</v>
      </c>
      <c r="L77" s="64">
        <v>42.78</v>
      </c>
      <c r="M77" s="64">
        <v>13.65</v>
      </c>
      <c r="N77" s="64">
        <v>124.6</v>
      </c>
      <c r="O77" s="64">
        <v>0</v>
      </c>
      <c r="P77" s="64">
        <v>0.39</v>
      </c>
      <c r="Q77" s="64">
        <v>9.4</v>
      </c>
      <c r="R77" s="198"/>
      <c r="S77" s="198"/>
      <c r="T77" s="198"/>
      <c r="U77" s="198"/>
    </row>
    <row r="78" spans="1:21" s="12" customFormat="1" x14ac:dyDescent="0.25">
      <c r="A78" s="215" t="s">
        <v>2523</v>
      </c>
      <c r="B78" s="64">
        <v>1.77</v>
      </c>
      <c r="C78" s="64">
        <v>28.7</v>
      </c>
      <c r="D78" s="64">
        <v>52.21</v>
      </c>
      <c r="E78" s="64">
        <v>8.2100000000000009</v>
      </c>
      <c r="F78" s="64">
        <v>22.16</v>
      </c>
      <c r="G78" s="64">
        <v>43.96</v>
      </c>
      <c r="H78" s="64">
        <v>15.69</v>
      </c>
      <c r="I78" s="64">
        <v>3.92</v>
      </c>
      <c r="J78" s="64">
        <v>1.43</v>
      </c>
      <c r="K78" s="64">
        <v>245.76</v>
      </c>
      <c r="L78" s="64">
        <v>42.49</v>
      </c>
      <c r="M78" s="64">
        <v>14.05</v>
      </c>
      <c r="N78" s="64">
        <v>114.4</v>
      </c>
      <c r="O78" s="64">
        <v>0</v>
      </c>
      <c r="P78" s="64">
        <v>0.43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5" t="s">
        <v>2524</v>
      </c>
      <c r="B79" s="64">
        <v>5.63</v>
      </c>
      <c r="C79" s="64">
        <v>36.49</v>
      </c>
      <c r="D79" s="64">
        <v>61.2</v>
      </c>
      <c r="E79" s="64">
        <v>5.97</v>
      </c>
      <c r="F79" s="64">
        <v>11.79</v>
      </c>
      <c r="G79" s="64">
        <v>43.96</v>
      </c>
      <c r="H79" s="64">
        <v>15.69</v>
      </c>
      <c r="I79" s="64">
        <v>4</v>
      </c>
      <c r="J79" s="64">
        <v>1.73</v>
      </c>
      <c r="K79" s="64">
        <v>277.94</v>
      </c>
      <c r="L79" s="64">
        <v>42.11</v>
      </c>
      <c r="M79" s="64">
        <v>12.57</v>
      </c>
      <c r="N79" s="64">
        <v>103.7</v>
      </c>
      <c r="O79" s="64">
        <v>0</v>
      </c>
      <c r="P79" s="64">
        <v>0.53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5" t="s">
        <v>2525</v>
      </c>
      <c r="B80" s="64">
        <v>7.37</v>
      </c>
      <c r="C80" s="64">
        <v>40.25</v>
      </c>
      <c r="D80" s="64">
        <v>65.73</v>
      </c>
      <c r="E80" s="64">
        <v>3.95</v>
      </c>
      <c r="F80" s="64">
        <v>12.18</v>
      </c>
      <c r="G80" s="64">
        <v>43.49</v>
      </c>
      <c r="H80" s="64">
        <v>15.1</v>
      </c>
      <c r="I80" s="64">
        <v>3.99</v>
      </c>
      <c r="J80" s="64">
        <v>1.56</v>
      </c>
      <c r="K80" s="64">
        <v>283.83999999999997</v>
      </c>
      <c r="L80" s="64">
        <v>41.49</v>
      </c>
      <c r="M80" s="64">
        <v>12.47</v>
      </c>
      <c r="N80" s="64">
        <v>89.6</v>
      </c>
      <c r="O80" s="64">
        <v>0</v>
      </c>
      <c r="P80" s="64">
        <v>0.64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5" t="s">
        <v>2526</v>
      </c>
      <c r="B81" s="64">
        <v>8.77</v>
      </c>
      <c r="C81" s="64">
        <v>42.21</v>
      </c>
      <c r="D81" s="64">
        <v>67.34</v>
      </c>
      <c r="E81" s="64">
        <v>4.82</v>
      </c>
      <c r="F81" s="64">
        <v>12.41</v>
      </c>
      <c r="G81" s="64">
        <v>43.37</v>
      </c>
      <c r="H81" s="64">
        <v>14.94</v>
      </c>
      <c r="I81" s="64">
        <v>3.92</v>
      </c>
      <c r="J81" s="64">
        <v>1.95</v>
      </c>
      <c r="K81" s="64">
        <v>290.42</v>
      </c>
      <c r="L81" s="64">
        <v>40.69</v>
      </c>
      <c r="M81" s="64">
        <v>13</v>
      </c>
      <c r="N81" s="64">
        <v>75.7</v>
      </c>
      <c r="O81" s="64">
        <v>0</v>
      </c>
      <c r="P81" s="64">
        <v>0.67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15" t="s">
        <v>2527</v>
      </c>
      <c r="B82" s="64">
        <v>4.72</v>
      </c>
      <c r="C82" s="64">
        <v>37.17</v>
      </c>
      <c r="D82" s="64">
        <v>63.89</v>
      </c>
      <c r="E82" s="64">
        <v>4.38</v>
      </c>
      <c r="F82" s="64">
        <v>12.27</v>
      </c>
      <c r="G82" s="64">
        <v>43.37</v>
      </c>
      <c r="H82" s="64">
        <v>14.94</v>
      </c>
      <c r="I82" s="64">
        <v>3.87</v>
      </c>
      <c r="J82" s="64">
        <v>1.7</v>
      </c>
      <c r="K82" s="64">
        <v>280.99</v>
      </c>
      <c r="L82" s="64">
        <v>40.17</v>
      </c>
      <c r="M82" s="64">
        <v>13.35</v>
      </c>
      <c r="N82" s="64">
        <v>69.2</v>
      </c>
      <c r="O82" s="64">
        <v>0</v>
      </c>
      <c r="P82" s="64">
        <v>0.64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5" t="s">
        <v>2528</v>
      </c>
      <c r="B83" s="64">
        <v>5.77</v>
      </c>
      <c r="C83" s="64">
        <v>41.49</v>
      </c>
      <c r="D83" s="64">
        <v>70.540000000000006</v>
      </c>
      <c r="E83" s="64">
        <v>3.84</v>
      </c>
      <c r="F83" s="64">
        <v>12.57</v>
      </c>
      <c r="G83" s="64">
        <v>43.37</v>
      </c>
      <c r="H83" s="64">
        <v>14.94</v>
      </c>
      <c r="I83" s="64">
        <v>4.07</v>
      </c>
      <c r="J83" s="64">
        <v>1.2</v>
      </c>
      <c r="K83" s="64">
        <v>287.97000000000003</v>
      </c>
      <c r="L83" s="64">
        <v>40.03</v>
      </c>
      <c r="M83" s="64">
        <v>13.12</v>
      </c>
      <c r="N83" s="64">
        <v>67.3</v>
      </c>
      <c r="O83" s="64">
        <v>0</v>
      </c>
      <c r="P83" s="64">
        <v>0.68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5" t="s">
        <v>2529</v>
      </c>
      <c r="B84" s="64">
        <v>8.64</v>
      </c>
      <c r="C84" s="64">
        <v>41.98</v>
      </c>
      <c r="D84" s="64">
        <v>67.08</v>
      </c>
      <c r="E84" s="64">
        <v>5.09</v>
      </c>
      <c r="F84" s="64">
        <v>14.8</v>
      </c>
      <c r="G84" s="64">
        <v>43.68</v>
      </c>
      <c r="H84" s="64">
        <v>14.59</v>
      </c>
      <c r="I84" s="64">
        <v>4.01</v>
      </c>
      <c r="J84" s="64">
        <v>2.1</v>
      </c>
      <c r="K84" s="64">
        <v>287.94</v>
      </c>
      <c r="L84" s="64">
        <v>39.659999999999997</v>
      </c>
      <c r="M84" s="64">
        <v>13.84</v>
      </c>
      <c r="N84" s="64">
        <v>67.3</v>
      </c>
      <c r="O84" s="64">
        <v>0</v>
      </c>
      <c r="P84" s="64">
        <v>0.73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5" t="s">
        <v>2530</v>
      </c>
      <c r="B85" s="64">
        <v>31.89</v>
      </c>
      <c r="C85" s="64">
        <v>76.73</v>
      </c>
      <c r="D85" s="64">
        <v>97.92</v>
      </c>
      <c r="E85" s="64">
        <v>6.99</v>
      </c>
      <c r="F85" s="64">
        <v>13.2</v>
      </c>
      <c r="G85" s="64">
        <v>43.76</v>
      </c>
      <c r="H85" s="64">
        <v>14.5</v>
      </c>
      <c r="I85" s="64">
        <v>4.0199999999999996</v>
      </c>
      <c r="J85" s="64">
        <v>2.0699999999999998</v>
      </c>
      <c r="K85" s="64">
        <v>289.14999999999998</v>
      </c>
      <c r="L85" s="64">
        <v>38.65</v>
      </c>
      <c r="M85" s="64">
        <v>16.41</v>
      </c>
      <c r="N85" s="64">
        <v>68</v>
      </c>
      <c r="O85" s="64">
        <v>0</v>
      </c>
      <c r="P85" s="64">
        <v>1.38</v>
      </c>
      <c r="Q85" s="64">
        <v>9.44</v>
      </c>
      <c r="R85" s="198"/>
      <c r="S85" s="198"/>
      <c r="T85" s="198"/>
      <c r="U85" s="198"/>
    </row>
    <row r="86" spans="1:26" s="12" customFormat="1" x14ac:dyDescent="0.25">
      <c r="A86" s="215" t="s">
        <v>2531</v>
      </c>
      <c r="B86" s="64">
        <v>55.75</v>
      </c>
      <c r="C86" s="64">
        <v>104.09</v>
      </c>
      <c r="D86" s="64">
        <v>113.65</v>
      </c>
      <c r="E86" s="64">
        <v>9.69</v>
      </c>
      <c r="F86" s="64">
        <v>9.76</v>
      </c>
      <c r="G86" s="64">
        <v>43.76</v>
      </c>
      <c r="H86" s="64">
        <v>14.5</v>
      </c>
      <c r="I86" s="64">
        <v>4.05</v>
      </c>
      <c r="J86" s="64">
        <v>1.5</v>
      </c>
      <c r="K86" s="64">
        <v>312.54000000000002</v>
      </c>
      <c r="L86" s="64">
        <v>37.86</v>
      </c>
      <c r="M86" s="64">
        <v>17.62</v>
      </c>
      <c r="N86" s="64">
        <v>68.3</v>
      </c>
      <c r="O86" s="64">
        <v>0</v>
      </c>
      <c r="P86" s="64">
        <v>1.87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5" t="s">
        <v>2532</v>
      </c>
      <c r="B87" s="64">
        <v>77.52</v>
      </c>
      <c r="C87" s="64">
        <v>125.67</v>
      </c>
      <c r="D87" s="64">
        <v>121.54</v>
      </c>
      <c r="E87" s="64">
        <v>10.53</v>
      </c>
      <c r="F87" s="64">
        <v>7.62</v>
      </c>
      <c r="G87" s="64">
        <v>43.76</v>
      </c>
      <c r="H87" s="64">
        <v>14.5</v>
      </c>
      <c r="I87" s="64">
        <v>3.86</v>
      </c>
      <c r="J87" s="64">
        <v>1.33</v>
      </c>
      <c r="K87" s="64">
        <v>303.01</v>
      </c>
      <c r="L87" s="64">
        <v>37.08</v>
      </c>
      <c r="M87" s="64">
        <v>18.66</v>
      </c>
      <c r="N87" s="64">
        <v>70.3</v>
      </c>
      <c r="O87" s="64">
        <v>0</v>
      </c>
      <c r="P87" s="64">
        <v>2.27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5" t="s">
        <v>2533</v>
      </c>
      <c r="B88" s="64">
        <v>63.23</v>
      </c>
      <c r="C88" s="64">
        <v>111.88</v>
      </c>
      <c r="D88" s="64">
        <v>117.09</v>
      </c>
      <c r="E88" s="64">
        <v>10.77</v>
      </c>
      <c r="F88" s="64">
        <v>6.15</v>
      </c>
      <c r="G88" s="64">
        <v>50.09</v>
      </c>
      <c r="H88" s="64">
        <v>15.27</v>
      </c>
      <c r="I88" s="64">
        <v>3.81</v>
      </c>
      <c r="J88" s="64">
        <v>0.53</v>
      </c>
      <c r="K88" s="64">
        <v>73.08</v>
      </c>
      <c r="L88" s="64">
        <v>36.58</v>
      </c>
      <c r="M88" s="64">
        <v>19.829999999999998</v>
      </c>
      <c r="N88" s="64">
        <v>73</v>
      </c>
      <c r="O88" s="64">
        <v>0</v>
      </c>
      <c r="P88" s="64">
        <v>2.91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5" t="s">
        <v>2534</v>
      </c>
      <c r="B89" s="64">
        <v>77.94</v>
      </c>
      <c r="C89" s="64">
        <v>125.58</v>
      </c>
      <c r="D89" s="64">
        <v>120.72</v>
      </c>
      <c r="E89" s="64">
        <v>10.28</v>
      </c>
      <c r="F89" s="64">
        <v>5.81</v>
      </c>
      <c r="G89" s="64">
        <v>51.79</v>
      </c>
      <c r="H89" s="64">
        <v>15.49</v>
      </c>
      <c r="I89" s="64">
        <v>4.0599999999999996</v>
      </c>
      <c r="J89" s="64">
        <v>1.21</v>
      </c>
      <c r="K89" s="64">
        <v>279.75</v>
      </c>
      <c r="L89" s="64">
        <v>36.200000000000003</v>
      </c>
      <c r="M89" s="64">
        <v>19.809999999999999</v>
      </c>
      <c r="N89" s="64">
        <v>72.900000000000006</v>
      </c>
      <c r="O89" s="64">
        <v>0</v>
      </c>
      <c r="P89" s="64">
        <v>2.54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5" t="s">
        <v>2535</v>
      </c>
      <c r="B90" s="64">
        <v>46.25</v>
      </c>
      <c r="C90" s="64">
        <v>94.97</v>
      </c>
      <c r="D90" s="64">
        <v>110.79</v>
      </c>
      <c r="E90" s="64">
        <v>9.7799999999999994</v>
      </c>
      <c r="F90" s="64">
        <v>10.49</v>
      </c>
      <c r="G90" s="64">
        <v>51.79</v>
      </c>
      <c r="H90" s="64">
        <v>15.49</v>
      </c>
      <c r="I90" s="64">
        <v>3.8</v>
      </c>
      <c r="J90" s="64">
        <v>1.94</v>
      </c>
      <c r="K90" s="64">
        <v>292.35000000000002</v>
      </c>
      <c r="L90" s="64">
        <v>36.17</v>
      </c>
      <c r="M90" s="64">
        <v>19.57</v>
      </c>
      <c r="N90" s="64">
        <v>72.400000000000006</v>
      </c>
      <c r="O90" s="64">
        <v>0</v>
      </c>
      <c r="P90" s="64">
        <v>2.14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2536</v>
      </c>
      <c r="B91" s="64">
        <v>43.05</v>
      </c>
      <c r="C91" s="64">
        <v>96.54</v>
      </c>
      <c r="D91" s="64">
        <v>118.71</v>
      </c>
      <c r="E91" s="64">
        <v>8.84</v>
      </c>
      <c r="F91" s="64">
        <v>11.64</v>
      </c>
      <c r="G91" s="64">
        <v>51.79</v>
      </c>
      <c r="H91" s="64">
        <v>15.49</v>
      </c>
      <c r="I91" s="64">
        <v>3.8</v>
      </c>
      <c r="J91" s="64">
        <v>1.83</v>
      </c>
      <c r="K91" s="64">
        <v>298.16000000000003</v>
      </c>
      <c r="L91" s="64">
        <v>36.18</v>
      </c>
      <c r="M91" s="64">
        <v>19.32</v>
      </c>
      <c r="N91" s="64">
        <v>72.5</v>
      </c>
      <c r="O91" s="64">
        <v>0</v>
      </c>
      <c r="P91" s="64">
        <v>1.74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5" t="s">
        <v>2537</v>
      </c>
      <c r="B92" s="64">
        <v>74.84</v>
      </c>
      <c r="C92" s="64">
        <v>127.86</v>
      </c>
      <c r="D92" s="64">
        <v>129.85</v>
      </c>
      <c r="E92" s="64">
        <v>8.86</v>
      </c>
      <c r="F92" s="64">
        <v>9.1199999999999992</v>
      </c>
      <c r="G92" s="64">
        <v>60.88</v>
      </c>
      <c r="H92" s="64">
        <v>14.44</v>
      </c>
      <c r="I92" s="64">
        <v>4</v>
      </c>
      <c r="J92" s="64">
        <v>1.25</v>
      </c>
      <c r="K92" s="64">
        <v>333.37</v>
      </c>
      <c r="L92" s="64">
        <v>35.99</v>
      </c>
      <c r="M92" s="64">
        <v>19.29</v>
      </c>
      <c r="N92" s="64">
        <v>73.3</v>
      </c>
      <c r="O92" s="64">
        <v>0</v>
      </c>
      <c r="P92" s="64">
        <v>2.15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5" t="s">
        <v>2538</v>
      </c>
      <c r="B93" s="64">
        <v>114.54</v>
      </c>
      <c r="C93" s="64">
        <v>170</v>
      </c>
      <c r="D93" s="64">
        <v>149.58000000000001</v>
      </c>
      <c r="E93" s="64">
        <v>8.9600000000000009</v>
      </c>
      <c r="F93" s="64">
        <v>6.28</v>
      </c>
      <c r="G93" s="64">
        <v>63.31</v>
      </c>
      <c r="H93" s="64">
        <v>14.14</v>
      </c>
      <c r="I93" s="64">
        <v>3.93</v>
      </c>
      <c r="J93" s="64">
        <v>0.76</v>
      </c>
      <c r="K93" s="64">
        <v>339.39</v>
      </c>
      <c r="L93" s="64">
        <v>35.72</v>
      </c>
      <c r="M93" s="64">
        <v>19.18</v>
      </c>
      <c r="N93" s="64">
        <v>73.400000000000006</v>
      </c>
      <c r="O93" s="64">
        <v>0</v>
      </c>
      <c r="P93" s="64">
        <v>2.42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5" t="s">
        <v>2539</v>
      </c>
      <c r="B94" s="64">
        <v>164.73</v>
      </c>
      <c r="C94" s="64">
        <v>205.92</v>
      </c>
      <c r="D94" s="64">
        <v>141.29</v>
      </c>
      <c r="E94" s="64">
        <v>8.9499999999999993</v>
      </c>
      <c r="F94" s="64">
        <v>5.92</v>
      </c>
      <c r="G94" s="64">
        <v>63.31</v>
      </c>
      <c r="H94" s="64">
        <v>14.14</v>
      </c>
      <c r="I94" s="64">
        <v>3.95</v>
      </c>
      <c r="J94" s="64">
        <v>1.1200000000000001</v>
      </c>
      <c r="K94" s="64">
        <v>14.75</v>
      </c>
      <c r="L94" s="64">
        <v>35.43</v>
      </c>
      <c r="M94" s="64">
        <v>20.96</v>
      </c>
      <c r="N94" s="64">
        <v>73.400000000000006</v>
      </c>
      <c r="O94" s="64">
        <v>0</v>
      </c>
      <c r="P94" s="64">
        <v>2.67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5" t="s">
        <v>2540</v>
      </c>
      <c r="B95" s="64">
        <v>61.03</v>
      </c>
      <c r="C95" s="64">
        <v>113.24</v>
      </c>
      <c r="D95" s="64">
        <v>123.08</v>
      </c>
      <c r="E95" s="64">
        <v>8.8699999999999992</v>
      </c>
      <c r="F95" s="64">
        <v>8.2899999999999991</v>
      </c>
      <c r="G95" s="64">
        <v>63.31</v>
      </c>
      <c r="H95" s="64">
        <v>14.14</v>
      </c>
      <c r="I95" s="64">
        <v>4.09</v>
      </c>
      <c r="J95" s="64">
        <v>0.23</v>
      </c>
      <c r="K95" s="64">
        <v>286.42</v>
      </c>
      <c r="L95" s="64">
        <v>35.1</v>
      </c>
      <c r="M95" s="64">
        <v>22.33</v>
      </c>
      <c r="N95" s="64">
        <v>73.400000000000006</v>
      </c>
      <c r="O95" s="64">
        <v>0</v>
      </c>
      <c r="P95" s="64">
        <v>2.0299999999999998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5" t="s">
        <v>2541</v>
      </c>
      <c r="B96" s="64">
        <v>78.489999999999995</v>
      </c>
      <c r="C96" s="64">
        <v>120.37</v>
      </c>
      <c r="D96" s="64">
        <v>109.91</v>
      </c>
      <c r="E96" s="64">
        <v>7.85</v>
      </c>
      <c r="F96" s="64">
        <v>8.73</v>
      </c>
      <c r="G96" s="64">
        <v>68.34</v>
      </c>
      <c r="H96" s="64">
        <v>19.28</v>
      </c>
      <c r="I96" s="64">
        <v>3.9</v>
      </c>
      <c r="J96" s="64">
        <v>1.66</v>
      </c>
      <c r="K96" s="64">
        <v>332.85</v>
      </c>
      <c r="L96" s="64">
        <v>34.61</v>
      </c>
      <c r="M96" s="64">
        <v>27</v>
      </c>
      <c r="N96" s="64">
        <v>73.099999999999994</v>
      </c>
      <c r="O96" s="64">
        <v>0</v>
      </c>
      <c r="P96" s="64">
        <v>2.4</v>
      </c>
      <c r="Q96" s="64">
        <v>9.76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2542</v>
      </c>
      <c r="B97" s="64">
        <v>28</v>
      </c>
      <c r="C97" s="64">
        <v>61.44</v>
      </c>
      <c r="D97" s="64">
        <v>74.61</v>
      </c>
      <c r="E97" s="64">
        <v>10.39</v>
      </c>
      <c r="F97" s="64">
        <v>15.16</v>
      </c>
      <c r="G97" s="64">
        <v>69.77</v>
      </c>
      <c r="H97" s="64">
        <v>20.74</v>
      </c>
      <c r="I97" s="64">
        <v>3.93</v>
      </c>
      <c r="J97" s="64">
        <v>2.4900000000000002</v>
      </c>
      <c r="K97" s="64">
        <v>304.86</v>
      </c>
      <c r="L97" s="64">
        <v>34.630000000000003</v>
      </c>
      <c r="M97" s="64">
        <v>23.66</v>
      </c>
      <c r="N97" s="64">
        <v>71.3</v>
      </c>
      <c r="O97" s="64">
        <v>0</v>
      </c>
      <c r="P97" s="64">
        <v>1.47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15" t="s">
        <v>2543</v>
      </c>
      <c r="B98" s="64">
        <v>22.71</v>
      </c>
      <c r="C98" s="64">
        <v>54.58</v>
      </c>
      <c r="D98" s="64">
        <v>69.599999999999994</v>
      </c>
      <c r="E98" s="64">
        <v>13.56</v>
      </c>
      <c r="F98" s="64">
        <v>19.760000000000002</v>
      </c>
      <c r="G98" s="64">
        <v>69.77</v>
      </c>
      <c r="H98" s="64">
        <v>20.74</v>
      </c>
      <c r="I98" s="64">
        <v>3.93</v>
      </c>
      <c r="J98" s="64">
        <v>2.39</v>
      </c>
      <c r="K98" s="64">
        <v>306.94</v>
      </c>
      <c r="L98" s="64">
        <v>35.04</v>
      </c>
      <c r="M98" s="64">
        <v>20.99</v>
      </c>
      <c r="N98" s="64">
        <v>72.5</v>
      </c>
      <c r="O98" s="64">
        <v>0</v>
      </c>
      <c r="P98" s="64">
        <v>1.18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15" t="s">
        <v>2544</v>
      </c>
      <c r="B99" s="64">
        <v>20.7</v>
      </c>
      <c r="C99" s="64">
        <v>54.3</v>
      </c>
      <c r="D99" s="64">
        <v>72.150000000000006</v>
      </c>
      <c r="E99" s="64">
        <v>19.84</v>
      </c>
      <c r="F99" s="64">
        <v>17.53</v>
      </c>
      <c r="G99" s="64">
        <v>69.77</v>
      </c>
      <c r="H99" s="64">
        <v>20.74</v>
      </c>
      <c r="I99" s="64">
        <v>4</v>
      </c>
      <c r="J99" s="64">
        <v>2.4900000000000002</v>
      </c>
      <c r="K99" s="64">
        <v>297.75</v>
      </c>
      <c r="L99" s="64">
        <v>35.03</v>
      </c>
      <c r="M99" s="64">
        <v>20.02</v>
      </c>
      <c r="N99" s="64">
        <v>73.099999999999994</v>
      </c>
      <c r="O99" s="64">
        <v>0</v>
      </c>
      <c r="P99" s="64">
        <v>1.19</v>
      </c>
      <c r="Q99" s="64">
        <v>9.84</v>
      </c>
      <c r="R99" s="198"/>
      <c r="S99" s="198"/>
      <c r="T99" s="198"/>
      <c r="U99" s="198"/>
    </row>
    <row r="100" spans="1:33" s="12" customFormat="1" x14ac:dyDescent="0.25">
      <c r="A100" s="215" t="s">
        <v>2545</v>
      </c>
      <c r="B100" s="64">
        <v>18.149999999999999</v>
      </c>
      <c r="C100" s="64">
        <v>52.79</v>
      </c>
      <c r="D100" s="64">
        <v>73.180000000000007</v>
      </c>
      <c r="E100" s="64">
        <v>24.55</v>
      </c>
      <c r="F100" s="64">
        <v>19.39</v>
      </c>
      <c r="G100" s="64">
        <v>74.06</v>
      </c>
      <c r="H100" s="64">
        <v>21.56</v>
      </c>
      <c r="I100" s="64">
        <v>3.95</v>
      </c>
      <c r="J100" s="64">
        <v>2.41</v>
      </c>
      <c r="K100" s="64">
        <v>297.26</v>
      </c>
      <c r="L100" s="64">
        <v>34.729999999999997</v>
      </c>
      <c r="M100" s="64">
        <v>19.28</v>
      </c>
      <c r="N100" s="64">
        <v>73.5</v>
      </c>
      <c r="O100" s="64">
        <v>0</v>
      </c>
      <c r="P100" s="64">
        <v>1.32</v>
      </c>
      <c r="Q100" s="64">
        <v>9.85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2546</v>
      </c>
      <c r="B101" s="64">
        <v>31.03</v>
      </c>
      <c r="C101" s="64">
        <v>74.680000000000007</v>
      </c>
      <c r="D101" s="64">
        <v>95.31</v>
      </c>
      <c r="E101" s="64">
        <v>23.73</v>
      </c>
      <c r="F101" s="64">
        <v>14.26</v>
      </c>
      <c r="G101" s="64">
        <v>75.2</v>
      </c>
      <c r="H101" s="64">
        <v>21.8</v>
      </c>
      <c r="I101" s="64">
        <v>4.0599999999999996</v>
      </c>
      <c r="J101" s="64">
        <v>1.39</v>
      </c>
      <c r="K101" s="64">
        <v>338.22</v>
      </c>
      <c r="L101" s="64">
        <v>34.520000000000003</v>
      </c>
      <c r="M101" s="64">
        <v>19.05</v>
      </c>
      <c r="N101" s="64">
        <v>74.2</v>
      </c>
      <c r="O101" s="64">
        <v>0</v>
      </c>
      <c r="P101" s="64">
        <v>1.51</v>
      </c>
      <c r="Q101" s="64">
        <v>9.84</v>
      </c>
      <c r="R101" s="198"/>
      <c r="S101" s="198"/>
      <c r="T101" s="198"/>
      <c r="U101" s="198"/>
    </row>
    <row r="102" spans="1:33" s="12" customFormat="1" x14ac:dyDescent="0.25">
      <c r="A102" s="215" t="s">
        <v>2547</v>
      </c>
      <c r="B102" s="64">
        <v>43.97</v>
      </c>
      <c r="C102" s="64">
        <v>94.65</v>
      </c>
      <c r="D102" s="64">
        <v>113.68</v>
      </c>
      <c r="E102" s="64">
        <v>21.59</v>
      </c>
      <c r="F102" s="64">
        <v>9.4600000000000009</v>
      </c>
      <c r="G102" s="64">
        <v>75.2</v>
      </c>
      <c r="H102" s="64">
        <v>21.8</v>
      </c>
      <c r="I102" s="64">
        <v>3.98</v>
      </c>
      <c r="J102" s="64">
        <v>0.66</v>
      </c>
      <c r="K102" s="64">
        <v>232.7</v>
      </c>
      <c r="L102" s="64">
        <v>34.29</v>
      </c>
      <c r="M102" s="64">
        <v>21.35</v>
      </c>
      <c r="N102" s="64">
        <v>74.599999999999994</v>
      </c>
      <c r="O102" s="64">
        <v>0</v>
      </c>
      <c r="P102" s="64">
        <v>1.5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5" t="s">
        <v>2548</v>
      </c>
      <c r="B103" s="64">
        <v>47.31</v>
      </c>
      <c r="C103" s="64">
        <v>94.17</v>
      </c>
      <c r="D103" s="64">
        <v>107.62</v>
      </c>
      <c r="E103" s="64">
        <v>13.37</v>
      </c>
      <c r="F103" s="64">
        <v>9</v>
      </c>
      <c r="G103" s="64">
        <v>75.2</v>
      </c>
      <c r="H103" s="64">
        <v>21.8</v>
      </c>
      <c r="I103" s="64">
        <v>4.0599999999999996</v>
      </c>
      <c r="J103" s="64">
        <v>1.42</v>
      </c>
      <c r="K103" s="64">
        <v>32.520000000000003</v>
      </c>
      <c r="L103" s="64">
        <v>33.58</v>
      </c>
      <c r="M103" s="64">
        <v>23.02</v>
      </c>
      <c r="N103" s="64">
        <v>74.5</v>
      </c>
      <c r="O103" s="64">
        <v>0</v>
      </c>
      <c r="P103" s="64">
        <v>1.54</v>
      </c>
      <c r="Q103" s="64">
        <v>9.81</v>
      </c>
      <c r="R103" s="198"/>
      <c r="S103" s="198"/>
      <c r="T103" s="198"/>
      <c r="U103" s="198"/>
    </row>
    <row r="104" spans="1:33" s="12" customFormat="1" x14ac:dyDescent="0.25">
      <c r="A104" s="215" t="s">
        <v>2549</v>
      </c>
      <c r="B104" s="64">
        <v>27.11</v>
      </c>
      <c r="C104" s="64">
        <v>76.290000000000006</v>
      </c>
      <c r="D104" s="64">
        <v>104.4</v>
      </c>
      <c r="E104" s="64">
        <v>9.67</v>
      </c>
      <c r="F104" s="64">
        <v>10.59</v>
      </c>
      <c r="G104" s="64">
        <v>82.37</v>
      </c>
      <c r="H104" s="64">
        <v>28.36</v>
      </c>
      <c r="I104" s="64">
        <v>3.99</v>
      </c>
      <c r="J104" s="64">
        <v>1.43</v>
      </c>
      <c r="K104" s="64">
        <v>228.9</v>
      </c>
      <c r="L104" s="64">
        <v>33.28</v>
      </c>
      <c r="M104" s="64">
        <v>24.83</v>
      </c>
      <c r="N104" s="64">
        <v>76.5</v>
      </c>
      <c r="O104" s="64">
        <v>0</v>
      </c>
      <c r="P104" s="64">
        <v>1.24</v>
      </c>
      <c r="Q104" s="64">
        <v>9.83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16.39</v>
      </c>
      <c r="D106" s="67">
        <f t="shared" ref="D106:Q106" si="0">MIN(D9:D104)</f>
        <v>24.9</v>
      </c>
      <c r="E106" s="67">
        <f t="shared" si="0"/>
        <v>2.91</v>
      </c>
      <c r="F106" s="67">
        <f t="shared" si="0"/>
        <v>5.81</v>
      </c>
      <c r="G106" s="67">
        <f t="shared" si="0"/>
        <v>43.37</v>
      </c>
      <c r="H106" s="67">
        <f t="shared" si="0"/>
        <v>14.14</v>
      </c>
      <c r="I106" s="67">
        <f t="shared" si="0"/>
        <v>3.78</v>
      </c>
      <c r="J106" s="67">
        <f t="shared" si="0"/>
        <v>0.23</v>
      </c>
      <c r="K106" s="67">
        <f t="shared" si="0"/>
        <v>14.75</v>
      </c>
      <c r="L106" s="67">
        <f t="shared" si="0"/>
        <v>32.299999999999997</v>
      </c>
      <c r="M106" s="67">
        <f t="shared" si="0"/>
        <v>11.71</v>
      </c>
      <c r="N106" s="67">
        <f t="shared" si="0"/>
        <v>49.1</v>
      </c>
      <c r="O106" s="67">
        <f t="shared" si="0"/>
        <v>0</v>
      </c>
      <c r="P106" s="67">
        <f t="shared" si="0"/>
        <v>0.13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164.73</v>
      </c>
      <c r="C107" s="66">
        <f t="shared" ref="C107:Q107" si="1">MAX(C9:C104)</f>
        <v>205.92</v>
      </c>
      <c r="D107" s="66">
        <f t="shared" si="1"/>
        <v>149.58000000000001</v>
      </c>
      <c r="E107" s="66">
        <f t="shared" si="1"/>
        <v>24.55</v>
      </c>
      <c r="F107" s="66">
        <f t="shared" si="1"/>
        <v>28.6</v>
      </c>
      <c r="G107" s="66">
        <f t="shared" si="1"/>
        <v>123.87</v>
      </c>
      <c r="H107" s="66">
        <f t="shared" si="1"/>
        <v>46.18</v>
      </c>
      <c r="I107" s="66">
        <f t="shared" si="1"/>
        <v>4.17</v>
      </c>
      <c r="J107" s="66">
        <f t="shared" si="1"/>
        <v>3.52</v>
      </c>
      <c r="K107" s="66">
        <f t="shared" si="1"/>
        <v>339.39</v>
      </c>
      <c r="L107" s="66">
        <f t="shared" si="1"/>
        <v>46.46</v>
      </c>
      <c r="M107" s="66">
        <f t="shared" si="1"/>
        <v>44.7</v>
      </c>
      <c r="N107" s="66">
        <f t="shared" si="1"/>
        <v>1007.7</v>
      </c>
      <c r="O107" s="66">
        <f t="shared" si="1"/>
        <v>0</v>
      </c>
      <c r="P107" s="66">
        <f t="shared" si="1"/>
        <v>2.91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16.551354166666666</v>
      </c>
      <c r="C108" s="67">
        <f t="shared" ref="C108:Q108" si="2">AVERAGE(C9:C104)</f>
        <v>45.898333333333333</v>
      </c>
      <c r="D108" s="67">
        <f t="shared" si="2"/>
        <v>62.443750000000016</v>
      </c>
      <c r="E108" s="67">
        <f t="shared" si="2"/>
        <v>8.0382291666666674</v>
      </c>
      <c r="F108" s="67">
        <f t="shared" si="2"/>
        <v>15.102916666666665</v>
      </c>
      <c r="G108" s="67">
        <f t="shared" si="2"/>
        <v>57.065208333333381</v>
      </c>
      <c r="H108" s="67">
        <f t="shared" si="2"/>
        <v>21.077916666666656</v>
      </c>
      <c r="I108" s="67">
        <f t="shared" si="2"/>
        <v>3.9747916666666669</v>
      </c>
      <c r="J108" s="67">
        <f t="shared" si="2"/>
        <v>1.7462499999999992</v>
      </c>
      <c r="K108" s="67">
        <f t="shared" si="2"/>
        <v>252.79791666666654</v>
      </c>
      <c r="L108" s="67">
        <f t="shared" si="2"/>
        <v>38.28572916666667</v>
      </c>
      <c r="M108" s="67">
        <f t="shared" si="2"/>
        <v>26.062708333333333</v>
      </c>
      <c r="N108" s="67">
        <f t="shared" si="2"/>
        <v>291.89166666666671</v>
      </c>
      <c r="O108" s="67">
        <f t="shared" si="2"/>
        <v>0</v>
      </c>
      <c r="P108" s="67">
        <f t="shared" si="2"/>
        <v>0.78291666666666659</v>
      </c>
      <c r="Q108" s="67">
        <f t="shared" si="2"/>
        <v>9.5828125000000028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26.730979725672199</v>
      </c>
      <c r="C109" s="67">
        <f t="shared" ref="C109:Q109" si="3">STDEV(C9:C104)</f>
        <v>34.384883816696522</v>
      </c>
      <c r="D109" s="67">
        <f t="shared" si="3"/>
        <v>26.973408747759002</v>
      </c>
      <c r="E109" s="67">
        <f t="shared" si="3"/>
        <v>4.0625651722167833</v>
      </c>
      <c r="F109" s="67">
        <f t="shared" si="3"/>
        <v>5.4528068902590032</v>
      </c>
      <c r="G109" s="67">
        <f t="shared" si="3"/>
        <v>18.202674527555899</v>
      </c>
      <c r="H109" s="67">
        <f t="shared" si="3"/>
        <v>7.2522461009519041</v>
      </c>
      <c r="I109" s="67">
        <f t="shared" si="3"/>
        <v>8.4691131290697996E-2</v>
      </c>
      <c r="J109" s="67">
        <f t="shared" si="3"/>
        <v>0.57449153720119606</v>
      </c>
      <c r="K109" s="67">
        <f t="shared" si="3"/>
        <v>53.249862049076405</v>
      </c>
      <c r="L109" s="67">
        <f t="shared" si="3"/>
        <v>4.5216389075297823</v>
      </c>
      <c r="M109" s="67">
        <f t="shared" si="3"/>
        <v>11.221200187161381</v>
      </c>
      <c r="N109" s="67">
        <f t="shared" si="3"/>
        <v>323.12413116378468</v>
      </c>
      <c r="O109" s="67">
        <f t="shared" si="3"/>
        <v>0</v>
      </c>
      <c r="P109" s="67">
        <f t="shared" si="3"/>
        <v>0.63268503291700595</v>
      </c>
      <c r="Q109" s="67">
        <f t="shared" si="3"/>
        <v>0.13096165067441845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2550</v>
      </c>
      <c r="B9" s="64">
        <v>26.01</v>
      </c>
      <c r="C9" s="64">
        <v>69.64</v>
      </c>
      <c r="D9" s="64">
        <v>93.37</v>
      </c>
      <c r="E9" s="64">
        <v>9.09</v>
      </c>
      <c r="F9" s="64">
        <v>9.8699999999999992</v>
      </c>
      <c r="G9" s="64">
        <v>84.29</v>
      </c>
      <c r="H9" s="64">
        <v>30.24</v>
      </c>
      <c r="I9" s="64">
        <v>3.97</v>
      </c>
      <c r="J9" s="64">
        <v>1.0900000000000001</v>
      </c>
      <c r="K9" s="64">
        <v>266.86</v>
      </c>
      <c r="L9" s="64">
        <v>32.6</v>
      </c>
      <c r="M9" s="64">
        <v>28.31</v>
      </c>
      <c r="N9" s="64">
        <v>89.5</v>
      </c>
      <c r="O9" s="64">
        <v>0</v>
      </c>
      <c r="P9" s="64">
        <v>1.26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15" t="s">
        <v>2551</v>
      </c>
      <c r="B10" s="64">
        <v>23.96</v>
      </c>
      <c r="C10" s="64">
        <v>67.53</v>
      </c>
      <c r="D10" s="64">
        <v>92.47</v>
      </c>
      <c r="E10" s="64">
        <v>5.81</v>
      </c>
      <c r="F10" s="64">
        <v>6.7</v>
      </c>
      <c r="G10" s="64">
        <v>84.29</v>
      </c>
      <c r="H10" s="64">
        <v>30.24</v>
      </c>
      <c r="I10" s="64">
        <v>3.99</v>
      </c>
      <c r="J10" s="64">
        <v>1.41</v>
      </c>
      <c r="K10" s="64">
        <v>206</v>
      </c>
      <c r="L10" s="64">
        <v>32.43</v>
      </c>
      <c r="M10" s="64">
        <v>30.27</v>
      </c>
      <c r="N10" s="64">
        <v>100</v>
      </c>
      <c r="O10" s="64">
        <v>0</v>
      </c>
      <c r="P10" s="64">
        <v>1.05</v>
      </c>
      <c r="Q10" s="64">
        <v>9.86</v>
      </c>
      <c r="R10" s="198"/>
      <c r="S10" s="198"/>
      <c r="T10" s="198"/>
      <c r="U10" s="198"/>
    </row>
    <row r="11" spans="1:21" s="12" customFormat="1" x14ac:dyDescent="0.25">
      <c r="A11" s="215" t="s">
        <v>2552</v>
      </c>
      <c r="B11" s="64">
        <v>16.739999999999998</v>
      </c>
      <c r="C11" s="64">
        <v>52.44</v>
      </c>
      <c r="D11" s="64">
        <v>74.66</v>
      </c>
      <c r="E11" s="64">
        <v>6.11</v>
      </c>
      <c r="F11" s="64">
        <v>9.27</v>
      </c>
      <c r="G11" s="64">
        <v>84.29</v>
      </c>
      <c r="H11" s="64">
        <v>30.24</v>
      </c>
      <c r="I11" s="64">
        <v>4.07</v>
      </c>
      <c r="J11" s="64">
        <v>2.38</v>
      </c>
      <c r="K11" s="64">
        <v>208.67</v>
      </c>
      <c r="L11" s="64">
        <v>32.130000000000003</v>
      </c>
      <c r="M11" s="64">
        <v>30.33</v>
      </c>
      <c r="N11" s="64">
        <v>110.2</v>
      </c>
      <c r="O11" s="64">
        <v>0</v>
      </c>
      <c r="P11" s="64">
        <v>0.97</v>
      </c>
      <c r="Q11" s="64">
        <v>9.8699999999999992</v>
      </c>
      <c r="R11" s="198"/>
      <c r="S11" s="198"/>
      <c r="T11" s="198"/>
      <c r="U11" s="198"/>
    </row>
    <row r="12" spans="1:21" s="12" customFormat="1" x14ac:dyDescent="0.25">
      <c r="A12" s="215" t="s">
        <v>2553</v>
      </c>
      <c r="B12" s="64">
        <v>11.03</v>
      </c>
      <c r="C12" s="64">
        <v>35.96</v>
      </c>
      <c r="D12" s="64">
        <v>51.9</v>
      </c>
      <c r="E12" s="64">
        <v>7.3</v>
      </c>
      <c r="F12" s="64">
        <v>11.77</v>
      </c>
      <c r="G12" s="64">
        <v>84.32</v>
      </c>
      <c r="H12" s="64">
        <v>28.86</v>
      </c>
      <c r="I12" s="64">
        <v>4.05</v>
      </c>
      <c r="J12" s="64">
        <v>1.58</v>
      </c>
      <c r="K12" s="64">
        <v>188.32</v>
      </c>
      <c r="L12" s="64">
        <v>31.17</v>
      </c>
      <c r="M12" s="64">
        <v>34.049999999999997</v>
      </c>
      <c r="N12" s="64">
        <v>123.9</v>
      </c>
      <c r="O12" s="64">
        <v>0</v>
      </c>
      <c r="P12" s="64">
        <v>1.01</v>
      </c>
      <c r="Q12" s="64">
        <v>9.92</v>
      </c>
      <c r="R12" s="198"/>
      <c r="S12" s="198"/>
      <c r="T12" s="198"/>
      <c r="U12" s="198"/>
    </row>
    <row r="13" spans="1:21" s="12" customFormat="1" x14ac:dyDescent="0.25">
      <c r="A13" s="215" t="s">
        <v>2554</v>
      </c>
      <c r="B13" s="64">
        <v>8.18</v>
      </c>
      <c r="C13" s="64">
        <v>34</v>
      </c>
      <c r="D13" s="64">
        <v>52.53</v>
      </c>
      <c r="E13" s="64">
        <v>8.75</v>
      </c>
      <c r="F13" s="64">
        <v>12.79</v>
      </c>
      <c r="G13" s="64">
        <v>84.34</v>
      </c>
      <c r="H13" s="64">
        <v>28.46</v>
      </c>
      <c r="I13" s="64">
        <v>4.12</v>
      </c>
      <c r="J13" s="64">
        <v>0.77</v>
      </c>
      <c r="K13" s="64">
        <v>252.99</v>
      </c>
      <c r="L13" s="64">
        <v>30.93</v>
      </c>
      <c r="M13" s="64">
        <v>34.200000000000003</v>
      </c>
      <c r="N13" s="64">
        <v>123.4</v>
      </c>
      <c r="O13" s="64">
        <v>0</v>
      </c>
      <c r="P13" s="64">
        <v>0.77</v>
      </c>
      <c r="Q13" s="64">
        <v>9.9</v>
      </c>
      <c r="R13" s="198"/>
      <c r="S13" s="198"/>
      <c r="T13" s="198"/>
      <c r="U13" s="198"/>
    </row>
    <row r="14" spans="1:21" s="12" customFormat="1" x14ac:dyDescent="0.25">
      <c r="A14" s="215" t="s">
        <v>2555</v>
      </c>
      <c r="B14" s="64">
        <v>5.82</v>
      </c>
      <c r="C14" s="64">
        <v>34.17</v>
      </c>
      <c r="D14" s="64">
        <v>56.46</v>
      </c>
      <c r="E14" s="64">
        <v>10.26</v>
      </c>
      <c r="F14" s="64">
        <v>13.86</v>
      </c>
      <c r="G14" s="64">
        <v>84.34</v>
      </c>
      <c r="H14" s="64">
        <v>28.46</v>
      </c>
      <c r="I14" s="64">
        <v>3.94</v>
      </c>
      <c r="J14" s="64">
        <v>1.35</v>
      </c>
      <c r="K14" s="64">
        <v>279.27</v>
      </c>
      <c r="L14" s="64">
        <v>30.82</v>
      </c>
      <c r="M14" s="64">
        <v>32.18</v>
      </c>
      <c r="N14" s="64">
        <v>122.9</v>
      </c>
      <c r="O14" s="64">
        <v>0</v>
      </c>
      <c r="P14" s="64">
        <v>0.84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5" t="s">
        <v>2556</v>
      </c>
      <c r="B15" s="64">
        <v>8.39</v>
      </c>
      <c r="C15" s="64">
        <v>29.79</v>
      </c>
      <c r="D15" s="64">
        <v>44.15</v>
      </c>
      <c r="E15" s="64">
        <v>11.51</v>
      </c>
      <c r="F15" s="64">
        <v>18.38</v>
      </c>
      <c r="G15" s="64">
        <v>84.34</v>
      </c>
      <c r="H15" s="64">
        <v>28.46</v>
      </c>
      <c r="I15" s="64">
        <v>4.08</v>
      </c>
      <c r="J15" s="64">
        <v>1.32</v>
      </c>
      <c r="K15" s="64">
        <v>264.01</v>
      </c>
      <c r="L15" s="64">
        <v>32.25</v>
      </c>
      <c r="M15" s="64">
        <v>28.29</v>
      </c>
      <c r="N15" s="64">
        <v>116.8</v>
      </c>
      <c r="O15" s="64">
        <v>0</v>
      </c>
      <c r="P15" s="64">
        <v>0.67</v>
      </c>
      <c r="Q15" s="64">
        <v>9.93</v>
      </c>
      <c r="R15" s="198"/>
      <c r="S15" s="198"/>
      <c r="T15" s="198"/>
      <c r="U15" s="198"/>
    </row>
    <row r="16" spans="1:21" s="12" customFormat="1" x14ac:dyDescent="0.25">
      <c r="A16" s="215" t="s">
        <v>2557</v>
      </c>
      <c r="B16" s="64">
        <v>17.84</v>
      </c>
      <c r="C16" s="64">
        <v>42.16</v>
      </c>
      <c r="D16" s="64">
        <v>53.31</v>
      </c>
      <c r="E16" s="64">
        <v>7.97</v>
      </c>
      <c r="F16" s="64">
        <v>13.93</v>
      </c>
      <c r="G16" s="64">
        <v>84.28</v>
      </c>
      <c r="H16" s="64">
        <v>27.7</v>
      </c>
      <c r="I16" s="64">
        <v>3.93</v>
      </c>
      <c r="J16" s="64">
        <v>1.0900000000000001</v>
      </c>
      <c r="K16" s="64">
        <v>272.52</v>
      </c>
      <c r="L16" s="64">
        <v>33.28</v>
      </c>
      <c r="M16" s="64">
        <v>29.76</v>
      </c>
      <c r="N16" s="64">
        <v>122.2</v>
      </c>
      <c r="O16" s="64">
        <v>0</v>
      </c>
      <c r="P16" s="64">
        <v>0.89</v>
      </c>
      <c r="Q16" s="64">
        <v>9.93</v>
      </c>
      <c r="R16" s="198"/>
      <c r="S16" s="198"/>
      <c r="T16" s="198"/>
      <c r="U16" s="198"/>
    </row>
    <row r="17" spans="1:21" s="12" customFormat="1" x14ac:dyDescent="0.25">
      <c r="A17" s="215" t="s">
        <v>2558</v>
      </c>
      <c r="B17" s="64">
        <v>14.99</v>
      </c>
      <c r="C17" s="64">
        <v>38.700000000000003</v>
      </c>
      <c r="D17" s="64">
        <v>51.06</v>
      </c>
      <c r="E17" s="64">
        <v>5.88</v>
      </c>
      <c r="F17" s="64">
        <v>13.99</v>
      </c>
      <c r="G17" s="64">
        <v>84.26</v>
      </c>
      <c r="H17" s="64">
        <v>27.48</v>
      </c>
      <c r="I17" s="64">
        <v>3.96</v>
      </c>
      <c r="J17" s="64">
        <v>1.33</v>
      </c>
      <c r="K17" s="64">
        <v>259.5</v>
      </c>
      <c r="L17" s="64">
        <v>33.43</v>
      </c>
      <c r="M17" s="64">
        <v>32.700000000000003</v>
      </c>
      <c r="N17" s="64">
        <v>127.7</v>
      </c>
      <c r="O17" s="64">
        <v>0</v>
      </c>
      <c r="P17" s="64">
        <v>0.79</v>
      </c>
      <c r="Q17" s="64">
        <v>9.92</v>
      </c>
      <c r="R17" s="198"/>
      <c r="S17" s="198"/>
      <c r="T17" s="198"/>
      <c r="U17" s="198"/>
    </row>
    <row r="18" spans="1:21" s="12" customFormat="1" x14ac:dyDescent="0.25">
      <c r="A18" s="215" t="s">
        <v>2559</v>
      </c>
      <c r="B18" s="64">
        <v>8.1300000000000008</v>
      </c>
      <c r="C18" s="64">
        <v>29.37</v>
      </c>
      <c r="D18" s="64">
        <v>43.74</v>
      </c>
      <c r="E18" s="64">
        <v>6.27</v>
      </c>
      <c r="F18" s="64">
        <v>16.86</v>
      </c>
      <c r="G18" s="64">
        <v>84.26</v>
      </c>
      <c r="H18" s="64">
        <v>27.48</v>
      </c>
      <c r="I18" s="64">
        <v>3.95</v>
      </c>
      <c r="J18" s="64">
        <v>1.31</v>
      </c>
      <c r="K18" s="64">
        <v>276.98</v>
      </c>
      <c r="L18" s="64">
        <v>33.18</v>
      </c>
      <c r="M18" s="64">
        <v>35.32</v>
      </c>
      <c r="N18" s="64">
        <v>148.1</v>
      </c>
      <c r="O18" s="64">
        <v>0</v>
      </c>
      <c r="P18" s="64">
        <v>0.56000000000000005</v>
      </c>
      <c r="Q18" s="64">
        <v>9.91</v>
      </c>
      <c r="R18" s="198"/>
      <c r="S18" s="198"/>
      <c r="T18" s="198"/>
      <c r="U18" s="198"/>
    </row>
    <row r="19" spans="1:21" s="12" customFormat="1" x14ac:dyDescent="0.25">
      <c r="A19" s="215" t="s">
        <v>2560</v>
      </c>
      <c r="B19" s="64">
        <v>3.64</v>
      </c>
      <c r="C19" s="64">
        <v>22.17</v>
      </c>
      <c r="D19" s="64">
        <v>36.840000000000003</v>
      </c>
      <c r="E19" s="64">
        <v>6.8</v>
      </c>
      <c r="F19" s="64">
        <v>18.64</v>
      </c>
      <c r="G19" s="64">
        <v>84.26</v>
      </c>
      <c r="H19" s="64">
        <v>27.48</v>
      </c>
      <c r="I19" s="64">
        <v>4.0999999999999996</v>
      </c>
      <c r="J19" s="64">
        <v>1.63</v>
      </c>
      <c r="K19" s="64">
        <v>228.76</v>
      </c>
      <c r="L19" s="64">
        <v>32.99</v>
      </c>
      <c r="M19" s="64">
        <v>36.549999999999997</v>
      </c>
      <c r="N19" s="64">
        <v>134</v>
      </c>
      <c r="O19" s="64">
        <v>0</v>
      </c>
      <c r="P19" s="64">
        <v>0.3</v>
      </c>
      <c r="Q19" s="64">
        <v>9.92</v>
      </c>
      <c r="R19" s="198"/>
      <c r="S19" s="198"/>
      <c r="T19" s="198"/>
      <c r="U19" s="198"/>
    </row>
    <row r="20" spans="1:21" s="12" customFormat="1" x14ac:dyDescent="0.25">
      <c r="A20" s="215" t="s">
        <v>2561</v>
      </c>
      <c r="B20" s="64">
        <v>6.19</v>
      </c>
      <c r="C20" s="64">
        <v>26.14</v>
      </c>
      <c r="D20" s="64">
        <v>40.54</v>
      </c>
      <c r="E20" s="64">
        <v>6.2</v>
      </c>
      <c r="F20" s="64">
        <v>16</v>
      </c>
      <c r="G20" s="64">
        <v>73.3</v>
      </c>
      <c r="H20" s="64">
        <v>24.67</v>
      </c>
      <c r="I20" s="64">
        <v>4.0199999999999996</v>
      </c>
      <c r="J20" s="64">
        <v>1.31</v>
      </c>
      <c r="K20" s="64">
        <v>258.52999999999997</v>
      </c>
      <c r="L20" s="64">
        <v>33.130000000000003</v>
      </c>
      <c r="M20" s="64">
        <v>36.79</v>
      </c>
      <c r="N20" s="64">
        <v>125.4</v>
      </c>
      <c r="O20" s="64">
        <v>0</v>
      </c>
      <c r="P20" s="64">
        <v>0.4</v>
      </c>
      <c r="Q20" s="64">
        <v>9.93</v>
      </c>
      <c r="R20" s="198"/>
      <c r="S20" s="198"/>
      <c r="T20" s="198"/>
      <c r="U20" s="198"/>
    </row>
    <row r="21" spans="1:21" s="12" customFormat="1" x14ac:dyDescent="0.25">
      <c r="A21" s="215" t="s">
        <v>2562</v>
      </c>
      <c r="B21" s="64">
        <v>2.82</v>
      </c>
      <c r="C21" s="64">
        <v>20.170000000000002</v>
      </c>
      <c r="D21" s="64">
        <v>34.28</v>
      </c>
      <c r="E21" s="64">
        <v>6.66</v>
      </c>
      <c r="F21" s="64">
        <v>17.16</v>
      </c>
      <c r="G21" s="64">
        <v>70.17</v>
      </c>
      <c r="H21" s="64">
        <v>23.86</v>
      </c>
      <c r="I21" s="64">
        <v>4.09</v>
      </c>
      <c r="J21" s="64">
        <v>1.4</v>
      </c>
      <c r="K21" s="64">
        <v>251.55</v>
      </c>
      <c r="L21" s="64">
        <v>33.03</v>
      </c>
      <c r="M21" s="64">
        <v>37.18</v>
      </c>
      <c r="N21" s="64">
        <v>122.4</v>
      </c>
      <c r="O21" s="64">
        <v>0</v>
      </c>
      <c r="P21" s="64">
        <v>0.25</v>
      </c>
      <c r="Q21" s="64">
        <v>9.93</v>
      </c>
      <c r="R21" s="198"/>
      <c r="S21" s="198"/>
      <c r="T21" s="198"/>
      <c r="U21" s="198"/>
    </row>
    <row r="22" spans="1:21" s="12" customFormat="1" x14ac:dyDescent="0.25">
      <c r="A22" s="215" t="s">
        <v>2563</v>
      </c>
      <c r="B22" s="64">
        <v>4.68</v>
      </c>
      <c r="C22" s="64">
        <v>25.84</v>
      </c>
      <c r="D22" s="64">
        <v>42.27</v>
      </c>
      <c r="E22" s="64">
        <v>5.59</v>
      </c>
      <c r="F22" s="64">
        <v>14.77</v>
      </c>
      <c r="G22" s="64">
        <v>70.17</v>
      </c>
      <c r="H22" s="64">
        <v>23.86</v>
      </c>
      <c r="I22" s="64">
        <v>3.96</v>
      </c>
      <c r="J22" s="64">
        <v>1.0900000000000001</v>
      </c>
      <c r="K22" s="64">
        <v>232.76</v>
      </c>
      <c r="L22" s="64">
        <v>33.090000000000003</v>
      </c>
      <c r="M22" s="64">
        <v>36.92</v>
      </c>
      <c r="N22" s="64">
        <v>121</v>
      </c>
      <c r="O22" s="64">
        <v>0</v>
      </c>
      <c r="P22" s="64">
        <v>0.49</v>
      </c>
      <c r="Q22" s="64">
        <v>9.94</v>
      </c>
      <c r="R22" s="198"/>
      <c r="S22" s="198"/>
      <c r="T22" s="198"/>
      <c r="U22" s="198"/>
    </row>
    <row r="23" spans="1:21" s="12" customFormat="1" x14ac:dyDescent="0.25">
      <c r="A23" s="215" t="s">
        <v>2564</v>
      </c>
      <c r="B23" s="64">
        <v>2.62</v>
      </c>
      <c r="C23" s="64">
        <v>22.61</v>
      </c>
      <c r="D23" s="64">
        <v>39.26</v>
      </c>
      <c r="E23" s="64">
        <v>6.7</v>
      </c>
      <c r="F23" s="64">
        <v>16.510000000000002</v>
      </c>
      <c r="G23" s="64">
        <v>70.17</v>
      </c>
      <c r="H23" s="64">
        <v>23.86</v>
      </c>
      <c r="I23" s="64">
        <v>3.95</v>
      </c>
      <c r="J23" s="64">
        <v>1.42</v>
      </c>
      <c r="K23" s="64">
        <v>187.32</v>
      </c>
      <c r="L23" s="64">
        <v>32.47</v>
      </c>
      <c r="M23" s="64">
        <v>39.35</v>
      </c>
      <c r="N23" s="64">
        <v>122.1</v>
      </c>
      <c r="O23" s="64">
        <v>0</v>
      </c>
      <c r="P23" s="64">
        <v>0.31</v>
      </c>
      <c r="Q23" s="64">
        <v>9.94</v>
      </c>
      <c r="R23" s="198"/>
      <c r="S23" s="198"/>
      <c r="T23" s="198"/>
      <c r="U23" s="198"/>
    </row>
    <row r="24" spans="1:21" s="12" customFormat="1" x14ac:dyDescent="0.25">
      <c r="A24" s="215" t="s">
        <v>2565</v>
      </c>
      <c r="B24" s="64">
        <v>3.36</v>
      </c>
      <c r="C24" s="64">
        <v>25.05</v>
      </c>
      <c r="D24" s="64">
        <v>42.78</v>
      </c>
      <c r="E24" s="64">
        <v>6.44</v>
      </c>
      <c r="F24" s="64">
        <v>15.79</v>
      </c>
      <c r="G24" s="64">
        <v>60.94</v>
      </c>
      <c r="H24" s="64">
        <v>21.49</v>
      </c>
      <c r="I24" s="64">
        <v>4.07</v>
      </c>
      <c r="J24" s="64">
        <v>1.68</v>
      </c>
      <c r="K24" s="64">
        <v>241.67</v>
      </c>
      <c r="L24" s="64">
        <v>31.98</v>
      </c>
      <c r="M24" s="64">
        <v>40.31</v>
      </c>
      <c r="N24" s="64">
        <v>119</v>
      </c>
      <c r="O24" s="64">
        <v>0</v>
      </c>
      <c r="P24" s="64">
        <v>0.33</v>
      </c>
      <c r="Q24" s="64">
        <v>9.9600000000000009</v>
      </c>
      <c r="R24" s="198"/>
      <c r="S24" s="198"/>
      <c r="T24" s="198"/>
      <c r="U24" s="198"/>
    </row>
    <row r="25" spans="1:21" s="12" customFormat="1" x14ac:dyDescent="0.25">
      <c r="A25" s="215" t="s">
        <v>2566</v>
      </c>
      <c r="B25" s="64">
        <v>3.35</v>
      </c>
      <c r="C25" s="64">
        <v>26.87</v>
      </c>
      <c r="D25" s="64">
        <v>46.28</v>
      </c>
      <c r="E25" s="64">
        <v>6.14</v>
      </c>
      <c r="F25" s="64">
        <v>14.72</v>
      </c>
      <c r="G25" s="64">
        <v>58.3</v>
      </c>
      <c r="H25" s="64">
        <v>20.82</v>
      </c>
      <c r="I25" s="64">
        <v>4.01</v>
      </c>
      <c r="J25" s="64">
        <v>0.63</v>
      </c>
      <c r="K25" s="64">
        <v>201.35</v>
      </c>
      <c r="L25" s="64">
        <v>31.9</v>
      </c>
      <c r="M25" s="64">
        <v>40.47</v>
      </c>
      <c r="N25" s="64">
        <v>106.4</v>
      </c>
      <c r="O25" s="64">
        <v>0</v>
      </c>
      <c r="P25" s="64">
        <v>0.34</v>
      </c>
      <c r="Q25" s="64">
        <v>9.9700000000000006</v>
      </c>
      <c r="R25" s="198"/>
      <c r="S25" s="198"/>
      <c r="T25" s="198"/>
      <c r="U25" s="198"/>
    </row>
    <row r="26" spans="1:21" s="12" customFormat="1" x14ac:dyDescent="0.25">
      <c r="A26" s="215" t="s">
        <v>2567</v>
      </c>
      <c r="B26" s="64">
        <v>3.05</v>
      </c>
      <c r="C26" s="64">
        <v>24.95</v>
      </c>
      <c r="D26" s="64">
        <v>43.07</v>
      </c>
      <c r="E26" s="64">
        <v>6.26</v>
      </c>
      <c r="F26" s="64">
        <v>16.28</v>
      </c>
      <c r="G26" s="64">
        <v>58.3</v>
      </c>
      <c r="H26" s="64">
        <v>20.82</v>
      </c>
      <c r="I26" s="64">
        <v>3.96</v>
      </c>
      <c r="J26" s="64">
        <v>1.35</v>
      </c>
      <c r="K26" s="64">
        <v>242.43</v>
      </c>
      <c r="L26" s="64">
        <v>31.89</v>
      </c>
      <c r="M26" s="64">
        <v>41.23</v>
      </c>
      <c r="N26" s="64">
        <v>103.1</v>
      </c>
      <c r="O26" s="64">
        <v>0</v>
      </c>
      <c r="P26" s="64">
        <v>0.28999999999999998</v>
      </c>
      <c r="Q26" s="64">
        <v>10</v>
      </c>
      <c r="R26" s="198"/>
      <c r="S26" s="198"/>
      <c r="T26" s="198"/>
      <c r="U26" s="198"/>
    </row>
    <row r="27" spans="1:21" s="12" customFormat="1" x14ac:dyDescent="0.25">
      <c r="A27" s="215" t="s">
        <v>2568</v>
      </c>
      <c r="B27" s="64">
        <v>4.1500000000000004</v>
      </c>
      <c r="C27" s="64">
        <v>28.91</v>
      </c>
      <c r="D27" s="64">
        <v>48.97</v>
      </c>
      <c r="E27" s="64">
        <v>5.94</v>
      </c>
      <c r="F27" s="64">
        <v>13.8</v>
      </c>
      <c r="G27" s="64">
        <v>58.3</v>
      </c>
      <c r="H27" s="64">
        <v>20.82</v>
      </c>
      <c r="I27" s="64">
        <v>4.08</v>
      </c>
      <c r="J27" s="64">
        <v>1.33</v>
      </c>
      <c r="K27" s="64">
        <v>309.44</v>
      </c>
      <c r="L27" s="64">
        <v>31.53</v>
      </c>
      <c r="M27" s="64">
        <v>43.33</v>
      </c>
      <c r="N27" s="64">
        <v>103.5</v>
      </c>
      <c r="O27" s="64">
        <v>0</v>
      </c>
      <c r="P27" s="64">
        <v>0.4</v>
      </c>
      <c r="Q27" s="64">
        <v>10.029999999999999</v>
      </c>
      <c r="R27" s="198"/>
      <c r="S27" s="198"/>
      <c r="T27" s="198"/>
      <c r="U27" s="198"/>
    </row>
    <row r="28" spans="1:21" s="12" customFormat="1" x14ac:dyDescent="0.25">
      <c r="A28" s="215" t="s">
        <v>2569</v>
      </c>
      <c r="B28" s="64">
        <v>10.33</v>
      </c>
      <c r="C28" s="64">
        <v>41.02</v>
      </c>
      <c r="D28" s="64">
        <v>62.65</v>
      </c>
      <c r="E28" s="64">
        <v>5.8</v>
      </c>
      <c r="F28" s="64">
        <v>11.01</v>
      </c>
      <c r="G28" s="64">
        <v>52.55</v>
      </c>
      <c r="H28" s="64">
        <v>18.86</v>
      </c>
      <c r="I28" s="64">
        <v>3.99</v>
      </c>
      <c r="J28" s="64">
        <v>1.4</v>
      </c>
      <c r="K28" s="64">
        <v>288.24</v>
      </c>
      <c r="L28" s="64">
        <v>31.23</v>
      </c>
      <c r="M28" s="64">
        <v>45.52</v>
      </c>
      <c r="N28" s="64">
        <v>105.4</v>
      </c>
      <c r="O28" s="64">
        <v>0</v>
      </c>
      <c r="P28" s="64">
        <v>0.44</v>
      </c>
      <c r="Q28" s="64">
        <v>10.029999999999999</v>
      </c>
      <c r="R28" s="198"/>
      <c r="S28" s="198"/>
      <c r="T28" s="198"/>
      <c r="U28" s="198"/>
    </row>
    <row r="29" spans="1:21" s="12" customFormat="1" x14ac:dyDescent="0.25">
      <c r="A29" s="215" t="s">
        <v>2570</v>
      </c>
      <c r="B29" s="64">
        <v>5.59</v>
      </c>
      <c r="C29" s="64">
        <v>32.9</v>
      </c>
      <c r="D29" s="64">
        <v>54.4</v>
      </c>
      <c r="E29" s="64">
        <v>5.68</v>
      </c>
      <c r="F29" s="64">
        <v>11.31</v>
      </c>
      <c r="G29" s="64">
        <v>50.91</v>
      </c>
      <c r="H29" s="64">
        <v>18.3</v>
      </c>
      <c r="I29" s="64">
        <v>4.1399999999999997</v>
      </c>
      <c r="J29" s="64">
        <v>1.18</v>
      </c>
      <c r="K29" s="64">
        <v>292.75</v>
      </c>
      <c r="L29" s="64">
        <v>30.75</v>
      </c>
      <c r="M29" s="64">
        <v>48.47</v>
      </c>
      <c r="N29" s="64">
        <v>106.7</v>
      </c>
      <c r="O29" s="64">
        <v>0</v>
      </c>
      <c r="P29" s="64">
        <v>0.37</v>
      </c>
      <c r="Q29" s="64">
        <v>10.039999999999999</v>
      </c>
      <c r="R29" s="198"/>
      <c r="S29" s="198"/>
      <c r="T29" s="198"/>
      <c r="U29" s="198"/>
    </row>
    <row r="30" spans="1:21" s="12" customFormat="1" x14ac:dyDescent="0.25">
      <c r="A30" s="215" t="s">
        <v>2571</v>
      </c>
      <c r="B30" s="64">
        <v>51.99</v>
      </c>
      <c r="C30" s="64">
        <v>88.58</v>
      </c>
      <c r="D30" s="64">
        <v>89.74</v>
      </c>
      <c r="E30" s="64">
        <v>5.45</v>
      </c>
      <c r="F30" s="64">
        <v>6.71</v>
      </c>
      <c r="G30" s="64">
        <v>50.91</v>
      </c>
      <c r="H30" s="64">
        <v>18.3</v>
      </c>
      <c r="I30" s="64">
        <v>4.12</v>
      </c>
      <c r="J30" s="64">
        <v>0.2</v>
      </c>
      <c r="K30" s="64">
        <v>332.99</v>
      </c>
      <c r="L30" s="64">
        <v>30.55</v>
      </c>
      <c r="M30" s="64">
        <v>49.2</v>
      </c>
      <c r="N30" s="64">
        <v>107.5</v>
      </c>
      <c r="O30" s="64">
        <v>0</v>
      </c>
      <c r="P30" s="64">
        <v>0.74</v>
      </c>
      <c r="Q30" s="64">
        <v>10.039999999999999</v>
      </c>
      <c r="R30" s="198"/>
      <c r="S30" s="198"/>
      <c r="T30" s="198"/>
      <c r="U30" s="198"/>
    </row>
    <row r="31" spans="1:21" s="12" customFormat="1" x14ac:dyDescent="0.25">
      <c r="A31" s="215" t="s">
        <v>2572</v>
      </c>
      <c r="B31" s="64">
        <v>24.65</v>
      </c>
      <c r="C31" s="64">
        <v>52.57</v>
      </c>
      <c r="D31" s="64">
        <v>62.79</v>
      </c>
      <c r="E31" s="64">
        <v>5.93</v>
      </c>
      <c r="F31" s="64">
        <v>10.98</v>
      </c>
      <c r="G31" s="64">
        <v>50.91</v>
      </c>
      <c r="H31" s="64">
        <v>18.3</v>
      </c>
      <c r="I31" s="64">
        <v>4.01</v>
      </c>
      <c r="J31" s="64">
        <v>1.36</v>
      </c>
      <c r="K31" s="64">
        <v>276.01</v>
      </c>
      <c r="L31" s="64">
        <v>30.53</v>
      </c>
      <c r="M31" s="64">
        <v>47.63</v>
      </c>
      <c r="N31" s="64">
        <v>112.6</v>
      </c>
      <c r="O31" s="64">
        <v>0</v>
      </c>
      <c r="P31" s="64">
        <v>0.51</v>
      </c>
      <c r="Q31" s="64">
        <v>10.02</v>
      </c>
      <c r="R31" s="198"/>
      <c r="S31" s="198"/>
      <c r="T31" s="198"/>
      <c r="U31" s="198"/>
    </row>
    <row r="32" spans="1:21" s="12" customFormat="1" x14ac:dyDescent="0.25">
      <c r="A32" s="215" t="s">
        <v>2573</v>
      </c>
      <c r="B32" s="64">
        <v>8.26</v>
      </c>
      <c r="C32" s="64">
        <v>30.52</v>
      </c>
      <c r="D32" s="64">
        <v>45.74</v>
      </c>
      <c r="E32" s="64">
        <v>6.58</v>
      </c>
      <c r="F32" s="64">
        <v>13.82</v>
      </c>
      <c r="G32" s="64">
        <v>56.21</v>
      </c>
      <c r="H32" s="64">
        <v>17.79</v>
      </c>
      <c r="I32" s="64">
        <v>3.85</v>
      </c>
      <c r="J32" s="64">
        <v>2.08</v>
      </c>
      <c r="K32" s="64">
        <v>279.33999999999997</v>
      </c>
      <c r="L32" s="64">
        <v>30.8</v>
      </c>
      <c r="M32" s="64">
        <v>45.32</v>
      </c>
      <c r="N32" s="64">
        <v>128.19999999999999</v>
      </c>
      <c r="O32" s="64">
        <v>0</v>
      </c>
      <c r="P32" s="64">
        <v>0.45</v>
      </c>
      <c r="Q32" s="64">
        <v>10.02</v>
      </c>
      <c r="R32" s="198"/>
      <c r="S32" s="198"/>
      <c r="T32" s="198"/>
      <c r="U32" s="198"/>
    </row>
    <row r="33" spans="1:21" s="12" customFormat="1" x14ac:dyDescent="0.25">
      <c r="A33" s="215" t="s">
        <v>2574</v>
      </c>
      <c r="B33" s="64">
        <v>11.78</v>
      </c>
      <c r="C33" s="64">
        <v>39.79</v>
      </c>
      <c r="D33" s="64">
        <v>58.08</v>
      </c>
      <c r="E33" s="64">
        <v>6.64</v>
      </c>
      <c r="F33" s="64">
        <v>13.74</v>
      </c>
      <c r="G33" s="64">
        <v>57.72</v>
      </c>
      <c r="H33" s="64">
        <v>17.64</v>
      </c>
      <c r="I33" s="64">
        <v>4.05</v>
      </c>
      <c r="J33" s="64">
        <v>2.06</v>
      </c>
      <c r="K33" s="64">
        <v>276.06</v>
      </c>
      <c r="L33" s="64">
        <v>31.63</v>
      </c>
      <c r="M33" s="64">
        <v>43.12</v>
      </c>
      <c r="N33" s="64">
        <v>153.80000000000001</v>
      </c>
      <c r="O33" s="64">
        <v>0</v>
      </c>
      <c r="P33" s="64">
        <v>0.49</v>
      </c>
      <c r="Q33" s="64">
        <v>10.029999999999999</v>
      </c>
      <c r="R33" s="198"/>
      <c r="S33" s="198"/>
      <c r="T33" s="198"/>
      <c r="U33" s="198"/>
    </row>
    <row r="34" spans="1:21" s="12" customFormat="1" x14ac:dyDescent="0.25">
      <c r="A34" s="215" t="s">
        <v>2575</v>
      </c>
      <c r="B34" s="64">
        <v>10.28</v>
      </c>
      <c r="C34" s="64">
        <v>38.090000000000003</v>
      </c>
      <c r="D34" s="64">
        <v>57.12</v>
      </c>
      <c r="E34" s="64">
        <v>6.5</v>
      </c>
      <c r="F34" s="64">
        <v>10.86</v>
      </c>
      <c r="G34" s="64">
        <v>57.72</v>
      </c>
      <c r="H34" s="64">
        <v>17.64</v>
      </c>
      <c r="I34" s="64">
        <v>3.99</v>
      </c>
      <c r="J34" s="64">
        <v>1.57</v>
      </c>
      <c r="K34" s="64">
        <v>277.02</v>
      </c>
      <c r="L34" s="64">
        <v>32.68</v>
      </c>
      <c r="M34" s="64">
        <v>41.18</v>
      </c>
      <c r="N34" s="64">
        <v>189.4</v>
      </c>
      <c r="O34" s="64">
        <v>0</v>
      </c>
      <c r="P34" s="64">
        <v>0.59</v>
      </c>
      <c r="Q34" s="64">
        <v>10.039999999999999</v>
      </c>
      <c r="R34" s="198"/>
      <c r="S34" s="198"/>
      <c r="T34" s="198"/>
      <c r="U34" s="198"/>
    </row>
    <row r="35" spans="1:21" s="12" customFormat="1" x14ac:dyDescent="0.25">
      <c r="A35" s="215" t="s">
        <v>2576</v>
      </c>
      <c r="B35" s="64">
        <v>14.42</v>
      </c>
      <c r="C35" s="64">
        <v>43.02</v>
      </c>
      <c r="D35" s="64">
        <v>60.2</v>
      </c>
      <c r="E35" s="64">
        <v>6.02</v>
      </c>
      <c r="F35" s="64">
        <v>10.68</v>
      </c>
      <c r="G35" s="64">
        <v>57.72</v>
      </c>
      <c r="H35" s="64">
        <v>17.64</v>
      </c>
      <c r="I35" s="64">
        <v>4.08</v>
      </c>
      <c r="J35" s="64">
        <v>1.56</v>
      </c>
      <c r="K35" s="64">
        <v>274.91000000000003</v>
      </c>
      <c r="L35" s="64">
        <v>33.82</v>
      </c>
      <c r="M35" s="64">
        <v>39.99</v>
      </c>
      <c r="N35" s="64">
        <v>232.8</v>
      </c>
      <c r="O35" s="64">
        <v>0</v>
      </c>
      <c r="P35" s="64">
        <v>0.56999999999999995</v>
      </c>
      <c r="Q35" s="64">
        <v>10.02</v>
      </c>
      <c r="R35" s="198"/>
      <c r="S35" s="198"/>
      <c r="T35" s="198"/>
      <c r="U35" s="198"/>
    </row>
    <row r="36" spans="1:21" s="12" customFormat="1" x14ac:dyDescent="0.25">
      <c r="A36" s="215" t="s">
        <v>2577</v>
      </c>
      <c r="B36" s="64">
        <v>11.39</v>
      </c>
      <c r="C36" s="64">
        <v>37.950000000000003</v>
      </c>
      <c r="D36" s="64">
        <v>55.16</v>
      </c>
      <c r="E36" s="64">
        <v>5.51</v>
      </c>
      <c r="F36" s="64">
        <v>9.73</v>
      </c>
      <c r="G36" s="64">
        <v>55.51</v>
      </c>
      <c r="H36" s="64">
        <v>17.03</v>
      </c>
      <c r="I36" s="64">
        <v>3.96</v>
      </c>
      <c r="J36" s="64">
        <v>2.2999999999999998</v>
      </c>
      <c r="K36" s="64">
        <v>281.70999999999998</v>
      </c>
      <c r="L36" s="64">
        <v>35.520000000000003</v>
      </c>
      <c r="M36" s="64">
        <v>37.31</v>
      </c>
      <c r="N36" s="64">
        <v>284.39999999999998</v>
      </c>
      <c r="O36" s="64">
        <v>0</v>
      </c>
      <c r="P36" s="64">
        <v>0.56999999999999995</v>
      </c>
      <c r="Q36" s="64">
        <v>10.029999999999999</v>
      </c>
      <c r="R36" s="198"/>
      <c r="S36" s="198"/>
      <c r="T36" s="198"/>
      <c r="U36" s="198"/>
    </row>
    <row r="37" spans="1:21" s="12" customFormat="1" x14ac:dyDescent="0.25">
      <c r="A37" s="215" t="s">
        <v>2578</v>
      </c>
      <c r="B37" s="64">
        <v>11.06</v>
      </c>
      <c r="C37" s="64">
        <v>37.58</v>
      </c>
      <c r="D37" s="64">
        <v>54.96</v>
      </c>
      <c r="E37" s="64">
        <v>5.91</v>
      </c>
      <c r="F37" s="64">
        <v>9.2799999999999994</v>
      </c>
      <c r="G37" s="64">
        <v>54.88</v>
      </c>
      <c r="H37" s="64">
        <v>16.86</v>
      </c>
      <c r="I37" s="64">
        <v>4</v>
      </c>
      <c r="J37" s="64">
        <v>1.93</v>
      </c>
      <c r="K37" s="64">
        <v>275.72000000000003</v>
      </c>
      <c r="L37" s="64">
        <v>36.32</v>
      </c>
      <c r="M37" s="64">
        <v>35.93</v>
      </c>
      <c r="N37" s="64">
        <v>337.1</v>
      </c>
      <c r="O37" s="64">
        <v>0</v>
      </c>
      <c r="P37" s="64">
        <v>0.62</v>
      </c>
      <c r="Q37" s="64">
        <v>10.07</v>
      </c>
      <c r="R37" s="198"/>
      <c r="S37" s="198"/>
      <c r="T37" s="198"/>
      <c r="U37" s="198"/>
    </row>
    <row r="38" spans="1:21" s="12" customFormat="1" x14ac:dyDescent="0.25">
      <c r="A38" s="215" t="s">
        <v>2579</v>
      </c>
      <c r="B38" s="64">
        <v>12.43</v>
      </c>
      <c r="C38" s="64">
        <v>41.16</v>
      </c>
      <c r="D38" s="64">
        <v>59.7</v>
      </c>
      <c r="E38" s="64">
        <v>6.95</v>
      </c>
      <c r="F38" s="64">
        <v>11.83</v>
      </c>
      <c r="G38" s="64">
        <v>54.88</v>
      </c>
      <c r="H38" s="64">
        <v>16.86</v>
      </c>
      <c r="I38" s="64">
        <v>3.97</v>
      </c>
      <c r="J38" s="64">
        <v>1.65</v>
      </c>
      <c r="K38" s="64">
        <v>284.85000000000002</v>
      </c>
      <c r="L38" s="64">
        <v>37.75</v>
      </c>
      <c r="M38" s="64">
        <v>34.200000000000003</v>
      </c>
      <c r="N38" s="64">
        <v>390.5</v>
      </c>
      <c r="O38" s="64">
        <v>0</v>
      </c>
      <c r="P38" s="64">
        <v>0.76</v>
      </c>
      <c r="Q38" s="64">
        <v>10.1</v>
      </c>
      <c r="R38" s="198"/>
      <c r="S38" s="198"/>
      <c r="T38" s="198"/>
      <c r="U38" s="198"/>
    </row>
    <row r="39" spans="1:21" s="12" customFormat="1" x14ac:dyDescent="0.25">
      <c r="A39" s="215" t="s">
        <v>2580</v>
      </c>
      <c r="B39" s="64">
        <v>13.51</v>
      </c>
      <c r="C39" s="64">
        <v>43.25</v>
      </c>
      <c r="D39" s="64">
        <v>62.04</v>
      </c>
      <c r="E39" s="64">
        <v>7.66</v>
      </c>
      <c r="F39" s="64">
        <v>12.27</v>
      </c>
      <c r="G39" s="64">
        <v>54.88</v>
      </c>
      <c r="H39" s="64">
        <v>16.86</v>
      </c>
      <c r="I39" s="64">
        <v>4.01</v>
      </c>
      <c r="J39" s="64">
        <v>1.63</v>
      </c>
      <c r="K39" s="64">
        <v>280.32</v>
      </c>
      <c r="L39" s="64">
        <v>38.68</v>
      </c>
      <c r="M39" s="64">
        <v>33.159999999999997</v>
      </c>
      <c r="N39" s="64">
        <v>459.9</v>
      </c>
      <c r="O39" s="64">
        <v>0</v>
      </c>
      <c r="P39" s="64">
        <v>0.81</v>
      </c>
      <c r="Q39" s="64">
        <v>10.11</v>
      </c>
      <c r="R39" s="198"/>
      <c r="S39" s="198"/>
      <c r="T39" s="198"/>
      <c r="U39" s="198"/>
    </row>
    <row r="40" spans="1:21" s="12" customFormat="1" x14ac:dyDescent="0.25">
      <c r="A40" s="215" t="s">
        <v>2581</v>
      </c>
      <c r="B40" s="64">
        <v>8.82</v>
      </c>
      <c r="C40" s="64">
        <v>36.78</v>
      </c>
      <c r="D40" s="64">
        <v>56.85</v>
      </c>
      <c r="E40" s="64">
        <v>5.76</v>
      </c>
      <c r="F40" s="64">
        <v>14.14</v>
      </c>
      <c r="G40" s="64">
        <v>54.05</v>
      </c>
      <c r="H40" s="64">
        <v>17.670000000000002</v>
      </c>
      <c r="I40" s="64">
        <v>3.99</v>
      </c>
      <c r="J40" s="64">
        <v>1.78</v>
      </c>
      <c r="K40" s="64">
        <v>259.82</v>
      </c>
      <c r="L40" s="64">
        <v>38.700000000000003</v>
      </c>
      <c r="M40" s="64">
        <v>33.090000000000003</v>
      </c>
      <c r="N40" s="64">
        <v>506.9</v>
      </c>
      <c r="O40" s="64">
        <v>0</v>
      </c>
      <c r="P40" s="64">
        <v>0.67</v>
      </c>
      <c r="Q40" s="64">
        <v>10.11</v>
      </c>
      <c r="R40" s="198"/>
      <c r="S40" s="198"/>
      <c r="T40" s="198"/>
      <c r="U40" s="198"/>
    </row>
    <row r="41" spans="1:21" s="12" customFormat="1" x14ac:dyDescent="0.25">
      <c r="A41" s="215" t="s">
        <v>2582</v>
      </c>
      <c r="B41" s="64">
        <v>6.93</v>
      </c>
      <c r="C41" s="64">
        <v>34.33</v>
      </c>
      <c r="D41" s="64">
        <v>55.06</v>
      </c>
      <c r="E41" s="64">
        <v>4.54</v>
      </c>
      <c r="F41" s="64">
        <v>8.65</v>
      </c>
      <c r="G41" s="64">
        <v>53.82</v>
      </c>
      <c r="H41" s="64">
        <v>17.899999999999999</v>
      </c>
      <c r="I41" s="64">
        <v>4.16</v>
      </c>
      <c r="J41" s="64">
        <v>1.82</v>
      </c>
      <c r="K41" s="64">
        <v>248.89</v>
      </c>
      <c r="L41" s="64">
        <v>38.32</v>
      </c>
      <c r="M41" s="64">
        <v>34.53</v>
      </c>
      <c r="N41" s="64">
        <v>558.1</v>
      </c>
      <c r="O41" s="64">
        <v>0</v>
      </c>
      <c r="P41" s="64">
        <v>0.68</v>
      </c>
      <c r="Q41" s="64">
        <v>10.119999999999999</v>
      </c>
      <c r="R41" s="198"/>
      <c r="S41" s="198"/>
      <c r="T41" s="198"/>
      <c r="U41" s="198"/>
    </row>
    <row r="42" spans="1:21" s="12" customFormat="1" x14ac:dyDescent="0.25">
      <c r="A42" s="215" t="s">
        <v>2583</v>
      </c>
      <c r="B42" s="64">
        <v>7.85</v>
      </c>
      <c r="C42" s="64">
        <v>38.36</v>
      </c>
      <c r="D42" s="64">
        <v>61.37</v>
      </c>
      <c r="E42" s="64">
        <v>3.78</v>
      </c>
      <c r="F42" s="64">
        <v>8.14</v>
      </c>
      <c r="G42" s="64">
        <v>53.82</v>
      </c>
      <c r="H42" s="64">
        <v>17.899999999999999</v>
      </c>
      <c r="I42" s="64">
        <v>3.91</v>
      </c>
      <c r="J42" s="64">
        <v>2.21</v>
      </c>
      <c r="K42" s="64">
        <v>269.06</v>
      </c>
      <c r="L42" s="64">
        <v>39.43</v>
      </c>
      <c r="M42" s="64">
        <v>33.74</v>
      </c>
      <c r="N42" s="64">
        <v>625.79999999999995</v>
      </c>
      <c r="O42" s="64">
        <v>0</v>
      </c>
      <c r="P42" s="64">
        <v>0.7</v>
      </c>
      <c r="Q42" s="64">
        <v>10.1</v>
      </c>
      <c r="R42" s="198"/>
      <c r="S42" s="198"/>
      <c r="T42" s="198"/>
      <c r="U42" s="198"/>
    </row>
    <row r="43" spans="1:21" s="12" customFormat="1" x14ac:dyDescent="0.25">
      <c r="A43" s="215" t="s">
        <v>2584</v>
      </c>
      <c r="B43" s="64">
        <v>4.41</v>
      </c>
      <c r="C43" s="64">
        <v>34.51</v>
      </c>
      <c r="D43" s="64">
        <v>59.3</v>
      </c>
      <c r="E43" s="64">
        <v>3.48</v>
      </c>
      <c r="F43" s="64">
        <v>7.74</v>
      </c>
      <c r="G43" s="64">
        <v>53.82</v>
      </c>
      <c r="H43" s="64">
        <v>17.899999999999999</v>
      </c>
      <c r="I43" s="64">
        <v>4.0199999999999996</v>
      </c>
      <c r="J43" s="64">
        <v>1.64</v>
      </c>
      <c r="K43" s="64">
        <v>259.58</v>
      </c>
      <c r="L43" s="64">
        <v>38.96</v>
      </c>
      <c r="M43" s="64">
        <v>33.909999999999997</v>
      </c>
      <c r="N43" s="64">
        <v>670.7</v>
      </c>
      <c r="O43" s="64">
        <v>0</v>
      </c>
      <c r="P43" s="64">
        <v>0.67</v>
      </c>
      <c r="Q43" s="64">
        <v>10.09</v>
      </c>
      <c r="R43" s="198"/>
      <c r="S43" s="198"/>
      <c r="T43" s="198"/>
      <c r="U43" s="198"/>
    </row>
    <row r="44" spans="1:21" s="12" customFormat="1" x14ac:dyDescent="0.25">
      <c r="A44" s="215" t="s">
        <v>2585</v>
      </c>
      <c r="B44" s="64">
        <v>4.08</v>
      </c>
      <c r="C44" s="64">
        <v>35.090000000000003</v>
      </c>
      <c r="D44" s="64">
        <v>60.89</v>
      </c>
      <c r="E44" s="64">
        <v>3.66</v>
      </c>
      <c r="F44" s="64">
        <v>9.89</v>
      </c>
      <c r="G44" s="64">
        <v>53.47</v>
      </c>
      <c r="H44" s="64">
        <v>17.39</v>
      </c>
      <c r="I44" s="64">
        <v>4.0199999999999996</v>
      </c>
      <c r="J44" s="64">
        <v>1.86</v>
      </c>
      <c r="K44" s="64">
        <v>263.64</v>
      </c>
      <c r="L44" s="64">
        <v>39.520000000000003</v>
      </c>
      <c r="M44" s="64">
        <v>31.7</v>
      </c>
      <c r="N44" s="64">
        <v>711.3</v>
      </c>
      <c r="O44" s="64">
        <v>0</v>
      </c>
      <c r="P44" s="64">
        <v>0.64</v>
      </c>
      <c r="Q44" s="64">
        <v>10.09</v>
      </c>
      <c r="R44" s="198"/>
      <c r="S44" s="198"/>
      <c r="T44" s="198"/>
      <c r="U44" s="198"/>
    </row>
    <row r="45" spans="1:21" s="12" customFormat="1" x14ac:dyDescent="0.25">
      <c r="A45" s="215" t="s">
        <v>2586</v>
      </c>
      <c r="B45" s="64">
        <v>2.54</v>
      </c>
      <c r="C45" s="64">
        <v>31.75</v>
      </c>
      <c r="D45" s="64">
        <v>56.86</v>
      </c>
      <c r="E45" s="64">
        <v>4.41</v>
      </c>
      <c r="F45" s="64">
        <v>11.52</v>
      </c>
      <c r="G45" s="64">
        <v>53.37</v>
      </c>
      <c r="H45" s="64">
        <v>17.239999999999998</v>
      </c>
      <c r="I45" s="64">
        <v>3.98</v>
      </c>
      <c r="J45" s="64">
        <v>1.56</v>
      </c>
      <c r="K45" s="64">
        <v>256.58999999999997</v>
      </c>
      <c r="L45" s="64">
        <v>39.47</v>
      </c>
      <c r="M45" s="64">
        <v>30.35</v>
      </c>
      <c r="N45" s="64">
        <v>737.5</v>
      </c>
      <c r="O45" s="64">
        <v>0</v>
      </c>
      <c r="P45" s="64">
        <v>0.61</v>
      </c>
      <c r="Q45" s="64">
        <v>10.050000000000001</v>
      </c>
      <c r="R45" s="198"/>
      <c r="S45" s="198"/>
      <c r="T45" s="198"/>
      <c r="U45" s="198"/>
    </row>
    <row r="46" spans="1:21" s="12" customFormat="1" x14ac:dyDescent="0.25">
      <c r="A46" s="215" t="s">
        <v>2587</v>
      </c>
      <c r="B46" s="64">
        <v>3.02</v>
      </c>
      <c r="C46" s="64">
        <v>31.47</v>
      </c>
      <c r="D46" s="64">
        <v>55.61</v>
      </c>
      <c r="E46" s="64">
        <v>3.58</v>
      </c>
      <c r="F46" s="64">
        <v>12.04</v>
      </c>
      <c r="G46" s="64">
        <v>53.37</v>
      </c>
      <c r="H46" s="64">
        <v>17.239999999999998</v>
      </c>
      <c r="I46" s="64">
        <v>4.09</v>
      </c>
      <c r="J46" s="64">
        <v>1.91</v>
      </c>
      <c r="K46" s="64">
        <v>253.91</v>
      </c>
      <c r="L46" s="64">
        <v>40.54</v>
      </c>
      <c r="M46" s="64">
        <v>28.51</v>
      </c>
      <c r="N46" s="64">
        <v>776.9</v>
      </c>
      <c r="O46" s="64">
        <v>0</v>
      </c>
      <c r="P46" s="64">
        <v>0.6</v>
      </c>
      <c r="Q46" s="64">
        <v>10.02</v>
      </c>
      <c r="R46" s="198"/>
      <c r="S46" s="198"/>
      <c r="T46" s="198"/>
      <c r="U46" s="198"/>
    </row>
    <row r="47" spans="1:21" s="12" customFormat="1" x14ac:dyDescent="0.25">
      <c r="A47" s="215" t="s">
        <v>2588</v>
      </c>
      <c r="B47" s="64">
        <v>7.73</v>
      </c>
      <c r="C47" s="64">
        <v>37.08</v>
      </c>
      <c r="D47" s="64">
        <v>59.1</v>
      </c>
      <c r="E47" s="64">
        <v>4.5599999999999996</v>
      </c>
      <c r="F47" s="64">
        <v>15.8</v>
      </c>
      <c r="G47" s="64">
        <v>53.37</v>
      </c>
      <c r="H47" s="64">
        <v>17.239999999999998</v>
      </c>
      <c r="I47" s="64">
        <v>4.1399999999999997</v>
      </c>
      <c r="J47" s="64">
        <v>1.93</v>
      </c>
      <c r="K47" s="64">
        <v>245.92</v>
      </c>
      <c r="L47" s="64">
        <v>40.409999999999997</v>
      </c>
      <c r="M47" s="64">
        <v>28.55</v>
      </c>
      <c r="N47" s="64">
        <v>811.4</v>
      </c>
      <c r="O47" s="64">
        <v>0</v>
      </c>
      <c r="P47" s="64">
        <v>0.56999999999999995</v>
      </c>
      <c r="Q47" s="64">
        <v>10</v>
      </c>
      <c r="R47" s="198"/>
      <c r="S47" s="198"/>
      <c r="T47" s="198"/>
      <c r="U47" s="198"/>
    </row>
    <row r="48" spans="1:21" s="12" customFormat="1" x14ac:dyDescent="0.25">
      <c r="A48" s="215" t="s">
        <v>2589</v>
      </c>
      <c r="B48" s="64">
        <v>2.85</v>
      </c>
      <c r="C48" s="64">
        <v>31.24</v>
      </c>
      <c r="D48" s="64">
        <v>55.41</v>
      </c>
      <c r="E48" s="64">
        <v>4.6900000000000004</v>
      </c>
      <c r="F48" s="64">
        <v>12.5</v>
      </c>
      <c r="G48" s="64">
        <v>52.02</v>
      </c>
      <c r="H48" s="64">
        <v>17.22</v>
      </c>
      <c r="I48" s="64">
        <v>3.99</v>
      </c>
      <c r="J48" s="64">
        <v>1.7</v>
      </c>
      <c r="K48" s="64">
        <v>244.44</v>
      </c>
      <c r="L48" s="64">
        <v>40.98</v>
      </c>
      <c r="M48" s="64">
        <v>27.53</v>
      </c>
      <c r="N48" s="64">
        <v>851.5</v>
      </c>
      <c r="O48" s="64">
        <v>0</v>
      </c>
      <c r="P48" s="64">
        <v>0.56000000000000005</v>
      </c>
      <c r="Q48" s="64">
        <v>9.9700000000000006</v>
      </c>
      <c r="R48" s="198"/>
      <c r="S48" s="198"/>
      <c r="T48" s="198"/>
      <c r="U48" s="198"/>
    </row>
    <row r="49" spans="1:21" s="12" customFormat="1" x14ac:dyDescent="0.25">
      <c r="A49" s="215" t="s">
        <v>2590</v>
      </c>
      <c r="B49" s="64">
        <v>1.96</v>
      </c>
      <c r="C49" s="64">
        <v>30.36</v>
      </c>
      <c r="D49" s="64">
        <v>55.11</v>
      </c>
      <c r="E49" s="64">
        <v>4.04</v>
      </c>
      <c r="F49" s="64">
        <v>11.83</v>
      </c>
      <c r="G49" s="64">
        <v>51.64</v>
      </c>
      <c r="H49" s="64">
        <v>17.21</v>
      </c>
      <c r="I49" s="64">
        <v>4.01</v>
      </c>
      <c r="J49" s="64">
        <v>2.0699999999999998</v>
      </c>
      <c r="K49" s="64">
        <v>255.97</v>
      </c>
      <c r="L49" s="64">
        <v>41</v>
      </c>
      <c r="M49" s="64">
        <v>27.14</v>
      </c>
      <c r="N49" s="64">
        <v>885.1</v>
      </c>
      <c r="O49" s="64">
        <v>0</v>
      </c>
      <c r="P49" s="64">
        <v>0.57999999999999996</v>
      </c>
      <c r="Q49" s="64">
        <v>9.9499999999999993</v>
      </c>
      <c r="R49" s="198"/>
      <c r="S49" s="198"/>
      <c r="T49" s="198"/>
      <c r="U49" s="198"/>
    </row>
    <row r="50" spans="1:21" s="12" customFormat="1" x14ac:dyDescent="0.25">
      <c r="A50" s="215" t="s">
        <v>2591</v>
      </c>
      <c r="B50" s="64">
        <v>2.5299999999999998</v>
      </c>
      <c r="C50" s="64">
        <v>32.36</v>
      </c>
      <c r="D50" s="64">
        <v>58.05</v>
      </c>
      <c r="E50" s="64">
        <v>3.78</v>
      </c>
      <c r="F50" s="64">
        <v>10.95</v>
      </c>
      <c r="G50" s="64">
        <v>51.64</v>
      </c>
      <c r="H50" s="64">
        <v>17.21</v>
      </c>
      <c r="I50" s="64">
        <v>4.17</v>
      </c>
      <c r="J50" s="64">
        <v>1.98</v>
      </c>
      <c r="K50" s="64">
        <v>256.24</v>
      </c>
      <c r="L50" s="64">
        <v>41.98</v>
      </c>
      <c r="M50" s="64">
        <v>25.55</v>
      </c>
      <c r="N50" s="64">
        <v>917.7</v>
      </c>
      <c r="O50" s="64">
        <v>0</v>
      </c>
      <c r="P50" s="64">
        <v>0.59</v>
      </c>
      <c r="Q50" s="64">
        <v>9.94</v>
      </c>
      <c r="R50" s="198"/>
      <c r="S50" s="198"/>
      <c r="T50" s="198"/>
      <c r="U50" s="198"/>
    </row>
    <row r="51" spans="1:21" s="12" customFormat="1" x14ac:dyDescent="0.25">
      <c r="A51" s="215" t="s">
        <v>2592</v>
      </c>
      <c r="B51" s="64">
        <v>1.87</v>
      </c>
      <c r="C51" s="64">
        <v>29.31</v>
      </c>
      <c r="D51" s="64">
        <v>53.23</v>
      </c>
      <c r="E51" s="64">
        <v>5.1100000000000003</v>
      </c>
      <c r="F51" s="64">
        <v>14.95</v>
      </c>
      <c r="G51" s="64">
        <v>51.64</v>
      </c>
      <c r="H51" s="64">
        <v>17.21</v>
      </c>
      <c r="I51" s="64">
        <v>4.03</v>
      </c>
      <c r="J51" s="64">
        <v>1.42</v>
      </c>
      <c r="K51" s="64">
        <v>242.84</v>
      </c>
      <c r="L51" s="64">
        <v>42.29</v>
      </c>
      <c r="M51" s="64">
        <v>25.24</v>
      </c>
      <c r="N51" s="64">
        <v>940.5</v>
      </c>
      <c r="O51" s="64">
        <v>0</v>
      </c>
      <c r="P51" s="64">
        <v>0.54</v>
      </c>
      <c r="Q51" s="64">
        <v>9.91</v>
      </c>
      <c r="R51" s="198"/>
      <c r="S51" s="198"/>
      <c r="T51" s="198"/>
      <c r="U51" s="198"/>
    </row>
    <row r="52" spans="1:21" s="12" customFormat="1" x14ac:dyDescent="0.25">
      <c r="A52" s="215" t="s">
        <v>2593</v>
      </c>
      <c r="B52" s="64">
        <v>1.6</v>
      </c>
      <c r="C52" s="64">
        <v>27.86</v>
      </c>
      <c r="D52" s="64">
        <v>50.88</v>
      </c>
      <c r="E52" s="64">
        <v>4.28</v>
      </c>
      <c r="F52" s="64">
        <v>11.59</v>
      </c>
      <c r="G52" s="64">
        <v>40.76</v>
      </c>
      <c r="H52" s="64">
        <v>16.89</v>
      </c>
      <c r="I52" s="64">
        <v>3.96</v>
      </c>
      <c r="J52" s="64">
        <v>1.65</v>
      </c>
      <c r="K52" s="64">
        <v>261.89999999999998</v>
      </c>
      <c r="L52" s="64">
        <v>43.53</v>
      </c>
      <c r="M52" s="64">
        <v>23.43</v>
      </c>
      <c r="N52" s="64">
        <v>962.2</v>
      </c>
      <c r="O52" s="64">
        <v>0</v>
      </c>
      <c r="P52" s="64">
        <v>0.53</v>
      </c>
      <c r="Q52" s="64">
        <v>9.8699999999999992</v>
      </c>
      <c r="R52" s="198"/>
      <c r="S52" s="198"/>
      <c r="T52" s="198"/>
      <c r="U52" s="198"/>
    </row>
    <row r="53" spans="1:21" s="12" customFormat="1" x14ac:dyDescent="0.25">
      <c r="A53" s="215" t="s">
        <v>2594</v>
      </c>
      <c r="B53" s="64">
        <v>1.53</v>
      </c>
      <c r="C53" s="64">
        <v>28.7</v>
      </c>
      <c r="D53" s="64">
        <v>52.58</v>
      </c>
      <c r="E53" s="64">
        <v>4.05</v>
      </c>
      <c r="F53" s="64">
        <v>10.07</v>
      </c>
      <c r="G53" s="64">
        <v>40.76</v>
      </c>
      <c r="H53" s="64">
        <v>16.8</v>
      </c>
      <c r="I53" s="64">
        <v>4.04</v>
      </c>
      <c r="J53" s="64">
        <v>2.06</v>
      </c>
      <c r="K53" s="64">
        <v>260.64999999999998</v>
      </c>
      <c r="L53" s="64">
        <v>44.43</v>
      </c>
      <c r="M53" s="64">
        <v>21.07</v>
      </c>
      <c r="N53" s="64">
        <v>956.4</v>
      </c>
      <c r="O53" s="64">
        <v>0</v>
      </c>
      <c r="P53" s="64">
        <v>0.54</v>
      </c>
      <c r="Q53" s="64">
        <v>9.86</v>
      </c>
      <c r="R53" s="198"/>
      <c r="S53" s="198"/>
      <c r="T53" s="198"/>
      <c r="U53" s="198"/>
    </row>
    <row r="54" spans="1:21" s="12" customFormat="1" x14ac:dyDescent="0.25">
      <c r="A54" s="215" t="s">
        <v>2595</v>
      </c>
      <c r="B54" s="64">
        <v>1.35</v>
      </c>
      <c r="C54" s="64">
        <v>25.92</v>
      </c>
      <c r="D54" s="64">
        <v>47.53</v>
      </c>
      <c r="E54" s="64">
        <v>5.31</v>
      </c>
      <c r="F54" s="64">
        <v>15.97</v>
      </c>
      <c r="G54" s="64">
        <v>40.76</v>
      </c>
      <c r="H54" s="64">
        <v>16.8</v>
      </c>
      <c r="I54" s="64">
        <v>4.13</v>
      </c>
      <c r="J54" s="64">
        <v>1.41</v>
      </c>
      <c r="K54" s="64">
        <v>242.63</v>
      </c>
      <c r="L54" s="64">
        <v>44</v>
      </c>
      <c r="M54" s="64">
        <v>21.09</v>
      </c>
      <c r="N54" s="64">
        <v>987.5</v>
      </c>
      <c r="O54" s="64">
        <v>0</v>
      </c>
      <c r="P54" s="64">
        <v>0.48</v>
      </c>
      <c r="Q54" s="64">
        <v>9.9</v>
      </c>
      <c r="R54" s="198"/>
      <c r="S54" s="198"/>
      <c r="T54" s="198"/>
      <c r="U54" s="198"/>
    </row>
    <row r="55" spans="1:21" s="12" customFormat="1" x14ac:dyDescent="0.25">
      <c r="A55" s="215" t="s">
        <v>2596</v>
      </c>
      <c r="B55" s="64">
        <v>0.84</v>
      </c>
      <c r="C55" s="64">
        <v>26</v>
      </c>
      <c r="D55" s="64">
        <v>48.47</v>
      </c>
      <c r="E55" s="64">
        <v>4.2699999999999996</v>
      </c>
      <c r="F55" s="64">
        <v>13.47</v>
      </c>
      <c r="G55" s="64">
        <v>40.76</v>
      </c>
      <c r="H55" s="64">
        <v>16.8</v>
      </c>
      <c r="I55" s="64">
        <v>4.03</v>
      </c>
      <c r="J55" s="64">
        <v>1.6</v>
      </c>
      <c r="K55" s="64">
        <v>236.83</v>
      </c>
      <c r="L55" s="64">
        <v>43.7</v>
      </c>
      <c r="M55" s="64">
        <v>20.57</v>
      </c>
      <c r="N55" s="64">
        <v>989.5</v>
      </c>
      <c r="O55" s="64">
        <v>0</v>
      </c>
      <c r="P55" s="64">
        <v>0.47</v>
      </c>
      <c r="Q55" s="64">
        <v>9.93</v>
      </c>
      <c r="R55" s="198"/>
      <c r="S55" s="198"/>
      <c r="T55" s="198"/>
      <c r="U55" s="198"/>
    </row>
    <row r="56" spans="1:21" s="12" customFormat="1" x14ac:dyDescent="0.25">
      <c r="A56" s="215" t="s">
        <v>2597</v>
      </c>
      <c r="B56" s="64">
        <v>2.94</v>
      </c>
      <c r="C56" s="64">
        <v>26.28</v>
      </c>
      <c r="D56" s="64">
        <v>45.8</v>
      </c>
      <c r="E56" s="64">
        <v>6.96</v>
      </c>
      <c r="F56" s="64">
        <v>17.07</v>
      </c>
      <c r="G56" s="64">
        <v>39.75</v>
      </c>
      <c r="H56" s="64">
        <v>16.2</v>
      </c>
      <c r="I56" s="64">
        <v>4.04</v>
      </c>
      <c r="J56" s="64">
        <v>1.22</v>
      </c>
      <c r="K56" s="64">
        <v>263.79000000000002</v>
      </c>
      <c r="L56" s="64">
        <v>44.3</v>
      </c>
      <c r="M56" s="64">
        <v>20.07</v>
      </c>
      <c r="N56" s="64">
        <v>992.5</v>
      </c>
      <c r="O56" s="64">
        <v>0</v>
      </c>
      <c r="P56" s="64">
        <v>0.46</v>
      </c>
      <c r="Q56" s="64">
        <v>9.9700000000000006</v>
      </c>
      <c r="R56" s="198"/>
      <c r="S56" s="198"/>
      <c r="T56" s="198"/>
      <c r="U56" s="198"/>
    </row>
    <row r="57" spans="1:21" s="12" customFormat="1" x14ac:dyDescent="0.25">
      <c r="A57" s="215" t="s">
        <v>2598</v>
      </c>
      <c r="B57" s="64">
        <v>2.4900000000000002</v>
      </c>
      <c r="C57" s="64">
        <v>27.6</v>
      </c>
      <c r="D57" s="64">
        <v>49.01</v>
      </c>
      <c r="E57" s="64">
        <v>5.32</v>
      </c>
      <c r="F57" s="64">
        <v>13.79</v>
      </c>
      <c r="G57" s="64">
        <v>39.75</v>
      </c>
      <c r="H57" s="64">
        <v>16.03</v>
      </c>
      <c r="I57" s="64">
        <v>3.92</v>
      </c>
      <c r="J57" s="64">
        <v>2.5499999999999998</v>
      </c>
      <c r="K57" s="64">
        <v>285.26</v>
      </c>
      <c r="L57" s="64">
        <v>45.8</v>
      </c>
      <c r="M57" s="64">
        <v>18.559999999999999</v>
      </c>
      <c r="N57" s="64">
        <v>981.7</v>
      </c>
      <c r="O57" s="64">
        <v>0</v>
      </c>
      <c r="P57" s="64">
        <v>0.47</v>
      </c>
      <c r="Q57" s="64">
        <v>9.93</v>
      </c>
      <c r="R57" s="198"/>
      <c r="S57" s="198"/>
      <c r="T57" s="198"/>
      <c r="U57" s="198"/>
    </row>
    <row r="58" spans="1:21" s="12" customFormat="1" x14ac:dyDescent="0.25">
      <c r="A58" s="215" t="s">
        <v>2599</v>
      </c>
      <c r="B58" s="64">
        <v>1.85</v>
      </c>
      <c r="C58" s="64">
        <v>27.98</v>
      </c>
      <c r="D58" s="64">
        <v>50.72</v>
      </c>
      <c r="E58" s="64">
        <v>8.48</v>
      </c>
      <c r="F58" s="64">
        <v>19.29</v>
      </c>
      <c r="G58" s="64">
        <v>39.75</v>
      </c>
      <c r="H58" s="64">
        <v>16.03</v>
      </c>
      <c r="I58" s="64">
        <v>4.0599999999999996</v>
      </c>
      <c r="J58" s="64">
        <v>1.9</v>
      </c>
      <c r="K58" s="64">
        <v>292.63</v>
      </c>
      <c r="L58" s="64">
        <v>46.79</v>
      </c>
      <c r="M58" s="64">
        <v>16.149999999999999</v>
      </c>
      <c r="N58" s="64">
        <v>959.9</v>
      </c>
      <c r="O58" s="64">
        <v>0</v>
      </c>
      <c r="P58" s="64">
        <v>0.5</v>
      </c>
      <c r="Q58" s="64">
        <v>9.9</v>
      </c>
      <c r="R58" s="198"/>
      <c r="S58" s="198"/>
      <c r="T58" s="198"/>
      <c r="U58" s="198"/>
    </row>
    <row r="59" spans="1:21" s="12" customFormat="1" x14ac:dyDescent="0.25">
      <c r="A59" s="215" t="s">
        <v>2600</v>
      </c>
      <c r="B59" s="64">
        <v>2.06</v>
      </c>
      <c r="C59" s="64">
        <v>28.6</v>
      </c>
      <c r="D59" s="64">
        <v>51.58</v>
      </c>
      <c r="E59" s="64">
        <v>18.03</v>
      </c>
      <c r="F59" s="64">
        <v>24.01</v>
      </c>
      <c r="G59" s="64">
        <v>39.75</v>
      </c>
      <c r="H59" s="64">
        <v>16.03</v>
      </c>
      <c r="I59" s="64">
        <v>3.95</v>
      </c>
      <c r="J59" s="64">
        <v>1.54</v>
      </c>
      <c r="K59" s="64">
        <v>285.67</v>
      </c>
      <c r="L59" s="64">
        <v>46.97</v>
      </c>
      <c r="M59" s="64">
        <v>15.88</v>
      </c>
      <c r="N59" s="64">
        <v>952.2</v>
      </c>
      <c r="O59" s="64">
        <v>0</v>
      </c>
      <c r="P59" s="64">
        <v>0.55000000000000004</v>
      </c>
      <c r="Q59" s="64">
        <v>9.85</v>
      </c>
      <c r="R59" s="198"/>
      <c r="S59" s="198"/>
      <c r="T59" s="198"/>
      <c r="U59" s="198"/>
    </row>
    <row r="60" spans="1:21" s="12" customFormat="1" x14ac:dyDescent="0.25">
      <c r="A60" s="215" t="s">
        <v>2601</v>
      </c>
      <c r="B60" s="64">
        <v>0.92</v>
      </c>
      <c r="C60" s="64">
        <v>25.94</v>
      </c>
      <c r="D60" s="64">
        <v>48.23</v>
      </c>
      <c r="E60" s="64">
        <v>16.829999999999998</v>
      </c>
      <c r="F60" s="64">
        <v>22.93</v>
      </c>
      <c r="G60" s="64">
        <v>44.79</v>
      </c>
      <c r="H60" s="64">
        <v>14.57</v>
      </c>
      <c r="I60" s="64">
        <v>4.0199999999999996</v>
      </c>
      <c r="J60" s="64">
        <v>1.27</v>
      </c>
      <c r="K60" s="64">
        <v>185.39</v>
      </c>
      <c r="L60" s="64">
        <v>45.15</v>
      </c>
      <c r="M60" s="64">
        <v>16.03</v>
      </c>
      <c r="N60" s="64">
        <v>919.1</v>
      </c>
      <c r="O60" s="64">
        <v>0</v>
      </c>
      <c r="P60" s="64">
        <v>0.54</v>
      </c>
      <c r="Q60" s="64">
        <v>9.8000000000000007</v>
      </c>
      <c r="R60" s="198"/>
      <c r="S60" s="198"/>
      <c r="T60" s="198"/>
      <c r="U60" s="198"/>
    </row>
    <row r="61" spans="1:21" s="12" customFormat="1" x14ac:dyDescent="0.25">
      <c r="A61" s="215" t="s">
        <v>2602</v>
      </c>
      <c r="B61" s="64">
        <v>0.51</v>
      </c>
      <c r="C61" s="64">
        <v>22.96</v>
      </c>
      <c r="D61" s="64">
        <v>43.16</v>
      </c>
      <c r="E61" s="64">
        <v>13.28</v>
      </c>
      <c r="F61" s="64">
        <v>24.38</v>
      </c>
      <c r="G61" s="64">
        <v>44.79</v>
      </c>
      <c r="H61" s="64">
        <v>14.15</v>
      </c>
      <c r="I61" s="64">
        <v>4</v>
      </c>
      <c r="J61" s="64">
        <v>0.62</v>
      </c>
      <c r="K61" s="64">
        <v>143.04</v>
      </c>
      <c r="L61" s="64">
        <v>44.77</v>
      </c>
      <c r="M61" s="64">
        <v>14.9</v>
      </c>
      <c r="N61" s="64">
        <v>783.7</v>
      </c>
      <c r="O61" s="64">
        <v>0</v>
      </c>
      <c r="P61" s="64">
        <v>0.49</v>
      </c>
      <c r="Q61" s="64">
        <v>9.77</v>
      </c>
      <c r="R61" s="198"/>
      <c r="S61" s="198"/>
      <c r="T61" s="198"/>
      <c r="U61" s="198"/>
    </row>
    <row r="62" spans="1:21" s="12" customFormat="1" x14ac:dyDescent="0.25">
      <c r="A62" s="215" t="s">
        <v>2603</v>
      </c>
      <c r="B62" s="64">
        <v>0.83</v>
      </c>
      <c r="C62" s="64">
        <v>20.98</v>
      </c>
      <c r="D62" s="64">
        <v>38.89</v>
      </c>
      <c r="E62" s="64">
        <v>19.04</v>
      </c>
      <c r="F62" s="64">
        <v>38.54</v>
      </c>
      <c r="G62" s="64">
        <v>44.79</v>
      </c>
      <c r="H62" s="64">
        <v>14.15</v>
      </c>
      <c r="I62" s="64">
        <v>3.95</v>
      </c>
      <c r="J62" s="64">
        <v>1.37</v>
      </c>
      <c r="K62" s="64">
        <v>108.36</v>
      </c>
      <c r="L62" s="64">
        <v>44.27</v>
      </c>
      <c r="M62" s="64">
        <v>15.67</v>
      </c>
      <c r="N62" s="64">
        <v>694.8</v>
      </c>
      <c r="O62" s="64">
        <v>0</v>
      </c>
      <c r="P62" s="64">
        <v>0.52</v>
      </c>
      <c r="Q62" s="64">
        <v>9.77</v>
      </c>
      <c r="R62" s="198"/>
      <c r="S62" s="198"/>
      <c r="T62" s="198"/>
      <c r="U62" s="198"/>
    </row>
    <row r="63" spans="1:21" s="12" customFormat="1" x14ac:dyDescent="0.25">
      <c r="A63" s="215" t="s">
        <v>2604</v>
      </c>
      <c r="B63" s="64">
        <v>0.66</v>
      </c>
      <c r="C63" s="64">
        <v>20.87</v>
      </c>
      <c r="D63" s="64">
        <v>38.93</v>
      </c>
      <c r="E63" s="64">
        <v>16.309999999999999</v>
      </c>
      <c r="F63" s="64">
        <v>34.29</v>
      </c>
      <c r="G63" s="64">
        <v>44.79</v>
      </c>
      <c r="H63" s="64">
        <v>14.15</v>
      </c>
      <c r="I63" s="64">
        <v>4.1100000000000003</v>
      </c>
      <c r="J63" s="64">
        <v>1.26</v>
      </c>
      <c r="K63" s="64">
        <v>91.53</v>
      </c>
      <c r="L63" s="64">
        <v>44.67</v>
      </c>
      <c r="M63" s="64">
        <v>14.08</v>
      </c>
      <c r="N63" s="64">
        <v>565.9</v>
      </c>
      <c r="O63" s="64">
        <v>0</v>
      </c>
      <c r="P63" s="64">
        <v>0.48</v>
      </c>
      <c r="Q63" s="64">
        <v>9.73</v>
      </c>
      <c r="R63" s="198"/>
      <c r="S63" s="198"/>
      <c r="T63" s="198"/>
      <c r="U63" s="198"/>
    </row>
    <row r="64" spans="1:21" s="12" customFormat="1" x14ac:dyDescent="0.25">
      <c r="A64" s="215" t="s">
        <v>2605</v>
      </c>
      <c r="B64" s="64">
        <v>3.62</v>
      </c>
      <c r="C64" s="64">
        <v>30.97</v>
      </c>
      <c r="D64" s="64">
        <v>53.72</v>
      </c>
      <c r="E64" s="64">
        <v>16.559999999999999</v>
      </c>
      <c r="F64" s="64">
        <v>33.03</v>
      </c>
      <c r="G64" s="64">
        <v>43.06</v>
      </c>
      <c r="H64" s="64">
        <v>16.07</v>
      </c>
      <c r="I64" s="64">
        <v>3.99</v>
      </c>
      <c r="J64" s="64">
        <v>2.63</v>
      </c>
      <c r="K64" s="64">
        <v>299.52</v>
      </c>
      <c r="L64" s="64">
        <v>45.73</v>
      </c>
      <c r="M64" s="64">
        <v>13.16</v>
      </c>
      <c r="N64" s="64">
        <v>784.9</v>
      </c>
      <c r="O64" s="64">
        <v>0</v>
      </c>
      <c r="P64" s="64">
        <v>0.59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5" t="s">
        <v>2606</v>
      </c>
      <c r="B65" s="64">
        <v>2.15</v>
      </c>
      <c r="C65" s="64">
        <v>23.28</v>
      </c>
      <c r="D65" s="64">
        <v>41.26</v>
      </c>
      <c r="E65" s="64">
        <v>21</v>
      </c>
      <c r="F65" s="64">
        <v>37.630000000000003</v>
      </c>
      <c r="G65" s="64">
        <v>43.06</v>
      </c>
      <c r="H65" s="64">
        <v>16.62</v>
      </c>
      <c r="I65" s="64">
        <v>3.99</v>
      </c>
      <c r="J65" s="64">
        <v>1.25</v>
      </c>
      <c r="K65" s="64">
        <v>27.94</v>
      </c>
      <c r="L65" s="64">
        <v>46.01</v>
      </c>
      <c r="M65" s="64">
        <v>12.72</v>
      </c>
      <c r="N65" s="64">
        <v>413.8</v>
      </c>
      <c r="O65" s="64">
        <v>0</v>
      </c>
      <c r="P65" s="64">
        <v>0.48</v>
      </c>
      <c r="Q65" s="64">
        <v>9.6999999999999993</v>
      </c>
      <c r="R65" s="198"/>
      <c r="S65" s="198"/>
      <c r="T65" s="198"/>
      <c r="U65" s="198"/>
    </row>
    <row r="66" spans="1:21" s="12" customFormat="1" x14ac:dyDescent="0.25">
      <c r="A66" s="215" t="s">
        <v>2607</v>
      </c>
      <c r="B66" s="64">
        <v>2.02</v>
      </c>
      <c r="C66" s="64">
        <v>19.39</v>
      </c>
      <c r="D66" s="64">
        <v>34.01</v>
      </c>
      <c r="E66" s="64">
        <v>19.920000000000002</v>
      </c>
      <c r="F66" s="64">
        <v>37.94</v>
      </c>
      <c r="G66" s="64">
        <v>43.06</v>
      </c>
      <c r="H66" s="64">
        <v>16.62</v>
      </c>
      <c r="I66" s="64">
        <v>3.93</v>
      </c>
      <c r="J66" s="64">
        <v>0.45</v>
      </c>
      <c r="K66" s="64">
        <v>46.98</v>
      </c>
      <c r="L66" s="64">
        <v>44.67</v>
      </c>
      <c r="M66" s="64">
        <v>13.29</v>
      </c>
      <c r="N66" s="64">
        <v>490.4</v>
      </c>
      <c r="O66" s="64">
        <v>0</v>
      </c>
      <c r="P66" s="64">
        <v>0.47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15" t="s">
        <v>2608</v>
      </c>
      <c r="B67" s="64">
        <v>3</v>
      </c>
      <c r="C67" s="64">
        <v>30.51</v>
      </c>
      <c r="D67" s="64">
        <v>53.79</v>
      </c>
      <c r="E67" s="64">
        <v>8.18</v>
      </c>
      <c r="F67" s="64">
        <v>15.42</v>
      </c>
      <c r="G67" s="64">
        <v>43.06</v>
      </c>
      <c r="H67" s="64">
        <v>16.62</v>
      </c>
      <c r="I67" s="64">
        <v>4.03</v>
      </c>
      <c r="J67" s="64">
        <v>3.36</v>
      </c>
      <c r="K67" s="64">
        <v>289.95999999999998</v>
      </c>
      <c r="L67" s="64">
        <v>46.03</v>
      </c>
      <c r="M67" s="64">
        <v>13.3</v>
      </c>
      <c r="N67" s="64">
        <v>442.2</v>
      </c>
      <c r="O67" s="64">
        <v>0</v>
      </c>
      <c r="P67" s="64">
        <v>0.54</v>
      </c>
      <c r="Q67" s="64">
        <v>9.66</v>
      </c>
      <c r="R67" s="198"/>
      <c r="S67" s="198"/>
      <c r="T67" s="198"/>
      <c r="U67" s="198"/>
    </row>
    <row r="68" spans="1:21" s="12" customFormat="1" x14ac:dyDescent="0.25">
      <c r="A68" s="215" t="s">
        <v>2609</v>
      </c>
      <c r="B68" s="64">
        <v>2.78</v>
      </c>
      <c r="C68" s="64">
        <v>31.43</v>
      </c>
      <c r="D68" s="64">
        <v>55.91</v>
      </c>
      <c r="E68" s="64">
        <v>8.81</v>
      </c>
      <c r="F68" s="64">
        <v>24.22</v>
      </c>
      <c r="G68" s="64">
        <v>52</v>
      </c>
      <c r="H68" s="64">
        <v>17.77</v>
      </c>
      <c r="I68" s="64">
        <v>4.0599999999999996</v>
      </c>
      <c r="J68" s="64">
        <v>1.36</v>
      </c>
      <c r="K68" s="64">
        <v>260.85000000000002</v>
      </c>
      <c r="L68" s="64">
        <v>45.1</v>
      </c>
      <c r="M68" s="64">
        <v>12.98</v>
      </c>
      <c r="N68" s="64">
        <v>348.9</v>
      </c>
      <c r="O68" s="64">
        <v>0</v>
      </c>
      <c r="P68" s="64">
        <v>0.48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2610</v>
      </c>
      <c r="B69" s="64">
        <v>1.0900000000000001</v>
      </c>
      <c r="C69" s="64">
        <v>26.9</v>
      </c>
      <c r="D69" s="64">
        <v>49.81</v>
      </c>
      <c r="E69" s="64">
        <v>7.73</v>
      </c>
      <c r="F69" s="64">
        <v>23.2</v>
      </c>
      <c r="G69" s="64">
        <v>54.56</v>
      </c>
      <c r="H69" s="64">
        <v>18.100000000000001</v>
      </c>
      <c r="I69" s="64">
        <v>3.9</v>
      </c>
      <c r="J69" s="64">
        <v>1.97</v>
      </c>
      <c r="K69" s="64">
        <v>216.73</v>
      </c>
      <c r="L69" s="64">
        <v>43.97</v>
      </c>
      <c r="M69" s="64">
        <v>13.28</v>
      </c>
      <c r="N69" s="64">
        <v>440.5</v>
      </c>
      <c r="O69" s="64">
        <v>0</v>
      </c>
      <c r="P69" s="64">
        <v>0.42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5" t="s">
        <v>2611</v>
      </c>
      <c r="B70" s="64">
        <v>0.92</v>
      </c>
      <c r="C70" s="64">
        <v>24.54</v>
      </c>
      <c r="D70" s="64">
        <v>45.56</v>
      </c>
      <c r="E70" s="64">
        <v>7.1</v>
      </c>
      <c r="F70" s="64">
        <v>21.03</v>
      </c>
      <c r="G70" s="64">
        <v>54.56</v>
      </c>
      <c r="H70" s="64">
        <v>18.100000000000001</v>
      </c>
      <c r="I70" s="64">
        <v>3.85</v>
      </c>
      <c r="J70" s="64">
        <v>1.57</v>
      </c>
      <c r="K70" s="64">
        <v>184.94</v>
      </c>
      <c r="L70" s="64">
        <v>43.67</v>
      </c>
      <c r="M70" s="64">
        <v>13.31</v>
      </c>
      <c r="N70" s="64">
        <v>299.3</v>
      </c>
      <c r="O70" s="64">
        <v>0</v>
      </c>
      <c r="P70" s="64">
        <v>0.41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5" t="s">
        <v>2612</v>
      </c>
      <c r="B71" s="64">
        <v>0.91</v>
      </c>
      <c r="C71" s="64">
        <v>23.09</v>
      </c>
      <c r="D71" s="64">
        <v>42.79</v>
      </c>
      <c r="E71" s="64">
        <v>8.06</v>
      </c>
      <c r="F71" s="64">
        <v>21.89</v>
      </c>
      <c r="G71" s="64">
        <v>54.56</v>
      </c>
      <c r="H71" s="64">
        <v>18.100000000000001</v>
      </c>
      <c r="I71" s="64">
        <v>3.92</v>
      </c>
      <c r="J71" s="64">
        <v>2.06</v>
      </c>
      <c r="K71" s="64">
        <v>182.1</v>
      </c>
      <c r="L71" s="64">
        <v>43.34</v>
      </c>
      <c r="M71" s="64">
        <v>13.16</v>
      </c>
      <c r="N71" s="64">
        <v>238</v>
      </c>
      <c r="O71" s="64">
        <v>0</v>
      </c>
      <c r="P71" s="64">
        <v>0.39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5" t="s">
        <v>2613</v>
      </c>
      <c r="B72" s="64">
        <v>1.78</v>
      </c>
      <c r="C72" s="64">
        <v>25.77</v>
      </c>
      <c r="D72" s="64">
        <v>46.59</v>
      </c>
      <c r="E72" s="64">
        <v>8.52</v>
      </c>
      <c r="F72" s="64">
        <v>26.29</v>
      </c>
      <c r="G72" s="64">
        <v>51.03</v>
      </c>
      <c r="H72" s="64">
        <v>17.989999999999998</v>
      </c>
      <c r="I72" s="64">
        <v>3.89</v>
      </c>
      <c r="J72" s="64">
        <v>1.03</v>
      </c>
      <c r="K72" s="64">
        <v>266.20999999999998</v>
      </c>
      <c r="L72" s="64">
        <v>42.96</v>
      </c>
      <c r="M72" s="64">
        <v>13.96</v>
      </c>
      <c r="N72" s="64">
        <v>187.8</v>
      </c>
      <c r="O72" s="64">
        <v>0</v>
      </c>
      <c r="P72" s="64">
        <v>0.39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2614</v>
      </c>
      <c r="B73" s="64">
        <v>2.41</v>
      </c>
      <c r="C73" s="64">
        <v>31.76</v>
      </c>
      <c r="D73" s="64">
        <v>57.09</v>
      </c>
      <c r="E73" s="64">
        <v>4.7300000000000004</v>
      </c>
      <c r="F73" s="64">
        <v>12.92</v>
      </c>
      <c r="G73" s="64">
        <v>49.56</v>
      </c>
      <c r="H73" s="64">
        <v>17.95</v>
      </c>
      <c r="I73" s="64">
        <v>4.01</v>
      </c>
      <c r="J73" s="64">
        <v>2.3199999999999998</v>
      </c>
      <c r="K73" s="64">
        <v>277.68</v>
      </c>
      <c r="L73" s="64">
        <v>43.11</v>
      </c>
      <c r="M73" s="64">
        <v>14.55</v>
      </c>
      <c r="N73" s="64">
        <v>203.9</v>
      </c>
      <c r="O73" s="64">
        <v>0</v>
      </c>
      <c r="P73" s="64">
        <v>0.45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2615</v>
      </c>
      <c r="B74" s="64">
        <v>0.79</v>
      </c>
      <c r="C74" s="64">
        <v>23.24</v>
      </c>
      <c r="D74" s="64">
        <v>43.27</v>
      </c>
      <c r="E74" s="64">
        <v>6.74</v>
      </c>
      <c r="F74" s="64">
        <v>23.83</v>
      </c>
      <c r="G74" s="64">
        <v>49.56</v>
      </c>
      <c r="H74" s="64">
        <v>17.95</v>
      </c>
      <c r="I74" s="64">
        <v>3.86</v>
      </c>
      <c r="J74" s="64">
        <v>2.59</v>
      </c>
      <c r="K74" s="64">
        <v>174</v>
      </c>
      <c r="L74" s="64">
        <v>42.93</v>
      </c>
      <c r="M74" s="64">
        <v>13.24</v>
      </c>
      <c r="N74" s="64">
        <v>206.9</v>
      </c>
      <c r="O74" s="64">
        <v>0</v>
      </c>
      <c r="P74" s="64">
        <v>0.37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5" t="s">
        <v>2616</v>
      </c>
      <c r="B75" s="64">
        <v>0.98</v>
      </c>
      <c r="C75" s="64">
        <v>28.63</v>
      </c>
      <c r="D75" s="64">
        <v>53.29</v>
      </c>
      <c r="E75" s="64">
        <v>11.85</v>
      </c>
      <c r="F75" s="64">
        <v>26.77</v>
      </c>
      <c r="G75" s="64">
        <v>49.56</v>
      </c>
      <c r="H75" s="64">
        <v>17.95</v>
      </c>
      <c r="I75" s="64">
        <v>3.99</v>
      </c>
      <c r="J75" s="64">
        <v>1.84</v>
      </c>
      <c r="K75" s="64">
        <v>149.47</v>
      </c>
      <c r="L75" s="64">
        <v>42.92</v>
      </c>
      <c r="M75" s="64">
        <v>13.95</v>
      </c>
      <c r="N75" s="64">
        <v>191.5</v>
      </c>
      <c r="O75" s="64">
        <v>0</v>
      </c>
      <c r="P75" s="64">
        <v>0.39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15" t="s">
        <v>2617</v>
      </c>
      <c r="B76" s="64">
        <v>1.1599999999999999</v>
      </c>
      <c r="C76" s="64">
        <v>28.8</v>
      </c>
      <c r="D76" s="64">
        <v>53.35</v>
      </c>
      <c r="E76" s="64">
        <v>13.22</v>
      </c>
      <c r="F76" s="64">
        <v>28.04</v>
      </c>
      <c r="G76" s="64">
        <v>53.47</v>
      </c>
      <c r="H76" s="64">
        <v>15.86</v>
      </c>
      <c r="I76" s="64">
        <v>3.98</v>
      </c>
      <c r="J76" s="64">
        <v>1.19</v>
      </c>
      <c r="K76" s="64">
        <v>155.77000000000001</v>
      </c>
      <c r="L76" s="64">
        <v>42.73</v>
      </c>
      <c r="M76" s="64">
        <v>14.55</v>
      </c>
      <c r="N76" s="64">
        <v>153.80000000000001</v>
      </c>
      <c r="O76" s="64">
        <v>0</v>
      </c>
      <c r="P76" s="64">
        <v>0.44</v>
      </c>
      <c r="Q76" s="64">
        <v>9.5399999999999991</v>
      </c>
      <c r="R76" s="198"/>
      <c r="S76" s="198"/>
      <c r="T76" s="198"/>
      <c r="U76" s="198"/>
    </row>
    <row r="77" spans="1:21" s="12" customFormat="1" x14ac:dyDescent="0.25">
      <c r="A77" s="215" t="s">
        <v>2618</v>
      </c>
      <c r="B77" s="64">
        <v>1.59</v>
      </c>
      <c r="C77" s="64">
        <v>34.31</v>
      </c>
      <c r="D77" s="64">
        <v>63.23</v>
      </c>
      <c r="E77" s="64">
        <v>10.119999999999999</v>
      </c>
      <c r="F77" s="64">
        <v>21.87</v>
      </c>
      <c r="G77" s="64">
        <v>54.59</v>
      </c>
      <c r="H77" s="64">
        <v>15.27</v>
      </c>
      <c r="I77" s="64">
        <v>4.01</v>
      </c>
      <c r="J77" s="64">
        <v>3.06</v>
      </c>
      <c r="K77" s="64">
        <v>150.03</v>
      </c>
      <c r="L77" s="64">
        <v>42.3</v>
      </c>
      <c r="M77" s="64">
        <v>14.83</v>
      </c>
      <c r="N77" s="64">
        <v>139.4</v>
      </c>
      <c r="O77" s="64">
        <v>0</v>
      </c>
      <c r="P77" s="64">
        <v>0.4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5" t="s">
        <v>2619</v>
      </c>
      <c r="B78" s="64">
        <v>2.89</v>
      </c>
      <c r="C78" s="64">
        <v>47.12</v>
      </c>
      <c r="D78" s="64">
        <v>85.77</v>
      </c>
      <c r="E78" s="64">
        <v>11.91</v>
      </c>
      <c r="F78" s="64">
        <v>23.9</v>
      </c>
      <c r="G78" s="64">
        <v>54.59</v>
      </c>
      <c r="H78" s="64">
        <v>15.27</v>
      </c>
      <c r="I78" s="64">
        <v>3.95</v>
      </c>
      <c r="J78" s="64">
        <v>2.33</v>
      </c>
      <c r="K78" s="64">
        <v>164.3</v>
      </c>
      <c r="L78" s="64">
        <v>42.08</v>
      </c>
      <c r="M78" s="64">
        <v>15.12</v>
      </c>
      <c r="N78" s="64">
        <v>122.3</v>
      </c>
      <c r="O78" s="64">
        <v>0</v>
      </c>
      <c r="P78" s="64">
        <v>0.43</v>
      </c>
      <c r="Q78" s="64">
        <v>9.52</v>
      </c>
      <c r="R78" s="198"/>
      <c r="S78" s="198"/>
      <c r="T78" s="198"/>
      <c r="U78" s="198"/>
    </row>
    <row r="79" spans="1:21" s="12" customFormat="1" x14ac:dyDescent="0.25">
      <c r="A79" s="215" t="s">
        <v>2620</v>
      </c>
      <c r="B79" s="64">
        <v>1.21</v>
      </c>
      <c r="C79" s="64">
        <v>42.64</v>
      </c>
      <c r="D79" s="64">
        <v>79.760000000000005</v>
      </c>
      <c r="E79" s="64">
        <v>10.25</v>
      </c>
      <c r="F79" s="64">
        <v>22.28</v>
      </c>
      <c r="G79" s="64">
        <v>54.59</v>
      </c>
      <c r="H79" s="64">
        <v>15.27</v>
      </c>
      <c r="I79" s="64">
        <v>4.01</v>
      </c>
      <c r="J79" s="64">
        <v>2.95</v>
      </c>
      <c r="K79" s="64">
        <v>161</v>
      </c>
      <c r="L79" s="64">
        <v>41.9</v>
      </c>
      <c r="M79" s="64">
        <v>14.86</v>
      </c>
      <c r="N79" s="64">
        <v>116</v>
      </c>
      <c r="O79" s="64">
        <v>0</v>
      </c>
      <c r="P79" s="64">
        <v>0.45</v>
      </c>
      <c r="Q79" s="64">
        <v>9.52</v>
      </c>
      <c r="R79" s="198"/>
      <c r="S79" s="198"/>
      <c r="T79" s="198"/>
      <c r="U79" s="198"/>
    </row>
    <row r="80" spans="1:21" s="12" customFormat="1" x14ac:dyDescent="0.25">
      <c r="A80" s="215" t="s">
        <v>2621</v>
      </c>
      <c r="B80" s="64">
        <v>2.4700000000000002</v>
      </c>
      <c r="C80" s="64">
        <v>61.7</v>
      </c>
      <c r="D80" s="64">
        <v>114.31</v>
      </c>
      <c r="E80" s="64">
        <v>12.75</v>
      </c>
      <c r="F80" s="64">
        <v>22.2</v>
      </c>
      <c r="G80" s="64">
        <v>54</v>
      </c>
      <c r="H80" s="64">
        <v>15.68</v>
      </c>
      <c r="I80" s="64">
        <v>4.17</v>
      </c>
      <c r="J80" s="64">
        <v>1.75</v>
      </c>
      <c r="K80" s="64">
        <v>177.94</v>
      </c>
      <c r="L80" s="64">
        <v>41.42</v>
      </c>
      <c r="M80" s="64">
        <v>16.89</v>
      </c>
      <c r="N80" s="64">
        <v>105.9</v>
      </c>
      <c r="O80" s="64">
        <v>0</v>
      </c>
      <c r="P80" s="64">
        <v>0.61</v>
      </c>
      <c r="Q80" s="64">
        <v>9.51</v>
      </c>
      <c r="R80" s="198"/>
      <c r="S80" s="198"/>
      <c r="T80" s="198"/>
      <c r="U80" s="198"/>
    </row>
    <row r="81" spans="1:26" s="12" customFormat="1" x14ac:dyDescent="0.25">
      <c r="A81" s="215" t="s">
        <v>2622</v>
      </c>
      <c r="B81" s="64">
        <v>1.18</v>
      </c>
      <c r="C81" s="64">
        <v>52.4</v>
      </c>
      <c r="D81" s="64">
        <v>98.49</v>
      </c>
      <c r="E81" s="64">
        <v>12.49</v>
      </c>
      <c r="F81" s="64">
        <v>22.24</v>
      </c>
      <c r="G81" s="64">
        <v>53.84</v>
      </c>
      <c r="H81" s="64">
        <v>15.8</v>
      </c>
      <c r="I81" s="64">
        <v>4.04</v>
      </c>
      <c r="J81" s="64">
        <v>1.97</v>
      </c>
      <c r="K81" s="64">
        <v>177.83</v>
      </c>
      <c r="L81" s="64">
        <v>40.89</v>
      </c>
      <c r="M81" s="64">
        <v>18.23</v>
      </c>
      <c r="N81" s="64">
        <v>88.7</v>
      </c>
      <c r="O81" s="64">
        <v>0</v>
      </c>
      <c r="P81" s="64">
        <v>0.68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5" t="s">
        <v>2623</v>
      </c>
      <c r="B82" s="64">
        <v>5.5</v>
      </c>
      <c r="C82" s="64">
        <v>71.33</v>
      </c>
      <c r="D82" s="64">
        <v>128.1</v>
      </c>
      <c r="E82" s="64">
        <v>11.65</v>
      </c>
      <c r="F82" s="64">
        <v>16.7</v>
      </c>
      <c r="G82" s="64">
        <v>53.84</v>
      </c>
      <c r="H82" s="64">
        <v>15.8</v>
      </c>
      <c r="I82" s="64">
        <v>3.99</v>
      </c>
      <c r="J82" s="64">
        <v>1.99</v>
      </c>
      <c r="K82" s="64">
        <v>213.62</v>
      </c>
      <c r="L82" s="64">
        <v>40.18</v>
      </c>
      <c r="M82" s="64">
        <v>19.420000000000002</v>
      </c>
      <c r="N82" s="64">
        <v>83.3</v>
      </c>
      <c r="O82" s="64">
        <v>0</v>
      </c>
      <c r="P82" s="64">
        <v>0.8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5" t="s">
        <v>2624</v>
      </c>
      <c r="B83" s="64">
        <v>27.94</v>
      </c>
      <c r="C83" s="64">
        <v>88.83</v>
      </c>
      <c r="D83" s="64">
        <v>127.15</v>
      </c>
      <c r="E83" s="64">
        <v>11.95</v>
      </c>
      <c r="F83" s="64">
        <v>16.989999999999998</v>
      </c>
      <c r="G83" s="64">
        <v>53.84</v>
      </c>
      <c r="H83" s="64">
        <v>15.8</v>
      </c>
      <c r="I83" s="64">
        <v>3.97</v>
      </c>
      <c r="J83" s="64">
        <v>1.52</v>
      </c>
      <c r="K83" s="64">
        <v>189.48</v>
      </c>
      <c r="L83" s="64">
        <v>39.94</v>
      </c>
      <c r="M83" s="64">
        <v>18.98</v>
      </c>
      <c r="N83" s="64">
        <v>81.5</v>
      </c>
      <c r="O83" s="64">
        <v>0</v>
      </c>
      <c r="P83" s="64">
        <v>1.07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5" t="s">
        <v>2625</v>
      </c>
      <c r="B84" s="64">
        <v>55.56</v>
      </c>
      <c r="C84" s="64">
        <v>125.5</v>
      </c>
      <c r="D84" s="64">
        <v>154.93</v>
      </c>
      <c r="E84" s="64">
        <v>9.98</v>
      </c>
      <c r="F84" s="64">
        <v>7.93</v>
      </c>
      <c r="G84" s="64">
        <v>56.43</v>
      </c>
      <c r="H84" s="64">
        <v>16.47</v>
      </c>
      <c r="I84" s="64">
        <v>4</v>
      </c>
      <c r="J84" s="64">
        <v>1.76</v>
      </c>
      <c r="K84" s="64">
        <v>287.11</v>
      </c>
      <c r="L84" s="64">
        <v>39.21</v>
      </c>
      <c r="M84" s="64">
        <v>26.01</v>
      </c>
      <c r="N84" s="64">
        <v>82.7</v>
      </c>
      <c r="O84" s="64">
        <v>0</v>
      </c>
      <c r="P84" s="64">
        <v>2.2799999999999998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15" t="s">
        <v>2626</v>
      </c>
      <c r="B85" s="64">
        <v>76.52</v>
      </c>
      <c r="C85" s="64">
        <v>152.35</v>
      </c>
      <c r="D85" s="64">
        <v>174.14</v>
      </c>
      <c r="E85" s="64">
        <v>10.62</v>
      </c>
      <c r="F85" s="64">
        <v>6.52</v>
      </c>
      <c r="G85" s="64">
        <v>57.17</v>
      </c>
      <c r="H85" s="64">
        <v>16.66</v>
      </c>
      <c r="I85" s="64">
        <v>3.94</v>
      </c>
      <c r="J85" s="64">
        <v>1.06</v>
      </c>
      <c r="K85" s="64">
        <v>264.58999999999997</v>
      </c>
      <c r="L85" s="64">
        <v>38.340000000000003</v>
      </c>
      <c r="M85" s="64">
        <v>24.86</v>
      </c>
      <c r="N85" s="64">
        <v>82.2</v>
      </c>
      <c r="O85" s="64">
        <v>0</v>
      </c>
      <c r="P85" s="64">
        <v>1.6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5" t="s">
        <v>2627</v>
      </c>
      <c r="B86" s="64">
        <v>115.73</v>
      </c>
      <c r="C86" s="64">
        <v>180.26</v>
      </c>
      <c r="D86" s="64">
        <v>167.39</v>
      </c>
      <c r="E86" s="64">
        <v>10.4</v>
      </c>
      <c r="F86" s="64">
        <v>5.69</v>
      </c>
      <c r="G86" s="64">
        <v>57.17</v>
      </c>
      <c r="H86" s="64">
        <v>16.66</v>
      </c>
      <c r="I86" s="64">
        <v>4.0599999999999996</v>
      </c>
      <c r="J86" s="64">
        <v>1.1299999999999999</v>
      </c>
      <c r="K86" s="64">
        <v>233.41</v>
      </c>
      <c r="L86" s="64">
        <v>37.85</v>
      </c>
      <c r="M86" s="64">
        <v>26.36</v>
      </c>
      <c r="N86" s="64">
        <v>82.3</v>
      </c>
      <c r="O86" s="64">
        <v>0</v>
      </c>
      <c r="P86" s="64">
        <v>2.39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5" t="s">
        <v>2628</v>
      </c>
      <c r="B87" s="64">
        <v>14.58</v>
      </c>
      <c r="C87" s="64">
        <v>72.709999999999994</v>
      </c>
      <c r="D87" s="64">
        <v>116.79</v>
      </c>
      <c r="E87" s="64">
        <v>11.21</v>
      </c>
      <c r="F87" s="64">
        <v>12.52</v>
      </c>
      <c r="G87" s="64">
        <v>57.17</v>
      </c>
      <c r="H87" s="64">
        <v>16.66</v>
      </c>
      <c r="I87" s="64">
        <v>4.16</v>
      </c>
      <c r="J87" s="64">
        <v>2.38</v>
      </c>
      <c r="K87" s="64">
        <v>172.27</v>
      </c>
      <c r="L87" s="64">
        <v>37.979999999999997</v>
      </c>
      <c r="M87" s="64">
        <v>23.86</v>
      </c>
      <c r="N87" s="64">
        <v>80.8</v>
      </c>
      <c r="O87" s="64">
        <v>0</v>
      </c>
      <c r="P87" s="64">
        <v>1.34</v>
      </c>
      <c r="Q87" s="64">
        <v>9.43</v>
      </c>
      <c r="R87" s="198"/>
      <c r="S87" s="198"/>
      <c r="T87" s="198"/>
      <c r="U87" s="198"/>
    </row>
    <row r="88" spans="1:26" s="12" customFormat="1" x14ac:dyDescent="0.25">
      <c r="A88" s="215" t="s">
        <v>2629</v>
      </c>
      <c r="B88" s="64">
        <v>11.37</v>
      </c>
      <c r="C88" s="64">
        <v>72.09</v>
      </c>
      <c r="D88" s="64">
        <v>120.52</v>
      </c>
      <c r="E88" s="64">
        <v>11.92</v>
      </c>
      <c r="F88" s="64">
        <v>13.03</v>
      </c>
      <c r="G88" s="64">
        <v>121.04</v>
      </c>
      <c r="H88" s="64">
        <v>12.26</v>
      </c>
      <c r="I88" s="64">
        <v>4.04</v>
      </c>
      <c r="J88" s="64">
        <v>1.96</v>
      </c>
      <c r="K88" s="64">
        <v>172.77</v>
      </c>
      <c r="L88" s="64">
        <v>38.700000000000003</v>
      </c>
      <c r="M88" s="64">
        <v>22.67</v>
      </c>
      <c r="N88" s="64">
        <v>81.3</v>
      </c>
      <c r="O88" s="64">
        <v>0</v>
      </c>
      <c r="P88" s="64">
        <v>1.1599999999999999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15" t="s">
        <v>2630</v>
      </c>
      <c r="B89" s="64">
        <v>10.99</v>
      </c>
      <c r="C89" s="64">
        <v>59.39</v>
      </c>
      <c r="D89" s="64">
        <v>96.79</v>
      </c>
      <c r="E89" s="64">
        <v>9.26</v>
      </c>
      <c r="F89" s="64">
        <v>11.35</v>
      </c>
      <c r="G89" s="64">
        <v>139.29</v>
      </c>
      <c r="H89" s="64">
        <v>11.01</v>
      </c>
      <c r="I89" s="64">
        <v>4.24</v>
      </c>
      <c r="J89" s="64">
        <v>2.8</v>
      </c>
      <c r="K89" s="64">
        <v>168.91</v>
      </c>
      <c r="L89" s="64">
        <v>38.130000000000003</v>
      </c>
      <c r="M89" s="64">
        <v>22.08</v>
      </c>
      <c r="N89" s="64">
        <v>81.3</v>
      </c>
      <c r="O89" s="64">
        <v>0</v>
      </c>
      <c r="P89" s="64">
        <v>0.95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5" t="s">
        <v>2631</v>
      </c>
      <c r="B90" s="64">
        <v>11.32</v>
      </c>
      <c r="C90" s="64">
        <v>57.43</v>
      </c>
      <c r="D90" s="64">
        <v>92.55</v>
      </c>
      <c r="E90" s="64">
        <v>6.51</v>
      </c>
      <c r="F90" s="64">
        <v>9.6999999999999993</v>
      </c>
      <c r="G90" s="64">
        <v>139.29</v>
      </c>
      <c r="H90" s="64">
        <v>11.01</v>
      </c>
      <c r="I90" s="64">
        <v>4.03</v>
      </c>
      <c r="J90" s="64">
        <v>2.36</v>
      </c>
      <c r="K90" s="64">
        <v>161.13999999999999</v>
      </c>
      <c r="L90" s="64">
        <v>37.96</v>
      </c>
      <c r="M90" s="64">
        <v>22.58</v>
      </c>
      <c r="N90" s="64">
        <v>81.8</v>
      </c>
      <c r="O90" s="64">
        <v>0</v>
      </c>
      <c r="P90" s="64">
        <v>0.83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5" t="s">
        <v>2632</v>
      </c>
      <c r="B91" s="64">
        <v>12.96</v>
      </c>
      <c r="C91" s="64">
        <v>57.67</v>
      </c>
      <c r="D91" s="64">
        <v>90.48</v>
      </c>
      <c r="E91" s="64">
        <v>11.23</v>
      </c>
      <c r="F91" s="64">
        <v>14.08</v>
      </c>
      <c r="G91" s="64">
        <v>139.29</v>
      </c>
      <c r="H91" s="64">
        <v>11.01</v>
      </c>
      <c r="I91" s="64">
        <v>3.84</v>
      </c>
      <c r="J91" s="64">
        <v>1.57</v>
      </c>
      <c r="K91" s="64">
        <v>265.20999999999998</v>
      </c>
      <c r="L91" s="64">
        <v>37.49</v>
      </c>
      <c r="M91" s="64">
        <v>22.92</v>
      </c>
      <c r="N91" s="64">
        <v>82.8</v>
      </c>
      <c r="O91" s="64">
        <v>0</v>
      </c>
      <c r="P91" s="64">
        <v>1.1399999999999999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5" t="s">
        <v>2633</v>
      </c>
      <c r="B92" s="64">
        <v>56.13</v>
      </c>
      <c r="C92" s="64">
        <v>102.14</v>
      </c>
      <c r="D92" s="64">
        <v>109.35</v>
      </c>
      <c r="E92" s="64">
        <v>10.35</v>
      </c>
      <c r="F92" s="64">
        <v>10.35</v>
      </c>
      <c r="G92" s="64">
        <v>92.98</v>
      </c>
      <c r="H92" s="64">
        <v>8.18</v>
      </c>
      <c r="I92" s="64">
        <v>3.79</v>
      </c>
      <c r="J92" s="64">
        <v>0.7</v>
      </c>
      <c r="K92" s="64">
        <v>312.29000000000002</v>
      </c>
      <c r="L92" s="64">
        <v>37.06</v>
      </c>
      <c r="M92" s="64">
        <v>25.49</v>
      </c>
      <c r="N92" s="64">
        <v>83</v>
      </c>
      <c r="O92" s="64">
        <v>0</v>
      </c>
      <c r="P92" s="64">
        <v>1.91</v>
      </c>
      <c r="Q92" s="64">
        <v>9.49</v>
      </c>
      <c r="R92" s="198"/>
      <c r="S92" s="198"/>
      <c r="T92" s="198"/>
      <c r="U92" s="198"/>
    </row>
    <row r="93" spans="1:26" s="12" customFormat="1" x14ac:dyDescent="0.25">
      <c r="A93" s="215" t="s">
        <v>2634</v>
      </c>
      <c r="B93" s="64">
        <v>92.98</v>
      </c>
      <c r="C93" s="64">
        <v>139.02000000000001</v>
      </c>
      <c r="D93" s="64">
        <v>123.38</v>
      </c>
      <c r="E93" s="64">
        <v>10.45</v>
      </c>
      <c r="F93" s="64">
        <v>7.07</v>
      </c>
      <c r="G93" s="64">
        <v>79.75</v>
      </c>
      <c r="H93" s="64">
        <v>7.37</v>
      </c>
      <c r="I93" s="64">
        <v>3.93</v>
      </c>
      <c r="J93" s="64">
        <v>1.77</v>
      </c>
      <c r="K93" s="64">
        <v>31.36</v>
      </c>
      <c r="L93" s="64">
        <v>36.53</v>
      </c>
      <c r="M93" s="64">
        <v>26.67</v>
      </c>
      <c r="N93" s="64">
        <v>83.1</v>
      </c>
      <c r="O93" s="64">
        <v>0</v>
      </c>
      <c r="P93" s="64">
        <v>1.99</v>
      </c>
      <c r="Q93" s="64">
        <v>9.49</v>
      </c>
      <c r="R93" s="198"/>
      <c r="S93" s="198"/>
      <c r="T93" s="198"/>
      <c r="U93" s="198"/>
    </row>
    <row r="94" spans="1:26" s="12" customFormat="1" x14ac:dyDescent="0.25">
      <c r="A94" s="215" t="s">
        <v>2635</v>
      </c>
      <c r="B94" s="64">
        <v>69.3</v>
      </c>
      <c r="C94" s="64">
        <v>117.65</v>
      </c>
      <c r="D94" s="64">
        <v>118.83</v>
      </c>
      <c r="E94" s="64">
        <v>9.39</v>
      </c>
      <c r="F94" s="64">
        <v>6.19</v>
      </c>
      <c r="G94" s="64">
        <v>79.75</v>
      </c>
      <c r="H94" s="64">
        <v>7.37</v>
      </c>
      <c r="I94" s="64">
        <v>3.98</v>
      </c>
      <c r="J94" s="64">
        <v>1.48</v>
      </c>
      <c r="K94" s="64">
        <v>292.86</v>
      </c>
      <c r="L94" s="64">
        <v>35.65</v>
      </c>
      <c r="M94" s="64">
        <v>28.45</v>
      </c>
      <c r="N94" s="64">
        <v>83</v>
      </c>
      <c r="O94" s="64">
        <v>0</v>
      </c>
      <c r="P94" s="64">
        <v>2.38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5" t="s">
        <v>2636</v>
      </c>
      <c r="B95" s="64">
        <v>135.27000000000001</v>
      </c>
      <c r="C95" s="64">
        <v>169.69</v>
      </c>
      <c r="D95" s="64">
        <v>117.16</v>
      </c>
      <c r="E95" s="64">
        <v>8.6999999999999993</v>
      </c>
      <c r="F95" s="64">
        <v>5.69</v>
      </c>
      <c r="G95" s="64">
        <v>79.75</v>
      </c>
      <c r="H95" s="64">
        <v>7.37</v>
      </c>
      <c r="I95" s="64">
        <v>3.92</v>
      </c>
      <c r="J95" s="64">
        <v>1.84</v>
      </c>
      <c r="K95" s="64">
        <v>271.75</v>
      </c>
      <c r="L95" s="64">
        <v>35.11</v>
      </c>
      <c r="M95" s="64">
        <v>30.31</v>
      </c>
      <c r="N95" s="64">
        <v>83.1</v>
      </c>
      <c r="O95" s="64">
        <v>0</v>
      </c>
      <c r="P95" s="64">
        <v>2.93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5" t="s">
        <v>2637</v>
      </c>
      <c r="B96" s="64">
        <v>99.42</v>
      </c>
      <c r="C96" s="64">
        <v>139.41</v>
      </c>
      <c r="D96" s="64">
        <v>114.22</v>
      </c>
      <c r="E96" s="64">
        <v>8.66</v>
      </c>
      <c r="F96" s="64">
        <v>5.71</v>
      </c>
      <c r="G96" s="64">
        <v>105.89</v>
      </c>
      <c r="H96" s="64">
        <v>5.6</v>
      </c>
      <c r="I96" s="64">
        <v>3.97</v>
      </c>
      <c r="J96" s="64">
        <v>1.56</v>
      </c>
      <c r="K96" s="64">
        <v>295.69</v>
      </c>
      <c r="L96" s="64">
        <v>34.770000000000003</v>
      </c>
      <c r="M96" s="64">
        <v>31.36</v>
      </c>
      <c r="N96" s="64">
        <v>83.2</v>
      </c>
      <c r="O96" s="64">
        <v>0</v>
      </c>
      <c r="P96" s="64">
        <v>2.34</v>
      </c>
      <c r="Q96" s="64">
        <v>9.4700000000000006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2638</v>
      </c>
      <c r="B97" s="64">
        <v>56.77</v>
      </c>
      <c r="C97" s="64">
        <v>105.71</v>
      </c>
      <c r="D97" s="64">
        <v>115.19</v>
      </c>
      <c r="E97" s="64">
        <v>9.23</v>
      </c>
      <c r="F97" s="64">
        <v>5.53</v>
      </c>
      <c r="G97" s="64">
        <v>113.36</v>
      </c>
      <c r="H97" s="64">
        <v>5.09</v>
      </c>
      <c r="I97" s="64">
        <v>3.83</v>
      </c>
      <c r="J97" s="64">
        <v>2</v>
      </c>
      <c r="K97" s="64">
        <v>241.6</v>
      </c>
      <c r="L97" s="64">
        <v>34.94</v>
      </c>
      <c r="M97" s="64">
        <v>30.13</v>
      </c>
      <c r="N97" s="64">
        <v>83.1</v>
      </c>
      <c r="O97" s="64">
        <v>0</v>
      </c>
      <c r="P97" s="64">
        <v>1.85</v>
      </c>
      <c r="Q97" s="64">
        <v>9.5</v>
      </c>
      <c r="R97" s="198"/>
      <c r="S97" s="198"/>
      <c r="T97" s="198"/>
      <c r="U97" s="198"/>
    </row>
    <row r="98" spans="1:33" s="12" customFormat="1" x14ac:dyDescent="0.25">
      <c r="A98" s="215" t="s">
        <v>2639</v>
      </c>
      <c r="B98" s="64">
        <v>126.63</v>
      </c>
      <c r="C98" s="64">
        <v>161.72999999999999</v>
      </c>
      <c r="D98" s="64">
        <v>115.2</v>
      </c>
      <c r="E98" s="64">
        <v>8.73</v>
      </c>
      <c r="F98" s="64">
        <v>5.12</v>
      </c>
      <c r="G98" s="64">
        <v>113.36</v>
      </c>
      <c r="H98" s="64">
        <v>5.09</v>
      </c>
      <c r="I98" s="64">
        <v>4.04</v>
      </c>
      <c r="J98" s="64">
        <v>1.87</v>
      </c>
      <c r="K98" s="64">
        <v>270.11</v>
      </c>
      <c r="L98" s="64">
        <v>34.880000000000003</v>
      </c>
      <c r="M98" s="64">
        <v>31.94</v>
      </c>
      <c r="N98" s="64">
        <v>85.1</v>
      </c>
      <c r="O98" s="64">
        <v>0</v>
      </c>
      <c r="P98" s="64">
        <v>1.86</v>
      </c>
      <c r="Q98" s="64">
        <v>9.5299999999999994</v>
      </c>
      <c r="R98" s="198"/>
      <c r="S98" s="198"/>
      <c r="T98" s="198"/>
      <c r="U98" s="198"/>
    </row>
    <row r="99" spans="1:33" s="12" customFormat="1" x14ac:dyDescent="0.25">
      <c r="A99" s="215" t="s">
        <v>2640</v>
      </c>
      <c r="B99" s="64">
        <v>75.02</v>
      </c>
      <c r="C99" s="64">
        <v>119.5</v>
      </c>
      <c r="D99" s="64">
        <v>113.59</v>
      </c>
      <c r="E99" s="64">
        <v>7.52</v>
      </c>
      <c r="F99" s="64">
        <v>4.91</v>
      </c>
      <c r="G99" s="64">
        <v>113.36</v>
      </c>
      <c r="H99" s="64">
        <v>5.09</v>
      </c>
      <c r="I99" s="64">
        <v>3.99</v>
      </c>
      <c r="J99" s="64">
        <v>1.83</v>
      </c>
      <c r="K99" s="64">
        <v>237.13</v>
      </c>
      <c r="L99" s="64">
        <v>34.6</v>
      </c>
      <c r="M99" s="64">
        <v>32</v>
      </c>
      <c r="N99" s="64">
        <v>85.7</v>
      </c>
      <c r="O99" s="64">
        <v>0</v>
      </c>
      <c r="P99" s="64">
        <v>1.47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5" t="s">
        <v>2641</v>
      </c>
      <c r="B100" s="64">
        <v>18.64</v>
      </c>
      <c r="C100" s="64">
        <v>51.01</v>
      </c>
      <c r="D100" s="64">
        <v>69.03</v>
      </c>
      <c r="E100" s="64">
        <v>6.97</v>
      </c>
      <c r="F100" s="64">
        <v>11.73</v>
      </c>
      <c r="G100" s="64">
        <v>116.4</v>
      </c>
      <c r="H100" s="64">
        <v>3.9</v>
      </c>
      <c r="I100" s="64">
        <v>3.91</v>
      </c>
      <c r="J100" s="64">
        <v>2.75</v>
      </c>
      <c r="K100" s="64">
        <v>197.72</v>
      </c>
      <c r="L100" s="64">
        <v>34.840000000000003</v>
      </c>
      <c r="M100" s="64">
        <v>29.46</v>
      </c>
      <c r="N100" s="64">
        <v>85.1</v>
      </c>
      <c r="O100" s="64">
        <v>0</v>
      </c>
      <c r="P100" s="64">
        <v>0.81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2642</v>
      </c>
      <c r="B101" s="64">
        <v>11.38</v>
      </c>
      <c r="C101" s="64">
        <v>42.84</v>
      </c>
      <c r="D101" s="64">
        <v>64.53</v>
      </c>
      <c r="E101" s="64">
        <v>7.5</v>
      </c>
      <c r="F101" s="64">
        <v>12.97</v>
      </c>
      <c r="G101" s="64">
        <v>117.26</v>
      </c>
      <c r="H101" s="64">
        <v>3.56</v>
      </c>
      <c r="I101" s="64">
        <v>3.91</v>
      </c>
      <c r="J101" s="64">
        <v>1.46</v>
      </c>
      <c r="K101" s="64">
        <v>229.59</v>
      </c>
      <c r="L101" s="64">
        <v>34.47</v>
      </c>
      <c r="M101" s="64">
        <v>29.82</v>
      </c>
      <c r="N101" s="64">
        <v>86.9</v>
      </c>
      <c r="O101" s="64">
        <v>0</v>
      </c>
      <c r="P101" s="64">
        <v>0.64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2643</v>
      </c>
      <c r="B102" s="64">
        <v>11.28</v>
      </c>
      <c r="C102" s="64">
        <v>36.46</v>
      </c>
      <c r="D102" s="64">
        <v>52.47</v>
      </c>
      <c r="E102" s="64">
        <v>7.92</v>
      </c>
      <c r="F102" s="64">
        <v>13.7</v>
      </c>
      <c r="G102" s="64">
        <v>117.26</v>
      </c>
      <c r="H102" s="64">
        <v>3.56</v>
      </c>
      <c r="I102" s="64">
        <v>3.88</v>
      </c>
      <c r="J102" s="64">
        <v>1.57</v>
      </c>
      <c r="K102" s="64">
        <v>228.47</v>
      </c>
      <c r="L102" s="64">
        <v>34.43</v>
      </c>
      <c r="M102" s="64">
        <v>29.08</v>
      </c>
      <c r="N102" s="64">
        <v>87.3</v>
      </c>
      <c r="O102" s="64">
        <v>0</v>
      </c>
      <c r="P102" s="64">
        <v>0.62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2644</v>
      </c>
      <c r="B103" s="64">
        <v>14.12</v>
      </c>
      <c r="C103" s="64">
        <v>50.03</v>
      </c>
      <c r="D103" s="64">
        <v>74.08</v>
      </c>
      <c r="E103" s="64">
        <v>9.6</v>
      </c>
      <c r="F103" s="64">
        <v>10.91</v>
      </c>
      <c r="G103" s="64">
        <v>117.26</v>
      </c>
      <c r="H103" s="64">
        <v>3.56</v>
      </c>
      <c r="I103" s="64">
        <v>3.85</v>
      </c>
      <c r="J103" s="64">
        <v>1.63</v>
      </c>
      <c r="K103" s="64">
        <v>284.01</v>
      </c>
      <c r="L103" s="64">
        <v>34.42</v>
      </c>
      <c r="M103" s="64">
        <v>27.16</v>
      </c>
      <c r="N103" s="64">
        <v>89</v>
      </c>
      <c r="O103" s="64">
        <v>0</v>
      </c>
      <c r="P103" s="64">
        <v>0.9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2645</v>
      </c>
      <c r="B104" s="64">
        <v>6.53</v>
      </c>
      <c r="C104" s="64">
        <v>37.61</v>
      </c>
      <c r="D104" s="64">
        <v>61.96</v>
      </c>
      <c r="E104" s="64">
        <v>11.23</v>
      </c>
      <c r="F104" s="64">
        <v>13.32</v>
      </c>
      <c r="G104" s="64">
        <v>72.489999999999995</v>
      </c>
      <c r="H104" s="64">
        <v>2.74</v>
      </c>
      <c r="I104" s="64">
        <v>3.9</v>
      </c>
      <c r="J104" s="64">
        <v>1.23</v>
      </c>
      <c r="K104" s="64">
        <v>289.8</v>
      </c>
      <c r="L104" s="64">
        <v>34.58</v>
      </c>
      <c r="M104" s="64">
        <v>25.07</v>
      </c>
      <c r="N104" s="64">
        <v>90.4</v>
      </c>
      <c r="O104" s="64">
        <v>0</v>
      </c>
      <c r="P104" s="64">
        <v>0.71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0.51</v>
      </c>
      <c r="C106" s="67">
        <f>MIN(C9:C104)</f>
        <v>19.39</v>
      </c>
      <c r="D106" s="67">
        <f t="shared" ref="D106:Q106" si="0">MIN(D9:D104)</f>
        <v>34.01</v>
      </c>
      <c r="E106" s="67">
        <f t="shared" si="0"/>
        <v>3.48</v>
      </c>
      <c r="F106" s="67">
        <f t="shared" si="0"/>
        <v>4.91</v>
      </c>
      <c r="G106" s="67">
        <f t="shared" si="0"/>
        <v>39.75</v>
      </c>
      <c r="H106" s="67">
        <f t="shared" si="0"/>
        <v>2.74</v>
      </c>
      <c r="I106" s="67">
        <f t="shared" si="0"/>
        <v>3.79</v>
      </c>
      <c r="J106" s="67">
        <f t="shared" si="0"/>
        <v>0.2</v>
      </c>
      <c r="K106" s="67">
        <f t="shared" si="0"/>
        <v>27.94</v>
      </c>
      <c r="L106" s="67">
        <f t="shared" si="0"/>
        <v>30.53</v>
      </c>
      <c r="M106" s="67">
        <f t="shared" si="0"/>
        <v>12.72</v>
      </c>
      <c r="N106" s="67">
        <f t="shared" si="0"/>
        <v>80.8</v>
      </c>
      <c r="O106" s="67">
        <f t="shared" si="0"/>
        <v>0</v>
      </c>
      <c r="P106" s="67">
        <f t="shared" si="0"/>
        <v>0.25</v>
      </c>
      <c r="Q106" s="67">
        <f t="shared" si="0"/>
        <v>9.43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135.27000000000001</v>
      </c>
      <c r="C107" s="66">
        <f t="shared" ref="C107:Q107" si="1">MAX(C9:C104)</f>
        <v>180.26</v>
      </c>
      <c r="D107" s="66">
        <f t="shared" si="1"/>
        <v>174.14</v>
      </c>
      <c r="E107" s="66">
        <f t="shared" si="1"/>
        <v>21</v>
      </c>
      <c r="F107" s="66">
        <f t="shared" si="1"/>
        <v>38.54</v>
      </c>
      <c r="G107" s="66">
        <f t="shared" si="1"/>
        <v>139.29</v>
      </c>
      <c r="H107" s="66">
        <f t="shared" si="1"/>
        <v>30.24</v>
      </c>
      <c r="I107" s="66">
        <f t="shared" si="1"/>
        <v>4.24</v>
      </c>
      <c r="J107" s="66">
        <f t="shared" si="1"/>
        <v>3.36</v>
      </c>
      <c r="K107" s="66">
        <f t="shared" si="1"/>
        <v>332.99</v>
      </c>
      <c r="L107" s="66">
        <f t="shared" si="1"/>
        <v>46.97</v>
      </c>
      <c r="M107" s="66">
        <f t="shared" si="1"/>
        <v>49.2</v>
      </c>
      <c r="N107" s="66">
        <f t="shared" si="1"/>
        <v>992.5</v>
      </c>
      <c r="O107" s="66">
        <f t="shared" si="1"/>
        <v>0</v>
      </c>
      <c r="P107" s="66">
        <f t="shared" si="1"/>
        <v>2.93</v>
      </c>
      <c r="Q107" s="66">
        <f t="shared" si="1"/>
        <v>10.119999999999999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16.476041666666667</v>
      </c>
      <c r="C108" s="67">
        <f t="shared" ref="C108:Q108" si="2">AVERAGE(C9:C104)</f>
        <v>48.875729166666652</v>
      </c>
      <c r="D108" s="67">
        <f t="shared" si="2"/>
        <v>68.260104166666665</v>
      </c>
      <c r="E108" s="67">
        <f t="shared" si="2"/>
        <v>8.3831250000000015</v>
      </c>
      <c r="F108" s="67">
        <f t="shared" si="2"/>
        <v>15.200729166666667</v>
      </c>
      <c r="G108" s="67">
        <f t="shared" si="2"/>
        <v>66.094375000000014</v>
      </c>
      <c r="H108" s="67">
        <f t="shared" si="2"/>
        <v>16.876249999999988</v>
      </c>
      <c r="I108" s="67">
        <f t="shared" si="2"/>
        <v>3.9993750000000023</v>
      </c>
      <c r="J108" s="67">
        <f t="shared" si="2"/>
        <v>1.6731250000000004</v>
      </c>
      <c r="K108" s="67">
        <f t="shared" si="2"/>
        <v>233.72468749999996</v>
      </c>
      <c r="L108" s="67">
        <f t="shared" si="2"/>
        <v>38.107187500000002</v>
      </c>
      <c r="M108" s="67">
        <f t="shared" si="2"/>
        <v>27.166354166666675</v>
      </c>
      <c r="N108" s="67">
        <f t="shared" si="2"/>
        <v>328.03020833333341</v>
      </c>
      <c r="O108" s="67">
        <f t="shared" si="2"/>
        <v>0</v>
      </c>
      <c r="P108" s="67">
        <f t="shared" si="2"/>
        <v>0.77749999999999986</v>
      </c>
      <c r="Q108" s="67">
        <f t="shared" si="2"/>
        <v>9.7795833333333366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28.267947907542016</v>
      </c>
      <c r="C109" s="67">
        <f t="shared" ref="C109:Q109" si="3">STDEV(C9:C104)</f>
        <v>36.100542604022237</v>
      </c>
      <c r="D109" s="67">
        <f t="shared" si="3"/>
        <v>30.707187414942496</v>
      </c>
      <c r="E109" s="67">
        <f t="shared" si="3"/>
        <v>3.7605549177579727</v>
      </c>
      <c r="F109" s="67">
        <f t="shared" si="3"/>
        <v>7.3888547997773708</v>
      </c>
      <c r="G109" s="67">
        <f t="shared" si="3"/>
        <v>24.961414594382042</v>
      </c>
      <c r="H109" s="67">
        <f t="shared" si="3"/>
        <v>6.3240125919512726</v>
      </c>
      <c r="I109" s="67">
        <f t="shared" si="3"/>
        <v>8.4127878851186999E-2</v>
      </c>
      <c r="J109" s="67">
        <f t="shared" si="3"/>
        <v>0.55272209158519747</v>
      </c>
      <c r="K109" s="67">
        <f t="shared" si="3"/>
        <v>60.045060867969696</v>
      </c>
      <c r="L109" s="67">
        <f t="shared" si="3"/>
        <v>4.9539531695988739</v>
      </c>
      <c r="M109" s="67">
        <f t="shared" si="3"/>
        <v>9.8372019042420789</v>
      </c>
      <c r="N109" s="67">
        <f t="shared" si="3"/>
        <v>317.18453175259668</v>
      </c>
      <c r="O109" s="67">
        <f t="shared" si="3"/>
        <v>0</v>
      </c>
      <c r="P109" s="67">
        <f t="shared" si="3"/>
        <v>0.53824862187224254</v>
      </c>
      <c r="Q109" s="67">
        <f t="shared" si="3"/>
        <v>0.2268081343879918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2646</v>
      </c>
      <c r="B9" s="64">
        <v>21.92</v>
      </c>
      <c r="C9" s="64">
        <v>46.86</v>
      </c>
      <c r="D9" s="64">
        <v>56.04</v>
      </c>
      <c r="E9" s="64">
        <v>8.44</v>
      </c>
      <c r="F9" s="64">
        <v>11</v>
      </c>
      <c r="G9" s="64">
        <v>59.69</v>
      </c>
      <c r="H9" s="64">
        <v>2.4900000000000002</v>
      </c>
      <c r="I9" s="64">
        <v>3.9</v>
      </c>
      <c r="J9" s="64">
        <v>0.82</v>
      </c>
      <c r="K9" s="64">
        <v>269.66000000000003</v>
      </c>
      <c r="L9" s="64">
        <v>34.97</v>
      </c>
      <c r="M9" s="64">
        <v>24.12</v>
      </c>
      <c r="N9" s="64">
        <v>91.2</v>
      </c>
      <c r="O9" s="64">
        <v>0</v>
      </c>
      <c r="P9" s="64">
        <v>0.9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2647</v>
      </c>
      <c r="B10" s="64">
        <v>14.41</v>
      </c>
      <c r="C10" s="64">
        <v>37.85</v>
      </c>
      <c r="D10" s="64">
        <v>50.33</v>
      </c>
      <c r="E10" s="64">
        <v>8.44</v>
      </c>
      <c r="F10" s="64">
        <v>11.91</v>
      </c>
      <c r="G10" s="64">
        <v>59.69</v>
      </c>
      <c r="H10" s="64">
        <v>2.4900000000000002</v>
      </c>
      <c r="I10" s="64">
        <v>3.98</v>
      </c>
      <c r="J10" s="64">
        <v>1.07</v>
      </c>
      <c r="K10" s="64">
        <v>278.39999999999998</v>
      </c>
      <c r="L10" s="64">
        <v>35.11</v>
      </c>
      <c r="M10" s="64">
        <v>25.43</v>
      </c>
      <c r="N10" s="64">
        <v>92.3</v>
      </c>
      <c r="O10" s="64">
        <v>0</v>
      </c>
      <c r="P10" s="64">
        <v>0.69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5" t="s">
        <v>2648</v>
      </c>
      <c r="B11" s="64">
        <v>16.46</v>
      </c>
      <c r="C11" s="64">
        <v>41.92</v>
      </c>
      <c r="D11" s="64">
        <v>54.96</v>
      </c>
      <c r="E11" s="64">
        <v>7.02</v>
      </c>
      <c r="F11" s="64">
        <v>12.57</v>
      </c>
      <c r="G11" s="64">
        <v>59.69</v>
      </c>
      <c r="H11" s="64">
        <v>2.4900000000000002</v>
      </c>
      <c r="I11" s="64">
        <v>4.01</v>
      </c>
      <c r="J11" s="64">
        <v>1.56</v>
      </c>
      <c r="K11" s="64">
        <v>271.56</v>
      </c>
      <c r="L11" s="64">
        <v>35.130000000000003</v>
      </c>
      <c r="M11" s="64">
        <v>29.19</v>
      </c>
      <c r="N11" s="64">
        <v>95</v>
      </c>
      <c r="O11" s="64">
        <v>0</v>
      </c>
      <c r="P11" s="64">
        <v>0.68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2649</v>
      </c>
      <c r="B12" s="64">
        <v>10.08</v>
      </c>
      <c r="C12" s="64">
        <v>32.94</v>
      </c>
      <c r="D12" s="64">
        <v>47.59</v>
      </c>
      <c r="E12" s="64">
        <v>6.42</v>
      </c>
      <c r="F12" s="64">
        <v>16.22</v>
      </c>
      <c r="G12" s="64">
        <v>63.87</v>
      </c>
      <c r="H12" s="213" t="s">
        <v>42</v>
      </c>
      <c r="I12" s="64">
        <v>3.99</v>
      </c>
      <c r="J12" s="64">
        <v>1.57</v>
      </c>
      <c r="K12" s="64">
        <v>220.77</v>
      </c>
      <c r="L12" s="64">
        <v>34.89</v>
      </c>
      <c r="M12" s="64">
        <v>32.659999999999997</v>
      </c>
      <c r="N12" s="64">
        <v>96</v>
      </c>
      <c r="O12" s="64">
        <v>0</v>
      </c>
      <c r="P12" s="64">
        <v>0.55000000000000004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5" t="s">
        <v>2650</v>
      </c>
      <c r="B13" s="64">
        <v>3.7</v>
      </c>
      <c r="C13" s="64">
        <v>23.24</v>
      </c>
      <c r="D13" s="64">
        <v>38.81</v>
      </c>
      <c r="E13" s="64">
        <v>6.55</v>
      </c>
      <c r="F13" s="64">
        <v>18.48</v>
      </c>
      <c r="G13" s="64">
        <v>65.06</v>
      </c>
      <c r="H13" s="213" t="s">
        <v>42</v>
      </c>
      <c r="I13" s="64">
        <v>3.99</v>
      </c>
      <c r="J13" s="64">
        <v>1.62</v>
      </c>
      <c r="K13" s="64">
        <v>233.39</v>
      </c>
      <c r="L13" s="64">
        <v>34.4</v>
      </c>
      <c r="M13" s="64">
        <v>35.020000000000003</v>
      </c>
      <c r="N13" s="64">
        <v>97.3</v>
      </c>
      <c r="O13" s="64">
        <v>0</v>
      </c>
      <c r="P13" s="64">
        <v>0.28999999999999998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5" t="s">
        <v>2651</v>
      </c>
      <c r="B14" s="64">
        <v>9.8000000000000007</v>
      </c>
      <c r="C14" s="64">
        <v>31.55</v>
      </c>
      <c r="D14" s="64">
        <v>45.34</v>
      </c>
      <c r="E14" s="64">
        <v>5.93</v>
      </c>
      <c r="F14" s="64">
        <v>15.81</v>
      </c>
      <c r="G14" s="64">
        <v>65.06</v>
      </c>
      <c r="H14" s="213" t="s">
        <v>42</v>
      </c>
      <c r="I14" s="64">
        <v>3.97</v>
      </c>
      <c r="J14" s="64">
        <v>1.36</v>
      </c>
      <c r="K14" s="64">
        <v>256.38</v>
      </c>
      <c r="L14" s="64">
        <v>34.6</v>
      </c>
      <c r="M14" s="64">
        <v>36.43</v>
      </c>
      <c r="N14" s="64">
        <v>97.4</v>
      </c>
      <c r="O14" s="64">
        <v>0</v>
      </c>
      <c r="P14" s="64">
        <v>0.51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5" t="s">
        <v>2652</v>
      </c>
      <c r="B15" s="64">
        <v>6.81</v>
      </c>
      <c r="C15" s="64">
        <v>28.04</v>
      </c>
      <c r="D15" s="64">
        <v>43.22</v>
      </c>
      <c r="E15" s="64">
        <v>5.14</v>
      </c>
      <c r="F15" s="64">
        <v>16.329999999999998</v>
      </c>
      <c r="G15" s="64">
        <v>65.06</v>
      </c>
      <c r="H15" s="213" t="s">
        <v>42</v>
      </c>
      <c r="I15" s="64">
        <v>4.0199999999999996</v>
      </c>
      <c r="J15" s="64">
        <v>1.36</v>
      </c>
      <c r="K15" s="64">
        <v>195.96</v>
      </c>
      <c r="L15" s="64">
        <v>34.520000000000003</v>
      </c>
      <c r="M15" s="64">
        <v>37.299999999999997</v>
      </c>
      <c r="N15" s="64">
        <v>88.7</v>
      </c>
      <c r="O15" s="64">
        <v>0</v>
      </c>
      <c r="P15" s="64">
        <v>0.45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5" t="s">
        <v>2653</v>
      </c>
      <c r="B16" s="64">
        <v>4.71</v>
      </c>
      <c r="C16" s="64">
        <v>24.68</v>
      </c>
      <c r="D16" s="64">
        <v>40</v>
      </c>
      <c r="E16" s="64">
        <v>6.13</v>
      </c>
      <c r="F16" s="64">
        <v>17.63</v>
      </c>
      <c r="G16" s="64">
        <v>55.73</v>
      </c>
      <c r="H16" s="64">
        <v>40.03</v>
      </c>
      <c r="I16" s="64">
        <v>3.94</v>
      </c>
      <c r="J16" s="64">
        <v>1.96</v>
      </c>
      <c r="K16" s="64">
        <v>210.46</v>
      </c>
      <c r="L16" s="64">
        <v>33.6</v>
      </c>
      <c r="M16" s="64">
        <v>38.659999999999997</v>
      </c>
      <c r="N16" s="64">
        <v>89.5</v>
      </c>
      <c r="O16" s="64">
        <v>0</v>
      </c>
      <c r="P16" s="64">
        <v>0.35</v>
      </c>
      <c r="Q16" s="64">
        <v>9.5299999999999994</v>
      </c>
      <c r="R16" s="198"/>
      <c r="S16" s="198"/>
      <c r="T16" s="198"/>
      <c r="U16" s="198"/>
    </row>
    <row r="17" spans="1:21" s="12" customFormat="1" x14ac:dyDescent="0.25">
      <c r="A17" s="215" t="s">
        <v>2654</v>
      </c>
      <c r="B17" s="64">
        <v>3.42</v>
      </c>
      <c r="C17" s="64">
        <v>20.68</v>
      </c>
      <c r="D17" s="64">
        <v>34.340000000000003</v>
      </c>
      <c r="E17" s="64">
        <v>5.96</v>
      </c>
      <c r="F17" s="64">
        <v>16.84</v>
      </c>
      <c r="G17" s="64">
        <v>53.07</v>
      </c>
      <c r="H17" s="64">
        <v>9.25</v>
      </c>
      <c r="I17" s="64">
        <v>4.1399999999999997</v>
      </c>
      <c r="J17" s="64">
        <v>2.12</v>
      </c>
      <c r="K17" s="64">
        <v>211.17</v>
      </c>
      <c r="L17" s="64">
        <v>33.17</v>
      </c>
      <c r="M17" s="64">
        <v>39.44</v>
      </c>
      <c r="N17" s="64">
        <v>90</v>
      </c>
      <c r="O17" s="64">
        <v>0</v>
      </c>
      <c r="P17" s="64">
        <v>0.33</v>
      </c>
      <c r="Q17" s="64">
        <v>9.5299999999999994</v>
      </c>
      <c r="R17" s="198"/>
      <c r="S17" s="198"/>
      <c r="T17" s="198"/>
      <c r="U17" s="198"/>
    </row>
    <row r="18" spans="1:21" s="12" customFormat="1" x14ac:dyDescent="0.25">
      <c r="A18" s="215" t="s">
        <v>2655</v>
      </c>
      <c r="B18" s="64">
        <v>4.84</v>
      </c>
      <c r="C18" s="64">
        <v>24.8</v>
      </c>
      <c r="D18" s="64">
        <v>40.04</v>
      </c>
      <c r="E18" s="64">
        <v>5.5</v>
      </c>
      <c r="F18" s="64">
        <v>14.36</v>
      </c>
      <c r="G18" s="64">
        <v>53.07</v>
      </c>
      <c r="H18" s="64">
        <v>9.25</v>
      </c>
      <c r="I18" s="64">
        <v>3.81</v>
      </c>
      <c r="J18" s="64">
        <v>0.69</v>
      </c>
      <c r="K18" s="64">
        <v>254.77</v>
      </c>
      <c r="L18" s="64">
        <v>33.07</v>
      </c>
      <c r="M18" s="64">
        <v>41.37</v>
      </c>
      <c r="N18" s="64">
        <v>90.3</v>
      </c>
      <c r="O18" s="64">
        <v>0</v>
      </c>
      <c r="P18" s="64">
        <v>0.41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5" t="s">
        <v>2656</v>
      </c>
      <c r="B19" s="64">
        <v>4.51</v>
      </c>
      <c r="C19" s="64">
        <v>24.21</v>
      </c>
      <c r="D19" s="64">
        <v>39.42</v>
      </c>
      <c r="E19" s="64">
        <v>5.14</v>
      </c>
      <c r="F19" s="64">
        <v>14.5</v>
      </c>
      <c r="G19" s="64">
        <v>53.07</v>
      </c>
      <c r="H19" s="64">
        <v>9.25</v>
      </c>
      <c r="I19" s="64">
        <v>3.84</v>
      </c>
      <c r="J19" s="64">
        <v>1.22</v>
      </c>
      <c r="K19" s="64">
        <v>261.75</v>
      </c>
      <c r="L19" s="64">
        <v>33.36</v>
      </c>
      <c r="M19" s="64">
        <v>41.5</v>
      </c>
      <c r="N19" s="64">
        <v>90.6</v>
      </c>
      <c r="O19" s="64">
        <v>0</v>
      </c>
      <c r="P19" s="64">
        <v>0.43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15" t="s">
        <v>2657</v>
      </c>
      <c r="B20" s="64">
        <v>3.78</v>
      </c>
      <c r="C20" s="64">
        <v>23.11</v>
      </c>
      <c r="D20" s="64">
        <v>38.42</v>
      </c>
      <c r="E20" s="64">
        <v>4.99</v>
      </c>
      <c r="F20" s="64">
        <v>14.88</v>
      </c>
      <c r="G20" s="64">
        <v>39.950000000000003</v>
      </c>
      <c r="H20" s="64">
        <v>14.17</v>
      </c>
      <c r="I20" s="64">
        <v>3.91</v>
      </c>
      <c r="J20" s="64">
        <v>2.0099999999999998</v>
      </c>
      <c r="K20" s="64">
        <v>267.17</v>
      </c>
      <c r="L20" s="64">
        <v>33.46</v>
      </c>
      <c r="M20" s="64">
        <v>39.68</v>
      </c>
      <c r="N20" s="64">
        <v>92.2</v>
      </c>
      <c r="O20" s="64">
        <v>0</v>
      </c>
      <c r="P20" s="64">
        <v>0.43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5" t="s">
        <v>2658</v>
      </c>
      <c r="B21" s="64">
        <v>3.7</v>
      </c>
      <c r="C21" s="64">
        <v>22.56</v>
      </c>
      <c r="D21" s="64">
        <v>37.5</v>
      </c>
      <c r="E21" s="64">
        <v>4.9800000000000004</v>
      </c>
      <c r="F21" s="64">
        <v>15.61</v>
      </c>
      <c r="G21" s="64">
        <v>36.200000000000003</v>
      </c>
      <c r="H21" s="64">
        <v>15.58</v>
      </c>
      <c r="I21" s="64">
        <v>3.96</v>
      </c>
      <c r="J21" s="64">
        <v>1.81</v>
      </c>
      <c r="K21" s="64">
        <v>272.06</v>
      </c>
      <c r="L21" s="64">
        <v>33.36</v>
      </c>
      <c r="M21" s="64">
        <v>39.01</v>
      </c>
      <c r="N21" s="64">
        <v>94.8</v>
      </c>
      <c r="O21" s="64">
        <v>0</v>
      </c>
      <c r="P21" s="64">
        <v>0.38</v>
      </c>
      <c r="Q21" s="64">
        <v>9.51</v>
      </c>
      <c r="R21" s="198"/>
      <c r="S21" s="198"/>
      <c r="T21" s="198"/>
      <c r="U21" s="198"/>
    </row>
    <row r="22" spans="1:21" s="12" customFormat="1" x14ac:dyDescent="0.25">
      <c r="A22" s="215" t="s">
        <v>2659</v>
      </c>
      <c r="B22" s="64">
        <v>3.54</v>
      </c>
      <c r="C22" s="64">
        <v>24.53</v>
      </c>
      <c r="D22" s="64">
        <v>41.51</v>
      </c>
      <c r="E22" s="64">
        <v>4.84</v>
      </c>
      <c r="F22" s="64">
        <v>13.02</v>
      </c>
      <c r="G22" s="64">
        <v>36.200000000000003</v>
      </c>
      <c r="H22" s="64">
        <v>15.58</v>
      </c>
      <c r="I22" s="64">
        <v>3.98</v>
      </c>
      <c r="J22" s="64">
        <v>1.79</v>
      </c>
      <c r="K22" s="64">
        <v>268.02</v>
      </c>
      <c r="L22" s="64">
        <v>33.14</v>
      </c>
      <c r="M22" s="64">
        <v>39.33</v>
      </c>
      <c r="N22" s="64">
        <v>96.1</v>
      </c>
      <c r="O22" s="64">
        <v>0</v>
      </c>
      <c r="P22" s="64">
        <v>0.46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5" t="s">
        <v>2660</v>
      </c>
      <c r="B23" s="64">
        <v>2.2200000000000002</v>
      </c>
      <c r="C23" s="64">
        <v>21.46</v>
      </c>
      <c r="D23" s="64">
        <v>37.659999999999997</v>
      </c>
      <c r="E23" s="64">
        <v>4.7699999999999996</v>
      </c>
      <c r="F23" s="64">
        <v>14.7</v>
      </c>
      <c r="G23" s="64">
        <v>36.200000000000003</v>
      </c>
      <c r="H23" s="64">
        <v>15.58</v>
      </c>
      <c r="I23" s="64">
        <v>4.0599999999999996</v>
      </c>
      <c r="J23" s="64">
        <v>1.94</v>
      </c>
      <c r="K23" s="64">
        <v>256.75</v>
      </c>
      <c r="L23" s="64">
        <v>32.94</v>
      </c>
      <c r="M23" s="64">
        <v>40.47</v>
      </c>
      <c r="N23" s="64">
        <v>97.7</v>
      </c>
      <c r="O23" s="64">
        <v>0</v>
      </c>
      <c r="P23" s="64">
        <v>0.41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5" t="s">
        <v>2661</v>
      </c>
      <c r="B24" s="64">
        <v>1.7</v>
      </c>
      <c r="C24" s="64">
        <v>18.79</v>
      </c>
      <c r="D24" s="64">
        <v>33.35</v>
      </c>
      <c r="E24" s="64">
        <v>5.09</v>
      </c>
      <c r="F24" s="64">
        <v>15.06</v>
      </c>
      <c r="G24" s="64">
        <v>37.299999999999997</v>
      </c>
      <c r="H24" s="64">
        <v>15.68</v>
      </c>
      <c r="I24" s="64">
        <v>4.0999999999999996</v>
      </c>
      <c r="J24" s="64">
        <v>1.72</v>
      </c>
      <c r="K24" s="64">
        <v>229.74</v>
      </c>
      <c r="L24" s="64">
        <v>32.79</v>
      </c>
      <c r="M24" s="64">
        <v>41.83</v>
      </c>
      <c r="N24" s="64">
        <v>98.8</v>
      </c>
      <c r="O24" s="64">
        <v>0</v>
      </c>
      <c r="P24" s="64">
        <v>0.34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5" t="s">
        <v>2662</v>
      </c>
      <c r="B25" s="64">
        <v>2.13</v>
      </c>
      <c r="C25" s="64">
        <v>22.27</v>
      </c>
      <c r="D25" s="64">
        <v>39.36</v>
      </c>
      <c r="E25" s="64">
        <v>4.8899999999999997</v>
      </c>
      <c r="F25" s="64">
        <v>11.06</v>
      </c>
      <c r="G25" s="64">
        <v>37.61</v>
      </c>
      <c r="H25" s="64">
        <v>15.71</v>
      </c>
      <c r="I25" s="64">
        <v>3.92</v>
      </c>
      <c r="J25" s="64">
        <v>2.1</v>
      </c>
      <c r="K25" s="64">
        <v>264.47000000000003</v>
      </c>
      <c r="L25" s="64">
        <v>32.549999999999997</v>
      </c>
      <c r="M25" s="64">
        <v>42.97</v>
      </c>
      <c r="N25" s="64">
        <v>100.7</v>
      </c>
      <c r="O25" s="64">
        <v>0</v>
      </c>
      <c r="P25" s="64">
        <v>0.41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5" t="s">
        <v>2663</v>
      </c>
      <c r="B26" s="64">
        <v>2.71</v>
      </c>
      <c r="C26" s="64">
        <v>23.76</v>
      </c>
      <c r="D26" s="64">
        <v>41.32</v>
      </c>
      <c r="E26" s="64">
        <v>5.08</v>
      </c>
      <c r="F26" s="64">
        <v>10.86</v>
      </c>
      <c r="G26" s="64">
        <v>37.61</v>
      </c>
      <c r="H26" s="64">
        <v>15.71</v>
      </c>
      <c r="I26" s="64">
        <v>3.95</v>
      </c>
      <c r="J26" s="64">
        <v>1.62</v>
      </c>
      <c r="K26" s="64">
        <v>272.42</v>
      </c>
      <c r="L26" s="64">
        <v>32.56</v>
      </c>
      <c r="M26" s="64">
        <v>43.59</v>
      </c>
      <c r="N26" s="64">
        <v>103.7</v>
      </c>
      <c r="O26" s="64">
        <v>0</v>
      </c>
      <c r="P26" s="64">
        <v>0.43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5" t="s">
        <v>2664</v>
      </c>
      <c r="B27" s="64">
        <v>2.82</v>
      </c>
      <c r="C27" s="64">
        <v>27.87</v>
      </c>
      <c r="D27" s="64">
        <v>49.01</v>
      </c>
      <c r="E27" s="64">
        <v>4.6100000000000003</v>
      </c>
      <c r="F27" s="64">
        <v>7.43</v>
      </c>
      <c r="G27" s="64">
        <v>37.61</v>
      </c>
      <c r="H27" s="64">
        <v>15.71</v>
      </c>
      <c r="I27" s="64">
        <v>3.95</v>
      </c>
      <c r="J27" s="64">
        <v>1.82</v>
      </c>
      <c r="K27" s="64">
        <v>259.54000000000002</v>
      </c>
      <c r="L27" s="64">
        <v>32.51</v>
      </c>
      <c r="M27" s="64">
        <v>44.51</v>
      </c>
      <c r="N27" s="64">
        <v>98.3</v>
      </c>
      <c r="O27" s="64">
        <v>0</v>
      </c>
      <c r="P27" s="64">
        <v>0.52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5" t="s">
        <v>2665</v>
      </c>
      <c r="B28" s="64">
        <v>2.14</v>
      </c>
      <c r="C28" s="64">
        <v>23.84</v>
      </c>
      <c r="D28" s="64">
        <v>42.35</v>
      </c>
      <c r="E28" s="64">
        <v>4.67</v>
      </c>
      <c r="F28" s="64">
        <v>9.3699999999999992</v>
      </c>
      <c r="G28" s="64">
        <v>43.85</v>
      </c>
      <c r="H28" s="64">
        <v>7.66</v>
      </c>
      <c r="I28" s="64">
        <v>4.21</v>
      </c>
      <c r="J28" s="64">
        <v>1.99</v>
      </c>
      <c r="K28" s="64">
        <v>248.89</v>
      </c>
      <c r="L28" s="64">
        <v>32.46</v>
      </c>
      <c r="M28" s="64">
        <v>45.42</v>
      </c>
      <c r="N28" s="64">
        <v>100.7</v>
      </c>
      <c r="O28" s="64">
        <v>0</v>
      </c>
      <c r="P28" s="64">
        <v>0.43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5" t="s">
        <v>2666</v>
      </c>
      <c r="B29" s="64">
        <v>2.1800000000000002</v>
      </c>
      <c r="C29" s="64">
        <v>24.9</v>
      </c>
      <c r="D29" s="64">
        <v>44.31</v>
      </c>
      <c r="E29" s="64">
        <v>5.0999999999999996</v>
      </c>
      <c r="F29" s="64">
        <v>10.78</v>
      </c>
      <c r="G29" s="64">
        <v>45.63</v>
      </c>
      <c r="H29" s="64">
        <v>5.36</v>
      </c>
      <c r="I29" s="64">
        <v>3.94</v>
      </c>
      <c r="J29" s="64">
        <v>2.17</v>
      </c>
      <c r="K29" s="64">
        <v>270.33</v>
      </c>
      <c r="L29" s="64">
        <v>32.31</v>
      </c>
      <c r="M29" s="64">
        <v>46.81</v>
      </c>
      <c r="N29" s="64">
        <v>98</v>
      </c>
      <c r="O29" s="64">
        <v>0</v>
      </c>
      <c r="P29" s="64">
        <v>0.39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5" t="s">
        <v>2667</v>
      </c>
      <c r="B30" s="64">
        <v>2.4900000000000002</v>
      </c>
      <c r="C30" s="64">
        <v>24.84</v>
      </c>
      <c r="D30" s="64">
        <v>43.72</v>
      </c>
      <c r="E30" s="64">
        <v>4.5199999999999996</v>
      </c>
      <c r="F30" s="64">
        <v>10.23</v>
      </c>
      <c r="G30" s="64">
        <v>45.63</v>
      </c>
      <c r="H30" s="64">
        <v>5.36</v>
      </c>
      <c r="I30" s="64">
        <v>3.77</v>
      </c>
      <c r="J30" s="64">
        <v>2.17</v>
      </c>
      <c r="K30" s="64">
        <v>255.07</v>
      </c>
      <c r="L30" s="64">
        <v>32.21</v>
      </c>
      <c r="M30" s="64">
        <v>47.93</v>
      </c>
      <c r="N30" s="64">
        <v>101.1</v>
      </c>
      <c r="O30" s="64">
        <v>0</v>
      </c>
      <c r="P30" s="64">
        <v>0.42</v>
      </c>
      <c r="Q30" s="64">
        <v>9.49</v>
      </c>
      <c r="R30" s="198"/>
      <c r="S30" s="198"/>
      <c r="T30" s="198"/>
      <c r="U30" s="198"/>
    </row>
    <row r="31" spans="1:21" s="12" customFormat="1" x14ac:dyDescent="0.25">
      <c r="A31" s="215" t="s">
        <v>2668</v>
      </c>
      <c r="B31" s="64">
        <v>2.42</v>
      </c>
      <c r="C31" s="64">
        <v>23.14</v>
      </c>
      <c r="D31" s="64">
        <v>40.57</v>
      </c>
      <c r="E31" s="64">
        <v>4.72</v>
      </c>
      <c r="F31" s="64">
        <v>10.54</v>
      </c>
      <c r="G31" s="64">
        <v>45.63</v>
      </c>
      <c r="H31" s="64">
        <v>5.36</v>
      </c>
      <c r="I31" s="64">
        <v>4.04</v>
      </c>
      <c r="J31" s="64">
        <v>1.73</v>
      </c>
      <c r="K31" s="64">
        <v>259.18</v>
      </c>
      <c r="L31" s="64">
        <v>32.18</v>
      </c>
      <c r="M31" s="64">
        <v>49.45</v>
      </c>
      <c r="N31" s="64">
        <v>108.5</v>
      </c>
      <c r="O31" s="64">
        <v>0</v>
      </c>
      <c r="P31" s="64">
        <v>0.4</v>
      </c>
      <c r="Q31" s="64">
        <v>9.5</v>
      </c>
      <c r="R31" s="198"/>
      <c r="S31" s="198"/>
      <c r="T31" s="198"/>
      <c r="U31" s="198"/>
    </row>
    <row r="32" spans="1:21" s="12" customFormat="1" x14ac:dyDescent="0.25">
      <c r="A32" s="215" t="s">
        <v>2669</v>
      </c>
      <c r="B32" s="64">
        <v>2.54</v>
      </c>
      <c r="C32" s="64">
        <v>24.5</v>
      </c>
      <c r="D32" s="64">
        <v>42.99</v>
      </c>
      <c r="E32" s="64">
        <v>4.43</v>
      </c>
      <c r="F32" s="64">
        <v>8.07</v>
      </c>
      <c r="G32" s="64">
        <v>48.35</v>
      </c>
      <c r="H32" s="64">
        <v>9.23</v>
      </c>
      <c r="I32" s="64">
        <v>4.0999999999999996</v>
      </c>
      <c r="J32" s="64">
        <v>2</v>
      </c>
      <c r="K32" s="64">
        <v>244.32</v>
      </c>
      <c r="L32" s="64">
        <v>32.25</v>
      </c>
      <c r="M32" s="64">
        <v>50.53</v>
      </c>
      <c r="N32" s="64">
        <v>126.5</v>
      </c>
      <c r="O32" s="64">
        <v>0</v>
      </c>
      <c r="P32" s="64">
        <v>0.41</v>
      </c>
      <c r="Q32" s="64">
        <v>9.5299999999999994</v>
      </c>
      <c r="R32" s="198"/>
      <c r="S32" s="198"/>
      <c r="T32" s="198"/>
      <c r="U32" s="198"/>
    </row>
    <row r="33" spans="1:21" s="12" customFormat="1" x14ac:dyDescent="0.25">
      <c r="A33" s="215" t="s">
        <v>2670</v>
      </c>
      <c r="B33" s="64">
        <v>5.75</v>
      </c>
      <c r="C33" s="64">
        <v>31.2</v>
      </c>
      <c r="D33" s="64">
        <v>50.88</v>
      </c>
      <c r="E33" s="64">
        <v>4.5999999999999996</v>
      </c>
      <c r="F33" s="64">
        <v>9.4</v>
      </c>
      <c r="G33" s="64">
        <v>49.13</v>
      </c>
      <c r="H33" s="64">
        <v>10.33</v>
      </c>
      <c r="I33" s="64">
        <v>3.89</v>
      </c>
      <c r="J33" s="64">
        <v>1.88</v>
      </c>
      <c r="K33" s="64">
        <v>207.84</v>
      </c>
      <c r="L33" s="64">
        <v>32.17</v>
      </c>
      <c r="M33" s="64">
        <v>52.08</v>
      </c>
      <c r="N33" s="64">
        <v>153.4</v>
      </c>
      <c r="O33" s="64">
        <v>0</v>
      </c>
      <c r="P33" s="64">
        <v>0.37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5" t="s">
        <v>2671</v>
      </c>
      <c r="B34" s="64">
        <v>4.38</v>
      </c>
      <c r="C34" s="64">
        <v>27.7</v>
      </c>
      <c r="D34" s="64">
        <v>46.29</v>
      </c>
      <c r="E34" s="64">
        <v>4.55</v>
      </c>
      <c r="F34" s="64">
        <v>9.48</v>
      </c>
      <c r="G34" s="64">
        <v>49.13</v>
      </c>
      <c r="H34" s="64">
        <v>10.33</v>
      </c>
      <c r="I34" s="64">
        <v>4.0599999999999996</v>
      </c>
      <c r="J34" s="64">
        <v>2.0299999999999998</v>
      </c>
      <c r="K34" s="64">
        <v>253.11</v>
      </c>
      <c r="L34" s="64">
        <v>32.409999999999997</v>
      </c>
      <c r="M34" s="64">
        <v>52.16</v>
      </c>
      <c r="N34" s="64">
        <v>189</v>
      </c>
      <c r="O34" s="64">
        <v>0</v>
      </c>
      <c r="P34" s="64">
        <v>0.41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5" t="s">
        <v>2672</v>
      </c>
      <c r="B35" s="64">
        <v>7.6</v>
      </c>
      <c r="C35" s="64">
        <v>34.11</v>
      </c>
      <c r="D35" s="64">
        <v>53.62</v>
      </c>
      <c r="E35" s="64">
        <v>4.79</v>
      </c>
      <c r="F35" s="64">
        <v>7.48</v>
      </c>
      <c r="G35" s="64">
        <v>49.13</v>
      </c>
      <c r="H35" s="64">
        <v>10.33</v>
      </c>
      <c r="I35" s="64">
        <v>4.21</v>
      </c>
      <c r="J35" s="64">
        <v>2.2000000000000002</v>
      </c>
      <c r="K35" s="64">
        <v>263.77</v>
      </c>
      <c r="L35" s="64">
        <v>33.11</v>
      </c>
      <c r="M35" s="64">
        <v>51.1</v>
      </c>
      <c r="N35" s="64">
        <v>235.6</v>
      </c>
      <c r="O35" s="64">
        <v>0</v>
      </c>
      <c r="P35" s="64">
        <v>0.51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15" t="s">
        <v>2673</v>
      </c>
      <c r="B36" s="64">
        <v>5.46</v>
      </c>
      <c r="C36" s="64">
        <v>30.1</v>
      </c>
      <c r="D36" s="64">
        <v>49.24</v>
      </c>
      <c r="E36" s="64">
        <v>4.76</v>
      </c>
      <c r="F36" s="64">
        <v>6.82</v>
      </c>
      <c r="G36" s="64">
        <v>44.02</v>
      </c>
      <c r="H36" s="64">
        <v>13.4</v>
      </c>
      <c r="I36" s="64">
        <v>4.0199999999999996</v>
      </c>
      <c r="J36" s="64">
        <v>1.85</v>
      </c>
      <c r="K36" s="64">
        <v>253.33</v>
      </c>
      <c r="L36" s="64">
        <v>33.39</v>
      </c>
      <c r="M36" s="64">
        <v>50.43</v>
      </c>
      <c r="N36" s="64">
        <v>237.7</v>
      </c>
      <c r="O36" s="64">
        <v>0</v>
      </c>
      <c r="P36" s="64">
        <v>0.45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15" t="s">
        <v>2674</v>
      </c>
      <c r="B37" s="64">
        <v>4.28</v>
      </c>
      <c r="C37" s="64">
        <v>26.78</v>
      </c>
      <c r="D37" s="64">
        <v>44.69</v>
      </c>
      <c r="E37" s="64">
        <v>5</v>
      </c>
      <c r="F37" s="64">
        <v>11.39</v>
      </c>
      <c r="G37" s="64">
        <v>42.57</v>
      </c>
      <c r="H37" s="64">
        <v>14.28</v>
      </c>
      <c r="I37" s="64">
        <v>4.09</v>
      </c>
      <c r="J37" s="64">
        <v>2.02</v>
      </c>
      <c r="K37" s="64">
        <v>247.6</v>
      </c>
      <c r="L37" s="64">
        <v>33.770000000000003</v>
      </c>
      <c r="M37" s="64">
        <v>49.88</v>
      </c>
      <c r="N37" s="64">
        <v>317</v>
      </c>
      <c r="O37" s="64">
        <v>0</v>
      </c>
      <c r="P37" s="64">
        <v>0.43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5" t="s">
        <v>2675</v>
      </c>
      <c r="B38" s="64">
        <v>4.55</v>
      </c>
      <c r="C38" s="64">
        <v>26.97</v>
      </c>
      <c r="D38" s="64">
        <v>44.63</v>
      </c>
      <c r="E38" s="64">
        <v>5.35</v>
      </c>
      <c r="F38" s="64">
        <v>10.36</v>
      </c>
      <c r="G38" s="64">
        <v>42.57</v>
      </c>
      <c r="H38" s="64">
        <v>14.28</v>
      </c>
      <c r="I38" s="64">
        <v>4.0199999999999996</v>
      </c>
      <c r="J38" s="64">
        <v>1.89</v>
      </c>
      <c r="K38" s="64">
        <v>245.61</v>
      </c>
      <c r="L38" s="64">
        <v>34.479999999999997</v>
      </c>
      <c r="M38" s="64">
        <v>48.12</v>
      </c>
      <c r="N38" s="64">
        <v>381.7</v>
      </c>
      <c r="O38" s="64">
        <v>0</v>
      </c>
      <c r="P38" s="64">
        <v>0.51</v>
      </c>
      <c r="Q38" s="64">
        <v>9.5500000000000007</v>
      </c>
      <c r="R38" s="198"/>
      <c r="S38" s="198"/>
      <c r="T38" s="198"/>
      <c r="U38" s="198"/>
    </row>
    <row r="39" spans="1:21" s="12" customFormat="1" x14ac:dyDescent="0.25">
      <c r="A39" s="215" t="s">
        <v>2676</v>
      </c>
      <c r="B39" s="64">
        <v>5</v>
      </c>
      <c r="C39" s="64">
        <v>30.12</v>
      </c>
      <c r="D39" s="64">
        <v>49.97</v>
      </c>
      <c r="E39" s="64">
        <v>4.9400000000000004</v>
      </c>
      <c r="F39" s="64">
        <v>7.17</v>
      </c>
      <c r="G39" s="64">
        <v>42.57</v>
      </c>
      <c r="H39" s="64">
        <v>14.28</v>
      </c>
      <c r="I39" s="64">
        <v>4.01</v>
      </c>
      <c r="J39" s="64">
        <v>2.37</v>
      </c>
      <c r="K39" s="64">
        <v>267.33999999999997</v>
      </c>
      <c r="L39" s="64">
        <v>35.82</v>
      </c>
      <c r="M39" s="64">
        <v>44.02</v>
      </c>
      <c r="N39" s="64">
        <v>424.4</v>
      </c>
      <c r="O39" s="64">
        <v>0</v>
      </c>
      <c r="P39" s="64">
        <v>0.53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15" t="s">
        <v>2677</v>
      </c>
      <c r="B40" s="64">
        <v>3.86</v>
      </c>
      <c r="C40" s="64">
        <v>30.41</v>
      </c>
      <c r="D40" s="64">
        <v>52.27</v>
      </c>
      <c r="E40" s="64">
        <v>3.54</v>
      </c>
      <c r="F40" s="64">
        <v>7.02</v>
      </c>
      <c r="G40" s="64">
        <v>48.65</v>
      </c>
      <c r="H40" s="64">
        <v>19.420000000000002</v>
      </c>
      <c r="I40" s="64">
        <v>3.85</v>
      </c>
      <c r="J40" s="64">
        <v>2.39</v>
      </c>
      <c r="K40" s="64">
        <v>257.11</v>
      </c>
      <c r="L40" s="64">
        <v>36.53</v>
      </c>
      <c r="M40" s="64">
        <v>40.49</v>
      </c>
      <c r="N40" s="64">
        <v>484.7</v>
      </c>
      <c r="O40" s="64">
        <v>0</v>
      </c>
      <c r="P40" s="64">
        <v>0.52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5" t="s">
        <v>2678</v>
      </c>
      <c r="B41" s="64">
        <v>2.75</v>
      </c>
      <c r="C41" s="64">
        <v>29.14</v>
      </c>
      <c r="D41" s="64">
        <v>51.56</v>
      </c>
      <c r="E41" s="64">
        <v>3.98</v>
      </c>
      <c r="F41" s="64">
        <v>8.92</v>
      </c>
      <c r="G41" s="64">
        <v>50.38</v>
      </c>
      <c r="H41" s="64">
        <v>20.89</v>
      </c>
      <c r="I41" s="64">
        <v>3.95</v>
      </c>
      <c r="J41" s="64">
        <v>2.38</v>
      </c>
      <c r="K41" s="64">
        <v>255.69</v>
      </c>
      <c r="L41" s="64">
        <v>37.08</v>
      </c>
      <c r="M41" s="64">
        <v>37.409999999999997</v>
      </c>
      <c r="N41" s="64">
        <v>506.5</v>
      </c>
      <c r="O41" s="64">
        <v>0</v>
      </c>
      <c r="P41" s="64">
        <v>0.51</v>
      </c>
      <c r="Q41" s="64">
        <v>9.51</v>
      </c>
      <c r="R41" s="198"/>
      <c r="S41" s="198"/>
      <c r="T41" s="198"/>
      <c r="U41" s="198"/>
    </row>
    <row r="42" spans="1:21" s="12" customFormat="1" x14ac:dyDescent="0.25">
      <c r="A42" s="215" t="s">
        <v>2679</v>
      </c>
      <c r="B42" s="64">
        <v>1.95</v>
      </c>
      <c r="C42" s="64">
        <v>28.54</v>
      </c>
      <c r="D42" s="64">
        <v>51.63</v>
      </c>
      <c r="E42" s="64">
        <v>3.83</v>
      </c>
      <c r="F42" s="64">
        <v>8.26</v>
      </c>
      <c r="G42" s="64">
        <v>50.38</v>
      </c>
      <c r="H42" s="64">
        <v>20.89</v>
      </c>
      <c r="I42" s="64">
        <v>3.78</v>
      </c>
      <c r="J42" s="64">
        <v>2.7</v>
      </c>
      <c r="K42" s="64">
        <v>260.73</v>
      </c>
      <c r="L42" s="64">
        <v>37.020000000000003</v>
      </c>
      <c r="M42" s="64">
        <v>36.56</v>
      </c>
      <c r="N42" s="64">
        <v>551.9</v>
      </c>
      <c r="O42" s="64">
        <v>0</v>
      </c>
      <c r="P42" s="64">
        <v>0.49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5" t="s">
        <v>2680</v>
      </c>
      <c r="B43" s="64">
        <v>1.34</v>
      </c>
      <c r="C43" s="64">
        <v>27.56</v>
      </c>
      <c r="D43" s="64">
        <v>50.69</v>
      </c>
      <c r="E43" s="64">
        <v>3.82</v>
      </c>
      <c r="F43" s="64">
        <v>9.2100000000000009</v>
      </c>
      <c r="G43" s="64">
        <v>50.38</v>
      </c>
      <c r="H43" s="64">
        <v>20.89</v>
      </c>
      <c r="I43" s="64">
        <v>4.13</v>
      </c>
      <c r="J43" s="64">
        <v>2.39</v>
      </c>
      <c r="K43" s="64">
        <v>256.26</v>
      </c>
      <c r="L43" s="64">
        <v>37.54</v>
      </c>
      <c r="M43" s="64">
        <v>35.96</v>
      </c>
      <c r="N43" s="64">
        <v>604.5</v>
      </c>
      <c r="O43" s="64">
        <v>0</v>
      </c>
      <c r="P43" s="64">
        <v>0.47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5" t="s">
        <v>2681</v>
      </c>
      <c r="B44" s="64">
        <v>1.1100000000000001</v>
      </c>
      <c r="C44" s="64">
        <v>26.92</v>
      </c>
      <c r="D44" s="64">
        <v>49.82</v>
      </c>
      <c r="E44" s="64">
        <v>3.62</v>
      </c>
      <c r="F44" s="64">
        <v>8.1</v>
      </c>
      <c r="G44" s="64">
        <v>56.93</v>
      </c>
      <c r="H44" s="64">
        <v>16.57</v>
      </c>
      <c r="I44" s="64">
        <v>4.05</v>
      </c>
      <c r="J44" s="64">
        <v>2.15</v>
      </c>
      <c r="K44" s="64">
        <v>259.27</v>
      </c>
      <c r="L44" s="64">
        <v>37.94</v>
      </c>
      <c r="M44" s="64">
        <v>34.880000000000003</v>
      </c>
      <c r="N44" s="64">
        <v>637</v>
      </c>
      <c r="O44" s="64">
        <v>0</v>
      </c>
      <c r="P44" s="64">
        <v>0.46</v>
      </c>
      <c r="Q44" s="64">
        <v>9.52</v>
      </c>
      <c r="R44" s="198"/>
      <c r="S44" s="198"/>
      <c r="T44" s="198"/>
      <c r="U44" s="198"/>
    </row>
    <row r="45" spans="1:21" s="12" customFormat="1" x14ac:dyDescent="0.25">
      <c r="A45" s="215" t="s">
        <v>2682</v>
      </c>
      <c r="B45" s="64">
        <v>1.1599999999999999</v>
      </c>
      <c r="C45" s="64">
        <v>26.8</v>
      </c>
      <c r="D45" s="64">
        <v>49.51</v>
      </c>
      <c r="E45" s="64">
        <v>3.72</v>
      </c>
      <c r="F45" s="64">
        <v>8.2100000000000009</v>
      </c>
      <c r="G45" s="64">
        <v>58.8</v>
      </c>
      <c r="H45" s="64">
        <v>15.34</v>
      </c>
      <c r="I45" s="64">
        <v>4</v>
      </c>
      <c r="J45" s="64">
        <v>2.86</v>
      </c>
      <c r="K45" s="64">
        <v>267.12</v>
      </c>
      <c r="L45" s="64">
        <v>39.090000000000003</v>
      </c>
      <c r="M45" s="64">
        <v>32.590000000000003</v>
      </c>
      <c r="N45" s="64">
        <v>662.6</v>
      </c>
      <c r="O45" s="64">
        <v>0</v>
      </c>
      <c r="P45" s="64">
        <v>0.45</v>
      </c>
      <c r="Q45" s="64">
        <v>9.5399999999999991</v>
      </c>
      <c r="R45" s="198"/>
      <c r="S45" s="198"/>
      <c r="T45" s="198"/>
      <c r="U45" s="198"/>
    </row>
    <row r="46" spans="1:21" s="12" customFormat="1" x14ac:dyDescent="0.25">
      <c r="A46" s="215" t="s">
        <v>2683</v>
      </c>
      <c r="B46" s="64">
        <v>1.08</v>
      </c>
      <c r="C46" s="64">
        <v>25.01</v>
      </c>
      <c r="D46" s="64">
        <v>46.21</v>
      </c>
      <c r="E46" s="64">
        <v>3.41</v>
      </c>
      <c r="F46" s="64">
        <v>8.4</v>
      </c>
      <c r="G46" s="64">
        <v>58.8</v>
      </c>
      <c r="H46" s="64">
        <v>15.34</v>
      </c>
      <c r="I46" s="64">
        <v>3.84</v>
      </c>
      <c r="J46" s="64">
        <v>2.6</v>
      </c>
      <c r="K46" s="64">
        <v>261.52</v>
      </c>
      <c r="L46" s="64">
        <v>39.159999999999997</v>
      </c>
      <c r="M46" s="64">
        <v>31.35</v>
      </c>
      <c r="N46" s="64">
        <v>690.2</v>
      </c>
      <c r="O46" s="64">
        <v>0</v>
      </c>
      <c r="P46" s="64">
        <v>0.45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5" t="s">
        <v>2684</v>
      </c>
      <c r="B47" s="64">
        <v>1.08</v>
      </c>
      <c r="C47" s="64">
        <v>25.48</v>
      </c>
      <c r="D47" s="64">
        <v>47.11</v>
      </c>
      <c r="E47" s="64">
        <v>3.4</v>
      </c>
      <c r="F47" s="64">
        <v>7.96</v>
      </c>
      <c r="G47" s="64">
        <v>58.8</v>
      </c>
      <c r="H47" s="64">
        <v>15.34</v>
      </c>
      <c r="I47" s="64">
        <v>3.98</v>
      </c>
      <c r="J47" s="64">
        <v>1.8</v>
      </c>
      <c r="K47" s="64">
        <v>251.64</v>
      </c>
      <c r="L47" s="64">
        <v>39.69</v>
      </c>
      <c r="M47" s="64">
        <v>30.08</v>
      </c>
      <c r="N47" s="64">
        <v>718.9</v>
      </c>
      <c r="O47" s="64">
        <v>0</v>
      </c>
      <c r="P47" s="64">
        <v>0.45</v>
      </c>
      <c r="Q47" s="64">
        <v>9.5500000000000007</v>
      </c>
      <c r="R47" s="198"/>
      <c r="S47" s="198"/>
      <c r="T47" s="198"/>
      <c r="U47" s="198"/>
    </row>
    <row r="48" spans="1:21" s="12" customFormat="1" x14ac:dyDescent="0.25">
      <c r="A48" s="215" t="s">
        <v>2685</v>
      </c>
      <c r="B48" s="64">
        <v>1.21</v>
      </c>
      <c r="C48" s="64">
        <v>24.5</v>
      </c>
      <c r="D48" s="64">
        <v>45.04</v>
      </c>
      <c r="E48" s="64">
        <v>3.84</v>
      </c>
      <c r="F48" s="64">
        <v>7.74</v>
      </c>
      <c r="G48" s="64">
        <v>56.89</v>
      </c>
      <c r="H48" s="64">
        <v>16.010000000000002</v>
      </c>
      <c r="I48" s="64">
        <v>4.0199999999999996</v>
      </c>
      <c r="J48" s="64">
        <v>2.8</v>
      </c>
      <c r="K48" s="64">
        <v>275.02999999999997</v>
      </c>
      <c r="L48" s="64">
        <v>40.840000000000003</v>
      </c>
      <c r="M48" s="64">
        <v>27.39</v>
      </c>
      <c r="N48" s="64">
        <v>684.8</v>
      </c>
      <c r="O48" s="64">
        <v>0</v>
      </c>
      <c r="P48" s="64">
        <v>0.46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5" t="s">
        <v>2686</v>
      </c>
      <c r="B49" s="64">
        <v>1.25</v>
      </c>
      <c r="C49" s="64">
        <v>25.53</v>
      </c>
      <c r="D49" s="64">
        <v>46.94</v>
      </c>
      <c r="E49" s="64">
        <v>3.42</v>
      </c>
      <c r="F49" s="64">
        <v>8.36</v>
      </c>
      <c r="G49" s="64">
        <v>56.34</v>
      </c>
      <c r="H49" s="64">
        <v>16.2</v>
      </c>
      <c r="I49" s="64">
        <v>3.92</v>
      </c>
      <c r="J49" s="64">
        <v>2.64</v>
      </c>
      <c r="K49" s="64">
        <v>265.12</v>
      </c>
      <c r="L49" s="64">
        <v>40.44</v>
      </c>
      <c r="M49" s="64">
        <v>27.12</v>
      </c>
      <c r="N49" s="64">
        <v>572.20000000000005</v>
      </c>
      <c r="O49" s="64">
        <v>0</v>
      </c>
      <c r="P49" s="64">
        <v>0.46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5" t="s">
        <v>2687</v>
      </c>
      <c r="B50" s="64">
        <v>1.25</v>
      </c>
      <c r="C50" s="64">
        <v>26.28</v>
      </c>
      <c r="D50" s="64">
        <v>48.39</v>
      </c>
      <c r="E50" s="64">
        <v>3.4</v>
      </c>
      <c r="F50" s="64">
        <v>8.5299999999999994</v>
      </c>
      <c r="G50" s="64">
        <v>56.34</v>
      </c>
      <c r="H50" s="64">
        <v>16.2</v>
      </c>
      <c r="I50" s="64">
        <v>3.86</v>
      </c>
      <c r="J50" s="64">
        <v>2.6</v>
      </c>
      <c r="K50" s="64">
        <v>272.19</v>
      </c>
      <c r="L50" s="64">
        <v>40.119999999999997</v>
      </c>
      <c r="M50" s="64">
        <v>27.42</v>
      </c>
      <c r="N50" s="64">
        <v>568.5</v>
      </c>
      <c r="O50" s="64">
        <v>0</v>
      </c>
      <c r="P50" s="64">
        <v>0.47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5" t="s">
        <v>2688</v>
      </c>
      <c r="B51" s="64">
        <v>1.28</v>
      </c>
      <c r="C51" s="64">
        <v>25.94</v>
      </c>
      <c r="D51" s="64">
        <v>47.69</v>
      </c>
      <c r="E51" s="64">
        <v>3.84</v>
      </c>
      <c r="F51" s="64">
        <v>8.11</v>
      </c>
      <c r="G51" s="64">
        <v>56.34</v>
      </c>
      <c r="H51" s="64">
        <v>16.2</v>
      </c>
      <c r="I51" s="64">
        <v>4</v>
      </c>
      <c r="J51" s="64">
        <v>3.67</v>
      </c>
      <c r="K51" s="64">
        <v>274.85000000000002</v>
      </c>
      <c r="L51" s="64">
        <v>41.04</v>
      </c>
      <c r="M51" s="64">
        <v>26.09</v>
      </c>
      <c r="N51" s="64">
        <v>862.1</v>
      </c>
      <c r="O51" s="64">
        <v>0</v>
      </c>
      <c r="P51" s="64">
        <v>0.47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5" t="s">
        <v>2689</v>
      </c>
      <c r="B52" s="64">
        <v>1.1599999999999999</v>
      </c>
      <c r="C52" s="64">
        <v>26.91</v>
      </c>
      <c r="D52" s="64">
        <v>49.74</v>
      </c>
      <c r="E52" s="64">
        <v>3.46</v>
      </c>
      <c r="F52" s="64">
        <v>9.08</v>
      </c>
      <c r="G52" s="64">
        <v>49.11</v>
      </c>
      <c r="H52" s="64">
        <v>16.38</v>
      </c>
      <c r="I52" s="64">
        <v>4.0999999999999996</v>
      </c>
      <c r="J52" s="64">
        <v>3.13</v>
      </c>
      <c r="K52" s="64">
        <v>278.66000000000003</v>
      </c>
      <c r="L52" s="64">
        <v>42</v>
      </c>
      <c r="M52" s="64">
        <v>24.97</v>
      </c>
      <c r="N52" s="64">
        <v>862.9</v>
      </c>
      <c r="O52" s="64">
        <v>0</v>
      </c>
      <c r="P52" s="64">
        <v>0.46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5" t="s">
        <v>2690</v>
      </c>
      <c r="B53" s="64">
        <v>1.1200000000000001</v>
      </c>
      <c r="C53" s="64">
        <v>26.82</v>
      </c>
      <c r="D53" s="64">
        <v>49.61</v>
      </c>
      <c r="E53" s="64">
        <v>3.62</v>
      </c>
      <c r="F53" s="64">
        <v>9.08</v>
      </c>
      <c r="G53" s="64">
        <v>47.04</v>
      </c>
      <c r="H53" s="64">
        <v>16.43</v>
      </c>
      <c r="I53" s="64">
        <v>3.87</v>
      </c>
      <c r="J53" s="64">
        <v>2.42</v>
      </c>
      <c r="K53" s="64">
        <v>260.70999999999998</v>
      </c>
      <c r="L53" s="64">
        <v>41.42</v>
      </c>
      <c r="M53" s="64">
        <v>24.89</v>
      </c>
      <c r="N53" s="64">
        <v>887.1</v>
      </c>
      <c r="O53" s="64">
        <v>0</v>
      </c>
      <c r="P53" s="64">
        <v>0.49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5" t="s">
        <v>2691</v>
      </c>
      <c r="B54" s="64">
        <v>1.06</v>
      </c>
      <c r="C54" s="64">
        <v>26.7</v>
      </c>
      <c r="D54" s="64">
        <v>49.46</v>
      </c>
      <c r="E54" s="64">
        <v>3.86</v>
      </c>
      <c r="F54" s="64">
        <v>8.9</v>
      </c>
      <c r="G54" s="64">
        <v>47.04</v>
      </c>
      <c r="H54" s="64">
        <v>16.43</v>
      </c>
      <c r="I54" s="64">
        <v>3.99</v>
      </c>
      <c r="J54" s="64">
        <v>2.54</v>
      </c>
      <c r="K54" s="64">
        <v>269.14999999999998</v>
      </c>
      <c r="L54" s="64">
        <v>41.77</v>
      </c>
      <c r="M54" s="64">
        <v>25.15</v>
      </c>
      <c r="N54" s="64">
        <v>876.8</v>
      </c>
      <c r="O54" s="64">
        <v>0</v>
      </c>
      <c r="P54" s="64">
        <v>0.52</v>
      </c>
      <c r="Q54" s="64">
        <v>9.52</v>
      </c>
      <c r="R54" s="198"/>
      <c r="S54" s="198"/>
      <c r="T54" s="198"/>
      <c r="U54" s="198"/>
    </row>
    <row r="55" spans="1:21" s="12" customFormat="1" x14ac:dyDescent="0.25">
      <c r="A55" s="215" t="s">
        <v>2692</v>
      </c>
      <c r="B55" s="64">
        <v>1.07</v>
      </c>
      <c r="C55" s="64">
        <v>26.47</v>
      </c>
      <c r="D55" s="64">
        <v>49.02</v>
      </c>
      <c r="E55" s="64">
        <v>4.87</v>
      </c>
      <c r="F55" s="64">
        <v>12.02</v>
      </c>
      <c r="G55" s="64">
        <v>47.04</v>
      </c>
      <c r="H55" s="64">
        <v>16.43</v>
      </c>
      <c r="I55" s="64">
        <v>3.85</v>
      </c>
      <c r="J55" s="64">
        <v>2.42</v>
      </c>
      <c r="K55" s="64">
        <v>251.69</v>
      </c>
      <c r="L55" s="64">
        <v>41.7</v>
      </c>
      <c r="M55" s="64">
        <v>24.94</v>
      </c>
      <c r="N55" s="64">
        <v>884.6</v>
      </c>
      <c r="O55" s="64">
        <v>0</v>
      </c>
      <c r="P55" s="64">
        <v>0.52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5" t="s">
        <v>2693</v>
      </c>
      <c r="B56" s="64">
        <v>1.08</v>
      </c>
      <c r="C56" s="64">
        <v>26.65</v>
      </c>
      <c r="D56" s="64">
        <v>49.35</v>
      </c>
      <c r="E56" s="64">
        <v>6.21</v>
      </c>
      <c r="F56" s="64">
        <v>13.45</v>
      </c>
      <c r="G56" s="64">
        <v>54.78</v>
      </c>
      <c r="H56" s="64">
        <v>17.600000000000001</v>
      </c>
      <c r="I56" s="64">
        <v>4.13</v>
      </c>
      <c r="J56" s="64">
        <v>2.6</v>
      </c>
      <c r="K56" s="64">
        <v>257.31</v>
      </c>
      <c r="L56" s="64">
        <v>42.03</v>
      </c>
      <c r="M56" s="64">
        <v>24.05</v>
      </c>
      <c r="N56" s="64">
        <v>884.3</v>
      </c>
      <c r="O56" s="64">
        <v>0</v>
      </c>
      <c r="P56" s="64">
        <v>0.53</v>
      </c>
      <c r="Q56" s="64">
        <v>9.48</v>
      </c>
      <c r="R56" s="198"/>
      <c r="S56" s="198"/>
      <c r="T56" s="198"/>
      <c r="U56" s="198"/>
    </row>
    <row r="57" spans="1:21" s="12" customFormat="1" x14ac:dyDescent="0.25">
      <c r="A57" s="215" t="s">
        <v>2694</v>
      </c>
      <c r="B57" s="64">
        <v>1.2</v>
      </c>
      <c r="C57" s="64">
        <v>27.38</v>
      </c>
      <c r="D57" s="64">
        <v>50.56</v>
      </c>
      <c r="E57" s="64">
        <v>6.9</v>
      </c>
      <c r="F57" s="64">
        <v>16.38</v>
      </c>
      <c r="G57" s="64">
        <v>57</v>
      </c>
      <c r="H57" s="64">
        <v>17.93</v>
      </c>
      <c r="I57" s="64">
        <v>4.04</v>
      </c>
      <c r="J57" s="64">
        <v>2.67</v>
      </c>
      <c r="K57" s="64">
        <v>248.39</v>
      </c>
      <c r="L57" s="64">
        <v>42.75</v>
      </c>
      <c r="M57" s="64">
        <v>22.6</v>
      </c>
      <c r="N57" s="64">
        <v>884.2</v>
      </c>
      <c r="O57" s="64">
        <v>0</v>
      </c>
      <c r="P57" s="64">
        <v>0.56000000000000005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5" t="s">
        <v>2695</v>
      </c>
      <c r="B58" s="64">
        <v>1.47</v>
      </c>
      <c r="C58" s="64">
        <v>26.5</v>
      </c>
      <c r="D58" s="64">
        <v>48.46</v>
      </c>
      <c r="E58" s="64">
        <v>7.62</v>
      </c>
      <c r="F58" s="64">
        <v>20.84</v>
      </c>
      <c r="G58" s="64">
        <v>57</v>
      </c>
      <c r="H58" s="64">
        <v>17.93</v>
      </c>
      <c r="I58" s="64">
        <v>4.04</v>
      </c>
      <c r="J58" s="64">
        <v>2.0299999999999998</v>
      </c>
      <c r="K58" s="64">
        <v>253.33</v>
      </c>
      <c r="L58" s="64">
        <v>43.35</v>
      </c>
      <c r="M58" s="64">
        <v>21.5</v>
      </c>
      <c r="N58" s="64">
        <v>879</v>
      </c>
      <c r="O58" s="64">
        <v>0</v>
      </c>
      <c r="P58" s="64">
        <v>0.56000000000000005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5" t="s">
        <v>2696</v>
      </c>
      <c r="B59" s="64">
        <v>2.2999999999999998</v>
      </c>
      <c r="C59" s="64">
        <v>26.37</v>
      </c>
      <c r="D59" s="64">
        <v>46.94</v>
      </c>
      <c r="E59" s="64">
        <v>9.14</v>
      </c>
      <c r="F59" s="64">
        <v>19.260000000000002</v>
      </c>
      <c r="G59" s="64">
        <v>57</v>
      </c>
      <c r="H59" s="64">
        <v>17.93</v>
      </c>
      <c r="I59" s="64">
        <v>3.89</v>
      </c>
      <c r="J59" s="64">
        <v>1.38</v>
      </c>
      <c r="K59" s="64">
        <v>251.99</v>
      </c>
      <c r="L59" s="64">
        <v>43.46</v>
      </c>
      <c r="M59" s="64">
        <v>20.74</v>
      </c>
      <c r="N59" s="64">
        <v>866.9</v>
      </c>
      <c r="O59" s="64">
        <v>0</v>
      </c>
      <c r="P59" s="64">
        <v>0.53</v>
      </c>
      <c r="Q59" s="64">
        <v>9.48</v>
      </c>
      <c r="R59" s="198"/>
      <c r="S59" s="198"/>
      <c r="T59" s="198"/>
      <c r="U59" s="198"/>
    </row>
    <row r="60" spans="1:21" s="12" customFormat="1" x14ac:dyDescent="0.25">
      <c r="A60" s="215" t="s">
        <v>2697</v>
      </c>
      <c r="B60" s="64">
        <v>1.45</v>
      </c>
      <c r="C60" s="64">
        <v>24.59</v>
      </c>
      <c r="D60" s="64">
        <v>44.84</v>
      </c>
      <c r="E60" s="64">
        <v>7.82</v>
      </c>
      <c r="F60" s="64">
        <v>20.94</v>
      </c>
      <c r="G60" s="64">
        <v>55.44</v>
      </c>
      <c r="H60" s="64">
        <v>19.7</v>
      </c>
      <c r="I60" s="64">
        <v>4.0999999999999996</v>
      </c>
      <c r="J60" s="64">
        <v>2.5</v>
      </c>
      <c r="K60" s="64">
        <v>250.68</v>
      </c>
      <c r="L60" s="64">
        <v>44.69</v>
      </c>
      <c r="M60" s="64">
        <v>18.670000000000002</v>
      </c>
      <c r="N60" s="64">
        <v>840.1</v>
      </c>
      <c r="O60" s="64">
        <v>0</v>
      </c>
      <c r="P60" s="64">
        <v>0.53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5" t="s">
        <v>2698</v>
      </c>
      <c r="B61" s="64">
        <v>1.7</v>
      </c>
      <c r="C61" s="64">
        <v>26.63</v>
      </c>
      <c r="D61" s="64">
        <v>48.36</v>
      </c>
      <c r="E61" s="64">
        <v>8.02</v>
      </c>
      <c r="F61" s="64">
        <v>15.97</v>
      </c>
      <c r="G61" s="64">
        <v>54.99</v>
      </c>
      <c r="H61" s="64">
        <v>20.2</v>
      </c>
      <c r="I61" s="64">
        <v>4.0199999999999996</v>
      </c>
      <c r="J61" s="64">
        <v>2.42</v>
      </c>
      <c r="K61" s="64">
        <v>266.44</v>
      </c>
      <c r="L61" s="64">
        <v>44.83</v>
      </c>
      <c r="M61" s="64">
        <v>18.309999999999999</v>
      </c>
      <c r="N61" s="64">
        <v>737.6</v>
      </c>
      <c r="O61" s="64">
        <v>0</v>
      </c>
      <c r="P61" s="64">
        <v>0.5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5" t="s">
        <v>2699</v>
      </c>
      <c r="B62" s="64">
        <v>2</v>
      </c>
      <c r="C62" s="64">
        <v>26.8</v>
      </c>
      <c r="D62" s="64">
        <v>48.23</v>
      </c>
      <c r="E62" s="64">
        <v>7.32</v>
      </c>
      <c r="F62" s="64">
        <v>14.21</v>
      </c>
      <c r="G62" s="64">
        <v>54.99</v>
      </c>
      <c r="H62" s="64">
        <v>20.2</v>
      </c>
      <c r="I62" s="64">
        <v>4.08</v>
      </c>
      <c r="J62" s="64">
        <v>2.5</v>
      </c>
      <c r="K62" s="64">
        <v>260.94</v>
      </c>
      <c r="L62" s="64">
        <v>44.13</v>
      </c>
      <c r="M62" s="64">
        <v>18.43</v>
      </c>
      <c r="N62" s="64">
        <v>652.79999999999995</v>
      </c>
      <c r="O62" s="64">
        <v>0</v>
      </c>
      <c r="P62" s="64">
        <v>0.53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5" t="s">
        <v>2700</v>
      </c>
      <c r="B63" s="64">
        <v>3.05</v>
      </c>
      <c r="C63" s="64">
        <v>26.61</v>
      </c>
      <c r="D63" s="64">
        <v>46.26</v>
      </c>
      <c r="E63" s="64">
        <v>6.61</v>
      </c>
      <c r="F63" s="64">
        <v>23.09</v>
      </c>
      <c r="G63" s="64">
        <v>54.99</v>
      </c>
      <c r="H63" s="64">
        <v>20.2</v>
      </c>
      <c r="I63" s="64">
        <v>3.9</v>
      </c>
      <c r="J63" s="64">
        <v>1.1599999999999999</v>
      </c>
      <c r="K63" s="64">
        <v>319.41000000000003</v>
      </c>
      <c r="L63" s="64">
        <v>44.92</v>
      </c>
      <c r="M63" s="64">
        <v>17.46</v>
      </c>
      <c r="N63" s="64">
        <v>496.1</v>
      </c>
      <c r="O63" s="64">
        <v>0</v>
      </c>
      <c r="P63" s="64">
        <v>0.49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5" t="s">
        <v>2701</v>
      </c>
      <c r="B64" s="64">
        <v>2.62</v>
      </c>
      <c r="C64" s="64">
        <v>29.16</v>
      </c>
      <c r="D64" s="64">
        <v>51.8</v>
      </c>
      <c r="E64" s="64">
        <v>8.39</v>
      </c>
      <c r="F64" s="64">
        <v>20.11</v>
      </c>
      <c r="G64" s="64">
        <v>49.97</v>
      </c>
      <c r="H64" s="64">
        <v>14.79</v>
      </c>
      <c r="I64" s="64">
        <v>4.13</v>
      </c>
      <c r="J64" s="64">
        <v>2.37</v>
      </c>
      <c r="K64" s="64">
        <v>253.38</v>
      </c>
      <c r="L64" s="64">
        <v>45.34</v>
      </c>
      <c r="M64" s="64">
        <v>16.18</v>
      </c>
      <c r="N64" s="64">
        <v>659.3</v>
      </c>
      <c r="O64" s="64">
        <v>0</v>
      </c>
      <c r="P64" s="64">
        <v>0.53</v>
      </c>
      <c r="Q64" s="64">
        <v>9.48</v>
      </c>
      <c r="R64" s="198"/>
      <c r="S64" s="198"/>
      <c r="T64" s="198"/>
      <c r="U64" s="198"/>
    </row>
    <row r="65" spans="1:21" s="12" customFormat="1" x14ac:dyDescent="0.25">
      <c r="A65" s="215" t="s">
        <v>2702</v>
      </c>
      <c r="B65" s="64">
        <v>1.47</v>
      </c>
      <c r="C65" s="64">
        <v>27.31</v>
      </c>
      <c r="D65" s="64">
        <v>50.02</v>
      </c>
      <c r="E65" s="64">
        <v>5.54</v>
      </c>
      <c r="F65" s="64">
        <v>14.87</v>
      </c>
      <c r="G65" s="64">
        <v>48.53</v>
      </c>
      <c r="H65" s="64">
        <v>13.25</v>
      </c>
      <c r="I65" s="64">
        <v>4.1399999999999997</v>
      </c>
      <c r="J65" s="64">
        <v>2.81</v>
      </c>
      <c r="K65" s="64">
        <v>257.06</v>
      </c>
      <c r="L65" s="64">
        <v>44.43</v>
      </c>
      <c r="M65" s="64">
        <v>16.440000000000001</v>
      </c>
      <c r="N65" s="64">
        <v>347.2</v>
      </c>
      <c r="O65" s="64">
        <v>0</v>
      </c>
      <c r="P65" s="64">
        <v>0.51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5" t="s">
        <v>2703</v>
      </c>
      <c r="B66" s="64">
        <v>1.68</v>
      </c>
      <c r="C66" s="64">
        <v>27.46</v>
      </c>
      <c r="D66" s="64">
        <v>49.97</v>
      </c>
      <c r="E66" s="64">
        <v>7.59</v>
      </c>
      <c r="F66" s="64">
        <v>17.75</v>
      </c>
      <c r="G66" s="64">
        <v>48.53</v>
      </c>
      <c r="H66" s="64">
        <v>13.25</v>
      </c>
      <c r="I66" s="64">
        <v>3.92</v>
      </c>
      <c r="J66" s="64">
        <v>2.77</v>
      </c>
      <c r="K66" s="64">
        <v>254.73</v>
      </c>
      <c r="L66" s="64">
        <v>43.83</v>
      </c>
      <c r="M66" s="64">
        <v>16.45</v>
      </c>
      <c r="N66" s="64">
        <v>430.7</v>
      </c>
      <c r="O66" s="64">
        <v>0</v>
      </c>
      <c r="P66" s="64">
        <v>0.49</v>
      </c>
      <c r="Q66" s="64">
        <v>9.48</v>
      </c>
      <c r="R66" s="198"/>
      <c r="S66" s="198"/>
      <c r="T66" s="198"/>
      <c r="U66" s="198"/>
    </row>
    <row r="67" spans="1:21" s="12" customFormat="1" x14ac:dyDescent="0.25">
      <c r="A67" s="215" t="s">
        <v>2704</v>
      </c>
      <c r="B67" s="64">
        <v>1.24</v>
      </c>
      <c r="C67" s="64">
        <v>24.21</v>
      </c>
      <c r="D67" s="64">
        <v>44.44</v>
      </c>
      <c r="E67" s="64">
        <v>8.52</v>
      </c>
      <c r="F67" s="64">
        <v>19.399999999999999</v>
      </c>
      <c r="G67" s="64">
        <v>48.53</v>
      </c>
      <c r="H67" s="64">
        <v>13.25</v>
      </c>
      <c r="I67" s="64">
        <v>4.09</v>
      </c>
      <c r="J67" s="64">
        <v>2.04</v>
      </c>
      <c r="K67" s="64">
        <v>241.27</v>
      </c>
      <c r="L67" s="64">
        <v>43.44</v>
      </c>
      <c r="M67" s="64">
        <v>16.649999999999999</v>
      </c>
      <c r="N67" s="64">
        <v>480.1</v>
      </c>
      <c r="O67" s="64">
        <v>0</v>
      </c>
      <c r="P67" s="64">
        <v>0.47</v>
      </c>
      <c r="Q67" s="64">
        <v>9.4600000000000009</v>
      </c>
      <c r="R67" s="198"/>
      <c r="S67" s="198"/>
      <c r="T67" s="198"/>
      <c r="U67" s="198"/>
    </row>
    <row r="68" spans="1:21" s="12" customFormat="1" x14ac:dyDescent="0.25">
      <c r="A68" s="215" t="s">
        <v>2705</v>
      </c>
      <c r="B68" s="64">
        <v>1.47</v>
      </c>
      <c r="C68" s="64">
        <v>26.17</v>
      </c>
      <c r="D68" s="64">
        <v>47.84</v>
      </c>
      <c r="E68" s="64">
        <v>6.69</v>
      </c>
      <c r="F68" s="64">
        <v>14.04</v>
      </c>
      <c r="G68" s="64">
        <v>44.66</v>
      </c>
      <c r="H68" s="64">
        <v>13.06</v>
      </c>
      <c r="I68" s="64">
        <v>4.04</v>
      </c>
      <c r="J68" s="64">
        <v>1.86</v>
      </c>
      <c r="K68" s="64">
        <v>257.07</v>
      </c>
      <c r="L68" s="64">
        <v>43.46</v>
      </c>
      <c r="M68" s="64">
        <v>16.62</v>
      </c>
      <c r="N68" s="64">
        <v>406.9</v>
      </c>
      <c r="O68" s="64">
        <v>0</v>
      </c>
      <c r="P68" s="64">
        <v>0.48</v>
      </c>
      <c r="Q68" s="64">
        <v>9.4499999999999993</v>
      </c>
      <c r="R68" s="198"/>
      <c r="S68" s="198"/>
      <c r="T68" s="198"/>
      <c r="U68" s="198"/>
    </row>
    <row r="69" spans="1:21" s="12" customFormat="1" x14ac:dyDescent="0.25">
      <c r="A69" s="215" t="s">
        <v>2706</v>
      </c>
      <c r="B69" s="64">
        <v>5.15</v>
      </c>
      <c r="C69" s="64">
        <v>32.299999999999997</v>
      </c>
      <c r="D69" s="64">
        <v>53.93</v>
      </c>
      <c r="E69" s="64">
        <v>7</v>
      </c>
      <c r="F69" s="64">
        <v>18.63</v>
      </c>
      <c r="G69" s="64">
        <v>43.56</v>
      </c>
      <c r="H69" s="64">
        <v>13</v>
      </c>
      <c r="I69" s="64">
        <v>4.0199999999999996</v>
      </c>
      <c r="J69" s="64">
        <v>1.5</v>
      </c>
      <c r="K69" s="64">
        <v>244.86</v>
      </c>
      <c r="L69" s="64">
        <v>43.42</v>
      </c>
      <c r="M69" s="64">
        <v>16.55</v>
      </c>
      <c r="N69" s="64">
        <v>366.5</v>
      </c>
      <c r="O69" s="64">
        <v>0</v>
      </c>
      <c r="P69" s="64">
        <v>0.47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5" t="s">
        <v>2707</v>
      </c>
      <c r="B70" s="64">
        <v>1.43</v>
      </c>
      <c r="C70" s="64">
        <v>27.1</v>
      </c>
      <c r="D70" s="64">
        <v>49.67</v>
      </c>
      <c r="E70" s="64">
        <v>6.04</v>
      </c>
      <c r="F70" s="64">
        <v>17.18</v>
      </c>
      <c r="G70" s="64">
        <v>43.56</v>
      </c>
      <c r="H70" s="64">
        <v>13</v>
      </c>
      <c r="I70" s="64">
        <v>3.94</v>
      </c>
      <c r="J70" s="64">
        <v>1.54</v>
      </c>
      <c r="K70" s="64">
        <v>243.39</v>
      </c>
      <c r="L70" s="64">
        <v>43.33</v>
      </c>
      <c r="M70" s="64">
        <v>16.55</v>
      </c>
      <c r="N70" s="64">
        <v>258.10000000000002</v>
      </c>
      <c r="O70" s="64">
        <v>0</v>
      </c>
      <c r="P70" s="64">
        <v>0.48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5" t="s">
        <v>2708</v>
      </c>
      <c r="B71" s="64">
        <v>1.56</v>
      </c>
      <c r="C71" s="64">
        <v>28.42</v>
      </c>
      <c r="D71" s="64">
        <v>52.01</v>
      </c>
      <c r="E71" s="64">
        <v>5.96</v>
      </c>
      <c r="F71" s="64">
        <v>15.87</v>
      </c>
      <c r="G71" s="64">
        <v>43.56</v>
      </c>
      <c r="H71" s="64">
        <v>13</v>
      </c>
      <c r="I71" s="64">
        <v>4.03</v>
      </c>
      <c r="J71" s="64">
        <v>1.61</v>
      </c>
      <c r="K71" s="64">
        <v>233.31</v>
      </c>
      <c r="L71" s="64">
        <v>43.16</v>
      </c>
      <c r="M71" s="64">
        <v>16.09</v>
      </c>
      <c r="N71" s="64">
        <v>199.7</v>
      </c>
      <c r="O71" s="64">
        <v>0</v>
      </c>
      <c r="P71" s="64">
        <v>0.48</v>
      </c>
      <c r="Q71" s="64">
        <v>9.4</v>
      </c>
      <c r="R71" s="198"/>
      <c r="S71" s="198"/>
      <c r="T71" s="198"/>
      <c r="U71" s="198"/>
    </row>
    <row r="72" spans="1:21" s="12" customFormat="1" x14ac:dyDescent="0.25">
      <c r="A72" s="215" t="s">
        <v>2709</v>
      </c>
      <c r="B72" s="64">
        <v>1.33</v>
      </c>
      <c r="C72" s="64">
        <v>25.18</v>
      </c>
      <c r="D72" s="64">
        <v>46.16</v>
      </c>
      <c r="E72" s="64">
        <v>6.93</v>
      </c>
      <c r="F72" s="64">
        <v>16.62</v>
      </c>
      <c r="G72" s="64">
        <v>39.659999999999997</v>
      </c>
      <c r="H72" s="64">
        <v>17.670000000000002</v>
      </c>
      <c r="I72" s="64">
        <v>4.12</v>
      </c>
      <c r="J72" s="64">
        <v>1.33</v>
      </c>
      <c r="K72" s="64">
        <v>256.77</v>
      </c>
      <c r="L72" s="64">
        <v>42.99</v>
      </c>
      <c r="M72" s="64">
        <v>16.29</v>
      </c>
      <c r="N72" s="64">
        <v>212</v>
      </c>
      <c r="O72" s="64">
        <v>0</v>
      </c>
      <c r="P72" s="64">
        <v>0.46</v>
      </c>
      <c r="Q72" s="64">
        <v>9.3800000000000008</v>
      </c>
      <c r="R72" s="198"/>
      <c r="S72" s="198"/>
      <c r="T72" s="198"/>
      <c r="U72" s="198"/>
    </row>
    <row r="73" spans="1:21" s="12" customFormat="1" x14ac:dyDescent="0.25">
      <c r="A73" s="215" t="s">
        <v>2710</v>
      </c>
      <c r="B73" s="64">
        <v>1.62</v>
      </c>
      <c r="C73" s="64">
        <v>25.96</v>
      </c>
      <c r="D73" s="64">
        <v>47.21</v>
      </c>
      <c r="E73" s="64">
        <v>8.26</v>
      </c>
      <c r="F73" s="64">
        <v>18.739999999999998</v>
      </c>
      <c r="G73" s="64">
        <v>38.549999999999997</v>
      </c>
      <c r="H73" s="64">
        <v>19.010000000000002</v>
      </c>
      <c r="I73" s="64">
        <v>4.01</v>
      </c>
      <c r="J73" s="64">
        <v>1.56</v>
      </c>
      <c r="K73" s="64">
        <v>264.26</v>
      </c>
      <c r="L73" s="64">
        <v>42.76</v>
      </c>
      <c r="M73" s="64">
        <v>17.03</v>
      </c>
      <c r="N73" s="64">
        <v>169</v>
      </c>
      <c r="O73" s="64">
        <v>0</v>
      </c>
      <c r="P73" s="64">
        <v>0.47</v>
      </c>
      <c r="Q73" s="64">
        <v>9.3699999999999992</v>
      </c>
      <c r="R73" s="198"/>
      <c r="S73" s="198"/>
      <c r="T73" s="198"/>
      <c r="U73" s="198"/>
    </row>
    <row r="74" spans="1:21" s="12" customFormat="1" x14ac:dyDescent="0.25">
      <c r="A74" s="215" t="s">
        <v>2711</v>
      </c>
      <c r="B74" s="64">
        <v>4.12</v>
      </c>
      <c r="C74" s="64">
        <v>36.56</v>
      </c>
      <c r="D74" s="64">
        <v>63.64</v>
      </c>
      <c r="E74" s="64">
        <v>9.02</v>
      </c>
      <c r="F74" s="64">
        <v>16.37</v>
      </c>
      <c r="G74" s="64">
        <v>38.549999999999997</v>
      </c>
      <c r="H74" s="64">
        <v>19.010000000000002</v>
      </c>
      <c r="I74" s="64">
        <v>3.89</v>
      </c>
      <c r="J74" s="64">
        <v>1.51</v>
      </c>
      <c r="K74" s="64">
        <v>273.44</v>
      </c>
      <c r="L74" s="64">
        <v>42.69</v>
      </c>
      <c r="M74" s="64">
        <v>18.59</v>
      </c>
      <c r="N74" s="64">
        <v>171.5</v>
      </c>
      <c r="O74" s="64">
        <v>0</v>
      </c>
      <c r="P74" s="64">
        <v>0.54</v>
      </c>
      <c r="Q74" s="64">
        <v>9.3699999999999992</v>
      </c>
      <c r="R74" s="198"/>
      <c r="S74" s="198"/>
      <c r="T74" s="198"/>
      <c r="U74" s="198"/>
    </row>
    <row r="75" spans="1:21" s="12" customFormat="1" x14ac:dyDescent="0.25">
      <c r="A75" s="215" t="s">
        <v>2712</v>
      </c>
      <c r="B75" s="64">
        <v>1.8</v>
      </c>
      <c r="C75" s="64">
        <v>29.98</v>
      </c>
      <c r="D75" s="64">
        <v>54.62</v>
      </c>
      <c r="E75" s="64">
        <v>7.55</v>
      </c>
      <c r="F75" s="64">
        <v>15.98</v>
      </c>
      <c r="G75" s="64">
        <v>38.549999999999997</v>
      </c>
      <c r="H75" s="64">
        <v>19.010000000000002</v>
      </c>
      <c r="I75" s="64">
        <v>4.07</v>
      </c>
      <c r="J75" s="64">
        <v>1.61</v>
      </c>
      <c r="K75" s="64">
        <v>274.47000000000003</v>
      </c>
      <c r="L75" s="64">
        <v>42.52</v>
      </c>
      <c r="M75" s="64">
        <v>18.739999999999998</v>
      </c>
      <c r="N75" s="64">
        <v>153.1</v>
      </c>
      <c r="O75" s="64">
        <v>0</v>
      </c>
      <c r="P75" s="64">
        <v>0.51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5" t="s">
        <v>2713</v>
      </c>
      <c r="B76" s="64">
        <v>1.97</v>
      </c>
      <c r="C76" s="64">
        <v>30.58</v>
      </c>
      <c r="D76" s="64">
        <v>55.49</v>
      </c>
      <c r="E76" s="64">
        <v>13.75</v>
      </c>
      <c r="F76" s="64">
        <v>24.2</v>
      </c>
      <c r="G76" s="64">
        <v>42</v>
      </c>
      <c r="H76" s="64">
        <v>14.58</v>
      </c>
      <c r="I76" s="64">
        <v>4.03</v>
      </c>
      <c r="J76" s="64">
        <v>1.2</v>
      </c>
      <c r="K76" s="64">
        <v>263.57</v>
      </c>
      <c r="L76" s="64">
        <v>42.02</v>
      </c>
      <c r="M76" s="64">
        <v>18.91</v>
      </c>
      <c r="N76" s="64">
        <v>119.1</v>
      </c>
      <c r="O76" s="64">
        <v>0</v>
      </c>
      <c r="P76" s="64">
        <v>0.64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5" t="s">
        <v>2714</v>
      </c>
      <c r="B77" s="64">
        <v>4.08</v>
      </c>
      <c r="C77" s="64">
        <v>35.799999999999997</v>
      </c>
      <c r="D77" s="64">
        <v>62.26</v>
      </c>
      <c r="E77" s="64">
        <v>13.81</v>
      </c>
      <c r="F77" s="64">
        <v>19</v>
      </c>
      <c r="G77" s="64">
        <v>42.99</v>
      </c>
      <c r="H77" s="64">
        <v>13.31</v>
      </c>
      <c r="I77" s="64">
        <v>3.93</v>
      </c>
      <c r="J77" s="64">
        <v>1.47</v>
      </c>
      <c r="K77" s="64">
        <v>275.94</v>
      </c>
      <c r="L77" s="64">
        <v>41.72</v>
      </c>
      <c r="M77" s="64">
        <v>19.55</v>
      </c>
      <c r="N77" s="64">
        <v>114.7</v>
      </c>
      <c r="O77" s="64">
        <v>0</v>
      </c>
      <c r="P77" s="64">
        <v>0.7</v>
      </c>
      <c r="Q77" s="64">
        <v>9.39</v>
      </c>
      <c r="R77" s="198"/>
      <c r="S77" s="198"/>
      <c r="T77" s="198"/>
      <c r="U77" s="198"/>
    </row>
    <row r="78" spans="1:21" s="12" customFormat="1" x14ac:dyDescent="0.25">
      <c r="A78" s="215" t="s">
        <v>2715</v>
      </c>
      <c r="B78" s="64">
        <v>3.22</v>
      </c>
      <c r="C78" s="64">
        <v>32.56</v>
      </c>
      <c r="D78" s="64">
        <v>57.39</v>
      </c>
      <c r="E78" s="64">
        <v>7.03</v>
      </c>
      <c r="F78" s="64">
        <v>15.22</v>
      </c>
      <c r="G78" s="64">
        <v>42.99</v>
      </c>
      <c r="H78" s="64">
        <v>13.31</v>
      </c>
      <c r="I78" s="64">
        <v>4.0599999999999996</v>
      </c>
      <c r="J78" s="64">
        <v>2.79</v>
      </c>
      <c r="K78" s="64">
        <v>280.31</v>
      </c>
      <c r="L78" s="64">
        <v>41.6</v>
      </c>
      <c r="M78" s="64">
        <v>19.399999999999999</v>
      </c>
      <c r="N78" s="64">
        <v>117.7</v>
      </c>
      <c r="O78" s="64">
        <v>0</v>
      </c>
      <c r="P78" s="64">
        <v>0.56000000000000005</v>
      </c>
      <c r="Q78" s="64">
        <v>9.4</v>
      </c>
      <c r="R78" s="198"/>
      <c r="S78" s="198"/>
      <c r="T78" s="198"/>
      <c r="U78" s="198"/>
    </row>
    <row r="79" spans="1:21" s="12" customFormat="1" x14ac:dyDescent="0.25">
      <c r="A79" s="215" t="s">
        <v>2716</v>
      </c>
      <c r="B79" s="64">
        <v>4.6500000000000004</v>
      </c>
      <c r="C79" s="64">
        <v>31.44</v>
      </c>
      <c r="D79" s="64">
        <v>53.04</v>
      </c>
      <c r="E79" s="64">
        <v>4.45</v>
      </c>
      <c r="F79" s="64">
        <v>9.7100000000000009</v>
      </c>
      <c r="G79" s="64">
        <v>42.99</v>
      </c>
      <c r="H79" s="64">
        <v>13.31</v>
      </c>
      <c r="I79" s="64">
        <v>4.04</v>
      </c>
      <c r="J79" s="64">
        <v>3.6</v>
      </c>
      <c r="K79" s="64">
        <v>282.25</v>
      </c>
      <c r="L79" s="64">
        <v>40.64</v>
      </c>
      <c r="M79" s="64">
        <v>18.2</v>
      </c>
      <c r="N79" s="64">
        <v>90.1</v>
      </c>
      <c r="O79" s="64">
        <v>0</v>
      </c>
      <c r="P79" s="64">
        <v>0.55000000000000004</v>
      </c>
      <c r="Q79" s="64">
        <v>9.41</v>
      </c>
      <c r="R79" s="198"/>
      <c r="S79" s="198"/>
      <c r="T79" s="198"/>
      <c r="U79" s="198"/>
    </row>
    <row r="80" spans="1:21" s="12" customFormat="1" x14ac:dyDescent="0.25">
      <c r="A80" s="215" t="s">
        <v>2717</v>
      </c>
      <c r="B80" s="64">
        <v>10.01</v>
      </c>
      <c r="C80" s="64">
        <v>39.799999999999997</v>
      </c>
      <c r="D80" s="64">
        <v>60.82</v>
      </c>
      <c r="E80" s="64">
        <v>5.84</v>
      </c>
      <c r="F80" s="64">
        <v>16.690000000000001</v>
      </c>
      <c r="G80" s="64">
        <v>49.64</v>
      </c>
      <c r="H80" s="64">
        <v>17.7</v>
      </c>
      <c r="I80" s="64">
        <v>4.0999999999999996</v>
      </c>
      <c r="J80" s="64">
        <v>2.57</v>
      </c>
      <c r="K80" s="64">
        <v>283.8</v>
      </c>
      <c r="L80" s="64">
        <v>39.68</v>
      </c>
      <c r="M80" s="64">
        <v>18.96</v>
      </c>
      <c r="N80" s="64">
        <v>74</v>
      </c>
      <c r="O80" s="64">
        <v>0</v>
      </c>
      <c r="P80" s="64">
        <v>0.78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5" t="s">
        <v>2718</v>
      </c>
      <c r="B81" s="64">
        <v>19.690000000000001</v>
      </c>
      <c r="C81" s="64">
        <v>52.11</v>
      </c>
      <c r="D81" s="64">
        <v>69.52</v>
      </c>
      <c r="E81" s="64">
        <v>8.15</v>
      </c>
      <c r="F81" s="64">
        <v>16.02</v>
      </c>
      <c r="G81" s="64">
        <v>51.54</v>
      </c>
      <c r="H81" s="64">
        <v>18.96</v>
      </c>
      <c r="I81" s="64">
        <v>4.13</v>
      </c>
      <c r="J81" s="64">
        <v>2.5499999999999998</v>
      </c>
      <c r="K81" s="64">
        <v>283.08</v>
      </c>
      <c r="L81" s="64">
        <v>39.119999999999997</v>
      </c>
      <c r="M81" s="64">
        <v>20.09</v>
      </c>
      <c r="N81" s="64">
        <v>63.6</v>
      </c>
      <c r="O81" s="64">
        <v>0</v>
      </c>
      <c r="P81" s="64">
        <v>0.95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5" t="s">
        <v>2719</v>
      </c>
      <c r="B82" s="64">
        <v>15.84</v>
      </c>
      <c r="C82" s="64">
        <v>47.17</v>
      </c>
      <c r="D82" s="64">
        <v>65.959999999999994</v>
      </c>
      <c r="E82" s="64">
        <v>12.85</v>
      </c>
      <c r="F82" s="64">
        <v>14.72</v>
      </c>
      <c r="G82" s="64">
        <v>51.54</v>
      </c>
      <c r="H82" s="64">
        <v>18.96</v>
      </c>
      <c r="I82" s="64">
        <v>3.95</v>
      </c>
      <c r="J82" s="64">
        <v>3.01</v>
      </c>
      <c r="K82" s="64">
        <v>284.06</v>
      </c>
      <c r="L82" s="64">
        <v>38.869999999999997</v>
      </c>
      <c r="M82" s="64">
        <v>19.989999999999998</v>
      </c>
      <c r="N82" s="64">
        <v>58.7</v>
      </c>
      <c r="O82" s="64">
        <v>0</v>
      </c>
      <c r="P82" s="64">
        <v>0.83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5" t="s">
        <v>2720</v>
      </c>
      <c r="B83" s="64">
        <v>4.9400000000000004</v>
      </c>
      <c r="C83" s="64">
        <v>35.74</v>
      </c>
      <c r="D83" s="64">
        <v>60.81</v>
      </c>
      <c r="E83" s="64">
        <v>5.89</v>
      </c>
      <c r="F83" s="64">
        <v>8.02</v>
      </c>
      <c r="G83" s="64">
        <v>51.54</v>
      </c>
      <c r="H83" s="64">
        <v>18.96</v>
      </c>
      <c r="I83" s="64">
        <v>4.1399999999999997</v>
      </c>
      <c r="J83" s="64">
        <v>4.68</v>
      </c>
      <c r="K83" s="64">
        <v>285.97000000000003</v>
      </c>
      <c r="L83" s="64">
        <v>38.33</v>
      </c>
      <c r="M83" s="64">
        <v>22.39</v>
      </c>
      <c r="N83" s="64">
        <v>59.7</v>
      </c>
      <c r="O83" s="64">
        <v>0</v>
      </c>
      <c r="P83" s="64">
        <v>0.66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5" t="s">
        <v>2721</v>
      </c>
      <c r="B84" s="64">
        <v>3.5</v>
      </c>
      <c r="C84" s="64">
        <v>34.71</v>
      </c>
      <c r="D84" s="64">
        <v>61.07</v>
      </c>
      <c r="E84" s="64">
        <v>4.8600000000000003</v>
      </c>
      <c r="F84" s="64">
        <v>12</v>
      </c>
      <c r="G84" s="64">
        <v>70.180000000000007</v>
      </c>
      <c r="H84" s="64">
        <v>24.75</v>
      </c>
      <c r="I84" s="64">
        <v>4.2300000000000004</v>
      </c>
      <c r="J84" s="64">
        <v>3.73</v>
      </c>
      <c r="K84" s="64">
        <v>310.77999999999997</v>
      </c>
      <c r="L84" s="64">
        <v>37.81</v>
      </c>
      <c r="M84" s="64">
        <v>23.15</v>
      </c>
      <c r="N84" s="64">
        <v>58.7</v>
      </c>
      <c r="O84" s="64">
        <v>0</v>
      </c>
      <c r="P84" s="64">
        <v>0.65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15" t="s">
        <v>2722</v>
      </c>
      <c r="B85" s="64">
        <v>5.97</v>
      </c>
      <c r="C85" s="64">
        <v>36.54</v>
      </c>
      <c r="D85" s="64">
        <v>60.78</v>
      </c>
      <c r="E85" s="64">
        <v>10.6</v>
      </c>
      <c r="F85" s="64">
        <v>13.75</v>
      </c>
      <c r="G85" s="64">
        <v>75.510000000000005</v>
      </c>
      <c r="H85" s="64">
        <v>26.4</v>
      </c>
      <c r="I85" s="64">
        <v>3.82</v>
      </c>
      <c r="J85" s="64">
        <v>2.92</v>
      </c>
      <c r="K85" s="64">
        <v>330.48</v>
      </c>
      <c r="L85" s="64">
        <v>37.68</v>
      </c>
      <c r="M85" s="64">
        <v>23</v>
      </c>
      <c r="N85" s="64">
        <v>58.1</v>
      </c>
      <c r="O85" s="64">
        <v>0</v>
      </c>
      <c r="P85" s="64">
        <v>0.69</v>
      </c>
      <c r="Q85" s="64">
        <v>9.4600000000000009</v>
      </c>
      <c r="R85" s="198"/>
      <c r="S85" s="198"/>
      <c r="T85" s="198"/>
      <c r="U85" s="198"/>
    </row>
    <row r="86" spans="1:26" s="12" customFormat="1" x14ac:dyDescent="0.25">
      <c r="A86" s="215" t="s">
        <v>2723</v>
      </c>
      <c r="B86" s="64">
        <v>7.52</v>
      </c>
      <c r="C86" s="64">
        <v>36.17</v>
      </c>
      <c r="D86" s="64">
        <v>57.7</v>
      </c>
      <c r="E86" s="64">
        <v>16.8</v>
      </c>
      <c r="F86" s="64">
        <v>15.01</v>
      </c>
      <c r="G86" s="64">
        <v>75.510000000000005</v>
      </c>
      <c r="H86" s="64">
        <v>26.4</v>
      </c>
      <c r="I86" s="64">
        <v>3.92</v>
      </c>
      <c r="J86" s="64">
        <v>2.73</v>
      </c>
      <c r="K86" s="64">
        <v>317.70999999999998</v>
      </c>
      <c r="L86" s="64">
        <v>37.49</v>
      </c>
      <c r="M86" s="64">
        <v>23.47</v>
      </c>
      <c r="N86" s="64">
        <v>58.4</v>
      </c>
      <c r="O86" s="64">
        <v>0</v>
      </c>
      <c r="P86" s="64">
        <v>0.71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5" t="s">
        <v>2724</v>
      </c>
      <c r="B87" s="64">
        <v>8.25</v>
      </c>
      <c r="C87" s="64">
        <v>43.36</v>
      </c>
      <c r="D87" s="64">
        <v>70.33</v>
      </c>
      <c r="E87" s="64">
        <v>39.94</v>
      </c>
      <c r="F87" s="64">
        <v>14.87</v>
      </c>
      <c r="G87" s="64">
        <v>75.510000000000005</v>
      </c>
      <c r="H87" s="64">
        <v>26.4</v>
      </c>
      <c r="I87" s="64">
        <v>4.04</v>
      </c>
      <c r="J87" s="64">
        <v>2.52</v>
      </c>
      <c r="K87" s="64">
        <v>313.99</v>
      </c>
      <c r="L87" s="64">
        <v>37.39</v>
      </c>
      <c r="M87" s="64">
        <v>23.99</v>
      </c>
      <c r="N87" s="64">
        <v>58.3</v>
      </c>
      <c r="O87" s="64">
        <v>0</v>
      </c>
      <c r="P87" s="64">
        <v>0.83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5" t="s">
        <v>2725</v>
      </c>
      <c r="B88" s="64">
        <v>30.92</v>
      </c>
      <c r="C88" s="64">
        <v>74.819999999999993</v>
      </c>
      <c r="D88" s="64">
        <v>95.75</v>
      </c>
      <c r="E88" s="64">
        <v>73.260000000000005</v>
      </c>
      <c r="F88" s="64">
        <v>17</v>
      </c>
      <c r="G88" s="64">
        <v>97.99</v>
      </c>
      <c r="H88" s="64">
        <v>26.84</v>
      </c>
      <c r="I88" s="64">
        <v>4.09</v>
      </c>
      <c r="J88" s="64">
        <v>1.37</v>
      </c>
      <c r="K88" s="64">
        <v>358.78</v>
      </c>
      <c r="L88" s="64">
        <v>37.28</v>
      </c>
      <c r="M88" s="64">
        <v>24.29</v>
      </c>
      <c r="N88" s="64">
        <v>58.5</v>
      </c>
      <c r="O88" s="64">
        <v>0</v>
      </c>
      <c r="P88" s="64">
        <v>1.48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5" t="s">
        <v>2726</v>
      </c>
      <c r="B89" s="64">
        <v>27.93</v>
      </c>
      <c r="C89" s="64">
        <v>76.73</v>
      </c>
      <c r="D89" s="64">
        <v>103.98</v>
      </c>
      <c r="E89" s="64">
        <v>68.13</v>
      </c>
      <c r="F89" s="64">
        <v>14.01</v>
      </c>
      <c r="G89" s="64">
        <v>104.41</v>
      </c>
      <c r="H89" s="64">
        <v>26.97</v>
      </c>
      <c r="I89" s="64">
        <v>3.95</v>
      </c>
      <c r="J89" s="64">
        <v>0.71</v>
      </c>
      <c r="K89" s="64">
        <v>76.510000000000005</v>
      </c>
      <c r="L89" s="64">
        <v>37.090000000000003</v>
      </c>
      <c r="M89" s="64">
        <v>23.87</v>
      </c>
      <c r="N89" s="64">
        <v>58.5</v>
      </c>
      <c r="O89" s="64">
        <v>0</v>
      </c>
      <c r="P89" s="64">
        <v>1.37</v>
      </c>
      <c r="Q89" s="64">
        <v>9.44</v>
      </c>
      <c r="R89" s="198"/>
      <c r="S89" s="198"/>
      <c r="T89" s="198"/>
      <c r="U89" s="198"/>
    </row>
    <row r="90" spans="1:26" s="12" customFormat="1" x14ac:dyDescent="0.25">
      <c r="A90" s="215" t="s">
        <v>2727</v>
      </c>
      <c r="B90" s="64">
        <v>15.82</v>
      </c>
      <c r="C90" s="64">
        <v>63.45</v>
      </c>
      <c r="D90" s="64">
        <v>97.15</v>
      </c>
      <c r="E90" s="64">
        <v>54.17</v>
      </c>
      <c r="F90" s="64">
        <v>14.21</v>
      </c>
      <c r="G90" s="64">
        <v>104.41</v>
      </c>
      <c r="H90" s="64">
        <v>26.97</v>
      </c>
      <c r="I90" s="64">
        <v>3.96</v>
      </c>
      <c r="J90" s="64">
        <v>1.22</v>
      </c>
      <c r="K90" s="64">
        <v>95.5</v>
      </c>
      <c r="L90" s="64">
        <v>37</v>
      </c>
      <c r="M90" s="64">
        <v>23.73</v>
      </c>
      <c r="N90" s="64">
        <v>60.7</v>
      </c>
      <c r="O90" s="64">
        <v>0</v>
      </c>
      <c r="P90" s="64">
        <v>1.45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5" t="s">
        <v>2728</v>
      </c>
      <c r="B91" s="64">
        <v>5.41</v>
      </c>
      <c r="C91" s="64">
        <v>43.68</v>
      </c>
      <c r="D91" s="64">
        <v>75.3</v>
      </c>
      <c r="E91" s="64">
        <v>38.68</v>
      </c>
      <c r="F91" s="64">
        <v>17.93</v>
      </c>
      <c r="G91" s="64">
        <v>104.41</v>
      </c>
      <c r="H91" s="64">
        <v>26.97</v>
      </c>
      <c r="I91" s="64">
        <v>4.04</v>
      </c>
      <c r="J91" s="64">
        <v>2.0299999999999998</v>
      </c>
      <c r="K91" s="64">
        <v>96.91</v>
      </c>
      <c r="L91" s="64">
        <v>37.19</v>
      </c>
      <c r="M91" s="64">
        <v>24.12</v>
      </c>
      <c r="N91" s="64">
        <v>75</v>
      </c>
      <c r="O91" s="64">
        <v>0</v>
      </c>
      <c r="P91" s="64">
        <v>0.85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5" t="s">
        <v>2729</v>
      </c>
      <c r="B92" s="64">
        <v>3.07</v>
      </c>
      <c r="C92" s="64">
        <v>33.090000000000003</v>
      </c>
      <c r="D92" s="64">
        <v>58.62</v>
      </c>
      <c r="E92" s="64">
        <v>19.22</v>
      </c>
      <c r="F92" s="64">
        <v>19.62</v>
      </c>
      <c r="G92" s="64">
        <v>87.89</v>
      </c>
      <c r="H92" s="64">
        <v>24.01</v>
      </c>
      <c r="I92" s="64">
        <v>3.96</v>
      </c>
      <c r="J92" s="64">
        <v>2.23</v>
      </c>
      <c r="K92" s="64">
        <v>91.99</v>
      </c>
      <c r="L92" s="64">
        <v>36.89</v>
      </c>
      <c r="M92" s="64">
        <v>24.97</v>
      </c>
      <c r="N92" s="64">
        <v>82.3</v>
      </c>
      <c r="O92" s="64">
        <v>0</v>
      </c>
      <c r="P92" s="64">
        <v>0.74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5" t="s">
        <v>2730</v>
      </c>
      <c r="B93" s="64">
        <v>22.55</v>
      </c>
      <c r="C93" s="64">
        <v>61.47</v>
      </c>
      <c r="D93" s="64">
        <v>83.05</v>
      </c>
      <c r="E93" s="64">
        <v>12.7</v>
      </c>
      <c r="F93" s="64">
        <v>14.34</v>
      </c>
      <c r="G93" s="64">
        <v>83.17</v>
      </c>
      <c r="H93" s="64">
        <v>23.16</v>
      </c>
      <c r="I93" s="64">
        <v>4.01</v>
      </c>
      <c r="J93" s="64">
        <v>1.17</v>
      </c>
      <c r="K93" s="64">
        <v>82.72</v>
      </c>
      <c r="L93" s="64">
        <v>36.770000000000003</v>
      </c>
      <c r="M93" s="64">
        <v>24.67</v>
      </c>
      <c r="N93" s="64">
        <v>82.3</v>
      </c>
      <c r="O93" s="64">
        <v>0</v>
      </c>
      <c r="P93" s="64">
        <v>1.01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5" t="s">
        <v>2731</v>
      </c>
      <c r="B94" s="64">
        <v>5.28</v>
      </c>
      <c r="C94" s="64">
        <v>34.32</v>
      </c>
      <c r="D94" s="64">
        <v>57.58</v>
      </c>
      <c r="E94" s="64">
        <v>9.4600000000000009</v>
      </c>
      <c r="F94" s="64">
        <v>17.02</v>
      </c>
      <c r="G94" s="64">
        <v>83.17</v>
      </c>
      <c r="H94" s="64">
        <v>23.16</v>
      </c>
      <c r="I94" s="64">
        <v>3.96</v>
      </c>
      <c r="J94" s="64">
        <v>0.96</v>
      </c>
      <c r="K94" s="64">
        <v>155.37</v>
      </c>
      <c r="L94" s="64">
        <v>36.799999999999997</v>
      </c>
      <c r="M94" s="64">
        <v>23.8</v>
      </c>
      <c r="N94" s="64">
        <v>82.5</v>
      </c>
      <c r="O94" s="64">
        <v>0</v>
      </c>
      <c r="P94" s="64">
        <v>0.74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5" t="s">
        <v>2732</v>
      </c>
      <c r="B95" s="64">
        <v>7.09</v>
      </c>
      <c r="C95" s="64">
        <v>41.39</v>
      </c>
      <c r="D95" s="64">
        <v>68.34</v>
      </c>
      <c r="E95" s="64">
        <v>8.5299999999999994</v>
      </c>
      <c r="F95" s="64">
        <v>11.19</v>
      </c>
      <c r="G95" s="64">
        <v>83.17</v>
      </c>
      <c r="H95" s="64">
        <v>23.16</v>
      </c>
      <c r="I95" s="64">
        <v>3.93</v>
      </c>
      <c r="J95" s="64">
        <v>2.44</v>
      </c>
      <c r="K95" s="64">
        <v>155.27000000000001</v>
      </c>
      <c r="L95" s="64">
        <v>36.64</v>
      </c>
      <c r="M95" s="64">
        <v>25.74</v>
      </c>
      <c r="N95" s="64">
        <v>82.8</v>
      </c>
      <c r="O95" s="64">
        <v>0</v>
      </c>
      <c r="P95" s="64">
        <v>0.67</v>
      </c>
      <c r="Q95" s="64">
        <v>9.4600000000000009</v>
      </c>
      <c r="R95" s="198"/>
      <c r="S95" s="198"/>
      <c r="T95" s="198"/>
      <c r="U95" s="198"/>
    </row>
    <row r="96" spans="1:26" s="12" customFormat="1" x14ac:dyDescent="0.25">
      <c r="A96" s="215" t="s">
        <v>2733</v>
      </c>
      <c r="B96" s="64">
        <v>5.04</v>
      </c>
      <c r="C96" s="64">
        <v>32.44</v>
      </c>
      <c r="D96" s="64">
        <v>54.35</v>
      </c>
      <c r="E96" s="64">
        <v>7.04</v>
      </c>
      <c r="F96" s="64">
        <v>11.01</v>
      </c>
      <c r="G96" s="64">
        <v>70.349999999999994</v>
      </c>
      <c r="H96" s="64">
        <v>19.399999999999999</v>
      </c>
      <c r="I96" s="64">
        <v>4.05</v>
      </c>
      <c r="J96" s="64">
        <v>2.54</v>
      </c>
      <c r="K96" s="64">
        <v>160.12</v>
      </c>
      <c r="L96" s="64">
        <v>35.69</v>
      </c>
      <c r="M96" s="64">
        <v>31.69</v>
      </c>
      <c r="N96" s="64">
        <v>83.3</v>
      </c>
      <c r="O96" s="64">
        <v>0</v>
      </c>
      <c r="P96" s="64">
        <v>0.7</v>
      </c>
      <c r="Q96" s="64">
        <v>9.4700000000000006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2734</v>
      </c>
      <c r="B97" s="64">
        <v>4.91</v>
      </c>
      <c r="C97" s="64">
        <v>33.25</v>
      </c>
      <c r="D97" s="64">
        <v>56.11</v>
      </c>
      <c r="E97" s="64">
        <v>5.4</v>
      </c>
      <c r="F97" s="64">
        <v>11.27</v>
      </c>
      <c r="G97" s="64">
        <v>66.69</v>
      </c>
      <c r="H97" s="64">
        <v>18.329999999999998</v>
      </c>
      <c r="I97" s="64">
        <v>4.0199999999999996</v>
      </c>
      <c r="J97" s="64">
        <v>2.71</v>
      </c>
      <c r="K97" s="64">
        <v>160.44999999999999</v>
      </c>
      <c r="L97" s="64">
        <v>34.659999999999997</v>
      </c>
      <c r="M97" s="64">
        <v>37.03</v>
      </c>
      <c r="N97" s="64">
        <v>83.1</v>
      </c>
      <c r="O97" s="64">
        <v>0</v>
      </c>
      <c r="P97" s="64">
        <v>0.68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5" t="s">
        <v>2735</v>
      </c>
      <c r="B98" s="64">
        <v>4.05</v>
      </c>
      <c r="C98" s="64">
        <v>31.7</v>
      </c>
      <c r="D98" s="64">
        <v>54.45</v>
      </c>
      <c r="E98" s="64">
        <v>5.12</v>
      </c>
      <c r="F98" s="64">
        <v>13.47</v>
      </c>
      <c r="G98" s="64">
        <v>66.69</v>
      </c>
      <c r="H98" s="64">
        <v>18.329999999999998</v>
      </c>
      <c r="I98" s="64">
        <v>4.07</v>
      </c>
      <c r="J98" s="64">
        <v>1.43</v>
      </c>
      <c r="K98" s="64">
        <v>138.91</v>
      </c>
      <c r="L98" s="64">
        <v>34.270000000000003</v>
      </c>
      <c r="M98" s="64">
        <v>37.6</v>
      </c>
      <c r="N98" s="64">
        <v>82</v>
      </c>
      <c r="O98" s="64">
        <v>0</v>
      </c>
      <c r="P98" s="64">
        <v>0.64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5" t="s">
        <v>2736</v>
      </c>
      <c r="B99" s="64">
        <v>3.82</v>
      </c>
      <c r="C99" s="64">
        <v>32.049999999999997</v>
      </c>
      <c r="D99" s="64">
        <v>55.49</v>
      </c>
      <c r="E99" s="64">
        <v>4.4800000000000004</v>
      </c>
      <c r="F99" s="64">
        <v>9.81</v>
      </c>
      <c r="G99" s="64">
        <v>66.69</v>
      </c>
      <c r="H99" s="64">
        <v>18.329999999999998</v>
      </c>
      <c r="I99" s="64">
        <v>3.98</v>
      </c>
      <c r="J99" s="64">
        <v>3.22</v>
      </c>
      <c r="K99" s="64">
        <v>150.22999999999999</v>
      </c>
      <c r="L99" s="64">
        <v>34</v>
      </c>
      <c r="M99" s="64">
        <v>39.22</v>
      </c>
      <c r="N99" s="64">
        <v>81.099999999999994</v>
      </c>
      <c r="O99" s="64">
        <v>0</v>
      </c>
      <c r="P99" s="64">
        <v>0.67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15" t="s">
        <v>2737</v>
      </c>
      <c r="B100" s="64">
        <v>3.58</v>
      </c>
      <c r="C100" s="64">
        <v>33.18</v>
      </c>
      <c r="D100" s="64">
        <v>58</v>
      </c>
      <c r="E100" s="64">
        <v>4.08</v>
      </c>
      <c r="F100" s="64">
        <v>6.31</v>
      </c>
      <c r="G100" s="64">
        <v>61.56</v>
      </c>
      <c r="H100" s="64">
        <v>21.59</v>
      </c>
      <c r="I100" s="64">
        <v>4</v>
      </c>
      <c r="J100" s="64">
        <v>3.58</v>
      </c>
      <c r="K100" s="64">
        <v>164.51</v>
      </c>
      <c r="L100" s="64">
        <v>33.159999999999997</v>
      </c>
      <c r="M100" s="64">
        <v>43.59</v>
      </c>
      <c r="N100" s="64">
        <v>80.5</v>
      </c>
      <c r="O100" s="64">
        <v>0</v>
      </c>
      <c r="P100" s="64">
        <v>0.7</v>
      </c>
      <c r="Q100" s="64">
        <v>9.44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2738</v>
      </c>
      <c r="B101" s="64">
        <v>2.77</v>
      </c>
      <c r="C101" s="64">
        <v>31.85</v>
      </c>
      <c r="D101" s="64">
        <v>56.7</v>
      </c>
      <c r="E101" s="64">
        <v>3.63</v>
      </c>
      <c r="F101" s="64">
        <v>6.27</v>
      </c>
      <c r="G101" s="64">
        <v>60.09</v>
      </c>
      <c r="H101" s="64">
        <v>22.52</v>
      </c>
      <c r="I101" s="64">
        <v>4.0999999999999996</v>
      </c>
      <c r="J101" s="64">
        <v>3.25</v>
      </c>
      <c r="K101" s="64">
        <v>175.29</v>
      </c>
      <c r="L101" s="64">
        <v>32.56</v>
      </c>
      <c r="M101" s="64">
        <v>46.11</v>
      </c>
      <c r="N101" s="64">
        <v>79.5</v>
      </c>
      <c r="O101" s="64">
        <v>0</v>
      </c>
      <c r="P101" s="64">
        <v>0.66</v>
      </c>
      <c r="Q101" s="64">
        <v>9.4600000000000009</v>
      </c>
      <c r="R101" s="198"/>
      <c r="S101" s="198"/>
      <c r="T101" s="198"/>
      <c r="U101" s="198"/>
    </row>
    <row r="102" spans="1:33" s="12" customFormat="1" x14ac:dyDescent="0.25">
      <c r="A102" s="215" t="s">
        <v>2739</v>
      </c>
      <c r="B102" s="64">
        <v>2.13</v>
      </c>
      <c r="C102" s="64">
        <v>30.16</v>
      </c>
      <c r="D102" s="64">
        <v>54.45</v>
      </c>
      <c r="E102" s="64">
        <v>3.93</v>
      </c>
      <c r="F102" s="64">
        <v>8.81</v>
      </c>
      <c r="G102" s="64">
        <v>60.09</v>
      </c>
      <c r="H102" s="64">
        <v>22.52</v>
      </c>
      <c r="I102" s="64">
        <v>4.18</v>
      </c>
      <c r="J102" s="64">
        <v>2.19</v>
      </c>
      <c r="K102" s="64">
        <v>198.45</v>
      </c>
      <c r="L102" s="64">
        <v>32.18</v>
      </c>
      <c r="M102" s="64">
        <v>47.54</v>
      </c>
      <c r="N102" s="64">
        <v>79.099999999999994</v>
      </c>
      <c r="O102" s="64">
        <v>0</v>
      </c>
      <c r="P102" s="64">
        <v>0.6</v>
      </c>
      <c r="Q102" s="64">
        <v>9.48</v>
      </c>
      <c r="R102" s="198"/>
      <c r="S102" s="198"/>
      <c r="T102" s="198"/>
      <c r="U102" s="198"/>
    </row>
    <row r="103" spans="1:33" s="12" customFormat="1" x14ac:dyDescent="0.25">
      <c r="A103" s="215" t="s">
        <v>2740</v>
      </c>
      <c r="B103" s="64">
        <v>1.87</v>
      </c>
      <c r="C103" s="64">
        <v>28.75</v>
      </c>
      <c r="D103" s="64">
        <v>52.16</v>
      </c>
      <c r="E103" s="64">
        <v>3.59</v>
      </c>
      <c r="F103" s="64">
        <v>7.33</v>
      </c>
      <c r="G103" s="64">
        <v>60.09</v>
      </c>
      <c r="H103" s="64">
        <v>22.52</v>
      </c>
      <c r="I103" s="64">
        <v>3.94</v>
      </c>
      <c r="J103" s="64">
        <v>2.42</v>
      </c>
      <c r="K103" s="64">
        <v>206.37</v>
      </c>
      <c r="L103" s="64">
        <v>31.7</v>
      </c>
      <c r="M103" s="64">
        <v>50.37</v>
      </c>
      <c r="N103" s="64">
        <v>79.5</v>
      </c>
      <c r="O103" s="64">
        <v>0</v>
      </c>
      <c r="P103" s="64">
        <v>0.56999999999999995</v>
      </c>
      <c r="Q103" s="64">
        <v>9.48</v>
      </c>
      <c r="R103" s="198"/>
      <c r="S103" s="198"/>
      <c r="T103" s="198"/>
      <c r="U103" s="198"/>
    </row>
    <row r="104" spans="1:33" s="12" customFormat="1" x14ac:dyDescent="0.25">
      <c r="A104" s="215" t="s">
        <v>2741</v>
      </c>
      <c r="B104" s="64">
        <v>1.74</v>
      </c>
      <c r="C104" s="64">
        <v>27.9</v>
      </c>
      <c r="D104" s="64">
        <v>50.74</v>
      </c>
      <c r="E104" s="64">
        <v>2.7</v>
      </c>
      <c r="F104" s="64">
        <v>7.33</v>
      </c>
      <c r="G104" s="64">
        <v>52.99</v>
      </c>
      <c r="H104" s="64">
        <v>19.309999999999999</v>
      </c>
      <c r="I104" s="64">
        <v>3.88</v>
      </c>
      <c r="J104" s="64">
        <v>2.92</v>
      </c>
      <c r="K104" s="64">
        <v>184.51</v>
      </c>
      <c r="L104" s="64">
        <v>31.41</v>
      </c>
      <c r="M104" s="64">
        <v>51.25</v>
      </c>
      <c r="N104" s="64">
        <v>79.099999999999994</v>
      </c>
      <c r="O104" s="64">
        <v>0</v>
      </c>
      <c r="P104" s="64">
        <v>0.55000000000000004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1.06</v>
      </c>
      <c r="C106" s="67">
        <f>MIN(C9:C104)</f>
        <v>18.79</v>
      </c>
      <c r="D106" s="67">
        <f t="shared" ref="D106:Q106" si="0">MIN(D9:D104)</f>
        <v>33.35</v>
      </c>
      <c r="E106" s="67">
        <f t="shared" si="0"/>
        <v>2.7</v>
      </c>
      <c r="F106" s="67">
        <f t="shared" si="0"/>
        <v>6.27</v>
      </c>
      <c r="G106" s="67">
        <f t="shared" si="0"/>
        <v>36.200000000000003</v>
      </c>
      <c r="H106" s="67">
        <f t="shared" si="0"/>
        <v>2.4900000000000002</v>
      </c>
      <c r="I106" s="67">
        <f t="shared" si="0"/>
        <v>3.77</v>
      </c>
      <c r="J106" s="67">
        <f t="shared" si="0"/>
        <v>0.69</v>
      </c>
      <c r="K106" s="67">
        <f t="shared" si="0"/>
        <v>76.510000000000005</v>
      </c>
      <c r="L106" s="67">
        <f t="shared" si="0"/>
        <v>31.41</v>
      </c>
      <c r="M106" s="67">
        <f t="shared" si="0"/>
        <v>16.09</v>
      </c>
      <c r="N106" s="67">
        <f t="shared" si="0"/>
        <v>58.1</v>
      </c>
      <c r="O106" s="67">
        <f t="shared" si="0"/>
        <v>0</v>
      </c>
      <c r="P106" s="67">
        <f t="shared" si="0"/>
        <v>0.28999999999999998</v>
      </c>
      <c r="Q106" s="67">
        <f t="shared" si="0"/>
        <v>9.3699999999999992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30.92</v>
      </c>
      <c r="C107" s="66">
        <f t="shared" ref="C107:Q107" si="1">MAX(C9:C104)</f>
        <v>76.73</v>
      </c>
      <c r="D107" s="66">
        <f t="shared" si="1"/>
        <v>103.98</v>
      </c>
      <c r="E107" s="66">
        <f t="shared" si="1"/>
        <v>73.260000000000005</v>
      </c>
      <c r="F107" s="66">
        <f t="shared" si="1"/>
        <v>24.2</v>
      </c>
      <c r="G107" s="66">
        <f t="shared" si="1"/>
        <v>104.41</v>
      </c>
      <c r="H107" s="66">
        <f t="shared" si="1"/>
        <v>40.03</v>
      </c>
      <c r="I107" s="66">
        <f t="shared" si="1"/>
        <v>4.2300000000000004</v>
      </c>
      <c r="J107" s="66">
        <f t="shared" si="1"/>
        <v>4.68</v>
      </c>
      <c r="K107" s="66">
        <f t="shared" si="1"/>
        <v>358.78</v>
      </c>
      <c r="L107" s="66">
        <f t="shared" si="1"/>
        <v>45.34</v>
      </c>
      <c r="M107" s="66">
        <f t="shared" si="1"/>
        <v>52.16</v>
      </c>
      <c r="N107" s="66">
        <f t="shared" si="1"/>
        <v>887.1</v>
      </c>
      <c r="O107" s="66">
        <f t="shared" si="1"/>
        <v>0</v>
      </c>
      <c r="P107" s="66">
        <f t="shared" si="1"/>
        <v>1.48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4.9285416666666677</v>
      </c>
      <c r="C108" s="67">
        <f t="shared" ref="C108:Q108" si="2">AVERAGE(C9:C104)</f>
        <v>31.20708333333333</v>
      </c>
      <c r="D108" s="67">
        <f t="shared" si="2"/>
        <v>52.165312499999999</v>
      </c>
      <c r="E108" s="67">
        <f t="shared" si="2"/>
        <v>8.7729166666666654</v>
      </c>
      <c r="F108" s="67">
        <f t="shared" si="2"/>
        <v>13.053124999999996</v>
      </c>
      <c r="G108" s="67">
        <f t="shared" si="2"/>
        <v>55.285520833333344</v>
      </c>
      <c r="H108" s="67">
        <f t="shared" si="2"/>
        <v>16.78532608695652</v>
      </c>
      <c r="I108" s="67">
        <f t="shared" si="2"/>
        <v>4.0008333333333326</v>
      </c>
      <c r="J108" s="67">
        <f t="shared" si="2"/>
        <v>2.1445833333333328</v>
      </c>
      <c r="K108" s="67">
        <f t="shared" si="2"/>
        <v>242.85312499999998</v>
      </c>
      <c r="L108" s="67">
        <f t="shared" si="2"/>
        <v>37.596249999999976</v>
      </c>
      <c r="M108" s="67">
        <f t="shared" si="2"/>
        <v>31.06625</v>
      </c>
      <c r="N108" s="67">
        <f t="shared" si="2"/>
        <v>288.18229166666652</v>
      </c>
      <c r="O108" s="67">
        <f t="shared" si="2"/>
        <v>0</v>
      </c>
      <c r="P108" s="67">
        <f t="shared" si="2"/>
        <v>0.56906249999999992</v>
      </c>
      <c r="Q108" s="67">
        <f t="shared" si="2"/>
        <v>9.4872916666666747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5.7289460735841384</v>
      </c>
      <c r="C109" s="67">
        <f t="shared" ref="C109:Q109" si="3">STDEV(C9:C104)</f>
        <v>10.063848580220899</v>
      </c>
      <c r="D109" s="67">
        <f t="shared" si="3"/>
        <v>11.974346786106809</v>
      </c>
      <c r="E109" s="67">
        <f t="shared" si="3"/>
        <v>11.679439056164759</v>
      </c>
      <c r="F109" s="67">
        <f t="shared" si="3"/>
        <v>4.2837684620952885</v>
      </c>
      <c r="G109" s="67">
        <f t="shared" si="3"/>
        <v>15.126678758147603</v>
      </c>
      <c r="H109" s="67">
        <f t="shared" si="3"/>
        <v>6.0947490372094011</v>
      </c>
      <c r="I109" s="67">
        <f t="shared" si="3"/>
        <v>9.7307614963190611E-2</v>
      </c>
      <c r="J109" s="67">
        <f t="shared" si="3"/>
        <v>0.71439325255649511</v>
      </c>
      <c r="K109" s="67">
        <f t="shared" si="3"/>
        <v>53.032029751889056</v>
      </c>
      <c r="L109" s="67">
        <f t="shared" si="3"/>
        <v>4.1964780345831194</v>
      </c>
      <c r="M109" s="67">
        <f t="shared" si="3"/>
        <v>11.417328588827717</v>
      </c>
      <c r="N109" s="67">
        <f t="shared" si="3"/>
        <v>280.86846031354889</v>
      </c>
      <c r="O109" s="67">
        <f t="shared" si="3"/>
        <v>0</v>
      </c>
      <c r="P109" s="67">
        <f t="shared" si="3"/>
        <v>0.20793763298288831</v>
      </c>
      <c r="Q109" s="67">
        <f t="shared" si="3"/>
        <v>5.493496952937145E-2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2742</v>
      </c>
      <c r="B9" s="64">
        <v>1.64</v>
      </c>
      <c r="C9" s="64">
        <v>25.98</v>
      </c>
      <c r="D9" s="64">
        <v>47.2</v>
      </c>
      <c r="E9" s="64">
        <v>2.57</v>
      </c>
      <c r="F9" s="64">
        <v>8.02</v>
      </c>
      <c r="G9" s="64">
        <v>50.96</v>
      </c>
      <c r="H9" s="64">
        <v>18.399999999999999</v>
      </c>
      <c r="I9" s="64">
        <v>4.09</v>
      </c>
      <c r="J9" s="64">
        <v>3.21</v>
      </c>
      <c r="K9" s="64">
        <v>170.5</v>
      </c>
      <c r="L9" s="64">
        <v>31.07</v>
      </c>
      <c r="M9" s="64">
        <v>52.88</v>
      </c>
      <c r="N9" s="64">
        <v>79.400000000000006</v>
      </c>
      <c r="O9" s="64">
        <v>0</v>
      </c>
      <c r="P9" s="64">
        <v>0.5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15" t="s">
        <v>2743</v>
      </c>
      <c r="B10" s="64">
        <v>1.57</v>
      </c>
      <c r="C10" s="64">
        <v>25.6</v>
      </c>
      <c r="D10" s="64">
        <v>46.58</v>
      </c>
      <c r="E10" s="64">
        <v>2.97</v>
      </c>
      <c r="F10" s="64">
        <v>8.08</v>
      </c>
      <c r="G10" s="64">
        <v>50.96</v>
      </c>
      <c r="H10" s="64">
        <v>18.399999999999999</v>
      </c>
      <c r="I10" s="64">
        <v>4.09</v>
      </c>
      <c r="J10" s="64">
        <v>3.89</v>
      </c>
      <c r="K10" s="64">
        <v>190.48</v>
      </c>
      <c r="L10" s="64">
        <v>30.37</v>
      </c>
      <c r="M10" s="64">
        <v>56.71</v>
      </c>
      <c r="N10" s="64">
        <v>80.099999999999994</v>
      </c>
      <c r="O10" s="64">
        <v>0</v>
      </c>
      <c r="P10" s="64">
        <v>0.48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5" t="s">
        <v>2744</v>
      </c>
      <c r="B11" s="64">
        <v>1.44</v>
      </c>
      <c r="C11" s="64">
        <v>24.32</v>
      </c>
      <c r="D11" s="64">
        <v>44.33</v>
      </c>
      <c r="E11" s="64">
        <v>2.98</v>
      </c>
      <c r="F11" s="64">
        <v>8.32</v>
      </c>
      <c r="G11" s="64">
        <v>50.96</v>
      </c>
      <c r="H11" s="64">
        <v>18.399999999999999</v>
      </c>
      <c r="I11" s="64">
        <v>3.95</v>
      </c>
      <c r="J11" s="64">
        <v>3.15</v>
      </c>
      <c r="K11" s="64">
        <v>171.3</v>
      </c>
      <c r="L11" s="64">
        <v>29.82</v>
      </c>
      <c r="M11" s="64">
        <v>60.71</v>
      </c>
      <c r="N11" s="64">
        <v>80</v>
      </c>
      <c r="O11" s="64">
        <v>0</v>
      </c>
      <c r="P11" s="64">
        <v>0.44</v>
      </c>
      <c r="Q11" s="64">
        <v>9.5</v>
      </c>
      <c r="R11" s="198"/>
      <c r="S11" s="198"/>
      <c r="T11" s="198"/>
      <c r="U11" s="198"/>
    </row>
    <row r="12" spans="1:21" s="12" customFormat="1" x14ac:dyDescent="0.25">
      <c r="A12" s="215" t="s">
        <v>2745</v>
      </c>
      <c r="B12" s="64">
        <v>1.43</v>
      </c>
      <c r="C12" s="64">
        <v>23.13</v>
      </c>
      <c r="D12" s="64">
        <v>42.08</v>
      </c>
      <c r="E12" s="64">
        <v>2.65</v>
      </c>
      <c r="F12" s="64">
        <v>7.81</v>
      </c>
      <c r="G12" s="64">
        <v>47.5</v>
      </c>
      <c r="H12" s="64">
        <v>14.76</v>
      </c>
      <c r="I12" s="64">
        <v>4.0599999999999996</v>
      </c>
      <c r="J12" s="64">
        <v>3.19</v>
      </c>
      <c r="K12" s="64">
        <v>181.95</v>
      </c>
      <c r="L12" s="64">
        <v>29.49</v>
      </c>
      <c r="M12" s="64">
        <v>63.07</v>
      </c>
      <c r="N12" s="64">
        <v>82.2</v>
      </c>
      <c r="O12" s="64">
        <v>0</v>
      </c>
      <c r="P12" s="64">
        <v>0.42</v>
      </c>
      <c r="Q12" s="64">
        <v>9.5</v>
      </c>
      <c r="R12" s="198"/>
      <c r="S12" s="198"/>
      <c r="T12" s="198"/>
      <c r="U12" s="198"/>
    </row>
    <row r="13" spans="1:21" s="12" customFormat="1" x14ac:dyDescent="0.25">
      <c r="A13" s="215" t="s">
        <v>2746</v>
      </c>
      <c r="B13" s="64">
        <v>1.44</v>
      </c>
      <c r="C13" s="64">
        <v>22.81</v>
      </c>
      <c r="D13" s="64">
        <v>41.45</v>
      </c>
      <c r="E13" s="64">
        <v>2.68</v>
      </c>
      <c r="F13" s="64">
        <v>7.84</v>
      </c>
      <c r="G13" s="64">
        <v>46.52</v>
      </c>
      <c r="H13" s="64">
        <v>13.71</v>
      </c>
      <c r="I13" s="64">
        <v>4.0199999999999996</v>
      </c>
      <c r="J13" s="64">
        <v>4.5199999999999996</v>
      </c>
      <c r="K13" s="64">
        <v>159.19</v>
      </c>
      <c r="L13" s="64">
        <v>29.02</v>
      </c>
      <c r="M13" s="64">
        <v>67.150000000000006</v>
      </c>
      <c r="N13" s="64">
        <v>84.8</v>
      </c>
      <c r="O13" s="64">
        <v>0</v>
      </c>
      <c r="P13" s="64">
        <v>0.38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5" t="s">
        <v>2747</v>
      </c>
      <c r="B14" s="64">
        <v>1.48</v>
      </c>
      <c r="C14" s="64">
        <v>22.91</v>
      </c>
      <c r="D14" s="64">
        <v>41.58</v>
      </c>
      <c r="E14" s="64">
        <v>3.01</v>
      </c>
      <c r="F14" s="64">
        <v>7.76</v>
      </c>
      <c r="G14" s="64">
        <v>46.52</v>
      </c>
      <c r="H14" s="64">
        <v>13.71</v>
      </c>
      <c r="I14" s="64">
        <v>4.0599999999999996</v>
      </c>
      <c r="J14" s="64">
        <v>4.45</v>
      </c>
      <c r="K14" s="64">
        <v>156.44999999999999</v>
      </c>
      <c r="L14" s="64">
        <v>28.54</v>
      </c>
      <c r="M14" s="64">
        <v>70.209999999999994</v>
      </c>
      <c r="N14" s="64">
        <v>84.7</v>
      </c>
      <c r="O14" s="64">
        <v>0</v>
      </c>
      <c r="P14" s="64">
        <v>0.38</v>
      </c>
      <c r="Q14" s="64">
        <v>9.4499999999999993</v>
      </c>
      <c r="R14" s="198"/>
      <c r="S14" s="198"/>
      <c r="T14" s="198"/>
      <c r="U14" s="198"/>
    </row>
    <row r="15" spans="1:21" s="12" customFormat="1" x14ac:dyDescent="0.25">
      <c r="A15" s="215" t="s">
        <v>2748</v>
      </c>
      <c r="B15" s="64">
        <v>1.56</v>
      </c>
      <c r="C15" s="64">
        <v>23.07</v>
      </c>
      <c r="D15" s="64">
        <v>41.77</v>
      </c>
      <c r="E15" s="64">
        <v>2.65</v>
      </c>
      <c r="F15" s="64">
        <v>6.7</v>
      </c>
      <c r="G15" s="64">
        <v>46.52</v>
      </c>
      <c r="H15" s="64">
        <v>13.71</v>
      </c>
      <c r="I15" s="64">
        <v>3.98</v>
      </c>
      <c r="J15" s="64">
        <v>4.45</v>
      </c>
      <c r="K15" s="64">
        <v>164.79</v>
      </c>
      <c r="L15" s="64">
        <v>28.22</v>
      </c>
      <c r="M15" s="64">
        <v>72.540000000000006</v>
      </c>
      <c r="N15" s="64">
        <v>85.6</v>
      </c>
      <c r="O15" s="64">
        <v>0</v>
      </c>
      <c r="P15" s="64">
        <v>0.36</v>
      </c>
      <c r="Q15" s="64">
        <v>9.4600000000000009</v>
      </c>
      <c r="R15" s="198"/>
      <c r="S15" s="198"/>
      <c r="T15" s="198"/>
      <c r="U15" s="198"/>
    </row>
    <row r="16" spans="1:21" s="12" customFormat="1" x14ac:dyDescent="0.25">
      <c r="A16" s="215" t="s">
        <v>2749</v>
      </c>
      <c r="B16" s="64">
        <v>1.68</v>
      </c>
      <c r="C16" s="64">
        <v>22.95</v>
      </c>
      <c r="D16" s="64">
        <v>41.34</v>
      </c>
      <c r="E16" s="64">
        <v>2.65</v>
      </c>
      <c r="F16" s="64">
        <v>6.43</v>
      </c>
      <c r="G16" s="64">
        <v>40.36</v>
      </c>
      <c r="H16" s="64">
        <v>14.3</v>
      </c>
      <c r="I16" s="64">
        <v>4.1500000000000004</v>
      </c>
      <c r="J16" s="64">
        <v>3.93</v>
      </c>
      <c r="K16" s="64">
        <v>149.5</v>
      </c>
      <c r="L16" s="64">
        <v>28.25</v>
      </c>
      <c r="M16" s="64">
        <v>71.73</v>
      </c>
      <c r="N16" s="64">
        <v>99.8</v>
      </c>
      <c r="O16" s="64">
        <v>0</v>
      </c>
      <c r="P16" s="64">
        <v>0.36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5" t="s">
        <v>2750</v>
      </c>
      <c r="B17" s="64">
        <v>1.84</v>
      </c>
      <c r="C17" s="64">
        <v>22.91</v>
      </c>
      <c r="D17" s="64">
        <v>41.03</v>
      </c>
      <c r="E17" s="64">
        <v>2.5099999999999998</v>
      </c>
      <c r="F17" s="64">
        <v>7.5</v>
      </c>
      <c r="G17" s="64">
        <v>38.6</v>
      </c>
      <c r="H17" s="64">
        <v>14.46</v>
      </c>
      <c r="I17" s="64">
        <v>4.0199999999999996</v>
      </c>
      <c r="J17" s="64">
        <v>3.8</v>
      </c>
      <c r="K17" s="64">
        <v>169.95</v>
      </c>
      <c r="L17" s="64">
        <v>28.34</v>
      </c>
      <c r="M17" s="64">
        <v>71.11</v>
      </c>
      <c r="N17" s="64">
        <v>107.3</v>
      </c>
      <c r="O17" s="64">
        <v>0</v>
      </c>
      <c r="P17" s="64">
        <v>0.34</v>
      </c>
      <c r="Q17" s="64">
        <v>9.4700000000000006</v>
      </c>
      <c r="R17" s="198"/>
      <c r="S17" s="198"/>
      <c r="T17" s="198"/>
      <c r="U17" s="198"/>
    </row>
    <row r="18" spans="1:21" s="12" customFormat="1" x14ac:dyDescent="0.25">
      <c r="A18" s="215" t="s">
        <v>2751</v>
      </c>
      <c r="B18" s="64">
        <v>2.02</v>
      </c>
      <c r="C18" s="64">
        <v>23.3</v>
      </c>
      <c r="D18" s="64">
        <v>41.5</v>
      </c>
      <c r="E18" s="64">
        <v>2.78</v>
      </c>
      <c r="F18" s="64">
        <v>6.54</v>
      </c>
      <c r="G18" s="64">
        <v>38.6</v>
      </c>
      <c r="H18" s="64">
        <v>14.46</v>
      </c>
      <c r="I18" s="64">
        <v>4.2</v>
      </c>
      <c r="J18" s="64">
        <v>2.67</v>
      </c>
      <c r="K18" s="64">
        <v>173.02</v>
      </c>
      <c r="L18" s="64">
        <v>28.23</v>
      </c>
      <c r="M18" s="64">
        <v>71.790000000000006</v>
      </c>
      <c r="N18" s="64">
        <v>106.8</v>
      </c>
      <c r="O18" s="64">
        <v>0</v>
      </c>
      <c r="P18" s="64">
        <v>0.35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5" t="s">
        <v>2752</v>
      </c>
      <c r="B19" s="64">
        <v>2.0099999999999998</v>
      </c>
      <c r="C19" s="64">
        <v>22.58</v>
      </c>
      <c r="D19" s="64">
        <v>40.119999999999997</v>
      </c>
      <c r="E19" s="64">
        <v>2.44</v>
      </c>
      <c r="F19" s="64">
        <v>7.38</v>
      </c>
      <c r="G19" s="64">
        <v>38.6</v>
      </c>
      <c r="H19" s="64">
        <v>14.46</v>
      </c>
      <c r="I19" s="64">
        <v>3.9</v>
      </c>
      <c r="J19" s="64">
        <v>1.5</v>
      </c>
      <c r="K19" s="64">
        <v>205.82</v>
      </c>
      <c r="L19" s="64">
        <v>27.87</v>
      </c>
      <c r="M19" s="64">
        <v>74.819999999999993</v>
      </c>
      <c r="N19" s="64">
        <v>111</v>
      </c>
      <c r="O19" s="64">
        <v>0</v>
      </c>
      <c r="P19" s="64">
        <v>0.33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5" t="s">
        <v>2753</v>
      </c>
      <c r="B20" s="64">
        <v>1.91</v>
      </c>
      <c r="C20" s="64">
        <v>22.65</v>
      </c>
      <c r="D20" s="64">
        <v>40.409999999999997</v>
      </c>
      <c r="E20" s="64">
        <v>3.1</v>
      </c>
      <c r="F20" s="64">
        <v>6.77</v>
      </c>
      <c r="G20" s="64">
        <v>35.76</v>
      </c>
      <c r="H20" s="64">
        <v>11.37</v>
      </c>
      <c r="I20" s="64">
        <v>4.12</v>
      </c>
      <c r="J20" s="64">
        <v>2.92</v>
      </c>
      <c r="K20" s="64">
        <v>166.25</v>
      </c>
      <c r="L20" s="64">
        <v>27.35</v>
      </c>
      <c r="M20" s="64">
        <v>79.150000000000006</v>
      </c>
      <c r="N20" s="64">
        <v>115.2</v>
      </c>
      <c r="O20" s="64">
        <v>0</v>
      </c>
      <c r="P20" s="64">
        <v>0.33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5" t="s">
        <v>2754</v>
      </c>
      <c r="B21" s="64">
        <v>1.83</v>
      </c>
      <c r="C21" s="64">
        <v>22.29</v>
      </c>
      <c r="D21" s="64">
        <v>39.85</v>
      </c>
      <c r="E21" s="64">
        <v>2.66</v>
      </c>
      <c r="F21" s="64">
        <v>7.62</v>
      </c>
      <c r="G21" s="64">
        <v>34.950000000000003</v>
      </c>
      <c r="H21" s="64">
        <v>10.49</v>
      </c>
      <c r="I21" s="64">
        <v>4.05</v>
      </c>
      <c r="J21" s="64">
        <v>1.08</v>
      </c>
      <c r="K21" s="64">
        <v>233.38</v>
      </c>
      <c r="L21" s="64">
        <v>27.46</v>
      </c>
      <c r="M21" s="64">
        <v>79.87</v>
      </c>
      <c r="N21" s="64">
        <v>111.4</v>
      </c>
      <c r="O21" s="64">
        <v>0</v>
      </c>
      <c r="P21" s="64">
        <v>0.33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5" t="s">
        <v>2755</v>
      </c>
      <c r="B22" s="64">
        <v>1.77</v>
      </c>
      <c r="C22" s="64">
        <v>22.12</v>
      </c>
      <c r="D22" s="64">
        <v>39.619999999999997</v>
      </c>
      <c r="E22" s="64">
        <v>2.4500000000000002</v>
      </c>
      <c r="F22" s="64">
        <v>6.87</v>
      </c>
      <c r="G22" s="64">
        <v>34.950000000000003</v>
      </c>
      <c r="H22" s="64">
        <v>10.49</v>
      </c>
      <c r="I22" s="64">
        <v>4.1100000000000003</v>
      </c>
      <c r="J22" s="64">
        <v>1.07</v>
      </c>
      <c r="K22" s="64">
        <v>265.14</v>
      </c>
      <c r="L22" s="64">
        <v>27.49</v>
      </c>
      <c r="M22" s="64">
        <v>79.430000000000007</v>
      </c>
      <c r="N22" s="64">
        <v>119.7</v>
      </c>
      <c r="O22" s="64">
        <v>0</v>
      </c>
      <c r="P22" s="64">
        <v>0.33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5" t="s">
        <v>2756</v>
      </c>
      <c r="B23" s="64">
        <v>1.71</v>
      </c>
      <c r="C23" s="64">
        <v>21.77</v>
      </c>
      <c r="D23" s="64">
        <v>39.04</v>
      </c>
      <c r="E23" s="64">
        <v>2.9</v>
      </c>
      <c r="F23" s="64">
        <v>6.79</v>
      </c>
      <c r="G23" s="64">
        <v>34.950000000000003</v>
      </c>
      <c r="H23" s="64">
        <v>10.49</v>
      </c>
      <c r="I23" s="64">
        <v>4.1100000000000003</v>
      </c>
      <c r="J23" s="64">
        <v>1.18</v>
      </c>
      <c r="K23" s="64">
        <v>242.62</v>
      </c>
      <c r="L23" s="64">
        <v>27.49</v>
      </c>
      <c r="M23" s="64">
        <v>77.09</v>
      </c>
      <c r="N23" s="64">
        <v>120.4</v>
      </c>
      <c r="O23" s="64">
        <v>0</v>
      </c>
      <c r="P23" s="64">
        <v>0.32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5" t="s">
        <v>2757</v>
      </c>
      <c r="B24" s="64">
        <v>1.62</v>
      </c>
      <c r="C24" s="64">
        <v>21.7</v>
      </c>
      <c r="D24" s="64">
        <v>39.04</v>
      </c>
      <c r="E24" s="64">
        <v>2.6</v>
      </c>
      <c r="F24" s="64">
        <v>6.76</v>
      </c>
      <c r="G24" s="64">
        <v>32.14</v>
      </c>
      <c r="H24" s="64">
        <v>11.83</v>
      </c>
      <c r="I24" s="64">
        <v>4.04</v>
      </c>
      <c r="J24" s="64">
        <v>1.43</v>
      </c>
      <c r="K24" s="64">
        <v>268.07</v>
      </c>
      <c r="L24" s="64">
        <v>27.34</v>
      </c>
      <c r="M24" s="64">
        <v>81.709999999999994</v>
      </c>
      <c r="N24" s="64">
        <v>121.7</v>
      </c>
      <c r="O24" s="64">
        <v>0.2</v>
      </c>
      <c r="P24" s="64">
        <v>0.32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5" t="s">
        <v>2758</v>
      </c>
      <c r="B25" s="64">
        <v>1.7</v>
      </c>
      <c r="C25" s="64">
        <v>21.52</v>
      </c>
      <c r="D25" s="64">
        <v>38.58</v>
      </c>
      <c r="E25" s="64">
        <v>2.56</v>
      </c>
      <c r="F25" s="64">
        <v>6.34</v>
      </c>
      <c r="G25" s="64">
        <v>31.34</v>
      </c>
      <c r="H25" s="64">
        <v>12.21</v>
      </c>
      <c r="I25" s="64">
        <v>4</v>
      </c>
      <c r="J25" s="64">
        <v>3.41</v>
      </c>
      <c r="K25" s="64">
        <v>163.72</v>
      </c>
      <c r="L25" s="64">
        <v>26.38</v>
      </c>
      <c r="M25" s="64">
        <v>87</v>
      </c>
      <c r="N25" s="64">
        <v>123.7</v>
      </c>
      <c r="O25" s="64">
        <v>0.2</v>
      </c>
      <c r="P25" s="64">
        <v>0.31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5" t="s">
        <v>2759</v>
      </c>
      <c r="B26" s="64">
        <v>1.71</v>
      </c>
      <c r="C26" s="64">
        <v>21.57</v>
      </c>
      <c r="D26" s="64">
        <v>38.659999999999997</v>
      </c>
      <c r="E26" s="64">
        <v>2.68</v>
      </c>
      <c r="F26" s="64">
        <v>6.45</v>
      </c>
      <c r="G26" s="64">
        <v>31.34</v>
      </c>
      <c r="H26" s="64">
        <v>12.21</v>
      </c>
      <c r="I26" s="64">
        <v>4.08</v>
      </c>
      <c r="J26" s="64">
        <v>4.2</v>
      </c>
      <c r="K26" s="64">
        <v>156.18</v>
      </c>
      <c r="L26" s="64">
        <v>26.08</v>
      </c>
      <c r="M26" s="64">
        <v>87.51</v>
      </c>
      <c r="N26" s="64">
        <v>122.2</v>
      </c>
      <c r="O26" s="64">
        <v>0</v>
      </c>
      <c r="P26" s="64">
        <v>0.31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15" t="s">
        <v>2760</v>
      </c>
      <c r="B27" s="64">
        <v>1.68</v>
      </c>
      <c r="C27" s="64">
        <v>21.48</v>
      </c>
      <c r="D27" s="64">
        <v>38.53</v>
      </c>
      <c r="E27" s="64">
        <v>2.5</v>
      </c>
      <c r="F27" s="64">
        <v>6.64</v>
      </c>
      <c r="G27" s="64">
        <v>31.34</v>
      </c>
      <c r="H27" s="64">
        <v>12.21</v>
      </c>
      <c r="I27" s="64">
        <v>4.1100000000000003</v>
      </c>
      <c r="J27" s="64">
        <v>3.76</v>
      </c>
      <c r="K27" s="64">
        <v>154.78</v>
      </c>
      <c r="L27" s="64">
        <v>26.33</v>
      </c>
      <c r="M27" s="64">
        <v>85.28</v>
      </c>
      <c r="N27" s="64">
        <v>122.1</v>
      </c>
      <c r="O27" s="64">
        <v>0</v>
      </c>
      <c r="P27" s="64">
        <v>0.3</v>
      </c>
      <c r="Q27" s="64">
        <v>9.4600000000000009</v>
      </c>
      <c r="R27" s="198"/>
      <c r="S27" s="198"/>
      <c r="T27" s="198"/>
      <c r="U27" s="198"/>
    </row>
    <row r="28" spans="1:21" s="12" customFormat="1" x14ac:dyDescent="0.25">
      <c r="A28" s="215" t="s">
        <v>2761</v>
      </c>
      <c r="B28" s="64">
        <v>1.7</v>
      </c>
      <c r="C28" s="64">
        <v>21.75</v>
      </c>
      <c r="D28" s="64">
        <v>39.020000000000003</v>
      </c>
      <c r="E28" s="64">
        <v>2.73</v>
      </c>
      <c r="F28" s="64">
        <v>6.57</v>
      </c>
      <c r="G28" s="64">
        <v>29.51</v>
      </c>
      <c r="H28" s="64">
        <v>8.6999999999999993</v>
      </c>
      <c r="I28" s="64">
        <v>4.01</v>
      </c>
      <c r="J28" s="64">
        <v>3.65</v>
      </c>
      <c r="K28" s="64">
        <v>159.54</v>
      </c>
      <c r="L28" s="64">
        <v>26.75</v>
      </c>
      <c r="M28" s="64">
        <v>79.88</v>
      </c>
      <c r="N28" s="64">
        <v>122</v>
      </c>
      <c r="O28" s="64">
        <v>0</v>
      </c>
      <c r="P28" s="64">
        <v>0.3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5" t="s">
        <v>2762</v>
      </c>
      <c r="B29" s="64">
        <v>1.75</v>
      </c>
      <c r="C29" s="64">
        <v>21.96</v>
      </c>
      <c r="D29" s="64">
        <v>39.35</v>
      </c>
      <c r="E29" s="64">
        <v>2.61</v>
      </c>
      <c r="F29" s="64">
        <v>6.68</v>
      </c>
      <c r="G29" s="64">
        <v>28.99</v>
      </c>
      <c r="H29" s="64">
        <v>7.69</v>
      </c>
      <c r="I29" s="64">
        <v>4.04</v>
      </c>
      <c r="J29" s="64">
        <v>3.33</v>
      </c>
      <c r="K29" s="64">
        <v>167.36</v>
      </c>
      <c r="L29" s="64">
        <v>27.01</v>
      </c>
      <c r="M29" s="64">
        <v>76.77</v>
      </c>
      <c r="N29" s="64">
        <v>128.1</v>
      </c>
      <c r="O29" s="64">
        <v>0</v>
      </c>
      <c r="P29" s="64">
        <v>0.3</v>
      </c>
      <c r="Q29" s="64">
        <v>9.4499999999999993</v>
      </c>
      <c r="R29" s="198"/>
      <c r="S29" s="198"/>
      <c r="T29" s="198"/>
      <c r="U29" s="198"/>
    </row>
    <row r="30" spans="1:21" s="12" customFormat="1" x14ac:dyDescent="0.25">
      <c r="A30" s="215" t="s">
        <v>2763</v>
      </c>
      <c r="B30" s="64">
        <v>1.74</v>
      </c>
      <c r="C30" s="64">
        <v>20.76</v>
      </c>
      <c r="D30" s="64">
        <v>37.07</v>
      </c>
      <c r="E30" s="64">
        <v>2.62</v>
      </c>
      <c r="F30" s="64">
        <v>6.16</v>
      </c>
      <c r="G30" s="64">
        <v>28.99</v>
      </c>
      <c r="H30" s="64">
        <v>7.69</v>
      </c>
      <c r="I30" s="64">
        <v>3.82</v>
      </c>
      <c r="J30" s="64">
        <v>3.38</v>
      </c>
      <c r="K30" s="64">
        <v>163.51</v>
      </c>
      <c r="L30" s="64">
        <v>27.11</v>
      </c>
      <c r="M30" s="64">
        <v>74.53</v>
      </c>
      <c r="N30" s="64">
        <v>136.4</v>
      </c>
      <c r="O30" s="64">
        <v>0</v>
      </c>
      <c r="P30" s="64">
        <v>0.28999999999999998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5" t="s">
        <v>2764</v>
      </c>
      <c r="B31" s="64">
        <v>1.75</v>
      </c>
      <c r="C31" s="64">
        <v>21.33</v>
      </c>
      <c r="D31" s="64">
        <v>38.130000000000003</v>
      </c>
      <c r="E31" s="64">
        <v>2.35</v>
      </c>
      <c r="F31" s="64">
        <v>6.87</v>
      </c>
      <c r="G31" s="64">
        <v>28.99</v>
      </c>
      <c r="H31" s="64">
        <v>7.69</v>
      </c>
      <c r="I31" s="64">
        <v>3.97</v>
      </c>
      <c r="J31" s="64">
        <v>3.1</v>
      </c>
      <c r="K31" s="64">
        <v>160.88999999999999</v>
      </c>
      <c r="L31" s="64">
        <v>27.14</v>
      </c>
      <c r="M31" s="64">
        <v>73.5</v>
      </c>
      <c r="N31" s="64">
        <v>130.9</v>
      </c>
      <c r="O31" s="64">
        <v>0</v>
      </c>
      <c r="P31" s="64">
        <v>0.28000000000000003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5" t="s">
        <v>2765</v>
      </c>
      <c r="B32" s="64">
        <v>1.84</v>
      </c>
      <c r="C32" s="64">
        <v>22.07</v>
      </c>
      <c r="D32" s="64">
        <v>39.409999999999997</v>
      </c>
      <c r="E32" s="64">
        <v>2.6</v>
      </c>
      <c r="F32" s="64">
        <v>7.03</v>
      </c>
      <c r="G32" s="64">
        <v>24.45</v>
      </c>
      <c r="H32" s="64">
        <v>7.82</v>
      </c>
      <c r="I32" s="64">
        <v>4</v>
      </c>
      <c r="J32" s="64">
        <v>2.96</v>
      </c>
      <c r="K32" s="64">
        <v>156.54</v>
      </c>
      <c r="L32" s="64">
        <v>27.29</v>
      </c>
      <c r="M32" s="64">
        <v>71.34</v>
      </c>
      <c r="N32" s="64">
        <v>124.9</v>
      </c>
      <c r="O32" s="64">
        <v>0</v>
      </c>
      <c r="P32" s="64">
        <v>0.28000000000000003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5" t="s">
        <v>2766</v>
      </c>
      <c r="B33" s="64">
        <v>1.95</v>
      </c>
      <c r="C33" s="64">
        <v>22.48</v>
      </c>
      <c r="D33" s="64">
        <v>40.04</v>
      </c>
      <c r="E33" s="64">
        <v>2.34</v>
      </c>
      <c r="F33" s="64">
        <v>7.35</v>
      </c>
      <c r="G33" s="64">
        <v>23.15</v>
      </c>
      <c r="H33" s="64">
        <v>7.85</v>
      </c>
      <c r="I33" s="64">
        <v>3.92</v>
      </c>
      <c r="J33" s="64">
        <v>2.81</v>
      </c>
      <c r="K33" s="64">
        <v>162.13999999999999</v>
      </c>
      <c r="L33" s="64">
        <v>27.23</v>
      </c>
      <c r="M33" s="64">
        <v>72.209999999999994</v>
      </c>
      <c r="N33" s="64">
        <v>128.9</v>
      </c>
      <c r="O33" s="64">
        <v>0</v>
      </c>
      <c r="P33" s="64">
        <v>0.28000000000000003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5" t="s">
        <v>2767</v>
      </c>
      <c r="B34" s="64">
        <v>2.04</v>
      </c>
      <c r="C34" s="64">
        <v>23.01</v>
      </c>
      <c r="D34" s="64">
        <v>40.9</v>
      </c>
      <c r="E34" s="64">
        <v>2.08</v>
      </c>
      <c r="F34" s="64">
        <v>6.56</v>
      </c>
      <c r="G34" s="64">
        <v>23.15</v>
      </c>
      <c r="H34" s="64">
        <v>7.85</v>
      </c>
      <c r="I34" s="64">
        <v>3.97</v>
      </c>
      <c r="J34" s="64">
        <v>3.16</v>
      </c>
      <c r="K34" s="64">
        <v>160</v>
      </c>
      <c r="L34" s="64">
        <v>27.07</v>
      </c>
      <c r="M34" s="64">
        <v>73.760000000000005</v>
      </c>
      <c r="N34" s="64">
        <v>137.30000000000001</v>
      </c>
      <c r="O34" s="64">
        <v>0</v>
      </c>
      <c r="P34" s="64">
        <v>0.28000000000000003</v>
      </c>
      <c r="Q34" s="64">
        <v>9.4</v>
      </c>
      <c r="R34" s="198"/>
      <c r="S34" s="198"/>
      <c r="T34" s="198"/>
      <c r="U34" s="198"/>
    </row>
    <row r="35" spans="1:21" s="12" customFormat="1" x14ac:dyDescent="0.25">
      <c r="A35" s="215" t="s">
        <v>2768</v>
      </c>
      <c r="B35" s="64">
        <v>2.13</v>
      </c>
      <c r="C35" s="64">
        <v>23.58</v>
      </c>
      <c r="D35" s="64">
        <v>41.86</v>
      </c>
      <c r="E35" s="64">
        <v>2.54</v>
      </c>
      <c r="F35" s="64">
        <v>6.83</v>
      </c>
      <c r="G35" s="64">
        <v>23.15</v>
      </c>
      <c r="H35" s="64">
        <v>7.85</v>
      </c>
      <c r="I35" s="64">
        <v>3.79</v>
      </c>
      <c r="J35" s="64">
        <v>2.83</v>
      </c>
      <c r="K35" s="64">
        <v>159.69999999999999</v>
      </c>
      <c r="L35" s="64">
        <v>26.93</v>
      </c>
      <c r="M35" s="64">
        <v>74.84</v>
      </c>
      <c r="N35" s="64">
        <v>146.69999999999999</v>
      </c>
      <c r="O35" s="64">
        <v>0</v>
      </c>
      <c r="P35" s="64">
        <v>0.28000000000000003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5" t="s">
        <v>2769</v>
      </c>
      <c r="B36" s="64">
        <v>2.21</v>
      </c>
      <c r="C36" s="64">
        <v>23.66</v>
      </c>
      <c r="D36" s="64">
        <v>41.88</v>
      </c>
      <c r="E36" s="64">
        <v>2.83</v>
      </c>
      <c r="F36" s="64">
        <v>6.19</v>
      </c>
      <c r="G36" s="64">
        <v>21.13</v>
      </c>
      <c r="H36" s="64">
        <v>9.92</v>
      </c>
      <c r="I36" s="64">
        <v>3.82</v>
      </c>
      <c r="J36" s="64">
        <v>2.2200000000000002</v>
      </c>
      <c r="K36" s="64">
        <v>159.41999999999999</v>
      </c>
      <c r="L36" s="64">
        <v>26.79</v>
      </c>
      <c r="M36" s="64">
        <v>75.69</v>
      </c>
      <c r="N36" s="64">
        <v>149.69999999999999</v>
      </c>
      <c r="O36" s="64">
        <v>0</v>
      </c>
      <c r="P36" s="64">
        <v>0.28000000000000003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5" t="s">
        <v>2770</v>
      </c>
      <c r="B37" s="64">
        <v>2.4</v>
      </c>
      <c r="C37" s="64">
        <v>24.2</v>
      </c>
      <c r="D37" s="64">
        <v>42.63</v>
      </c>
      <c r="E37" s="64">
        <v>2.56</v>
      </c>
      <c r="F37" s="64">
        <v>5.63</v>
      </c>
      <c r="G37" s="64">
        <v>20.55</v>
      </c>
      <c r="H37" s="64">
        <v>10.5</v>
      </c>
      <c r="I37" s="64">
        <v>4.13</v>
      </c>
      <c r="J37" s="64">
        <v>2.2599999999999998</v>
      </c>
      <c r="K37" s="64">
        <v>182.96</v>
      </c>
      <c r="L37" s="64">
        <v>26.83</v>
      </c>
      <c r="M37" s="64">
        <v>75.77</v>
      </c>
      <c r="N37" s="64">
        <v>163.5</v>
      </c>
      <c r="O37" s="64">
        <v>0</v>
      </c>
      <c r="P37" s="64">
        <v>0.3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5" t="s">
        <v>2771</v>
      </c>
      <c r="B38" s="64">
        <v>2.56</v>
      </c>
      <c r="C38" s="64">
        <v>25.64</v>
      </c>
      <c r="D38" s="64">
        <v>45.15</v>
      </c>
      <c r="E38" s="64">
        <v>2.98</v>
      </c>
      <c r="F38" s="64">
        <v>5.89</v>
      </c>
      <c r="G38" s="64">
        <v>20.55</v>
      </c>
      <c r="H38" s="64">
        <v>10.5</v>
      </c>
      <c r="I38" s="64">
        <v>4.12</v>
      </c>
      <c r="J38" s="64">
        <v>2.5099999999999998</v>
      </c>
      <c r="K38" s="64">
        <v>156.08000000000001</v>
      </c>
      <c r="L38" s="64">
        <v>27.02</v>
      </c>
      <c r="M38" s="64">
        <v>74.989999999999995</v>
      </c>
      <c r="N38" s="64">
        <v>244.9</v>
      </c>
      <c r="O38" s="64">
        <v>0</v>
      </c>
      <c r="P38" s="64">
        <v>0.33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5" t="s">
        <v>2772</v>
      </c>
      <c r="B39" s="64">
        <v>2.68</v>
      </c>
      <c r="C39" s="64">
        <v>25.54</v>
      </c>
      <c r="D39" s="64">
        <v>44.77</v>
      </c>
      <c r="E39" s="64">
        <v>2.69</v>
      </c>
      <c r="F39" s="64">
        <v>6.41</v>
      </c>
      <c r="G39" s="64">
        <v>20.55</v>
      </c>
      <c r="H39" s="64">
        <v>10.5</v>
      </c>
      <c r="I39" s="64">
        <v>4.1100000000000003</v>
      </c>
      <c r="J39" s="64">
        <v>1.38</v>
      </c>
      <c r="K39" s="64">
        <v>152.97999999999999</v>
      </c>
      <c r="L39" s="64">
        <v>27.41</v>
      </c>
      <c r="M39" s="64">
        <v>73.44</v>
      </c>
      <c r="N39" s="64">
        <v>272.5</v>
      </c>
      <c r="O39" s="64">
        <v>0</v>
      </c>
      <c r="P39" s="64">
        <v>0.34</v>
      </c>
      <c r="Q39" s="64">
        <v>9.4499999999999993</v>
      </c>
      <c r="R39" s="198"/>
      <c r="S39" s="198"/>
      <c r="T39" s="198"/>
      <c r="U39" s="198"/>
    </row>
    <row r="40" spans="1:21" s="12" customFormat="1" x14ac:dyDescent="0.25">
      <c r="A40" s="215" t="s">
        <v>2773</v>
      </c>
      <c r="B40" s="64">
        <v>2.82</v>
      </c>
      <c r="C40" s="64">
        <v>25.01</v>
      </c>
      <c r="D40" s="64">
        <v>43.55</v>
      </c>
      <c r="E40" s="64">
        <v>3.04</v>
      </c>
      <c r="F40" s="64">
        <v>6.21</v>
      </c>
      <c r="G40" s="64">
        <v>19.78</v>
      </c>
      <c r="H40" s="64">
        <v>9.24</v>
      </c>
      <c r="I40" s="64">
        <v>3.95</v>
      </c>
      <c r="J40" s="64">
        <v>1.29</v>
      </c>
      <c r="K40" s="64">
        <v>289</v>
      </c>
      <c r="L40" s="64">
        <v>28.56</v>
      </c>
      <c r="M40" s="64">
        <v>69.92</v>
      </c>
      <c r="N40" s="64">
        <v>410.6</v>
      </c>
      <c r="O40" s="64">
        <v>0</v>
      </c>
      <c r="P40" s="64">
        <v>0.34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5" t="s">
        <v>2774</v>
      </c>
      <c r="B41" s="64">
        <v>4</v>
      </c>
      <c r="C41" s="64">
        <v>26.82</v>
      </c>
      <c r="D41" s="64">
        <v>45.2</v>
      </c>
      <c r="E41" s="64">
        <v>1.81</v>
      </c>
      <c r="F41" s="64">
        <v>5.88</v>
      </c>
      <c r="G41" s="64">
        <v>19.559999999999999</v>
      </c>
      <c r="H41" s="64">
        <v>8.8800000000000008</v>
      </c>
      <c r="I41" s="64">
        <v>4.0999999999999996</v>
      </c>
      <c r="J41" s="64">
        <v>0.87</v>
      </c>
      <c r="K41" s="64">
        <v>206.01</v>
      </c>
      <c r="L41" s="64">
        <v>31.25</v>
      </c>
      <c r="M41" s="64">
        <v>57.74</v>
      </c>
      <c r="N41" s="64">
        <v>436</v>
      </c>
      <c r="O41" s="64">
        <v>0</v>
      </c>
      <c r="P41" s="64">
        <v>0.36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5" t="s">
        <v>2775</v>
      </c>
      <c r="B42" s="64">
        <v>3.5</v>
      </c>
      <c r="C42" s="64">
        <v>26.22</v>
      </c>
      <c r="D42" s="64">
        <v>44.81</v>
      </c>
      <c r="E42" s="64">
        <v>2</v>
      </c>
      <c r="F42" s="64">
        <v>6.27</v>
      </c>
      <c r="G42" s="64">
        <v>19.559999999999999</v>
      </c>
      <c r="H42" s="64">
        <v>8.8800000000000008</v>
      </c>
      <c r="I42" s="64">
        <v>3.92</v>
      </c>
      <c r="J42" s="64">
        <v>2.0299999999999998</v>
      </c>
      <c r="K42" s="64">
        <v>174.16</v>
      </c>
      <c r="L42" s="64">
        <v>29.29</v>
      </c>
      <c r="M42" s="64">
        <v>63.64</v>
      </c>
      <c r="N42" s="64">
        <v>243.3</v>
      </c>
      <c r="O42" s="64">
        <v>0</v>
      </c>
      <c r="P42" s="64">
        <v>0.36</v>
      </c>
      <c r="Q42" s="64">
        <v>9.5</v>
      </c>
      <c r="R42" s="198"/>
      <c r="S42" s="198"/>
      <c r="T42" s="198"/>
      <c r="U42" s="198"/>
    </row>
    <row r="43" spans="1:21" s="12" customFormat="1" x14ac:dyDescent="0.25">
      <c r="A43" s="215" t="s">
        <v>2776</v>
      </c>
      <c r="B43" s="64">
        <v>3.3</v>
      </c>
      <c r="C43" s="64">
        <v>25.81</v>
      </c>
      <c r="D43" s="64">
        <v>44.34</v>
      </c>
      <c r="E43" s="64">
        <v>1.58</v>
      </c>
      <c r="F43" s="64">
        <v>5.89</v>
      </c>
      <c r="G43" s="64">
        <v>19.559999999999999</v>
      </c>
      <c r="H43" s="64">
        <v>8.8800000000000008</v>
      </c>
      <c r="I43" s="64">
        <v>4</v>
      </c>
      <c r="J43" s="64">
        <v>2.04</v>
      </c>
      <c r="K43" s="64">
        <v>175.38</v>
      </c>
      <c r="L43" s="64">
        <v>29.06</v>
      </c>
      <c r="M43" s="64">
        <v>64.64</v>
      </c>
      <c r="N43" s="64">
        <v>345.9</v>
      </c>
      <c r="O43" s="64">
        <v>0</v>
      </c>
      <c r="P43" s="64">
        <v>0.36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5" t="s">
        <v>2777</v>
      </c>
      <c r="B44" s="64">
        <v>3.12</v>
      </c>
      <c r="C44" s="64">
        <v>26.15</v>
      </c>
      <c r="D44" s="64">
        <v>45.26</v>
      </c>
      <c r="E44" s="64">
        <v>1.85</v>
      </c>
      <c r="F44" s="64">
        <v>5.92</v>
      </c>
      <c r="G44" s="64">
        <v>21.22</v>
      </c>
      <c r="H44" s="64">
        <v>19.489999999999998</v>
      </c>
      <c r="I44" s="64">
        <v>3.86</v>
      </c>
      <c r="J44" s="64">
        <v>1.4</v>
      </c>
      <c r="K44" s="64">
        <v>225.4</v>
      </c>
      <c r="L44" s="64">
        <v>29.5</v>
      </c>
      <c r="M44" s="64">
        <v>63.98</v>
      </c>
      <c r="N44" s="64">
        <v>343.3</v>
      </c>
      <c r="O44" s="64">
        <v>0</v>
      </c>
      <c r="P44" s="64">
        <v>0.36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5" t="s">
        <v>2778</v>
      </c>
      <c r="B45" s="64">
        <v>2.97</v>
      </c>
      <c r="C45" s="64">
        <v>25.66</v>
      </c>
      <c r="D45" s="64">
        <v>44.55</v>
      </c>
      <c r="E45" s="64">
        <v>2.13</v>
      </c>
      <c r="F45" s="64">
        <v>6.01</v>
      </c>
      <c r="G45" s="64">
        <v>21.69</v>
      </c>
      <c r="H45" s="64">
        <v>22.52</v>
      </c>
      <c r="I45" s="64">
        <v>3.96</v>
      </c>
      <c r="J45" s="64">
        <v>1.41</v>
      </c>
      <c r="K45" s="64">
        <v>195.84</v>
      </c>
      <c r="L45" s="64">
        <v>29.92</v>
      </c>
      <c r="M45" s="64">
        <v>61.15</v>
      </c>
      <c r="N45" s="64">
        <v>442.6</v>
      </c>
      <c r="O45" s="64">
        <v>0</v>
      </c>
      <c r="P45" s="64">
        <v>0.36</v>
      </c>
      <c r="Q45" s="64">
        <v>9.51</v>
      </c>
      <c r="R45" s="198"/>
      <c r="S45" s="198"/>
      <c r="T45" s="198"/>
      <c r="U45" s="198"/>
    </row>
    <row r="46" spans="1:21" s="12" customFormat="1" x14ac:dyDescent="0.25">
      <c r="A46" s="215" t="s">
        <v>2779</v>
      </c>
      <c r="B46" s="64">
        <v>2.78</v>
      </c>
      <c r="C46" s="64">
        <v>25.58</v>
      </c>
      <c r="D46" s="64">
        <v>44.69</v>
      </c>
      <c r="E46" s="64">
        <v>2.21</v>
      </c>
      <c r="F46" s="64">
        <v>6.67</v>
      </c>
      <c r="G46" s="64">
        <v>21.69</v>
      </c>
      <c r="H46" s="64">
        <v>22.52</v>
      </c>
      <c r="I46" s="64">
        <v>3.96</v>
      </c>
      <c r="J46" s="64">
        <v>1.22</v>
      </c>
      <c r="K46" s="64">
        <v>198.62</v>
      </c>
      <c r="L46" s="64">
        <v>30.22</v>
      </c>
      <c r="M46" s="64">
        <v>59.32</v>
      </c>
      <c r="N46" s="64">
        <v>279.39999999999998</v>
      </c>
      <c r="O46" s="64">
        <v>0</v>
      </c>
      <c r="P46" s="64">
        <v>0.36</v>
      </c>
      <c r="Q46" s="64">
        <v>9.5</v>
      </c>
      <c r="R46" s="198"/>
      <c r="S46" s="198"/>
      <c r="T46" s="198"/>
      <c r="U46" s="198"/>
    </row>
    <row r="47" spans="1:21" s="12" customFormat="1" x14ac:dyDescent="0.25">
      <c r="A47" s="215" t="s">
        <v>2780</v>
      </c>
      <c r="B47" s="64">
        <v>2.54</v>
      </c>
      <c r="C47" s="64">
        <v>24.88</v>
      </c>
      <c r="D47" s="64">
        <v>43.71</v>
      </c>
      <c r="E47" s="64">
        <v>2.0499999999999998</v>
      </c>
      <c r="F47" s="64">
        <v>11.31</v>
      </c>
      <c r="G47" s="64">
        <v>21.69</v>
      </c>
      <c r="H47" s="64">
        <v>22.52</v>
      </c>
      <c r="I47" s="64">
        <v>4.09</v>
      </c>
      <c r="J47" s="64">
        <v>1.4</v>
      </c>
      <c r="K47" s="64">
        <v>159.46</v>
      </c>
      <c r="L47" s="64">
        <v>30.3</v>
      </c>
      <c r="M47" s="64">
        <v>58.41</v>
      </c>
      <c r="N47" s="64">
        <v>323.5</v>
      </c>
      <c r="O47" s="64">
        <v>0</v>
      </c>
      <c r="P47" s="64">
        <v>0.35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15" t="s">
        <v>2781</v>
      </c>
      <c r="B48" s="64">
        <v>5.13</v>
      </c>
      <c r="C48" s="64">
        <v>26.33</v>
      </c>
      <c r="D48" s="64">
        <v>42.52</v>
      </c>
      <c r="E48" s="64">
        <v>2.12</v>
      </c>
      <c r="F48" s="64">
        <v>12.67</v>
      </c>
      <c r="G48" s="64">
        <v>18.100000000000001</v>
      </c>
      <c r="H48" s="64">
        <v>19.68</v>
      </c>
      <c r="I48" s="64">
        <v>3.83</v>
      </c>
      <c r="J48" s="64">
        <v>0.96</v>
      </c>
      <c r="K48" s="64">
        <v>257.76</v>
      </c>
      <c r="L48" s="64">
        <v>31.95</v>
      </c>
      <c r="M48" s="64">
        <v>54.83</v>
      </c>
      <c r="N48" s="64">
        <v>699.2</v>
      </c>
      <c r="O48" s="64">
        <v>0</v>
      </c>
      <c r="P48" s="64">
        <v>0.38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5" t="s">
        <v>2782</v>
      </c>
      <c r="B49" s="64">
        <v>5.43</v>
      </c>
      <c r="C49" s="64">
        <v>28.26</v>
      </c>
      <c r="D49" s="64">
        <v>45.75</v>
      </c>
      <c r="E49" s="64">
        <v>2.31</v>
      </c>
      <c r="F49" s="64">
        <v>9.51</v>
      </c>
      <c r="G49" s="64">
        <v>17.07</v>
      </c>
      <c r="H49" s="64">
        <v>18.87</v>
      </c>
      <c r="I49" s="64">
        <v>3.85</v>
      </c>
      <c r="J49" s="64">
        <v>1.76</v>
      </c>
      <c r="K49" s="64">
        <v>266.83999999999997</v>
      </c>
      <c r="L49" s="64">
        <v>35.200000000000003</v>
      </c>
      <c r="M49" s="64">
        <v>45.43</v>
      </c>
      <c r="N49" s="64">
        <v>935.4</v>
      </c>
      <c r="O49" s="64">
        <v>0</v>
      </c>
      <c r="P49" s="64">
        <v>0.41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5" t="s">
        <v>2783</v>
      </c>
      <c r="B50" s="64">
        <v>5.66</v>
      </c>
      <c r="C50" s="64">
        <v>29.71</v>
      </c>
      <c r="D50" s="64">
        <v>48.17</v>
      </c>
      <c r="E50" s="64">
        <v>2.62</v>
      </c>
      <c r="F50" s="64">
        <v>10.43</v>
      </c>
      <c r="G50" s="64">
        <v>17.07</v>
      </c>
      <c r="H50" s="64">
        <v>18.87</v>
      </c>
      <c r="I50" s="64">
        <v>4.0199999999999996</v>
      </c>
      <c r="J50" s="64">
        <v>1.37</v>
      </c>
      <c r="K50" s="64">
        <v>283.20999999999998</v>
      </c>
      <c r="L50" s="64">
        <v>36.72</v>
      </c>
      <c r="M50" s="64">
        <v>40.65</v>
      </c>
      <c r="N50" s="64">
        <v>962.1</v>
      </c>
      <c r="O50" s="64">
        <v>0</v>
      </c>
      <c r="P50" s="64">
        <v>0.43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5" t="s">
        <v>2784</v>
      </c>
      <c r="B51" s="64">
        <v>4.88</v>
      </c>
      <c r="C51" s="64">
        <v>29.37</v>
      </c>
      <c r="D51" s="64">
        <v>48.72</v>
      </c>
      <c r="E51" s="64">
        <v>2.35</v>
      </c>
      <c r="F51" s="64">
        <v>8.83</v>
      </c>
      <c r="G51" s="64">
        <v>17.07</v>
      </c>
      <c r="H51" s="64">
        <v>18.87</v>
      </c>
      <c r="I51" s="64">
        <v>3.98</v>
      </c>
      <c r="J51" s="64">
        <v>1.42</v>
      </c>
      <c r="K51" s="64">
        <v>290.92</v>
      </c>
      <c r="L51" s="64">
        <v>37.799999999999997</v>
      </c>
      <c r="M51" s="64">
        <v>37.380000000000003</v>
      </c>
      <c r="N51" s="64">
        <v>972.9</v>
      </c>
      <c r="O51" s="64">
        <v>0</v>
      </c>
      <c r="P51" s="64">
        <v>0.44</v>
      </c>
      <c r="Q51" s="64">
        <v>9.4700000000000006</v>
      </c>
      <c r="R51" s="198"/>
      <c r="S51" s="198"/>
      <c r="T51" s="198"/>
      <c r="U51" s="198"/>
    </row>
    <row r="52" spans="1:21" s="12" customFormat="1" x14ac:dyDescent="0.25">
      <c r="A52" s="215" t="s">
        <v>2785</v>
      </c>
      <c r="B52" s="64">
        <v>3.88</v>
      </c>
      <c r="C52" s="64">
        <v>28.22</v>
      </c>
      <c r="D52" s="64">
        <v>48.06</v>
      </c>
      <c r="E52" s="64">
        <v>2.65</v>
      </c>
      <c r="F52" s="64">
        <v>8.17</v>
      </c>
      <c r="G52" s="64">
        <v>22.96</v>
      </c>
      <c r="H52" s="64">
        <v>18.079999999999998</v>
      </c>
      <c r="I52" s="64">
        <v>4.1399999999999997</v>
      </c>
      <c r="J52" s="64">
        <v>1.32</v>
      </c>
      <c r="K52" s="64">
        <v>240.44</v>
      </c>
      <c r="L52" s="64">
        <v>37.15</v>
      </c>
      <c r="M52" s="64">
        <v>38.08</v>
      </c>
      <c r="N52" s="64">
        <v>1003.2</v>
      </c>
      <c r="O52" s="64">
        <v>0</v>
      </c>
      <c r="P52" s="64">
        <v>0.42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5" t="s">
        <v>2786</v>
      </c>
      <c r="B53" s="64">
        <v>3.91</v>
      </c>
      <c r="C53" s="64">
        <v>28.38</v>
      </c>
      <c r="D53" s="64">
        <v>48.33</v>
      </c>
      <c r="E53" s="64">
        <v>2.79</v>
      </c>
      <c r="F53" s="64">
        <v>8.24</v>
      </c>
      <c r="G53" s="64">
        <v>24.65</v>
      </c>
      <c r="H53" s="64">
        <v>17.850000000000001</v>
      </c>
      <c r="I53" s="64">
        <v>3.96</v>
      </c>
      <c r="J53" s="64">
        <v>1.51</v>
      </c>
      <c r="K53" s="64">
        <v>280.22000000000003</v>
      </c>
      <c r="L53" s="64">
        <v>38.46</v>
      </c>
      <c r="M53" s="64">
        <v>35.93</v>
      </c>
      <c r="N53" s="64">
        <v>1016.2</v>
      </c>
      <c r="O53" s="64">
        <v>0</v>
      </c>
      <c r="P53" s="64">
        <v>0.44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5" t="s">
        <v>2787</v>
      </c>
      <c r="B54" s="64">
        <v>3.64</v>
      </c>
      <c r="C54" s="64">
        <v>27.21</v>
      </c>
      <c r="D54" s="64">
        <v>46.49</v>
      </c>
      <c r="E54" s="64">
        <v>2.2599999999999998</v>
      </c>
      <c r="F54" s="64">
        <v>8.74</v>
      </c>
      <c r="G54" s="64">
        <v>24.65</v>
      </c>
      <c r="H54" s="64">
        <v>17.850000000000001</v>
      </c>
      <c r="I54" s="64">
        <v>4.04</v>
      </c>
      <c r="J54" s="64">
        <v>1.32</v>
      </c>
      <c r="K54" s="64">
        <v>244.41</v>
      </c>
      <c r="L54" s="64">
        <v>37.75</v>
      </c>
      <c r="M54" s="64">
        <v>36.53</v>
      </c>
      <c r="N54" s="64">
        <v>1028.8</v>
      </c>
      <c r="O54" s="64">
        <v>0</v>
      </c>
      <c r="P54" s="64">
        <v>0.43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5" t="s">
        <v>2788</v>
      </c>
      <c r="B55" s="64">
        <v>3.1</v>
      </c>
      <c r="C55" s="64">
        <v>28.17</v>
      </c>
      <c r="D55" s="64">
        <v>49.18</v>
      </c>
      <c r="E55" s="64">
        <v>2.2400000000000002</v>
      </c>
      <c r="F55" s="64">
        <v>7.08</v>
      </c>
      <c r="G55" s="64">
        <v>24.65</v>
      </c>
      <c r="H55" s="64">
        <v>17.850000000000001</v>
      </c>
      <c r="I55" s="64">
        <v>4</v>
      </c>
      <c r="J55" s="64">
        <v>2.13</v>
      </c>
      <c r="K55" s="64">
        <v>275.83999999999997</v>
      </c>
      <c r="L55" s="64">
        <v>38.700000000000003</v>
      </c>
      <c r="M55" s="64">
        <v>35.31</v>
      </c>
      <c r="N55" s="64">
        <v>1035.4000000000001</v>
      </c>
      <c r="O55" s="64">
        <v>0</v>
      </c>
      <c r="P55" s="64">
        <v>0.44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5" t="s">
        <v>2789</v>
      </c>
      <c r="B56" s="64">
        <v>2.77</v>
      </c>
      <c r="C56" s="64">
        <v>27.68</v>
      </c>
      <c r="D56" s="64">
        <v>48.74</v>
      </c>
      <c r="E56" s="64">
        <v>1.9</v>
      </c>
      <c r="F56" s="64">
        <v>8.07</v>
      </c>
      <c r="G56" s="64">
        <v>21.16</v>
      </c>
      <c r="H56" s="64">
        <v>15.02</v>
      </c>
      <c r="I56" s="64">
        <v>4.07</v>
      </c>
      <c r="J56" s="64">
        <v>2.12</v>
      </c>
      <c r="K56" s="64">
        <v>274.39999999999998</v>
      </c>
      <c r="L56" s="64">
        <v>39.58</v>
      </c>
      <c r="M56" s="64">
        <v>32.36</v>
      </c>
      <c r="N56" s="64">
        <v>1019.4</v>
      </c>
      <c r="O56" s="64">
        <v>0</v>
      </c>
      <c r="P56" s="64">
        <v>0.44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5" t="s">
        <v>2790</v>
      </c>
      <c r="B57" s="64">
        <v>2.4500000000000002</v>
      </c>
      <c r="C57" s="64">
        <v>27.58</v>
      </c>
      <c r="D57" s="64">
        <v>49.04</v>
      </c>
      <c r="E57" s="64">
        <v>2</v>
      </c>
      <c r="F57" s="64">
        <v>7.12</v>
      </c>
      <c r="G57" s="64">
        <v>20.16</v>
      </c>
      <c r="H57" s="64">
        <v>14.21</v>
      </c>
      <c r="I57" s="64">
        <v>3.87</v>
      </c>
      <c r="J57" s="64">
        <v>1.58</v>
      </c>
      <c r="K57" s="64">
        <v>257.57</v>
      </c>
      <c r="L57" s="64">
        <v>38.92</v>
      </c>
      <c r="M57" s="64">
        <v>32.75</v>
      </c>
      <c r="N57" s="64">
        <v>1023.3</v>
      </c>
      <c r="O57" s="64">
        <v>0</v>
      </c>
      <c r="P57" s="64">
        <v>0.45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5" t="s">
        <v>2791</v>
      </c>
      <c r="B58" s="64">
        <v>2.38</v>
      </c>
      <c r="C58" s="64">
        <v>28.01</v>
      </c>
      <c r="D58" s="64">
        <v>49.96</v>
      </c>
      <c r="E58" s="64">
        <v>2.4500000000000002</v>
      </c>
      <c r="F58" s="64">
        <v>7.68</v>
      </c>
      <c r="G58" s="64">
        <v>20.16</v>
      </c>
      <c r="H58" s="64">
        <v>14.21</v>
      </c>
      <c r="I58" s="64">
        <v>4.08</v>
      </c>
      <c r="J58" s="64">
        <v>2.31</v>
      </c>
      <c r="K58" s="64">
        <v>264.52999999999997</v>
      </c>
      <c r="L58" s="64">
        <v>39.81</v>
      </c>
      <c r="M58" s="64">
        <v>30.26</v>
      </c>
      <c r="N58" s="64">
        <v>1031.2</v>
      </c>
      <c r="O58" s="64">
        <v>0</v>
      </c>
      <c r="P58" s="64">
        <v>0.46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5" t="s">
        <v>2792</v>
      </c>
      <c r="B59" s="64">
        <v>2.25</v>
      </c>
      <c r="C59" s="64">
        <v>26.99</v>
      </c>
      <c r="D59" s="64">
        <v>48.21</v>
      </c>
      <c r="E59" s="64">
        <v>2.33</v>
      </c>
      <c r="F59" s="64">
        <v>7.85</v>
      </c>
      <c r="G59" s="64">
        <v>20.16</v>
      </c>
      <c r="H59" s="64">
        <v>14.21</v>
      </c>
      <c r="I59" s="64">
        <v>3.87</v>
      </c>
      <c r="J59" s="64">
        <v>1.98</v>
      </c>
      <c r="K59" s="64">
        <v>267.48</v>
      </c>
      <c r="L59" s="64">
        <v>40.04</v>
      </c>
      <c r="M59" s="64">
        <v>28.58</v>
      </c>
      <c r="N59" s="64">
        <v>849.8</v>
      </c>
      <c r="O59" s="64">
        <v>0</v>
      </c>
      <c r="P59" s="64">
        <v>0.48</v>
      </c>
      <c r="Q59" s="64">
        <v>9.5500000000000007</v>
      </c>
      <c r="R59" s="198"/>
      <c r="S59" s="198"/>
      <c r="T59" s="198"/>
      <c r="U59" s="198"/>
    </row>
    <row r="60" spans="1:21" s="12" customFormat="1" x14ac:dyDescent="0.25">
      <c r="A60" s="215" t="s">
        <v>2793</v>
      </c>
      <c r="B60" s="64">
        <v>2.11</v>
      </c>
      <c r="C60" s="64">
        <v>29</v>
      </c>
      <c r="D60" s="64">
        <v>52.28</v>
      </c>
      <c r="E60" s="64">
        <v>3.17</v>
      </c>
      <c r="F60" s="64">
        <v>9.35</v>
      </c>
      <c r="G60" s="64">
        <v>22.48</v>
      </c>
      <c r="H60" s="64">
        <v>11.21</v>
      </c>
      <c r="I60" s="64">
        <v>4.05</v>
      </c>
      <c r="J60" s="64">
        <v>1.3</v>
      </c>
      <c r="K60" s="64">
        <v>238.26</v>
      </c>
      <c r="L60" s="64">
        <v>39.46</v>
      </c>
      <c r="M60" s="64">
        <v>28.96</v>
      </c>
      <c r="N60" s="64">
        <v>797.3</v>
      </c>
      <c r="O60" s="64">
        <v>0</v>
      </c>
      <c r="P60" s="64">
        <v>0.5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5" t="s">
        <v>2794</v>
      </c>
      <c r="B61" s="64">
        <v>1.83</v>
      </c>
      <c r="C61" s="64">
        <v>28.82</v>
      </c>
      <c r="D61" s="64">
        <v>52.35</v>
      </c>
      <c r="E61" s="64">
        <v>3</v>
      </c>
      <c r="F61" s="64">
        <v>9.01</v>
      </c>
      <c r="G61" s="64">
        <v>23.14</v>
      </c>
      <c r="H61" s="64">
        <v>10.36</v>
      </c>
      <c r="I61" s="64">
        <v>4.04</v>
      </c>
      <c r="J61" s="64">
        <v>1.64</v>
      </c>
      <c r="K61" s="64">
        <v>225.31</v>
      </c>
      <c r="L61" s="64">
        <v>37.619999999999997</v>
      </c>
      <c r="M61" s="64">
        <v>32.18</v>
      </c>
      <c r="N61" s="64">
        <v>359.4</v>
      </c>
      <c r="O61" s="64">
        <v>0</v>
      </c>
      <c r="P61" s="64">
        <v>0.54</v>
      </c>
      <c r="Q61" s="64">
        <v>9.5399999999999991</v>
      </c>
      <c r="R61" s="198"/>
      <c r="S61" s="198"/>
      <c r="T61" s="198"/>
      <c r="U61" s="198"/>
    </row>
    <row r="62" spans="1:21" s="12" customFormat="1" x14ac:dyDescent="0.25">
      <c r="A62" s="215" t="s">
        <v>2795</v>
      </c>
      <c r="B62" s="64">
        <v>1.62</v>
      </c>
      <c r="C62" s="64">
        <v>27.59</v>
      </c>
      <c r="D62" s="64">
        <v>50.32</v>
      </c>
      <c r="E62" s="64">
        <v>2.93</v>
      </c>
      <c r="F62" s="64">
        <v>11.27</v>
      </c>
      <c r="G62" s="64">
        <v>23.14</v>
      </c>
      <c r="H62" s="64">
        <v>10.36</v>
      </c>
      <c r="I62" s="64">
        <v>4.01</v>
      </c>
      <c r="J62" s="64">
        <v>1.74</v>
      </c>
      <c r="K62" s="64">
        <v>224.49</v>
      </c>
      <c r="L62" s="64">
        <v>38.26</v>
      </c>
      <c r="M62" s="64">
        <v>30.15</v>
      </c>
      <c r="N62" s="64">
        <v>766.5</v>
      </c>
      <c r="O62" s="64">
        <v>0</v>
      </c>
      <c r="P62" s="64">
        <v>0.54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5" t="s">
        <v>2796</v>
      </c>
      <c r="B63" s="64">
        <v>1.6</v>
      </c>
      <c r="C63" s="64">
        <v>27.26</v>
      </c>
      <c r="D63" s="64">
        <v>49.72</v>
      </c>
      <c r="E63" s="64">
        <v>2.59</v>
      </c>
      <c r="F63" s="64">
        <v>10.33</v>
      </c>
      <c r="G63" s="64">
        <v>23.14</v>
      </c>
      <c r="H63" s="64">
        <v>10.36</v>
      </c>
      <c r="I63" s="64">
        <v>4.05</v>
      </c>
      <c r="J63" s="64">
        <v>1.71</v>
      </c>
      <c r="K63" s="64">
        <v>241.63</v>
      </c>
      <c r="L63" s="64">
        <v>38.6</v>
      </c>
      <c r="M63" s="64">
        <v>28.56</v>
      </c>
      <c r="N63" s="64">
        <v>590.4</v>
      </c>
      <c r="O63" s="64">
        <v>0</v>
      </c>
      <c r="P63" s="64">
        <v>0.55000000000000004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5" t="s">
        <v>2797</v>
      </c>
      <c r="B64" s="64">
        <v>2.31</v>
      </c>
      <c r="C64" s="64">
        <v>26.26</v>
      </c>
      <c r="D64" s="64">
        <v>46.71</v>
      </c>
      <c r="E64" s="64">
        <v>2.27</v>
      </c>
      <c r="F64" s="64">
        <v>12.02</v>
      </c>
      <c r="G64" s="64">
        <v>24.2</v>
      </c>
      <c r="H64" s="64">
        <v>12.4</v>
      </c>
      <c r="I64" s="64">
        <v>4</v>
      </c>
      <c r="J64" s="64">
        <v>1.97</v>
      </c>
      <c r="K64" s="64">
        <v>266.48</v>
      </c>
      <c r="L64" s="64">
        <v>41.11</v>
      </c>
      <c r="M64" s="64">
        <v>25.82</v>
      </c>
      <c r="N64" s="64">
        <v>847.4</v>
      </c>
      <c r="O64" s="64">
        <v>0</v>
      </c>
      <c r="P64" s="64">
        <v>0.56000000000000005</v>
      </c>
      <c r="Q64" s="64">
        <v>9.51</v>
      </c>
      <c r="R64" s="198"/>
      <c r="S64" s="198"/>
      <c r="T64" s="198"/>
      <c r="U64" s="198"/>
    </row>
    <row r="65" spans="1:21" s="12" customFormat="1" x14ac:dyDescent="0.25">
      <c r="A65" s="215" t="s">
        <v>2798</v>
      </c>
      <c r="B65" s="64">
        <v>1.99</v>
      </c>
      <c r="C65" s="64">
        <v>25.02</v>
      </c>
      <c r="D65" s="64">
        <v>44.82</v>
      </c>
      <c r="E65" s="64">
        <v>2.4900000000000002</v>
      </c>
      <c r="F65" s="64">
        <v>15.59</v>
      </c>
      <c r="G65" s="64">
        <v>24.51</v>
      </c>
      <c r="H65" s="64">
        <v>12.99</v>
      </c>
      <c r="I65" s="64">
        <v>3.87</v>
      </c>
      <c r="J65" s="64">
        <v>1.39</v>
      </c>
      <c r="K65" s="64">
        <v>244.83</v>
      </c>
      <c r="L65" s="64">
        <v>40.159999999999997</v>
      </c>
      <c r="M65" s="64">
        <v>26.66</v>
      </c>
      <c r="N65" s="64">
        <v>487.6</v>
      </c>
      <c r="O65" s="64">
        <v>0</v>
      </c>
      <c r="P65" s="64">
        <v>0.54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5" t="s">
        <v>2799</v>
      </c>
      <c r="B66" s="64">
        <v>2.86</v>
      </c>
      <c r="C66" s="64">
        <v>23.08</v>
      </c>
      <c r="D66" s="64">
        <v>39.79</v>
      </c>
      <c r="E66" s="64">
        <v>3.1</v>
      </c>
      <c r="F66" s="64">
        <v>19.39</v>
      </c>
      <c r="G66" s="64">
        <v>24.51</v>
      </c>
      <c r="H66" s="64">
        <v>12.99</v>
      </c>
      <c r="I66" s="64">
        <v>3.99</v>
      </c>
      <c r="J66" s="64">
        <v>0.96</v>
      </c>
      <c r="K66" s="64">
        <v>230.22</v>
      </c>
      <c r="L66" s="64">
        <v>40.51</v>
      </c>
      <c r="M66" s="64">
        <v>25.42</v>
      </c>
      <c r="N66" s="64">
        <v>516.79999999999995</v>
      </c>
      <c r="O66" s="64">
        <v>0</v>
      </c>
      <c r="P66" s="64">
        <v>0.47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5" t="s">
        <v>2800</v>
      </c>
      <c r="B67" s="64">
        <v>2.56</v>
      </c>
      <c r="C67" s="64">
        <v>22.29</v>
      </c>
      <c r="D67" s="64">
        <v>38.75</v>
      </c>
      <c r="E67" s="64">
        <v>2.71</v>
      </c>
      <c r="F67" s="64">
        <v>17.739999999999998</v>
      </c>
      <c r="G67" s="64">
        <v>24.51</v>
      </c>
      <c r="H67" s="64">
        <v>12.99</v>
      </c>
      <c r="I67" s="64">
        <v>4.09</v>
      </c>
      <c r="J67" s="64">
        <v>1.38</v>
      </c>
      <c r="K67" s="64">
        <v>211.41</v>
      </c>
      <c r="L67" s="64">
        <v>40.020000000000003</v>
      </c>
      <c r="M67" s="64">
        <v>25.2</v>
      </c>
      <c r="N67" s="64">
        <v>613.5</v>
      </c>
      <c r="O67" s="64">
        <v>0</v>
      </c>
      <c r="P67" s="64">
        <v>0.46</v>
      </c>
      <c r="Q67" s="64">
        <v>9.44</v>
      </c>
      <c r="R67" s="198"/>
      <c r="S67" s="198"/>
      <c r="T67" s="198"/>
      <c r="U67" s="198"/>
    </row>
    <row r="68" spans="1:21" s="12" customFormat="1" x14ac:dyDescent="0.25">
      <c r="A68" s="215" t="s">
        <v>2801</v>
      </c>
      <c r="B68" s="64">
        <v>1.84</v>
      </c>
      <c r="C68" s="64">
        <v>21.57</v>
      </c>
      <c r="D68" s="64">
        <v>38.46</v>
      </c>
      <c r="E68" s="64">
        <v>2.6</v>
      </c>
      <c r="F68" s="64">
        <v>22.85</v>
      </c>
      <c r="G68" s="64">
        <v>24.33</v>
      </c>
      <c r="H68" s="64">
        <v>12.11</v>
      </c>
      <c r="I68" s="64">
        <v>3.88</v>
      </c>
      <c r="J68" s="64">
        <v>1.49</v>
      </c>
      <c r="K68" s="64">
        <v>185.65</v>
      </c>
      <c r="L68" s="64">
        <v>39.5</v>
      </c>
      <c r="M68" s="64">
        <v>26.37</v>
      </c>
      <c r="N68" s="64">
        <v>471.8</v>
      </c>
      <c r="O68" s="64">
        <v>0</v>
      </c>
      <c r="P68" s="64">
        <v>0.43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15" t="s">
        <v>2802</v>
      </c>
      <c r="B69" s="64">
        <v>1.72</v>
      </c>
      <c r="C69" s="64">
        <v>22.1</v>
      </c>
      <c r="D69" s="64">
        <v>39.659999999999997</v>
      </c>
      <c r="E69" s="64">
        <v>2.64</v>
      </c>
      <c r="F69" s="64">
        <v>18.14</v>
      </c>
      <c r="G69" s="64">
        <v>24.27</v>
      </c>
      <c r="H69" s="64">
        <v>11.85</v>
      </c>
      <c r="I69" s="64">
        <v>4.03</v>
      </c>
      <c r="J69" s="64">
        <v>2.54</v>
      </c>
      <c r="K69" s="64">
        <v>172.03</v>
      </c>
      <c r="L69" s="64">
        <v>38.840000000000003</v>
      </c>
      <c r="M69" s="64">
        <v>26.94</v>
      </c>
      <c r="N69" s="64">
        <v>408.8</v>
      </c>
      <c r="O69" s="64">
        <v>0</v>
      </c>
      <c r="P69" s="64">
        <v>0.44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5" t="s">
        <v>2803</v>
      </c>
      <c r="B70" s="64">
        <v>2.17</v>
      </c>
      <c r="C70" s="64">
        <v>23.46</v>
      </c>
      <c r="D70" s="64">
        <v>41.57</v>
      </c>
      <c r="E70" s="64">
        <v>2.96</v>
      </c>
      <c r="F70" s="64">
        <v>20.48</v>
      </c>
      <c r="G70" s="64">
        <v>24.27</v>
      </c>
      <c r="H70" s="64">
        <v>11.85</v>
      </c>
      <c r="I70" s="64">
        <v>4.0199999999999996</v>
      </c>
      <c r="J70" s="64">
        <v>1.41</v>
      </c>
      <c r="K70" s="64">
        <v>165.39</v>
      </c>
      <c r="L70" s="64">
        <v>38.93</v>
      </c>
      <c r="M70" s="64">
        <v>25.96</v>
      </c>
      <c r="N70" s="64">
        <v>300.10000000000002</v>
      </c>
      <c r="O70" s="64">
        <v>0</v>
      </c>
      <c r="P70" s="64">
        <v>0.43</v>
      </c>
      <c r="Q70" s="64">
        <v>9.43</v>
      </c>
      <c r="R70" s="198"/>
      <c r="S70" s="198"/>
      <c r="T70" s="198"/>
      <c r="U70" s="198"/>
    </row>
    <row r="71" spans="1:21" s="12" customFormat="1" x14ac:dyDescent="0.25">
      <c r="A71" s="215" t="s">
        <v>2804</v>
      </c>
      <c r="B71" s="64">
        <v>2.19</v>
      </c>
      <c r="C71" s="64">
        <v>23.34</v>
      </c>
      <c r="D71" s="64">
        <v>41.32</v>
      </c>
      <c r="E71" s="64">
        <v>2.54</v>
      </c>
      <c r="F71" s="64">
        <v>21.69</v>
      </c>
      <c r="G71" s="64">
        <v>24.27</v>
      </c>
      <c r="H71" s="64">
        <v>11.85</v>
      </c>
      <c r="I71" s="64">
        <v>4.07</v>
      </c>
      <c r="J71" s="64">
        <v>2.58</v>
      </c>
      <c r="K71" s="64">
        <v>160.85</v>
      </c>
      <c r="L71" s="64">
        <v>38.56</v>
      </c>
      <c r="M71" s="64">
        <v>26.26</v>
      </c>
      <c r="N71" s="64">
        <v>199.6</v>
      </c>
      <c r="O71" s="64">
        <v>0</v>
      </c>
      <c r="P71" s="64">
        <v>0.41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15" t="s">
        <v>2805</v>
      </c>
      <c r="B72" s="64">
        <v>1.63</v>
      </c>
      <c r="C72" s="64">
        <v>20.29</v>
      </c>
      <c r="D72" s="64">
        <v>36.340000000000003</v>
      </c>
      <c r="E72" s="64">
        <v>2.16</v>
      </c>
      <c r="F72" s="64">
        <v>20.55</v>
      </c>
      <c r="G72" s="64">
        <v>24.99</v>
      </c>
      <c r="H72" s="64">
        <v>9.5399999999999991</v>
      </c>
      <c r="I72" s="64">
        <v>3.88</v>
      </c>
      <c r="J72" s="64">
        <v>2.42</v>
      </c>
      <c r="K72" s="64">
        <v>155.15</v>
      </c>
      <c r="L72" s="64">
        <v>38.54</v>
      </c>
      <c r="M72" s="64">
        <v>25.7</v>
      </c>
      <c r="N72" s="64">
        <v>203.6</v>
      </c>
      <c r="O72" s="64">
        <v>0</v>
      </c>
      <c r="P72" s="64">
        <v>0.38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5" t="s">
        <v>2806</v>
      </c>
      <c r="B73" s="64">
        <v>1.71</v>
      </c>
      <c r="C73" s="64">
        <v>21.64</v>
      </c>
      <c r="D73" s="64">
        <v>38.79</v>
      </c>
      <c r="E73" s="64">
        <v>3.22</v>
      </c>
      <c r="F73" s="64">
        <v>18.760000000000002</v>
      </c>
      <c r="G73" s="64">
        <v>25.19</v>
      </c>
      <c r="H73" s="64">
        <v>8.8800000000000008</v>
      </c>
      <c r="I73" s="64">
        <v>4.08</v>
      </c>
      <c r="J73" s="64">
        <v>2.12</v>
      </c>
      <c r="K73" s="64">
        <v>161.81</v>
      </c>
      <c r="L73" s="64">
        <v>38.54</v>
      </c>
      <c r="M73" s="64">
        <v>25.04</v>
      </c>
      <c r="N73" s="64">
        <v>167.9</v>
      </c>
      <c r="O73" s="64">
        <v>0</v>
      </c>
      <c r="P73" s="64">
        <v>0.39</v>
      </c>
      <c r="Q73" s="64">
        <v>9.41</v>
      </c>
      <c r="R73" s="198"/>
      <c r="S73" s="198"/>
      <c r="T73" s="198"/>
      <c r="U73" s="198"/>
    </row>
    <row r="74" spans="1:21" s="12" customFormat="1" x14ac:dyDescent="0.25">
      <c r="A74" s="215" t="s">
        <v>2807</v>
      </c>
      <c r="B74" s="64">
        <v>1.75</v>
      </c>
      <c r="C74" s="64">
        <v>20.92</v>
      </c>
      <c r="D74" s="64">
        <v>37.35</v>
      </c>
      <c r="E74" s="64">
        <v>3.01</v>
      </c>
      <c r="F74" s="64">
        <v>19.09</v>
      </c>
      <c r="G74" s="64">
        <v>25.19</v>
      </c>
      <c r="H74" s="64">
        <v>8.8800000000000008</v>
      </c>
      <c r="I74" s="64">
        <v>3.83</v>
      </c>
      <c r="J74" s="64">
        <v>2.5499999999999998</v>
      </c>
      <c r="K74" s="64">
        <v>161.91</v>
      </c>
      <c r="L74" s="64">
        <v>38.590000000000003</v>
      </c>
      <c r="M74" s="64">
        <v>23.55</v>
      </c>
      <c r="N74" s="64">
        <v>143.5</v>
      </c>
      <c r="O74" s="64">
        <v>0</v>
      </c>
      <c r="P74" s="64">
        <v>0.37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5" t="s">
        <v>2808</v>
      </c>
      <c r="B75" s="64">
        <v>2.34</v>
      </c>
      <c r="C75" s="64">
        <v>23.06</v>
      </c>
      <c r="D75" s="64">
        <v>40.56</v>
      </c>
      <c r="E75" s="64">
        <v>2.5</v>
      </c>
      <c r="F75" s="64">
        <v>21.35</v>
      </c>
      <c r="G75" s="64">
        <v>25.19</v>
      </c>
      <c r="H75" s="64">
        <v>8.8800000000000008</v>
      </c>
      <c r="I75" s="64">
        <v>4.09</v>
      </c>
      <c r="J75" s="64">
        <v>1.44</v>
      </c>
      <c r="K75" s="64">
        <v>161.38</v>
      </c>
      <c r="L75" s="64">
        <v>38.76</v>
      </c>
      <c r="M75" s="64">
        <v>24.12</v>
      </c>
      <c r="N75" s="64">
        <v>133.9</v>
      </c>
      <c r="O75" s="64">
        <v>0</v>
      </c>
      <c r="P75" s="64">
        <v>0.36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15" t="s">
        <v>2809</v>
      </c>
      <c r="B76" s="64">
        <v>1.83</v>
      </c>
      <c r="C76" s="64">
        <v>20.61</v>
      </c>
      <c r="D76" s="64">
        <v>36.65</v>
      </c>
      <c r="E76" s="64">
        <v>2.88</v>
      </c>
      <c r="F76" s="64">
        <v>20.329999999999998</v>
      </c>
      <c r="G76" s="64">
        <v>22.74</v>
      </c>
      <c r="H76" s="64">
        <v>11.97</v>
      </c>
      <c r="I76" s="64">
        <v>3.95</v>
      </c>
      <c r="J76" s="64">
        <v>1.73</v>
      </c>
      <c r="K76" s="64">
        <v>194.44</v>
      </c>
      <c r="L76" s="64">
        <v>38.72</v>
      </c>
      <c r="M76" s="64">
        <v>24.69</v>
      </c>
      <c r="N76" s="64">
        <v>125.1</v>
      </c>
      <c r="O76" s="64">
        <v>0</v>
      </c>
      <c r="P76" s="64">
        <v>0.36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5" t="s">
        <v>2810</v>
      </c>
      <c r="B77" s="64">
        <v>1.82</v>
      </c>
      <c r="C77" s="64">
        <v>22.53</v>
      </c>
      <c r="D77" s="64">
        <v>40.32</v>
      </c>
      <c r="E77" s="64">
        <v>2.95</v>
      </c>
      <c r="F77" s="64">
        <v>16.87</v>
      </c>
      <c r="G77" s="64">
        <v>22.04</v>
      </c>
      <c r="H77" s="64">
        <v>12.85</v>
      </c>
      <c r="I77" s="64">
        <v>4.0599999999999996</v>
      </c>
      <c r="J77" s="64">
        <v>2.85</v>
      </c>
      <c r="K77" s="64">
        <v>158.03</v>
      </c>
      <c r="L77" s="64">
        <v>38.369999999999997</v>
      </c>
      <c r="M77" s="64">
        <v>25.06</v>
      </c>
      <c r="N77" s="64">
        <v>115.7</v>
      </c>
      <c r="O77" s="64">
        <v>0</v>
      </c>
      <c r="P77" s="64">
        <v>0.37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5" t="s">
        <v>2811</v>
      </c>
      <c r="B78" s="64">
        <v>1.62</v>
      </c>
      <c r="C78" s="64">
        <v>19.84</v>
      </c>
      <c r="D78" s="64">
        <v>35.479999999999997</v>
      </c>
      <c r="E78" s="64">
        <v>3.34</v>
      </c>
      <c r="F78" s="64">
        <v>22.59</v>
      </c>
      <c r="G78" s="64">
        <v>22.04</v>
      </c>
      <c r="H78" s="64">
        <v>12.85</v>
      </c>
      <c r="I78" s="64">
        <v>3.96</v>
      </c>
      <c r="J78" s="64">
        <v>1.85</v>
      </c>
      <c r="K78" s="64">
        <v>173.52</v>
      </c>
      <c r="L78" s="64">
        <v>38.299999999999997</v>
      </c>
      <c r="M78" s="64">
        <v>24.54</v>
      </c>
      <c r="N78" s="64">
        <v>102.2</v>
      </c>
      <c r="O78" s="64">
        <v>0</v>
      </c>
      <c r="P78" s="64">
        <v>0.33</v>
      </c>
      <c r="Q78" s="64">
        <v>9.4</v>
      </c>
      <c r="R78" s="198"/>
      <c r="S78" s="198"/>
      <c r="T78" s="198"/>
      <c r="U78" s="198"/>
    </row>
    <row r="79" spans="1:21" s="12" customFormat="1" x14ac:dyDescent="0.25">
      <c r="A79" s="215" t="s">
        <v>2812</v>
      </c>
      <c r="B79" s="64">
        <v>1.82</v>
      </c>
      <c r="C79" s="64">
        <v>21.31</v>
      </c>
      <c r="D79" s="64">
        <v>37.99</v>
      </c>
      <c r="E79" s="64">
        <v>3.5</v>
      </c>
      <c r="F79" s="64">
        <v>24.44</v>
      </c>
      <c r="G79" s="64">
        <v>22.04</v>
      </c>
      <c r="H79" s="64">
        <v>12.85</v>
      </c>
      <c r="I79" s="64">
        <v>4</v>
      </c>
      <c r="J79" s="64">
        <v>1.23</v>
      </c>
      <c r="K79" s="64">
        <v>161.21</v>
      </c>
      <c r="L79" s="64">
        <v>38.08</v>
      </c>
      <c r="M79" s="64">
        <v>25.74</v>
      </c>
      <c r="N79" s="64">
        <v>88.5</v>
      </c>
      <c r="O79" s="64">
        <v>0</v>
      </c>
      <c r="P79" s="64">
        <v>0.33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5" t="s">
        <v>2813</v>
      </c>
      <c r="B80" s="64">
        <v>15.16</v>
      </c>
      <c r="C80" s="64">
        <v>49.87</v>
      </c>
      <c r="D80" s="64">
        <v>72.180000000000007</v>
      </c>
      <c r="E80" s="64">
        <v>3.71</v>
      </c>
      <c r="F80" s="64">
        <v>15.8</v>
      </c>
      <c r="G80" s="64">
        <v>21.99</v>
      </c>
      <c r="H80" s="64">
        <v>15.12</v>
      </c>
      <c r="I80" s="64">
        <v>3.91</v>
      </c>
      <c r="J80" s="64">
        <v>1.26</v>
      </c>
      <c r="K80" s="64">
        <v>273.27999999999997</v>
      </c>
      <c r="L80" s="64">
        <v>37.950000000000003</v>
      </c>
      <c r="M80" s="64">
        <v>26.65</v>
      </c>
      <c r="N80" s="64">
        <v>76.599999999999994</v>
      </c>
      <c r="O80" s="64">
        <v>0</v>
      </c>
      <c r="P80" s="64">
        <v>0.69</v>
      </c>
      <c r="Q80" s="64">
        <v>9.39</v>
      </c>
      <c r="R80" s="198"/>
      <c r="S80" s="198"/>
      <c r="T80" s="198"/>
      <c r="U80" s="198"/>
    </row>
    <row r="81" spans="1:26" s="12" customFormat="1" x14ac:dyDescent="0.25">
      <c r="A81" s="215" t="s">
        <v>2814</v>
      </c>
      <c r="B81" s="64">
        <v>12.76</v>
      </c>
      <c r="C81" s="64">
        <v>47.61</v>
      </c>
      <c r="D81" s="64">
        <v>71.53</v>
      </c>
      <c r="E81" s="64">
        <v>3.95</v>
      </c>
      <c r="F81" s="64">
        <v>17.989999999999998</v>
      </c>
      <c r="G81" s="64">
        <v>21.97</v>
      </c>
      <c r="H81" s="64">
        <v>15.77</v>
      </c>
      <c r="I81" s="64">
        <v>3.95</v>
      </c>
      <c r="J81" s="64">
        <v>1.99</v>
      </c>
      <c r="K81" s="64">
        <v>276.64</v>
      </c>
      <c r="L81" s="64">
        <v>37.56</v>
      </c>
      <c r="M81" s="64">
        <v>27.86</v>
      </c>
      <c r="N81" s="64">
        <v>64</v>
      </c>
      <c r="O81" s="64">
        <v>0</v>
      </c>
      <c r="P81" s="64">
        <v>0.84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5" t="s">
        <v>2815</v>
      </c>
      <c r="B82" s="64">
        <v>9.19</v>
      </c>
      <c r="C82" s="64">
        <v>44</v>
      </c>
      <c r="D82" s="64">
        <v>70.12</v>
      </c>
      <c r="E82" s="64">
        <v>4.17</v>
      </c>
      <c r="F82" s="64">
        <v>18</v>
      </c>
      <c r="G82" s="64">
        <v>21.97</v>
      </c>
      <c r="H82" s="64">
        <v>15.77</v>
      </c>
      <c r="I82" s="64">
        <v>4.0599999999999996</v>
      </c>
      <c r="J82" s="64">
        <v>2.2799999999999998</v>
      </c>
      <c r="K82" s="64">
        <v>276.85000000000002</v>
      </c>
      <c r="L82" s="64">
        <v>36.950000000000003</v>
      </c>
      <c r="M82" s="64">
        <v>29.01</v>
      </c>
      <c r="N82" s="64">
        <v>58.1</v>
      </c>
      <c r="O82" s="64">
        <v>0</v>
      </c>
      <c r="P82" s="64">
        <v>1.02</v>
      </c>
      <c r="Q82" s="64">
        <v>9.44</v>
      </c>
      <c r="R82" s="198"/>
      <c r="S82" s="198"/>
      <c r="T82" s="198"/>
      <c r="U82" s="198"/>
    </row>
    <row r="83" spans="1:26" s="12" customFormat="1" x14ac:dyDescent="0.25">
      <c r="A83" s="215" t="s">
        <v>2816</v>
      </c>
      <c r="B83" s="64">
        <v>16.32</v>
      </c>
      <c r="C83" s="64">
        <v>53.77</v>
      </c>
      <c r="D83" s="64">
        <v>77.86</v>
      </c>
      <c r="E83" s="64">
        <v>3.87</v>
      </c>
      <c r="F83" s="64">
        <v>15.84</v>
      </c>
      <c r="G83" s="64">
        <v>21.97</v>
      </c>
      <c r="H83" s="64">
        <v>15.77</v>
      </c>
      <c r="I83" s="64">
        <v>4.01</v>
      </c>
      <c r="J83" s="64">
        <v>2.1800000000000002</v>
      </c>
      <c r="K83" s="64">
        <v>282.5</v>
      </c>
      <c r="L83" s="64">
        <v>36.42</v>
      </c>
      <c r="M83" s="64">
        <v>30.69</v>
      </c>
      <c r="N83" s="64">
        <v>57</v>
      </c>
      <c r="O83" s="64">
        <v>0</v>
      </c>
      <c r="P83" s="64">
        <v>1.28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5" t="s">
        <v>2817</v>
      </c>
      <c r="B84" s="64">
        <v>33.630000000000003</v>
      </c>
      <c r="C84" s="64">
        <v>79.38</v>
      </c>
      <c r="D84" s="64">
        <v>100.33</v>
      </c>
      <c r="E84" s="64">
        <v>4.59</v>
      </c>
      <c r="F84" s="64">
        <v>12.37</v>
      </c>
      <c r="G84" s="64">
        <v>28.03</v>
      </c>
      <c r="H84" s="64">
        <v>13.61</v>
      </c>
      <c r="I84" s="64">
        <v>4.04</v>
      </c>
      <c r="J84" s="64">
        <v>2.23</v>
      </c>
      <c r="K84" s="64">
        <v>282.81</v>
      </c>
      <c r="L84" s="64">
        <v>35.840000000000003</v>
      </c>
      <c r="M84" s="64">
        <v>31.76</v>
      </c>
      <c r="N84" s="64">
        <v>57.3</v>
      </c>
      <c r="O84" s="64">
        <v>0</v>
      </c>
      <c r="P84" s="64">
        <v>1.58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5" t="s">
        <v>2818</v>
      </c>
      <c r="B85" s="64">
        <v>32.71</v>
      </c>
      <c r="C85" s="64">
        <v>80.8</v>
      </c>
      <c r="D85" s="64">
        <v>104.44</v>
      </c>
      <c r="E85" s="64">
        <v>6.25</v>
      </c>
      <c r="F85" s="64">
        <v>10.31</v>
      </c>
      <c r="G85" s="64">
        <v>29.76</v>
      </c>
      <c r="H85" s="64">
        <v>12.99</v>
      </c>
      <c r="I85" s="64">
        <v>4.0199999999999996</v>
      </c>
      <c r="J85" s="64">
        <v>1.64</v>
      </c>
      <c r="K85" s="64">
        <v>312.39999999999998</v>
      </c>
      <c r="L85" s="64">
        <v>35.42</v>
      </c>
      <c r="M85" s="64">
        <v>32.909999999999997</v>
      </c>
      <c r="N85" s="64">
        <v>57.6</v>
      </c>
      <c r="O85" s="64">
        <v>0</v>
      </c>
      <c r="P85" s="64">
        <v>1.73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5" t="s">
        <v>2819</v>
      </c>
      <c r="B86" s="64">
        <v>11.42</v>
      </c>
      <c r="C86" s="64">
        <v>39.89</v>
      </c>
      <c r="D86" s="64">
        <v>58.81</v>
      </c>
      <c r="E86" s="64">
        <v>6.19</v>
      </c>
      <c r="F86" s="64">
        <v>9.7899999999999991</v>
      </c>
      <c r="G86" s="64">
        <v>29.76</v>
      </c>
      <c r="H86" s="64">
        <v>12.99</v>
      </c>
      <c r="I86" s="64">
        <v>3.97</v>
      </c>
      <c r="J86" s="64">
        <v>4.5</v>
      </c>
      <c r="K86" s="64">
        <v>342.44</v>
      </c>
      <c r="L86" s="64">
        <v>34.26</v>
      </c>
      <c r="M86" s="64">
        <v>35.119999999999997</v>
      </c>
      <c r="N86" s="64">
        <v>60.5</v>
      </c>
      <c r="O86" s="64">
        <v>0</v>
      </c>
      <c r="P86" s="64">
        <v>0.86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15" t="s">
        <v>2820</v>
      </c>
      <c r="B87" s="64">
        <v>6.82</v>
      </c>
      <c r="C87" s="64">
        <v>36</v>
      </c>
      <c r="D87" s="64">
        <v>58.44</v>
      </c>
      <c r="E87" s="64">
        <v>3.06</v>
      </c>
      <c r="F87" s="64">
        <v>9.9700000000000006</v>
      </c>
      <c r="G87" s="64">
        <v>29.76</v>
      </c>
      <c r="H87" s="64">
        <v>12.99</v>
      </c>
      <c r="I87" s="64">
        <v>4.05</v>
      </c>
      <c r="J87" s="64">
        <v>4.46</v>
      </c>
      <c r="K87" s="64">
        <v>349.15</v>
      </c>
      <c r="L87" s="64">
        <v>32.68</v>
      </c>
      <c r="M87" s="64">
        <v>36.61</v>
      </c>
      <c r="N87" s="64">
        <v>59.4</v>
      </c>
      <c r="O87" s="64">
        <v>0</v>
      </c>
      <c r="P87" s="64">
        <v>0.63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5" t="s">
        <v>2821</v>
      </c>
      <c r="B88" s="64">
        <v>4.72</v>
      </c>
      <c r="C88" s="64">
        <v>34.49</v>
      </c>
      <c r="D88" s="64">
        <v>58.76</v>
      </c>
      <c r="E88" s="64">
        <v>3.96</v>
      </c>
      <c r="F88" s="64">
        <v>8.75</v>
      </c>
      <c r="G88" s="64">
        <v>136.58000000000001</v>
      </c>
      <c r="H88" s="64">
        <v>9.9600000000000009</v>
      </c>
      <c r="I88" s="64">
        <v>4.07</v>
      </c>
      <c r="J88" s="64">
        <v>4.0999999999999996</v>
      </c>
      <c r="K88" s="64">
        <v>343.7</v>
      </c>
      <c r="L88" s="64">
        <v>32.450000000000003</v>
      </c>
      <c r="M88" s="64">
        <v>37.6</v>
      </c>
      <c r="N88" s="64">
        <v>58</v>
      </c>
      <c r="O88" s="64">
        <v>0</v>
      </c>
      <c r="P88" s="64">
        <v>0.61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5" t="s">
        <v>2822</v>
      </c>
      <c r="B89" s="64">
        <v>4.45</v>
      </c>
      <c r="C89" s="64">
        <v>34.369999999999997</v>
      </c>
      <c r="D89" s="64">
        <v>58.94</v>
      </c>
      <c r="E89" s="64">
        <v>6.46</v>
      </c>
      <c r="F89" s="64">
        <v>9.98</v>
      </c>
      <c r="G89" s="64">
        <v>167.1</v>
      </c>
      <c r="H89" s="64">
        <v>9.09</v>
      </c>
      <c r="I89" s="64">
        <v>4.1100000000000003</v>
      </c>
      <c r="J89" s="64">
        <v>3.1</v>
      </c>
      <c r="K89" s="64">
        <v>332.86</v>
      </c>
      <c r="L89" s="64">
        <v>32.26</v>
      </c>
      <c r="M89" s="64">
        <v>39.76</v>
      </c>
      <c r="N89" s="64">
        <v>58.8</v>
      </c>
      <c r="O89" s="64">
        <v>0</v>
      </c>
      <c r="P89" s="64">
        <v>0.64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5" t="s">
        <v>2823</v>
      </c>
      <c r="B90" s="64">
        <v>5.59</v>
      </c>
      <c r="C90" s="64">
        <v>35.4</v>
      </c>
      <c r="D90" s="64">
        <v>59.18</v>
      </c>
      <c r="E90" s="64">
        <v>5.07</v>
      </c>
      <c r="F90" s="64">
        <v>8.92</v>
      </c>
      <c r="G90" s="64">
        <v>167.1</v>
      </c>
      <c r="H90" s="64">
        <v>9.09</v>
      </c>
      <c r="I90" s="64">
        <v>4.2</v>
      </c>
      <c r="J90" s="64">
        <v>3.46</v>
      </c>
      <c r="K90" s="64">
        <v>307.39999999999998</v>
      </c>
      <c r="L90" s="64">
        <v>31.72</v>
      </c>
      <c r="M90" s="64">
        <v>42.89</v>
      </c>
      <c r="N90" s="64">
        <v>61.4</v>
      </c>
      <c r="O90" s="64">
        <v>0</v>
      </c>
      <c r="P90" s="64">
        <v>0.65</v>
      </c>
      <c r="Q90" s="64">
        <v>9.49</v>
      </c>
      <c r="R90" s="198"/>
      <c r="S90" s="198"/>
      <c r="T90" s="198"/>
      <c r="U90" s="198"/>
    </row>
    <row r="91" spans="1:26" s="12" customFormat="1" x14ac:dyDescent="0.25">
      <c r="A91" s="215" t="s">
        <v>2824</v>
      </c>
      <c r="B91" s="64">
        <v>3.61</v>
      </c>
      <c r="C91" s="64">
        <v>34.51</v>
      </c>
      <c r="D91" s="64">
        <v>60.51</v>
      </c>
      <c r="E91" s="64">
        <v>3.13</v>
      </c>
      <c r="F91" s="64">
        <v>7</v>
      </c>
      <c r="G91" s="64">
        <v>167.1</v>
      </c>
      <c r="H91" s="64">
        <v>9.09</v>
      </c>
      <c r="I91" s="64">
        <v>4.28</v>
      </c>
      <c r="J91" s="64">
        <v>4.13</v>
      </c>
      <c r="K91" s="64">
        <v>296.23</v>
      </c>
      <c r="L91" s="64">
        <v>29.49</v>
      </c>
      <c r="M91" s="64">
        <v>64.55</v>
      </c>
      <c r="N91" s="64">
        <v>75.5</v>
      </c>
      <c r="O91" s="64">
        <v>2.2000000000000002</v>
      </c>
      <c r="P91" s="64">
        <v>0.61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5" t="s">
        <v>2825</v>
      </c>
      <c r="B92" s="64">
        <v>2.59</v>
      </c>
      <c r="C92" s="64">
        <v>31.91</v>
      </c>
      <c r="D92" s="64">
        <v>57.1</v>
      </c>
      <c r="E92" s="64">
        <v>2.74</v>
      </c>
      <c r="F92" s="64">
        <v>6.77</v>
      </c>
      <c r="G92" s="64">
        <v>120.85</v>
      </c>
      <c r="H92" s="64">
        <v>9.49</v>
      </c>
      <c r="I92" s="64">
        <v>4.13</v>
      </c>
      <c r="J92" s="64">
        <v>2.66</v>
      </c>
      <c r="K92" s="64">
        <v>272.91000000000003</v>
      </c>
      <c r="L92" s="64">
        <v>24.91</v>
      </c>
      <c r="M92" s="64">
        <v>98.52</v>
      </c>
      <c r="N92" s="64">
        <v>74.8</v>
      </c>
      <c r="O92" s="64">
        <v>3.8</v>
      </c>
      <c r="P92" s="64">
        <v>0.56000000000000005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5" t="s">
        <v>2826</v>
      </c>
      <c r="B93" s="64">
        <v>2.2000000000000002</v>
      </c>
      <c r="C93" s="64">
        <v>29.71</v>
      </c>
      <c r="D93" s="64">
        <v>53.48</v>
      </c>
      <c r="E93" s="64">
        <v>2.64</v>
      </c>
      <c r="F93" s="64">
        <v>7.17</v>
      </c>
      <c r="G93" s="64">
        <v>107.63</v>
      </c>
      <c r="H93" s="64">
        <v>9.61</v>
      </c>
      <c r="I93" s="64">
        <v>4.1100000000000003</v>
      </c>
      <c r="J93" s="64">
        <v>2.2000000000000002</v>
      </c>
      <c r="K93" s="64">
        <v>288.8</v>
      </c>
      <c r="L93" s="64">
        <v>23.74</v>
      </c>
      <c r="M93" s="64">
        <v>99.08</v>
      </c>
      <c r="N93" s="64">
        <v>75.099999999999994</v>
      </c>
      <c r="O93" s="64">
        <v>3.8</v>
      </c>
      <c r="P93" s="64">
        <v>0.53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5" t="s">
        <v>2827</v>
      </c>
      <c r="B94" s="64">
        <v>2.2400000000000002</v>
      </c>
      <c r="C94" s="64">
        <v>28.36</v>
      </c>
      <c r="D94" s="64">
        <v>50.84</v>
      </c>
      <c r="E94" s="64">
        <v>2.27</v>
      </c>
      <c r="F94" s="64">
        <v>7.28</v>
      </c>
      <c r="G94" s="64">
        <v>107.63</v>
      </c>
      <c r="H94" s="64">
        <v>9.61</v>
      </c>
      <c r="I94" s="64">
        <v>3.96</v>
      </c>
      <c r="J94" s="64">
        <v>3.4</v>
      </c>
      <c r="K94" s="64">
        <v>293.75</v>
      </c>
      <c r="L94" s="64">
        <v>23.8</v>
      </c>
      <c r="M94" s="64">
        <v>99.62</v>
      </c>
      <c r="N94" s="64">
        <v>73.3</v>
      </c>
      <c r="O94" s="64">
        <v>0.4</v>
      </c>
      <c r="P94" s="64">
        <v>0.51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5" t="s">
        <v>2828</v>
      </c>
      <c r="B95" s="64">
        <v>2.77</v>
      </c>
      <c r="C95" s="64">
        <v>28.74</v>
      </c>
      <c r="D95" s="64">
        <v>50.75</v>
      </c>
      <c r="E95" s="64">
        <v>2.4</v>
      </c>
      <c r="F95" s="64">
        <v>6.76</v>
      </c>
      <c r="G95" s="64">
        <v>107.63</v>
      </c>
      <c r="H95" s="64">
        <v>9.61</v>
      </c>
      <c r="I95" s="64">
        <v>4.17</v>
      </c>
      <c r="J95" s="64">
        <v>4.84</v>
      </c>
      <c r="K95" s="64">
        <v>287.58</v>
      </c>
      <c r="L95" s="64">
        <v>24.81</v>
      </c>
      <c r="M95" s="64">
        <v>94.12</v>
      </c>
      <c r="N95" s="64">
        <v>73.599999999999994</v>
      </c>
      <c r="O95" s="64">
        <v>0</v>
      </c>
      <c r="P95" s="64">
        <v>0.51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5" t="s">
        <v>2829</v>
      </c>
      <c r="B96" s="64">
        <v>2.78</v>
      </c>
      <c r="C96" s="64">
        <v>28.59</v>
      </c>
      <c r="D96" s="64">
        <v>50.46</v>
      </c>
      <c r="E96" s="64">
        <v>2.7</v>
      </c>
      <c r="F96" s="64">
        <v>6.76</v>
      </c>
      <c r="G96" s="64">
        <v>64.77</v>
      </c>
      <c r="H96" s="64">
        <v>9.23</v>
      </c>
      <c r="I96" s="64">
        <v>3.89</v>
      </c>
      <c r="J96" s="64">
        <v>4.74</v>
      </c>
      <c r="K96" s="64">
        <v>276.3</v>
      </c>
      <c r="L96" s="64">
        <v>25.06</v>
      </c>
      <c r="M96" s="64">
        <v>93.94</v>
      </c>
      <c r="N96" s="64">
        <v>70.900000000000006</v>
      </c>
      <c r="O96" s="64">
        <v>0</v>
      </c>
      <c r="P96" s="64">
        <v>0.5</v>
      </c>
      <c r="Q96" s="64">
        <v>9.5299999999999994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2830</v>
      </c>
      <c r="B97" s="64">
        <v>2.9</v>
      </c>
      <c r="C97" s="64">
        <v>28.68</v>
      </c>
      <c r="D97" s="64">
        <v>50.43</v>
      </c>
      <c r="E97" s="64">
        <v>2.36</v>
      </c>
      <c r="F97" s="64">
        <v>6.23</v>
      </c>
      <c r="G97" s="64">
        <v>52.53</v>
      </c>
      <c r="H97" s="64">
        <v>9.1199999999999992</v>
      </c>
      <c r="I97" s="64">
        <v>3.97</v>
      </c>
      <c r="J97" s="64">
        <v>2.5299999999999998</v>
      </c>
      <c r="K97" s="64">
        <v>328.71</v>
      </c>
      <c r="L97" s="64">
        <v>25.56</v>
      </c>
      <c r="M97" s="64">
        <v>89.33</v>
      </c>
      <c r="N97" s="64">
        <v>71.7</v>
      </c>
      <c r="O97" s="64">
        <v>0</v>
      </c>
      <c r="P97" s="64">
        <v>0.5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5" t="s">
        <v>2831</v>
      </c>
      <c r="B98" s="64">
        <v>3.7</v>
      </c>
      <c r="C98" s="64">
        <v>29.54</v>
      </c>
      <c r="D98" s="64">
        <v>50.86</v>
      </c>
      <c r="E98" s="64">
        <v>2.44</v>
      </c>
      <c r="F98" s="64">
        <v>5.78</v>
      </c>
      <c r="G98" s="64">
        <v>52.53</v>
      </c>
      <c r="H98" s="64">
        <v>9.1199999999999992</v>
      </c>
      <c r="I98" s="64">
        <v>3.91</v>
      </c>
      <c r="J98" s="64">
        <v>2.93</v>
      </c>
      <c r="K98" s="64">
        <v>141.21</v>
      </c>
      <c r="L98" s="64">
        <v>26.21</v>
      </c>
      <c r="M98" s="64">
        <v>83.67</v>
      </c>
      <c r="N98" s="64">
        <v>71.400000000000006</v>
      </c>
      <c r="O98" s="64">
        <v>0</v>
      </c>
      <c r="P98" s="64">
        <v>0.51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5" t="s">
        <v>2832</v>
      </c>
      <c r="B99" s="64">
        <v>4.37</v>
      </c>
      <c r="C99" s="64">
        <v>30.21</v>
      </c>
      <c r="D99" s="64">
        <v>51.11</v>
      </c>
      <c r="E99" s="64">
        <v>2.1800000000000002</v>
      </c>
      <c r="F99" s="64">
        <v>5.71</v>
      </c>
      <c r="G99" s="64">
        <v>52.53</v>
      </c>
      <c r="H99" s="64">
        <v>9.1199999999999992</v>
      </c>
      <c r="I99" s="64">
        <v>4.07</v>
      </c>
      <c r="J99" s="64">
        <v>1.96</v>
      </c>
      <c r="K99" s="64">
        <v>142.13</v>
      </c>
      <c r="L99" s="64">
        <v>26.48</v>
      </c>
      <c r="M99" s="64">
        <v>82.91</v>
      </c>
      <c r="N99" s="64">
        <v>69.099999999999994</v>
      </c>
      <c r="O99" s="64">
        <v>0</v>
      </c>
      <c r="P99" s="64">
        <v>0.5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15" t="s">
        <v>2833</v>
      </c>
      <c r="B100" s="64">
        <v>4.3899999999999997</v>
      </c>
      <c r="C100" s="64">
        <v>30.14</v>
      </c>
      <c r="D100" s="64">
        <v>50.95</v>
      </c>
      <c r="E100" s="64">
        <v>2.02</v>
      </c>
      <c r="F100" s="64">
        <v>6.29</v>
      </c>
      <c r="G100" s="64">
        <v>38.17</v>
      </c>
      <c r="H100" s="64">
        <v>9.0399999999999991</v>
      </c>
      <c r="I100" s="64">
        <v>3.94</v>
      </c>
      <c r="J100" s="64">
        <v>4.21</v>
      </c>
      <c r="K100" s="64">
        <v>158.30000000000001</v>
      </c>
      <c r="L100" s="64">
        <v>26.94</v>
      </c>
      <c r="M100" s="64">
        <v>75.67</v>
      </c>
      <c r="N100" s="64">
        <v>70</v>
      </c>
      <c r="O100" s="64">
        <v>0</v>
      </c>
      <c r="P100" s="64">
        <v>0.48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2834</v>
      </c>
      <c r="B101" s="64">
        <v>3.61</v>
      </c>
      <c r="C101" s="64">
        <v>26.87</v>
      </c>
      <c r="D101" s="64">
        <v>45.89</v>
      </c>
      <c r="E101" s="64">
        <v>2.08</v>
      </c>
      <c r="F101" s="64">
        <v>8.02</v>
      </c>
      <c r="G101" s="64">
        <v>34.07</v>
      </c>
      <c r="H101" s="64">
        <v>9.01</v>
      </c>
      <c r="I101" s="64">
        <v>4.1500000000000004</v>
      </c>
      <c r="J101" s="64">
        <v>1.38</v>
      </c>
      <c r="K101" s="64">
        <v>143.94999999999999</v>
      </c>
      <c r="L101" s="64">
        <v>26.52</v>
      </c>
      <c r="M101" s="64">
        <v>82.65</v>
      </c>
      <c r="N101" s="64">
        <v>71.599999999999994</v>
      </c>
      <c r="O101" s="64">
        <v>0</v>
      </c>
      <c r="P101" s="64">
        <v>0.44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2835</v>
      </c>
      <c r="B102" s="64">
        <v>3.67</v>
      </c>
      <c r="C102" s="64">
        <v>26.94</v>
      </c>
      <c r="D102" s="64">
        <v>45.94</v>
      </c>
      <c r="E102" s="64">
        <v>1.93</v>
      </c>
      <c r="F102" s="64">
        <v>7.56</v>
      </c>
      <c r="G102" s="64">
        <v>34.07</v>
      </c>
      <c r="H102" s="64">
        <v>9.01</v>
      </c>
      <c r="I102" s="64">
        <v>4.18</v>
      </c>
      <c r="J102" s="64">
        <v>1.33</v>
      </c>
      <c r="K102" s="64">
        <v>189.91</v>
      </c>
      <c r="L102" s="64">
        <v>26.01</v>
      </c>
      <c r="M102" s="64">
        <v>86.72</v>
      </c>
      <c r="N102" s="64">
        <v>70.900000000000006</v>
      </c>
      <c r="O102" s="64">
        <v>0</v>
      </c>
      <c r="P102" s="64">
        <v>0.4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15" t="s">
        <v>2836</v>
      </c>
      <c r="B103" s="64">
        <v>3.81</v>
      </c>
      <c r="C103" s="64">
        <v>24.35</v>
      </c>
      <c r="D103" s="64">
        <v>40.75</v>
      </c>
      <c r="E103" s="64">
        <v>2.0299999999999998</v>
      </c>
      <c r="F103" s="64">
        <v>8.4700000000000006</v>
      </c>
      <c r="G103" s="64">
        <v>34.07</v>
      </c>
      <c r="H103" s="64">
        <v>9.01</v>
      </c>
      <c r="I103" s="64">
        <v>3.88</v>
      </c>
      <c r="J103" s="64">
        <v>0.87</v>
      </c>
      <c r="K103" s="64">
        <v>108.61</v>
      </c>
      <c r="L103" s="64">
        <v>26.02</v>
      </c>
      <c r="M103" s="64">
        <v>86.27</v>
      </c>
      <c r="N103" s="64">
        <v>70.2</v>
      </c>
      <c r="O103" s="64">
        <v>0</v>
      </c>
      <c r="P103" s="64">
        <v>0.39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5" t="s">
        <v>2837</v>
      </c>
      <c r="B104" s="64">
        <v>3.54</v>
      </c>
      <c r="C104" s="64">
        <v>25.02</v>
      </c>
      <c r="D104" s="64">
        <v>42.47</v>
      </c>
      <c r="E104" s="64">
        <v>3.32</v>
      </c>
      <c r="F104" s="64">
        <v>7.38</v>
      </c>
      <c r="G104" s="64">
        <v>23.68</v>
      </c>
      <c r="H104" s="64">
        <v>10.48</v>
      </c>
      <c r="I104" s="64">
        <v>3.99</v>
      </c>
      <c r="J104" s="64">
        <v>2.36</v>
      </c>
      <c r="K104" s="64">
        <v>175.42</v>
      </c>
      <c r="L104" s="64">
        <v>26.14</v>
      </c>
      <c r="M104" s="64">
        <v>85.93</v>
      </c>
      <c r="N104" s="64">
        <v>70.099999999999994</v>
      </c>
      <c r="O104" s="64">
        <v>0</v>
      </c>
      <c r="P104" s="64">
        <v>0.41</v>
      </c>
      <c r="Q104" s="64">
        <v>9.56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1.43</v>
      </c>
      <c r="C106" s="67">
        <f>MIN(C9:C104)</f>
        <v>19.84</v>
      </c>
      <c r="D106" s="67">
        <f t="shared" ref="D106:Q106" si="0">MIN(D9:D104)</f>
        <v>35.479999999999997</v>
      </c>
      <c r="E106" s="67">
        <f t="shared" si="0"/>
        <v>1.58</v>
      </c>
      <c r="F106" s="67">
        <f t="shared" si="0"/>
        <v>5.63</v>
      </c>
      <c r="G106" s="67">
        <f t="shared" si="0"/>
        <v>17.07</v>
      </c>
      <c r="H106" s="67">
        <f t="shared" si="0"/>
        <v>7.69</v>
      </c>
      <c r="I106" s="67">
        <f t="shared" si="0"/>
        <v>3.79</v>
      </c>
      <c r="J106" s="67">
        <f t="shared" si="0"/>
        <v>0.87</v>
      </c>
      <c r="K106" s="67">
        <f t="shared" si="0"/>
        <v>108.61</v>
      </c>
      <c r="L106" s="67">
        <f t="shared" si="0"/>
        <v>23.74</v>
      </c>
      <c r="M106" s="67">
        <f t="shared" si="0"/>
        <v>23.55</v>
      </c>
      <c r="N106" s="67">
        <f t="shared" si="0"/>
        <v>57</v>
      </c>
      <c r="O106" s="67">
        <f t="shared" si="0"/>
        <v>0</v>
      </c>
      <c r="P106" s="67">
        <f t="shared" si="0"/>
        <v>0.28000000000000003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33.630000000000003</v>
      </c>
      <c r="C107" s="66">
        <f t="shared" ref="C107:Q107" si="1">MAX(C9:C104)</f>
        <v>80.8</v>
      </c>
      <c r="D107" s="66">
        <f t="shared" si="1"/>
        <v>104.44</v>
      </c>
      <c r="E107" s="66">
        <f t="shared" si="1"/>
        <v>6.46</v>
      </c>
      <c r="F107" s="66">
        <f t="shared" si="1"/>
        <v>24.44</v>
      </c>
      <c r="G107" s="66">
        <f t="shared" si="1"/>
        <v>167.1</v>
      </c>
      <c r="H107" s="66">
        <f t="shared" si="1"/>
        <v>22.52</v>
      </c>
      <c r="I107" s="66">
        <f t="shared" si="1"/>
        <v>4.28</v>
      </c>
      <c r="J107" s="66">
        <f t="shared" si="1"/>
        <v>4.84</v>
      </c>
      <c r="K107" s="66">
        <f t="shared" si="1"/>
        <v>349.15</v>
      </c>
      <c r="L107" s="66">
        <f t="shared" si="1"/>
        <v>41.11</v>
      </c>
      <c r="M107" s="66">
        <f t="shared" si="1"/>
        <v>99.62</v>
      </c>
      <c r="N107" s="66">
        <f t="shared" si="1"/>
        <v>1035.4000000000001</v>
      </c>
      <c r="O107" s="66">
        <f t="shared" si="1"/>
        <v>3.8</v>
      </c>
      <c r="P107" s="66">
        <f t="shared" si="1"/>
        <v>1.73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3.8080208333333325</v>
      </c>
      <c r="C108" s="67">
        <f t="shared" ref="C108:Q108" si="2">AVERAGE(C9:C104)</f>
        <v>27.727291666666655</v>
      </c>
      <c r="D108" s="67">
        <f t="shared" si="2"/>
        <v>47.224583333333335</v>
      </c>
      <c r="E108" s="67">
        <f t="shared" si="2"/>
        <v>2.8024999999999989</v>
      </c>
      <c r="F108" s="67">
        <f t="shared" si="2"/>
        <v>10.000833333333333</v>
      </c>
      <c r="G108" s="67">
        <f t="shared" si="2"/>
        <v>37.688333333333361</v>
      </c>
      <c r="H108" s="67">
        <f t="shared" si="2"/>
        <v>12.44635416666666</v>
      </c>
      <c r="I108" s="67">
        <f t="shared" si="2"/>
        <v>4.0141666666666671</v>
      </c>
      <c r="J108" s="67">
        <f t="shared" si="2"/>
        <v>2.3945833333333333</v>
      </c>
      <c r="K108" s="67">
        <f t="shared" si="2"/>
        <v>215.51604166666664</v>
      </c>
      <c r="L108" s="67">
        <f t="shared" si="2"/>
        <v>32.026770833333323</v>
      </c>
      <c r="M108" s="67">
        <f t="shared" si="2"/>
        <v>55.772187500000001</v>
      </c>
      <c r="N108" s="67">
        <f t="shared" si="2"/>
        <v>285.01979166666655</v>
      </c>
      <c r="O108" s="67">
        <f t="shared" si="2"/>
        <v>0.11041666666666666</v>
      </c>
      <c r="P108" s="67">
        <f t="shared" si="2"/>
        <v>0.4649999999999998</v>
      </c>
      <c r="Q108" s="67">
        <f t="shared" si="2"/>
        <v>9.4736458333333307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5.0441496325298356</v>
      </c>
      <c r="C109" s="67">
        <f t="shared" ref="C109:Q109" si="3">STDEV(C9:C104)</f>
        <v>9.7936953381853549</v>
      </c>
      <c r="D109" s="67">
        <f t="shared" si="3"/>
        <v>11.469616973062832</v>
      </c>
      <c r="E109" s="67">
        <f t="shared" si="3"/>
        <v>0.8527343018043142</v>
      </c>
      <c r="F109" s="67">
        <f t="shared" si="3"/>
        <v>5.0148001307008485</v>
      </c>
      <c r="G109" s="67">
        <f t="shared" si="3"/>
        <v>32.055805703464131</v>
      </c>
      <c r="H109" s="67">
        <f t="shared" si="3"/>
        <v>3.7238709683654792</v>
      </c>
      <c r="I109" s="67">
        <f t="shared" si="3"/>
        <v>9.7610036872473424E-2</v>
      </c>
      <c r="J109" s="67">
        <f t="shared" si="3"/>
        <v>1.070579692126177</v>
      </c>
      <c r="K109" s="67">
        <f t="shared" si="3"/>
        <v>59.492151529763923</v>
      </c>
      <c r="L109" s="67">
        <f t="shared" si="3"/>
        <v>5.413416373339544</v>
      </c>
      <c r="M109" s="67">
        <f t="shared" si="3"/>
        <v>24.095590870011868</v>
      </c>
      <c r="N109" s="67">
        <f t="shared" si="3"/>
        <v>310.04154649261949</v>
      </c>
      <c r="O109" s="67">
        <f t="shared" si="3"/>
        <v>0.58749766703530815</v>
      </c>
      <c r="P109" s="67">
        <f t="shared" si="3"/>
        <v>0.23367994306203077</v>
      </c>
      <c r="Q109" s="67">
        <f t="shared" si="3"/>
        <v>4.72422601105289E-2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2838</v>
      </c>
      <c r="B9" s="64">
        <v>3.59</v>
      </c>
      <c r="C9" s="64">
        <v>24.86</v>
      </c>
      <c r="D9" s="64">
        <v>42.08</v>
      </c>
      <c r="E9" s="64">
        <v>3.72</v>
      </c>
      <c r="F9" s="64">
        <v>7.77</v>
      </c>
      <c r="G9" s="64">
        <v>20.71</v>
      </c>
      <c r="H9" s="64">
        <v>10.9</v>
      </c>
      <c r="I9" s="64">
        <v>3.92</v>
      </c>
      <c r="J9" s="64">
        <v>1.36</v>
      </c>
      <c r="K9" s="64">
        <v>181.31</v>
      </c>
      <c r="L9" s="64">
        <v>26.07</v>
      </c>
      <c r="M9" s="64">
        <v>86.26</v>
      </c>
      <c r="N9" s="64">
        <v>70.2</v>
      </c>
      <c r="O9" s="64">
        <v>0</v>
      </c>
      <c r="P9" s="64">
        <v>0.38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5" t="s">
        <v>2839</v>
      </c>
      <c r="B10" s="64">
        <v>3.77</v>
      </c>
      <c r="C10" s="64">
        <v>24.25</v>
      </c>
      <c r="D10" s="64">
        <v>40.619999999999997</v>
      </c>
      <c r="E10" s="64">
        <v>3.52</v>
      </c>
      <c r="F10" s="64">
        <v>8.49</v>
      </c>
      <c r="G10" s="64">
        <v>20.71</v>
      </c>
      <c r="H10" s="64">
        <v>10.9</v>
      </c>
      <c r="I10" s="64">
        <v>3.88</v>
      </c>
      <c r="J10" s="64">
        <v>1.59</v>
      </c>
      <c r="K10" s="64">
        <v>178.6</v>
      </c>
      <c r="L10" s="64">
        <v>25.94</v>
      </c>
      <c r="M10" s="64">
        <v>89.46</v>
      </c>
      <c r="N10" s="64">
        <v>70.2</v>
      </c>
      <c r="O10" s="64">
        <v>0</v>
      </c>
      <c r="P10" s="64">
        <v>0.35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5" t="s">
        <v>2840</v>
      </c>
      <c r="B11" s="64">
        <v>4.34</v>
      </c>
      <c r="C11" s="64">
        <v>25</v>
      </c>
      <c r="D11" s="64">
        <v>41.17</v>
      </c>
      <c r="E11" s="64">
        <v>3.64</v>
      </c>
      <c r="F11" s="64">
        <v>5.91</v>
      </c>
      <c r="G11" s="64">
        <v>20.71</v>
      </c>
      <c r="H11" s="64">
        <v>10.9</v>
      </c>
      <c r="I11" s="64">
        <v>4.09</v>
      </c>
      <c r="J11" s="64">
        <v>2.2799999999999998</v>
      </c>
      <c r="K11" s="64">
        <v>170.83</v>
      </c>
      <c r="L11" s="64">
        <v>25.98</v>
      </c>
      <c r="M11" s="64">
        <v>86.72</v>
      </c>
      <c r="N11" s="64">
        <v>70</v>
      </c>
      <c r="O11" s="64">
        <v>0</v>
      </c>
      <c r="P11" s="64">
        <v>0.39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5" t="s">
        <v>2841</v>
      </c>
      <c r="B12" s="64">
        <v>4.59</v>
      </c>
      <c r="C12" s="64">
        <v>25.78</v>
      </c>
      <c r="D12" s="64">
        <v>42.29</v>
      </c>
      <c r="E12" s="64">
        <v>3.58</v>
      </c>
      <c r="F12" s="64">
        <v>6.81</v>
      </c>
      <c r="G12" s="64">
        <v>10.88</v>
      </c>
      <c r="H12" s="64">
        <v>9.15</v>
      </c>
      <c r="I12" s="64">
        <v>4.01</v>
      </c>
      <c r="J12" s="64">
        <v>2.13</v>
      </c>
      <c r="K12" s="64">
        <v>163.86</v>
      </c>
      <c r="L12" s="64">
        <v>25.84</v>
      </c>
      <c r="M12" s="64">
        <v>87.59</v>
      </c>
      <c r="N12" s="64">
        <v>71.099999999999994</v>
      </c>
      <c r="O12" s="64">
        <v>0</v>
      </c>
      <c r="P12" s="64">
        <v>0.37</v>
      </c>
      <c r="Q12" s="64">
        <v>9.56</v>
      </c>
      <c r="R12" s="198"/>
      <c r="S12" s="198"/>
      <c r="T12" s="198"/>
      <c r="U12" s="198"/>
    </row>
    <row r="13" spans="1:21" s="12" customFormat="1" x14ac:dyDescent="0.25">
      <c r="A13" s="215" t="s">
        <v>2842</v>
      </c>
      <c r="B13" s="64">
        <v>5.07</v>
      </c>
      <c r="C13" s="64">
        <v>27.9</v>
      </c>
      <c r="D13" s="64">
        <v>45.62</v>
      </c>
      <c r="E13" s="64">
        <v>3.4</v>
      </c>
      <c r="F13" s="64">
        <v>6.06</v>
      </c>
      <c r="G13" s="64">
        <v>8.07</v>
      </c>
      <c r="H13" s="64">
        <v>8.65</v>
      </c>
      <c r="I13" s="64">
        <v>3.97</v>
      </c>
      <c r="J13" s="64">
        <v>2.15</v>
      </c>
      <c r="K13" s="64">
        <v>162.43</v>
      </c>
      <c r="L13" s="64">
        <v>25.9</v>
      </c>
      <c r="M13" s="64">
        <v>84.86</v>
      </c>
      <c r="N13" s="64">
        <v>76.8</v>
      </c>
      <c r="O13" s="64">
        <v>0</v>
      </c>
      <c r="P13" s="64">
        <v>0.35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5" t="s">
        <v>2843</v>
      </c>
      <c r="B14" s="64">
        <v>4.99</v>
      </c>
      <c r="C14" s="64">
        <v>27.6</v>
      </c>
      <c r="D14" s="64">
        <v>45.17</v>
      </c>
      <c r="E14" s="64">
        <v>3.57</v>
      </c>
      <c r="F14" s="64">
        <v>5.93</v>
      </c>
      <c r="G14" s="64">
        <v>8.07</v>
      </c>
      <c r="H14" s="64">
        <v>8.65</v>
      </c>
      <c r="I14" s="64">
        <v>3.91</v>
      </c>
      <c r="J14" s="64">
        <v>2.13</v>
      </c>
      <c r="K14" s="64">
        <v>170.03</v>
      </c>
      <c r="L14" s="64">
        <v>25.87</v>
      </c>
      <c r="M14" s="64">
        <v>84.01</v>
      </c>
      <c r="N14" s="64">
        <v>81.3</v>
      </c>
      <c r="O14" s="64">
        <v>0</v>
      </c>
      <c r="P14" s="64">
        <v>0.38</v>
      </c>
      <c r="Q14" s="64">
        <v>9.56</v>
      </c>
      <c r="R14" s="198"/>
      <c r="S14" s="198"/>
      <c r="T14" s="198"/>
      <c r="U14" s="198"/>
    </row>
    <row r="15" spans="1:21" s="12" customFormat="1" x14ac:dyDescent="0.25">
      <c r="A15" s="215" t="s">
        <v>2844</v>
      </c>
      <c r="B15" s="64">
        <v>4.9800000000000004</v>
      </c>
      <c r="C15" s="64">
        <v>27.34</v>
      </c>
      <c r="D15" s="64">
        <v>44.69</v>
      </c>
      <c r="E15" s="64">
        <v>3.61</v>
      </c>
      <c r="F15" s="64">
        <v>5.55</v>
      </c>
      <c r="G15" s="64">
        <v>8.07</v>
      </c>
      <c r="H15" s="64">
        <v>8.65</v>
      </c>
      <c r="I15" s="64">
        <v>3.95</v>
      </c>
      <c r="J15" s="64">
        <v>2.36</v>
      </c>
      <c r="K15" s="64">
        <v>167.44</v>
      </c>
      <c r="L15" s="64">
        <v>25.82</v>
      </c>
      <c r="M15" s="64">
        <v>83.44</v>
      </c>
      <c r="N15" s="64">
        <v>82.5</v>
      </c>
      <c r="O15" s="64">
        <v>0</v>
      </c>
      <c r="P15" s="64">
        <v>0.38</v>
      </c>
      <c r="Q15" s="64">
        <v>9.56</v>
      </c>
      <c r="R15" s="198"/>
      <c r="S15" s="198"/>
      <c r="T15" s="198"/>
      <c r="U15" s="198"/>
    </row>
    <row r="16" spans="1:21" s="12" customFormat="1" x14ac:dyDescent="0.25">
      <c r="A16" s="215" t="s">
        <v>2845</v>
      </c>
      <c r="B16" s="64">
        <v>4.8</v>
      </c>
      <c r="C16" s="64">
        <v>26.79</v>
      </c>
      <c r="D16" s="64">
        <v>43.9</v>
      </c>
      <c r="E16" s="64">
        <v>3.53</v>
      </c>
      <c r="F16" s="64">
        <v>6.84</v>
      </c>
      <c r="G16" s="64">
        <v>18.059999999999999</v>
      </c>
      <c r="H16" s="64">
        <v>8.4</v>
      </c>
      <c r="I16" s="64">
        <v>3.98</v>
      </c>
      <c r="J16" s="64">
        <v>1.17</v>
      </c>
      <c r="K16" s="64">
        <v>206.94</v>
      </c>
      <c r="L16" s="64">
        <v>25.62</v>
      </c>
      <c r="M16" s="64">
        <v>86.88</v>
      </c>
      <c r="N16" s="64">
        <v>80.099999999999994</v>
      </c>
      <c r="O16" s="64">
        <v>0</v>
      </c>
      <c r="P16" s="64">
        <v>0.37</v>
      </c>
      <c r="Q16" s="64">
        <v>9.57</v>
      </c>
      <c r="R16" s="198"/>
      <c r="S16" s="198"/>
      <c r="T16" s="198"/>
      <c r="U16" s="198"/>
    </row>
    <row r="17" spans="1:21" s="12" customFormat="1" x14ac:dyDescent="0.25">
      <c r="A17" s="215" t="s">
        <v>2846</v>
      </c>
      <c r="B17" s="64">
        <v>4.84</v>
      </c>
      <c r="C17" s="64">
        <v>27.03</v>
      </c>
      <c r="D17" s="64">
        <v>44.3</v>
      </c>
      <c r="E17" s="64">
        <v>3.7</v>
      </c>
      <c r="F17" s="64">
        <v>5.63</v>
      </c>
      <c r="G17" s="64">
        <v>20.92</v>
      </c>
      <c r="H17" s="64">
        <v>8.33</v>
      </c>
      <c r="I17" s="64">
        <v>3.89</v>
      </c>
      <c r="J17" s="64">
        <v>2.09</v>
      </c>
      <c r="K17" s="64">
        <v>168.89</v>
      </c>
      <c r="L17" s="64">
        <v>25.54</v>
      </c>
      <c r="M17" s="64">
        <v>86.96</v>
      </c>
      <c r="N17" s="64">
        <v>72.3</v>
      </c>
      <c r="O17" s="64">
        <v>0</v>
      </c>
      <c r="P17" s="64">
        <v>0.36</v>
      </c>
      <c r="Q17" s="64">
        <v>9.58</v>
      </c>
      <c r="R17" s="198"/>
      <c r="S17" s="198"/>
      <c r="T17" s="198"/>
      <c r="U17" s="198"/>
    </row>
    <row r="18" spans="1:21" s="12" customFormat="1" x14ac:dyDescent="0.25">
      <c r="A18" s="215" t="s">
        <v>2847</v>
      </c>
      <c r="B18" s="64">
        <v>4.8600000000000003</v>
      </c>
      <c r="C18" s="64">
        <v>26.86</v>
      </c>
      <c r="D18" s="64">
        <v>43.94</v>
      </c>
      <c r="E18" s="64">
        <v>3.85</v>
      </c>
      <c r="F18" s="64">
        <v>5.39</v>
      </c>
      <c r="G18" s="64">
        <v>20.92</v>
      </c>
      <c r="H18" s="64">
        <v>8.33</v>
      </c>
      <c r="I18" s="64">
        <v>4.03</v>
      </c>
      <c r="J18" s="64">
        <v>2.4</v>
      </c>
      <c r="K18" s="64">
        <v>168.41</v>
      </c>
      <c r="L18" s="64">
        <v>25.76</v>
      </c>
      <c r="M18" s="64">
        <v>83.97</v>
      </c>
      <c r="N18" s="64">
        <v>73.5</v>
      </c>
      <c r="O18" s="64">
        <v>0</v>
      </c>
      <c r="P18" s="64">
        <v>0.35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5" t="s">
        <v>2848</v>
      </c>
      <c r="B19" s="64">
        <v>4.67</v>
      </c>
      <c r="C19" s="64">
        <v>26.75</v>
      </c>
      <c r="D19" s="64">
        <v>44.02</v>
      </c>
      <c r="E19" s="64">
        <v>3.41</v>
      </c>
      <c r="F19" s="64">
        <v>5.38</v>
      </c>
      <c r="G19" s="64">
        <v>20.92</v>
      </c>
      <c r="H19" s="64">
        <v>8.33</v>
      </c>
      <c r="I19" s="64">
        <v>3.86</v>
      </c>
      <c r="J19" s="64">
        <v>1.81</v>
      </c>
      <c r="K19" s="64">
        <v>189.5</v>
      </c>
      <c r="L19" s="64">
        <v>25.71</v>
      </c>
      <c r="M19" s="64">
        <v>86.12</v>
      </c>
      <c r="N19" s="64">
        <v>73.7</v>
      </c>
      <c r="O19" s="64">
        <v>0</v>
      </c>
      <c r="P19" s="64">
        <v>0.36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5" t="s">
        <v>2849</v>
      </c>
      <c r="B20" s="64">
        <v>4.21</v>
      </c>
      <c r="C20" s="64">
        <v>26.22</v>
      </c>
      <c r="D20" s="64">
        <v>43.72</v>
      </c>
      <c r="E20" s="64">
        <v>3.53</v>
      </c>
      <c r="F20" s="64">
        <v>5.98</v>
      </c>
      <c r="G20" s="64">
        <v>12.65</v>
      </c>
      <c r="H20" s="64">
        <v>8.4499999999999993</v>
      </c>
      <c r="I20" s="64">
        <v>4.04</v>
      </c>
      <c r="J20" s="64">
        <v>2.5099999999999998</v>
      </c>
      <c r="K20" s="64">
        <v>270.95999999999998</v>
      </c>
      <c r="L20" s="64">
        <v>25.77</v>
      </c>
      <c r="M20" s="64">
        <v>85.72</v>
      </c>
      <c r="N20" s="64">
        <v>72.400000000000006</v>
      </c>
      <c r="O20" s="64">
        <v>0</v>
      </c>
      <c r="P20" s="64">
        <v>0.34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5" t="s">
        <v>2850</v>
      </c>
      <c r="B21" s="64">
        <v>3.12</v>
      </c>
      <c r="C21" s="64">
        <v>26.01</v>
      </c>
      <c r="D21" s="64">
        <v>44.98</v>
      </c>
      <c r="E21" s="64">
        <v>3.46</v>
      </c>
      <c r="F21" s="64">
        <v>6.31</v>
      </c>
      <c r="G21" s="64">
        <v>10.28</v>
      </c>
      <c r="H21" s="64">
        <v>8.49</v>
      </c>
      <c r="I21" s="64">
        <v>3.92</v>
      </c>
      <c r="J21" s="64">
        <v>3.67</v>
      </c>
      <c r="K21" s="64">
        <v>277.64</v>
      </c>
      <c r="L21" s="64">
        <v>26.33</v>
      </c>
      <c r="M21" s="64">
        <v>74.34</v>
      </c>
      <c r="N21" s="64">
        <v>73.7</v>
      </c>
      <c r="O21" s="64">
        <v>0</v>
      </c>
      <c r="P21" s="64">
        <v>0.35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5" t="s">
        <v>2851</v>
      </c>
      <c r="B22" s="64">
        <v>2.27</v>
      </c>
      <c r="C22" s="64">
        <v>25.12</v>
      </c>
      <c r="D22" s="64">
        <v>44.6</v>
      </c>
      <c r="E22" s="64">
        <v>3.55</v>
      </c>
      <c r="F22" s="64">
        <v>6.69</v>
      </c>
      <c r="G22" s="64">
        <v>10.28</v>
      </c>
      <c r="H22" s="64">
        <v>8.49</v>
      </c>
      <c r="I22" s="64">
        <v>3.98</v>
      </c>
      <c r="J22" s="64">
        <v>3.42</v>
      </c>
      <c r="K22" s="64">
        <v>277.3</v>
      </c>
      <c r="L22" s="64">
        <v>25.12</v>
      </c>
      <c r="M22" s="64">
        <v>76.64</v>
      </c>
      <c r="N22" s="64">
        <v>74.2</v>
      </c>
      <c r="O22" s="64">
        <v>0.2</v>
      </c>
      <c r="P22" s="64">
        <v>0.37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5" t="s">
        <v>2852</v>
      </c>
      <c r="B23" s="64">
        <v>1.85</v>
      </c>
      <c r="C23" s="64">
        <v>23.51</v>
      </c>
      <c r="D23" s="64">
        <v>42.16</v>
      </c>
      <c r="E23" s="64">
        <v>3.58</v>
      </c>
      <c r="F23" s="64">
        <v>7.4</v>
      </c>
      <c r="G23" s="64">
        <v>10.28</v>
      </c>
      <c r="H23" s="64">
        <v>8.49</v>
      </c>
      <c r="I23" s="64">
        <v>3.99</v>
      </c>
      <c r="J23" s="64">
        <v>3.41</v>
      </c>
      <c r="K23" s="64">
        <v>277.27999999999997</v>
      </c>
      <c r="L23" s="64">
        <v>25.83</v>
      </c>
      <c r="M23" s="64">
        <v>65.14</v>
      </c>
      <c r="N23" s="64">
        <v>71.2</v>
      </c>
      <c r="O23" s="64">
        <v>0</v>
      </c>
      <c r="P23" s="64">
        <v>0.36</v>
      </c>
      <c r="Q23" s="64">
        <v>9.48</v>
      </c>
      <c r="R23" s="198"/>
      <c r="S23" s="198"/>
      <c r="T23" s="198"/>
      <c r="U23" s="198"/>
    </row>
    <row r="24" spans="1:21" s="12" customFormat="1" x14ac:dyDescent="0.25">
      <c r="A24" s="215" t="s">
        <v>2853</v>
      </c>
      <c r="B24" s="64">
        <v>1.79</v>
      </c>
      <c r="C24" s="64">
        <v>22.5</v>
      </c>
      <c r="D24" s="64">
        <v>40.31</v>
      </c>
      <c r="E24" s="64">
        <v>3.65</v>
      </c>
      <c r="F24" s="64">
        <v>12.08</v>
      </c>
      <c r="G24" s="64">
        <v>11.33</v>
      </c>
      <c r="H24" s="64">
        <v>6.51</v>
      </c>
      <c r="I24" s="64">
        <v>3.98</v>
      </c>
      <c r="J24" s="64">
        <v>0.56000000000000005</v>
      </c>
      <c r="K24" s="64">
        <v>131.15</v>
      </c>
      <c r="L24" s="64">
        <v>26.6</v>
      </c>
      <c r="M24" s="64">
        <v>54.95</v>
      </c>
      <c r="N24" s="64">
        <v>71.2</v>
      </c>
      <c r="O24" s="64">
        <v>0.2</v>
      </c>
      <c r="P24" s="64">
        <v>0.28999999999999998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5" t="s">
        <v>2854</v>
      </c>
      <c r="B25" s="64">
        <v>2.17</v>
      </c>
      <c r="C25" s="64">
        <v>23.17</v>
      </c>
      <c r="D25" s="64">
        <v>41.02</v>
      </c>
      <c r="E25" s="64">
        <v>3.75</v>
      </c>
      <c r="F25" s="64">
        <v>13.37</v>
      </c>
      <c r="G25" s="64">
        <v>11.62</v>
      </c>
      <c r="H25" s="64">
        <v>5.94</v>
      </c>
      <c r="I25" s="64">
        <v>4.03</v>
      </c>
      <c r="J25" s="64">
        <v>0.49</v>
      </c>
      <c r="K25" s="64">
        <v>220.87</v>
      </c>
      <c r="L25" s="64">
        <v>28.37</v>
      </c>
      <c r="M25" s="64">
        <v>49.7</v>
      </c>
      <c r="N25" s="64">
        <v>74.7</v>
      </c>
      <c r="O25" s="64">
        <v>0</v>
      </c>
      <c r="P25" s="64">
        <v>0.24</v>
      </c>
      <c r="Q25" s="64">
        <v>9.43</v>
      </c>
      <c r="R25" s="198"/>
      <c r="S25" s="198"/>
      <c r="T25" s="198"/>
      <c r="U25" s="198"/>
    </row>
    <row r="26" spans="1:21" s="12" customFormat="1" x14ac:dyDescent="0.25">
      <c r="A26" s="215" t="s">
        <v>2855</v>
      </c>
      <c r="B26" s="64">
        <v>3.88</v>
      </c>
      <c r="C26" s="64">
        <v>28.22</v>
      </c>
      <c r="D26" s="64">
        <v>48.07</v>
      </c>
      <c r="E26" s="64">
        <v>3.45</v>
      </c>
      <c r="F26" s="64">
        <v>9.41</v>
      </c>
      <c r="G26" s="64">
        <v>11.62</v>
      </c>
      <c r="H26" s="64">
        <v>5.94</v>
      </c>
      <c r="I26" s="64">
        <v>3.83</v>
      </c>
      <c r="J26" s="64">
        <v>1.1499999999999999</v>
      </c>
      <c r="K26" s="64">
        <v>224.53</v>
      </c>
      <c r="L26" s="64">
        <v>27.75</v>
      </c>
      <c r="M26" s="64">
        <v>53.22</v>
      </c>
      <c r="N26" s="64">
        <v>76.599999999999994</v>
      </c>
      <c r="O26" s="64">
        <v>0</v>
      </c>
      <c r="P26" s="64">
        <v>0.26</v>
      </c>
      <c r="Q26" s="64">
        <v>9.43</v>
      </c>
      <c r="R26" s="198"/>
      <c r="S26" s="198"/>
      <c r="T26" s="198"/>
      <c r="U26" s="198"/>
    </row>
    <row r="27" spans="1:21" s="12" customFormat="1" x14ac:dyDescent="0.25">
      <c r="A27" s="215" t="s">
        <v>2856</v>
      </c>
      <c r="B27" s="64">
        <v>2.17</v>
      </c>
      <c r="C27" s="64">
        <v>28</v>
      </c>
      <c r="D27" s="64">
        <v>50.27</v>
      </c>
      <c r="E27" s="64">
        <v>4.04</v>
      </c>
      <c r="F27" s="64">
        <v>11.13</v>
      </c>
      <c r="G27" s="64">
        <v>11.62</v>
      </c>
      <c r="H27" s="64">
        <v>5.94</v>
      </c>
      <c r="I27" s="64">
        <v>4.04</v>
      </c>
      <c r="J27" s="64">
        <v>1.61</v>
      </c>
      <c r="K27" s="64">
        <v>240.87</v>
      </c>
      <c r="L27" s="64">
        <v>27.73</v>
      </c>
      <c r="M27" s="64">
        <v>52.65</v>
      </c>
      <c r="N27" s="64">
        <v>76.8</v>
      </c>
      <c r="O27" s="64">
        <v>0</v>
      </c>
      <c r="P27" s="64">
        <v>0.25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15" t="s">
        <v>2857</v>
      </c>
      <c r="B28" s="64">
        <v>2.8</v>
      </c>
      <c r="C28" s="64">
        <v>26.84</v>
      </c>
      <c r="D28" s="64">
        <v>47.06</v>
      </c>
      <c r="E28" s="64">
        <v>3.72</v>
      </c>
      <c r="F28" s="64">
        <v>7.59</v>
      </c>
      <c r="G28" s="64">
        <v>10.65</v>
      </c>
      <c r="H28" s="64">
        <v>4.5599999999999996</v>
      </c>
      <c r="I28" s="64">
        <v>3.98</v>
      </c>
      <c r="J28" s="64">
        <v>1.47</v>
      </c>
      <c r="K28" s="64">
        <v>271</v>
      </c>
      <c r="L28" s="64">
        <v>28</v>
      </c>
      <c r="M28" s="64">
        <v>50.18</v>
      </c>
      <c r="N28" s="64">
        <v>75.599999999999994</v>
      </c>
      <c r="O28" s="64">
        <v>0</v>
      </c>
      <c r="P28" s="64">
        <v>0.3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5" t="s">
        <v>2858</v>
      </c>
      <c r="B29" s="64">
        <v>3.16</v>
      </c>
      <c r="C29" s="64">
        <v>26.54</v>
      </c>
      <c r="D29" s="64">
        <v>45.95</v>
      </c>
      <c r="E29" s="64">
        <v>3.68</v>
      </c>
      <c r="F29" s="64">
        <v>9.52</v>
      </c>
      <c r="G29" s="64">
        <v>10.37</v>
      </c>
      <c r="H29" s="64">
        <v>4.16</v>
      </c>
      <c r="I29" s="64">
        <v>4.18</v>
      </c>
      <c r="J29" s="64">
        <v>1.87</v>
      </c>
      <c r="K29" s="64">
        <v>272.16000000000003</v>
      </c>
      <c r="L29" s="64">
        <v>27.79</v>
      </c>
      <c r="M29" s="64">
        <v>52.49</v>
      </c>
      <c r="N29" s="64">
        <v>76.3</v>
      </c>
      <c r="O29" s="64">
        <v>0</v>
      </c>
      <c r="P29" s="64">
        <v>0.28000000000000003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5" t="s">
        <v>2859</v>
      </c>
      <c r="B30" s="64">
        <v>3.45</v>
      </c>
      <c r="C30" s="64">
        <v>27.89</v>
      </c>
      <c r="D30" s="64">
        <v>48.09</v>
      </c>
      <c r="E30" s="64">
        <v>3.66</v>
      </c>
      <c r="F30" s="64">
        <v>6.94</v>
      </c>
      <c r="G30" s="64">
        <v>10.37</v>
      </c>
      <c r="H30" s="64">
        <v>4.16</v>
      </c>
      <c r="I30" s="64">
        <v>4.09</v>
      </c>
      <c r="J30" s="64">
        <v>2.5499999999999998</v>
      </c>
      <c r="K30" s="64">
        <v>277.56</v>
      </c>
      <c r="L30" s="64">
        <v>27.13</v>
      </c>
      <c r="M30" s="64">
        <v>57.69</v>
      </c>
      <c r="N30" s="64">
        <v>76.599999999999994</v>
      </c>
      <c r="O30" s="64">
        <v>0</v>
      </c>
      <c r="P30" s="64">
        <v>0.28999999999999998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5" t="s">
        <v>2860</v>
      </c>
      <c r="B31" s="64">
        <v>3.31</v>
      </c>
      <c r="C31" s="64">
        <v>28.41</v>
      </c>
      <c r="D31" s="64">
        <v>49.3</v>
      </c>
      <c r="E31" s="64">
        <v>3.59</v>
      </c>
      <c r="F31" s="64">
        <v>6.43</v>
      </c>
      <c r="G31" s="64">
        <v>10.37</v>
      </c>
      <c r="H31" s="64">
        <v>4.16</v>
      </c>
      <c r="I31" s="64">
        <v>4.0199999999999996</v>
      </c>
      <c r="J31" s="64">
        <v>1.1299999999999999</v>
      </c>
      <c r="K31" s="64">
        <v>238.35</v>
      </c>
      <c r="L31" s="64">
        <v>27.09</v>
      </c>
      <c r="M31" s="64">
        <v>55.08</v>
      </c>
      <c r="N31" s="64">
        <v>78.8</v>
      </c>
      <c r="O31" s="64">
        <v>0</v>
      </c>
      <c r="P31" s="64">
        <v>0.3</v>
      </c>
      <c r="Q31" s="64">
        <v>9.48</v>
      </c>
      <c r="R31" s="198"/>
      <c r="S31" s="198"/>
      <c r="T31" s="198"/>
      <c r="U31" s="198"/>
    </row>
    <row r="32" spans="1:21" s="12" customFormat="1" x14ac:dyDescent="0.25">
      <c r="A32" s="215" t="s">
        <v>2861</v>
      </c>
      <c r="B32" s="64">
        <v>5.68</v>
      </c>
      <c r="C32" s="64">
        <v>30.87</v>
      </c>
      <c r="D32" s="64">
        <v>50.36</v>
      </c>
      <c r="E32" s="64">
        <v>3.91</v>
      </c>
      <c r="F32" s="64">
        <v>6.89</v>
      </c>
      <c r="G32" s="64">
        <v>12.34</v>
      </c>
      <c r="H32" s="64">
        <v>3.19</v>
      </c>
      <c r="I32" s="64">
        <v>4.0999999999999996</v>
      </c>
      <c r="J32" s="64">
        <v>1.6</v>
      </c>
      <c r="K32" s="64">
        <v>174.46</v>
      </c>
      <c r="L32" s="64">
        <v>27.53</v>
      </c>
      <c r="M32" s="64">
        <v>53.83</v>
      </c>
      <c r="N32" s="64">
        <v>93.7</v>
      </c>
      <c r="O32" s="64">
        <v>0</v>
      </c>
      <c r="P32" s="64">
        <v>0.31</v>
      </c>
      <c r="Q32" s="64">
        <v>9.49</v>
      </c>
      <c r="R32" s="198"/>
      <c r="S32" s="198"/>
      <c r="T32" s="198"/>
      <c r="U32" s="198"/>
    </row>
    <row r="33" spans="1:21" s="12" customFormat="1" x14ac:dyDescent="0.25">
      <c r="A33" s="215" t="s">
        <v>2862</v>
      </c>
      <c r="B33" s="64">
        <v>4.93</v>
      </c>
      <c r="C33" s="64">
        <v>29.87</v>
      </c>
      <c r="D33" s="64">
        <v>49.6</v>
      </c>
      <c r="E33" s="64">
        <v>3.36</v>
      </c>
      <c r="F33" s="64">
        <v>7</v>
      </c>
      <c r="G33" s="64">
        <v>12.91</v>
      </c>
      <c r="H33" s="64">
        <v>2.91</v>
      </c>
      <c r="I33" s="64">
        <v>3.89</v>
      </c>
      <c r="J33" s="64">
        <v>0.47</v>
      </c>
      <c r="K33" s="64">
        <v>193.75</v>
      </c>
      <c r="L33" s="64">
        <v>27.19</v>
      </c>
      <c r="M33" s="64">
        <v>61.92</v>
      </c>
      <c r="N33" s="64">
        <v>131.9</v>
      </c>
      <c r="O33" s="64">
        <v>0</v>
      </c>
      <c r="P33" s="64">
        <v>0.33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5" t="s">
        <v>2863</v>
      </c>
      <c r="B34" s="64">
        <v>6.55</v>
      </c>
      <c r="C34" s="64">
        <v>32.15</v>
      </c>
      <c r="D34" s="64">
        <v>51.49</v>
      </c>
      <c r="E34" s="64">
        <v>3.36</v>
      </c>
      <c r="F34" s="64">
        <v>6.95</v>
      </c>
      <c r="G34" s="64">
        <v>12.91</v>
      </c>
      <c r="H34" s="64">
        <v>2.91</v>
      </c>
      <c r="I34" s="64">
        <v>3.87</v>
      </c>
      <c r="J34" s="64">
        <v>1.37</v>
      </c>
      <c r="K34" s="64">
        <v>269.87</v>
      </c>
      <c r="L34" s="64">
        <v>27.59</v>
      </c>
      <c r="M34" s="64">
        <v>65.28</v>
      </c>
      <c r="N34" s="64">
        <v>170.7</v>
      </c>
      <c r="O34" s="64">
        <v>0</v>
      </c>
      <c r="P34" s="64">
        <v>0.36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5" t="s">
        <v>2864</v>
      </c>
      <c r="B35" s="64">
        <v>8.69</v>
      </c>
      <c r="C35" s="64">
        <v>34.200000000000003</v>
      </c>
      <c r="D35" s="64">
        <v>52.12</v>
      </c>
      <c r="E35" s="64">
        <v>3.63</v>
      </c>
      <c r="F35" s="64">
        <v>5.68</v>
      </c>
      <c r="G35" s="64">
        <v>12.91</v>
      </c>
      <c r="H35" s="64">
        <v>2.91</v>
      </c>
      <c r="I35" s="64">
        <v>3.9</v>
      </c>
      <c r="J35" s="64">
        <v>1.06</v>
      </c>
      <c r="K35" s="64">
        <v>245.51</v>
      </c>
      <c r="L35" s="64">
        <v>28.39</v>
      </c>
      <c r="M35" s="64">
        <v>62.49</v>
      </c>
      <c r="N35" s="64">
        <v>217.3</v>
      </c>
      <c r="O35" s="64">
        <v>0</v>
      </c>
      <c r="P35" s="64">
        <v>0.38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5" t="s">
        <v>2865</v>
      </c>
      <c r="B36" s="64">
        <v>10.72</v>
      </c>
      <c r="C36" s="64">
        <v>35.15</v>
      </c>
      <c r="D36" s="64">
        <v>50.82</v>
      </c>
      <c r="E36" s="64">
        <v>3.79</v>
      </c>
      <c r="F36" s="64">
        <v>5.77</v>
      </c>
      <c r="G36" s="64">
        <v>41.84</v>
      </c>
      <c r="H36" s="64">
        <v>2.23</v>
      </c>
      <c r="I36" s="64">
        <v>3.89</v>
      </c>
      <c r="J36" s="64">
        <v>1.46</v>
      </c>
      <c r="K36" s="64">
        <v>318.77999999999997</v>
      </c>
      <c r="L36" s="64">
        <v>29.66</v>
      </c>
      <c r="M36" s="64">
        <v>56.57</v>
      </c>
      <c r="N36" s="64">
        <v>231.6</v>
      </c>
      <c r="O36" s="64">
        <v>0</v>
      </c>
      <c r="P36" s="64">
        <v>0.42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5" t="s">
        <v>2866</v>
      </c>
      <c r="B37" s="64">
        <v>14.36</v>
      </c>
      <c r="C37" s="64">
        <v>39.03</v>
      </c>
      <c r="D37" s="64">
        <v>52.66</v>
      </c>
      <c r="E37" s="64">
        <v>3.71</v>
      </c>
      <c r="F37" s="64">
        <v>5.91</v>
      </c>
      <c r="G37" s="64">
        <v>50.1</v>
      </c>
      <c r="H37" s="64">
        <v>2.04</v>
      </c>
      <c r="I37" s="64">
        <v>3.9</v>
      </c>
      <c r="J37" s="64">
        <v>2.27</v>
      </c>
      <c r="K37" s="64">
        <v>297.27</v>
      </c>
      <c r="L37" s="64">
        <v>30.55</v>
      </c>
      <c r="M37" s="64">
        <v>51.32</v>
      </c>
      <c r="N37" s="64">
        <v>330.7</v>
      </c>
      <c r="O37" s="64">
        <v>0</v>
      </c>
      <c r="P37" s="64">
        <v>0.41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5" t="s">
        <v>2867</v>
      </c>
      <c r="B38" s="64">
        <v>12.92</v>
      </c>
      <c r="C38" s="64">
        <v>37.43</v>
      </c>
      <c r="D38" s="64">
        <v>51.81</v>
      </c>
      <c r="E38" s="64">
        <v>3.52</v>
      </c>
      <c r="F38" s="64">
        <v>5.42</v>
      </c>
      <c r="G38" s="64">
        <v>50.1</v>
      </c>
      <c r="H38" s="64">
        <v>2.04</v>
      </c>
      <c r="I38" s="64">
        <v>4</v>
      </c>
      <c r="J38" s="64">
        <v>2.4500000000000002</v>
      </c>
      <c r="K38" s="64">
        <v>288.95</v>
      </c>
      <c r="L38" s="64">
        <v>32.19</v>
      </c>
      <c r="M38" s="64">
        <v>46.4</v>
      </c>
      <c r="N38" s="64">
        <v>403.8</v>
      </c>
      <c r="O38" s="64">
        <v>0</v>
      </c>
      <c r="P38" s="64">
        <v>0.43</v>
      </c>
      <c r="Q38" s="64">
        <v>9.56</v>
      </c>
      <c r="R38" s="198"/>
      <c r="S38" s="198"/>
      <c r="T38" s="198"/>
      <c r="U38" s="198"/>
    </row>
    <row r="39" spans="1:21" s="12" customFormat="1" x14ac:dyDescent="0.25">
      <c r="A39" s="215" t="s">
        <v>2868</v>
      </c>
      <c r="B39" s="64">
        <v>12.63</v>
      </c>
      <c r="C39" s="64">
        <v>37.31</v>
      </c>
      <c r="D39" s="64">
        <v>52.02</v>
      </c>
      <c r="E39" s="64">
        <v>3.03</v>
      </c>
      <c r="F39" s="64">
        <v>6.21</v>
      </c>
      <c r="G39" s="64">
        <v>50.1</v>
      </c>
      <c r="H39" s="64">
        <v>2.04</v>
      </c>
      <c r="I39" s="64">
        <v>4.07</v>
      </c>
      <c r="J39" s="64">
        <v>2.79</v>
      </c>
      <c r="K39" s="64">
        <v>297.19</v>
      </c>
      <c r="L39" s="64">
        <v>32.700000000000003</v>
      </c>
      <c r="M39" s="64">
        <v>45.12</v>
      </c>
      <c r="N39" s="64">
        <v>461.1</v>
      </c>
      <c r="O39" s="64">
        <v>0</v>
      </c>
      <c r="P39" s="64">
        <v>0.45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5" t="s">
        <v>2869</v>
      </c>
      <c r="B40" s="64">
        <v>16.86</v>
      </c>
      <c r="C40" s="64">
        <v>44.09</v>
      </c>
      <c r="D40" s="64">
        <v>58.52</v>
      </c>
      <c r="E40" s="64">
        <v>3.01</v>
      </c>
      <c r="F40" s="64">
        <v>7.66</v>
      </c>
      <c r="G40" s="64">
        <v>58.97</v>
      </c>
      <c r="H40" s="64">
        <v>1.56</v>
      </c>
      <c r="I40" s="64">
        <v>4.09</v>
      </c>
      <c r="J40" s="64">
        <v>2.52</v>
      </c>
      <c r="K40" s="64">
        <v>310.82</v>
      </c>
      <c r="L40" s="64">
        <v>32.619999999999997</v>
      </c>
      <c r="M40" s="64">
        <v>45.47</v>
      </c>
      <c r="N40" s="64">
        <v>508.6</v>
      </c>
      <c r="O40" s="64">
        <v>0</v>
      </c>
      <c r="P40" s="64">
        <v>0.56999999999999995</v>
      </c>
      <c r="Q40" s="64">
        <v>9.59</v>
      </c>
      <c r="R40" s="198"/>
      <c r="S40" s="198"/>
      <c r="T40" s="198"/>
      <c r="U40" s="198"/>
    </row>
    <row r="41" spans="1:21" s="12" customFormat="1" x14ac:dyDescent="0.25">
      <c r="A41" s="215" t="s">
        <v>2870</v>
      </c>
      <c r="B41" s="64">
        <v>15.75</v>
      </c>
      <c r="C41" s="64">
        <v>43.26</v>
      </c>
      <c r="D41" s="64">
        <v>58.63</v>
      </c>
      <c r="E41" s="64">
        <v>5.24</v>
      </c>
      <c r="F41" s="64">
        <v>8.59</v>
      </c>
      <c r="G41" s="64">
        <v>61.5</v>
      </c>
      <c r="H41" s="64">
        <v>1.43</v>
      </c>
      <c r="I41" s="64">
        <v>4.08</v>
      </c>
      <c r="J41" s="64">
        <v>2.17</v>
      </c>
      <c r="K41" s="64">
        <v>318.12</v>
      </c>
      <c r="L41" s="64">
        <v>33.4</v>
      </c>
      <c r="M41" s="64">
        <v>44.31</v>
      </c>
      <c r="N41" s="64">
        <v>572.4</v>
      </c>
      <c r="O41" s="64">
        <v>0</v>
      </c>
      <c r="P41" s="64">
        <v>0.66</v>
      </c>
      <c r="Q41" s="64">
        <v>9.58</v>
      </c>
      <c r="R41" s="198"/>
      <c r="S41" s="198"/>
      <c r="T41" s="198"/>
      <c r="U41" s="198"/>
    </row>
    <row r="42" spans="1:21" s="12" customFormat="1" x14ac:dyDescent="0.25">
      <c r="A42" s="215" t="s">
        <v>2871</v>
      </c>
      <c r="B42" s="64">
        <v>15.46</v>
      </c>
      <c r="C42" s="64">
        <v>41.04</v>
      </c>
      <c r="D42" s="64">
        <v>54.83</v>
      </c>
      <c r="E42" s="64">
        <v>5.73</v>
      </c>
      <c r="F42" s="64">
        <v>8.75</v>
      </c>
      <c r="G42" s="64">
        <v>61.5</v>
      </c>
      <c r="H42" s="64">
        <v>1.43</v>
      </c>
      <c r="I42" s="64">
        <v>4.1100000000000003</v>
      </c>
      <c r="J42" s="64">
        <v>2.16</v>
      </c>
      <c r="K42" s="64">
        <v>314.81</v>
      </c>
      <c r="L42" s="64">
        <v>34.21</v>
      </c>
      <c r="M42" s="64">
        <v>41.93</v>
      </c>
      <c r="N42" s="64">
        <v>671.1</v>
      </c>
      <c r="O42" s="64">
        <v>0</v>
      </c>
      <c r="P42" s="64">
        <v>0.65</v>
      </c>
      <c r="Q42" s="64">
        <v>9.57</v>
      </c>
      <c r="R42" s="198"/>
      <c r="S42" s="198"/>
      <c r="T42" s="198"/>
      <c r="U42" s="198"/>
    </row>
    <row r="43" spans="1:21" s="12" customFormat="1" x14ac:dyDescent="0.25">
      <c r="A43" s="215" t="s">
        <v>2872</v>
      </c>
      <c r="B43" s="64">
        <v>12.65</v>
      </c>
      <c r="C43" s="64">
        <v>40.950000000000003</v>
      </c>
      <c r="D43" s="64">
        <v>58.96</v>
      </c>
      <c r="E43" s="64">
        <v>6.45</v>
      </c>
      <c r="F43" s="64">
        <v>11.08</v>
      </c>
      <c r="G43" s="64">
        <v>61.5</v>
      </c>
      <c r="H43" s="64">
        <v>1.43</v>
      </c>
      <c r="I43" s="64">
        <v>4.25</v>
      </c>
      <c r="J43" s="64">
        <v>0.22</v>
      </c>
      <c r="K43" s="64">
        <v>316</v>
      </c>
      <c r="L43" s="64">
        <v>34.67</v>
      </c>
      <c r="M43" s="64">
        <v>39.01</v>
      </c>
      <c r="N43" s="64">
        <v>382.2</v>
      </c>
      <c r="O43" s="64">
        <v>0</v>
      </c>
      <c r="P43" s="64">
        <v>0.64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5" t="s">
        <v>2873</v>
      </c>
      <c r="B44" s="64">
        <v>14.71</v>
      </c>
      <c r="C44" s="64">
        <v>42.31</v>
      </c>
      <c r="D44" s="64">
        <v>58.42</v>
      </c>
      <c r="E44" s="64">
        <v>5.82</v>
      </c>
      <c r="F44" s="64">
        <v>11.24</v>
      </c>
      <c r="G44" s="64">
        <v>80.03</v>
      </c>
      <c r="H44" s="64">
        <v>1.0900000000000001</v>
      </c>
      <c r="I44" s="64">
        <v>3.82</v>
      </c>
      <c r="J44" s="64">
        <v>1.6</v>
      </c>
      <c r="K44" s="64">
        <v>287.83</v>
      </c>
      <c r="L44" s="64">
        <v>33.53</v>
      </c>
      <c r="M44" s="64">
        <v>42.31</v>
      </c>
      <c r="N44" s="64">
        <v>545.70000000000005</v>
      </c>
      <c r="O44" s="64">
        <v>0</v>
      </c>
      <c r="P44" s="64">
        <v>0.62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5" t="s">
        <v>2874</v>
      </c>
      <c r="B45" s="64">
        <v>20.420000000000002</v>
      </c>
      <c r="C45" s="64">
        <v>50.91</v>
      </c>
      <c r="D45" s="64">
        <v>66.09</v>
      </c>
      <c r="E45" s="64">
        <v>5.19</v>
      </c>
      <c r="F45" s="64">
        <v>9.6</v>
      </c>
      <c r="G45" s="64">
        <v>85.32</v>
      </c>
      <c r="H45" s="64">
        <v>1</v>
      </c>
      <c r="I45" s="64">
        <v>3.84</v>
      </c>
      <c r="J45" s="64">
        <v>1.53</v>
      </c>
      <c r="K45" s="64">
        <v>272.38</v>
      </c>
      <c r="L45" s="64">
        <v>33.85</v>
      </c>
      <c r="M45" s="64">
        <v>41.16</v>
      </c>
      <c r="N45" s="64">
        <v>342.6</v>
      </c>
      <c r="O45" s="64">
        <v>0</v>
      </c>
      <c r="P45" s="64">
        <v>0.63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15" t="s">
        <v>2875</v>
      </c>
      <c r="B46" s="64">
        <v>15.89</v>
      </c>
      <c r="C46" s="64">
        <v>46.44</v>
      </c>
      <c r="D46" s="64">
        <v>64.510000000000005</v>
      </c>
      <c r="E46" s="64">
        <v>4.9000000000000004</v>
      </c>
      <c r="F46" s="64">
        <v>10.19</v>
      </c>
      <c r="G46" s="64">
        <v>85.32</v>
      </c>
      <c r="H46" s="64">
        <v>1</v>
      </c>
      <c r="I46" s="64">
        <v>4.07</v>
      </c>
      <c r="J46" s="64">
        <v>1.91</v>
      </c>
      <c r="K46" s="64">
        <v>281.01</v>
      </c>
      <c r="L46" s="64">
        <v>33.9</v>
      </c>
      <c r="M46" s="64">
        <v>42.6</v>
      </c>
      <c r="N46" s="64">
        <v>624.1</v>
      </c>
      <c r="O46" s="64">
        <v>0</v>
      </c>
      <c r="P46" s="64">
        <v>0.68</v>
      </c>
      <c r="Q46" s="64">
        <v>9.5399999999999991</v>
      </c>
      <c r="R46" s="198"/>
      <c r="S46" s="198"/>
      <c r="T46" s="198"/>
      <c r="U46" s="198"/>
    </row>
    <row r="47" spans="1:21" s="12" customFormat="1" x14ac:dyDescent="0.25">
      <c r="A47" s="215" t="s">
        <v>2876</v>
      </c>
      <c r="B47" s="64">
        <v>13.39</v>
      </c>
      <c r="C47" s="64">
        <v>38.799999999999997</v>
      </c>
      <c r="D47" s="64">
        <v>53.71</v>
      </c>
      <c r="E47" s="64">
        <v>3.73</v>
      </c>
      <c r="F47" s="64">
        <v>8.8699999999999992</v>
      </c>
      <c r="G47" s="64">
        <v>85.32</v>
      </c>
      <c r="H47" s="64">
        <v>1</v>
      </c>
      <c r="I47" s="64">
        <v>4.04</v>
      </c>
      <c r="J47" s="64">
        <v>1.9</v>
      </c>
      <c r="K47" s="64">
        <v>269.52</v>
      </c>
      <c r="L47" s="64">
        <v>35.630000000000003</v>
      </c>
      <c r="M47" s="64">
        <v>38.450000000000003</v>
      </c>
      <c r="N47" s="64">
        <v>729.2</v>
      </c>
      <c r="O47" s="64">
        <v>0</v>
      </c>
      <c r="P47" s="64">
        <v>0.6</v>
      </c>
      <c r="Q47" s="64">
        <v>9.56</v>
      </c>
      <c r="R47" s="198"/>
      <c r="S47" s="198"/>
      <c r="T47" s="198"/>
      <c r="U47" s="198"/>
    </row>
    <row r="48" spans="1:21" s="12" customFormat="1" x14ac:dyDescent="0.25">
      <c r="A48" s="215" t="s">
        <v>2877</v>
      </c>
      <c r="B48" s="64">
        <v>14.53</v>
      </c>
      <c r="C48" s="64">
        <v>43.13</v>
      </c>
      <c r="D48" s="64">
        <v>60.26</v>
      </c>
      <c r="E48" s="64">
        <v>2.35</v>
      </c>
      <c r="F48" s="64">
        <v>6.16</v>
      </c>
      <c r="G48" s="64">
        <v>72.069999999999993</v>
      </c>
      <c r="H48" s="64">
        <v>17.29</v>
      </c>
      <c r="I48" s="64">
        <v>4.0199999999999996</v>
      </c>
      <c r="J48" s="64">
        <v>1.85</v>
      </c>
      <c r="K48" s="64">
        <v>277.02999999999997</v>
      </c>
      <c r="L48" s="64">
        <v>36.369999999999997</v>
      </c>
      <c r="M48" s="64">
        <v>38.479999999999997</v>
      </c>
      <c r="N48" s="64">
        <v>842.8</v>
      </c>
      <c r="O48" s="64">
        <v>0</v>
      </c>
      <c r="P48" s="64">
        <v>0.63</v>
      </c>
      <c r="Q48" s="64">
        <v>9.5399999999999991</v>
      </c>
      <c r="R48" s="198"/>
      <c r="S48" s="198"/>
      <c r="T48" s="198"/>
      <c r="U48" s="198"/>
    </row>
    <row r="49" spans="1:21" s="12" customFormat="1" x14ac:dyDescent="0.25">
      <c r="A49" s="215" t="s">
        <v>2878</v>
      </c>
      <c r="B49" s="64">
        <v>14.8</v>
      </c>
      <c r="C49" s="64">
        <v>43.34</v>
      </c>
      <c r="D49" s="64">
        <v>60.24</v>
      </c>
      <c r="E49" s="64">
        <v>2.1</v>
      </c>
      <c r="F49" s="64">
        <v>6.68</v>
      </c>
      <c r="G49" s="64">
        <v>68.28</v>
      </c>
      <c r="H49" s="64">
        <v>21.94</v>
      </c>
      <c r="I49" s="64">
        <v>3.82</v>
      </c>
      <c r="J49" s="64">
        <v>1.27</v>
      </c>
      <c r="K49" s="64">
        <v>259.57</v>
      </c>
      <c r="L49" s="64">
        <v>36.57</v>
      </c>
      <c r="M49" s="64">
        <v>38.840000000000003</v>
      </c>
      <c r="N49" s="64">
        <v>876.1</v>
      </c>
      <c r="O49" s="64">
        <v>0</v>
      </c>
      <c r="P49" s="64">
        <v>0.64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5" t="s">
        <v>2879</v>
      </c>
      <c r="B50" s="64">
        <v>10.97</v>
      </c>
      <c r="C50" s="64">
        <v>39.950000000000003</v>
      </c>
      <c r="D50" s="64">
        <v>59.62</v>
      </c>
      <c r="E50" s="64">
        <v>1.96</v>
      </c>
      <c r="F50" s="64">
        <v>7.07</v>
      </c>
      <c r="G50" s="64">
        <v>68.28</v>
      </c>
      <c r="H50" s="64">
        <v>21.94</v>
      </c>
      <c r="I50" s="64">
        <v>4.13</v>
      </c>
      <c r="J50" s="64">
        <v>1.59</v>
      </c>
      <c r="K50" s="64">
        <v>258.63</v>
      </c>
      <c r="L50" s="64">
        <v>36.18</v>
      </c>
      <c r="M50" s="64">
        <v>39.93</v>
      </c>
      <c r="N50" s="64">
        <v>911.1</v>
      </c>
      <c r="O50" s="64">
        <v>0</v>
      </c>
      <c r="P50" s="64">
        <v>0.63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5" t="s">
        <v>2880</v>
      </c>
      <c r="B51" s="64">
        <v>8.2200000000000006</v>
      </c>
      <c r="C51" s="64">
        <v>39.69</v>
      </c>
      <c r="D51" s="64">
        <v>63.35</v>
      </c>
      <c r="E51" s="64">
        <v>1.98</v>
      </c>
      <c r="F51" s="64">
        <v>8.11</v>
      </c>
      <c r="G51" s="64">
        <v>68.28</v>
      </c>
      <c r="H51" s="64">
        <v>21.94</v>
      </c>
      <c r="I51" s="64">
        <v>3.96</v>
      </c>
      <c r="J51" s="64">
        <v>0.96</v>
      </c>
      <c r="K51" s="64">
        <v>270.13</v>
      </c>
      <c r="L51" s="64">
        <v>37.03</v>
      </c>
      <c r="M51" s="64">
        <v>39.1</v>
      </c>
      <c r="N51" s="64">
        <v>956.1</v>
      </c>
      <c r="O51" s="64">
        <v>0</v>
      </c>
      <c r="P51" s="64">
        <v>0.63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5" t="s">
        <v>2881</v>
      </c>
      <c r="B52" s="64">
        <v>5.59</v>
      </c>
      <c r="C52" s="64">
        <v>37.68</v>
      </c>
      <c r="D52" s="64">
        <v>63.54</v>
      </c>
      <c r="E52" s="64">
        <v>2.78</v>
      </c>
      <c r="F52" s="64">
        <v>10.66</v>
      </c>
      <c r="G52" s="64">
        <v>39.340000000000003</v>
      </c>
      <c r="H52" s="64">
        <v>15.77</v>
      </c>
      <c r="I52" s="64">
        <v>3.99</v>
      </c>
      <c r="J52" s="64">
        <v>1.77</v>
      </c>
      <c r="K52" s="64">
        <v>285.64</v>
      </c>
      <c r="L52" s="64">
        <v>38.93</v>
      </c>
      <c r="M52" s="64">
        <v>36.79</v>
      </c>
      <c r="N52" s="64">
        <v>971.5</v>
      </c>
      <c r="O52" s="64">
        <v>0</v>
      </c>
      <c r="P52" s="64">
        <v>0.64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5" t="s">
        <v>2882</v>
      </c>
      <c r="B53" s="64">
        <v>2.69</v>
      </c>
      <c r="C53" s="64">
        <v>34.28</v>
      </c>
      <c r="D53" s="64">
        <v>61.47</v>
      </c>
      <c r="E53" s="64">
        <v>2.95</v>
      </c>
      <c r="F53" s="64">
        <v>14.63</v>
      </c>
      <c r="G53" s="64">
        <v>31.07</v>
      </c>
      <c r="H53" s="64">
        <v>14.01</v>
      </c>
      <c r="I53" s="64">
        <v>3.89</v>
      </c>
      <c r="J53" s="64">
        <v>2.39</v>
      </c>
      <c r="K53" s="64">
        <v>119.14</v>
      </c>
      <c r="L53" s="64">
        <v>37.130000000000003</v>
      </c>
      <c r="M53" s="64">
        <v>39.04</v>
      </c>
      <c r="N53" s="64">
        <v>982.7</v>
      </c>
      <c r="O53" s="64">
        <v>0</v>
      </c>
      <c r="P53" s="64">
        <v>0.56999999999999995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5" t="s">
        <v>2883</v>
      </c>
      <c r="B54" s="64">
        <v>1.76</v>
      </c>
      <c r="C54" s="64">
        <v>27.89</v>
      </c>
      <c r="D54" s="64">
        <v>50.68</v>
      </c>
      <c r="E54" s="64">
        <v>3.21</v>
      </c>
      <c r="F54" s="64">
        <v>19.239999999999998</v>
      </c>
      <c r="G54" s="64">
        <v>31.07</v>
      </c>
      <c r="H54" s="64">
        <v>14.01</v>
      </c>
      <c r="I54" s="64">
        <v>3.97</v>
      </c>
      <c r="J54" s="64">
        <v>2.4</v>
      </c>
      <c r="K54" s="64">
        <v>115.88</v>
      </c>
      <c r="L54" s="64">
        <v>36.06</v>
      </c>
      <c r="M54" s="64">
        <v>41.27</v>
      </c>
      <c r="N54" s="64">
        <v>993.2</v>
      </c>
      <c r="O54" s="64">
        <v>0</v>
      </c>
      <c r="P54" s="64">
        <v>0.51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5" t="s">
        <v>2884</v>
      </c>
      <c r="B55" s="64">
        <v>2.44</v>
      </c>
      <c r="C55" s="64">
        <v>26.79</v>
      </c>
      <c r="D55" s="64">
        <v>47.53</v>
      </c>
      <c r="E55" s="64">
        <v>3.65</v>
      </c>
      <c r="F55" s="64">
        <v>19.309999999999999</v>
      </c>
      <c r="G55" s="64">
        <v>31.07</v>
      </c>
      <c r="H55" s="64">
        <v>14.01</v>
      </c>
      <c r="I55" s="64">
        <v>3.98</v>
      </c>
      <c r="J55" s="64">
        <v>1.79</v>
      </c>
      <c r="K55" s="64">
        <v>133.97999999999999</v>
      </c>
      <c r="L55" s="64">
        <v>36.82</v>
      </c>
      <c r="M55" s="64">
        <v>39.549999999999997</v>
      </c>
      <c r="N55" s="64">
        <v>1000.6</v>
      </c>
      <c r="O55" s="64">
        <v>0</v>
      </c>
      <c r="P55" s="64">
        <v>0.46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15" t="s">
        <v>2885</v>
      </c>
      <c r="B56" s="64">
        <v>1.38</v>
      </c>
      <c r="C56" s="64">
        <v>23.52</v>
      </c>
      <c r="D56" s="64">
        <v>42.9</v>
      </c>
      <c r="E56" s="64">
        <v>2.1800000000000002</v>
      </c>
      <c r="F56" s="64">
        <v>12.07</v>
      </c>
      <c r="G56" s="64">
        <v>32.47</v>
      </c>
      <c r="H56" s="64">
        <v>23.51</v>
      </c>
      <c r="I56" s="64">
        <v>4.07</v>
      </c>
      <c r="J56" s="64">
        <v>1.88</v>
      </c>
      <c r="K56" s="64">
        <v>249.21</v>
      </c>
      <c r="L56" s="64">
        <v>37.69</v>
      </c>
      <c r="M56" s="64">
        <v>40.130000000000003</v>
      </c>
      <c r="N56" s="64">
        <v>1018.5</v>
      </c>
      <c r="O56" s="64">
        <v>0</v>
      </c>
      <c r="P56" s="64">
        <v>0.45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2886</v>
      </c>
      <c r="B57" s="64">
        <v>1.4</v>
      </c>
      <c r="C57" s="64">
        <v>21.63</v>
      </c>
      <c r="D57" s="64">
        <v>39.25</v>
      </c>
      <c r="E57" s="64">
        <v>1.9</v>
      </c>
      <c r="F57" s="64">
        <v>11.82</v>
      </c>
      <c r="G57" s="64">
        <v>32.869999999999997</v>
      </c>
      <c r="H57" s="64">
        <v>26.22</v>
      </c>
      <c r="I57" s="64">
        <v>4.07</v>
      </c>
      <c r="J57" s="64">
        <v>2.13</v>
      </c>
      <c r="K57" s="64">
        <v>270.68</v>
      </c>
      <c r="L57" s="64">
        <v>38.229999999999997</v>
      </c>
      <c r="M57" s="64">
        <v>39.159999999999997</v>
      </c>
      <c r="N57" s="64">
        <v>1010.6</v>
      </c>
      <c r="O57" s="64">
        <v>0</v>
      </c>
      <c r="P57" s="64">
        <v>0.41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2887</v>
      </c>
      <c r="B58" s="64">
        <v>1.42</v>
      </c>
      <c r="C58" s="64">
        <v>21.7</v>
      </c>
      <c r="D58" s="64">
        <v>39.369999999999997</v>
      </c>
      <c r="E58" s="64">
        <v>2.0699999999999998</v>
      </c>
      <c r="F58" s="64">
        <v>11.57</v>
      </c>
      <c r="G58" s="64">
        <v>32.869999999999997</v>
      </c>
      <c r="H58" s="64">
        <v>26.22</v>
      </c>
      <c r="I58" s="64">
        <v>3.98</v>
      </c>
      <c r="J58" s="64">
        <v>1.88</v>
      </c>
      <c r="K58" s="64">
        <v>258.69</v>
      </c>
      <c r="L58" s="64">
        <v>38.24</v>
      </c>
      <c r="M58" s="64">
        <v>38.450000000000003</v>
      </c>
      <c r="N58" s="64">
        <v>991.1</v>
      </c>
      <c r="O58" s="64">
        <v>0</v>
      </c>
      <c r="P58" s="64">
        <v>0.37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5" t="s">
        <v>2888</v>
      </c>
      <c r="B59" s="64">
        <v>1.35</v>
      </c>
      <c r="C59" s="64">
        <v>20.96</v>
      </c>
      <c r="D59" s="64">
        <v>38.04</v>
      </c>
      <c r="E59" s="64">
        <v>2.27</v>
      </c>
      <c r="F59" s="64">
        <v>11.96</v>
      </c>
      <c r="G59" s="64">
        <v>32.869999999999997</v>
      </c>
      <c r="H59" s="64">
        <v>26.22</v>
      </c>
      <c r="I59" s="64">
        <v>3.91</v>
      </c>
      <c r="J59" s="64">
        <v>1.46</v>
      </c>
      <c r="K59" s="64">
        <v>221.19</v>
      </c>
      <c r="L59" s="64">
        <v>38.57</v>
      </c>
      <c r="M59" s="64">
        <v>37.35</v>
      </c>
      <c r="N59" s="64">
        <v>957.2</v>
      </c>
      <c r="O59" s="64">
        <v>0</v>
      </c>
      <c r="P59" s="64">
        <v>0.34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5" t="s">
        <v>2889</v>
      </c>
      <c r="B60" s="64">
        <v>1.37</v>
      </c>
      <c r="C60" s="64">
        <v>20.07</v>
      </c>
      <c r="D60" s="64">
        <v>36.31</v>
      </c>
      <c r="E60" s="64">
        <v>2.0699999999999998</v>
      </c>
      <c r="F60" s="64">
        <v>11.24</v>
      </c>
      <c r="G60" s="64">
        <v>25.62</v>
      </c>
      <c r="H60" s="64">
        <v>17.09</v>
      </c>
      <c r="I60" s="64">
        <v>4.04</v>
      </c>
      <c r="J60" s="64">
        <v>2.35</v>
      </c>
      <c r="K60" s="64">
        <v>197.83</v>
      </c>
      <c r="L60" s="64">
        <v>37.9</v>
      </c>
      <c r="M60" s="64">
        <v>37.78</v>
      </c>
      <c r="N60" s="64">
        <v>938.4</v>
      </c>
      <c r="O60" s="64">
        <v>0</v>
      </c>
      <c r="P60" s="64">
        <v>0.31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5" t="s">
        <v>2890</v>
      </c>
      <c r="B61" s="64">
        <v>1.43</v>
      </c>
      <c r="C61" s="64">
        <v>19.18</v>
      </c>
      <c r="D61" s="64">
        <v>34.520000000000003</v>
      </c>
      <c r="E61" s="64">
        <v>2.31</v>
      </c>
      <c r="F61" s="64">
        <v>13.16</v>
      </c>
      <c r="G61" s="64">
        <v>23.55</v>
      </c>
      <c r="H61" s="64">
        <v>14.48</v>
      </c>
      <c r="I61" s="64">
        <v>4.05</v>
      </c>
      <c r="J61" s="64">
        <v>1.94</v>
      </c>
      <c r="K61" s="64">
        <v>214.31</v>
      </c>
      <c r="L61" s="64">
        <v>37.9</v>
      </c>
      <c r="M61" s="64">
        <v>37.89</v>
      </c>
      <c r="N61" s="64">
        <v>733.6</v>
      </c>
      <c r="O61" s="64">
        <v>0</v>
      </c>
      <c r="P61" s="64">
        <v>0.28999999999999998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5" t="s">
        <v>2891</v>
      </c>
      <c r="B62" s="64">
        <v>2.0699999999999998</v>
      </c>
      <c r="C62" s="64">
        <v>20.45</v>
      </c>
      <c r="D62" s="64">
        <v>35.97</v>
      </c>
      <c r="E62" s="64">
        <v>2.33</v>
      </c>
      <c r="F62" s="64">
        <v>10.85</v>
      </c>
      <c r="G62" s="64">
        <v>23.55</v>
      </c>
      <c r="H62" s="64">
        <v>14.48</v>
      </c>
      <c r="I62" s="64">
        <v>3.98</v>
      </c>
      <c r="J62" s="64">
        <v>3.49</v>
      </c>
      <c r="K62" s="64">
        <v>162.56</v>
      </c>
      <c r="L62" s="64">
        <v>37.950000000000003</v>
      </c>
      <c r="M62" s="64">
        <v>38.909999999999997</v>
      </c>
      <c r="N62" s="64">
        <v>701.8</v>
      </c>
      <c r="O62" s="64">
        <v>0</v>
      </c>
      <c r="P62" s="64">
        <v>0.28000000000000003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5" t="s">
        <v>2892</v>
      </c>
      <c r="B63" s="64">
        <v>2.84</v>
      </c>
      <c r="C63" s="64">
        <v>22.45</v>
      </c>
      <c r="D63" s="64">
        <v>38.6</v>
      </c>
      <c r="E63" s="64">
        <v>2.7</v>
      </c>
      <c r="F63" s="64">
        <v>12.41</v>
      </c>
      <c r="G63" s="64">
        <v>23.55</v>
      </c>
      <c r="H63" s="64">
        <v>14.48</v>
      </c>
      <c r="I63" s="64">
        <v>4.01</v>
      </c>
      <c r="J63" s="64">
        <v>1.5</v>
      </c>
      <c r="K63" s="64">
        <v>217.42</v>
      </c>
      <c r="L63" s="64">
        <v>38.11</v>
      </c>
      <c r="M63" s="64">
        <v>38.33</v>
      </c>
      <c r="N63" s="64">
        <v>473.2</v>
      </c>
      <c r="O63" s="64">
        <v>0</v>
      </c>
      <c r="P63" s="64">
        <v>0.28000000000000003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5" t="s">
        <v>2893</v>
      </c>
      <c r="B64" s="64">
        <v>2.7</v>
      </c>
      <c r="C64" s="64">
        <v>22.22</v>
      </c>
      <c r="D64" s="64">
        <v>38.4</v>
      </c>
      <c r="E64" s="64">
        <v>2.65</v>
      </c>
      <c r="F64" s="64">
        <v>10.68</v>
      </c>
      <c r="G64" s="64">
        <v>41.24</v>
      </c>
      <c r="H64" s="64">
        <v>14.99</v>
      </c>
      <c r="I64" s="64">
        <v>3.94</v>
      </c>
      <c r="J64" s="64">
        <v>1.62</v>
      </c>
      <c r="K64" s="64">
        <v>261.19</v>
      </c>
      <c r="L64" s="64">
        <v>38.619999999999997</v>
      </c>
      <c r="M64" s="64">
        <v>36.79</v>
      </c>
      <c r="N64" s="64">
        <v>608.6</v>
      </c>
      <c r="O64" s="64">
        <v>0</v>
      </c>
      <c r="P64" s="64">
        <v>0.28000000000000003</v>
      </c>
      <c r="Q64" s="64">
        <v>9.5</v>
      </c>
      <c r="R64" s="198"/>
      <c r="S64" s="198"/>
      <c r="T64" s="198"/>
      <c r="U64" s="198"/>
    </row>
    <row r="65" spans="1:21" s="12" customFormat="1" x14ac:dyDescent="0.25">
      <c r="A65" s="215" t="s">
        <v>2894</v>
      </c>
      <c r="B65" s="64">
        <v>1.85</v>
      </c>
      <c r="C65" s="64">
        <v>19.829999999999998</v>
      </c>
      <c r="D65" s="64">
        <v>35.11</v>
      </c>
      <c r="E65" s="64">
        <v>2.1</v>
      </c>
      <c r="F65" s="64">
        <v>9.83</v>
      </c>
      <c r="G65" s="64">
        <v>46.3</v>
      </c>
      <c r="H65" s="64">
        <v>15.14</v>
      </c>
      <c r="I65" s="64">
        <v>4.0999999999999996</v>
      </c>
      <c r="J65" s="64">
        <v>2.15</v>
      </c>
      <c r="K65" s="64">
        <v>268.60000000000002</v>
      </c>
      <c r="L65" s="64">
        <v>39.020000000000003</v>
      </c>
      <c r="M65" s="64">
        <v>36.090000000000003</v>
      </c>
      <c r="N65" s="64">
        <v>471.3</v>
      </c>
      <c r="O65" s="64">
        <v>0</v>
      </c>
      <c r="P65" s="64">
        <v>0.28999999999999998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15" t="s">
        <v>2895</v>
      </c>
      <c r="B66" s="64">
        <v>1.62</v>
      </c>
      <c r="C66" s="64">
        <v>24.64</v>
      </c>
      <c r="D66" s="64">
        <v>44.66</v>
      </c>
      <c r="E66" s="64">
        <v>2.4</v>
      </c>
      <c r="F66" s="64">
        <v>10.76</v>
      </c>
      <c r="G66" s="64">
        <v>46.3</v>
      </c>
      <c r="H66" s="64">
        <v>15.14</v>
      </c>
      <c r="I66" s="64">
        <v>4.09</v>
      </c>
      <c r="J66" s="64">
        <v>1.78</v>
      </c>
      <c r="K66" s="64">
        <v>226.99</v>
      </c>
      <c r="L66" s="64">
        <v>38.229999999999997</v>
      </c>
      <c r="M66" s="64">
        <v>37.07</v>
      </c>
      <c r="N66" s="64">
        <v>420.9</v>
      </c>
      <c r="O66" s="64">
        <v>0</v>
      </c>
      <c r="P66" s="64">
        <v>0.28999999999999998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5" t="s">
        <v>2896</v>
      </c>
      <c r="B67" s="64">
        <v>1.86</v>
      </c>
      <c r="C67" s="64">
        <v>22.12</v>
      </c>
      <c r="D67" s="64">
        <v>39.479999999999997</v>
      </c>
      <c r="E67" s="64">
        <v>2.38</v>
      </c>
      <c r="F67" s="64">
        <v>15.46</v>
      </c>
      <c r="G67" s="64">
        <v>46.3</v>
      </c>
      <c r="H67" s="64">
        <v>15.14</v>
      </c>
      <c r="I67" s="64">
        <v>3.88</v>
      </c>
      <c r="J67" s="64">
        <v>1.69</v>
      </c>
      <c r="K67" s="64">
        <v>229.07</v>
      </c>
      <c r="L67" s="64">
        <v>38.85</v>
      </c>
      <c r="M67" s="64">
        <v>36.26</v>
      </c>
      <c r="N67" s="64">
        <v>466.4</v>
      </c>
      <c r="O67" s="64">
        <v>0</v>
      </c>
      <c r="P67" s="64">
        <v>0.31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5" t="s">
        <v>2897</v>
      </c>
      <c r="B68" s="64">
        <v>1.31</v>
      </c>
      <c r="C68" s="64">
        <v>19.75</v>
      </c>
      <c r="D68" s="64">
        <v>35.799999999999997</v>
      </c>
      <c r="E68" s="64">
        <v>2.4900000000000002</v>
      </c>
      <c r="F68" s="64">
        <v>19.100000000000001</v>
      </c>
      <c r="G68" s="64">
        <v>23.97</v>
      </c>
      <c r="H68" s="64">
        <v>9.75</v>
      </c>
      <c r="I68" s="64">
        <v>3.99</v>
      </c>
      <c r="J68" s="64">
        <v>1.61</v>
      </c>
      <c r="K68" s="64">
        <v>231.16</v>
      </c>
      <c r="L68" s="64">
        <v>38.5</v>
      </c>
      <c r="M68" s="64">
        <v>36.32</v>
      </c>
      <c r="N68" s="64">
        <v>501.1</v>
      </c>
      <c r="O68" s="64">
        <v>0</v>
      </c>
      <c r="P68" s="64">
        <v>0.27</v>
      </c>
      <c r="Q68" s="64">
        <v>9.5399999999999991</v>
      </c>
      <c r="R68" s="198"/>
      <c r="S68" s="198"/>
      <c r="T68" s="198"/>
      <c r="U68" s="198"/>
    </row>
    <row r="69" spans="1:21" s="12" customFormat="1" x14ac:dyDescent="0.25">
      <c r="A69" s="215" t="s">
        <v>2898</v>
      </c>
      <c r="B69" s="64">
        <v>1.86</v>
      </c>
      <c r="C69" s="64">
        <v>21.16</v>
      </c>
      <c r="D69" s="64">
        <v>37.630000000000003</v>
      </c>
      <c r="E69" s="64">
        <v>2.8</v>
      </c>
      <c r="F69" s="64">
        <v>15.22</v>
      </c>
      <c r="G69" s="64">
        <v>17.59</v>
      </c>
      <c r="H69" s="64">
        <v>8.2100000000000009</v>
      </c>
      <c r="I69" s="64">
        <v>4.05</v>
      </c>
      <c r="J69" s="64">
        <v>1.47</v>
      </c>
      <c r="K69" s="64">
        <v>230.18</v>
      </c>
      <c r="L69" s="64">
        <v>39.08</v>
      </c>
      <c r="M69" s="64">
        <v>35.18</v>
      </c>
      <c r="N69" s="64">
        <v>405.1</v>
      </c>
      <c r="O69" s="64">
        <v>0</v>
      </c>
      <c r="P69" s="64">
        <v>0.34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5" t="s">
        <v>2899</v>
      </c>
      <c r="B70" s="64">
        <v>6.67</v>
      </c>
      <c r="C70" s="64">
        <v>26.82</v>
      </c>
      <c r="D70" s="64">
        <v>41.09</v>
      </c>
      <c r="E70" s="64">
        <v>3.47</v>
      </c>
      <c r="F70" s="64">
        <v>14.45</v>
      </c>
      <c r="G70" s="64">
        <v>17.59</v>
      </c>
      <c r="H70" s="64">
        <v>8.2100000000000009</v>
      </c>
      <c r="I70" s="64">
        <v>3.98</v>
      </c>
      <c r="J70" s="64">
        <v>2.36</v>
      </c>
      <c r="K70" s="64">
        <v>298.22000000000003</v>
      </c>
      <c r="L70" s="64">
        <v>38.409999999999997</v>
      </c>
      <c r="M70" s="64">
        <v>36.51</v>
      </c>
      <c r="N70" s="64">
        <v>258.7</v>
      </c>
      <c r="O70" s="64">
        <v>0</v>
      </c>
      <c r="P70" s="64">
        <v>0.34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5" t="s">
        <v>2900</v>
      </c>
      <c r="B71" s="64">
        <v>4</v>
      </c>
      <c r="C71" s="64">
        <v>23.32</v>
      </c>
      <c r="D71" s="64">
        <v>38.49</v>
      </c>
      <c r="E71" s="64">
        <v>4.2</v>
      </c>
      <c r="F71" s="64">
        <v>17.16</v>
      </c>
      <c r="G71" s="64">
        <v>17.59</v>
      </c>
      <c r="H71" s="64">
        <v>8.2100000000000009</v>
      </c>
      <c r="I71" s="64">
        <v>4.08</v>
      </c>
      <c r="J71" s="64">
        <v>3.65</v>
      </c>
      <c r="K71" s="64">
        <v>357.03</v>
      </c>
      <c r="L71" s="64">
        <v>31.99</v>
      </c>
      <c r="M71" s="64">
        <v>41.38</v>
      </c>
      <c r="N71" s="64">
        <v>229.6</v>
      </c>
      <c r="O71" s="64">
        <v>0</v>
      </c>
      <c r="P71" s="64">
        <v>0.37</v>
      </c>
      <c r="Q71" s="64">
        <v>9.5500000000000007</v>
      </c>
      <c r="R71" s="198"/>
      <c r="S71" s="198"/>
      <c r="T71" s="198"/>
      <c r="U71" s="198"/>
    </row>
    <row r="72" spans="1:21" s="12" customFormat="1" x14ac:dyDescent="0.25">
      <c r="A72" s="215" t="s">
        <v>2901</v>
      </c>
      <c r="B72" s="64">
        <v>2.94</v>
      </c>
      <c r="C72" s="64">
        <v>22.87</v>
      </c>
      <c r="D72" s="64">
        <v>39.24</v>
      </c>
      <c r="E72" s="64">
        <v>3.2</v>
      </c>
      <c r="F72" s="64">
        <v>15.75</v>
      </c>
      <c r="G72" s="64">
        <v>48.87</v>
      </c>
      <c r="H72" s="64">
        <v>10.130000000000001</v>
      </c>
      <c r="I72" s="64">
        <v>4.03</v>
      </c>
      <c r="J72" s="64">
        <v>2.34</v>
      </c>
      <c r="K72" s="64">
        <v>80.239999999999995</v>
      </c>
      <c r="L72" s="64">
        <v>29.28</v>
      </c>
      <c r="M72" s="64">
        <v>49.93</v>
      </c>
      <c r="N72" s="64">
        <v>220</v>
      </c>
      <c r="O72" s="64">
        <v>0</v>
      </c>
      <c r="P72" s="64">
        <v>0.36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15" t="s">
        <v>2902</v>
      </c>
      <c r="B73" s="64">
        <v>7.68</v>
      </c>
      <c r="C73" s="64">
        <v>31.46</v>
      </c>
      <c r="D73" s="64">
        <v>48.42</v>
      </c>
      <c r="E73" s="64">
        <v>3.3</v>
      </c>
      <c r="F73" s="64">
        <v>12.83</v>
      </c>
      <c r="G73" s="64">
        <v>57.8</v>
      </c>
      <c r="H73" s="64">
        <v>10.68</v>
      </c>
      <c r="I73" s="64">
        <v>3.97</v>
      </c>
      <c r="J73" s="64">
        <v>3.61</v>
      </c>
      <c r="K73" s="64">
        <v>103.42</v>
      </c>
      <c r="L73" s="64">
        <v>29.15</v>
      </c>
      <c r="M73" s="64">
        <v>49.22</v>
      </c>
      <c r="N73" s="64">
        <v>188.1</v>
      </c>
      <c r="O73" s="64">
        <v>0</v>
      </c>
      <c r="P73" s="64">
        <v>0.33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5" t="s">
        <v>2903</v>
      </c>
      <c r="B74" s="64">
        <v>3.21</v>
      </c>
      <c r="C74" s="64">
        <v>26.77</v>
      </c>
      <c r="D74" s="64">
        <v>46.31</v>
      </c>
      <c r="E74" s="64">
        <v>3.03</v>
      </c>
      <c r="F74" s="64">
        <v>13.14</v>
      </c>
      <c r="G74" s="64">
        <v>57.8</v>
      </c>
      <c r="H74" s="64">
        <v>10.68</v>
      </c>
      <c r="I74" s="64">
        <v>4.04</v>
      </c>
      <c r="J74" s="64">
        <v>2.92</v>
      </c>
      <c r="K74" s="64">
        <v>101.62</v>
      </c>
      <c r="L74" s="64">
        <v>29.29</v>
      </c>
      <c r="M74" s="64">
        <v>48.71</v>
      </c>
      <c r="N74" s="64">
        <v>164</v>
      </c>
      <c r="O74" s="64">
        <v>0</v>
      </c>
      <c r="P74" s="64">
        <v>0.28000000000000003</v>
      </c>
      <c r="Q74" s="64">
        <v>9.5299999999999994</v>
      </c>
      <c r="R74" s="198"/>
      <c r="S74" s="198"/>
      <c r="T74" s="198"/>
      <c r="U74" s="198"/>
    </row>
    <row r="75" spans="1:21" s="12" customFormat="1" x14ac:dyDescent="0.25">
      <c r="A75" s="215" t="s">
        <v>2904</v>
      </c>
      <c r="B75" s="64">
        <v>2.21</v>
      </c>
      <c r="C75" s="64">
        <v>25.13</v>
      </c>
      <c r="D75" s="64">
        <v>44.71</v>
      </c>
      <c r="E75" s="64">
        <v>3.59</v>
      </c>
      <c r="F75" s="64">
        <v>13.19</v>
      </c>
      <c r="G75" s="64">
        <v>57.8</v>
      </c>
      <c r="H75" s="64">
        <v>10.68</v>
      </c>
      <c r="I75" s="64">
        <v>3.99</v>
      </c>
      <c r="J75" s="64">
        <v>2.79</v>
      </c>
      <c r="K75" s="64">
        <v>87.63</v>
      </c>
      <c r="L75" s="64">
        <v>29.35</v>
      </c>
      <c r="M75" s="64">
        <v>49.84</v>
      </c>
      <c r="N75" s="64">
        <v>187.4</v>
      </c>
      <c r="O75" s="64">
        <v>0.4</v>
      </c>
      <c r="P75" s="64">
        <v>0.3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15" t="s">
        <v>2905</v>
      </c>
      <c r="B76" s="64">
        <v>2.36</v>
      </c>
      <c r="C76" s="64">
        <v>23.27</v>
      </c>
      <c r="D76" s="64">
        <v>40.93</v>
      </c>
      <c r="E76" s="64">
        <v>3.71</v>
      </c>
      <c r="F76" s="64">
        <v>15.48</v>
      </c>
      <c r="G76" s="64">
        <v>49.8</v>
      </c>
      <c r="H76" s="64">
        <v>9.75</v>
      </c>
      <c r="I76" s="64">
        <v>4.03</v>
      </c>
      <c r="J76" s="64">
        <v>3.22</v>
      </c>
      <c r="K76" s="64">
        <v>95.26</v>
      </c>
      <c r="L76" s="64">
        <v>28.85</v>
      </c>
      <c r="M76" s="64">
        <v>59.29</v>
      </c>
      <c r="N76" s="64">
        <v>216.3</v>
      </c>
      <c r="O76" s="64">
        <v>0</v>
      </c>
      <c r="P76" s="64">
        <v>0.28999999999999998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2906</v>
      </c>
      <c r="B77" s="64">
        <v>2.2200000000000002</v>
      </c>
      <c r="C77" s="64">
        <v>21.76</v>
      </c>
      <c r="D77" s="64">
        <v>38.24</v>
      </c>
      <c r="E77" s="64">
        <v>3.68</v>
      </c>
      <c r="F77" s="64">
        <v>10.66</v>
      </c>
      <c r="G77" s="64">
        <v>47.51</v>
      </c>
      <c r="H77" s="64">
        <v>9.48</v>
      </c>
      <c r="I77" s="64">
        <v>4.0199999999999996</v>
      </c>
      <c r="J77" s="64">
        <v>4.4400000000000004</v>
      </c>
      <c r="K77" s="64">
        <v>100.69</v>
      </c>
      <c r="L77" s="64">
        <v>28.01</v>
      </c>
      <c r="M77" s="64">
        <v>69.010000000000005</v>
      </c>
      <c r="N77" s="64">
        <v>192.4</v>
      </c>
      <c r="O77" s="64">
        <v>0</v>
      </c>
      <c r="P77" s="64">
        <v>0.28000000000000003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2907</v>
      </c>
      <c r="B78" s="64">
        <v>1.98</v>
      </c>
      <c r="C78" s="64">
        <v>19.86</v>
      </c>
      <c r="D78" s="64">
        <v>34.979999999999997</v>
      </c>
      <c r="E78" s="64">
        <v>3.71</v>
      </c>
      <c r="F78" s="64">
        <v>12.91</v>
      </c>
      <c r="G78" s="64">
        <v>47.51</v>
      </c>
      <c r="H78" s="64">
        <v>9.48</v>
      </c>
      <c r="I78" s="64">
        <v>3.98</v>
      </c>
      <c r="J78" s="64">
        <v>3.65</v>
      </c>
      <c r="K78" s="64">
        <v>94.93</v>
      </c>
      <c r="L78" s="64">
        <v>28.24</v>
      </c>
      <c r="M78" s="64">
        <v>70.3</v>
      </c>
      <c r="N78" s="64">
        <v>166.2</v>
      </c>
      <c r="O78" s="64">
        <v>0</v>
      </c>
      <c r="P78" s="64">
        <v>0.28999999999999998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5" t="s">
        <v>2908</v>
      </c>
      <c r="B79" s="64">
        <v>3.08</v>
      </c>
      <c r="C79" s="64">
        <v>21.41</v>
      </c>
      <c r="D79" s="64">
        <v>36.24</v>
      </c>
      <c r="E79" s="64">
        <v>3.92</v>
      </c>
      <c r="F79" s="64">
        <v>13.49</v>
      </c>
      <c r="G79" s="64">
        <v>47.51</v>
      </c>
      <c r="H79" s="64">
        <v>9.48</v>
      </c>
      <c r="I79" s="64">
        <v>4</v>
      </c>
      <c r="J79" s="64">
        <v>2.2599999999999998</v>
      </c>
      <c r="K79" s="64">
        <v>84.94</v>
      </c>
      <c r="L79" s="64">
        <v>28.71</v>
      </c>
      <c r="M79" s="64">
        <v>64.569999999999993</v>
      </c>
      <c r="N79" s="64">
        <v>124.5</v>
      </c>
      <c r="O79" s="64">
        <v>0</v>
      </c>
      <c r="P79" s="64">
        <v>0.33</v>
      </c>
      <c r="Q79" s="64">
        <v>9.5299999999999994</v>
      </c>
      <c r="R79" s="198"/>
      <c r="S79" s="198"/>
      <c r="T79" s="198"/>
      <c r="U79" s="198"/>
    </row>
    <row r="80" spans="1:21" s="12" customFormat="1" x14ac:dyDescent="0.25">
      <c r="A80" s="215" t="s">
        <v>2909</v>
      </c>
      <c r="B80" s="64">
        <v>2.94</v>
      </c>
      <c r="C80" s="64">
        <v>20.02</v>
      </c>
      <c r="D80" s="64">
        <v>33.799999999999997</v>
      </c>
      <c r="E80" s="64">
        <v>3.94</v>
      </c>
      <c r="F80" s="64">
        <v>12.73</v>
      </c>
      <c r="G80" s="64">
        <v>30.82</v>
      </c>
      <c r="H80" s="64">
        <v>7.63</v>
      </c>
      <c r="I80" s="64">
        <v>4.0199999999999996</v>
      </c>
      <c r="J80" s="64">
        <v>3.5</v>
      </c>
      <c r="K80" s="64">
        <v>95.09</v>
      </c>
      <c r="L80" s="64">
        <v>29.16</v>
      </c>
      <c r="M80" s="64">
        <v>59.91</v>
      </c>
      <c r="N80" s="64">
        <v>124.6</v>
      </c>
      <c r="O80" s="64">
        <v>0</v>
      </c>
      <c r="P80" s="64">
        <v>0.31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5" t="s">
        <v>2910</v>
      </c>
      <c r="B81" s="64">
        <v>1.96</v>
      </c>
      <c r="C81" s="64">
        <v>18.59</v>
      </c>
      <c r="D81" s="64">
        <v>32.57</v>
      </c>
      <c r="E81" s="64">
        <v>3.76</v>
      </c>
      <c r="F81" s="64">
        <v>12.22</v>
      </c>
      <c r="G81" s="64">
        <v>26.05</v>
      </c>
      <c r="H81" s="64">
        <v>7.11</v>
      </c>
      <c r="I81" s="64">
        <v>3.96</v>
      </c>
      <c r="J81" s="64">
        <v>5.14</v>
      </c>
      <c r="K81" s="64">
        <v>101.29</v>
      </c>
      <c r="L81" s="64">
        <v>28.6</v>
      </c>
      <c r="M81" s="64">
        <v>61.09</v>
      </c>
      <c r="N81" s="64">
        <v>119.7</v>
      </c>
      <c r="O81" s="64">
        <v>0</v>
      </c>
      <c r="P81" s="64">
        <v>0.3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5" t="s">
        <v>2911</v>
      </c>
      <c r="B82" s="64">
        <v>1.4</v>
      </c>
      <c r="C82" s="64">
        <v>17.34</v>
      </c>
      <c r="D82" s="64">
        <v>31.04</v>
      </c>
      <c r="E82" s="64">
        <v>3.76</v>
      </c>
      <c r="F82" s="64">
        <v>12.81</v>
      </c>
      <c r="G82" s="64">
        <v>26.05</v>
      </c>
      <c r="H82" s="64">
        <v>7.11</v>
      </c>
      <c r="I82" s="64">
        <v>4.03</v>
      </c>
      <c r="J82" s="64">
        <v>3.26</v>
      </c>
      <c r="K82" s="64">
        <v>93.89</v>
      </c>
      <c r="L82" s="64">
        <v>28.12</v>
      </c>
      <c r="M82" s="64">
        <v>63.36</v>
      </c>
      <c r="N82" s="64">
        <v>104.9</v>
      </c>
      <c r="O82" s="64">
        <v>0</v>
      </c>
      <c r="P82" s="64">
        <v>0.3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5" t="s">
        <v>2912</v>
      </c>
      <c r="B83" s="64">
        <v>1.31</v>
      </c>
      <c r="C83" s="64">
        <v>17.84</v>
      </c>
      <c r="D83" s="64">
        <v>32.14</v>
      </c>
      <c r="E83" s="64">
        <v>3.95</v>
      </c>
      <c r="F83" s="64">
        <v>8.67</v>
      </c>
      <c r="G83" s="64">
        <v>26.05</v>
      </c>
      <c r="H83" s="64">
        <v>7.11</v>
      </c>
      <c r="I83" s="64">
        <v>3.9</v>
      </c>
      <c r="J83" s="64">
        <v>2.1800000000000002</v>
      </c>
      <c r="K83" s="64">
        <v>102.86</v>
      </c>
      <c r="L83" s="64">
        <v>27.33</v>
      </c>
      <c r="M83" s="64">
        <v>65.3</v>
      </c>
      <c r="N83" s="64">
        <v>100.2</v>
      </c>
      <c r="O83" s="64">
        <v>0</v>
      </c>
      <c r="P83" s="64">
        <v>0.3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15" t="s">
        <v>2913</v>
      </c>
      <c r="B84" s="64">
        <v>1.54</v>
      </c>
      <c r="C84" s="64">
        <v>23.05</v>
      </c>
      <c r="D84" s="64">
        <v>41.77</v>
      </c>
      <c r="E84" s="64">
        <v>4.01</v>
      </c>
      <c r="F84" s="64">
        <v>7.17</v>
      </c>
      <c r="G84" s="64">
        <v>34.79</v>
      </c>
      <c r="H84" s="64">
        <v>6.07</v>
      </c>
      <c r="I84" s="64">
        <v>4.07</v>
      </c>
      <c r="J84" s="64">
        <v>2.69</v>
      </c>
      <c r="K84" s="64">
        <v>93.4</v>
      </c>
      <c r="L84" s="64">
        <v>27.74</v>
      </c>
      <c r="M84" s="64">
        <v>62.73</v>
      </c>
      <c r="N84" s="64">
        <v>101</v>
      </c>
      <c r="O84" s="64">
        <v>0</v>
      </c>
      <c r="P84" s="64">
        <v>0.31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5" t="s">
        <v>2914</v>
      </c>
      <c r="B85" s="64">
        <v>1.82</v>
      </c>
      <c r="C85" s="64">
        <v>24.18</v>
      </c>
      <c r="D85" s="64">
        <v>43.5</v>
      </c>
      <c r="E85" s="64">
        <v>3.62</v>
      </c>
      <c r="F85" s="64">
        <v>6.86</v>
      </c>
      <c r="G85" s="64">
        <v>37.29</v>
      </c>
      <c r="H85" s="64">
        <v>5.77</v>
      </c>
      <c r="I85" s="64">
        <v>4.05</v>
      </c>
      <c r="J85" s="64">
        <v>3.68</v>
      </c>
      <c r="K85" s="64">
        <v>97.56</v>
      </c>
      <c r="L85" s="64">
        <v>27.5</v>
      </c>
      <c r="M85" s="64">
        <v>60.87</v>
      </c>
      <c r="N85" s="64">
        <v>101.3</v>
      </c>
      <c r="O85" s="64">
        <v>0</v>
      </c>
      <c r="P85" s="64">
        <v>0.23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5" t="s">
        <v>2915</v>
      </c>
      <c r="B86" s="64">
        <v>2.08</v>
      </c>
      <c r="C86" s="64">
        <v>23.71</v>
      </c>
      <c r="D86" s="64">
        <v>42.2</v>
      </c>
      <c r="E86" s="64">
        <v>3.38</v>
      </c>
      <c r="F86" s="64">
        <v>6.44</v>
      </c>
      <c r="G86" s="64">
        <v>37.29</v>
      </c>
      <c r="H86" s="64">
        <v>5.77</v>
      </c>
      <c r="I86" s="64">
        <v>4.08</v>
      </c>
      <c r="J86" s="64">
        <v>3.83</v>
      </c>
      <c r="K86" s="64">
        <v>104.09</v>
      </c>
      <c r="L86" s="64">
        <v>27.43</v>
      </c>
      <c r="M86" s="64">
        <v>60.38</v>
      </c>
      <c r="N86" s="64">
        <v>101.4</v>
      </c>
      <c r="O86" s="64">
        <v>0</v>
      </c>
      <c r="P86" s="64">
        <v>0.27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5" t="s">
        <v>2916</v>
      </c>
      <c r="B87" s="64">
        <v>2.31</v>
      </c>
      <c r="C87" s="64">
        <v>23.15</v>
      </c>
      <c r="D87" s="64">
        <v>40.770000000000003</v>
      </c>
      <c r="E87" s="64">
        <v>3.58</v>
      </c>
      <c r="F87" s="64">
        <v>6.42</v>
      </c>
      <c r="G87" s="64">
        <v>37.29</v>
      </c>
      <c r="H87" s="64">
        <v>5.77</v>
      </c>
      <c r="I87" s="64">
        <v>3.98</v>
      </c>
      <c r="J87" s="64">
        <v>3.84</v>
      </c>
      <c r="K87" s="64">
        <v>101.4</v>
      </c>
      <c r="L87" s="64">
        <v>27.31</v>
      </c>
      <c r="M87" s="64">
        <v>61.28</v>
      </c>
      <c r="N87" s="64">
        <v>104.6</v>
      </c>
      <c r="O87" s="64">
        <v>0</v>
      </c>
      <c r="P87" s="64">
        <v>0.27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5" t="s">
        <v>2917</v>
      </c>
      <c r="B88" s="64">
        <v>2.5</v>
      </c>
      <c r="C88" s="64">
        <v>24.33</v>
      </c>
      <c r="D88" s="64">
        <v>42.73</v>
      </c>
      <c r="E88" s="64">
        <v>3.13</v>
      </c>
      <c r="F88" s="64">
        <v>6.44</v>
      </c>
      <c r="G88" s="64">
        <v>28.77</v>
      </c>
      <c r="H88" s="64">
        <v>8.7899999999999991</v>
      </c>
      <c r="I88" s="64">
        <v>3.96</v>
      </c>
      <c r="J88" s="64">
        <v>4.26</v>
      </c>
      <c r="K88" s="64">
        <v>102.87</v>
      </c>
      <c r="L88" s="64">
        <v>27.6</v>
      </c>
      <c r="M88" s="64">
        <v>61.46</v>
      </c>
      <c r="N88" s="64">
        <v>105.7</v>
      </c>
      <c r="O88" s="64">
        <v>0</v>
      </c>
      <c r="P88" s="64">
        <v>0.28000000000000003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5" t="s">
        <v>2918</v>
      </c>
      <c r="B89" s="64">
        <v>2.88</v>
      </c>
      <c r="C89" s="64">
        <v>23.16</v>
      </c>
      <c r="D89" s="64">
        <v>39.909999999999997</v>
      </c>
      <c r="E89" s="64">
        <v>3.33</v>
      </c>
      <c r="F89" s="64">
        <v>5.59</v>
      </c>
      <c r="G89" s="64">
        <v>26.34</v>
      </c>
      <c r="H89" s="64">
        <v>9.65</v>
      </c>
      <c r="I89" s="64">
        <v>4.1100000000000003</v>
      </c>
      <c r="J89" s="64">
        <v>4.47</v>
      </c>
      <c r="K89" s="64">
        <v>105.15</v>
      </c>
      <c r="L89" s="64">
        <v>27.18</v>
      </c>
      <c r="M89" s="64">
        <v>62.16</v>
      </c>
      <c r="N89" s="64">
        <v>104.6</v>
      </c>
      <c r="O89" s="64">
        <v>0</v>
      </c>
      <c r="P89" s="64">
        <v>0.27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5" t="s">
        <v>2919</v>
      </c>
      <c r="B90" s="64">
        <v>2.7</v>
      </c>
      <c r="C90" s="64">
        <v>25.26</v>
      </c>
      <c r="D90" s="64">
        <v>44.2</v>
      </c>
      <c r="E90" s="64">
        <v>3.07</v>
      </c>
      <c r="F90" s="64">
        <v>5.63</v>
      </c>
      <c r="G90" s="64">
        <v>26.34</v>
      </c>
      <c r="H90" s="64">
        <v>9.65</v>
      </c>
      <c r="I90" s="64">
        <v>3.83</v>
      </c>
      <c r="J90" s="64">
        <v>1.52</v>
      </c>
      <c r="K90" s="64">
        <v>159.47999999999999</v>
      </c>
      <c r="L90" s="64">
        <v>27.13</v>
      </c>
      <c r="M90" s="64">
        <v>62.17</v>
      </c>
      <c r="N90" s="64">
        <v>103.7</v>
      </c>
      <c r="O90" s="64">
        <v>0</v>
      </c>
      <c r="P90" s="64">
        <v>0.28000000000000003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5" t="s">
        <v>2920</v>
      </c>
      <c r="B91" s="64">
        <v>2.79</v>
      </c>
      <c r="C91" s="64">
        <v>24.26</v>
      </c>
      <c r="D91" s="64">
        <v>42.15</v>
      </c>
      <c r="E91" s="64">
        <v>3.27</v>
      </c>
      <c r="F91" s="64">
        <v>6.09</v>
      </c>
      <c r="G91" s="64">
        <v>26.34</v>
      </c>
      <c r="H91" s="64">
        <v>9.65</v>
      </c>
      <c r="I91" s="64">
        <v>3.93</v>
      </c>
      <c r="J91" s="64">
        <v>1.59</v>
      </c>
      <c r="K91" s="64">
        <v>122.14</v>
      </c>
      <c r="L91" s="64">
        <v>26.85</v>
      </c>
      <c r="M91" s="64">
        <v>64.88</v>
      </c>
      <c r="N91" s="64">
        <v>99.4</v>
      </c>
      <c r="O91" s="64">
        <v>0</v>
      </c>
      <c r="P91" s="64">
        <v>0.28000000000000003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5" t="s">
        <v>2921</v>
      </c>
      <c r="B92" s="64">
        <v>3.02</v>
      </c>
      <c r="C92" s="64">
        <v>25.79</v>
      </c>
      <c r="D92" s="64">
        <v>44.72</v>
      </c>
      <c r="E92" s="64">
        <v>3.32</v>
      </c>
      <c r="F92" s="64">
        <v>6.71</v>
      </c>
      <c r="G92" s="64">
        <v>27.49</v>
      </c>
      <c r="H92" s="64">
        <v>9.4</v>
      </c>
      <c r="I92" s="64">
        <v>3.98</v>
      </c>
      <c r="J92" s="64">
        <v>1.96</v>
      </c>
      <c r="K92" s="64">
        <v>122.23</v>
      </c>
      <c r="L92" s="64">
        <v>27.1</v>
      </c>
      <c r="M92" s="64">
        <v>65.55</v>
      </c>
      <c r="N92" s="64">
        <v>99.6</v>
      </c>
      <c r="O92" s="64">
        <v>0</v>
      </c>
      <c r="P92" s="64">
        <v>0.28000000000000003</v>
      </c>
      <c r="Q92" s="64">
        <v>9.56</v>
      </c>
      <c r="R92" s="198"/>
      <c r="S92" s="198"/>
      <c r="T92" s="198"/>
      <c r="U92" s="198"/>
    </row>
    <row r="93" spans="1:26" s="12" customFormat="1" x14ac:dyDescent="0.25">
      <c r="A93" s="215" t="s">
        <v>2922</v>
      </c>
      <c r="B93" s="64">
        <v>3.42</v>
      </c>
      <c r="C93" s="64">
        <v>24.4</v>
      </c>
      <c r="D93" s="64">
        <v>41.46</v>
      </c>
      <c r="E93" s="64">
        <v>3.08</v>
      </c>
      <c r="F93" s="64">
        <v>5.98</v>
      </c>
      <c r="G93" s="64">
        <v>27.82</v>
      </c>
      <c r="H93" s="64">
        <v>9.33</v>
      </c>
      <c r="I93" s="64">
        <v>4.09</v>
      </c>
      <c r="J93" s="64">
        <v>2.0699999999999998</v>
      </c>
      <c r="K93" s="64">
        <v>146.21</v>
      </c>
      <c r="L93" s="64">
        <v>26.54</v>
      </c>
      <c r="M93" s="64">
        <v>70.91</v>
      </c>
      <c r="N93" s="64">
        <v>98.6</v>
      </c>
      <c r="O93" s="64">
        <v>0</v>
      </c>
      <c r="P93" s="64">
        <v>0.28999999999999998</v>
      </c>
      <c r="Q93" s="64">
        <v>9.56</v>
      </c>
      <c r="R93" s="198"/>
      <c r="S93" s="198"/>
      <c r="T93" s="198"/>
      <c r="U93" s="198"/>
    </row>
    <row r="94" spans="1:26" s="12" customFormat="1" x14ac:dyDescent="0.25">
      <c r="A94" s="215" t="s">
        <v>2923</v>
      </c>
      <c r="B94" s="64">
        <v>3.81</v>
      </c>
      <c r="C94" s="64">
        <v>23</v>
      </c>
      <c r="D94" s="64">
        <v>38.17</v>
      </c>
      <c r="E94" s="64">
        <v>3.2</v>
      </c>
      <c r="F94" s="64">
        <v>6.57</v>
      </c>
      <c r="G94" s="64">
        <v>27.82</v>
      </c>
      <c r="H94" s="64">
        <v>9.33</v>
      </c>
      <c r="I94" s="64">
        <v>3.92</v>
      </c>
      <c r="J94" s="64">
        <v>1.45</v>
      </c>
      <c r="K94" s="64">
        <v>141.44</v>
      </c>
      <c r="L94" s="64">
        <v>26.36</v>
      </c>
      <c r="M94" s="64">
        <v>75.11</v>
      </c>
      <c r="N94" s="64">
        <v>99</v>
      </c>
      <c r="O94" s="64">
        <v>0</v>
      </c>
      <c r="P94" s="64">
        <v>0.28999999999999998</v>
      </c>
      <c r="Q94" s="64">
        <v>9.56</v>
      </c>
      <c r="R94" s="198"/>
      <c r="S94" s="198"/>
      <c r="T94" s="198"/>
      <c r="U94" s="198"/>
    </row>
    <row r="95" spans="1:26" s="12" customFormat="1" x14ac:dyDescent="0.25">
      <c r="A95" s="215" t="s">
        <v>2924</v>
      </c>
      <c r="B95" s="64">
        <v>4.17</v>
      </c>
      <c r="C95" s="64">
        <v>23.81</v>
      </c>
      <c r="D95" s="64">
        <v>39.18</v>
      </c>
      <c r="E95" s="64">
        <v>3.55</v>
      </c>
      <c r="F95" s="64">
        <v>6.48</v>
      </c>
      <c r="G95" s="64">
        <v>27.82</v>
      </c>
      <c r="H95" s="64">
        <v>9.33</v>
      </c>
      <c r="I95" s="64">
        <v>4</v>
      </c>
      <c r="J95" s="64">
        <v>2.68</v>
      </c>
      <c r="K95" s="64">
        <v>99.02</v>
      </c>
      <c r="L95" s="64">
        <v>26.73</v>
      </c>
      <c r="M95" s="64">
        <v>74.17</v>
      </c>
      <c r="N95" s="64">
        <v>104.8</v>
      </c>
      <c r="O95" s="64">
        <v>0</v>
      </c>
      <c r="P95" s="64">
        <v>0.3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5" t="s">
        <v>2925</v>
      </c>
      <c r="B96" s="64">
        <v>4.58</v>
      </c>
      <c r="C96" s="64">
        <v>22.68</v>
      </c>
      <c r="D96" s="64">
        <v>36.39</v>
      </c>
      <c r="E96" s="64">
        <v>3.2</v>
      </c>
      <c r="F96" s="64">
        <v>6.83</v>
      </c>
      <c r="G96" s="64">
        <v>21.99</v>
      </c>
      <c r="H96" s="64">
        <v>7.3</v>
      </c>
      <c r="I96" s="64">
        <v>3.96</v>
      </c>
      <c r="J96" s="64">
        <v>3</v>
      </c>
      <c r="K96" s="64">
        <v>103.48</v>
      </c>
      <c r="L96" s="64">
        <v>26.77</v>
      </c>
      <c r="M96" s="64">
        <v>73.430000000000007</v>
      </c>
      <c r="N96" s="64">
        <v>104.5</v>
      </c>
      <c r="O96" s="64">
        <v>0</v>
      </c>
      <c r="P96" s="64">
        <v>0.3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2926</v>
      </c>
      <c r="B97" s="64">
        <v>4.76</v>
      </c>
      <c r="C97" s="64">
        <v>23.77</v>
      </c>
      <c r="D97" s="64">
        <v>38.18</v>
      </c>
      <c r="E97" s="64">
        <v>3.34</v>
      </c>
      <c r="F97" s="64">
        <v>7.01</v>
      </c>
      <c r="G97" s="64">
        <v>20.43</v>
      </c>
      <c r="H97" s="64">
        <v>6.71</v>
      </c>
      <c r="I97" s="64">
        <v>3.86</v>
      </c>
      <c r="J97" s="64">
        <v>3.05</v>
      </c>
      <c r="K97" s="64">
        <v>104.48</v>
      </c>
      <c r="L97" s="64">
        <v>26.74</v>
      </c>
      <c r="M97" s="64">
        <v>73.34</v>
      </c>
      <c r="N97" s="64">
        <v>108.9</v>
      </c>
      <c r="O97" s="64">
        <v>0</v>
      </c>
      <c r="P97" s="64">
        <v>0.31</v>
      </c>
      <c r="Q97" s="64">
        <v>9.5299999999999994</v>
      </c>
      <c r="R97" s="198"/>
      <c r="S97" s="198"/>
      <c r="T97" s="198"/>
      <c r="U97" s="198"/>
    </row>
    <row r="98" spans="1:33" s="12" customFormat="1" x14ac:dyDescent="0.25">
      <c r="A98" s="215" t="s">
        <v>2927</v>
      </c>
      <c r="B98" s="64">
        <v>4.9800000000000004</v>
      </c>
      <c r="C98" s="64">
        <v>21.97</v>
      </c>
      <c r="D98" s="64">
        <v>34.42</v>
      </c>
      <c r="E98" s="64">
        <v>3.56</v>
      </c>
      <c r="F98" s="64">
        <v>5.19</v>
      </c>
      <c r="G98" s="64">
        <v>20.43</v>
      </c>
      <c r="H98" s="64">
        <v>6.71</v>
      </c>
      <c r="I98" s="64">
        <v>4.05</v>
      </c>
      <c r="J98" s="64">
        <v>2.95</v>
      </c>
      <c r="K98" s="64">
        <v>105.38</v>
      </c>
      <c r="L98" s="64">
        <v>26.66</v>
      </c>
      <c r="M98" s="64">
        <v>73.78</v>
      </c>
      <c r="N98" s="64">
        <v>104.4</v>
      </c>
      <c r="O98" s="64">
        <v>0</v>
      </c>
      <c r="P98" s="64">
        <v>0.3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5" t="s">
        <v>2928</v>
      </c>
      <c r="B99" s="64">
        <v>5.17</v>
      </c>
      <c r="C99" s="64">
        <v>21.97</v>
      </c>
      <c r="D99" s="64">
        <v>34.119999999999997</v>
      </c>
      <c r="E99" s="64">
        <v>3.18</v>
      </c>
      <c r="F99" s="64">
        <v>6.59</v>
      </c>
      <c r="G99" s="64">
        <v>20.43</v>
      </c>
      <c r="H99" s="64">
        <v>6.71</v>
      </c>
      <c r="I99" s="64">
        <v>3.91</v>
      </c>
      <c r="J99" s="64">
        <v>2.21</v>
      </c>
      <c r="K99" s="64">
        <v>92.45</v>
      </c>
      <c r="L99" s="64">
        <v>26.66</v>
      </c>
      <c r="M99" s="64">
        <v>73.13</v>
      </c>
      <c r="N99" s="64">
        <v>96.4</v>
      </c>
      <c r="O99" s="64">
        <v>0</v>
      </c>
      <c r="P99" s="64">
        <v>0.31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5" t="s">
        <v>2929</v>
      </c>
      <c r="B100" s="64">
        <v>5.4</v>
      </c>
      <c r="C100" s="64">
        <v>21.66</v>
      </c>
      <c r="D100" s="64">
        <v>33.17</v>
      </c>
      <c r="E100" s="64">
        <v>3.22</v>
      </c>
      <c r="F100" s="64">
        <v>6.94</v>
      </c>
      <c r="G100" s="64">
        <v>20.7</v>
      </c>
      <c r="H100" s="64">
        <v>7.07</v>
      </c>
      <c r="I100" s="64">
        <v>4</v>
      </c>
      <c r="J100" s="64">
        <v>2.35</v>
      </c>
      <c r="K100" s="64">
        <v>93.22</v>
      </c>
      <c r="L100" s="64">
        <v>26.64</v>
      </c>
      <c r="M100" s="64">
        <v>73.5</v>
      </c>
      <c r="N100" s="64">
        <v>96.2</v>
      </c>
      <c r="O100" s="64">
        <v>0</v>
      </c>
      <c r="P100" s="64">
        <v>0.3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2930</v>
      </c>
      <c r="B101" s="64">
        <v>5.68</v>
      </c>
      <c r="C101" s="64">
        <v>23.18</v>
      </c>
      <c r="D101" s="64">
        <v>35.65</v>
      </c>
      <c r="E101" s="64">
        <v>3.17</v>
      </c>
      <c r="F101" s="64">
        <v>5.6</v>
      </c>
      <c r="G101" s="64">
        <v>20.78</v>
      </c>
      <c r="H101" s="64">
        <v>7.17</v>
      </c>
      <c r="I101" s="64">
        <v>4.0199999999999996</v>
      </c>
      <c r="J101" s="64">
        <v>1.28</v>
      </c>
      <c r="K101" s="64">
        <v>120.59</v>
      </c>
      <c r="L101" s="64">
        <v>26.58</v>
      </c>
      <c r="M101" s="64">
        <v>75.180000000000007</v>
      </c>
      <c r="N101" s="64">
        <v>96.4</v>
      </c>
      <c r="O101" s="64">
        <v>0</v>
      </c>
      <c r="P101" s="64">
        <v>0.3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15" t="s">
        <v>2931</v>
      </c>
      <c r="B102" s="64">
        <v>5.85</v>
      </c>
      <c r="C102" s="64">
        <v>24.77</v>
      </c>
      <c r="D102" s="64">
        <v>38.43</v>
      </c>
      <c r="E102" s="64">
        <v>3.46</v>
      </c>
      <c r="F102" s="64">
        <v>5.86</v>
      </c>
      <c r="G102" s="64">
        <v>20.78</v>
      </c>
      <c r="H102" s="64">
        <v>7.17</v>
      </c>
      <c r="I102" s="64">
        <v>4.08</v>
      </c>
      <c r="J102" s="64">
        <v>1.5</v>
      </c>
      <c r="K102" s="64">
        <v>192.09</v>
      </c>
      <c r="L102" s="64">
        <v>26.42</v>
      </c>
      <c r="M102" s="64">
        <v>77.17</v>
      </c>
      <c r="N102" s="64">
        <v>97</v>
      </c>
      <c r="O102" s="64">
        <v>0</v>
      </c>
      <c r="P102" s="64">
        <v>0.3</v>
      </c>
      <c r="Q102" s="64">
        <v>9.56</v>
      </c>
      <c r="R102" s="198"/>
      <c r="S102" s="198"/>
      <c r="T102" s="198"/>
      <c r="U102" s="198"/>
    </row>
    <row r="103" spans="1:33" s="12" customFormat="1" x14ac:dyDescent="0.25">
      <c r="A103" s="215" t="s">
        <v>2932</v>
      </c>
      <c r="B103" s="64">
        <v>5.73</v>
      </c>
      <c r="C103" s="64">
        <v>23.48</v>
      </c>
      <c r="D103" s="64">
        <v>36.15</v>
      </c>
      <c r="E103" s="64">
        <v>2.96</v>
      </c>
      <c r="F103" s="64">
        <v>5.76</v>
      </c>
      <c r="G103" s="64">
        <v>20.78</v>
      </c>
      <c r="H103" s="64">
        <v>7.17</v>
      </c>
      <c r="I103" s="64">
        <v>3.88</v>
      </c>
      <c r="J103" s="64">
        <v>0.95</v>
      </c>
      <c r="K103" s="64">
        <v>157.69</v>
      </c>
      <c r="L103" s="64">
        <v>26.22</v>
      </c>
      <c r="M103" s="64">
        <v>79.55</v>
      </c>
      <c r="N103" s="64">
        <v>103.9</v>
      </c>
      <c r="O103" s="64">
        <v>0</v>
      </c>
      <c r="P103" s="64">
        <v>0.3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5" t="s">
        <v>2933</v>
      </c>
      <c r="B104" s="64">
        <v>5.76</v>
      </c>
      <c r="C104" s="64">
        <v>24.69</v>
      </c>
      <c r="D104" s="64">
        <v>38.42</v>
      </c>
      <c r="E104" s="64">
        <v>3.72</v>
      </c>
      <c r="F104" s="64">
        <v>5.88</v>
      </c>
      <c r="G104" s="64">
        <v>23.19</v>
      </c>
      <c r="H104" s="64">
        <v>7.24</v>
      </c>
      <c r="I104" s="64">
        <v>4.17</v>
      </c>
      <c r="J104" s="64">
        <v>0.7</v>
      </c>
      <c r="K104" s="64">
        <v>129.78</v>
      </c>
      <c r="L104" s="64">
        <v>26.05</v>
      </c>
      <c r="M104" s="64">
        <v>81.25</v>
      </c>
      <c r="N104" s="64">
        <v>105.9</v>
      </c>
      <c r="O104" s="64">
        <v>0</v>
      </c>
      <c r="P104" s="64">
        <v>0.31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1.31</v>
      </c>
      <c r="C106" s="67">
        <f>MIN(C9:C104)</f>
        <v>17.34</v>
      </c>
      <c r="D106" s="67">
        <f t="shared" ref="D106:Q106" si="0">MIN(D9:D104)</f>
        <v>31.04</v>
      </c>
      <c r="E106" s="67">
        <f t="shared" si="0"/>
        <v>1.9</v>
      </c>
      <c r="F106" s="67">
        <f t="shared" si="0"/>
        <v>5.19</v>
      </c>
      <c r="G106" s="67">
        <f t="shared" si="0"/>
        <v>8.07</v>
      </c>
      <c r="H106" s="67">
        <f t="shared" si="0"/>
        <v>1</v>
      </c>
      <c r="I106" s="67">
        <f t="shared" si="0"/>
        <v>3.82</v>
      </c>
      <c r="J106" s="67">
        <f t="shared" si="0"/>
        <v>0.22</v>
      </c>
      <c r="K106" s="67">
        <f t="shared" si="0"/>
        <v>80.239999999999995</v>
      </c>
      <c r="L106" s="67">
        <f t="shared" si="0"/>
        <v>25.12</v>
      </c>
      <c r="M106" s="67">
        <f t="shared" si="0"/>
        <v>35.18</v>
      </c>
      <c r="N106" s="67">
        <f t="shared" si="0"/>
        <v>70</v>
      </c>
      <c r="O106" s="67">
        <f t="shared" si="0"/>
        <v>0</v>
      </c>
      <c r="P106" s="67">
        <f t="shared" si="0"/>
        <v>0.23</v>
      </c>
      <c r="Q106" s="67">
        <f t="shared" si="0"/>
        <v>9.43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20.420000000000002</v>
      </c>
      <c r="C107" s="66">
        <f t="shared" ref="C107:Q107" si="1">MAX(C9:C104)</f>
        <v>50.91</v>
      </c>
      <c r="D107" s="66">
        <f t="shared" si="1"/>
        <v>66.09</v>
      </c>
      <c r="E107" s="66">
        <f t="shared" si="1"/>
        <v>6.45</v>
      </c>
      <c r="F107" s="66">
        <f t="shared" si="1"/>
        <v>19.309999999999999</v>
      </c>
      <c r="G107" s="66">
        <f t="shared" si="1"/>
        <v>85.32</v>
      </c>
      <c r="H107" s="66">
        <f t="shared" si="1"/>
        <v>26.22</v>
      </c>
      <c r="I107" s="66">
        <f t="shared" si="1"/>
        <v>4.25</v>
      </c>
      <c r="J107" s="66">
        <f t="shared" si="1"/>
        <v>5.14</v>
      </c>
      <c r="K107" s="66">
        <f t="shared" si="1"/>
        <v>357.03</v>
      </c>
      <c r="L107" s="66">
        <f t="shared" si="1"/>
        <v>39.08</v>
      </c>
      <c r="M107" s="66">
        <f t="shared" si="1"/>
        <v>89.46</v>
      </c>
      <c r="N107" s="66">
        <f t="shared" si="1"/>
        <v>1018.5</v>
      </c>
      <c r="O107" s="66">
        <f t="shared" si="1"/>
        <v>0.4</v>
      </c>
      <c r="P107" s="66">
        <f t="shared" si="1"/>
        <v>0.68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5.1735416666666669</v>
      </c>
      <c r="C108" s="67">
        <f t="shared" ref="C108:Q108" si="2">AVERAGE(C9:C104)</f>
        <v>27.412083333333332</v>
      </c>
      <c r="D108" s="67">
        <f t="shared" si="2"/>
        <v>44.526041666666636</v>
      </c>
      <c r="E108" s="67">
        <f t="shared" si="2"/>
        <v>3.4038541666666657</v>
      </c>
      <c r="F108" s="67">
        <f t="shared" si="2"/>
        <v>9.2077083333333398</v>
      </c>
      <c r="G108" s="67">
        <f t="shared" si="2"/>
        <v>32.33666666666668</v>
      </c>
      <c r="H108" s="67">
        <f t="shared" si="2"/>
        <v>9.1267708333333335</v>
      </c>
      <c r="I108" s="67">
        <f t="shared" si="2"/>
        <v>3.9934374999999993</v>
      </c>
      <c r="J108" s="67">
        <f t="shared" si="2"/>
        <v>2.1990624999999997</v>
      </c>
      <c r="K108" s="67">
        <f t="shared" si="2"/>
        <v>193.90124999999998</v>
      </c>
      <c r="L108" s="67">
        <f t="shared" si="2"/>
        <v>30.477604166666648</v>
      </c>
      <c r="M108" s="67">
        <f t="shared" si="2"/>
        <v>57.722604166666677</v>
      </c>
      <c r="N108" s="67">
        <f t="shared" si="2"/>
        <v>311.48229166666675</v>
      </c>
      <c r="O108" s="67">
        <f t="shared" si="2"/>
        <v>8.3333333333333332E-3</v>
      </c>
      <c r="P108" s="67">
        <f t="shared" si="2"/>
        <v>0.36968749999999989</v>
      </c>
      <c r="Q108" s="67">
        <f t="shared" si="2"/>
        <v>9.5420833333333288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4.3981977120219442</v>
      </c>
      <c r="C109" s="67">
        <f t="shared" ref="C109:Q109" si="3">STDEV(C9:C104)</f>
        <v>7.3182991864542082</v>
      </c>
      <c r="D109" s="67">
        <f t="shared" si="3"/>
        <v>8.2888393548722821</v>
      </c>
      <c r="E109" s="67">
        <f t="shared" si="3"/>
        <v>0.79450132627714898</v>
      </c>
      <c r="F109" s="67">
        <f t="shared" si="3"/>
        <v>3.5922019282025803</v>
      </c>
      <c r="G109" s="67">
        <f t="shared" si="3"/>
        <v>19.786208363491667</v>
      </c>
      <c r="H109" s="67">
        <f t="shared" si="3"/>
        <v>5.7626686973442247</v>
      </c>
      <c r="I109" s="67">
        <f t="shared" si="3"/>
        <v>8.5246739403612187E-2</v>
      </c>
      <c r="J109" s="67">
        <f t="shared" si="3"/>
        <v>0.95400990629856353</v>
      </c>
      <c r="K109" s="67">
        <f t="shared" si="3"/>
        <v>77.250056981753843</v>
      </c>
      <c r="L109" s="67">
        <f t="shared" si="3"/>
        <v>4.7397678701304038</v>
      </c>
      <c r="M109" s="67">
        <f t="shared" si="3"/>
        <v>16.814070626759793</v>
      </c>
      <c r="N109" s="67">
        <f t="shared" si="3"/>
        <v>312.04426777547963</v>
      </c>
      <c r="O109" s="67">
        <f t="shared" si="3"/>
        <v>4.9559462778335214E-2</v>
      </c>
      <c r="P109" s="67">
        <f t="shared" si="3"/>
        <v>0.11868980468785954</v>
      </c>
      <c r="Q109" s="67">
        <f t="shared" si="3"/>
        <v>4.0076680886485548E-2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H119" sqref="H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2934</v>
      </c>
      <c r="B9" s="64">
        <v>5.83</v>
      </c>
      <c r="C9" s="64">
        <v>24.73</v>
      </c>
      <c r="D9" s="64">
        <v>38.380000000000003</v>
      </c>
      <c r="E9" s="64">
        <v>3.51</v>
      </c>
      <c r="F9" s="64">
        <v>6.13</v>
      </c>
      <c r="G9" s="64">
        <v>23.87</v>
      </c>
      <c r="H9" s="64">
        <v>7.26</v>
      </c>
      <c r="I9" s="64">
        <v>3.92</v>
      </c>
      <c r="J9" s="64">
        <v>2.1800000000000002</v>
      </c>
      <c r="K9" s="64">
        <v>133.71</v>
      </c>
      <c r="L9" s="64">
        <v>26.04</v>
      </c>
      <c r="M9" s="64">
        <v>81.89</v>
      </c>
      <c r="N9" s="64">
        <v>105.6</v>
      </c>
      <c r="O9" s="64">
        <v>0</v>
      </c>
      <c r="P9" s="64">
        <v>0.3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5" t="s">
        <v>2935</v>
      </c>
      <c r="B10" s="64">
        <v>5.81</v>
      </c>
      <c r="C10" s="64">
        <v>25.13</v>
      </c>
      <c r="D10" s="64">
        <v>39.19</v>
      </c>
      <c r="E10" s="64">
        <v>3.07</v>
      </c>
      <c r="F10" s="64">
        <v>5.91</v>
      </c>
      <c r="G10" s="64">
        <v>23.87</v>
      </c>
      <c r="H10" s="64">
        <v>7.26</v>
      </c>
      <c r="I10" s="64">
        <v>4.1100000000000003</v>
      </c>
      <c r="J10" s="64">
        <v>0.77</v>
      </c>
      <c r="K10" s="64">
        <v>162.94</v>
      </c>
      <c r="L10" s="64">
        <v>25.87</v>
      </c>
      <c r="M10" s="64">
        <v>83.81</v>
      </c>
      <c r="N10" s="64">
        <v>107</v>
      </c>
      <c r="O10" s="64">
        <v>0</v>
      </c>
      <c r="P10" s="64">
        <v>0.3</v>
      </c>
      <c r="Q10" s="64">
        <v>9.5500000000000007</v>
      </c>
      <c r="R10" s="198"/>
      <c r="S10" s="198"/>
      <c r="T10" s="198"/>
      <c r="U10" s="198"/>
    </row>
    <row r="11" spans="1:21" s="12" customFormat="1" x14ac:dyDescent="0.25">
      <c r="A11" s="215" t="s">
        <v>2936</v>
      </c>
      <c r="B11" s="64">
        <v>5.97</v>
      </c>
      <c r="C11" s="64">
        <v>24.68</v>
      </c>
      <c r="D11" s="64">
        <v>38.07</v>
      </c>
      <c r="E11" s="64">
        <v>3.08</v>
      </c>
      <c r="F11" s="64">
        <v>5.91</v>
      </c>
      <c r="G11" s="64">
        <v>23.87</v>
      </c>
      <c r="H11" s="64">
        <v>7.26</v>
      </c>
      <c r="I11" s="64">
        <v>3.84</v>
      </c>
      <c r="J11" s="64">
        <v>1.04</v>
      </c>
      <c r="K11" s="64">
        <v>112.38</v>
      </c>
      <c r="L11" s="64">
        <v>25.76</v>
      </c>
      <c r="M11" s="64">
        <v>84.65</v>
      </c>
      <c r="N11" s="64">
        <v>106.1</v>
      </c>
      <c r="O11" s="64">
        <v>0</v>
      </c>
      <c r="P11" s="64">
        <v>0.3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5" t="s">
        <v>2937</v>
      </c>
      <c r="B12" s="64">
        <v>5.93</v>
      </c>
      <c r="C12" s="64">
        <v>24.42</v>
      </c>
      <c r="D12" s="64">
        <v>37.630000000000003</v>
      </c>
      <c r="E12" s="64">
        <v>3.29</v>
      </c>
      <c r="F12" s="64">
        <v>6.93</v>
      </c>
      <c r="G12" s="64">
        <v>21.2</v>
      </c>
      <c r="H12" s="64">
        <v>5.67</v>
      </c>
      <c r="I12" s="64">
        <v>3.93</v>
      </c>
      <c r="J12" s="64">
        <v>1.01</v>
      </c>
      <c r="K12" s="64">
        <v>283.82</v>
      </c>
      <c r="L12" s="64">
        <v>25.66</v>
      </c>
      <c r="M12" s="64">
        <v>86.3</v>
      </c>
      <c r="N12" s="64">
        <v>107.1</v>
      </c>
      <c r="O12" s="64">
        <v>0</v>
      </c>
      <c r="P12" s="64">
        <v>0.3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5" t="s">
        <v>2938</v>
      </c>
      <c r="B13" s="64">
        <v>6.33</v>
      </c>
      <c r="C13" s="64">
        <v>25.22</v>
      </c>
      <c r="D13" s="64">
        <v>38.549999999999997</v>
      </c>
      <c r="E13" s="64">
        <v>3</v>
      </c>
      <c r="F13" s="64">
        <v>6.03</v>
      </c>
      <c r="G13" s="64">
        <v>20.440000000000001</v>
      </c>
      <c r="H13" s="64">
        <v>5.21</v>
      </c>
      <c r="I13" s="64">
        <v>4.09</v>
      </c>
      <c r="J13" s="64">
        <v>0.5</v>
      </c>
      <c r="K13" s="64">
        <v>140.21</v>
      </c>
      <c r="L13" s="64">
        <v>25.66</v>
      </c>
      <c r="M13" s="64">
        <v>85.48</v>
      </c>
      <c r="N13" s="64">
        <v>104.3</v>
      </c>
      <c r="O13" s="64">
        <v>0</v>
      </c>
      <c r="P13" s="64">
        <v>0.28000000000000003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5" t="s">
        <v>2939</v>
      </c>
      <c r="B14" s="64">
        <v>6.27</v>
      </c>
      <c r="C14" s="64">
        <v>24.26</v>
      </c>
      <c r="D14" s="64">
        <v>36.82</v>
      </c>
      <c r="E14" s="64">
        <v>3.06</v>
      </c>
      <c r="F14" s="64">
        <v>6</v>
      </c>
      <c r="G14" s="64">
        <v>20.440000000000001</v>
      </c>
      <c r="H14" s="64">
        <v>5.21</v>
      </c>
      <c r="I14" s="64">
        <v>4.13</v>
      </c>
      <c r="J14" s="64">
        <v>0.57999999999999996</v>
      </c>
      <c r="K14" s="64">
        <v>208.23</v>
      </c>
      <c r="L14" s="64">
        <v>25.63</v>
      </c>
      <c r="M14" s="64">
        <v>85.82</v>
      </c>
      <c r="N14" s="64">
        <v>100.7</v>
      </c>
      <c r="O14" s="64">
        <v>0</v>
      </c>
      <c r="P14" s="64">
        <v>0.28999999999999998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5" t="s">
        <v>2940</v>
      </c>
      <c r="B15" s="64">
        <v>6.5</v>
      </c>
      <c r="C15" s="64">
        <v>25.53</v>
      </c>
      <c r="D15" s="64">
        <v>38.89</v>
      </c>
      <c r="E15" s="64">
        <v>3.17</v>
      </c>
      <c r="F15" s="64">
        <v>6.42</v>
      </c>
      <c r="G15" s="64">
        <v>20.440000000000001</v>
      </c>
      <c r="H15" s="64">
        <v>5.21</v>
      </c>
      <c r="I15" s="64">
        <v>4.09</v>
      </c>
      <c r="J15" s="64">
        <v>1.66</v>
      </c>
      <c r="K15" s="64">
        <v>274.20999999999998</v>
      </c>
      <c r="L15" s="64">
        <v>25.38</v>
      </c>
      <c r="M15" s="64">
        <v>89.85</v>
      </c>
      <c r="N15" s="64">
        <v>104</v>
      </c>
      <c r="O15" s="64">
        <v>0</v>
      </c>
      <c r="P15" s="64">
        <v>0.3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5" t="s">
        <v>2941</v>
      </c>
      <c r="B16" s="64">
        <v>6.44</v>
      </c>
      <c r="C16" s="64">
        <v>23.77</v>
      </c>
      <c r="D16" s="64">
        <v>35.6</v>
      </c>
      <c r="E16" s="64">
        <v>3.12</v>
      </c>
      <c r="F16" s="64">
        <v>6.54</v>
      </c>
      <c r="G16" s="64">
        <v>18.84</v>
      </c>
      <c r="H16" s="64">
        <v>5.53</v>
      </c>
      <c r="I16" s="64">
        <v>4.1500000000000004</v>
      </c>
      <c r="J16" s="64">
        <v>1.28</v>
      </c>
      <c r="K16" s="64">
        <v>185.34</v>
      </c>
      <c r="L16" s="64">
        <v>25.33</v>
      </c>
      <c r="M16" s="64">
        <v>89.44</v>
      </c>
      <c r="N16" s="64">
        <v>109.6</v>
      </c>
      <c r="O16" s="64">
        <v>0</v>
      </c>
      <c r="P16" s="64">
        <v>0.28999999999999998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2942</v>
      </c>
      <c r="B17" s="64">
        <v>6.9</v>
      </c>
      <c r="C17" s="64">
        <v>22.77</v>
      </c>
      <c r="D17" s="64">
        <v>33</v>
      </c>
      <c r="E17" s="64">
        <v>3.15</v>
      </c>
      <c r="F17" s="64">
        <v>6.59</v>
      </c>
      <c r="G17" s="64">
        <v>18.39</v>
      </c>
      <c r="H17" s="64">
        <v>5.62</v>
      </c>
      <c r="I17" s="64">
        <v>4.0999999999999996</v>
      </c>
      <c r="J17" s="64">
        <v>2.27</v>
      </c>
      <c r="K17" s="64">
        <v>116.73</v>
      </c>
      <c r="L17" s="64">
        <v>25.57</v>
      </c>
      <c r="M17" s="64">
        <v>87.33</v>
      </c>
      <c r="N17" s="64">
        <v>107.2</v>
      </c>
      <c r="O17" s="64">
        <v>0</v>
      </c>
      <c r="P17" s="64">
        <v>0.3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2943</v>
      </c>
      <c r="B18" s="64">
        <v>7.8</v>
      </c>
      <c r="C18" s="64">
        <v>23.02</v>
      </c>
      <c r="D18" s="64">
        <v>32.08</v>
      </c>
      <c r="E18" s="64">
        <v>3.44</v>
      </c>
      <c r="F18" s="64">
        <v>6.1</v>
      </c>
      <c r="G18" s="64">
        <v>18.39</v>
      </c>
      <c r="H18" s="64">
        <v>5.62</v>
      </c>
      <c r="I18" s="64">
        <v>4.08</v>
      </c>
      <c r="J18" s="64">
        <v>2.71</v>
      </c>
      <c r="K18" s="64">
        <v>103.12</v>
      </c>
      <c r="L18" s="64">
        <v>25.8</v>
      </c>
      <c r="M18" s="64">
        <v>86.64</v>
      </c>
      <c r="N18" s="64">
        <v>104.9</v>
      </c>
      <c r="O18" s="64">
        <v>0</v>
      </c>
      <c r="P18" s="64">
        <v>0.3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2944</v>
      </c>
      <c r="B19" s="64">
        <v>8.01</v>
      </c>
      <c r="C19" s="64">
        <v>23.03</v>
      </c>
      <c r="D19" s="64">
        <v>31.78</v>
      </c>
      <c r="E19" s="64">
        <v>2.87</v>
      </c>
      <c r="F19" s="64">
        <v>6.29</v>
      </c>
      <c r="G19" s="64">
        <v>18.39</v>
      </c>
      <c r="H19" s="64">
        <v>5.62</v>
      </c>
      <c r="I19" s="64">
        <v>3.96</v>
      </c>
      <c r="J19" s="64">
        <v>1.44</v>
      </c>
      <c r="K19" s="64">
        <v>99.68</v>
      </c>
      <c r="L19" s="64">
        <v>25.68</v>
      </c>
      <c r="M19" s="64">
        <v>87.99</v>
      </c>
      <c r="N19" s="64">
        <v>106.2</v>
      </c>
      <c r="O19" s="64">
        <v>0</v>
      </c>
      <c r="P19" s="64">
        <v>0.3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2945</v>
      </c>
      <c r="B20" s="64">
        <v>7.41</v>
      </c>
      <c r="C20" s="64">
        <v>22.46</v>
      </c>
      <c r="D20" s="64">
        <v>31.62</v>
      </c>
      <c r="E20" s="64">
        <v>3.14</v>
      </c>
      <c r="F20" s="64">
        <v>6.38</v>
      </c>
      <c r="G20" s="64">
        <v>20.9</v>
      </c>
      <c r="H20" s="64">
        <v>6.73</v>
      </c>
      <c r="I20" s="64">
        <v>4.0999999999999996</v>
      </c>
      <c r="J20" s="64">
        <v>1.6</v>
      </c>
      <c r="K20" s="64">
        <v>146.13999999999999</v>
      </c>
      <c r="L20" s="64">
        <v>25.55</v>
      </c>
      <c r="M20" s="64">
        <v>89.07</v>
      </c>
      <c r="N20" s="64">
        <v>109.2</v>
      </c>
      <c r="O20" s="64">
        <v>0</v>
      </c>
      <c r="P20" s="64">
        <v>0.28999999999999998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2946</v>
      </c>
      <c r="B21" s="64">
        <v>8.5500000000000007</v>
      </c>
      <c r="C21" s="64">
        <v>23.29</v>
      </c>
      <c r="D21" s="64">
        <v>31.45</v>
      </c>
      <c r="E21" s="64">
        <v>3.32</v>
      </c>
      <c r="F21" s="64">
        <v>5.18</v>
      </c>
      <c r="G21" s="64">
        <v>21.61</v>
      </c>
      <c r="H21" s="64">
        <v>7.05</v>
      </c>
      <c r="I21" s="64">
        <v>4.01</v>
      </c>
      <c r="J21" s="64">
        <v>1.3</v>
      </c>
      <c r="K21" s="64">
        <v>169.2</v>
      </c>
      <c r="L21" s="64">
        <v>25.45</v>
      </c>
      <c r="M21" s="64">
        <v>90.68</v>
      </c>
      <c r="N21" s="64">
        <v>110.9</v>
      </c>
      <c r="O21" s="64">
        <v>0</v>
      </c>
      <c r="P21" s="64">
        <v>0.28999999999999998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5" t="s">
        <v>2947</v>
      </c>
      <c r="B22" s="64">
        <v>8.1</v>
      </c>
      <c r="C22" s="64">
        <v>22.7</v>
      </c>
      <c r="D22" s="64">
        <v>31.01</v>
      </c>
      <c r="E22" s="64">
        <v>3.37</v>
      </c>
      <c r="F22" s="64">
        <v>6.21</v>
      </c>
      <c r="G22" s="64">
        <v>21.61</v>
      </c>
      <c r="H22" s="64">
        <v>7.05</v>
      </c>
      <c r="I22" s="64">
        <v>4</v>
      </c>
      <c r="J22" s="64">
        <v>1.5</v>
      </c>
      <c r="K22" s="64">
        <v>119.04</v>
      </c>
      <c r="L22" s="64">
        <v>25.33</v>
      </c>
      <c r="M22" s="64">
        <v>91.8</v>
      </c>
      <c r="N22" s="64">
        <v>111.6</v>
      </c>
      <c r="O22" s="64">
        <v>0</v>
      </c>
      <c r="P22" s="64">
        <v>0.28000000000000003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5" t="s">
        <v>2948</v>
      </c>
      <c r="B23" s="64">
        <v>9.32</v>
      </c>
      <c r="C23" s="64">
        <v>25</v>
      </c>
      <c r="D23" s="64">
        <v>33.549999999999997</v>
      </c>
      <c r="E23" s="64">
        <v>3.13</v>
      </c>
      <c r="F23" s="64">
        <v>5.83</v>
      </c>
      <c r="G23" s="64">
        <v>21.61</v>
      </c>
      <c r="H23" s="64">
        <v>7.05</v>
      </c>
      <c r="I23" s="64">
        <v>4.01</v>
      </c>
      <c r="J23" s="64">
        <v>0.73</v>
      </c>
      <c r="K23" s="64">
        <v>128.71</v>
      </c>
      <c r="L23" s="64">
        <v>25.24</v>
      </c>
      <c r="M23" s="64">
        <v>92.72</v>
      </c>
      <c r="N23" s="64">
        <v>112.6</v>
      </c>
      <c r="O23" s="64">
        <v>0</v>
      </c>
      <c r="P23" s="64">
        <v>0.28999999999999998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5" t="s">
        <v>2949</v>
      </c>
      <c r="B24" s="64">
        <v>9.8000000000000007</v>
      </c>
      <c r="C24" s="64">
        <v>25.84</v>
      </c>
      <c r="D24" s="64">
        <v>34.409999999999997</v>
      </c>
      <c r="E24" s="64">
        <v>3.31</v>
      </c>
      <c r="F24" s="64">
        <v>5.78</v>
      </c>
      <c r="G24" s="64">
        <v>18.66</v>
      </c>
      <c r="H24" s="64">
        <v>7.7</v>
      </c>
      <c r="I24" s="64">
        <v>4.07</v>
      </c>
      <c r="J24" s="64">
        <v>1.1200000000000001</v>
      </c>
      <c r="K24" s="64">
        <v>165.5</v>
      </c>
      <c r="L24" s="64">
        <v>25.15</v>
      </c>
      <c r="M24" s="64">
        <v>93.19</v>
      </c>
      <c r="N24" s="64">
        <v>113</v>
      </c>
      <c r="O24" s="64">
        <v>0</v>
      </c>
      <c r="P24" s="64">
        <v>0.28999999999999998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5" t="s">
        <v>2950</v>
      </c>
      <c r="B25" s="64">
        <v>10.029999999999999</v>
      </c>
      <c r="C25" s="64">
        <v>26.31</v>
      </c>
      <c r="D25" s="64">
        <v>34.96</v>
      </c>
      <c r="E25" s="64">
        <v>3.13</v>
      </c>
      <c r="F25" s="64">
        <v>5.61</v>
      </c>
      <c r="G25" s="64">
        <v>17.809999999999999</v>
      </c>
      <c r="H25" s="64">
        <v>7.89</v>
      </c>
      <c r="I25" s="64">
        <v>4.05</v>
      </c>
      <c r="J25" s="64">
        <v>1.72</v>
      </c>
      <c r="K25" s="64">
        <v>177.85</v>
      </c>
      <c r="L25" s="64">
        <v>25.06</v>
      </c>
      <c r="M25" s="64">
        <v>93.69</v>
      </c>
      <c r="N25" s="64">
        <v>113.6</v>
      </c>
      <c r="O25" s="64">
        <v>0</v>
      </c>
      <c r="P25" s="64">
        <v>0.28999999999999998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2951</v>
      </c>
      <c r="B26" s="64">
        <v>10.08</v>
      </c>
      <c r="C26" s="64">
        <v>25.85</v>
      </c>
      <c r="D26" s="64">
        <v>34</v>
      </c>
      <c r="E26" s="64">
        <v>3.22</v>
      </c>
      <c r="F26" s="64">
        <v>5.45</v>
      </c>
      <c r="G26" s="64">
        <v>17.809999999999999</v>
      </c>
      <c r="H26" s="64">
        <v>7.89</v>
      </c>
      <c r="I26" s="64">
        <v>3.81</v>
      </c>
      <c r="J26" s="64">
        <v>1.57</v>
      </c>
      <c r="K26" s="64">
        <v>204.27</v>
      </c>
      <c r="L26" s="64">
        <v>24.95</v>
      </c>
      <c r="M26" s="64">
        <v>94.86</v>
      </c>
      <c r="N26" s="64">
        <v>110.8</v>
      </c>
      <c r="O26" s="64">
        <v>0</v>
      </c>
      <c r="P26" s="64">
        <v>0.28999999999999998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2952</v>
      </c>
      <c r="B27" s="64">
        <v>10.220000000000001</v>
      </c>
      <c r="C27" s="64">
        <v>26.49</v>
      </c>
      <c r="D27" s="64">
        <v>35.020000000000003</v>
      </c>
      <c r="E27" s="64">
        <v>3.04</v>
      </c>
      <c r="F27" s="64">
        <v>5.25</v>
      </c>
      <c r="G27" s="64">
        <v>17.809999999999999</v>
      </c>
      <c r="H27" s="64">
        <v>7.89</v>
      </c>
      <c r="I27" s="64">
        <v>3.89</v>
      </c>
      <c r="J27" s="64">
        <v>1.52</v>
      </c>
      <c r="K27" s="64">
        <v>220.06</v>
      </c>
      <c r="L27" s="64">
        <v>24.86</v>
      </c>
      <c r="M27" s="64">
        <v>95.68</v>
      </c>
      <c r="N27" s="64">
        <v>111</v>
      </c>
      <c r="O27" s="64">
        <v>0</v>
      </c>
      <c r="P27" s="64">
        <v>0.28999999999999998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5" t="s">
        <v>2953</v>
      </c>
      <c r="B28" s="64">
        <v>10.26</v>
      </c>
      <c r="C28" s="64">
        <v>26.1</v>
      </c>
      <c r="D28" s="64">
        <v>34.21</v>
      </c>
      <c r="E28" s="64">
        <v>2.99</v>
      </c>
      <c r="F28" s="64">
        <v>5.49</v>
      </c>
      <c r="G28" s="64">
        <v>20.79</v>
      </c>
      <c r="H28" s="64">
        <v>8.39</v>
      </c>
      <c r="I28" s="64">
        <v>4.01</v>
      </c>
      <c r="J28" s="64">
        <v>1.45</v>
      </c>
      <c r="K28" s="64">
        <v>221.7</v>
      </c>
      <c r="L28" s="64">
        <v>24.72</v>
      </c>
      <c r="M28" s="64">
        <v>96.69</v>
      </c>
      <c r="N28" s="64">
        <v>112.3</v>
      </c>
      <c r="O28" s="64">
        <v>0</v>
      </c>
      <c r="P28" s="64">
        <v>0.28999999999999998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5" t="s">
        <v>2954</v>
      </c>
      <c r="B29" s="64">
        <v>10.57</v>
      </c>
      <c r="C29" s="64">
        <v>26.83</v>
      </c>
      <c r="D29" s="64">
        <v>35.130000000000003</v>
      </c>
      <c r="E29" s="64">
        <v>3.22</v>
      </c>
      <c r="F29" s="64">
        <v>5.37</v>
      </c>
      <c r="G29" s="64">
        <v>21.64</v>
      </c>
      <c r="H29" s="64">
        <v>8.5399999999999991</v>
      </c>
      <c r="I29" s="64">
        <v>4</v>
      </c>
      <c r="J29" s="64">
        <v>1.63</v>
      </c>
      <c r="K29" s="64">
        <v>256.74</v>
      </c>
      <c r="L29" s="64">
        <v>24.62</v>
      </c>
      <c r="M29" s="64">
        <v>97.6</v>
      </c>
      <c r="N29" s="64">
        <v>111.5</v>
      </c>
      <c r="O29" s="64">
        <v>0</v>
      </c>
      <c r="P29" s="64">
        <v>0.3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5" t="s">
        <v>2955</v>
      </c>
      <c r="B30" s="64">
        <v>11.12</v>
      </c>
      <c r="C30" s="64">
        <v>27.77</v>
      </c>
      <c r="D30" s="64">
        <v>36.08</v>
      </c>
      <c r="E30" s="64">
        <v>3.22</v>
      </c>
      <c r="F30" s="64">
        <v>5.18</v>
      </c>
      <c r="G30" s="64">
        <v>21.64</v>
      </c>
      <c r="H30" s="64">
        <v>8.5399999999999991</v>
      </c>
      <c r="I30" s="64">
        <v>3.95</v>
      </c>
      <c r="J30" s="64">
        <v>1.26</v>
      </c>
      <c r="K30" s="64">
        <v>266.11</v>
      </c>
      <c r="L30" s="64">
        <v>24.79</v>
      </c>
      <c r="M30" s="64">
        <v>94.88</v>
      </c>
      <c r="N30" s="64">
        <v>112.7</v>
      </c>
      <c r="O30" s="64">
        <v>0</v>
      </c>
      <c r="P30" s="64">
        <v>0.31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5" t="s">
        <v>2956</v>
      </c>
      <c r="B31" s="64">
        <v>11.6</v>
      </c>
      <c r="C31" s="64">
        <v>27.54</v>
      </c>
      <c r="D31" s="64">
        <v>34.92</v>
      </c>
      <c r="E31" s="64">
        <v>2.77</v>
      </c>
      <c r="F31" s="64">
        <v>5.41</v>
      </c>
      <c r="G31" s="64">
        <v>21.64</v>
      </c>
      <c r="H31" s="64">
        <v>8.5399999999999991</v>
      </c>
      <c r="I31" s="64">
        <v>4.0599999999999996</v>
      </c>
      <c r="J31" s="64">
        <v>1.68</v>
      </c>
      <c r="K31" s="64">
        <v>270.75</v>
      </c>
      <c r="L31" s="64">
        <v>24.93</v>
      </c>
      <c r="M31" s="64">
        <v>93.41</v>
      </c>
      <c r="N31" s="64">
        <v>125.8</v>
      </c>
      <c r="O31" s="64">
        <v>0</v>
      </c>
      <c r="P31" s="64">
        <v>0.31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15" t="s">
        <v>2957</v>
      </c>
      <c r="B32" s="64">
        <v>12.32</v>
      </c>
      <c r="C32" s="64">
        <v>29.32</v>
      </c>
      <c r="D32" s="64">
        <v>37.200000000000003</v>
      </c>
      <c r="E32" s="64">
        <v>2.72</v>
      </c>
      <c r="F32" s="64">
        <v>5.01</v>
      </c>
      <c r="G32" s="64">
        <v>24.9</v>
      </c>
      <c r="H32" s="64">
        <v>6.61</v>
      </c>
      <c r="I32" s="64">
        <v>3.87</v>
      </c>
      <c r="J32" s="64">
        <v>2.0099999999999998</v>
      </c>
      <c r="K32" s="64">
        <v>268.36</v>
      </c>
      <c r="L32" s="64">
        <v>25.14</v>
      </c>
      <c r="M32" s="64">
        <v>92.14</v>
      </c>
      <c r="N32" s="64">
        <v>176.1</v>
      </c>
      <c r="O32" s="64">
        <v>0</v>
      </c>
      <c r="P32" s="64">
        <v>0.31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5" t="s">
        <v>2958</v>
      </c>
      <c r="B33" s="64">
        <v>12.82</v>
      </c>
      <c r="C33" s="64">
        <v>29.7</v>
      </c>
      <c r="D33" s="64">
        <v>37.159999999999997</v>
      </c>
      <c r="E33" s="64">
        <v>2.72</v>
      </c>
      <c r="F33" s="64">
        <v>5.34</v>
      </c>
      <c r="G33" s="64">
        <v>25.83</v>
      </c>
      <c r="H33" s="64">
        <v>6.07</v>
      </c>
      <c r="I33" s="64">
        <v>4</v>
      </c>
      <c r="J33" s="64">
        <v>1.62</v>
      </c>
      <c r="K33" s="64">
        <v>275.83</v>
      </c>
      <c r="L33" s="64">
        <v>25.63</v>
      </c>
      <c r="M33" s="64">
        <v>89.52</v>
      </c>
      <c r="N33" s="64">
        <v>212.9</v>
      </c>
      <c r="O33" s="64">
        <v>0</v>
      </c>
      <c r="P33" s="64">
        <v>0.32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5" t="s">
        <v>2959</v>
      </c>
      <c r="B34" s="64">
        <v>9.9499999999999993</v>
      </c>
      <c r="C34" s="64">
        <v>28.09</v>
      </c>
      <c r="D34" s="64">
        <v>38.479999999999997</v>
      </c>
      <c r="E34" s="64">
        <v>3.19</v>
      </c>
      <c r="F34" s="64">
        <v>6.04</v>
      </c>
      <c r="G34" s="64">
        <v>25.83</v>
      </c>
      <c r="H34" s="64">
        <v>6.07</v>
      </c>
      <c r="I34" s="64">
        <v>3.94</v>
      </c>
      <c r="J34" s="64">
        <v>1.23</v>
      </c>
      <c r="K34" s="64">
        <v>227.2</v>
      </c>
      <c r="L34" s="64">
        <v>26.1</v>
      </c>
      <c r="M34" s="64">
        <v>85.49</v>
      </c>
      <c r="N34" s="64">
        <v>262.5</v>
      </c>
      <c r="O34" s="64">
        <v>0</v>
      </c>
      <c r="P34" s="64">
        <v>0.34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5" t="s">
        <v>2960</v>
      </c>
      <c r="B35" s="64">
        <v>11.35</v>
      </c>
      <c r="C35" s="64">
        <v>29.11</v>
      </c>
      <c r="D35" s="64">
        <v>38.31</v>
      </c>
      <c r="E35" s="64">
        <v>2.83</v>
      </c>
      <c r="F35" s="64">
        <v>6.18</v>
      </c>
      <c r="G35" s="64">
        <v>25.83</v>
      </c>
      <c r="H35" s="64">
        <v>6.07</v>
      </c>
      <c r="I35" s="64">
        <v>3.98</v>
      </c>
      <c r="J35" s="64">
        <v>1.18</v>
      </c>
      <c r="K35" s="64">
        <v>207.48</v>
      </c>
      <c r="L35" s="64">
        <v>26.62</v>
      </c>
      <c r="M35" s="64">
        <v>82.74</v>
      </c>
      <c r="N35" s="64">
        <v>300.2</v>
      </c>
      <c r="O35" s="64">
        <v>0</v>
      </c>
      <c r="P35" s="64">
        <v>0.34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5" t="s">
        <v>2961</v>
      </c>
      <c r="B36" s="64">
        <v>11.69</v>
      </c>
      <c r="C36" s="64">
        <v>29.68</v>
      </c>
      <c r="D36" s="64">
        <v>38.869999999999997</v>
      </c>
      <c r="E36" s="64">
        <v>2.91</v>
      </c>
      <c r="F36" s="64">
        <v>5.88</v>
      </c>
      <c r="G36" s="64">
        <v>24.92</v>
      </c>
      <c r="H36" s="64">
        <v>7.81</v>
      </c>
      <c r="I36" s="64">
        <v>4.12</v>
      </c>
      <c r="J36" s="64">
        <v>1.5</v>
      </c>
      <c r="K36" s="64">
        <v>225.93</v>
      </c>
      <c r="L36" s="64">
        <v>27.14</v>
      </c>
      <c r="M36" s="64">
        <v>81.239999999999995</v>
      </c>
      <c r="N36" s="64">
        <v>338.3</v>
      </c>
      <c r="O36" s="64">
        <v>0</v>
      </c>
      <c r="P36" s="64">
        <v>0.34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5" t="s">
        <v>2962</v>
      </c>
      <c r="B37" s="64">
        <v>12.58</v>
      </c>
      <c r="C37" s="64">
        <v>30.85</v>
      </c>
      <c r="D37" s="64">
        <v>39.74</v>
      </c>
      <c r="E37" s="64">
        <v>3.45</v>
      </c>
      <c r="F37" s="64">
        <v>5.5</v>
      </c>
      <c r="G37" s="64">
        <v>24.66</v>
      </c>
      <c r="H37" s="64">
        <v>8.31</v>
      </c>
      <c r="I37" s="64">
        <v>4.04</v>
      </c>
      <c r="J37" s="64">
        <v>1.24</v>
      </c>
      <c r="K37" s="64">
        <v>189.08</v>
      </c>
      <c r="L37" s="64">
        <v>27.79</v>
      </c>
      <c r="M37" s="64">
        <v>77.680000000000007</v>
      </c>
      <c r="N37" s="64">
        <v>369.3</v>
      </c>
      <c r="O37" s="64">
        <v>0</v>
      </c>
      <c r="P37" s="64">
        <v>0.34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5" t="s">
        <v>2963</v>
      </c>
      <c r="B38" s="64">
        <v>12.4</v>
      </c>
      <c r="C38" s="64">
        <v>30.64</v>
      </c>
      <c r="D38" s="64">
        <v>39.619999999999997</v>
      </c>
      <c r="E38" s="64">
        <v>3</v>
      </c>
      <c r="F38" s="64">
        <v>5.45</v>
      </c>
      <c r="G38" s="64">
        <v>24.66</v>
      </c>
      <c r="H38" s="64">
        <v>8.31</v>
      </c>
      <c r="I38" s="64">
        <v>3.87</v>
      </c>
      <c r="J38" s="64">
        <v>1.89</v>
      </c>
      <c r="K38" s="64">
        <v>174.75</v>
      </c>
      <c r="L38" s="64">
        <v>27.99</v>
      </c>
      <c r="M38" s="64">
        <v>75.19</v>
      </c>
      <c r="N38" s="64">
        <v>418.9</v>
      </c>
      <c r="O38" s="64">
        <v>0</v>
      </c>
      <c r="P38" s="64">
        <v>0.34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5" t="s">
        <v>2964</v>
      </c>
      <c r="B39" s="64">
        <v>12</v>
      </c>
      <c r="C39" s="64">
        <v>30.35</v>
      </c>
      <c r="D39" s="64">
        <v>39.67</v>
      </c>
      <c r="E39" s="64">
        <v>3.17</v>
      </c>
      <c r="F39" s="64">
        <v>6.11</v>
      </c>
      <c r="G39" s="64">
        <v>24.66</v>
      </c>
      <c r="H39" s="64">
        <v>8.31</v>
      </c>
      <c r="I39" s="64">
        <v>4</v>
      </c>
      <c r="J39" s="64">
        <v>1.01</v>
      </c>
      <c r="K39" s="64">
        <v>209.99</v>
      </c>
      <c r="L39" s="64">
        <v>29.33</v>
      </c>
      <c r="M39" s="64">
        <v>70.5</v>
      </c>
      <c r="N39" s="64">
        <v>475.8</v>
      </c>
      <c r="O39" s="64">
        <v>0</v>
      </c>
      <c r="P39" s="64">
        <v>0.33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5" t="s">
        <v>2965</v>
      </c>
      <c r="B40" s="64">
        <v>10.73</v>
      </c>
      <c r="C40" s="64">
        <v>30.23</v>
      </c>
      <c r="D40" s="64">
        <v>41.39</v>
      </c>
      <c r="E40" s="64">
        <v>2.94</v>
      </c>
      <c r="F40" s="64">
        <v>6.79</v>
      </c>
      <c r="G40" s="64">
        <v>22.63</v>
      </c>
      <c r="H40" s="64">
        <v>8.31</v>
      </c>
      <c r="I40" s="64">
        <v>3.9</v>
      </c>
      <c r="J40" s="64">
        <v>1.96</v>
      </c>
      <c r="K40" s="64">
        <v>158.07</v>
      </c>
      <c r="L40" s="64">
        <v>29.83</v>
      </c>
      <c r="M40" s="64">
        <v>67.73</v>
      </c>
      <c r="N40" s="64">
        <v>531</v>
      </c>
      <c r="O40" s="64">
        <v>0</v>
      </c>
      <c r="P40" s="64">
        <v>0.34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5" t="s">
        <v>2966</v>
      </c>
      <c r="B41" s="64">
        <v>11.6</v>
      </c>
      <c r="C41" s="64">
        <v>31.77</v>
      </c>
      <c r="D41" s="64">
        <v>43</v>
      </c>
      <c r="E41" s="64">
        <v>2.88</v>
      </c>
      <c r="F41" s="64">
        <v>6.04</v>
      </c>
      <c r="G41" s="64">
        <v>22.05</v>
      </c>
      <c r="H41" s="64">
        <v>8.31</v>
      </c>
      <c r="I41" s="64">
        <v>4.0199999999999996</v>
      </c>
      <c r="J41" s="64">
        <v>2.33</v>
      </c>
      <c r="K41" s="64">
        <v>169.09</v>
      </c>
      <c r="L41" s="64">
        <v>29.68</v>
      </c>
      <c r="M41" s="64">
        <v>66.709999999999994</v>
      </c>
      <c r="N41" s="64">
        <v>509.1</v>
      </c>
      <c r="O41" s="64">
        <v>0</v>
      </c>
      <c r="P41" s="64">
        <v>0.34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2967</v>
      </c>
      <c r="B42" s="64">
        <v>10.98</v>
      </c>
      <c r="C42" s="64">
        <v>31.31</v>
      </c>
      <c r="D42" s="64">
        <v>43.06</v>
      </c>
      <c r="E42" s="64">
        <v>2.7</v>
      </c>
      <c r="F42" s="64">
        <v>6.42</v>
      </c>
      <c r="G42" s="64">
        <v>22.05</v>
      </c>
      <c r="H42" s="64">
        <v>8.31</v>
      </c>
      <c r="I42" s="64">
        <v>3.95</v>
      </c>
      <c r="J42" s="64">
        <v>1.64</v>
      </c>
      <c r="K42" s="64">
        <v>195.47</v>
      </c>
      <c r="L42" s="64">
        <v>30.24</v>
      </c>
      <c r="M42" s="64">
        <v>64.38</v>
      </c>
      <c r="N42" s="64">
        <v>502.4</v>
      </c>
      <c r="O42" s="64">
        <v>0</v>
      </c>
      <c r="P42" s="64">
        <v>0.33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5" t="s">
        <v>2968</v>
      </c>
      <c r="B43" s="64">
        <v>9.93</v>
      </c>
      <c r="C43" s="64">
        <v>28.58</v>
      </c>
      <c r="D43" s="64">
        <v>39.450000000000003</v>
      </c>
      <c r="E43" s="64">
        <v>2.57</v>
      </c>
      <c r="F43" s="64">
        <v>7.49</v>
      </c>
      <c r="G43" s="64">
        <v>22.05</v>
      </c>
      <c r="H43" s="64">
        <v>8.31</v>
      </c>
      <c r="I43" s="64">
        <v>4.07</v>
      </c>
      <c r="J43" s="64">
        <v>1.39</v>
      </c>
      <c r="K43" s="64">
        <v>234.74</v>
      </c>
      <c r="L43" s="64">
        <v>31.38</v>
      </c>
      <c r="M43" s="64">
        <v>60.08</v>
      </c>
      <c r="N43" s="64">
        <v>656.8</v>
      </c>
      <c r="O43" s="64">
        <v>0</v>
      </c>
      <c r="P43" s="64">
        <v>0.33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5" t="s">
        <v>2969</v>
      </c>
      <c r="B44" s="64">
        <v>8.51</v>
      </c>
      <c r="C44" s="64">
        <v>30.11</v>
      </c>
      <c r="D44" s="64">
        <v>44.57</v>
      </c>
      <c r="E44" s="64">
        <v>2.6</v>
      </c>
      <c r="F44" s="64">
        <v>5.39</v>
      </c>
      <c r="G44" s="64">
        <v>23.22</v>
      </c>
      <c r="H44" s="64">
        <v>6.45</v>
      </c>
      <c r="I44" s="64">
        <v>3.99</v>
      </c>
      <c r="J44" s="64">
        <v>1.66</v>
      </c>
      <c r="K44" s="64">
        <v>263.14999999999998</v>
      </c>
      <c r="L44" s="64">
        <v>32.89</v>
      </c>
      <c r="M44" s="64">
        <v>56.82</v>
      </c>
      <c r="N44" s="64">
        <v>613.1</v>
      </c>
      <c r="O44" s="64">
        <v>0</v>
      </c>
      <c r="P44" s="64">
        <v>0.34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5" t="s">
        <v>2970</v>
      </c>
      <c r="B45" s="64">
        <v>7.59</v>
      </c>
      <c r="C45" s="64">
        <v>28.06</v>
      </c>
      <c r="D45" s="64">
        <v>42.07</v>
      </c>
      <c r="E45" s="64">
        <v>2.65</v>
      </c>
      <c r="F45" s="64">
        <v>5.93</v>
      </c>
      <c r="G45" s="64">
        <v>23.55</v>
      </c>
      <c r="H45" s="64">
        <v>5.92</v>
      </c>
      <c r="I45" s="64">
        <v>3.98</v>
      </c>
      <c r="J45" s="64">
        <v>1.5</v>
      </c>
      <c r="K45" s="64">
        <v>240.74</v>
      </c>
      <c r="L45" s="64">
        <v>33.14</v>
      </c>
      <c r="M45" s="64">
        <v>53.18</v>
      </c>
      <c r="N45" s="64">
        <v>477.7</v>
      </c>
      <c r="O45" s="64">
        <v>0</v>
      </c>
      <c r="P45" s="64">
        <v>0.35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5" t="s">
        <v>2971</v>
      </c>
      <c r="B46" s="64">
        <v>6.79</v>
      </c>
      <c r="C46" s="64">
        <v>29.12</v>
      </c>
      <c r="D46" s="64">
        <v>45.31</v>
      </c>
      <c r="E46" s="64">
        <v>2.52</v>
      </c>
      <c r="F46" s="64">
        <v>6.03</v>
      </c>
      <c r="G46" s="64">
        <v>23.55</v>
      </c>
      <c r="H46" s="64">
        <v>5.92</v>
      </c>
      <c r="I46" s="64">
        <v>4</v>
      </c>
      <c r="J46" s="64">
        <v>1.27</v>
      </c>
      <c r="K46" s="64">
        <v>217.97</v>
      </c>
      <c r="L46" s="64">
        <v>32.869999999999997</v>
      </c>
      <c r="M46" s="64">
        <v>52.73</v>
      </c>
      <c r="N46" s="64">
        <v>531.70000000000005</v>
      </c>
      <c r="O46" s="64">
        <v>0</v>
      </c>
      <c r="P46" s="64">
        <v>0.36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5" t="s">
        <v>2972</v>
      </c>
      <c r="B47" s="64">
        <v>5.8</v>
      </c>
      <c r="C47" s="64">
        <v>26.83</v>
      </c>
      <c r="D47" s="64">
        <v>42.45</v>
      </c>
      <c r="E47" s="64">
        <v>2.56</v>
      </c>
      <c r="F47" s="64">
        <v>6.48</v>
      </c>
      <c r="G47" s="64">
        <v>23.55</v>
      </c>
      <c r="H47" s="64">
        <v>5.92</v>
      </c>
      <c r="I47" s="64">
        <v>4.07</v>
      </c>
      <c r="J47" s="64">
        <v>2.52</v>
      </c>
      <c r="K47" s="64">
        <v>166.77</v>
      </c>
      <c r="L47" s="64">
        <v>32.49</v>
      </c>
      <c r="M47" s="64">
        <v>52.88</v>
      </c>
      <c r="N47" s="64">
        <v>546.1</v>
      </c>
      <c r="O47" s="64">
        <v>0</v>
      </c>
      <c r="P47" s="64">
        <v>0.36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2973</v>
      </c>
      <c r="B48" s="64">
        <v>5.01</v>
      </c>
      <c r="C48" s="64">
        <v>27</v>
      </c>
      <c r="D48" s="64">
        <v>43.99</v>
      </c>
      <c r="E48" s="64">
        <v>2.6</v>
      </c>
      <c r="F48" s="64">
        <v>7.54</v>
      </c>
      <c r="G48" s="64">
        <v>21.1</v>
      </c>
      <c r="H48" s="64">
        <v>6.66</v>
      </c>
      <c r="I48" s="64">
        <v>4.07</v>
      </c>
      <c r="J48" s="64">
        <v>2.82</v>
      </c>
      <c r="K48" s="64">
        <v>155.47</v>
      </c>
      <c r="L48" s="64">
        <v>32.979999999999997</v>
      </c>
      <c r="M48" s="64">
        <v>52.5</v>
      </c>
      <c r="N48" s="64">
        <v>830.3</v>
      </c>
      <c r="O48" s="64">
        <v>0</v>
      </c>
      <c r="P48" s="64">
        <v>0.34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5" t="s">
        <v>2974</v>
      </c>
      <c r="B49" s="64">
        <v>4.51</v>
      </c>
      <c r="C49" s="64">
        <v>23.32</v>
      </c>
      <c r="D49" s="64">
        <v>37.700000000000003</v>
      </c>
      <c r="E49" s="64">
        <v>2.44</v>
      </c>
      <c r="F49" s="64">
        <v>6.56</v>
      </c>
      <c r="G49" s="64">
        <v>20.399999999999999</v>
      </c>
      <c r="H49" s="64">
        <v>6.87</v>
      </c>
      <c r="I49" s="64">
        <v>4.03</v>
      </c>
      <c r="J49" s="64">
        <v>2.7</v>
      </c>
      <c r="K49" s="64">
        <v>158.72999999999999</v>
      </c>
      <c r="L49" s="64">
        <v>33.56</v>
      </c>
      <c r="M49" s="64">
        <v>51.05</v>
      </c>
      <c r="N49" s="64">
        <v>901.6</v>
      </c>
      <c r="O49" s="64">
        <v>0</v>
      </c>
      <c r="P49" s="64">
        <v>0.33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15" t="s">
        <v>2975</v>
      </c>
      <c r="B50" s="64">
        <v>4.09</v>
      </c>
      <c r="C50" s="64">
        <v>26.07</v>
      </c>
      <c r="D50" s="64">
        <v>43.63</v>
      </c>
      <c r="E50" s="64">
        <v>2.6</v>
      </c>
      <c r="F50" s="64">
        <v>6.25</v>
      </c>
      <c r="G50" s="64">
        <v>20.399999999999999</v>
      </c>
      <c r="H50" s="64">
        <v>6.87</v>
      </c>
      <c r="I50" s="64">
        <v>3.92</v>
      </c>
      <c r="J50" s="64">
        <v>2.82</v>
      </c>
      <c r="K50" s="64">
        <v>171.51</v>
      </c>
      <c r="L50" s="64">
        <v>33.76</v>
      </c>
      <c r="M50" s="64">
        <v>49.85</v>
      </c>
      <c r="N50" s="64">
        <v>958.1</v>
      </c>
      <c r="O50" s="64">
        <v>0</v>
      </c>
      <c r="P50" s="64">
        <v>0.35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15" t="s">
        <v>2976</v>
      </c>
      <c r="B51" s="64">
        <v>3.51</v>
      </c>
      <c r="C51" s="64">
        <v>26.41</v>
      </c>
      <c r="D51" s="64">
        <v>45.16</v>
      </c>
      <c r="E51" s="64">
        <v>2.83</v>
      </c>
      <c r="F51" s="64">
        <v>7.1</v>
      </c>
      <c r="G51" s="64">
        <v>20.399999999999999</v>
      </c>
      <c r="H51" s="64">
        <v>6.87</v>
      </c>
      <c r="I51" s="64">
        <v>3.96</v>
      </c>
      <c r="J51" s="64">
        <v>1.44</v>
      </c>
      <c r="K51" s="64">
        <v>186.07</v>
      </c>
      <c r="L51" s="64">
        <v>34.14</v>
      </c>
      <c r="M51" s="64">
        <v>47.58</v>
      </c>
      <c r="N51" s="64">
        <v>986.3</v>
      </c>
      <c r="O51" s="64">
        <v>0</v>
      </c>
      <c r="P51" s="64">
        <v>0.32</v>
      </c>
      <c r="Q51" s="64">
        <v>9.5399999999999991</v>
      </c>
      <c r="R51" s="198"/>
      <c r="S51" s="198"/>
      <c r="T51" s="198"/>
      <c r="U51" s="198"/>
    </row>
    <row r="52" spans="1:21" s="12" customFormat="1" x14ac:dyDescent="0.25">
      <c r="A52" s="215" t="s">
        <v>2977</v>
      </c>
      <c r="B52" s="64">
        <v>3.12</v>
      </c>
      <c r="C52" s="64">
        <v>22.6</v>
      </c>
      <c r="D52" s="64">
        <v>38.479999999999997</v>
      </c>
      <c r="E52" s="64">
        <v>2.4900000000000002</v>
      </c>
      <c r="F52" s="64">
        <v>6.97</v>
      </c>
      <c r="G52" s="64">
        <v>22.06</v>
      </c>
      <c r="H52" s="64">
        <v>7.19</v>
      </c>
      <c r="I52" s="64">
        <v>4.0199999999999996</v>
      </c>
      <c r="J52" s="64">
        <v>1.38</v>
      </c>
      <c r="K52" s="64">
        <v>183.59</v>
      </c>
      <c r="L52" s="64">
        <v>35.15</v>
      </c>
      <c r="M52" s="64">
        <v>44.23</v>
      </c>
      <c r="N52" s="64">
        <v>994.7</v>
      </c>
      <c r="O52" s="64">
        <v>0</v>
      </c>
      <c r="P52" s="64">
        <v>0.32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5" t="s">
        <v>2978</v>
      </c>
      <c r="B53" s="64">
        <v>2.92</v>
      </c>
      <c r="C53" s="64">
        <v>21.41</v>
      </c>
      <c r="D53" s="64">
        <v>36.49</v>
      </c>
      <c r="E53" s="64">
        <v>2.7</v>
      </c>
      <c r="F53" s="64">
        <v>7.31</v>
      </c>
      <c r="G53" s="64">
        <v>22.53</v>
      </c>
      <c r="H53" s="64">
        <v>7.28</v>
      </c>
      <c r="I53" s="64">
        <v>3.97</v>
      </c>
      <c r="J53" s="64">
        <v>2.2000000000000002</v>
      </c>
      <c r="K53" s="64">
        <v>185.21</v>
      </c>
      <c r="L53" s="64">
        <v>34.909999999999997</v>
      </c>
      <c r="M53" s="64">
        <v>42.96</v>
      </c>
      <c r="N53" s="64">
        <v>992.1</v>
      </c>
      <c r="O53" s="64">
        <v>0</v>
      </c>
      <c r="P53" s="64">
        <v>0.33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15" t="s">
        <v>2979</v>
      </c>
      <c r="B54" s="64">
        <v>3.38</v>
      </c>
      <c r="C54" s="64">
        <v>22.5</v>
      </c>
      <c r="D54" s="64">
        <v>37.869999999999997</v>
      </c>
      <c r="E54" s="64">
        <v>2.44</v>
      </c>
      <c r="F54" s="64">
        <v>11.57</v>
      </c>
      <c r="G54" s="64">
        <v>22.53</v>
      </c>
      <c r="H54" s="64">
        <v>7.28</v>
      </c>
      <c r="I54" s="64">
        <v>3.84</v>
      </c>
      <c r="J54" s="64">
        <v>0.91</v>
      </c>
      <c r="K54" s="64">
        <v>174.22</v>
      </c>
      <c r="L54" s="64">
        <v>35.880000000000003</v>
      </c>
      <c r="M54" s="64">
        <v>42.54</v>
      </c>
      <c r="N54" s="64">
        <v>1012.5</v>
      </c>
      <c r="O54" s="64">
        <v>0</v>
      </c>
      <c r="P54" s="64">
        <v>0.35</v>
      </c>
      <c r="Q54" s="64">
        <v>9.41</v>
      </c>
      <c r="R54" s="198"/>
      <c r="S54" s="198"/>
      <c r="T54" s="198"/>
      <c r="U54" s="198"/>
    </row>
    <row r="55" spans="1:21" s="12" customFormat="1" x14ac:dyDescent="0.25">
      <c r="A55" s="215" t="s">
        <v>2980</v>
      </c>
      <c r="B55" s="64">
        <v>4.3</v>
      </c>
      <c r="C55" s="64">
        <v>24.47</v>
      </c>
      <c r="D55" s="64">
        <v>40.24</v>
      </c>
      <c r="E55" s="64">
        <v>2.97</v>
      </c>
      <c r="F55" s="64">
        <v>13.52</v>
      </c>
      <c r="G55" s="64">
        <v>22.53</v>
      </c>
      <c r="H55" s="64">
        <v>7.28</v>
      </c>
      <c r="I55" s="64">
        <v>3.88</v>
      </c>
      <c r="J55" s="64">
        <v>0.95</v>
      </c>
      <c r="K55" s="64">
        <v>192.1</v>
      </c>
      <c r="L55" s="64">
        <v>36.770000000000003</v>
      </c>
      <c r="M55" s="64">
        <v>40.090000000000003</v>
      </c>
      <c r="N55" s="64">
        <v>1018</v>
      </c>
      <c r="O55" s="64">
        <v>0</v>
      </c>
      <c r="P55" s="64">
        <v>0.32</v>
      </c>
      <c r="Q55" s="64">
        <v>9.39</v>
      </c>
      <c r="R55" s="198"/>
      <c r="S55" s="198"/>
      <c r="T55" s="198"/>
      <c r="U55" s="198"/>
    </row>
    <row r="56" spans="1:21" s="12" customFormat="1" x14ac:dyDescent="0.25">
      <c r="A56" s="215" t="s">
        <v>2981</v>
      </c>
      <c r="B56" s="64">
        <v>2.82</v>
      </c>
      <c r="C56" s="64">
        <v>21.11</v>
      </c>
      <c r="D56" s="64">
        <v>36.08</v>
      </c>
      <c r="E56" s="64">
        <v>2.81</v>
      </c>
      <c r="F56" s="64">
        <v>10.24</v>
      </c>
      <c r="G56" s="64">
        <v>22.62</v>
      </c>
      <c r="H56" s="64">
        <v>8.8000000000000007</v>
      </c>
      <c r="I56" s="64">
        <v>4.03</v>
      </c>
      <c r="J56" s="64">
        <v>2.17</v>
      </c>
      <c r="K56" s="64">
        <v>171.9</v>
      </c>
      <c r="L56" s="64">
        <v>36.950000000000003</v>
      </c>
      <c r="M56" s="64">
        <v>37.93</v>
      </c>
      <c r="N56" s="64">
        <v>1031.5</v>
      </c>
      <c r="O56" s="64">
        <v>0</v>
      </c>
      <c r="P56" s="64">
        <v>0.32</v>
      </c>
      <c r="Q56" s="64">
        <v>9.39</v>
      </c>
      <c r="R56" s="198"/>
      <c r="S56" s="198"/>
      <c r="T56" s="198"/>
      <c r="U56" s="198"/>
    </row>
    <row r="57" spans="1:21" s="12" customFormat="1" x14ac:dyDescent="0.25">
      <c r="A57" s="215" t="s">
        <v>2982</v>
      </c>
      <c r="B57" s="64">
        <v>3.07</v>
      </c>
      <c r="C57" s="64">
        <v>22.41</v>
      </c>
      <c r="D57" s="64">
        <v>38.19</v>
      </c>
      <c r="E57" s="64">
        <v>2.9</v>
      </c>
      <c r="F57" s="64">
        <v>14.29</v>
      </c>
      <c r="G57" s="64">
        <v>22.64</v>
      </c>
      <c r="H57" s="64">
        <v>9.23</v>
      </c>
      <c r="I57" s="64">
        <v>4.1100000000000003</v>
      </c>
      <c r="J57" s="64">
        <v>2.59</v>
      </c>
      <c r="K57" s="64">
        <v>158.87</v>
      </c>
      <c r="L57" s="64">
        <v>36.69</v>
      </c>
      <c r="M57" s="64">
        <v>36.6</v>
      </c>
      <c r="N57" s="64">
        <v>1005.9</v>
      </c>
      <c r="O57" s="64">
        <v>0</v>
      </c>
      <c r="P57" s="64">
        <v>0.31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5" t="s">
        <v>2983</v>
      </c>
      <c r="B58" s="64">
        <v>2.88</v>
      </c>
      <c r="C58" s="64">
        <v>22.42</v>
      </c>
      <c r="D58" s="64">
        <v>38.5</v>
      </c>
      <c r="E58" s="64">
        <v>2.56</v>
      </c>
      <c r="F58" s="64">
        <v>10.71</v>
      </c>
      <c r="G58" s="64">
        <v>22.64</v>
      </c>
      <c r="H58" s="64">
        <v>9.23</v>
      </c>
      <c r="I58" s="64">
        <v>4.12</v>
      </c>
      <c r="J58" s="64">
        <v>2.02</v>
      </c>
      <c r="K58" s="64">
        <v>169.39</v>
      </c>
      <c r="L58" s="64">
        <v>37.71</v>
      </c>
      <c r="M58" s="64">
        <v>31.54</v>
      </c>
      <c r="N58" s="64">
        <v>1045.8</v>
      </c>
      <c r="O58" s="64">
        <v>0</v>
      </c>
      <c r="P58" s="64">
        <v>0.31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5" t="s">
        <v>2984</v>
      </c>
      <c r="B59" s="64">
        <v>2.5499999999999998</v>
      </c>
      <c r="C59" s="64">
        <v>22.41</v>
      </c>
      <c r="D59" s="64">
        <v>38.979999999999997</v>
      </c>
      <c r="E59" s="64">
        <v>2.3199999999999998</v>
      </c>
      <c r="F59" s="64">
        <v>8.26</v>
      </c>
      <c r="G59" s="64">
        <v>22.64</v>
      </c>
      <c r="H59" s="64">
        <v>9.23</v>
      </c>
      <c r="I59" s="64">
        <v>4.07</v>
      </c>
      <c r="J59" s="64">
        <v>3.28</v>
      </c>
      <c r="K59" s="64">
        <v>164.53</v>
      </c>
      <c r="L59" s="64">
        <v>38.01</v>
      </c>
      <c r="M59" s="64">
        <v>27.89</v>
      </c>
      <c r="N59" s="64">
        <v>948.3</v>
      </c>
      <c r="O59" s="64">
        <v>0</v>
      </c>
      <c r="P59" s="64">
        <v>0.31</v>
      </c>
      <c r="Q59" s="64">
        <v>9.36</v>
      </c>
      <c r="R59" s="198"/>
      <c r="S59" s="198"/>
      <c r="T59" s="198"/>
      <c r="U59" s="198"/>
    </row>
    <row r="60" spans="1:21" s="12" customFormat="1" x14ac:dyDescent="0.25">
      <c r="A60" s="215" t="s">
        <v>2985</v>
      </c>
      <c r="B60" s="64">
        <v>2.21</v>
      </c>
      <c r="C60" s="64">
        <v>22.96</v>
      </c>
      <c r="D60" s="64">
        <v>40.549999999999997</v>
      </c>
      <c r="E60" s="64">
        <v>2.3199999999999998</v>
      </c>
      <c r="F60" s="64">
        <v>9.76</v>
      </c>
      <c r="G60" s="64">
        <v>22.75</v>
      </c>
      <c r="H60" s="64">
        <v>8.86</v>
      </c>
      <c r="I60" s="64">
        <v>3.89</v>
      </c>
      <c r="J60" s="64">
        <v>2.81</v>
      </c>
      <c r="K60" s="64">
        <v>166.17</v>
      </c>
      <c r="L60" s="64">
        <v>38.520000000000003</v>
      </c>
      <c r="M60" s="64">
        <v>25.86</v>
      </c>
      <c r="N60" s="64">
        <v>982.2</v>
      </c>
      <c r="O60" s="64">
        <v>0</v>
      </c>
      <c r="P60" s="64">
        <v>0.3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5" t="s">
        <v>2986</v>
      </c>
      <c r="B61" s="64">
        <v>1.96</v>
      </c>
      <c r="C61" s="64">
        <v>23.03</v>
      </c>
      <c r="D61" s="64">
        <v>41.08</v>
      </c>
      <c r="E61" s="64">
        <v>2.27</v>
      </c>
      <c r="F61" s="64">
        <v>10.47</v>
      </c>
      <c r="G61" s="64">
        <v>22.78</v>
      </c>
      <c r="H61" s="64">
        <v>8.76</v>
      </c>
      <c r="I61" s="64">
        <v>3.93</v>
      </c>
      <c r="J61" s="64">
        <v>2.2400000000000002</v>
      </c>
      <c r="K61" s="64">
        <v>203.11</v>
      </c>
      <c r="L61" s="64">
        <v>38.869999999999997</v>
      </c>
      <c r="M61" s="64">
        <v>24.74</v>
      </c>
      <c r="N61" s="64">
        <v>775.8</v>
      </c>
      <c r="O61" s="64">
        <v>0</v>
      </c>
      <c r="P61" s="64">
        <v>0.3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5" t="s">
        <v>2987</v>
      </c>
      <c r="B62" s="64">
        <v>1.75</v>
      </c>
      <c r="C62" s="64">
        <v>22.49</v>
      </c>
      <c r="D62" s="64">
        <v>40.340000000000003</v>
      </c>
      <c r="E62" s="64">
        <v>2.4900000000000002</v>
      </c>
      <c r="F62" s="64">
        <v>8.9700000000000006</v>
      </c>
      <c r="G62" s="64">
        <v>22.78</v>
      </c>
      <c r="H62" s="64">
        <v>8.76</v>
      </c>
      <c r="I62" s="64">
        <v>4.03</v>
      </c>
      <c r="J62" s="64">
        <v>3.16</v>
      </c>
      <c r="K62" s="64">
        <v>169.73</v>
      </c>
      <c r="L62" s="64">
        <v>38.9</v>
      </c>
      <c r="M62" s="64">
        <v>25.32</v>
      </c>
      <c r="N62" s="64">
        <v>793.4</v>
      </c>
      <c r="O62" s="64">
        <v>0</v>
      </c>
      <c r="P62" s="64">
        <v>0.31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5" t="s">
        <v>2988</v>
      </c>
      <c r="B63" s="64">
        <v>1.92</v>
      </c>
      <c r="C63" s="64">
        <v>23.11</v>
      </c>
      <c r="D63" s="64">
        <v>41.28</v>
      </c>
      <c r="E63" s="64">
        <v>2.37</v>
      </c>
      <c r="F63" s="64">
        <v>10.36</v>
      </c>
      <c r="G63" s="64">
        <v>22.78</v>
      </c>
      <c r="H63" s="64">
        <v>8.76</v>
      </c>
      <c r="I63" s="64">
        <v>4.04</v>
      </c>
      <c r="J63" s="64">
        <v>3.18</v>
      </c>
      <c r="K63" s="64">
        <v>170.24</v>
      </c>
      <c r="L63" s="64">
        <v>38.68</v>
      </c>
      <c r="M63" s="64">
        <v>27.06</v>
      </c>
      <c r="N63" s="64">
        <v>702</v>
      </c>
      <c r="O63" s="64">
        <v>0</v>
      </c>
      <c r="P63" s="64">
        <v>0.3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5" t="s">
        <v>2989</v>
      </c>
      <c r="B64" s="64">
        <v>1.94</v>
      </c>
      <c r="C64" s="64">
        <v>23.33</v>
      </c>
      <c r="D64" s="64">
        <v>41.66</v>
      </c>
      <c r="E64" s="64">
        <v>2.39</v>
      </c>
      <c r="F64" s="64">
        <v>8.56</v>
      </c>
      <c r="G64" s="64">
        <v>19.13</v>
      </c>
      <c r="H64" s="64">
        <v>7.78</v>
      </c>
      <c r="I64" s="64">
        <v>3.99</v>
      </c>
      <c r="J64" s="64">
        <v>2.13</v>
      </c>
      <c r="K64" s="64">
        <v>215.39</v>
      </c>
      <c r="L64" s="64">
        <v>38.42</v>
      </c>
      <c r="M64" s="64">
        <v>27.86</v>
      </c>
      <c r="N64" s="64">
        <v>425</v>
      </c>
      <c r="O64" s="64">
        <v>0</v>
      </c>
      <c r="P64" s="64">
        <v>0.3</v>
      </c>
      <c r="Q64" s="64">
        <v>9.34</v>
      </c>
      <c r="R64" s="198"/>
      <c r="S64" s="198"/>
      <c r="T64" s="198"/>
      <c r="U64" s="198"/>
    </row>
    <row r="65" spans="1:21" s="12" customFormat="1" x14ac:dyDescent="0.25">
      <c r="A65" s="215" t="s">
        <v>2990</v>
      </c>
      <c r="B65" s="64">
        <v>2.39</v>
      </c>
      <c r="C65" s="64">
        <v>24.9</v>
      </c>
      <c r="D65" s="64">
        <v>43.99</v>
      </c>
      <c r="E65" s="64">
        <v>2.63</v>
      </c>
      <c r="F65" s="64">
        <v>11.99</v>
      </c>
      <c r="G65" s="64">
        <v>18.09</v>
      </c>
      <c r="H65" s="64">
        <v>7.5</v>
      </c>
      <c r="I65" s="64">
        <v>3.85</v>
      </c>
      <c r="J65" s="64">
        <v>1.9</v>
      </c>
      <c r="K65" s="64">
        <v>224.54</v>
      </c>
      <c r="L65" s="64">
        <v>38.39</v>
      </c>
      <c r="M65" s="64">
        <v>27.5</v>
      </c>
      <c r="N65" s="64">
        <v>390.2</v>
      </c>
      <c r="O65" s="64">
        <v>0</v>
      </c>
      <c r="P65" s="64">
        <v>0.28000000000000003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5" t="s">
        <v>2991</v>
      </c>
      <c r="B66" s="64">
        <v>1.95</v>
      </c>
      <c r="C66" s="64">
        <v>23.4</v>
      </c>
      <c r="D66" s="64">
        <v>41.8</v>
      </c>
      <c r="E66" s="64">
        <v>2.82</v>
      </c>
      <c r="F66" s="64">
        <v>12.02</v>
      </c>
      <c r="G66" s="64">
        <v>18.09</v>
      </c>
      <c r="H66" s="64">
        <v>7.5</v>
      </c>
      <c r="I66" s="64">
        <v>4.0599999999999996</v>
      </c>
      <c r="J66" s="64">
        <v>3.14</v>
      </c>
      <c r="K66" s="64">
        <v>173.55</v>
      </c>
      <c r="L66" s="64">
        <v>38.35</v>
      </c>
      <c r="M66" s="64">
        <v>29.72</v>
      </c>
      <c r="N66" s="64">
        <v>437.9</v>
      </c>
      <c r="O66" s="64">
        <v>0</v>
      </c>
      <c r="P66" s="64">
        <v>0.28000000000000003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5" t="s">
        <v>2992</v>
      </c>
      <c r="B67" s="64">
        <v>1.93</v>
      </c>
      <c r="C67" s="64">
        <v>22.35</v>
      </c>
      <c r="D67" s="64">
        <v>39.81</v>
      </c>
      <c r="E67" s="64">
        <v>2.5099999999999998</v>
      </c>
      <c r="F67" s="64">
        <v>10.41</v>
      </c>
      <c r="G67" s="64">
        <v>18.09</v>
      </c>
      <c r="H67" s="64">
        <v>7.5</v>
      </c>
      <c r="I67" s="64">
        <v>4.09</v>
      </c>
      <c r="J67" s="64">
        <v>3.14</v>
      </c>
      <c r="K67" s="64">
        <v>165.49</v>
      </c>
      <c r="L67" s="64">
        <v>38.020000000000003</v>
      </c>
      <c r="M67" s="64">
        <v>32.06</v>
      </c>
      <c r="N67" s="64">
        <v>486.4</v>
      </c>
      <c r="O67" s="64">
        <v>0</v>
      </c>
      <c r="P67" s="64">
        <v>0.27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5" t="s">
        <v>2993</v>
      </c>
      <c r="B68" s="64">
        <v>1.93</v>
      </c>
      <c r="C68" s="64">
        <v>23.94</v>
      </c>
      <c r="D68" s="64">
        <v>42.85</v>
      </c>
      <c r="E68" s="64">
        <v>2.4900000000000002</v>
      </c>
      <c r="F68" s="64">
        <v>7.63</v>
      </c>
      <c r="G68" s="64">
        <v>18.91</v>
      </c>
      <c r="H68" s="64">
        <v>7.73</v>
      </c>
      <c r="I68" s="64">
        <v>3.92</v>
      </c>
      <c r="J68" s="64">
        <v>1.96</v>
      </c>
      <c r="K68" s="64">
        <v>205.89</v>
      </c>
      <c r="L68" s="64">
        <v>37.97</v>
      </c>
      <c r="M68" s="64">
        <v>35.840000000000003</v>
      </c>
      <c r="N68" s="64">
        <v>467.2</v>
      </c>
      <c r="O68" s="64">
        <v>0</v>
      </c>
      <c r="P68" s="64">
        <v>0.27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5" t="s">
        <v>2994</v>
      </c>
      <c r="B69" s="64">
        <v>1.98</v>
      </c>
      <c r="C69" s="64">
        <v>23.21</v>
      </c>
      <c r="D69" s="64">
        <v>41.38</v>
      </c>
      <c r="E69" s="64">
        <v>2.58</v>
      </c>
      <c r="F69" s="64">
        <v>9.7899999999999991</v>
      </c>
      <c r="G69" s="64">
        <v>19.149999999999999</v>
      </c>
      <c r="H69" s="64">
        <v>7.8</v>
      </c>
      <c r="I69" s="64">
        <v>3.92</v>
      </c>
      <c r="J69" s="64">
        <v>1.9</v>
      </c>
      <c r="K69" s="64">
        <v>255.74</v>
      </c>
      <c r="L69" s="64">
        <v>37.94</v>
      </c>
      <c r="M69" s="64">
        <v>37.39</v>
      </c>
      <c r="N69" s="64">
        <v>343.4</v>
      </c>
      <c r="O69" s="64">
        <v>0</v>
      </c>
      <c r="P69" s="64">
        <v>0.27</v>
      </c>
      <c r="Q69" s="64">
        <v>9.36</v>
      </c>
      <c r="R69" s="198"/>
      <c r="S69" s="198"/>
      <c r="T69" s="198"/>
      <c r="U69" s="198"/>
    </row>
    <row r="70" spans="1:21" s="12" customFormat="1" x14ac:dyDescent="0.25">
      <c r="A70" s="215" t="s">
        <v>2995</v>
      </c>
      <c r="B70" s="64">
        <v>2.04</v>
      </c>
      <c r="C70" s="64">
        <v>22.67</v>
      </c>
      <c r="D70" s="64">
        <v>40.25</v>
      </c>
      <c r="E70" s="64">
        <v>2.37</v>
      </c>
      <c r="F70" s="64">
        <v>12.7</v>
      </c>
      <c r="G70" s="64">
        <v>19.149999999999999</v>
      </c>
      <c r="H70" s="64">
        <v>7.8</v>
      </c>
      <c r="I70" s="64">
        <v>4.01</v>
      </c>
      <c r="J70" s="64">
        <v>1.43</v>
      </c>
      <c r="K70" s="64">
        <v>241.78</v>
      </c>
      <c r="L70" s="64">
        <v>37.82</v>
      </c>
      <c r="M70" s="64">
        <v>39.36</v>
      </c>
      <c r="N70" s="64">
        <v>320.8</v>
      </c>
      <c r="O70" s="64">
        <v>0</v>
      </c>
      <c r="P70" s="64">
        <v>0.28999999999999998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5" t="s">
        <v>2996</v>
      </c>
      <c r="B71" s="64">
        <v>2.0299999999999998</v>
      </c>
      <c r="C71" s="64">
        <v>23.13</v>
      </c>
      <c r="D71" s="64">
        <v>41.14</v>
      </c>
      <c r="E71" s="64">
        <v>2.71</v>
      </c>
      <c r="F71" s="64">
        <v>10.47</v>
      </c>
      <c r="G71" s="64">
        <v>19.149999999999999</v>
      </c>
      <c r="H71" s="64">
        <v>7.8</v>
      </c>
      <c r="I71" s="64">
        <v>4.03</v>
      </c>
      <c r="J71" s="64">
        <v>1.89</v>
      </c>
      <c r="K71" s="64">
        <v>237.53</v>
      </c>
      <c r="L71" s="64">
        <v>37.630000000000003</v>
      </c>
      <c r="M71" s="64">
        <v>40.98</v>
      </c>
      <c r="N71" s="64">
        <v>258.39999999999998</v>
      </c>
      <c r="O71" s="64">
        <v>0</v>
      </c>
      <c r="P71" s="64">
        <v>0.28999999999999998</v>
      </c>
      <c r="Q71" s="64">
        <v>9.3800000000000008</v>
      </c>
      <c r="R71" s="198"/>
      <c r="S71" s="198"/>
      <c r="T71" s="198"/>
      <c r="U71" s="198"/>
    </row>
    <row r="72" spans="1:21" s="12" customFormat="1" x14ac:dyDescent="0.25">
      <c r="A72" s="215" t="s">
        <v>2997</v>
      </c>
      <c r="B72" s="64">
        <v>2.42</v>
      </c>
      <c r="C72" s="64">
        <v>23.1</v>
      </c>
      <c r="D72" s="64">
        <v>40.51</v>
      </c>
      <c r="E72" s="64">
        <v>2.5299999999999998</v>
      </c>
      <c r="F72" s="64">
        <v>16.149999999999999</v>
      </c>
      <c r="G72" s="64">
        <v>24.93</v>
      </c>
      <c r="H72" s="64">
        <v>7.04</v>
      </c>
      <c r="I72" s="64">
        <v>3.93</v>
      </c>
      <c r="J72" s="64">
        <v>1.94</v>
      </c>
      <c r="K72" s="64">
        <v>210.51</v>
      </c>
      <c r="L72" s="64">
        <v>37.54</v>
      </c>
      <c r="M72" s="64">
        <v>41.23</v>
      </c>
      <c r="N72" s="64">
        <v>241.2</v>
      </c>
      <c r="O72" s="64">
        <v>0</v>
      </c>
      <c r="P72" s="64">
        <v>0.28999999999999998</v>
      </c>
      <c r="Q72" s="64">
        <v>9.39</v>
      </c>
      <c r="R72" s="198"/>
      <c r="S72" s="198"/>
      <c r="T72" s="198"/>
      <c r="U72" s="198"/>
    </row>
    <row r="73" spans="1:21" s="12" customFormat="1" x14ac:dyDescent="0.25">
      <c r="A73" s="215" t="s">
        <v>2998</v>
      </c>
      <c r="B73" s="64">
        <v>2.16</v>
      </c>
      <c r="C73" s="64">
        <v>21.3</v>
      </c>
      <c r="D73" s="64">
        <v>37.46</v>
      </c>
      <c r="E73" s="64">
        <v>2.95</v>
      </c>
      <c r="F73" s="64">
        <v>14.93</v>
      </c>
      <c r="G73" s="64">
        <v>26.59</v>
      </c>
      <c r="H73" s="64">
        <v>6.83</v>
      </c>
      <c r="I73" s="64">
        <v>4.0199999999999996</v>
      </c>
      <c r="J73" s="64">
        <v>2.0099999999999998</v>
      </c>
      <c r="K73" s="64">
        <v>208.85</v>
      </c>
      <c r="L73" s="64">
        <v>37.549999999999997</v>
      </c>
      <c r="M73" s="64">
        <v>40.89</v>
      </c>
      <c r="N73" s="64">
        <v>232.8</v>
      </c>
      <c r="O73" s="64">
        <v>0</v>
      </c>
      <c r="P73" s="64">
        <v>0.28000000000000003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5" t="s">
        <v>2999</v>
      </c>
      <c r="B74" s="64">
        <v>2.1</v>
      </c>
      <c r="C74" s="64">
        <v>20.61</v>
      </c>
      <c r="D74" s="64">
        <v>36.21</v>
      </c>
      <c r="E74" s="64">
        <v>2.92</v>
      </c>
      <c r="F74" s="64">
        <v>10.93</v>
      </c>
      <c r="G74" s="64">
        <v>26.59</v>
      </c>
      <c r="H74" s="64">
        <v>6.83</v>
      </c>
      <c r="I74" s="64">
        <v>3.96</v>
      </c>
      <c r="J74" s="64">
        <v>2.2000000000000002</v>
      </c>
      <c r="K74" s="64">
        <v>201.52</v>
      </c>
      <c r="L74" s="64">
        <v>37.26</v>
      </c>
      <c r="M74" s="64">
        <v>41.6</v>
      </c>
      <c r="N74" s="64">
        <v>181.3</v>
      </c>
      <c r="O74" s="64">
        <v>0</v>
      </c>
      <c r="P74" s="64">
        <v>0.28999999999999998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15" t="s">
        <v>3000</v>
      </c>
      <c r="B75" s="64">
        <v>2.13</v>
      </c>
      <c r="C75" s="64">
        <v>20.72</v>
      </c>
      <c r="D75" s="64">
        <v>36.39</v>
      </c>
      <c r="E75" s="64">
        <v>3.22</v>
      </c>
      <c r="F75" s="64">
        <v>14.06</v>
      </c>
      <c r="G75" s="64">
        <v>26.59</v>
      </c>
      <c r="H75" s="64">
        <v>6.83</v>
      </c>
      <c r="I75" s="64">
        <v>4.21</v>
      </c>
      <c r="J75" s="64">
        <v>3.23</v>
      </c>
      <c r="K75" s="64">
        <v>169.96</v>
      </c>
      <c r="L75" s="64">
        <v>37</v>
      </c>
      <c r="M75" s="64">
        <v>41.79</v>
      </c>
      <c r="N75" s="64">
        <v>165.3</v>
      </c>
      <c r="O75" s="64">
        <v>0</v>
      </c>
      <c r="P75" s="64">
        <v>0.27</v>
      </c>
      <c r="Q75" s="64">
        <v>9.39</v>
      </c>
      <c r="R75" s="198"/>
      <c r="S75" s="198"/>
      <c r="T75" s="198"/>
      <c r="U75" s="198"/>
    </row>
    <row r="76" spans="1:21" s="12" customFormat="1" x14ac:dyDescent="0.25">
      <c r="A76" s="215" t="s">
        <v>3001</v>
      </c>
      <c r="B76" s="64">
        <v>2.88</v>
      </c>
      <c r="C76" s="64">
        <v>24.72</v>
      </c>
      <c r="D76" s="64">
        <v>42.89</v>
      </c>
      <c r="E76" s="64">
        <v>2.88</v>
      </c>
      <c r="F76" s="64">
        <v>10.47</v>
      </c>
      <c r="G76" s="64">
        <v>23.52</v>
      </c>
      <c r="H76" s="64">
        <v>6.24</v>
      </c>
      <c r="I76" s="64">
        <v>4.04</v>
      </c>
      <c r="J76" s="64">
        <v>3.05</v>
      </c>
      <c r="K76" s="64">
        <v>166.89</v>
      </c>
      <c r="L76" s="64">
        <v>36.659999999999997</v>
      </c>
      <c r="M76" s="64">
        <v>42.23</v>
      </c>
      <c r="N76" s="64">
        <v>136</v>
      </c>
      <c r="O76" s="64">
        <v>0</v>
      </c>
      <c r="P76" s="64">
        <v>0.28000000000000003</v>
      </c>
      <c r="Q76" s="64">
        <v>9.4</v>
      </c>
      <c r="R76" s="198"/>
      <c r="S76" s="198"/>
      <c r="T76" s="198"/>
      <c r="U76" s="198"/>
    </row>
    <row r="77" spans="1:21" s="12" customFormat="1" x14ac:dyDescent="0.25">
      <c r="A77" s="215" t="s">
        <v>3002</v>
      </c>
      <c r="B77" s="64">
        <v>2.84</v>
      </c>
      <c r="C77" s="64">
        <v>23.2</v>
      </c>
      <c r="D77" s="64">
        <v>40.04</v>
      </c>
      <c r="E77" s="64">
        <v>3.02</v>
      </c>
      <c r="F77" s="64">
        <v>12.33</v>
      </c>
      <c r="G77" s="64">
        <v>22.65</v>
      </c>
      <c r="H77" s="64">
        <v>6.07</v>
      </c>
      <c r="I77" s="64">
        <v>3.84</v>
      </c>
      <c r="J77" s="64">
        <v>3</v>
      </c>
      <c r="K77" s="64">
        <v>162.15</v>
      </c>
      <c r="L77" s="64">
        <v>36.26</v>
      </c>
      <c r="M77" s="64">
        <v>42.4</v>
      </c>
      <c r="N77" s="64">
        <v>132.69999999999999</v>
      </c>
      <c r="O77" s="64">
        <v>0</v>
      </c>
      <c r="P77" s="64">
        <v>0.28000000000000003</v>
      </c>
      <c r="Q77" s="64">
        <v>9.41</v>
      </c>
      <c r="R77" s="198"/>
      <c r="S77" s="198"/>
      <c r="T77" s="198"/>
      <c r="U77" s="198"/>
    </row>
    <row r="78" spans="1:21" s="12" customFormat="1" x14ac:dyDescent="0.25">
      <c r="A78" s="215" t="s">
        <v>3003</v>
      </c>
      <c r="B78" s="64">
        <v>2.58</v>
      </c>
      <c r="C78" s="64">
        <v>20.9</v>
      </c>
      <c r="D78" s="64">
        <v>36.049999999999997</v>
      </c>
      <c r="E78" s="64">
        <v>2.76</v>
      </c>
      <c r="F78" s="64">
        <v>11.56</v>
      </c>
      <c r="G78" s="64">
        <v>22.65</v>
      </c>
      <c r="H78" s="64">
        <v>6.07</v>
      </c>
      <c r="I78" s="64">
        <v>3.97</v>
      </c>
      <c r="J78" s="64">
        <v>3.27</v>
      </c>
      <c r="K78" s="64">
        <v>161.21</v>
      </c>
      <c r="L78" s="64">
        <v>35.9</v>
      </c>
      <c r="M78" s="64">
        <v>42.17</v>
      </c>
      <c r="N78" s="64">
        <v>114.8</v>
      </c>
      <c r="O78" s="64">
        <v>0</v>
      </c>
      <c r="P78" s="64">
        <v>0.28999999999999998</v>
      </c>
      <c r="Q78" s="64">
        <v>9.4</v>
      </c>
      <c r="R78" s="198"/>
      <c r="S78" s="198"/>
      <c r="T78" s="198"/>
      <c r="U78" s="198"/>
    </row>
    <row r="79" spans="1:21" s="12" customFormat="1" x14ac:dyDescent="0.25">
      <c r="A79" s="215" t="s">
        <v>3004</v>
      </c>
      <c r="B79" s="64">
        <v>2.5</v>
      </c>
      <c r="C79" s="64">
        <v>20.239999999999998</v>
      </c>
      <c r="D79" s="64">
        <v>34.909999999999997</v>
      </c>
      <c r="E79" s="64">
        <v>2.74</v>
      </c>
      <c r="F79" s="64">
        <v>12.53</v>
      </c>
      <c r="G79" s="64">
        <v>22.65</v>
      </c>
      <c r="H79" s="64">
        <v>6.07</v>
      </c>
      <c r="I79" s="64">
        <v>3.9</v>
      </c>
      <c r="J79" s="64">
        <v>2.94</v>
      </c>
      <c r="K79" s="64">
        <v>163.32</v>
      </c>
      <c r="L79" s="64">
        <v>35.5</v>
      </c>
      <c r="M79" s="64">
        <v>43.22</v>
      </c>
      <c r="N79" s="64">
        <v>105.5</v>
      </c>
      <c r="O79" s="64">
        <v>0</v>
      </c>
      <c r="P79" s="64">
        <v>0.28000000000000003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5" t="s">
        <v>3005</v>
      </c>
      <c r="B80" s="64">
        <v>2.94</v>
      </c>
      <c r="C80" s="64">
        <v>23.7</v>
      </c>
      <c r="D80" s="64">
        <v>40.85</v>
      </c>
      <c r="E80" s="64">
        <v>2.84</v>
      </c>
      <c r="F80" s="64">
        <v>9.77</v>
      </c>
      <c r="G80" s="64">
        <v>23.96</v>
      </c>
      <c r="H80" s="64">
        <v>7.01</v>
      </c>
      <c r="I80" s="64">
        <v>4.05</v>
      </c>
      <c r="J80" s="64">
        <v>2.58</v>
      </c>
      <c r="K80" s="64">
        <v>171.56</v>
      </c>
      <c r="L80" s="64">
        <v>35.24</v>
      </c>
      <c r="M80" s="64">
        <v>44.11</v>
      </c>
      <c r="N80" s="64">
        <v>95</v>
      </c>
      <c r="O80" s="64">
        <v>0</v>
      </c>
      <c r="P80" s="64">
        <v>0.28999999999999998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5" t="s">
        <v>3006</v>
      </c>
      <c r="B81" s="64">
        <v>2.9</v>
      </c>
      <c r="C81" s="64">
        <v>24.94</v>
      </c>
      <c r="D81" s="64">
        <v>43.29</v>
      </c>
      <c r="E81" s="64">
        <v>2.87</v>
      </c>
      <c r="F81" s="64">
        <v>7.98</v>
      </c>
      <c r="G81" s="64">
        <v>24.34</v>
      </c>
      <c r="H81" s="64">
        <v>7.29</v>
      </c>
      <c r="I81" s="64">
        <v>3.96</v>
      </c>
      <c r="J81" s="64">
        <v>3.44</v>
      </c>
      <c r="K81" s="64">
        <v>158.69</v>
      </c>
      <c r="L81" s="64">
        <v>35.01</v>
      </c>
      <c r="M81" s="64">
        <v>44.92</v>
      </c>
      <c r="N81" s="64">
        <v>86.4</v>
      </c>
      <c r="O81" s="64">
        <v>0</v>
      </c>
      <c r="P81" s="64">
        <v>0.28999999999999998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5" t="s">
        <v>3007</v>
      </c>
      <c r="B82" s="64">
        <v>3.81</v>
      </c>
      <c r="C82" s="64">
        <v>27.86</v>
      </c>
      <c r="D82" s="64">
        <v>47.47</v>
      </c>
      <c r="E82" s="64">
        <v>2.89</v>
      </c>
      <c r="F82" s="64">
        <v>13.59</v>
      </c>
      <c r="G82" s="64">
        <v>24.34</v>
      </c>
      <c r="H82" s="64">
        <v>7.29</v>
      </c>
      <c r="I82" s="64">
        <v>3.85</v>
      </c>
      <c r="J82" s="64">
        <v>2.61</v>
      </c>
      <c r="K82" s="64">
        <v>162.13</v>
      </c>
      <c r="L82" s="64">
        <v>34.909999999999997</v>
      </c>
      <c r="M82" s="64">
        <v>44.96</v>
      </c>
      <c r="N82" s="64">
        <v>83.9</v>
      </c>
      <c r="O82" s="64">
        <v>0</v>
      </c>
      <c r="P82" s="64">
        <v>0.31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5" t="s">
        <v>3008</v>
      </c>
      <c r="B83" s="64">
        <v>3.36</v>
      </c>
      <c r="C83" s="64">
        <v>26.08</v>
      </c>
      <c r="D83" s="64">
        <v>44.77</v>
      </c>
      <c r="E83" s="64">
        <v>2.8</v>
      </c>
      <c r="F83" s="64">
        <v>7.11</v>
      </c>
      <c r="G83" s="64">
        <v>24.34</v>
      </c>
      <c r="H83" s="64">
        <v>7.29</v>
      </c>
      <c r="I83" s="64">
        <v>4.2</v>
      </c>
      <c r="J83" s="64">
        <v>3.3</v>
      </c>
      <c r="K83" s="64">
        <v>159.94999999999999</v>
      </c>
      <c r="L83" s="64">
        <v>34.93</v>
      </c>
      <c r="M83" s="64">
        <v>44.76</v>
      </c>
      <c r="N83" s="64">
        <v>83.1</v>
      </c>
      <c r="O83" s="64">
        <v>0</v>
      </c>
      <c r="P83" s="64">
        <v>0.33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15" t="s">
        <v>3009</v>
      </c>
      <c r="B84" s="64">
        <v>3.41</v>
      </c>
      <c r="C84" s="64">
        <v>25.45</v>
      </c>
      <c r="D84" s="64">
        <v>43.46</v>
      </c>
      <c r="E84" s="64">
        <v>2.76</v>
      </c>
      <c r="F84" s="64">
        <v>8.65</v>
      </c>
      <c r="G84" s="64">
        <v>22.92</v>
      </c>
      <c r="H84" s="64">
        <v>7.67</v>
      </c>
      <c r="I84" s="64">
        <v>3.85</v>
      </c>
      <c r="J84" s="64">
        <v>1.43</v>
      </c>
      <c r="K84" s="64">
        <v>228.04</v>
      </c>
      <c r="L84" s="64">
        <v>33.94</v>
      </c>
      <c r="M84" s="64">
        <v>49.66</v>
      </c>
      <c r="N84" s="64">
        <v>85.9</v>
      </c>
      <c r="O84" s="64">
        <v>0</v>
      </c>
      <c r="P84" s="64">
        <v>0.32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5" t="s">
        <v>3010</v>
      </c>
      <c r="B85" s="64">
        <v>4.84</v>
      </c>
      <c r="C85" s="64">
        <v>24.47</v>
      </c>
      <c r="D85" s="64">
        <v>39.39</v>
      </c>
      <c r="E85" s="64">
        <v>2.85</v>
      </c>
      <c r="F85" s="64">
        <v>10.029999999999999</v>
      </c>
      <c r="G85" s="64">
        <v>22.51</v>
      </c>
      <c r="H85" s="64">
        <v>7.79</v>
      </c>
      <c r="I85" s="64">
        <v>3.85</v>
      </c>
      <c r="J85" s="64">
        <v>4.26</v>
      </c>
      <c r="K85" s="64">
        <v>103.97</v>
      </c>
      <c r="L85" s="64">
        <v>32.29</v>
      </c>
      <c r="M85" s="64">
        <v>60.58</v>
      </c>
      <c r="N85" s="64">
        <v>86.1</v>
      </c>
      <c r="O85" s="64">
        <v>0</v>
      </c>
      <c r="P85" s="64">
        <v>0.36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5" t="s">
        <v>3011</v>
      </c>
      <c r="B86" s="64">
        <v>3.42</v>
      </c>
      <c r="C86" s="64">
        <v>25.68</v>
      </c>
      <c r="D86" s="64">
        <v>43.91</v>
      </c>
      <c r="E86" s="64">
        <v>2.58</v>
      </c>
      <c r="F86" s="64">
        <v>8.2100000000000009</v>
      </c>
      <c r="G86" s="64">
        <v>22.51</v>
      </c>
      <c r="H86" s="64">
        <v>7.79</v>
      </c>
      <c r="I86" s="64">
        <v>3.89</v>
      </c>
      <c r="J86" s="64">
        <v>5.32</v>
      </c>
      <c r="K86" s="64">
        <v>98.82</v>
      </c>
      <c r="L86" s="64">
        <v>29.39</v>
      </c>
      <c r="M86" s="64">
        <v>72.08</v>
      </c>
      <c r="N86" s="64">
        <v>89.3</v>
      </c>
      <c r="O86" s="64">
        <v>0</v>
      </c>
      <c r="P86" s="64">
        <v>0.33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5" t="s">
        <v>3012</v>
      </c>
      <c r="B87" s="64">
        <v>3.65</v>
      </c>
      <c r="C87" s="64">
        <v>22.8</v>
      </c>
      <c r="D87" s="64">
        <v>38.04</v>
      </c>
      <c r="E87" s="64">
        <v>2.34</v>
      </c>
      <c r="F87" s="64">
        <v>7.63</v>
      </c>
      <c r="G87" s="64">
        <v>22.51</v>
      </c>
      <c r="H87" s="64">
        <v>7.79</v>
      </c>
      <c r="I87" s="64">
        <v>4</v>
      </c>
      <c r="J87" s="64">
        <v>2.48</v>
      </c>
      <c r="K87" s="64">
        <v>87.93</v>
      </c>
      <c r="L87" s="64">
        <v>28.01</v>
      </c>
      <c r="M87" s="64">
        <v>74.59</v>
      </c>
      <c r="N87" s="64">
        <v>85.8</v>
      </c>
      <c r="O87" s="64">
        <v>0</v>
      </c>
      <c r="P87" s="64">
        <v>0.33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15" t="s">
        <v>3013</v>
      </c>
      <c r="B88" s="64">
        <v>4.03</v>
      </c>
      <c r="C88" s="64">
        <v>21.87</v>
      </c>
      <c r="D88" s="64">
        <v>35.68</v>
      </c>
      <c r="E88" s="64">
        <v>2.98</v>
      </c>
      <c r="F88" s="64">
        <v>8.7799999999999994</v>
      </c>
      <c r="G88" s="64">
        <v>28.63</v>
      </c>
      <c r="H88" s="64">
        <v>7.44</v>
      </c>
      <c r="I88" s="64">
        <v>4.05</v>
      </c>
      <c r="J88" s="64">
        <v>1.1399999999999999</v>
      </c>
      <c r="K88" s="64">
        <v>66.08</v>
      </c>
      <c r="L88" s="64">
        <v>27.62</v>
      </c>
      <c r="M88" s="64">
        <v>78.34</v>
      </c>
      <c r="N88" s="64">
        <v>86.9</v>
      </c>
      <c r="O88" s="64">
        <v>0</v>
      </c>
      <c r="P88" s="64">
        <v>0.35</v>
      </c>
      <c r="Q88" s="64">
        <v>9.4600000000000009</v>
      </c>
      <c r="R88" s="198"/>
      <c r="S88" s="198"/>
      <c r="T88" s="198"/>
      <c r="U88" s="198"/>
    </row>
    <row r="89" spans="1:26" s="12" customFormat="1" x14ac:dyDescent="0.25">
      <c r="A89" s="215" t="s">
        <v>3014</v>
      </c>
      <c r="B89" s="64">
        <v>6.06</v>
      </c>
      <c r="C89" s="64">
        <v>24.27</v>
      </c>
      <c r="D89" s="64">
        <v>37.15</v>
      </c>
      <c r="E89" s="64">
        <v>3.11</v>
      </c>
      <c r="F89" s="64">
        <v>9.64</v>
      </c>
      <c r="G89" s="64">
        <v>30.37</v>
      </c>
      <c r="H89" s="64">
        <v>7.34</v>
      </c>
      <c r="I89" s="64">
        <v>3.93</v>
      </c>
      <c r="J89" s="64">
        <v>1.91</v>
      </c>
      <c r="K89" s="64">
        <v>84.22</v>
      </c>
      <c r="L89" s="64">
        <v>27.24</v>
      </c>
      <c r="M89" s="64">
        <v>77.84</v>
      </c>
      <c r="N89" s="64">
        <v>91.7</v>
      </c>
      <c r="O89" s="64">
        <v>0</v>
      </c>
      <c r="P89" s="64">
        <v>0.36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5" t="s">
        <v>3015</v>
      </c>
      <c r="B90" s="64">
        <v>4.26</v>
      </c>
      <c r="C90" s="64">
        <v>22.6</v>
      </c>
      <c r="D90" s="64">
        <v>36.72</v>
      </c>
      <c r="E90" s="64">
        <v>2.73</v>
      </c>
      <c r="F90" s="64">
        <v>7.8</v>
      </c>
      <c r="G90" s="64">
        <v>30.37</v>
      </c>
      <c r="H90" s="64">
        <v>7.34</v>
      </c>
      <c r="I90" s="64">
        <v>4.0199999999999996</v>
      </c>
      <c r="J90" s="64">
        <v>4.6500000000000004</v>
      </c>
      <c r="K90" s="64">
        <v>101.05</v>
      </c>
      <c r="L90" s="64">
        <v>26.63</v>
      </c>
      <c r="M90" s="64">
        <v>80.319999999999993</v>
      </c>
      <c r="N90" s="64">
        <v>91.4</v>
      </c>
      <c r="O90" s="64">
        <v>0</v>
      </c>
      <c r="P90" s="64">
        <v>0.34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15" t="s">
        <v>3016</v>
      </c>
      <c r="B91" s="64">
        <v>5.22</v>
      </c>
      <c r="C91" s="64">
        <v>23.16</v>
      </c>
      <c r="D91" s="64">
        <v>36.31</v>
      </c>
      <c r="E91" s="64">
        <v>3.28</v>
      </c>
      <c r="F91" s="64">
        <v>7.35</v>
      </c>
      <c r="G91" s="64">
        <v>30.37</v>
      </c>
      <c r="H91" s="64">
        <v>7.34</v>
      </c>
      <c r="I91" s="64">
        <v>4.03</v>
      </c>
      <c r="J91" s="64">
        <v>3.18</v>
      </c>
      <c r="K91" s="64">
        <v>100.2</v>
      </c>
      <c r="L91" s="64">
        <v>26.29</v>
      </c>
      <c r="M91" s="64">
        <v>81.64</v>
      </c>
      <c r="N91" s="64">
        <v>91.3</v>
      </c>
      <c r="O91" s="64">
        <v>0</v>
      </c>
      <c r="P91" s="64">
        <v>0.35</v>
      </c>
      <c r="Q91" s="64">
        <v>9.4700000000000006</v>
      </c>
      <c r="R91" s="198"/>
      <c r="S91" s="198"/>
      <c r="T91" s="198"/>
      <c r="U91" s="198"/>
    </row>
    <row r="92" spans="1:26" s="12" customFormat="1" x14ac:dyDescent="0.25">
      <c r="A92" s="215" t="s">
        <v>3017</v>
      </c>
      <c r="B92" s="64">
        <v>4.71</v>
      </c>
      <c r="C92" s="64">
        <v>24.14</v>
      </c>
      <c r="D92" s="64">
        <v>38.97</v>
      </c>
      <c r="E92" s="64">
        <v>3.35</v>
      </c>
      <c r="F92" s="64">
        <v>7.73</v>
      </c>
      <c r="G92" s="64">
        <v>27.42</v>
      </c>
      <c r="H92" s="64">
        <v>5.66</v>
      </c>
      <c r="I92" s="64">
        <v>3.85</v>
      </c>
      <c r="J92" s="64">
        <v>3.03</v>
      </c>
      <c r="K92" s="64">
        <v>97.71</v>
      </c>
      <c r="L92" s="64">
        <v>26.21</v>
      </c>
      <c r="M92" s="64">
        <v>81.77</v>
      </c>
      <c r="N92" s="64">
        <v>89.2</v>
      </c>
      <c r="O92" s="64">
        <v>0</v>
      </c>
      <c r="P92" s="64">
        <v>0.35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5" t="s">
        <v>3018</v>
      </c>
      <c r="B93" s="64">
        <v>4.51</v>
      </c>
      <c r="C93" s="64">
        <v>23.31</v>
      </c>
      <c r="D93" s="64">
        <v>37.69</v>
      </c>
      <c r="E93" s="64">
        <v>3.16</v>
      </c>
      <c r="F93" s="64">
        <v>5.93</v>
      </c>
      <c r="G93" s="64">
        <v>26.58</v>
      </c>
      <c r="H93" s="64">
        <v>5.18</v>
      </c>
      <c r="I93" s="64">
        <v>4.07</v>
      </c>
      <c r="J93" s="64">
        <v>3.69</v>
      </c>
      <c r="K93" s="64">
        <v>105.65</v>
      </c>
      <c r="L93" s="64">
        <v>26.07</v>
      </c>
      <c r="M93" s="64">
        <v>84.12</v>
      </c>
      <c r="N93" s="64">
        <v>88.9</v>
      </c>
      <c r="O93" s="64">
        <v>0</v>
      </c>
      <c r="P93" s="64">
        <v>0.35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5" t="s">
        <v>3019</v>
      </c>
      <c r="B94" s="64">
        <v>4.5599999999999996</v>
      </c>
      <c r="C94" s="64">
        <v>24.28</v>
      </c>
      <c r="D94" s="64">
        <v>39.479999999999997</v>
      </c>
      <c r="E94" s="64">
        <v>3.13</v>
      </c>
      <c r="F94" s="64">
        <v>6.7</v>
      </c>
      <c r="G94" s="64">
        <v>26.58</v>
      </c>
      <c r="H94" s="64">
        <v>5.18</v>
      </c>
      <c r="I94" s="64">
        <v>4.09</v>
      </c>
      <c r="J94" s="64">
        <v>2.15</v>
      </c>
      <c r="K94" s="64">
        <v>102.42</v>
      </c>
      <c r="L94" s="64">
        <v>26.25</v>
      </c>
      <c r="M94" s="64">
        <v>83.31</v>
      </c>
      <c r="N94" s="64">
        <v>88.7</v>
      </c>
      <c r="O94" s="64">
        <v>0</v>
      </c>
      <c r="P94" s="64">
        <v>0.35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5" t="s">
        <v>3020</v>
      </c>
      <c r="B95" s="64">
        <v>4.79</v>
      </c>
      <c r="C95" s="64">
        <v>24.68</v>
      </c>
      <c r="D95" s="64">
        <v>39.89</v>
      </c>
      <c r="E95" s="64">
        <v>3.23</v>
      </c>
      <c r="F95" s="64">
        <v>7.04</v>
      </c>
      <c r="G95" s="64">
        <v>26.58</v>
      </c>
      <c r="H95" s="64">
        <v>5.18</v>
      </c>
      <c r="I95" s="64">
        <v>4.13</v>
      </c>
      <c r="J95" s="64">
        <v>2.23</v>
      </c>
      <c r="K95" s="64">
        <v>95.87</v>
      </c>
      <c r="L95" s="64">
        <v>26.25</v>
      </c>
      <c r="M95" s="64">
        <v>83.53</v>
      </c>
      <c r="N95" s="64">
        <v>88.7</v>
      </c>
      <c r="O95" s="64">
        <v>0</v>
      </c>
      <c r="P95" s="64">
        <v>0.36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15" t="s">
        <v>3021</v>
      </c>
      <c r="B96" s="64">
        <v>5</v>
      </c>
      <c r="C96" s="64">
        <v>25.15</v>
      </c>
      <c r="D96" s="64">
        <v>40.47</v>
      </c>
      <c r="E96" s="64">
        <v>2.81</v>
      </c>
      <c r="F96" s="64">
        <v>6.94</v>
      </c>
      <c r="G96" s="64">
        <v>25.86</v>
      </c>
      <c r="H96" s="64">
        <v>5.76</v>
      </c>
      <c r="I96" s="64">
        <v>4.0999999999999996</v>
      </c>
      <c r="J96" s="64">
        <v>2.0099999999999998</v>
      </c>
      <c r="K96" s="64">
        <v>101.33</v>
      </c>
      <c r="L96" s="64">
        <v>26.23</v>
      </c>
      <c r="M96" s="64">
        <v>84.22</v>
      </c>
      <c r="N96" s="64">
        <v>88.7</v>
      </c>
      <c r="O96" s="64">
        <v>0</v>
      </c>
      <c r="P96" s="64">
        <v>0.37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3022</v>
      </c>
      <c r="B97" s="64">
        <v>5.13</v>
      </c>
      <c r="C97" s="64">
        <v>24.51</v>
      </c>
      <c r="D97" s="64">
        <v>39.04</v>
      </c>
      <c r="E97" s="64">
        <v>3.09</v>
      </c>
      <c r="F97" s="64">
        <v>6.06</v>
      </c>
      <c r="G97" s="64">
        <v>25.66</v>
      </c>
      <c r="H97" s="64">
        <v>5.92</v>
      </c>
      <c r="I97" s="64">
        <v>4.1500000000000004</v>
      </c>
      <c r="J97" s="64">
        <v>2.14</v>
      </c>
      <c r="K97" s="64">
        <v>124.03</v>
      </c>
      <c r="L97" s="64">
        <v>26.33</v>
      </c>
      <c r="M97" s="64">
        <v>83.57</v>
      </c>
      <c r="N97" s="64">
        <v>88.4</v>
      </c>
      <c r="O97" s="64">
        <v>0</v>
      </c>
      <c r="P97" s="64">
        <v>0.36</v>
      </c>
      <c r="Q97" s="64">
        <v>9.4600000000000009</v>
      </c>
      <c r="R97" s="198"/>
      <c r="S97" s="198"/>
      <c r="T97" s="198"/>
      <c r="U97" s="198"/>
    </row>
    <row r="98" spans="1:33" s="12" customFormat="1" x14ac:dyDescent="0.25">
      <c r="A98" s="215" t="s">
        <v>3023</v>
      </c>
      <c r="B98" s="64">
        <v>5</v>
      </c>
      <c r="C98" s="64">
        <v>24.69</v>
      </c>
      <c r="D98" s="64">
        <v>39.58</v>
      </c>
      <c r="E98" s="64">
        <v>2.62</v>
      </c>
      <c r="F98" s="64">
        <v>6.57</v>
      </c>
      <c r="G98" s="64">
        <v>25.66</v>
      </c>
      <c r="H98" s="64">
        <v>5.92</v>
      </c>
      <c r="I98" s="64">
        <v>4.01</v>
      </c>
      <c r="J98" s="64">
        <v>2.54</v>
      </c>
      <c r="K98" s="64">
        <v>92.38</v>
      </c>
      <c r="L98" s="64">
        <v>26.27</v>
      </c>
      <c r="M98" s="64">
        <v>85.18</v>
      </c>
      <c r="N98" s="64">
        <v>88.9</v>
      </c>
      <c r="O98" s="64">
        <v>0</v>
      </c>
      <c r="P98" s="64">
        <v>0.36</v>
      </c>
      <c r="Q98" s="64">
        <v>9.48</v>
      </c>
      <c r="R98" s="198"/>
      <c r="S98" s="198"/>
      <c r="T98" s="198"/>
      <c r="U98" s="198"/>
    </row>
    <row r="99" spans="1:33" s="12" customFormat="1" x14ac:dyDescent="0.25">
      <c r="A99" s="215" t="s">
        <v>3024</v>
      </c>
      <c r="B99" s="64">
        <v>4.9400000000000004</v>
      </c>
      <c r="C99" s="64">
        <v>24.67</v>
      </c>
      <c r="D99" s="64">
        <v>39.65</v>
      </c>
      <c r="E99" s="64">
        <v>2.65</v>
      </c>
      <c r="F99" s="64">
        <v>6.86</v>
      </c>
      <c r="G99" s="64">
        <v>25.66</v>
      </c>
      <c r="H99" s="64">
        <v>5.92</v>
      </c>
      <c r="I99" s="64">
        <v>4.05</v>
      </c>
      <c r="J99" s="64">
        <v>4.4000000000000004</v>
      </c>
      <c r="K99" s="64">
        <v>105.77</v>
      </c>
      <c r="L99" s="64">
        <v>26.21</v>
      </c>
      <c r="M99" s="64">
        <v>85.9</v>
      </c>
      <c r="N99" s="64">
        <v>88.9</v>
      </c>
      <c r="O99" s="64">
        <v>0</v>
      </c>
      <c r="P99" s="64">
        <v>0.36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5" t="s">
        <v>3025</v>
      </c>
      <c r="B100" s="64">
        <v>4.6900000000000004</v>
      </c>
      <c r="C100" s="64">
        <v>24.04</v>
      </c>
      <c r="D100" s="64">
        <v>38.81</v>
      </c>
      <c r="E100" s="64">
        <v>2.99</v>
      </c>
      <c r="F100" s="64">
        <v>6.21</v>
      </c>
      <c r="G100" s="64">
        <v>24.41</v>
      </c>
      <c r="H100" s="64">
        <v>6.67</v>
      </c>
      <c r="I100" s="64">
        <v>3.96</v>
      </c>
      <c r="J100" s="64">
        <v>4.25</v>
      </c>
      <c r="K100" s="64">
        <v>101.78</v>
      </c>
      <c r="L100" s="64">
        <v>26.05</v>
      </c>
      <c r="M100" s="64">
        <v>86.94</v>
      </c>
      <c r="N100" s="64">
        <v>89.4</v>
      </c>
      <c r="O100" s="64">
        <v>0</v>
      </c>
      <c r="P100" s="64">
        <v>0.35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3026</v>
      </c>
      <c r="B101" s="64">
        <v>4.38</v>
      </c>
      <c r="C101" s="64">
        <v>23.55</v>
      </c>
      <c r="D101" s="64">
        <v>38.36</v>
      </c>
      <c r="E101" s="64">
        <v>3</v>
      </c>
      <c r="F101" s="64">
        <v>5.55</v>
      </c>
      <c r="G101" s="64">
        <v>24.05</v>
      </c>
      <c r="H101" s="64">
        <v>6.88</v>
      </c>
      <c r="I101" s="64">
        <v>4.03</v>
      </c>
      <c r="J101" s="64">
        <v>3.62</v>
      </c>
      <c r="K101" s="64">
        <v>92.35</v>
      </c>
      <c r="L101" s="64">
        <v>25.95</v>
      </c>
      <c r="M101" s="64">
        <v>86.58</v>
      </c>
      <c r="N101" s="64">
        <v>89.5</v>
      </c>
      <c r="O101" s="64">
        <v>0</v>
      </c>
      <c r="P101" s="64">
        <v>0.34</v>
      </c>
      <c r="Q101" s="64">
        <v>9.49</v>
      </c>
      <c r="R101" s="198"/>
      <c r="S101" s="198"/>
      <c r="T101" s="198"/>
      <c r="U101" s="198"/>
    </row>
    <row r="102" spans="1:33" s="12" customFormat="1" x14ac:dyDescent="0.25">
      <c r="A102" s="215" t="s">
        <v>3027</v>
      </c>
      <c r="B102" s="64">
        <v>4.09</v>
      </c>
      <c r="C102" s="64">
        <v>23.51</v>
      </c>
      <c r="D102" s="64">
        <v>38.72</v>
      </c>
      <c r="E102" s="64">
        <v>2.66</v>
      </c>
      <c r="F102" s="64">
        <v>6.14</v>
      </c>
      <c r="G102" s="64">
        <v>24.05</v>
      </c>
      <c r="H102" s="64">
        <v>6.88</v>
      </c>
      <c r="I102" s="64">
        <v>3.88</v>
      </c>
      <c r="J102" s="64">
        <v>4.59</v>
      </c>
      <c r="K102" s="64">
        <v>102.32</v>
      </c>
      <c r="L102" s="64">
        <v>25.82</v>
      </c>
      <c r="M102" s="64">
        <v>85.16</v>
      </c>
      <c r="N102" s="64">
        <v>89.4</v>
      </c>
      <c r="O102" s="64">
        <v>0</v>
      </c>
      <c r="P102" s="64">
        <v>0.33</v>
      </c>
      <c r="Q102" s="64">
        <v>9.48</v>
      </c>
      <c r="R102" s="198"/>
      <c r="S102" s="198"/>
      <c r="T102" s="198"/>
      <c r="U102" s="198"/>
    </row>
    <row r="103" spans="1:33" s="12" customFormat="1" x14ac:dyDescent="0.25">
      <c r="A103" s="215" t="s">
        <v>3028</v>
      </c>
      <c r="B103" s="64">
        <v>3.67</v>
      </c>
      <c r="C103" s="64">
        <v>22.32</v>
      </c>
      <c r="D103" s="64">
        <v>37.090000000000003</v>
      </c>
      <c r="E103" s="64">
        <v>2.36</v>
      </c>
      <c r="F103" s="64">
        <v>7.28</v>
      </c>
      <c r="G103" s="64">
        <v>24.05</v>
      </c>
      <c r="H103" s="64">
        <v>6.88</v>
      </c>
      <c r="I103" s="64">
        <v>4.1100000000000003</v>
      </c>
      <c r="J103" s="64">
        <v>1.61</v>
      </c>
      <c r="K103" s="64">
        <v>120.07</v>
      </c>
      <c r="L103" s="64">
        <v>25.72</v>
      </c>
      <c r="M103" s="64">
        <v>84.88</v>
      </c>
      <c r="N103" s="64">
        <v>89.5</v>
      </c>
      <c r="O103" s="64">
        <v>0</v>
      </c>
      <c r="P103" s="64">
        <v>0.33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15" t="s">
        <v>3029</v>
      </c>
      <c r="B104" s="64">
        <v>3.38</v>
      </c>
      <c r="C104" s="64">
        <v>22.99</v>
      </c>
      <c r="D104" s="64">
        <v>38.82</v>
      </c>
      <c r="E104" s="64">
        <v>2.09</v>
      </c>
      <c r="F104" s="64">
        <v>6.75</v>
      </c>
      <c r="G104" s="64">
        <v>22.41</v>
      </c>
      <c r="H104" s="64">
        <v>6.63</v>
      </c>
      <c r="I104" s="64">
        <v>4.13</v>
      </c>
      <c r="J104" s="64">
        <v>1.47</v>
      </c>
      <c r="K104" s="64">
        <v>134.4</v>
      </c>
      <c r="L104" s="64">
        <v>25.63</v>
      </c>
      <c r="M104" s="64">
        <v>85.48</v>
      </c>
      <c r="N104" s="64">
        <v>89.6</v>
      </c>
      <c r="O104" s="64">
        <v>0</v>
      </c>
      <c r="P104" s="64">
        <v>0.32</v>
      </c>
      <c r="Q104" s="64">
        <v>9.4700000000000006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1.75</v>
      </c>
      <c r="C106" s="67">
        <f>MIN(C9:C104)</f>
        <v>20.239999999999998</v>
      </c>
      <c r="D106" s="67">
        <f t="shared" ref="D106:Q106" si="0">MIN(D9:D104)</f>
        <v>31.01</v>
      </c>
      <c r="E106" s="67">
        <f t="shared" si="0"/>
        <v>2.09</v>
      </c>
      <c r="F106" s="67">
        <f t="shared" si="0"/>
        <v>5.01</v>
      </c>
      <c r="G106" s="67">
        <f t="shared" si="0"/>
        <v>17.809999999999999</v>
      </c>
      <c r="H106" s="67">
        <f t="shared" si="0"/>
        <v>5.18</v>
      </c>
      <c r="I106" s="67">
        <f t="shared" si="0"/>
        <v>3.81</v>
      </c>
      <c r="J106" s="67">
        <f t="shared" si="0"/>
        <v>0.5</v>
      </c>
      <c r="K106" s="67">
        <f t="shared" si="0"/>
        <v>66.08</v>
      </c>
      <c r="L106" s="67">
        <f t="shared" si="0"/>
        <v>24.62</v>
      </c>
      <c r="M106" s="67">
        <f t="shared" si="0"/>
        <v>24.74</v>
      </c>
      <c r="N106" s="67">
        <f t="shared" si="0"/>
        <v>83.1</v>
      </c>
      <c r="O106" s="67">
        <f t="shared" si="0"/>
        <v>0</v>
      </c>
      <c r="P106" s="67">
        <f t="shared" si="0"/>
        <v>0.27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12.82</v>
      </c>
      <c r="C107" s="66">
        <f t="shared" ref="C107:Q107" si="1">MAX(C9:C104)</f>
        <v>31.77</v>
      </c>
      <c r="D107" s="66">
        <f t="shared" si="1"/>
        <v>47.47</v>
      </c>
      <c r="E107" s="66">
        <f t="shared" si="1"/>
        <v>3.51</v>
      </c>
      <c r="F107" s="66">
        <f t="shared" si="1"/>
        <v>16.149999999999999</v>
      </c>
      <c r="G107" s="66">
        <f t="shared" si="1"/>
        <v>30.37</v>
      </c>
      <c r="H107" s="66">
        <f t="shared" si="1"/>
        <v>9.23</v>
      </c>
      <c r="I107" s="66">
        <f t="shared" si="1"/>
        <v>4.21</v>
      </c>
      <c r="J107" s="66">
        <f t="shared" si="1"/>
        <v>5.32</v>
      </c>
      <c r="K107" s="66">
        <f t="shared" si="1"/>
        <v>283.82</v>
      </c>
      <c r="L107" s="66">
        <f t="shared" si="1"/>
        <v>38.9</v>
      </c>
      <c r="M107" s="66">
        <f t="shared" si="1"/>
        <v>97.6</v>
      </c>
      <c r="N107" s="66">
        <f t="shared" si="1"/>
        <v>1045.8</v>
      </c>
      <c r="O107" s="66">
        <f t="shared" si="1"/>
        <v>0</v>
      </c>
      <c r="P107" s="66">
        <f t="shared" si="1"/>
        <v>0.37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5.7129166666666658</v>
      </c>
      <c r="C108" s="67">
        <f t="shared" ref="C108:Q108" si="2">AVERAGE(C9:C104)</f>
        <v>24.860937500000006</v>
      </c>
      <c r="D108" s="67">
        <f t="shared" si="2"/>
        <v>38.814687499999984</v>
      </c>
      <c r="E108" s="67">
        <f t="shared" si="2"/>
        <v>2.8523958333333326</v>
      </c>
      <c r="F108" s="67">
        <f t="shared" si="2"/>
        <v>7.9247916666666667</v>
      </c>
      <c r="G108" s="67">
        <f t="shared" si="2"/>
        <v>22.825624999999999</v>
      </c>
      <c r="H108" s="67">
        <f t="shared" si="2"/>
        <v>7.1156249999999952</v>
      </c>
      <c r="I108" s="67">
        <f t="shared" si="2"/>
        <v>4.000520833333332</v>
      </c>
      <c r="J108" s="67">
        <f t="shared" si="2"/>
        <v>2.1697916666666668</v>
      </c>
      <c r="K108" s="67">
        <f t="shared" si="2"/>
        <v>171.19729166666664</v>
      </c>
      <c r="L108" s="67">
        <f t="shared" si="2"/>
        <v>30.640312500000004</v>
      </c>
      <c r="M108" s="67">
        <f t="shared" si="2"/>
        <v>65.321874999999991</v>
      </c>
      <c r="N108" s="67">
        <f t="shared" si="2"/>
        <v>323.66250000000025</v>
      </c>
      <c r="O108" s="67">
        <f t="shared" si="2"/>
        <v>0</v>
      </c>
      <c r="P108" s="67">
        <f t="shared" si="2"/>
        <v>0.31572916666666662</v>
      </c>
      <c r="Q108" s="67">
        <f t="shared" si="2"/>
        <v>9.5091666666666708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3.3051442891241249</v>
      </c>
      <c r="C109" s="67">
        <f t="shared" ref="C109:Q109" si="3">STDEV(C9:C104)</f>
        <v>2.6890288124055277</v>
      </c>
      <c r="D109" s="67">
        <f t="shared" si="3"/>
        <v>3.3923480311538921</v>
      </c>
      <c r="E109" s="67">
        <f t="shared" si="3"/>
        <v>0.31161293396462519</v>
      </c>
      <c r="F109" s="67">
        <f t="shared" si="3"/>
        <v>2.6238408886157583</v>
      </c>
      <c r="G109" s="67">
        <f t="shared" si="3"/>
        <v>2.8643124691716992</v>
      </c>
      <c r="H109" s="67">
        <f t="shared" si="3"/>
        <v>1.0661231414014485</v>
      </c>
      <c r="I109" s="67">
        <f t="shared" si="3"/>
        <v>9.0697528448501125E-2</v>
      </c>
      <c r="J109" s="67">
        <f t="shared" si="3"/>
        <v>0.97885215180215912</v>
      </c>
      <c r="K109" s="67">
        <f t="shared" si="3"/>
        <v>52.979675556399883</v>
      </c>
      <c r="L109" s="67">
        <f t="shared" si="3"/>
        <v>5.171157552002386</v>
      </c>
      <c r="M109" s="67">
        <f t="shared" si="3"/>
        <v>23.271353128844218</v>
      </c>
      <c r="N109" s="67">
        <f t="shared" si="3"/>
        <v>314.5544351685578</v>
      </c>
      <c r="O109" s="67">
        <f t="shared" si="3"/>
        <v>0</v>
      </c>
      <c r="P109" s="67">
        <f t="shared" si="3"/>
        <v>2.7366702459535958E-2</v>
      </c>
      <c r="Q109" s="67">
        <f t="shared" si="3"/>
        <v>0.11401446507182332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102" activePane="bottomLeft" state="frozen"/>
      <selection activeCell="N106" sqref="N106:P109"/>
      <selection pane="bottomLef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3030</v>
      </c>
      <c r="B9" s="64">
        <v>3.33</v>
      </c>
      <c r="C9" s="64">
        <v>20.92</v>
      </c>
      <c r="D9" s="64">
        <v>34.93</v>
      </c>
      <c r="E9" s="64">
        <v>2.3199999999999998</v>
      </c>
      <c r="F9" s="64">
        <v>7.58</v>
      </c>
      <c r="G9" s="64">
        <v>21.94</v>
      </c>
      <c r="H9" s="64">
        <v>6.56</v>
      </c>
      <c r="I9" s="64">
        <v>4.03</v>
      </c>
      <c r="J9" s="64">
        <v>1.36</v>
      </c>
      <c r="K9" s="64">
        <v>98.61</v>
      </c>
      <c r="L9" s="64">
        <v>25.56</v>
      </c>
      <c r="M9" s="64">
        <v>83.39</v>
      </c>
      <c r="N9" s="64">
        <v>89.5</v>
      </c>
      <c r="O9" s="64">
        <v>0</v>
      </c>
      <c r="P9" s="64">
        <v>0.31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5" t="s">
        <v>3031</v>
      </c>
      <c r="B10" s="64">
        <v>3.44</v>
      </c>
      <c r="C10" s="64">
        <v>20.12</v>
      </c>
      <c r="D10" s="64">
        <v>33.229999999999997</v>
      </c>
      <c r="E10" s="64">
        <v>2.2400000000000002</v>
      </c>
      <c r="F10" s="64">
        <v>6.24</v>
      </c>
      <c r="G10" s="64">
        <v>21.94</v>
      </c>
      <c r="H10" s="64">
        <v>6.56</v>
      </c>
      <c r="I10" s="64">
        <v>4</v>
      </c>
      <c r="J10" s="64">
        <v>2.94</v>
      </c>
      <c r="K10" s="64">
        <v>96.58</v>
      </c>
      <c r="L10" s="64">
        <v>25.49</v>
      </c>
      <c r="M10" s="64">
        <v>79.98</v>
      </c>
      <c r="N10" s="64">
        <v>89.5</v>
      </c>
      <c r="O10" s="64">
        <v>0</v>
      </c>
      <c r="P10" s="64">
        <v>0.31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5" t="s">
        <v>3032</v>
      </c>
      <c r="B11" s="64">
        <v>3.61</v>
      </c>
      <c r="C11" s="64">
        <v>20.02</v>
      </c>
      <c r="D11" s="64">
        <v>32.78</v>
      </c>
      <c r="E11" s="64">
        <v>2.36</v>
      </c>
      <c r="F11" s="64">
        <v>8.01</v>
      </c>
      <c r="G11" s="64">
        <v>21.94</v>
      </c>
      <c r="H11" s="64">
        <v>6.56</v>
      </c>
      <c r="I11" s="64">
        <v>3.99</v>
      </c>
      <c r="J11" s="64">
        <v>3.1</v>
      </c>
      <c r="K11" s="64">
        <v>99.26</v>
      </c>
      <c r="L11" s="64">
        <v>25.5</v>
      </c>
      <c r="M11" s="64">
        <v>80.03</v>
      </c>
      <c r="N11" s="64">
        <v>89.7</v>
      </c>
      <c r="O11" s="64">
        <v>0</v>
      </c>
      <c r="P11" s="64">
        <v>0.31</v>
      </c>
      <c r="Q11" s="64">
        <v>9.42</v>
      </c>
      <c r="R11" s="198"/>
      <c r="S11" s="198"/>
      <c r="T11" s="198"/>
      <c r="U11" s="198"/>
    </row>
    <row r="12" spans="1:21" s="12" customFormat="1" x14ac:dyDescent="0.25">
      <c r="A12" s="215" t="s">
        <v>3033</v>
      </c>
      <c r="B12" s="64">
        <v>3.8</v>
      </c>
      <c r="C12" s="64">
        <v>19.88</v>
      </c>
      <c r="D12" s="64">
        <v>32.21</v>
      </c>
      <c r="E12" s="64">
        <v>2.09</v>
      </c>
      <c r="F12" s="64">
        <v>8.0399999999999991</v>
      </c>
      <c r="G12" s="64">
        <v>20.46</v>
      </c>
      <c r="H12" s="64">
        <v>5.15</v>
      </c>
      <c r="I12" s="64">
        <v>3.95</v>
      </c>
      <c r="J12" s="64">
        <v>1.05</v>
      </c>
      <c r="K12" s="64">
        <v>101.11</v>
      </c>
      <c r="L12" s="64">
        <v>25.46</v>
      </c>
      <c r="M12" s="64">
        <v>77.959999999999994</v>
      </c>
      <c r="N12" s="64">
        <v>89.8</v>
      </c>
      <c r="O12" s="64">
        <v>0</v>
      </c>
      <c r="P12" s="64">
        <v>0.3</v>
      </c>
      <c r="Q12" s="64">
        <v>9.42</v>
      </c>
      <c r="R12" s="198"/>
      <c r="S12" s="198"/>
      <c r="T12" s="198"/>
      <c r="U12" s="198"/>
    </row>
    <row r="13" spans="1:21" s="12" customFormat="1" x14ac:dyDescent="0.25">
      <c r="A13" s="215" t="s">
        <v>3034</v>
      </c>
      <c r="B13" s="64">
        <v>3.95</v>
      </c>
      <c r="C13" s="64">
        <v>19.71</v>
      </c>
      <c r="D13" s="64">
        <v>31.65</v>
      </c>
      <c r="E13" s="64">
        <v>1.98</v>
      </c>
      <c r="F13" s="64">
        <v>7.29</v>
      </c>
      <c r="G13" s="64">
        <v>20.059999999999999</v>
      </c>
      <c r="H13" s="64">
        <v>4.75</v>
      </c>
      <c r="I13" s="64">
        <v>4.05</v>
      </c>
      <c r="J13" s="64">
        <v>1.52</v>
      </c>
      <c r="K13" s="64">
        <v>98.88</v>
      </c>
      <c r="L13" s="64">
        <v>25.43</v>
      </c>
      <c r="M13" s="64">
        <v>77.52</v>
      </c>
      <c r="N13" s="64">
        <v>89.9</v>
      </c>
      <c r="O13" s="64">
        <v>0</v>
      </c>
      <c r="P13" s="64">
        <v>0.27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5" t="s">
        <v>3035</v>
      </c>
      <c r="B14" s="64">
        <v>4.59</v>
      </c>
      <c r="C14" s="64">
        <v>20.55</v>
      </c>
      <c r="D14" s="64">
        <v>32.299999999999997</v>
      </c>
      <c r="E14" s="64">
        <v>2.38</v>
      </c>
      <c r="F14" s="64">
        <v>8.91</v>
      </c>
      <c r="G14" s="64">
        <v>20.059999999999999</v>
      </c>
      <c r="H14" s="64">
        <v>4.75</v>
      </c>
      <c r="I14" s="64">
        <v>3.92</v>
      </c>
      <c r="J14" s="64">
        <v>0.68</v>
      </c>
      <c r="K14" s="64">
        <v>66.41</v>
      </c>
      <c r="L14" s="64">
        <v>25.42</v>
      </c>
      <c r="M14" s="64">
        <v>78.02</v>
      </c>
      <c r="N14" s="64">
        <v>89.9</v>
      </c>
      <c r="O14" s="64">
        <v>0</v>
      </c>
      <c r="P14" s="64">
        <v>0.3</v>
      </c>
      <c r="Q14" s="64">
        <v>9.44</v>
      </c>
      <c r="R14" s="198"/>
      <c r="S14" s="198"/>
      <c r="T14" s="198"/>
      <c r="U14" s="198"/>
    </row>
    <row r="15" spans="1:21" s="12" customFormat="1" x14ac:dyDescent="0.25">
      <c r="A15" s="215" t="s">
        <v>3036</v>
      </c>
      <c r="B15" s="64">
        <v>4.63</v>
      </c>
      <c r="C15" s="64">
        <v>21.23</v>
      </c>
      <c r="D15" s="64">
        <v>33.520000000000003</v>
      </c>
      <c r="E15" s="64">
        <v>2.4500000000000002</v>
      </c>
      <c r="F15" s="64">
        <v>6.41</v>
      </c>
      <c r="G15" s="64">
        <v>20.059999999999999</v>
      </c>
      <c r="H15" s="64">
        <v>4.75</v>
      </c>
      <c r="I15" s="64">
        <v>4.0199999999999996</v>
      </c>
      <c r="J15" s="64">
        <v>0.65</v>
      </c>
      <c r="K15" s="64">
        <v>267.36</v>
      </c>
      <c r="L15" s="64">
        <v>25.44</v>
      </c>
      <c r="M15" s="64">
        <v>77.650000000000006</v>
      </c>
      <c r="N15" s="64">
        <v>90.1</v>
      </c>
      <c r="O15" s="64">
        <v>0</v>
      </c>
      <c r="P15" s="64">
        <v>0.3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5" t="s">
        <v>3037</v>
      </c>
      <c r="B16" s="64">
        <v>5.41</v>
      </c>
      <c r="C16" s="64">
        <v>23.04</v>
      </c>
      <c r="D16" s="64">
        <v>35.799999999999997</v>
      </c>
      <c r="E16" s="64">
        <v>2.35</v>
      </c>
      <c r="F16" s="64">
        <v>5.67</v>
      </c>
      <c r="G16" s="64">
        <v>18.91</v>
      </c>
      <c r="H16" s="64">
        <v>4.9000000000000004</v>
      </c>
      <c r="I16" s="64">
        <v>3.99</v>
      </c>
      <c r="J16" s="64">
        <v>1.61</v>
      </c>
      <c r="K16" s="64">
        <v>161.78</v>
      </c>
      <c r="L16" s="64">
        <v>25.55</v>
      </c>
      <c r="M16" s="64">
        <v>75.81</v>
      </c>
      <c r="N16" s="64">
        <v>89.8</v>
      </c>
      <c r="O16" s="64">
        <v>0</v>
      </c>
      <c r="P16" s="64">
        <v>0.3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5" t="s">
        <v>3038</v>
      </c>
      <c r="B17" s="64">
        <v>5.62</v>
      </c>
      <c r="C17" s="64">
        <v>23.03</v>
      </c>
      <c r="D17" s="64">
        <v>35.46</v>
      </c>
      <c r="E17" s="64">
        <v>2.23</v>
      </c>
      <c r="F17" s="64">
        <v>5.58</v>
      </c>
      <c r="G17" s="64">
        <v>18.59</v>
      </c>
      <c r="H17" s="64">
        <v>4.9400000000000004</v>
      </c>
      <c r="I17" s="64">
        <v>3.92</v>
      </c>
      <c r="J17" s="64">
        <v>1.02</v>
      </c>
      <c r="K17" s="64">
        <v>176.42</v>
      </c>
      <c r="L17" s="64">
        <v>25.65</v>
      </c>
      <c r="M17" s="64">
        <v>75.37</v>
      </c>
      <c r="N17" s="64">
        <v>90</v>
      </c>
      <c r="O17" s="64">
        <v>0</v>
      </c>
      <c r="P17" s="64">
        <v>0.3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15" t="s">
        <v>3039</v>
      </c>
      <c r="B18" s="64">
        <v>5.34</v>
      </c>
      <c r="C18" s="64">
        <v>23.31</v>
      </c>
      <c r="D18" s="64">
        <v>36.42</v>
      </c>
      <c r="E18" s="64">
        <v>1.78</v>
      </c>
      <c r="F18" s="64">
        <v>5.84</v>
      </c>
      <c r="G18" s="64">
        <v>18.59</v>
      </c>
      <c r="H18" s="64">
        <v>4.9400000000000004</v>
      </c>
      <c r="I18" s="64">
        <v>3.94</v>
      </c>
      <c r="J18" s="64">
        <v>0.68</v>
      </c>
      <c r="K18" s="64">
        <v>115.05</v>
      </c>
      <c r="L18" s="64">
        <v>25.58</v>
      </c>
      <c r="M18" s="64">
        <v>75.510000000000005</v>
      </c>
      <c r="N18" s="64">
        <v>87.7</v>
      </c>
      <c r="O18" s="64">
        <v>0</v>
      </c>
      <c r="P18" s="64">
        <v>0.3</v>
      </c>
      <c r="Q18" s="64">
        <v>9.44</v>
      </c>
      <c r="R18" s="198"/>
      <c r="S18" s="198"/>
      <c r="T18" s="198"/>
      <c r="U18" s="198"/>
    </row>
    <row r="19" spans="1:21" s="12" customFormat="1" x14ac:dyDescent="0.25">
      <c r="A19" s="215" t="s">
        <v>3040</v>
      </c>
      <c r="B19" s="64">
        <v>4.91</v>
      </c>
      <c r="C19" s="64">
        <v>23.23</v>
      </c>
      <c r="D19" s="64">
        <v>36.92</v>
      </c>
      <c r="E19" s="64">
        <v>2.0299999999999998</v>
      </c>
      <c r="F19" s="64">
        <v>5.85</v>
      </c>
      <c r="G19" s="64">
        <v>18.59</v>
      </c>
      <c r="H19" s="64">
        <v>4.9400000000000004</v>
      </c>
      <c r="I19" s="64">
        <v>3.86</v>
      </c>
      <c r="J19" s="64">
        <v>0.7</v>
      </c>
      <c r="K19" s="64">
        <v>187.7</v>
      </c>
      <c r="L19" s="64">
        <v>25.71</v>
      </c>
      <c r="M19" s="64">
        <v>75.62</v>
      </c>
      <c r="N19" s="64">
        <v>84.1</v>
      </c>
      <c r="O19" s="64">
        <v>0</v>
      </c>
      <c r="P19" s="64">
        <v>0.3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5" t="s">
        <v>3041</v>
      </c>
      <c r="B20" s="64">
        <v>4.4000000000000004</v>
      </c>
      <c r="C20" s="64">
        <v>22.19</v>
      </c>
      <c r="D20" s="64">
        <v>35.72</v>
      </c>
      <c r="E20" s="64">
        <v>1.51</v>
      </c>
      <c r="F20" s="64">
        <v>6.3</v>
      </c>
      <c r="G20" s="64">
        <v>15.14</v>
      </c>
      <c r="H20" s="64">
        <v>7.41</v>
      </c>
      <c r="I20" s="64">
        <v>4.01</v>
      </c>
      <c r="J20" s="64">
        <v>2.0099999999999998</v>
      </c>
      <c r="K20" s="64">
        <v>160.05000000000001</v>
      </c>
      <c r="L20" s="64">
        <v>25.55</v>
      </c>
      <c r="M20" s="64">
        <v>76.3</v>
      </c>
      <c r="N20" s="64">
        <v>84.2</v>
      </c>
      <c r="O20" s="64">
        <v>0</v>
      </c>
      <c r="P20" s="64">
        <v>0.28999999999999998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15" t="s">
        <v>3042</v>
      </c>
      <c r="B21" s="64">
        <v>4.16</v>
      </c>
      <c r="C21" s="64">
        <v>22.51</v>
      </c>
      <c r="D21" s="64">
        <v>36.69</v>
      </c>
      <c r="E21" s="64">
        <v>1.92</v>
      </c>
      <c r="F21" s="64">
        <v>6.44</v>
      </c>
      <c r="G21" s="64">
        <v>14.15</v>
      </c>
      <c r="H21" s="64">
        <v>8.1199999999999992</v>
      </c>
      <c r="I21" s="64">
        <v>3.99</v>
      </c>
      <c r="J21" s="64">
        <v>1.59</v>
      </c>
      <c r="K21" s="64">
        <v>136.69</v>
      </c>
      <c r="L21" s="64">
        <v>25.43</v>
      </c>
      <c r="M21" s="64">
        <v>77.64</v>
      </c>
      <c r="N21" s="64">
        <v>84.5</v>
      </c>
      <c r="O21" s="64">
        <v>0</v>
      </c>
      <c r="P21" s="64">
        <v>0.28000000000000003</v>
      </c>
      <c r="Q21" s="64">
        <v>9.42</v>
      </c>
      <c r="R21" s="198"/>
      <c r="S21" s="198"/>
      <c r="T21" s="198"/>
      <c r="U21" s="198"/>
    </row>
    <row r="22" spans="1:21" s="12" customFormat="1" x14ac:dyDescent="0.25">
      <c r="A22" s="215" t="s">
        <v>3043</v>
      </c>
      <c r="B22" s="64">
        <v>3.92</v>
      </c>
      <c r="C22" s="64">
        <v>22.29</v>
      </c>
      <c r="D22" s="64">
        <v>36.659999999999997</v>
      </c>
      <c r="E22" s="64">
        <v>2.23</v>
      </c>
      <c r="F22" s="64">
        <v>7.12</v>
      </c>
      <c r="G22" s="64">
        <v>14.15</v>
      </c>
      <c r="H22" s="64">
        <v>8.1199999999999992</v>
      </c>
      <c r="I22" s="64">
        <v>4.05</v>
      </c>
      <c r="J22" s="64">
        <v>1.24</v>
      </c>
      <c r="K22" s="64">
        <v>126.5</v>
      </c>
      <c r="L22" s="64">
        <v>25.24</v>
      </c>
      <c r="M22" s="64">
        <v>79.959999999999994</v>
      </c>
      <c r="N22" s="64">
        <v>84.9</v>
      </c>
      <c r="O22" s="64">
        <v>0</v>
      </c>
      <c r="P22" s="64">
        <v>0.28999999999999998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5" t="s">
        <v>3044</v>
      </c>
      <c r="B23" s="64">
        <v>3.84</v>
      </c>
      <c r="C23" s="64">
        <v>21.82</v>
      </c>
      <c r="D23" s="64">
        <v>35.869999999999997</v>
      </c>
      <c r="E23" s="64">
        <v>1.93</v>
      </c>
      <c r="F23" s="64">
        <v>6.88</v>
      </c>
      <c r="G23" s="64">
        <v>14.15</v>
      </c>
      <c r="H23" s="64">
        <v>8.1199999999999992</v>
      </c>
      <c r="I23" s="64">
        <v>4.03</v>
      </c>
      <c r="J23" s="64">
        <v>0.76</v>
      </c>
      <c r="K23" s="64">
        <v>111.67</v>
      </c>
      <c r="L23" s="64">
        <v>25.18</v>
      </c>
      <c r="M23" s="64">
        <v>81.209999999999994</v>
      </c>
      <c r="N23" s="64">
        <v>84.8</v>
      </c>
      <c r="O23" s="64">
        <v>0</v>
      </c>
      <c r="P23" s="64">
        <v>0.28000000000000003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5" t="s">
        <v>3045</v>
      </c>
      <c r="B24" s="64">
        <v>3.81</v>
      </c>
      <c r="C24" s="64">
        <v>21.89</v>
      </c>
      <c r="D24" s="64">
        <v>36.049999999999997</v>
      </c>
      <c r="E24" s="64">
        <v>1.74</v>
      </c>
      <c r="F24" s="64">
        <v>7.26</v>
      </c>
      <c r="G24" s="64">
        <v>15</v>
      </c>
      <c r="H24" s="64">
        <v>6.28</v>
      </c>
      <c r="I24" s="64">
        <v>3.92</v>
      </c>
      <c r="J24" s="64">
        <v>1.21</v>
      </c>
      <c r="K24" s="64">
        <v>115.58</v>
      </c>
      <c r="L24" s="64">
        <v>25.17</v>
      </c>
      <c r="M24" s="64">
        <v>81.52</v>
      </c>
      <c r="N24" s="64">
        <v>84.6</v>
      </c>
      <c r="O24" s="64">
        <v>0</v>
      </c>
      <c r="P24" s="64">
        <v>0.28000000000000003</v>
      </c>
      <c r="Q24" s="64">
        <v>9.41</v>
      </c>
      <c r="R24" s="198"/>
      <c r="S24" s="198"/>
      <c r="T24" s="198"/>
      <c r="U24" s="198"/>
    </row>
    <row r="25" spans="1:21" s="12" customFormat="1" x14ac:dyDescent="0.25">
      <c r="A25" s="215" t="s">
        <v>3046</v>
      </c>
      <c r="B25" s="64">
        <v>3.99</v>
      </c>
      <c r="C25" s="64">
        <v>22.34</v>
      </c>
      <c r="D25" s="64">
        <v>36.630000000000003</v>
      </c>
      <c r="E25" s="64">
        <v>1.68</v>
      </c>
      <c r="F25" s="64">
        <v>6.49</v>
      </c>
      <c r="G25" s="64">
        <v>15.24</v>
      </c>
      <c r="H25" s="64">
        <v>5.75</v>
      </c>
      <c r="I25" s="64">
        <v>3.96</v>
      </c>
      <c r="J25" s="64">
        <v>2.08</v>
      </c>
      <c r="K25" s="64">
        <v>103.06</v>
      </c>
      <c r="L25" s="64">
        <v>25.18</v>
      </c>
      <c r="M25" s="64">
        <v>81.96</v>
      </c>
      <c r="N25" s="64">
        <v>84.7</v>
      </c>
      <c r="O25" s="64">
        <v>0</v>
      </c>
      <c r="P25" s="64">
        <v>0.28000000000000003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5" t="s">
        <v>3047</v>
      </c>
      <c r="B26" s="64">
        <v>4.29</v>
      </c>
      <c r="C26" s="64">
        <v>22.47</v>
      </c>
      <c r="D26" s="64">
        <v>36.42</v>
      </c>
      <c r="E26" s="64">
        <v>1.8</v>
      </c>
      <c r="F26" s="64">
        <v>6.74</v>
      </c>
      <c r="G26" s="64">
        <v>15.24</v>
      </c>
      <c r="H26" s="64">
        <v>5.75</v>
      </c>
      <c r="I26" s="64">
        <v>4.09</v>
      </c>
      <c r="J26" s="64">
        <v>1.63</v>
      </c>
      <c r="K26" s="64">
        <v>116.24</v>
      </c>
      <c r="L26" s="64">
        <v>25.1</v>
      </c>
      <c r="M26" s="64">
        <v>83.41</v>
      </c>
      <c r="N26" s="64">
        <v>84.6</v>
      </c>
      <c r="O26" s="64">
        <v>0</v>
      </c>
      <c r="P26" s="64">
        <v>0.26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5" t="s">
        <v>3048</v>
      </c>
      <c r="B27" s="64">
        <v>4.54</v>
      </c>
      <c r="C27" s="64">
        <v>20.82</v>
      </c>
      <c r="D27" s="64">
        <v>32.880000000000003</v>
      </c>
      <c r="E27" s="64">
        <v>1.66</v>
      </c>
      <c r="F27" s="64">
        <v>7.08</v>
      </c>
      <c r="G27" s="64">
        <v>15.24</v>
      </c>
      <c r="H27" s="64">
        <v>5.75</v>
      </c>
      <c r="I27" s="64">
        <v>3.99</v>
      </c>
      <c r="J27" s="64">
        <v>0.92</v>
      </c>
      <c r="K27" s="64">
        <v>97.17</v>
      </c>
      <c r="L27" s="64">
        <v>25.1</v>
      </c>
      <c r="M27" s="64">
        <v>83.97</v>
      </c>
      <c r="N27" s="64">
        <v>84.6</v>
      </c>
      <c r="O27" s="64">
        <v>0</v>
      </c>
      <c r="P27" s="64">
        <v>0.27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15" t="s">
        <v>3049</v>
      </c>
      <c r="B28" s="64">
        <v>4.7300000000000004</v>
      </c>
      <c r="C28" s="64">
        <v>20.51</v>
      </c>
      <c r="D28" s="64">
        <v>31.99</v>
      </c>
      <c r="E28" s="64">
        <v>1.65</v>
      </c>
      <c r="F28" s="64">
        <v>7.79</v>
      </c>
      <c r="G28" s="64">
        <v>16.32</v>
      </c>
      <c r="H28" s="64">
        <v>4.47</v>
      </c>
      <c r="I28" s="64">
        <v>4.0599999999999996</v>
      </c>
      <c r="J28" s="64">
        <v>1.34</v>
      </c>
      <c r="K28" s="64">
        <v>91.72</v>
      </c>
      <c r="L28" s="64">
        <v>25.03</v>
      </c>
      <c r="M28" s="64">
        <v>85.62</v>
      </c>
      <c r="N28" s="64">
        <v>84.5</v>
      </c>
      <c r="O28" s="64">
        <v>0</v>
      </c>
      <c r="P28" s="64">
        <v>0.27</v>
      </c>
      <c r="Q28" s="64">
        <v>9.43</v>
      </c>
      <c r="R28" s="198"/>
      <c r="S28" s="198"/>
      <c r="T28" s="198"/>
      <c r="U28" s="198"/>
    </row>
    <row r="29" spans="1:21" s="12" customFormat="1" x14ac:dyDescent="0.25">
      <c r="A29" s="215" t="s">
        <v>3050</v>
      </c>
      <c r="B29" s="64">
        <v>4.93</v>
      </c>
      <c r="C29" s="64">
        <v>22.46</v>
      </c>
      <c r="D29" s="64">
        <v>35.42</v>
      </c>
      <c r="E29" s="64">
        <v>1.84</v>
      </c>
      <c r="F29" s="64">
        <v>7.62</v>
      </c>
      <c r="G29" s="64">
        <v>16.63</v>
      </c>
      <c r="H29" s="64">
        <v>4.0999999999999996</v>
      </c>
      <c r="I29" s="64">
        <v>3.96</v>
      </c>
      <c r="J29" s="64">
        <v>1.1399999999999999</v>
      </c>
      <c r="K29" s="64">
        <v>81.02</v>
      </c>
      <c r="L29" s="64">
        <v>24.91</v>
      </c>
      <c r="M29" s="64">
        <v>87.55</v>
      </c>
      <c r="N29" s="64">
        <v>84.8</v>
      </c>
      <c r="O29" s="64">
        <v>0</v>
      </c>
      <c r="P29" s="64">
        <v>0.3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15" t="s">
        <v>3051</v>
      </c>
      <c r="B30" s="64">
        <v>5.54</v>
      </c>
      <c r="C30" s="64">
        <v>21.23</v>
      </c>
      <c r="D30" s="64">
        <v>32.130000000000003</v>
      </c>
      <c r="E30" s="64">
        <v>2.19</v>
      </c>
      <c r="F30" s="64">
        <v>6.28</v>
      </c>
      <c r="G30" s="64">
        <v>16.63</v>
      </c>
      <c r="H30" s="64">
        <v>4.0999999999999996</v>
      </c>
      <c r="I30" s="64">
        <v>3.93</v>
      </c>
      <c r="J30" s="64">
        <v>1.45</v>
      </c>
      <c r="K30" s="64">
        <v>84.24</v>
      </c>
      <c r="L30" s="64">
        <v>24.85</v>
      </c>
      <c r="M30" s="64">
        <v>89.02</v>
      </c>
      <c r="N30" s="64">
        <v>86.6</v>
      </c>
      <c r="O30" s="64">
        <v>0</v>
      </c>
      <c r="P30" s="64">
        <v>0.28999999999999998</v>
      </c>
      <c r="Q30" s="64">
        <v>9.4499999999999993</v>
      </c>
      <c r="R30" s="198"/>
      <c r="S30" s="198"/>
      <c r="T30" s="198"/>
      <c r="U30" s="198"/>
    </row>
    <row r="31" spans="1:21" s="12" customFormat="1" x14ac:dyDescent="0.25">
      <c r="A31" s="215" t="s">
        <v>3052</v>
      </c>
      <c r="B31" s="64">
        <v>5.99</v>
      </c>
      <c r="C31" s="64">
        <v>21.27</v>
      </c>
      <c r="D31" s="64">
        <v>31.52</v>
      </c>
      <c r="E31" s="64">
        <v>1.95</v>
      </c>
      <c r="F31" s="64">
        <v>6.95</v>
      </c>
      <c r="G31" s="64">
        <v>16.63</v>
      </c>
      <c r="H31" s="64">
        <v>4.0999999999999996</v>
      </c>
      <c r="I31" s="64">
        <v>4.08</v>
      </c>
      <c r="J31" s="64">
        <v>1.55</v>
      </c>
      <c r="K31" s="64">
        <v>100.05</v>
      </c>
      <c r="L31" s="64">
        <v>24.68</v>
      </c>
      <c r="M31" s="64">
        <v>90.82</v>
      </c>
      <c r="N31" s="64">
        <v>94.4</v>
      </c>
      <c r="O31" s="64">
        <v>0</v>
      </c>
      <c r="P31" s="64">
        <v>0.3</v>
      </c>
      <c r="Q31" s="64">
        <v>9.48</v>
      </c>
      <c r="R31" s="198"/>
      <c r="S31" s="198"/>
      <c r="T31" s="198"/>
      <c r="U31" s="198"/>
    </row>
    <row r="32" spans="1:21" s="12" customFormat="1" x14ac:dyDescent="0.25">
      <c r="A32" s="215" t="s">
        <v>3053</v>
      </c>
      <c r="B32" s="64">
        <v>6.63</v>
      </c>
      <c r="C32" s="64">
        <v>22.05</v>
      </c>
      <c r="D32" s="64">
        <v>32.03</v>
      </c>
      <c r="E32" s="64">
        <v>2.08</v>
      </c>
      <c r="F32" s="64">
        <v>7.88</v>
      </c>
      <c r="G32" s="64">
        <v>17.22</v>
      </c>
      <c r="H32" s="64">
        <v>5.74</v>
      </c>
      <c r="I32" s="64">
        <v>3.95</v>
      </c>
      <c r="J32" s="64">
        <v>0.8</v>
      </c>
      <c r="K32" s="64">
        <v>75.040000000000006</v>
      </c>
      <c r="L32" s="64">
        <v>24.91</v>
      </c>
      <c r="M32" s="64">
        <v>89.91</v>
      </c>
      <c r="N32" s="64">
        <v>114.5</v>
      </c>
      <c r="O32" s="64">
        <v>0</v>
      </c>
      <c r="P32" s="64">
        <v>0.32</v>
      </c>
      <c r="Q32" s="64">
        <v>9.5</v>
      </c>
      <c r="R32" s="198"/>
      <c r="S32" s="198"/>
      <c r="T32" s="198"/>
      <c r="U32" s="198"/>
    </row>
    <row r="33" spans="1:21" s="12" customFormat="1" x14ac:dyDescent="0.25">
      <c r="A33" s="215" t="s">
        <v>3054</v>
      </c>
      <c r="B33" s="64">
        <v>8.0299999999999994</v>
      </c>
      <c r="C33" s="64">
        <v>23.89</v>
      </c>
      <c r="D33" s="64">
        <v>33.409999999999997</v>
      </c>
      <c r="E33" s="64">
        <v>2.29</v>
      </c>
      <c r="F33" s="64">
        <v>6.13</v>
      </c>
      <c r="G33" s="64">
        <v>17.39</v>
      </c>
      <c r="H33" s="64">
        <v>6.2</v>
      </c>
      <c r="I33" s="64">
        <v>4.0999999999999996</v>
      </c>
      <c r="J33" s="64">
        <v>0.47</v>
      </c>
      <c r="K33" s="64">
        <v>17.260000000000002</v>
      </c>
      <c r="L33" s="64">
        <v>25.34</v>
      </c>
      <c r="M33" s="64">
        <v>87.78</v>
      </c>
      <c r="N33" s="64">
        <v>153.19999999999999</v>
      </c>
      <c r="O33" s="64">
        <v>0</v>
      </c>
      <c r="P33" s="64">
        <v>0.3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5" t="s">
        <v>3055</v>
      </c>
      <c r="B34" s="64">
        <v>9.3000000000000007</v>
      </c>
      <c r="C34" s="64">
        <v>26.31</v>
      </c>
      <c r="D34" s="64">
        <v>36.07</v>
      </c>
      <c r="E34" s="64">
        <v>2.25</v>
      </c>
      <c r="F34" s="64">
        <v>5.49</v>
      </c>
      <c r="G34" s="64">
        <v>17.39</v>
      </c>
      <c r="H34" s="64">
        <v>6.2</v>
      </c>
      <c r="I34" s="64">
        <v>3.97</v>
      </c>
      <c r="J34" s="64">
        <v>0.64</v>
      </c>
      <c r="K34" s="64">
        <v>342</v>
      </c>
      <c r="L34" s="64">
        <v>25.86</v>
      </c>
      <c r="M34" s="64">
        <v>85.56</v>
      </c>
      <c r="N34" s="64">
        <v>184.4</v>
      </c>
      <c r="O34" s="64">
        <v>0</v>
      </c>
      <c r="P34" s="64">
        <v>0.31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5" t="s">
        <v>3056</v>
      </c>
      <c r="B35" s="64">
        <v>10.8</v>
      </c>
      <c r="C35" s="64">
        <v>27.4</v>
      </c>
      <c r="D35" s="64">
        <v>35.86</v>
      </c>
      <c r="E35" s="64">
        <v>2.2999999999999998</v>
      </c>
      <c r="F35" s="64">
        <v>5.93</v>
      </c>
      <c r="G35" s="64">
        <v>17.39</v>
      </c>
      <c r="H35" s="64">
        <v>6.2</v>
      </c>
      <c r="I35" s="64">
        <v>4.12</v>
      </c>
      <c r="J35" s="64">
        <v>0.52</v>
      </c>
      <c r="K35" s="64">
        <v>28.71</v>
      </c>
      <c r="L35" s="64">
        <v>26.43</v>
      </c>
      <c r="M35" s="64">
        <v>82.95</v>
      </c>
      <c r="N35" s="64">
        <v>225.4</v>
      </c>
      <c r="O35" s="64">
        <v>0</v>
      </c>
      <c r="P35" s="64">
        <v>0.33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5" t="s">
        <v>3057</v>
      </c>
      <c r="B36" s="64">
        <v>11.08</v>
      </c>
      <c r="C36" s="64">
        <v>28.47</v>
      </c>
      <c r="D36" s="64">
        <v>37.49</v>
      </c>
      <c r="E36" s="64">
        <v>1.95</v>
      </c>
      <c r="F36" s="64">
        <v>5.64</v>
      </c>
      <c r="G36" s="64">
        <v>19.989999999999998</v>
      </c>
      <c r="H36" s="64">
        <v>7.29</v>
      </c>
      <c r="I36" s="64">
        <v>4.0199999999999996</v>
      </c>
      <c r="J36" s="64">
        <v>0.77</v>
      </c>
      <c r="K36" s="64">
        <v>340.2</v>
      </c>
      <c r="L36" s="64">
        <v>26.93</v>
      </c>
      <c r="M36" s="64">
        <v>80.91</v>
      </c>
      <c r="N36" s="64">
        <v>273.89999999999998</v>
      </c>
      <c r="O36" s="64">
        <v>0</v>
      </c>
      <c r="P36" s="64">
        <v>0.33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5" t="s">
        <v>3058</v>
      </c>
      <c r="B37" s="64">
        <v>12.21</v>
      </c>
      <c r="C37" s="64">
        <v>29.42</v>
      </c>
      <c r="D37" s="64">
        <v>37.57</v>
      </c>
      <c r="E37" s="64">
        <v>1.92</v>
      </c>
      <c r="F37" s="64">
        <v>5.72</v>
      </c>
      <c r="G37" s="64">
        <v>20.73</v>
      </c>
      <c r="H37" s="64">
        <v>7.6</v>
      </c>
      <c r="I37" s="64">
        <v>4.05</v>
      </c>
      <c r="J37" s="64">
        <v>0.96</v>
      </c>
      <c r="K37" s="64">
        <v>86.82</v>
      </c>
      <c r="L37" s="64">
        <v>27.76</v>
      </c>
      <c r="M37" s="64">
        <v>77.040000000000006</v>
      </c>
      <c r="N37" s="64">
        <v>329.5</v>
      </c>
      <c r="O37" s="64">
        <v>0</v>
      </c>
      <c r="P37" s="64">
        <v>0.34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5" t="s">
        <v>3059</v>
      </c>
      <c r="B38" s="64">
        <v>13.08</v>
      </c>
      <c r="C38" s="64">
        <v>30.03</v>
      </c>
      <c r="D38" s="64">
        <v>37.409999999999997</v>
      </c>
      <c r="E38" s="64">
        <v>1.67</v>
      </c>
      <c r="F38" s="64">
        <v>5.48</v>
      </c>
      <c r="G38" s="64">
        <v>20.73</v>
      </c>
      <c r="H38" s="64">
        <v>7.6</v>
      </c>
      <c r="I38" s="64">
        <v>4.16</v>
      </c>
      <c r="J38" s="64">
        <v>0.42</v>
      </c>
      <c r="K38" s="64">
        <v>41.13</v>
      </c>
      <c r="L38" s="64">
        <v>27.43</v>
      </c>
      <c r="M38" s="64">
        <v>78.94</v>
      </c>
      <c r="N38" s="64">
        <v>380.1</v>
      </c>
      <c r="O38" s="64">
        <v>0</v>
      </c>
      <c r="P38" s="64">
        <v>0.35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5" t="s">
        <v>3060</v>
      </c>
      <c r="B39" s="64">
        <v>13.94</v>
      </c>
      <c r="C39" s="64">
        <v>31.81</v>
      </c>
      <c r="D39" s="64">
        <v>39.49</v>
      </c>
      <c r="E39" s="64">
        <v>2.13</v>
      </c>
      <c r="F39" s="64">
        <v>5.94</v>
      </c>
      <c r="G39" s="64">
        <v>20.73</v>
      </c>
      <c r="H39" s="64">
        <v>7.6</v>
      </c>
      <c r="I39" s="64">
        <v>4.03</v>
      </c>
      <c r="J39" s="64">
        <v>0.94</v>
      </c>
      <c r="K39" s="64">
        <v>93.8</v>
      </c>
      <c r="L39" s="64">
        <v>28.2</v>
      </c>
      <c r="M39" s="64">
        <v>75.7</v>
      </c>
      <c r="N39" s="64">
        <v>436.8</v>
      </c>
      <c r="O39" s="64">
        <v>0</v>
      </c>
      <c r="P39" s="64">
        <v>0.37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5" t="s">
        <v>3061</v>
      </c>
      <c r="B40" s="64">
        <v>13.47</v>
      </c>
      <c r="C40" s="64">
        <v>29.69</v>
      </c>
      <c r="D40" s="64">
        <v>36.159999999999997</v>
      </c>
      <c r="E40" s="64">
        <v>1.76</v>
      </c>
      <c r="F40" s="64">
        <v>6.37</v>
      </c>
      <c r="G40" s="64">
        <v>24.3</v>
      </c>
      <c r="H40" s="64">
        <v>7.99</v>
      </c>
      <c r="I40" s="64">
        <v>3.91</v>
      </c>
      <c r="J40" s="64">
        <v>2.4900000000000002</v>
      </c>
      <c r="K40" s="64">
        <v>104.4</v>
      </c>
      <c r="L40" s="64">
        <v>28.23</v>
      </c>
      <c r="M40" s="64">
        <v>73.75</v>
      </c>
      <c r="N40" s="64">
        <v>499.5</v>
      </c>
      <c r="O40" s="64">
        <v>0</v>
      </c>
      <c r="P40" s="64">
        <v>0.38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5" t="s">
        <v>3062</v>
      </c>
      <c r="B41" s="64">
        <v>12.99</v>
      </c>
      <c r="C41" s="64">
        <v>31.45</v>
      </c>
      <c r="D41" s="64">
        <v>40.26</v>
      </c>
      <c r="E41" s="64">
        <v>2.3199999999999998</v>
      </c>
      <c r="F41" s="64">
        <v>5.91</v>
      </c>
      <c r="G41" s="64">
        <v>25.32</v>
      </c>
      <c r="H41" s="64">
        <v>8.1</v>
      </c>
      <c r="I41" s="64">
        <v>3.8</v>
      </c>
      <c r="J41" s="64">
        <v>1.52</v>
      </c>
      <c r="K41" s="64">
        <v>90.13</v>
      </c>
      <c r="L41" s="64">
        <v>28.75</v>
      </c>
      <c r="M41" s="64">
        <v>71.209999999999994</v>
      </c>
      <c r="N41" s="64">
        <v>537.70000000000005</v>
      </c>
      <c r="O41" s="64">
        <v>0</v>
      </c>
      <c r="P41" s="64">
        <v>0.37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5" t="s">
        <v>3063</v>
      </c>
      <c r="B42" s="64">
        <v>12.57</v>
      </c>
      <c r="C42" s="64">
        <v>31.3</v>
      </c>
      <c r="D42" s="64">
        <v>40.61</v>
      </c>
      <c r="E42" s="64">
        <v>2.25</v>
      </c>
      <c r="F42" s="64">
        <v>5.78</v>
      </c>
      <c r="G42" s="64">
        <v>25.32</v>
      </c>
      <c r="H42" s="64">
        <v>8.1</v>
      </c>
      <c r="I42" s="64">
        <v>3.88</v>
      </c>
      <c r="J42" s="64">
        <v>0.53</v>
      </c>
      <c r="K42" s="64">
        <v>22.82</v>
      </c>
      <c r="L42" s="64">
        <v>30.17</v>
      </c>
      <c r="M42" s="64">
        <v>65.150000000000006</v>
      </c>
      <c r="N42" s="64">
        <v>604.1</v>
      </c>
      <c r="O42" s="64">
        <v>0</v>
      </c>
      <c r="P42" s="64">
        <v>0.39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5" t="s">
        <v>3064</v>
      </c>
      <c r="B43" s="64">
        <v>10.95</v>
      </c>
      <c r="C43" s="64">
        <v>32.369999999999997</v>
      </c>
      <c r="D43" s="64">
        <v>45.16</v>
      </c>
      <c r="E43" s="64">
        <v>2.39</v>
      </c>
      <c r="F43" s="64">
        <v>8.66</v>
      </c>
      <c r="G43" s="64">
        <v>25.32</v>
      </c>
      <c r="H43" s="64">
        <v>8.1</v>
      </c>
      <c r="I43" s="64">
        <v>3.99</v>
      </c>
      <c r="J43" s="64">
        <v>1.25</v>
      </c>
      <c r="K43" s="64">
        <v>113.88</v>
      </c>
      <c r="L43" s="64">
        <v>30.26</v>
      </c>
      <c r="M43" s="64">
        <v>63.45</v>
      </c>
      <c r="N43" s="64">
        <v>666.6</v>
      </c>
      <c r="O43" s="64">
        <v>0</v>
      </c>
      <c r="P43" s="64">
        <v>0.37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5" t="s">
        <v>3065</v>
      </c>
      <c r="B44" s="64">
        <v>14.06</v>
      </c>
      <c r="C44" s="64">
        <v>35.4</v>
      </c>
      <c r="D44" s="64">
        <v>46.17</v>
      </c>
      <c r="E44" s="64">
        <v>2.52</v>
      </c>
      <c r="F44" s="64">
        <v>9.61</v>
      </c>
      <c r="G44" s="64">
        <v>25.48</v>
      </c>
      <c r="H44" s="64">
        <v>7.41</v>
      </c>
      <c r="I44" s="64">
        <v>3.97</v>
      </c>
      <c r="J44" s="64">
        <v>0.8</v>
      </c>
      <c r="K44" s="64">
        <v>332.45</v>
      </c>
      <c r="L44" s="64">
        <v>31.8</v>
      </c>
      <c r="M44" s="64">
        <v>58.7</v>
      </c>
      <c r="N44" s="64">
        <v>733.5</v>
      </c>
      <c r="O44" s="64">
        <v>0</v>
      </c>
      <c r="P44" s="64">
        <v>0.41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5" t="s">
        <v>3066</v>
      </c>
      <c r="B45" s="64">
        <v>13.37</v>
      </c>
      <c r="C45" s="64">
        <v>33.75</v>
      </c>
      <c r="D45" s="64">
        <v>44.07</v>
      </c>
      <c r="E45" s="64">
        <v>2.59</v>
      </c>
      <c r="F45" s="64">
        <v>9.2200000000000006</v>
      </c>
      <c r="G45" s="64">
        <v>25.53</v>
      </c>
      <c r="H45" s="64">
        <v>7.21</v>
      </c>
      <c r="I45" s="64">
        <v>4.01</v>
      </c>
      <c r="J45" s="64">
        <v>0.16</v>
      </c>
      <c r="K45" s="64">
        <v>15.06</v>
      </c>
      <c r="L45" s="64">
        <v>33.31</v>
      </c>
      <c r="M45" s="64">
        <v>53.1</v>
      </c>
      <c r="N45" s="64">
        <v>776.2</v>
      </c>
      <c r="O45" s="64">
        <v>0</v>
      </c>
      <c r="P45" s="64">
        <v>0.43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5" t="s">
        <v>3067</v>
      </c>
      <c r="B46" s="64">
        <v>10.98</v>
      </c>
      <c r="C46" s="64">
        <v>30.45</v>
      </c>
      <c r="D46" s="64">
        <v>41.42</v>
      </c>
      <c r="E46" s="64">
        <v>2.97</v>
      </c>
      <c r="F46" s="64">
        <v>11.22</v>
      </c>
      <c r="G46" s="64">
        <v>25.53</v>
      </c>
      <c r="H46" s="64">
        <v>7.21</v>
      </c>
      <c r="I46" s="64">
        <v>4.13</v>
      </c>
      <c r="J46" s="64">
        <v>0.87</v>
      </c>
      <c r="K46" s="64">
        <v>92.06</v>
      </c>
      <c r="L46" s="64">
        <v>31.75</v>
      </c>
      <c r="M46" s="64">
        <v>58.35</v>
      </c>
      <c r="N46" s="64">
        <v>829.4</v>
      </c>
      <c r="O46" s="64">
        <v>0</v>
      </c>
      <c r="P46" s="64">
        <v>0.41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3068</v>
      </c>
      <c r="B47" s="64">
        <v>12.34</v>
      </c>
      <c r="C47" s="64">
        <v>33.31</v>
      </c>
      <c r="D47" s="64">
        <v>44.82</v>
      </c>
      <c r="E47" s="64">
        <v>3.05</v>
      </c>
      <c r="F47" s="64">
        <v>12.29</v>
      </c>
      <c r="G47" s="64">
        <v>25.53</v>
      </c>
      <c r="H47" s="64">
        <v>7.21</v>
      </c>
      <c r="I47" s="64">
        <v>3.93</v>
      </c>
      <c r="J47" s="64">
        <v>1.56</v>
      </c>
      <c r="K47" s="64">
        <v>91.32</v>
      </c>
      <c r="L47" s="64">
        <v>32.049999999999997</v>
      </c>
      <c r="M47" s="64">
        <v>57.13</v>
      </c>
      <c r="N47" s="64">
        <v>872.3</v>
      </c>
      <c r="O47" s="64">
        <v>0</v>
      </c>
      <c r="P47" s="64">
        <v>0.46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3069</v>
      </c>
      <c r="B48" s="64">
        <v>10.11</v>
      </c>
      <c r="C48" s="64">
        <v>31.92</v>
      </c>
      <c r="D48" s="64">
        <v>45.57</v>
      </c>
      <c r="E48" s="64">
        <v>3.03</v>
      </c>
      <c r="F48" s="64">
        <v>13.09</v>
      </c>
      <c r="G48" s="64">
        <v>25.01</v>
      </c>
      <c r="H48" s="64">
        <v>8.16</v>
      </c>
      <c r="I48" s="64">
        <v>3.88</v>
      </c>
      <c r="J48" s="64">
        <v>0.59</v>
      </c>
      <c r="K48" s="64">
        <v>52.27</v>
      </c>
      <c r="L48" s="64">
        <v>32.35</v>
      </c>
      <c r="M48" s="64">
        <v>55.19</v>
      </c>
      <c r="N48" s="64">
        <v>908.3</v>
      </c>
      <c r="O48" s="64">
        <v>0</v>
      </c>
      <c r="P48" s="64">
        <v>0.46</v>
      </c>
      <c r="Q48" s="64">
        <v>9.59</v>
      </c>
      <c r="R48" s="198"/>
      <c r="S48" s="198"/>
      <c r="T48" s="198"/>
      <c r="U48" s="198"/>
    </row>
    <row r="49" spans="1:21" s="12" customFormat="1" x14ac:dyDescent="0.25">
      <c r="A49" s="215" t="s">
        <v>3070</v>
      </c>
      <c r="B49" s="64">
        <v>11.73</v>
      </c>
      <c r="C49" s="64">
        <v>33.56</v>
      </c>
      <c r="D49" s="64">
        <v>46.23</v>
      </c>
      <c r="E49" s="64">
        <v>3.48</v>
      </c>
      <c r="F49" s="64">
        <v>13.94</v>
      </c>
      <c r="G49" s="64">
        <v>24.86</v>
      </c>
      <c r="H49" s="64">
        <v>8.43</v>
      </c>
      <c r="I49" s="64">
        <v>3.92</v>
      </c>
      <c r="J49" s="64">
        <v>1.23</v>
      </c>
      <c r="K49" s="64">
        <v>62.39</v>
      </c>
      <c r="L49" s="64">
        <v>32.85</v>
      </c>
      <c r="M49" s="64">
        <v>53.41</v>
      </c>
      <c r="N49" s="64">
        <v>906</v>
      </c>
      <c r="O49" s="64">
        <v>0</v>
      </c>
      <c r="P49" s="64">
        <v>0.43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5" t="s">
        <v>3071</v>
      </c>
      <c r="B50" s="64">
        <v>9.52</v>
      </c>
      <c r="C50" s="64">
        <v>28.77</v>
      </c>
      <c r="D50" s="64">
        <v>40.450000000000003</v>
      </c>
      <c r="E50" s="64">
        <v>3.64</v>
      </c>
      <c r="F50" s="64">
        <v>11.21</v>
      </c>
      <c r="G50" s="64">
        <v>24.86</v>
      </c>
      <c r="H50" s="64">
        <v>8.43</v>
      </c>
      <c r="I50" s="64">
        <v>4.05</v>
      </c>
      <c r="J50" s="64">
        <v>3.32</v>
      </c>
      <c r="K50" s="64">
        <v>100.47</v>
      </c>
      <c r="L50" s="64">
        <v>31.95</v>
      </c>
      <c r="M50" s="64">
        <v>53.85</v>
      </c>
      <c r="N50" s="64">
        <v>947.9</v>
      </c>
      <c r="O50" s="64">
        <v>0</v>
      </c>
      <c r="P50" s="64">
        <v>0.41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3072</v>
      </c>
      <c r="B51" s="64">
        <v>8.8000000000000007</v>
      </c>
      <c r="C51" s="64">
        <v>29.37</v>
      </c>
      <c r="D51" s="64">
        <v>42.72</v>
      </c>
      <c r="E51" s="64">
        <v>3.36</v>
      </c>
      <c r="F51" s="64">
        <v>8.67</v>
      </c>
      <c r="G51" s="64">
        <v>24.86</v>
      </c>
      <c r="H51" s="64">
        <v>8.43</v>
      </c>
      <c r="I51" s="64">
        <v>3.99</v>
      </c>
      <c r="J51" s="64">
        <v>2.81</v>
      </c>
      <c r="K51" s="64">
        <v>99.78</v>
      </c>
      <c r="L51" s="64">
        <v>32.11</v>
      </c>
      <c r="M51" s="64">
        <v>54.14</v>
      </c>
      <c r="N51" s="64">
        <v>985.2</v>
      </c>
      <c r="O51" s="64">
        <v>0</v>
      </c>
      <c r="P51" s="64">
        <v>0.43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3073</v>
      </c>
      <c r="B52" s="64">
        <v>7.44</v>
      </c>
      <c r="C52" s="64">
        <v>28.49</v>
      </c>
      <c r="D52" s="64">
        <v>43.11</v>
      </c>
      <c r="E52" s="64">
        <v>3.02</v>
      </c>
      <c r="F52" s="64">
        <v>12.05</v>
      </c>
      <c r="G52" s="64">
        <v>26.61</v>
      </c>
      <c r="H52" s="64">
        <v>7.78</v>
      </c>
      <c r="I52" s="64">
        <v>3.98</v>
      </c>
      <c r="J52" s="64">
        <v>3.32</v>
      </c>
      <c r="K52" s="64">
        <v>97.96</v>
      </c>
      <c r="L52" s="64">
        <v>32.57</v>
      </c>
      <c r="M52" s="64">
        <v>50.46</v>
      </c>
      <c r="N52" s="64">
        <v>1009.1</v>
      </c>
      <c r="O52" s="64">
        <v>0</v>
      </c>
      <c r="P52" s="64">
        <v>0.39</v>
      </c>
      <c r="Q52" s="64">
        <v>9.58</v>
      </c>
      <c r="R52" s="198"/>
      <c r="S52" s="198"/>
      <c r="T52" s="198"/>
      <c r="U52" s="198"/>
    </row>
    <row r="53" spans="1:21" s="12" customFormat="1" x14ac:dyDescent="0.25">
      <c r="A53" s="215" t="s">
        <v>3074</v>
      </c>
      <c r="B53" s="64">
        <v>5.84</v>
      </c>
      <c r="C53" s="64">
        <v>24.05</v>
      </c>
      <c r="D53" s="64">
        <v>37.07</v>
      </c>
      <c r="E53" s="64">
        <v>2.94</v>
      </c>
      <c r="F53" s="64">
        <v>11.71</v>
      </c>
      <c r="G53" s="64">
        <v>27.11</v>
      </c>
      <c r="H53" s="64">
        <v>7.6</v>
      </c>
      <c r="I53" s="64">
        <v>3.97</v>
      </c>
      <c r="J53" s="64">
        <v>3.4</v>
      </c>
      <c r="K53" s="64">
        <v>95.32</v>
      </c>
      <c r="L53" s="64">
        <v>32.56</v>
      </c>
      <c r="M53" s="64">
        <v>50.78</v>
      </c>
      <c r="N53" s="64">
        <v>1050</v>
      </c>
      <c r="O53" s="64">
        <v>0</v>
      </c>
      <c r="P53" s="64">
        <v>0.37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5" t="s">
        <v>3075</v>
      </c>
      <c r="B54" s="64">
        <v>4.63</v>
      </c>
      <c r="C54" s="64">
        <v>24.28</v>
      </c>
      <c r="D54" s="64">
        <v>39.369999999999997</v>
      </c>
      <c r="E54" s="64">
        <v>2.48</v>
      </c>
      <c r="F54" s="64">
        <v>6.9</v>
      </c>
      <c r="G54" s="64">
        <v>27.11</v>
      </c>
      <c r="H54" s="64">
        <v>7.6</v>
      </c>
      <c r="I54" s="64">
        <v>3.95</v>
      </c>
      <c r="J54" s="64">
        <v>2.5</v>
      </c>
      <c r="K54" s="64">
        <v>135.71</v>
      </c>
      <c r="L54" s="64">
        <v>33.11</v>
      </c>
      <c r="M54" s="64">
        <v>49.34</v>
      </c>
      <c r="N54" s="64">
        <v>1062.9000000000001</v>
      </c>
      <c r="O54" s="64">
        <v>0</v>
      </c>
      <c r="P54" s="64">
        <v>0.4</v>
      </c>
      <c r="Q54" s="64">
        <v>9.49</v>
      </c>
      <c r="R54" s="198"/>
      <c r="S54" s="198"/>
      <c r="T54" s="198"/>
      <c r="U54" s="198"/>
    </row>
    <row r="55" spans="1:21" s="12" customFormat="1" x14ac:dyDescent="0.25">
      <c r="A55" s="215" t="s">
        <v>3076</v>
      </c>
      <c r="B55" s="64">
        <v>3.73</v>
      </c>
      <c r="C55" s="64">
        <v>25.52</v>
      </c>
      <c r="D55" s="64">
        <v>43.13</v>
      </c>
      <c r="E55" s="64">
        <v>2.83</v>
      </c>
      <c r="F55" s="64">
        <v>12.6</v>
      </c>
      <c r="G55" s="64">
        <v>27.11</v>
      </c>
      <c r="H55" s="64">
        <v>7.6</v>
      </c>
      <c r="I55" s="64">
        <v>3.95</v>
      </c>
      <c r="J55" s="64">
        <v>1.84</v>
      </c>
      <c r="K55" s="64">
        <v>119.32</v>
      </c>
      <c r="L55" s="64">
        <v>33.78</v>
      </c>
      <c r="M55" s="64">
        <v>49.24</v>
      </c>
      <c r="N55" s="64">
        <v>1067.9000000000001</v>
      </c>
      <c r="O55" s="64">
        <v>0</v>
      </c>
      <c r="P55" s="64">
        <v>0.37</v>
      </c>
      <c r="Q55" s="64">
        <v>9.4700000000000006</v>
      </c>
      <c r="R55" s="198"/>
      <c r="S55" s="198"/>
      <c r="T55" s="198"/>
      <c r="U55" s="198"/>
    </row>
    <row r="56" spans="1:21" s="12" customFormat="1" x14ac:dyDescent="0.25">
      <c r="A56" s="215" t="s">
        <v>3077</v>
      </c>
      <c r="B56" s="64">
        <v>3.12</v>
      </c>
      <c r="C56" s="64">
        <v>22.18</v>
      </c>
      <c r="D56" s="64">
        <v>37.659999999999997</v>
      </c>
      <c r="E56" s="64">
        <v>2.68</v>
      </c>
      <c r="F56" s="64">
        <v>13.18</v>
      </c>
      <c r="G56" s="64">
        <v>26.16</v>
      </c>
      <c r="H56" s="64">
        <v>8.6199999999999992</v>
      </c>
      <c r="I56" s="64">
        <v>3.98</v>
      </c>
      <c r="J56" s="64">
        <v>2.2200000000000002</v>
      </c>
      <c r="K56" s="64">
        <v>128.58000000000001</v>
      </c>
      <c r="L56" s="64">
        <v>34.200000000000003</v>
      </c>
      <c r="M56" s="64">
        <v>50.31</v>
      </c>
      <c r="N56" s="64">
        <v>1052.2</v>
      </c>
      <c r="O56" s="64">
        <v>0</v>
      </c>
      <c r="P56" s="64">
        <v>0.37</v>
      </c>
      <c r="Q56" s="64">
        <v>9.4499999999999993</v>
      </c>
      <c r="R56" s="198"/>
      <c r="S56" s="198"/>
      <c r="T56" s="198"/>
      <c r="U56" s="198"/>
    </row>
    <row r="57" spans="1:21" s="12" customFormat="1" x14ac:dyDescent="0.25">
      <c r="A57" s="215" t="s">
        <v>3078</v>
      </c>
      <c r="B57" s="64">
        <v>2.8</v>
      </c>
      <c r="C57" s="64">
        <v>22.82</v>
      </c>
      <c r="D57" s="64">
        <v>39.369999999999997</v>
      </c>
      <c r="E57" s="64">
        <v>2.48</v>
      </c>
      <c r="F57" s="64">
        <v>11.26</v>
      </c>
      <c r="G57" s="64">
        <v>25.88</v>
      </c>
      <c r="H57" s="64">
        <v>8.91</v>
      </c>
      <c r="I57" s="64">
        <v>3.93</v>
      </c>
      <c r="J57" s="64">
        <v>3.16</v>
      </c>
      <c r="K57" s="64">
        <v>107.7</v>
      </c>
      <c r="L57" s="64">
        <v>33.200000000000003</v>
      </c>
      <c r="M57" s="64">
        <v>50.92</v>
      </c>
      <c r="N57" s="64">
        <v>1059.9000000000001</v>
      </c>
      <c r="O57" s="64">
        <v>0</v>
      </c>
      <c r="P57" s="64">
        <v>0.37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5" t="s">
        <v>3079</v>
      </c>
      <c r="B58" s="64">
        <v>2.67</v>
      </c>
      <c r="C58" s="64">
        <v>23.35</v>
      </c>
      <c r="D58" s="64">
        <v>40.590000000000003</v>
      </c>
      <c r="E58" s="64">
        <v>2.34</v>
      </c>
      <c r="F58" s="64">
        <v>11.99</v>
      </c>
      <c r="G58" s="64">
        <v>25.88</v>
      </c>
      <c r="H58" s="64">
        <v>8.91</v>
      </c>
      <c r="I58" s="64">
        <v>4.07</v>
      </c>
      <c r="J58" s="64">
        <v>2.25</v>
      </c>
      <c r="K58" s="64">
        <v>113.87</v>
      </c>
      <c r="L58" s="64">
        <v>33.909999999999997</v>
      </c>
      <c r="M58" s="64">
        <v>46.33</v>
      </c>
      <c r="N58" s="64">
        <v>1025.5999999999999</v>
      </c>
      <c r="O58" s="64">
        <v>0</v>
      </c>
      <c r="P58" s="64">
        <v>0.36</v>
      </c>
      <c r="Q58" s="64">
        <v>9.44</v>
      </c>
      <c r="R58" s="198"/>
      <c r="S58" s="198"/>
      <c r="T58" s="198"/>
      <c r="U58" s="198"/>
    </row>
    <row r="59" spans="1:21" s="12" customFormat="1" x14ac:dyDescent="0.25">
      <c r="A59" s="215" t="s">
        <v>3080</v>
      </c>
      <c r="B59" s="64">
        <v>2.37</v>
      </c>
      <c r="C59" s="64">
        <v>19.79</v>
      </c>
      <c r="D59" s="64">
        <v>34.24</v>
      </c>
      <c r="E59" s="64">
        <v>2.59</v>
      </c>
      <c r="F59" s="64">
        <v>9.3800000000000008</v>
      </c>
      <c r="G59" s="64">
        <v>25.88</v>
      </c>
      <c r="H59" s="64">
        <v>8.91</v>
      </c>
      <c r="I59" s="64">
        <v>4.16</v>
      </c>
      <c r="J59" s="64">
        <v>2.93</v>
      </c>
      <c r="K59" s="64">
        <v>156.4</v>
      </c>
      <c r="L59" s="64">
        <v>34.64</v>
      </c>
      <c r="M59" s="64">
        <v>44.26</v>
      </c>
      <c r="N59" s="64">
        <v>992.1</v>
      </c>
      <c r="O59" s="64">
        <v>0</v>
      </c>
      <c r="P59" s="64">
        <v>0.35</v>
      </c>
      <c r="Q59" s="64">
        <v>9.4</v>
      </c>
      <c r="R59" s="198"/>
      <c r="S59" s="198"/>
      <c r="T59" s="198"/>
      <c r="U59" s="198"/>
    </row>
    <row r="60" spans="1:21" s="12" customFormat="1" x14ac:dyDescent="0.25">
      <c r="A60" s="215" t="s">
        <v>3081</v>
      </c>
      <c r="B60" s="64">
        <v>2.21</v>
      </c>
      <c r="C60" s="64">
        <v>20.82</v>
      </c>
      <c r="D60" s="64">
        <v>36.46</v>
      </c>
      <c r="E60" s="64">
        <v>2.65</v>
      </c>
      <c r="F60" s="64">
        <v>8.52</v>
      </c>
      <c r="G60" s="64">
        <v>22.38</v>
      </c>
      <c r="H60" s="64">
        <v>6.83</v>
      </c>
      <c r="I60" s="64">
        <v>4.1399999999999997</v>
      </c>
      <c r="J60" s="64">
        <v>1.76</v>
      </c>
      <c r="K60" s="64">
        <v>129.47999999999999</v>
      </c>
      <c r="L60" s="64">
        <v>35.17</v>
      </c>
      <c r="M60" s="64">
        <v>41.96</v>
      </c>
      <c r="N60" s="64">
        <v>989.3</v>
      </c>
      <c r="O60" s="64">
        <v>0</v>
      </c>
      <c r="P60" s="64">
        <v>0.34</v>
      </c>
      <c r="Q60" s="64">
        <v>9.3800000000000008</v>
      </c>
      <c r="R60" s="198"/>
      <c r="S60" s="198"/>
      <c r="T60" s="198"/>
      <c r="U60" s="198"/>
    </row>
    <row r="61" spans="1:21" s="12" customFormat="1" x14ac:dyDescent="0.25">
      <c r="A61" s="215" t="s">
        <v>3082</v>
      </c>
      <c r="B61" s="64">
        <v>2.25</v>
      </c>
      <c r="C61" s="64">
        <v>24.21</v>
      </c>
      <c r="D61" s="64">
        <v>42.88</v>
      </c>
      <c r="E61" s="64">
        <v>2.5099999999999998</v>
      </c>
      <c r="F61" s="64">
        <v>7.06</v>
      </c>
      <c r="G61" s="64">
        <v>21.37</v>
      </c>
      <c r="H61" s="64">
        <v>6.23</v>
      </c>
      <c r="I61" s="64">
        <v>4.1500000000000004</v>
      </c>
      <c r="J61" s="64">
        <v>3.41</v>
      </c>
      <c r="K61" s="64">
        <v>157.87</v>
      </c>
      <c r="L61" s="64">
        <v>35.25</v>
      </c>
      <c r="M61" s="64">
        <v>41.4</v>
      </c>
      <c r="N61" s="64">
        <v>933.1</v>
      </c>
      <c r="O61" s="64">
        <v>0</v>
      </c>
      <c r="P61" s="64">
        <v>0.32</v>
      </c>
      <c r="Q61" s="64">
        <v>9.41</v>
      </c>
      <c r="R61" s="198"/>
      <c r="S61" s="198"/>
      <c r="T61" s="198"/>
      <c r="U61" s="198"/>
    </row>
    <row r="62" spans="1:21" s="12" customFormat="1" x14ac:dyDescent="0.25">
      <c r="A62" s="215" t="s">
        <v>3083</v>
      </c>
      <c r="B62" s="64">
        <v>2.2000000000000002</v>
      </c>
      <c r="C62" s="64">
        <v>20.75</v>
      </c>
      <c r="D62" s="64">
        <v>36.340000000000003</v>
      </c>
      <c r="E62" s="64">
        <v>2.52</v>
      </c>
      <c r="F62" s="64">
        <v>14.38</v>
      </c>
      <c r="G62" s="64">
        <v>21.37</v>
      </c>
      <c r="H62" s="64">
        <v>6.23</v>
      </c>
      <c r="I62" s="64">
        <v>3.95</v>
      </c>
      <c r="J62" s="64">
        <v>1.82</v>
      </c>
      <c r="K62" s="64">
        <v>148.94999999999999</v>
      </c>
      <c r="L62" s="64">
        <v>35.549999999999997</v>
      </c>
      <c r="M62" s="64">
        <v>40.85</v>
      </c>
      <c r="N62" s="64">
        <v>728.6</v>
      </c>
      <c r="O62" s="64">
        <v>0</v>
      </c>
      <c r="P62" s="64">
        <v>0.3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5" t="s">
        <v>3084</v>
      </c>
      <c r="B63" s="64">
        <v>2.2799999999999998</v>
      </c>
      <c r="C63" s="64">
        <v>19.28</v>
      </c>
      <c r="D63" s="64">
        <v>33.409999999999997</v>
      </c>
      <c r="E63" s="64">
        <v>3.19</v>
      </c>
      <c r="F63" s="64">
        <v>16.34</v>
      </c>
      <c r="G63" s="64">
        <v>21.37</v>
      </c>
      <c r="H63" s="64">
        <v>6.23</v>
      </c>
      <c r="I63" s="64">
        <v>3.89</v>
      </c>
      <c r="J63" s="64">
        <v>2.31</v>
      </c>
      <c r="K63" s="64">
        <v>132.88999999999999</v>
      </c>
      <c r="L63" s="64">
        <v>35.85</v>
      </c>
      <c r="M63" s="64">
        <v>39.76</v>
      </c>
      <c r="N63" s="64">
        <v>610.79999999999995</v>
      </c>
      <c r="O63" s="64">
        <v>0</v>
      </c>
      <c r="P63" s="64">
        <v>0.3</v>
      </c>
      <c r="Q63" s="64">
        <v>9.36</v>
      </c>
      <c r="R63" s="198"/>
      <c r="S63" s="198"/>
      <c r="T63" s="198"/>
      <c r="U63" s="198"/>
    </row>
    <row r="64" spans="1:21" s="12" customFormat="1" x14ac:dyDescent="0.25">
      <c r="A64" s="215" t="s">
        <v>3085</v>
      </c>
      <c r="B64" s="64">
        <v>2.4</v>
      </c>
      <c r="C64" s="64">
        <v>18.260000000000002</v>
      </c>
      <c r="D64" s="64">
        <v>31.26</v>
      </c>
      <c r="E64" s="64">
        <v>2.84</v>
      </c>
      <c r="F64" s="64">
        <v>15.41</v>
      </c>
      <c r="G64" s="64">
        <v>21.69</v>
      </c>
      <c r="H64" s="64">
        <v>6.25</v>
      </c>
      <c r="I64" s="64">
        <v>4.09</v>
      </c>
      <c r="J64" s="64">
        <v>2.33</v>
      </c>
      <c r="K64" s="64">
        <v>137.80000000000001</v>
      </c>
      <c r="L64" s="64">
        <v>36.06</v>
      </c>
      <c r="M64" s="64">
        <v>39.229999999999997</v>
      </c>
      <c r="N64" s="64">
        <v>655.20000000000005</v>
      </c>
      <c r="O64" s="64">
        <v>0</v>
      </c>
      <c r="P64" s="64">
        <v>0.28999999999999998</v>
      </c>
      <c r="Q64" s="64">
        <v>9.34</v>
      </c>
      <c r="R64" s="198"/>
      <c r="S64" s="198"/>
      <c r="T64" s="198"/>
      <c r="U64" s="198"/>
    </row>
    <row r="65" spans="1:21" s="12" customFormat="1" x14ac:dyDescent="0.25">
      <c r="A65" s="215" t="s">
        <v>3086</v>
      </c>
      <c r="B65" s="64">
        <v>2.4</v>
      </c>
      <c r="C65" s="64">
        <v>18.54</v>
      </c>
      <c r="D65" s="64">
        <v>31.81</v>
      </c>
      <c r="E65" s="64">
        <v>2.88</v>
      </c>
      <c r="F65" s="64">
        <v>10.029999999999999</v>
      </c>
      <c r="G65" s="64">
        <v>21.78</v>
      </c>
      <c r="H65" s="64">
        <v>6.26</v>
      </c>
      <c r="I65" s="64">
        <v>3.89</v>
      </c>
      <c r="J65" s="64">
        <v>2.74</v>
      </c>
      <c r="K65" s="64">
        <v>159.43</v>
      </c>
      <c r="L65" s="64">
        <v>35.79</v>
      </c>
      <c r="M65" s="64">
        <v>39.659999999999997</v>
      </c>
      <c r="N65" s="64">
        <v>420.4</v>
      </c>
      <c r="O65" s="64">
        <v>0</v>
      </c>
      <c r="P65" s="64">
        <v>0.3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5" t="s">
        <v>3087</v>
      </c>
      <c r="B66" s="64">
        <v>2.4300000000000002</v>
      </c>
      <c r="C66" s="64">
        <v>19.190000000000001</v>
      </c>
      <c r="D66" s="64">
        <v>33</v>
      </c>
      <c r="E66" s="64">
        <v>3.03</v>
      </c>
      <c r="F66" s="64">
        <v>14.23</v>
      </c>
      <c r="G66" s="64">
        <v>21.78</v>
      </c>
      <c r="H66" s="64">
        <v>6.26</v>
      </c>
      <c r="I66" s="64">
        <v>3.94</v>
      </c>
      <c r="J66" s="64">
        <v>2.87</v>
      </c>
      <c r="K66" s="64">
        <v>151.43</v>
      </c>
      <c r="L66" s="64">
        <v>36</v>
      </c>
      <c r="M66" s="64">
        <v>39.270000000000003</v>
      </c>
      <c r="N66" s="64">
        <v>488.1</v>
      </c>
      <c r="O66" s="64">
        <v>0</v>
      </c>
      <c r="P66" s="64">
        <v>0.3</v>
      </c>
      <c r="Q66" s="64">
        <v>9.31</v>
      </c>
      <c r="R66" s="198"/>
      <c r="S66" s="198"/>
      <c r="T66" s="198"/>
      <c r="U66" s="198"/>
    </row>
    <row r="67" spans="1:21" s="12" customFormat="1" x14ac:dyDescent="0.25">
      <c r="A67" s="215" t="s">
        <v>3088</v>
      </c>
      <c r="B67" s="64">
        <v>2.42</v>
      </c>
      <c r="C67" s="64">
        <v>18.260000000000002</v>
      </c>
      <c r="D67" s="64">
        <v>31.24</v>
      </c>
      <c r="E67" s="64">
        <v>3.43</v>
      </c>
      <c r="F67" s="64">
        <v>23.67</v>
      </c>
      <c r="G67" s="64">
        <v>21.78</v>
      </c>
      <c r="H67" s="64">
        <v>6.26</v>
      </c>
      <c r="I67" s="64">
        <v>4.13</v>
      </c>
      <c r="J67" s="64">
        <v>1.4</v>
      </c>
      <c r="K67" s="64">
        <v>103.86</v>
      </c>
      <c r="L67" s="64">
        <v>36.200000000000003</v>
      </c>
      <c r="M67" s="64">
        <v>38.83</v>
      </c>
      <c r="N67" s="64">
        <v>494.6</v>
      </c>
      <c r="O67" s="64">
        <v>0</v>
      </c>
      <c r="P67" s="64">
        <v>0.26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5" t="s">
        <v>3089</v>
      </c>
      <c r="B68" s="64">
        <v>2.59</v>
      </c>
      <c r="C68" s="64">
        <v>18.68</v>
      </c>
      <c r="D68" s="64">
        <v>31.79</v>
      </c>
      <c r="E68" s="64">
        <v>2.74</v>
      </c>
      <c r="F68" s="64">
        <v>13.85</v>
      </c>
      <c r="G68" s="64">
        <v>19.82</v>
      </c>
      <c r="H68" s="64">
        <v>7.7</v>
      </c>
      <c r="I68" s="64">
        <v>3.97</v>
      </c>
      <c r="J68" s="64">
        <v>2.5299999999999998</v>
      </c>
      <c r="K68" s="64">
        <v>143.56</v>
      </c>
      <c r="L68" s="64">
        <v>36.340000000000003</v>
      </c>
      <c r="M68" s="64">
        <v>39.35</v>
      </c>
      <c r="N68" s="64">
        <v>430.1</v>
      </c>
      <c r="O68" s="64">
        <v>0</v>
      </c>
      <c r="P68" s="64">
        <v>0.28000000000000003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5" t="s">
        <v>3090</v>
      </c>
      <c r="B69" s="64">
        <v>2.62</v>
      </c>
      <c r="C69" s="64">
        <v>21.17</v>
      </c>
      <c r="D69" s="64">
        <v>36.51</v>
      </c>
      <c r="E69" s="64">
        <v>2.76</v>
      </c>
      <c r="F69" s="64">
        <v>15.95</v>
      </c>
      <c r="G69" s="64">
        <v>19.260000000000002</v>
      </c>
      <c r="H69" s="64">
        <v>8.11</v>
      </c>
      <c r="I69" s="64">
        <v>3.93</v>
      </c>
      <c r="J69" s="64">
        <v>2.0299999999999998</v>
      </c>
      <c r="K69" s="64">
        <v>124.54</v>
      </c>
      <c r="L69" s="64">
        <v>36.33</v>
      </c>
      <c r="M69" s="64">
        <v>39.130000000000003</v>
      </c>
      <c r="N69" s="64">
        <v>248.3</v>
      </c>
      <c r="O69" s="64">
        <v>0</v>
      </c>
      <c r="P69" s="64">
        <v>0.28000000000000003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15" t="s">
        <v>3091</v>
      </c>
      <c r="B70" s="64">
        <v>2.5099999999999998</v>
      </c>
      <c r="C70" s="64">
        <v>19.23</v>
      </c>
      <c r="D70" s="64">
        <v>32.96</v>
      </c>
      <c r="E70" s="64">
        <v>2.97</v>
      </c>
      <c r="F70" s="64">
        <v>18.309999999999999</v>
      </c>
      <c r="G70" s="64">
        <v>19.260000000000002</v>
      </c>
      <c r="H70" s="64">
        <v>8.11</v>
      </c>
      <c r="I70" s="64">
        <v>3.97</v>
      </c>
      <c r="J70" s="64">
        <v>2.78</v>
      </c>
      <c r="K70" s="64">
        <v>111.76</v>
      </c>
      <c r="L70" s="64">
        <v>35.99</v>
      </c>
      <c r="M70" s="64">
        <v>39.79</v>
      </c>
      <c r="N70" s="64">
        <v>293.89999999999998</v>
      </c>
      <c r="O70" s="64">
        <v>0</v>
      </c>
      <c r="P70" s="64">
        <v>0.27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5" t="s">
        <v>3092</v>
      </c>
      <c r="B71" s="64">
        <v>2.5</v>
      </c>
      <c r="C71" s="64">
        <v>18.75</v>
      </c>
      <c r="D71" s="64">
        <v>32.049999999999997</v>
      </c>
      <c r="E71" s="64">
        <v>2.65</v>
      </c>
      <c r="F71" s="64">
        <v>15.11</v>
      </c>
      <c r="G71" s="64">
        <v>19.260000000000002</v>
      </c>
      <c r="H71" s="64">
        <v>8.11</v>
      </c>
      <c r="I71" s="64">
        <v>4.07</v>
      </c>
      <c r="J71" s="64">
        <v>1.95</v>
      </c>
      <c r="K71" s="64">
        <v>153.34</v>
      </c>
      <c r="L71" s="64">
        <v>36.35</v>
      </c>
      <c r="M71" s="64">
        <v>38.96</v>
      </c>
      <c r="N71" s="64">
        <v>285.2</v>
      </c>
      <c r="O71" s="64">
        <v>0</v>
      </c>
      <c r="P71" s="64">
        <v>0.27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5" t="s">
        <v>3093</v>
      </c>
      <c r="B72" s="64">
        <v>2.81</v>
      </c>
      <c r="C72" s="64">
        <v>18.84</v>
      </c>
      <c r="D72" s="64">
        <v>31.74</v>
      </c>
      <c r="E72" s="64">
        <v>3.12</v>
      </c>
      <c r="F72" s="64">
        <v>15.57</v>
      </c>
      <c r="G72" s="64">
        <v>19.48</v>
      </c>
      <c r="H72" s="64">
        <v>8.1300000000000008</v>
      </c>
      <c r="I72" s="64">
        <v>4.0599999999999996</v>
      </c>
      <c r="J72" s="64">
        <v>2.0699999999999998</v>
      </c>
      <c r="K72" s="64">
        <v>165.77</v>
      </c>
      <c r="L72" s="64">
        <v>36.26</v>
      </c>
      <c r="M72" s="64">
        <v>38.97</v>
      </c>
      <c r="N72" s="64">
        <v>250.6</v>
      </c>
      <c r="O72" s="64">
        <v>0</v>
      </c>
      <c r="P72" s="64">
        <v>0.27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5" t="s">
        <v>3094</v>
      </c>
      <c r="B73" s="64">
        <v>4.53</v>
      </c>
      <c r="C73" s="64">
        <v>22.25</v>
      </c>
      <c r="D73" s="64">
        <v>35.64</v>
      </c>
      <c r="E73" s="64">
        <v>2.88</v>
      </c>
      <c r="F73" s="64">
        <v>17.55</v>
      </c>
      <c r="G73" s="64">
        <v>19.54</v>
      </c>
      <c r="H73" s="64">
        <v>8.14</v>
      </c>
      <c r="I73" s="64">
        <v>4.03</v>
      </c>
      <c r="J73" s="64">
        <v>1.56</v>
      </c>
      <c r="K73" s="64">
        <v>143.36000000000001</v>
      </c>
      <c r="L73" s="64">
        <v>36.28</v>
      </c>
      <c r="M73" s="64">
        <v>39.18</v>
      </c>
      <c r="N73" s="64">
        <v>193.3</v>
      </c>
      <c r="O73" s="64">
        <v>0</v>
      </c>
      <c r="P73" s="64">
        <v>0.26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5" t="s">
        <v>3095</v>
      </c>
      <c r="B74" s="64">
        <v>2.5099999999999998</v>
      </c>
      <c r="C74" s="64">
        <v>21.87</v>
      </c>
      <c r="D74" s="64">
        <v>37.99</v>
      </c>
      <c r="E74" s="64">
        <v>3.15</v>
      </c>
      <c r="F74" s="64">
        <v>16.190000000000001</v>
      </c>
      <c r="G74" s="64">
        <v>19.54</v>
      </c>
      <c r="H74" s="64">
        <v>8.14</v>
      </c>
      <c r="I74" s="64">
        <v>4.0199999999999996</v>
      </c>
      <c r="J74" s="64">
        <v>1.61</v>
      </c>
      <c r="K74" s="64">
        <v>168.15</v>
      </c>
      <c r="L74" s="64">
        <v>36.17</v>
      </c>
      <c r="M74" s="64">
        <v>39.020000000000003</v>
      </c>
      <c r="N74" s="64">
        <v>184.9</v>
      </c>
      <c r="O74" s="64">
        <v>0</v>
      </c>
      <c r="P74" s="64">
        <v>0.28000000000000003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5" t="s">
        <v>3096</v>
      </c>
      <c r="B75" s="64">
        <v>2.33</v>
      </c>
      <c r="C75" s="64">
        <v>19.79</v>
      </c>
      <c r="D75" s="64">
        <v>34.31</v>
      </c>
      <c r="E75" s="64">
        <v>3.19</v>
      </c>
      <c r="F75" s="64">
        <v>23.97</v>
      </c>
      <c r="G75" s="64">
        <v>19.54</v>
      </c>
      <c r="H75" s="64">
        <v>8.14</v>
      </c>
      <c r="I75" s="64">
        <v>3.89</v>
      </c>
      <c r="J75" s="64">
        <v>1.97</v>
      </c>
      <c r="K75" s="64">
        <v>92.36</v>
      </c>
      <c r="L75" s="64">
        <v>35.99</v>
      </c>
      <c r="M75" s="64">
        <v>39.65</v>
      </c>
      <c r="N75" s="64">
        <v>183.4</v>
      </c>
      <c r="O75" s="64">
        <v>0</v>
      </c>
      <c r="P75" s="64">
        <v>0.25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5" t="s">
        <v>3097</v>
      </c>
      <c r="B76" s="64">
        <v>2.6</v>
      </c>
      <c r="C76" s="64">
        <v>19</v>
      </c>
      <c r="D76" s="64">
        <v>32.39</v>
      </c>
      <c r="E76" s="64">
        <v>3.34</v>
      </c>
      <c r="F76" s="64">
        <v>23.44</v>
      </c>
      <c r="G76" s="64">
        <v>18.91</v>
      </c>
      <c r="H76" s="64">
        <v>6.3</v>
      </c>
      <c r="I76" s="64">
        <v>4.09</v>
      </c>
      <c r="J76" s="64">
        <v>1.54</v>
      </c>
      <c r="K76" s="64">
        <v>86.43</v>
      </c>
      <c r="L76" s="64">
        <v>35.93</v>
      </c>
      <c r="M76" s="64">
        <v>39.9</v>
      </c>
      <c r="N76" s="64">
        <v>164.9</v>
      </c>
      <c r="O76" s="64">
        <v>0</v>
      </c>
      <c r="P76" s="64">
        <v>0.25</v>
      </c>
      <c r="Q76" s="64">
        <v>9.35</v>
      </c>
      <c r="R76" s="198"/>
      <c r="S76" s="198"/>
      <c r="T76" s="198"/>
      <c r="U76" s="198"/>
    </row>
    <row r="77" spans="1:21" s="12" customFormat="1" x14ac:dyDescent="0.25">
      <c r="A77" s="215" t="s">
        <v>3098</v>
      </c>
      <c r="B77" s="64">
        <v>2.34</v>
      </c>
      <c r="C77" s="64">
        <v>17.04</v>
      </c>
      <c r="D77" s="64">
        <v>29.03</v>
      </c>
      <c r="E77" s="64">
        <v>3.01</v>
      </c>
      <c r="F77" s="64">
        <v>19.170000000000002</v>
      </c>
      <c r="G77" s="64">
        <v>18.73</v>
      </c>
      <c r="H77" s="64">
        <v>5.77</v>
      </c>
      <c r="I77" s="64">
        <v>3.97</v>
      </c>
      <c r="J77" s="64">
        <v>2.99</v>
      </c>
      <c r="K77" s="64">
        <v>92.73</v>
      </c>
      <c r="L77" s="64">
        <v>35.700000000000003</v>
      </c>
      <c r="M77" s="64">
        <v>40.36</v>
      </c>
      <c r="N77" s="64">
        <v>163.19999999999999</v>
      </c>
      <c r="O77" s="64">
        <v>0</v>
      </c>
      <c r="P77" s="64">
        <v>0.26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5" t="s">
        <v>3099</v>
      </c>
      <c r="B78" s="64">
        <v>2.44</v>
      </c>
      <c r="C78" s="64">
        <v>21.01</v>
      </c>
      <c r="D78" s="64">
        <v>36.47</v>
      </c>
      <c r="E78" s="64">
        <v>2.97</v>
      </c>
      <c r="F78" s="64">
        <v>12.77</v>
      </c>
      <c r="G78" s="64">
        <v>18.73</v>
      </c>
      <c r="H78" s="64">
        <v>5.77</v>
      </c>
      <c r="I78" s="64">
        <v>3.93</v>
      </c>
      <c r="J78" s="64">
        <v>3.77</v>
      </c>
      <c r="K78" s="64">
        <v>101.19</v>
      </c>
      <c r="L78" s="64">
        <v>35.409999999999997</v>
      </c>
      <c r="M78" s="64">
        <v>40.92</v>
      </c>
      <c r="N78" s="64">
        <v>151.1</v>
      </c>
      <c r="O78" s="64">
        <v>0</v>
      </c>
      <c r="P78" s="64">
        <v>0.28999999999999998</v>
      </c>
      <c r="Q78" s="64">
        <v>9.34</v>
      </c>
      <c r="R78" s="198"/>
      <c r="S78" s="198"/>
      <c r="T78" s="198"/>
      <c r="U78" s="198"/>
    </row>
    <row r="79" spans="1:21" s="12" customFormat="1" x14ac:dyDescent="0.25">
      <c r="A79" s="215" t="s">
        <v>3100</v>
      </c>
      <c r="B79" s="64">
        <v>2.42</v>
      </c>
      <c r="C79" s="64">
        <v>21.9</v>
      </c>
      <c r="D79" s="64">
        <v>38.200000000000003</v>
      </c>
      <c r="E79" s="64">
        <v>3.09</v>
      </c>
      <c r="F79" s="64">
        <v>19.670000000000002</v>
      </c>
      <c r="G79" s="64">
        <v>18.73</v>
      </c>
      <c r="H79" s="64">
        <v>5.77</v>
      </c>
      <c r="I79" s="64">
        <v>3.94</v>
      </c>
      <c r="J79" s="64">
        <v>3.79</v>
      </c>
      <c r="K79" s="64">
        <v>105.01</v>
      </c>
      <c r="L79" s="64">
        <v>35.159999999999997</v>
      </c>
      <c r="M79" s="64">
        <v>40.450000000000003</v>
      </c>
      <c r="N79" s="64">
        <v>137.30000000000001</v>
      </c>
      <c r="O79" s="64">
        <v>0</v>
      </c>
      <c r="P79" s="64">
        <v>0.27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15" t="s">
        <v>3101</v>
      </c>
      <c r="B80" s="64">
        <v>2.33</v>
      </c>
      <c r="C80" s="64">
        <v>19.32</v>
      </c>
      <c r="D80" s="64">
        <v>33.39</v>
      </c>
      <c r="E80" s="64">
        <v>3.4</v>
      </c>
      <c r="F80" s="64">
        <v>20.8</v>
      </c>
      <c r="G80" s="64">
        <v>19.87</v>
      </c>
      <c r="H80" s="64">
        <v>6.39</v>
      </c>
      <c r="I80" s="64">
        <v>4</v>
      </c>
      <c r="J80" s="64">
        <v>3.16</v>
      </c>
      <c r="K80" s="64">
        <v>99.17</v>
      </c>
      <c r="L80" s="64">
        <v>34.99</v>
      </c>
      <c r="M80" s="64">
        <v>40.03</v>
      </c>
      <c r="N80" s="64">
        <v>127.9</v>
      </c>
      <c r="O80" s="64">
        <v>0</v>
      </c>
      <c r="P80" s="64">
        <v>0.27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5" t="s">
        <v>3102</v>
      </c>
      <c r="B81" s="64">
        <v>3.57</v>
      </c>
      <c r="C81" s="64">
        <v>20.69</v>
      </c>
      <c r="D81" s="64">
        <v>34.119999999999997</v>
      </c>
      <c r="E81" s="64">
        <v>2.82</v>
      </c>
      <c r="F81" s="64">
        <v>19.36</v>
      </c>
      <c r="G81" s="64">
        <v>20.2</v>
      </c>
      <c r="H81" s="64">
        <v>6.56</v>
      </c>
      <c r="I81" s="64">
        <v>3.8</v>
      </c>
      <c r="J81" s="64">
        <v>2.89</v>
      </c>
      <c r="K81" s="64">
        <v>106.86</v>
      </c>
      <c r="L81" s="64">
        <v>34.79</v>
      </c>
      <c r="M81" s="64">
        <v>40.549999999999997</v>
      </c>
      <c r="N81" s="64">
        <v>128.5</v>
      </c>
      <c r="O81" s="64">
        <v>0</v>
      </c>
      <c r="P81" s="64">
        <v>0.28000000000000003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5" t="s">
        <v>3103</v>
      </c>
      <c r="B82" s="64">
        <v>3.21</v>
      </c>
      <c r="C82" s="64">
        <v>21.15</v>
      </c>
      <c r="D82" s="64">
        <v>35.54</v>
      </c>
      <c r="E82" s="64">
        <v>3.21</v>
      </c>
      <c r="F82" s="64">
        <v>18.73</v>
      </c>
      <c r="G82" s="64">
        <v>20.2</v>
      </c>
      <c r="H82" s="64">
        <v>6.56</v>
      </c>
      <c r="I82" s="64">
        <v>4.01</v>
      </c>
      <c r="J82" s="64">
        <v>3.18</v>
      </c>
      <c r="K82" s="64">
        <v>98.55</v>
      </c>
      <c r="L82" s="64">
        <v>34.54</v>
      </c>
      <c r="M82" s="64">
        <v>40.299999999999997</v>
      </c>
      <c r="N82" s="64">
        <v>125.3</v>
      </c>
      <c r="O82" s="64">
        <v>0</v>
      </c>
      <c r="P82" s="64">
        <v>0.33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5" t="s">
        <v>3104</v>
      </c>
      <c r="B83" s="64">
        <v>3.11</v>
      </c>
      <c r="C83" s="64">
        <v>19.89</v>
      </c>
      <c r="D83" s="64">
        <v>33.29</v>
      </c>
      <c r="E83" s="64">
        <v>2.99</v>
      </c>
      <c r="F83" s="64">
        <v>13.86</v>
      </c>
      <c r="G83" s="64">
        <v>20.2</v>
      </c>
      <c r="H83" s="64">
        <v>6.56</v>
      </c>
      <c r="I83" s="64">
        <v>3.83</v>
      </c>
      <c r="J83" s="64">
        <v>3.75</v>
      </c>
      <c r="K83" s="64">
        <v>104.88</v>
      </c>
      <c r="L83" s="64">
        <v>34.11</v>
      </c>
      <c r="M83" s="64">
        <v>38.799999999999997</v>
      </c>
      <c r="N83" s="64">
        <v>125.5</v>
      </c>
      <c r="O83" s="64">
        <v>0</v>
      </c>
      <c r="P83" s="64">
        <v>0.31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5" t="s">
        <v>3105</v>
      </c>
      <c r="B84" s="64">
        <v>2.81</v>
      </c>
      <c r="C84" s="64">
        <v>20.21</v>
      </c>
      <c r="D84" s="64">
        <v>34.380000000000003</v>
      </c>
      <c r="E84" s="64">
        <v>3.59</v>
      </c>
      <c r="F84" s="64">
        <v>17</v>
      </c>
      <c r="G84" s="64">
        <v>18.87</v>
      </c>
      <c r="H84" s="64">
        <v>7.19</v>
      </c>
      <c r="I84" s="64">
        <v>4.03</v>
      </c>
      <c r="J84" s="64">
        <v>3.96</v>
      </c>
      <c r="K84" s="64">
        <v>108.54</v>
      </c>
      <c r="L84" s="64">
        <v>33.9</v>
      </c>
      <c r="M84" s="64">
        <v>38.47</v>
      </c>
      <c r="N84" s="64">
        <v>129.69999999999999</v>
      </c>
      <c r="O84" s="64">
        <v>0</v>
      </c>
      <c r="P84" s="64">
        <v>0.31</v>
      </c>
      <c r="Q84" s="64">
        <v>9.33</v>
      </c>
      <c r="R84" s="198"/>
      <c r="S84" s="198"/>
      <c r="T84" s="198"/>
      <c r="U84" s="198"/>
    </row>
    <row r="85" spans="1:26" s="12" customFormat="1" x14ac:dyDescent="0.25">
      <c r="A85" s="215" t="s">
        <v>3106</v>
      </c>
      <c r="B85" s="64">
        <v>2.81</v>
      </c>
      <c r="C85" s="64">
        <v>23.1</v>
      </c>
      <c r="D85" s="64">
        <v>39.9</v>
      </c>
      <c r="E85" s="64">
        <v>3.08</v>
      </c>
      <c r="F85" s="64">
        <v>15.96</v>
      </c>
      <c r="G85" s="64">
        <v>18.489999999999998</v>
      </c>
      <c r="H85" s="64">
        <v>7.36</v>
      </c>
      <c r="I85" s="64">
        <v>3.82</v>
      </c>
      <c r="J85" s="64">
        <v>3.18</v>
      </c>
      <c r="K85" s="64">
        <v>94.11</v>
      </c>
      <c r="L85" s="64">
        <v>33.659999999999997</v>
      </c>
      <c r="M85" s="64">
        <v>39.61</v>
      </c>
      <c r="N85" s="64">
        <v>132.19999999999999</v>
      </c>
      <c r="O85" s="64">
        <v>0</v>
      </c>
      <c r="P85" s="64">
        <v>0.33</v>
      </c>
      <c r="Q85" s="64">
        <v>9.34</v>
      </c>
      <c r="R85" s="198"/>
      <c r="S85" s="198"/>
      <c r="T85" s="198"/>
      <c r="U85" s="198"/>
    </row>
    <row r="86" spans="1:26" s="12" customFormat="1" x14ac:dyDescent="0.25">
      <c r="A86" s="215" t="s">
        <v>3107</v>
      </c>
      <c r="B86" s="64">
        <v>3.03</v>
      </c>
      <c r="C86" s="64">
        <v>22.44</v>
      </c>
      <c r="D86" s="64">
        <v>38.299999999999997</v>
      </c>
      <c r="E86" s="64">
        <v>3.21</v>
      </c>
      <c r="F86" s="64">
        <v>11.53</v>
      </c>
      <c r="G86" s="64">
        <v>18.489999999999998</v>
      </c>
      <c r="H86" s="64">
        <v>7.36</v>
      </c>
      <c r="I86" s="64">
        <v>4.0999999999999996</v>
      </c>
      <c r="J86" s="64">
        <v>4.0199999999999996</v>
      </c>
      <c r="K86" s="64">
        <v>105.04</v>
      </c>
      <c r="L86" s="64">
        <v>33.22</v>
      </c>
      <c r="M86" s="64">
        <v>42.92</v>
      </c>
      <c r="N86" s="64">
        <v>117.7</v>
      </c>
      <c r="O86" s="64">
        <v>0</v>
      </c>
      <c r="P86" s="64">
        <v>0.32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5" t="s">
        <v>3108</v>
      </c>
      <c r="B87" s="64">
        <v>3.22</v>
      </c>
      <c r="C87" s="64">
        <v>24.45</v>
      </c>
      <c r="D87" s="64">
        <v>41.85</v>
      </c>
      <c r="E87" s="64">
        <v>3.42</v>
      </c>
      <c r="F87" s="64">
        <v>14.95</v>
      </c>
      <c r="G87" s="64">
        <v>18.489999999999998</v>
      </c>
      <c r="H87" s="64">
        <v>7.36</v>
      </c>
      <c r="I87" s="64">
        <v>3.91</v>
      </c>
      <c r="J87" s="64">
        <v>2.3199999999999998</v>
      </c>
      <c r="K87" s="64">
        <v>106.4</v>
      </c>
      <c r="L87" s="64">
        <v>32.92</v>
      </c>
      <c r="M87" s="64">
        <v>44.38</v>
      </c>
      <c r="N87" s="64">
        <v>117.6</v>
      </c>
      <c r="O87" s="64">
        <v>0</v>
      </c>
      <c r="P87" s="64">
        <v>0.34</v>
      </c>
      <c r="Q87" s="64">
        <v>9.36</v>
      </c>
      <c r="R87" s="198"/>
      <c r="S87" s="198"/>
      <c r="T87" s="198"/>
      <c r="U87" s="198"/>
    </row>
    <row r="88" spans="1:26" s="12" customFormat="1" x14ac:dyDescent="0.25">
      <c r="A88" s="215" t="s">
        <v>3109</v>
      </c>
      <c r="B88" s="64">
        <v>3.74</v>
      </c>
      <c r="C88" s="64">
        <v>26.91</v>
      </c>
      <c r="D88" s="64">
        <v>45.76</v>
      </c>
      <c r="E88" s="64">
        <v>3.53</v>
      </c>
      <c r="F88" s="64">
        <v>13.48</v>
      </c>
      <c r="G88" s="64">
        <v>20.36</v>
      </c>
      <c r="H88" s="64">
        <v>6.27</v>
      </c>
      <c r="I88" s="64">
        <v>4.16</v>
      </c>
      <c r="J88" s="64">
        <v>1.57</v>
      </c>
      <c r="K88" s="64">
        <v>159.13</v>
      </c>
      <c r="L88" s="64">
        <v>32.64</v>
      </c>
      <c r="M88" s="64">
        <v>45.48</v>
      </c>
      <c r="N88" s="64">
        <v>117.6</v>
      </c>
      <c r="O88" s="64">
        <v>0</v>
      </c>
      <c r="P88" s="64">
        <v>0.37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15" t="s">
        <v>3110</v>
      </c>
      <c r="B89" s="64">
        <v>3.14</v>
      </c>
      <c r="C89" s="64">
        <v>24.95</v>
      </c>
      <c r="D89" s="64">
        <v>42.93</v>
      </c>
      <c r="E89" s="64">
        <v>3.33</v>
      </c>
      <c r="F89" s="64">
        <v>12.58</v>
      </c>
      <c r="G89" s="64">
        <v>20.9</v>
      </c>
      <c r="H89" s="64">
        <v>5.96</v>
      </c>
      <c r="I89" s="64">
        <v>4.0999999999999996</v>
      </c>
      <c r="J89" s="64">
        <v>1.86</v>
      </c>
      <c r="K89" s="64">
        <v>159.12</v>
      </c>
      <c r="L89" s="64">
        <v>32.26</v>
      </c>
      <c r="M89" s="64">
        <v>47.43</v>
      </c>
      <c r="N89" s="64">
        <v>119.1</v>
      </c>
      <c r="O89" s="64">
        <v>0</v>
      </c>
      <c r="P89" s="64">
        <v>0.34</v>
      </c>
      <c r="Q89" s="64">
        <v>9.36</v>
      </c>
      <c r="R89" s="198"/>
      <c r="S89" s="198"/>
      <c r="T89" s="198"/>
      <c r="U89" s="198"/>
    </row>
    <row r="90" spans="1:26" s="12" customFormat="1" x14ac:dyDescent="0.25">
      <c r="A90" s="215" t="s">
        <v>3111</v>
      </c>
      <c r="B90" s="64">
        <v>2.87</v>
      </c>
      <c r="C90" s="64">
        <v>22.87</v>
      </c>
      <c r="D90" s="64">
        <v>39.369999999999997</v>
      </c>
      <c r="E90" s="64">
        <v>3.23</v>
      </c>
      <c r="F90" s="64">
        <v>11.7</v>
      </c>
      <c r="G90" s="64">
        <v>20.9</v>
      </c>
      <c r="H90" s="64">
        <v>5.96</v>
      </c>
      <c r="I90" s="64">
        <v>3.96</v>
      </c>
      <c r="J90" s="64">
        <v>1.9</v>
      </c>
      <c r="K90" s="64">
        <v>158.44</v>
      </c>
      <c r="L90" s="64">
        <v>32.04</v>
      </c>
      <c r="M90" s="64">
        <v>49.05</v>
      </c>
      <c r="N90" s="64">
        <v>117.8</v>
      </c>
      <c r="O90" s="64">
        <v>0</v>
      </c>
      <c r="P90" s="64">
        <v>0.35</v>
      </c>
      <c r="Q90" s="64">
        <v>9.3699999999999992</v>
      </c>
      <c r="R90" s="198"/>
      <c r="S90" s="198"/>
      <c r="T90" s="198"/>
      <c r="U90" s="198"/>
    </row>
    <row r="91" spans="1:26" s="12" customFormat="1" x14ac:dyDescent="0.25">
      <c r="A91" s="215" t="s">
        <v>3112</v>
      </c>
      <c r="B91" s="64">
        <v>3.1</v>
      </c>
      <c r="C91" s="64">
        <v>24.61</v>
      </c>
      <c r="D91" s="64">
        <v>42.35</v>
      </c>
      <c r="E91" s="64">
        <v>3.08</v>
      </c>
      <c r="F91" s="64">
        <v>6.84</v>
      </c>
      <c r="G91" s="64">
        <v>20.9</v>
      </c>
      <c r="H91" s="64">
        <v>5.96</v>
      </c>
      <c r="I91" s="64">
        <v>3.88</v>
      </c>
      <c r="J91" s="64">
        <v>2.7</v>
      </c>
      <c r="K91" s="64">
        <v>160.47</v>
      </c>
      <c r="L91" s="64">
        <v>31.89</v>
      </c>
      <c r="M91" s="64">
        <v>49.51</v>
      </c>
      <c r="N91" s="64">
        <v>118.1</v>
      </c>
      <c r="O91" s="64">
        <v>0</v>
      </c>
      <c r="P91" s="64">
        <v>0.36</v>
      </c>
      <c r="Q91" s="64">
        <v>9.3699999999999992</v>
      </c>
      <c r="R91" s="198"/>
      <c r="S91" s="198"/>
      <c r="T91" s="198"/>
      <c r="U91" s="198"/>
    </row>
    <row r="92" spans="1:26" s="12" customFormat="1" x14ac:dyDescent="0.25">
      <c r="A92" s="215" t="s">
        <v>3113</v>
      </c>
      <c r="B92" s="64">
        <v>3.25</v>
      </c>
      <c r="C92" s="64">
        <v>24.35</v>
      </c>
      <c r="D92" s="64">
        <v>41.63</v>
      </c>
      <c r="E92" s="64">
        <v>3.09</v>
      </c>
      <c r="F92" s="64">
        <v>7.01</v>
      </c>
      <c r="G92" s="64">
        <v>20.74</v>
      </c>
      <c r="H92" s="64">
        <v>4.9400000000000004</v>
      </c>
      <c r="I92" s="64">
        <v>4.07</v>
      </c>
      <c r="J92" s="64">
        <v>2.76</v>
      </c>
      <c r="K92" s="64">
        <v>159.15</v>
      </c>
      <c r="L92" s="64">
        <v>31.75</v>
      </c>
      <c r="M92" s="64">
        <v>49.22</v>
      </c>
      <c r="N92" s="64">
        <v>118.2</v>
      </c>
      <c r="O92" s="64">
        <v>0</v>
      </c>
      <c r="P92" s="64">
        <v>0.36</v>
      </c>
      <c r="Q92" s="64">
        <v>9.4</v>
      </c>
      <c r="R92" s="198"/>
      <c r="S92" s="198"/>
      <c r="T92" s="198"/>
      <c r="U92" s="198"/>
    </row>
    <row r="93" spans="1:26" s="12" customFormat="1" x14ac:dyDescent="0.25">
      <c r="A93" s="215" t="s">
        <v>3114</v>
      </c>
      <c r="B93" s="64">
        <v>4.07</v>
      </c>
      <c r="C93" s="64">
        <v>30.06</v>
      </c>
      <c r="D93" s="64">
        <v>51.29</v>
      </c>
      <c r="E93" s="64">
        <v>2.99</v>
      </c>
      <c r="F93" s="64">
        <v>9.2200000000000006</v>
      </c>
      <c r="G93" s="64">
        <v>20.69</v>
      </c>
      <c r="H93" s="64">
        <v>4.6500000000000004</v>
      </c>
      <c r="I93" s="64">
        <v>4</v>
      </c>
      <c r="J93" s="64">
        <v>2.2799999999999998</v>
      </c>
      <c r="K93" s="64">
        <v>151.41999999999999</v>
      </c>
      <c r="L93" s="64">
        <v>31.6</v>
      </c>
      <c r="M93" s="64">
        <v>48.51</v>
      </c>
      <c r="N93" s="64">
        <v>113.2</v>
      </c>
      <c r="O93" s="64">
        <v>0</v>
      </c>
      <c r="P93" s="64">
        <v>0.36</v>
      </c>
      <c r="Q93" s="64">
        <v>9.4</v>
      </c>
      <c r="R93" s="198"/>
      <c r="S93" s="198"/>
      <c r="T93" s="198"/>
      <c r="U93" s="198"/>
    </row>
    <row r="94" spans="1:26" s="12" customFormat="1" x14ac:dyDescent="0.25">
      <c r="A94" s="215" t="s">
        <v>3115</v>
      </c>
      <c r="B94" s="64">
        <v>4.9400000000000004</v>
      </c>
      <c r="C94" s="64">
        <v>30.62</v>
      </c>
      <c r="D94" s="64">
        <v>51.01</v>
      </c>
      <c r="E94" s="64">
        <v>2.99</v>
      </c>
      <c r="F94" s="64">
        <v>10.74</v>
      </c>
      <c r="G94" s="64">
        <v>20.69</v>
      </c>
      <c r="H94" s="64">
        <v>4.6500000000000004</v>
      </c>
      <c r="I94" s="64">
        <v>4.03</v>
      </c>
      <c r="J94" s="64">
        <v>1.83</v>
      </c>
      <c r="K94" s="64">
        <v>161.43</v>
      </c>
      <c r="L94" s="64">
        <v>31.42</v>
      </c>
      <c r="M94" s="64">
        <v>48.18</v>
      </c>
      <c r="N94" s="64">
        <v>110.4</v>
      </c>
      <c r="O94" s="64">
        <v>0</v>
      </c>
      <c r="P94" s="64">
        <v>0.37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5" t="s">
        <v>3116</v>
      </c>
      <c r="B95" s="64">
        <v>4.1100000000000003</v>
      </c>
      <c r="C95" s="64">
        <v>27.57</v>
      </c>
      <c r="D95" s="64">
        <v>46.45</v>
      </c>
      <c r="E95" s="64">
        <v>3.01</v>
      </c>
      <c r="F95" s="64">
        <v>10.48</v>
      </c>
      <c r="G95" s="64">
        <v>20.69</v>
      </c>
      <c r="H95" s="64">
        <v>4.6500000000000004</v>
      </c>
      <c r="I95" s="64">
        <v>4.04</v>
      </c>
      <c r="J95" s="64">
        <v>1.19</v>
      </c>
      <c r="K95" s="64">
        <v>89.78</v>
      </c>
      <c r="L95" s="64">
        <v>31.11</v>
      </c>
      <c r="M95" s="64">
        <v>49.33</v>
      </c>
      <c r="N95" s="64">
        <v>111</v>
      </c>
      <c r="O95" s="64">
        <v>0</v>
      </c>
      <c r="P95" s="64">
        <v>0.39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5" t="s">
        <v>3117</v>
      </c>
      <c r="B96" s="64">
        <v>3.49</v>
      </c>
      <c r="C96" s="64">
        <v>25.64</v>
      </c>
      <c r="D96" s="64">
        <v>43.71</v>
      </c>
      <c r="E96" s="64">
        <v>2.96</v>
      </c>
      <c r="F96" s="64">
        <v>13.63</v>
      </c>
      <c r="G96" s="64">
        <v>23.71</v>
      </c>
      <c r="H96" s="64">
        <v>6.15</v>
      </c>
      <c r="I96" s="64">
        <v>3.87</v>
      </c>
      <c r="J96" s="64">
        <v>0.61</v>
      </c>
      <c r="K96" s="64">
        <v>142.22</v>
      </c>
      <c r="L96" s="64">
        <v>30.88</v>
      </c>
      <c r="M96" s="64">
        <v>49.59</v>
      </c>
      <c r="N96" s="64">
        <v>111.8</v>
      </c>
      <c r="O96" s="64">
        <v>0</v>
      </c>
      <c r="P96" s="64">
        <v>0.38</v>
      </c>
      <c r="Q96" s="64">
        <v>9.44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3118</v>
      </c>
      <c r="B97" s="64">
        <v>4.47</v>
      </c>
      <c r="C97" s="64">
        <v>28.74</v>
      </c>
      <c r="D97" s="64">
        <v>48.15</v>
      </c>
      <c r="E97" s="64">
        <v>3.14</v>
      </c>
      <c r="F97" s="64">
        <v>14.16</v>
      </c>
      <c r="G97" s="64">
        <v>24.57</v>
      </c>
      <c r="H97" s="64">
        <v>6.58</v>
      </c>
      <c r="I97" s="64">
        <v>4.13</v>
      </c>
      <c r="J97" s="64">
        <v>2.37</v>
      </c>
      <c r="K97" s="64">
        <v>87.29</v>
      </c>
      <c r="L97" s="64">
        <v>31.05</v>
      </c>
      <c r="M97" s="64">
        <v>47.93</v>
      </c>
      <c r="N97" s="64">
        <v>120</v>
      </c>
      <c r="O97" s="64">
        <v>0</v>
      </c>
      <c r="P97" s="64">
        <v>0.37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5" t="s">
        <v>3119</v>
      </c>
      <c r="B98" s="64">
        <v>4.28</v>
      </c>
      <c r="C98" s="64">
        <v>26.37</v>
      </c>
      <c r="D98" s="64">
        <v>43.91</v>
      </c>
      <c r="E98" s="64">
        <v>3.15</v>
      </c>
      <c r="F98" s="64">
        <v>13.63</v>
      </c>
      <c r="G98" s="64">
        <v>24.57</v>
      </c>
      <c r="H98" s="64">
        <v>6.58</v>
      </c>
      <c r="I98" s="64">
        <v>4.0199999999999996</v>
      </c>
      <c r="J98" s="64">
        <v>2.74</v>
      </c>
      <c r="K98" s="64">
        <v>87.98</v>
      </c>
      <c r="L98" s="64">
        <v>31.19</v>
      </c>
      <c r="M98" s="64">
        <v>47.13</v>
      </c>
      <c r="N98" s="64">
        <v>124.3</v>
      </c>
      <c r="O98" s="64">
        <v>0</v>
      </c>
      <c r="P98" s="64">
        <v>0.36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5" t="s">
        <v>3120</v>
      </c>
      <c r="B99" s="64">
        <v>4.24</v>
      </c>
      <c r="C99" s="64">
        <v>26.16</v>
      </c>
      <c r="D99" s="64">
        <v>43.57</v>
      </c>
      <c r="E99" s="64">
        <v>3.24</v>
      </c>
      <c r="F99" s="64">
        <v>13.47</v>
      </c>
      <c r="G99" s="64">
        <v>24.57</v>
      </c>
      <c r="H99" s="64">
        <v>6.58</v>
      </c>
      <c r="I99" s="64">
        <v>3.88</v>
      </c>
      <c r="J99" s="64">
        <v>3.25</v>
      </c>
      <c r="K99" s="64">
        <v>91.19</v>
      </c>
      <c r="L99" s="64">
        <v>31.13</v>
      </c>
      <c r="M99" s="64">
        <v>48.12</v>
      </c>
      <c r="N99" s="64">
        <v>128.1</v>
      </c>
      <c r="O99" s="64">
        <v>0</v>
      </c>
      <c r="P99" s="64">
        <v>0.35</v>
      </c>
      <c r="Q99" s="64">
        <v>9.4499999999999993</v>
      </c>
      <c r="R99" s="198"/>
      <c r="S99" s="198"/>
      <c r="T99" s="198"/>
      <c r="U99" s="198"/>
    </row>
    <row r="100" spans="1:33" s="12" customFormat="1" x14ac:dyDescent="0.25">
      <c r="A100" s="215" t="s">
        <v>3121</v>
      </c>
      <c r="B100" s="64">
        <v>4.53</v>
      </c>
      <c r="C100" s="64">
        <v>25.42</v>
      </c>
      <c r="D100" s="64">
        <v>41.7</v>
      </c>
      <c r="E100" s="64">
        <v>2.79</v>
      </c>
      <c r="F100" s="64">
        <v>10.5</v>
      </c>
      <c r="G100" s="64">
        <v>21.88</v>
      </c>
      <c r="H100" s="64">
        <v>5.85</v>
      </c>
      <c r="I100" s="64">
        <v>4.08</v>
      </c>
      <c r="J100" s="64">
        <v>3.57</v>
      </c>
      <c r="K100" s="64">
        <v>102.22</v>
      </c>
      <c r="L100" s="64">
        <v>30.66</v>
      </c>
      <c r="M100" s="64">
        <v>52.57</v>
      </c>
      <c r="N100" s="64">
        <v>141.1</v>
      </c>
      <c r="O100" s="64">
        <v>0</v>
      </c>
      <c r="P100" s="64">
        <v>0.37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3122</v>
      </c>
      <c r="B101" s="64">
        <v>4.45</v>
      </c>
      <c r="C101" s="64">
        <v>25.54</v>
      </c>
      <c r="D101" s="64">
        <v>42.05</v>
      </c>
      <c r="E101" s="64">
        <v>3.29</v>
      </c>
      <c r="F101" s="64">
        <v>9.09</v>
      </c>
      <c r="G101" s="64">
        <v>21.11</v>
      </c>
      <c r="H101" s="64">
        <v>5.64</v>
      </c>
      <c r="I101" s="64">
        <v>4.0999999999999996</v>
      </c>
      <c r="J101" s="64">
        <v>3.28</v>
      </c>
      <c r="K101" s="64">
        <v>95.98</v>
      </c>
      <c r="L101" s="64">
        <v>29.95</v>
      </c>
      <c r="M101" s="64">
        <v>57.15</v>
      </c>
      <c r="N101" s="64">
        <v>141.80000000000001</v>
      </c>
      <c r="O101" s="64">
        <v>0</v>
      </c>
      <c r="P101" s="64">
        <v>0.37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5" t="s">
        <v>3123</v>
      </c>
      <c r="B102" s="64">
        <v>4.37</v>
      </c>
      <c r="C102" s="64">
        <v>25.73</v>
      </c>
      <c r="D102" s="64">
        <v>42.53</v>
      </c>
      <c r="E102" s="64">
        <v>3.15</v>
      </c>
      <c r="F102" s="64">
        <v>8.52</v>
      </c>
      <c r="G102" s="64">
        <v>21.11</v>
      </c>
      <c r="H102" s="64">
        <v>5.64</v>
      </c>
      <c r="I102" s="64">
        <v>4.05</v>
      </c>
      <c r="J102" s="64">
        <v>2.4700000000000002</v>
      </c>
      <c r="K102" s="64">
        <v>88.73</v>
      </c>
      <c r="L102" s="64">
        <v>29.7</v>
      </c>
      <c r="M102" s="64">
        <v>59.46</v>
      </c>
      <c r="N102" s="64">
        <v>146.1</v>
      </c>
      <c r="O102" s="64">
        <v>0</v>
      </c>
      <c r="P102" s="64">
        <v>0.35</v>
      </c>
      <c r="Q102" s="64">
        <v>9.4700000000000006</v>
      </c>
      <c r="R102" s="198"/>
      <c r="S102" s="198"/>
      <c r="T102" s="198"/>
      <c r="U102" s="198"/>
    </row>
    <row r="103" spans="1:33" s="12" customFormat="1" x14ac:dyDescent="0.25">
      <c r="A103" s="215" t="s">
        <v>3124</v>
      </c>
      <c r="B103" s="64">
        <v>3.98</v>
      </c>
      <c r="C103" s="64">
        <v>23.77</v>
      </c>
      <c r="D103" s="64">
        <v>39.380000000000003</v>
      </c>
      <c r="E103" s="64">
        <v>2.94</v>
      </c>
      <c r="F103" s="64">
        <v>11.37</v>
      </c>
      <c r="G103" s="64">
        <v>21.11</v>
      </c>
      <c r="H103" s="64">
        <v>5.64</v>
      </c>
      <c r="I103" s="64">
        <v>4.0199999999999996</v>
      </c>
      <c r="J103" s="64">
        <v>1.7</v>
      </c>
      <c r="K103" s="64">
        <v>92.84</v>
      </c>
      <c r="L103" s="64">
        <v>29.52</v>
      </c>
      <c r="M103" s="64">
        <v>61.36</v>
      </c>
      <c r="N103" s="64">
        <v>140.1</v>
      </c>
      <c r="O103" s="64">
        <v>0</v>
      </c>
      <c r="P103" s="64">
        <v>0.36</v>
      </c>
      <c r="Q103" s="64">
        <v>9.4700000000000006</v>
      </c>
      <c r="R103" s="198"/>
      <c r="S103" s="198"/>
      <c r="T103" s="198"/>
      <c r="U103" s="198"/>
    </row>
    <row r="104" spans="1:33" s="12" customFormat="1" x14ac:dyDescent="0.25">
      <c r="A104" s="215" t="s">
        <v>3125</v>
      </c>
      <c r="B104" s="64">
        <v>4.67</v>
      </c>
      <c r="C104" s="64">
        <v>23.83</v>
      </c>
      <c r="D104" s="64">
        <v>38.44</v>
      </c>
      <c r="E104" s="64">
        <v>2.5499999999999998</v>
      </c>
      <c r="F104" s="64">
        <v>8.19</v>
      </c>
      <c r="G104" s="64">
        <v>21.42</v>
      </c>
      <c r="H104" s="64">
        <v>7.69</v>
      </c>
      <c r="I104" s="64">
        <v>4.03</v>
      </c>
      <c r="J104" s="64">
        <v>2.78</v>
      </c>
      <c r="K104" s="64">
        <v>91.69</v>
      </c>
      <c r="L104" s="64">
        <v>29.38</v>
      </c>
      <c r="M104" s="64">
        <v>62.06</v>
      </c>
      <c r="N104" s="64">
        <v>145.5</v>
      </c>
      <c r="O104" s="64">
        <v>0</v>
      </c>
      <c r="P104" s="64">
        <v>0.38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2.2000000000000002</v>
      </c>
      <c r="C106" s="67">
        <f>MIN(C9:C104)</f>
        <v>17.04</v>
      </c>
      <c r="D106" s="67">
        <f t="shared" ref="D106:Q106" si="0">MIN(D9:D104)</f>
        <v>29.03</v>
      </c>
      <c r="E106" s="67">
        <f t="shared" si="0"/>
        <v>1.51</v>
      </c>
      <c r="F106" s="67">
        <f t="shared" si="0"/>
        <v>5.48</v>
      </c>
      <c r="G106" s="67">
        <f t="shared" si="0"/>
        <v>14.15</v>
      </c>
      <c r="H106" s="67">
        <f t="shared" si="0"/>
        <v>4.0999999999999996</v>
      </c>
      <c r="I106" s="67">
        <f t="shared" si="0"/>
        <v>3.8</v>
      </c>
      <c r="J106" s="67">
        <f t="shared" si="0"/>
        <v>0.16</v>
      </c>
      <c r="K106" s="67">
        <f t="shared" si="0"/>
        <v>15.06</v>
      </c>
      <c r="L106" s="67">
        <f t="shared" si="0"/>
        <v>24.68</v>
      </c>
      <c r="M106" s="67">
        <f t="shared" si="0"/>
        <v>38.47</v>
      </c>
      <c r="N106" s="67">
        <f t="shared" si="0"/>
        <v>84.1</v>
      </c>
      <c r="O106" s="67">
        <f t="shared" si="0"/>
        <v>0</v>
      </c>
      <c r="P106" s="67">
        <f t="shared" si="0"/>
        <v>0.25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14.06</v>
      </c>
      <c r="C107" s="66">
        <f t="shared" ref="C107:Q107" si="1">MAX(C9:C104)</f>
        <v>35.4</v>
      </c>
      <c r="D107" s="66">
        <f t="shared" si="1"/>
        <v>51.29</v>
      </c>
      <c r="E107" s="66">
        <f t="shared" si="1"/>
        <v>3.64</v>
      </c>
      <c r="F107" s="66">
        <f t="shared" si="1"/>
        <v>23.97</v>
      </c>
      <c r="G107" s="66">
        <f t="shared" si="1"/>
        <v>27.11</v>
      </c>
      <c r="H107" s="66">
        <f t="shared" si="1"/>
        <v>8.91</v>
      </c>
      <c r="I107" s="66">
        <f t="shared" si="1"/>
        <v>4.16</v>
      </c>
      <c r="J107" s="66">
        <f t="shared" si="1"/>
        <v>4.0199999999999996</v>
      </c>
      <c r="K107" s="66">
        <f t="shared" si="1"/>
        <v>342</v>
      </c>
      <c r="L107" s="66">
        <f t="shared" si="1"/>
        <v>36.35</v>
      </c>
      <c r="M107" s="66">
        <f t="shared" si="1"/>
        <v>90.82</v>
      </c>
      <c r="N107" s="66">
        <f t="shared" si="1"/>
        <v>1067.9000000000001</v>
      </c>
      <c r="O107" s="66">
        <f t="shared" si="1"/>
        <v>0</v>
      </c>
      <c r="P107" s="66">
        <f t="shared" si="1"/>
        <v>0.46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5.2490624999999991</v>
      </c>
      <c r="C108" s="67">
        <f t="shared" ref="C108:Q108" si="2">AVERAGE(C9:C104)</f>
        <v>23.971562499999987</v>
      </c>
      <c r="D108" s="67">
        <f t="shared" si="2"/>
        <v>37.824895833333329</v>
      </c>
      <c r="E108" s="67">
        <f t="shared" si="2"/>
        <v>2.6533333333333347</v>
      </c>
      <c r="F108" s="67">
        <f t="shared" si="2"/>
        <v>10.933437500000002</v>
      </c>
      <c r="G108" s="67">
        <f t="shared" si="2"/>
        <v>20.832708333333333</v>
      </c>
      <c r="H108" s="67">
        <f t="shared" si="2"/>
        <v>6.6612500000000034</v>
      </c>
      <c r="I108" s="67">
        <f t="shared" si="2"/>
        <v>3.9954166666666651</v>
      </c>
      <c r="J108" s="67">
        <f t="shared" si="2"/>
        <v>1.9692708333333337</v>
      </c>
      <c r="K108" s="67">
        <f t="shared" si="2"/>
        <v>119.40145833333334</v>
      </c>
      <c r="L108" s="67">
        <f t="shared" si="2"/>
        <v>30.798958333333317</v>
      </c>
      <c r="M108" s="67">
        <f t="shared" si="2"/>
        <v>58.51541666666666</v>
      </c>
      <c r="N108" s="67">
        <f t="shared" si="2"/>
        <v>341.9406249999999</v>
      </c>
      <c r="O108" s="67">
        <f t="shared" si="2"/>
        <v>0</v>
      </c>
      <c r="P108" s="67">
        <f t="shared" si="2"/>
        <v>0.32906250000000009</v>
      </c>
      <c r="Q108" s="67">
        <f t="shared" si="2"/>
        <v>9.4458333333333417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3.4001792764267762</v>
      </c>
      <c r="C109" s="67">
        <f t="shared" ref="C109:Q109" si="3">STDEV(C9:C104)</f>
        <v>4.2968689526274009</v>
      </c>
      <c r="D109" s="67">
        <f t="shared" si="3"/>
        <v>4.8746446013053397</v>
      </c>
      <c r="E109" s="67">
        <f t="shared" si="3"/>
        <v>0.54441212459266997</v>
      </c>
      <c r="F109" s="67">
        <f t="shared" si="3"/>
        <v>4.6575102515637106</v>
      </c>
      <c r="G109" s="67">
        <f t="shared" si="3"/>
        <v>3.3048622804864922</v>
      </c>
      <c r="H109" s="67">
        <f t="shared" si="3"/>
        <v>1.2622971958006823</v>
      </c>
      <c r="I109" s="67">
        <f t="shared" si="3"/>
        <v>8.4391526971381428E-2</v>
      </c>
      <c r="J109" s="67">
        <f t="shared" si="3"/>
        <v>0.98586883379896828</v>
      </c>
      <c r="K109" s="67">
        <f t="shared" si="3"/>
        <v>54.876043492855935</v>
      </c>
      <c r="L109" s="67">
        <f t="shared" si="3"/>
        <v>4.0537843214165239</v>
      </c>
      <c r="M109" s="67">
        <f t="shared" si="3"/>
        <v>17.390625903004391</v>
      </c>
      <c r="N109" s="67">
        <f t="shared" si="3"/>
        <v>334.27349079462812</v>
      </c>
      <c r="O109" s="67">
        <f t="shared" si="3"/>
        <v>0</v>
      </c>
      <c r="P109" s="67">
        <f t="shared" si="3"/>
        <v>5.0012169571646475E-2</v>
      </c>
      <c r="Q109" s="67">
        <f t="shared" si="3"/>
        <v>0.10113739135366598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8" t="s">
        <v>216</v>
      </c>
      <c r="C115" s="218"/>
      <c r="D115" s="218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0" sqref="B50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01/04/2025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01/04/2025 00:15</v>
      </c>
      <c r="B9" s="211" t="s">
        <v>43</v>
      </c>
      <c r="C9" s="211" t="s">
        <v>43</v>
      </c>
      <c r="D9" s="211" t="s">
        <v>43</v>
      </c>
      <c r="E9" s="61">
        <f>'01'!E108</f>
        <v>37.502812500000005</v>
      </c>
      <c r="F9" s="61">
        <f>'01'!F108</f>
        <v>15.592812499999999</v>
      </c>
      <c r="G9" s="99">
        <f>'01'!$G$108</f>
        <v>129.7714583333333</v>
      </c>
      <c r="H9" s="61">
        <f>'01'!H108</f>
        <v>42.949531249999978</v>
      </c>
      <c r="I9" s="61">
        <f>'01'!I108</f>
        <v>3.9963541666666647</v>
      </c>
      <c r="J9" s="61">
        <f>'01'!J108</f>
        <v>2.1194791666666659</v>
      </c>
      <c r="K9" s="61">
        <f>'01'!K108</f>
        <v>243.36291666666671</v>
      </c>
      <c r="L9" s="61">
        <f>'01'!L108</f>
        <v>26.983750000000011</v>
      </c>
      <c r="M9" s="61">
        <f>'01'!M108</f>
        <v>24.391458333333322</v>
      </c>
      <c r="N9" s="61">
        <f>'01'!N108</f>
        <v>190.02291666666667</v>
      </c>
      <c r="O9" s="61">
        <f>'01'!O108</f>
        <v>0</v>
      </c>
      <c r="P9" s="202">
        <f>'01'!P108</f>
        <v>1.3955208333333335</v>
      </c>
      <c r="Q9" s="61">
        <f>'01'!Q108</f>
        <v>9.3215625000000006</v>
      </c>
      <c r="R9" s="118"/>
      <c r="S9" s="118"/>
      <c r="T9" s="118"/>
      <c r="U9" s="118"/>
    </row>
    <row r="10" spans="1:21" x14ac:dyDescent="0.25">
      <c r="A10" s="94" t="str">
        <f>'02'!$B$2</f>
        <v>02/04/2025 00:15</v>
      </c>
      <c r="B10" s="211" t="s">
        <v>43</v>
      </c>
      <c r="C10" s="211" t="s">
        <v>43</v>
      </c>
      <c r="D10" s="211" t="s">
        <v>43</v>
      </c>
      <c r="E10" s="61">
        <f>'02'!E108</f>
        <v>30.240520833333346</v>
      </c>
      <c r="F10" s="61">
        <f>'02'!F108</f>
        <v>16.483125000000001</v>
      </c>
      <c r="G10" s="61">
        <f>'02'!G108</f>
        <v>115.33499999999995</v>
      </c>
      <c r="H10" s="61">
        <f>'02'!H108</f>
        <v>100.61259259259261</v>
      </c>
      <c r="I10" s="61">
        <f>'02'!I108</f>
        <v>3.9803125000000019</v>
      </c>
      <c r="J10" s="61">
        <f>'02'!J108</f>
        <v>2.1234375000000005</v>
      </c>
      <c r="K10" s="61">
        <f>'02'!K108</f>
        <v>202.5883333333334</v>
      </c>
      <c r="L10" s="61">
        <f>'02'!L108</f>
        <v>25.794270833333339</v>
      </c>
      <c r="M10" s="61">
        <f>'02'!M108</f>
        <v>27.076562499999991</v>
      </c>
      <c r="N10" s="61">
        <f>'02'!N108</f>
        <v>130.15104166666666</v>
      </c>
      <c r="O10" s="61">
        <f>'02'!O108</f>
        <v>0</v>
      </c>
      <c r="P10" s="202">
        <f>'02'!P108</f>
        <v>1.3152083333333338</v>
      </c>
      <c r="Q10" s="61">
        <f>'02'!Q108</f>
        <v>9.363229166666672</v>
      </c>
      <c r="R10" s="118"/>
      <c r="S10" s="118"/>
      <c r="T10" s="118"/>
      <c r="U10" s="118"/>
    </row>
    <row r="11" spans="1:21" x14ac:dyDescent="0.25">
      <c r="A11" s="94" t="str">
        <f>'03'!$B$2</f>
        <v>03/04/2025 00:15</v>
      </c>
      <c r="B11" s="211" t="s">
        <v>43</v>
      </c>
      <c r="C11" s="211" t="s">
        <v>43</v>
      </c>
      <c r="D11" s="211" t="s">
        <v>43</v>
      </c>
      <c r="E11" s="61">
        <f>'03'!E108</f>
        <v>6.0445833333333345</v>
      </c>
      <c r="F11" s="61">
        <f>'03'!F108</f>
        <v>10.531979166666668</v>
      </c>
      <c r="G11" s="61">
        <f>'03'!G108</f>
        <v>72.197500000000019</v>
      </c>
      <c r="H11" s="61">
        <f>'03'!H108</f>
        <v>27.49974025974025</v>
      </c>
      <c r="I11" s="61">
        <f>'03'!I108</f>
        <v>3.9902083333333311</v>
      </c>
      <c r="J11" s="61">
        <f>'03'!J108</f>
        <v>2.3958333333333335</v>
      </c>
      <c r="K11" s="61">
        <f>'03'!K108</f>
        <v>200.44802083333332</v>
      </c>
      <c r="L11" s="61">
        <f>'03'!L108</f>
        <v>23.585624999999997</v>
      </c>
      <c r="M11" s="61">
        <f>'03'!M108</f>
        <v>56.47208333333333</v>
      </c>
      <c r="N11" s="61">
        <f>'03'!N108</f>
        <v>136.80000000000004</v>
      </c>
      <c r="O11" s="61">
        <f>'03'!O108</f>
        <v>1.8749999999999999E-2</v>
      </c>
      <c r="P11" s="202">
        <f>'03'!P108</f>
        <v>0.80354166666666638</v>
      </c>
      <c r="Q11" s="61">
        <f>'03'!Q108</f>
        <v>9.6015624999999876</v>
      </c>
      <c r="R11" s="118"/>
      <c r="S11" s="118"/>
      <c r="T11" s="118"/>
      <c r="U11" s="118"/>
    </row>
    <row r="12" spans="1:21" x14ac:dyDescent="0.25">
      <c r="A12" s="94" t="str">
        <f>'04'!$B$2</f>
        <v>04/04/2025 00:15</v>
      </c>
      <c r="B12" s="211" t="s">
        <v>43</v>
      </c>
      <c r="C12" s="211" t="s">
        <v>43</v>
      </c>
      <c r="D12" s="211" t="s">
        <v>43</v>
      </c>
      <c r="E12" s="61">
        <f>'04'!E108</f>
        <v>3.7445833333333343</v>
      </c>
      <c r="F12" s="61">
        <f>'04'!F108</f>
        <v>11.738750000000001</v>
      </c>
      <c r="G12" s="61">
        <f>'04'!G108</f>
        <v>47.793229166666663</v>
      </c>
      <c r="H12" s="61">
        <f>'04'!H108</f>
        <v>20.458550724637675</v>
      </c>
      <c r="I12" s="61">
        <f>'04'!I108</f>
        <v>3.9883333333333337</v>
      </c>
      <c r="J12" s="61">
        <f>'04'!J108</f>
        <v>1.7268750000000004</v>
      </c>
      <c r="K12" s="61">
        <f>'04'!K108</f>
        <v>219.45520833333342</v>
      </c>
      <c r="L12" s="61">
        <f>'04'!L108</f>
        <v>24.170208333333324</v>
      </c>
      <c r="M12" s="61">
        <f>'04'!M108</f>
        <v>63.721145833333374</v>
      </c>
      <c r="N12" s="61">
        <f>'04'!N108</f>
        <v>203.8416666666667</v>
      </c>
      <c r="O12" s="61">
        <f>'04'!O108</f>
        <v>0</v>
      </c>
      <c r="P12" s="202">
        <f>'04'!P108</f>
        <v>0.62385416666666649</v>
      </c>
      <c r="Q12" s="61">
        <f>'04'!Q108</f>
        <v>9.5392708333333225</v>
      </c>
      <c r="R12" s="118"/>
      <c r="S12" s="118"/>
      <c r="T12" s="118"/>
      <c r="U12" s="118"/>
    </row>
    <row r="13" spans="1:21" x14ac:dyDescent="0.25">
      <c r="A13" s="94" t="str">
        <f>'05'!$B$2</f>
        <v>05/04/2025 00:15</v>
      </c>
      <c r="B13" s="61">
        <f>'05'!B108</f>
        <v>28.646666666666668</v>
      </c>
      <c r="C13" s="61">
        <f>'05'!C108</f>
        <v>96.543030303030321</v>
      </c>
      <c r="D13" s="61">
        <f>'05'!D108</f>
        <v>140.81333333333333</v>
      </c>
      <c r="E13" s="61">
        <f>'05'!E108</f>
        <v>4.3843749999999986</v>
      </c>
      <c r="F13" s="61">
        <f>'05'!F108</f>
        <v>13.357604166666668</v>
      </c>
      <c r="G13" s="61">
        <f>'05'!G108</f>
        <v>46.684166666666663</v>
      </c>
      <c r="H13" s="61">
        <f>'05'!H108</f>
        <v>17.471145833333335</v>
      </c>
      <c r="I13" s="61">
        <f>'05'!I108</f>
        <v>4.0209374999999987</v>
      </c>
      <c r="J13" s="61">
        <f>'05'!J108</f>
        <v>1.0771874999999997</v>
      </c>
      <c r="K13" s="61">
        <f>'05'!K108</f>
        <v>235.55572916666674</v>
      </c>
      <c r="L13" s="61">
        <f>'05'!L108</f>
        <v>26.714791666666674</v>
      </c>
      <c r="M13" s="61">
        <f>'05'!M108</f>
        <v>47.681770833333339</v>
      </c>
      <c r="N13" s="61">
        <f>'05'!N108</f>
        <v>292.37708333333347</v>
      </c>
      <c r="O13" s="61">
        <f>'05'!O108</f>
        <v>0</v>
      </c>
      <c r="P13" s="202">
        <f>'05'!P108</f>
        <v>0.66781250000000014</v>
      </c>
      <c r="Q13" s="61">
        <f>'05'!Q108</f>
        <v>9.5790384615384614</v>
      </c>
      <c r="R13" s="118"/>
      <c r="S13" s="118"/>
      <c r="T13" s="118"/>
      <c r="U13" s="118"/>
    </row>
    <row r="14" spans="1:21" x14ac:dyDescent="0.25">
      <c r="A14" s="94" t="str">
        <f>'06'!$B$2</f>
        <v>06/04/2025 00:15</v>
      </c>
      <c r="B14" s="61">
        <f>'06'!B108</f>
        <v>19.885104166666672</v>
      </c>
      <c r="C14" s="61">
        <f>'06'!C108</f>
        <v>66.831249999999997</v>
      </c>
      <c r="D14" s="61">
        <f>'06'!D108</f>
        <v>97.394062500000004</v>
      </c>
      <c r="E14" s="61">
        <f>'06'!E108</f>
        <v>6.1764583333333336</v>
      </c>
      <c r="F14" s="61">
        <f>'06'!F108</f>
        <v>15.320729166666665</v>
      </c>
      <c r="G14" s="61">
        <f>'06'!G108</f>
        <v>65.701041666666697</v>
      </c>
      <c r="H14" s="61">
        <f>'06'!H108</f>
        <v>23.687291666666681</v>
      </c>
      <c r="I14" s="61">
        <f>'06'!I108</f>
        <v>4.0086458333333317</v>
      </c>
      <c r="J14" s="61">
        <f>'06'!J108</f>
        <v>0.58624999999999994</v>
      </c>
      <c r="K14" s="61">
        <f>'06'!K108</f>
        <v>243.76010416666665</v>
      </c>
      <c r="L14" s="61">
        <f>'06'!L108</f>
        <v>27.834791666666661</v>
      </c>
      <c r="M14" s="61">
        <f>'06'!M108</f>
        <v>32.339062500000018</v>
      </c>
      <c r="N14" s="61">
        <f>'06'!N108</f>
        <v>255.94375000000005</v>
      </c>
      <c r="O14" s="61">
        <f>'06'!O108</f>
        <v>0</v>
      </c>
      <c r="P14" s="202">
        <f>'06'!P108</f>
        <v>0.84290322580645161</v>
      </c>
      <c r="Q14" s="6" t="s">
        <v>42</v>
      </c>
      <c r="R14" s="118"/>
      <c r="S14" s="118"/>
      <c r="T14" s="118"/>
      <c r="U14" s="118"/>
    </row>
    <row r="15" spans="1:21" x14ac:dyDescent="0.25">
      <c r="A15" s="94" t="str">
        <f>'07'!$B$2</f>
        <v>07/04/2025 00:15</v>
      </c>
      <c r="B15" s="61">
        <f>'07'!B108</f>
        <v>60.606979166666669</v>
      </c>
      <c r="C15" s="61">
        <f>'07'!C108</f>
        <v>110.1998958333333</v>
      </c>
      <c r="D15" s="61">
        <f>'07'!D108</f>
        <v>117.89833333333331</v>
      </c>
      <c r="E15" s="61">
        <f>'07'!E108</f>
        <v>6.9333333333333327</v>
      </c>
      <c r="F15" s="61">
        <f>'07'!F108</f>
        <v>12.58177083333333</v>
      </c>
      <c r="G15" s="100">
        <f>'07'!$G$108</f>
        <v>86.213124999999991</v>
      </c>
      <c r="H15" s="61">
        <f>'07'!H108</f>
        <v>26.330312499999973</v>
      </c>
      <c r="I15" s="61">
        <f>'07'!I108</f>
        <v>4.0207291666666674</v>
      </c>
      <c r="J15" s="61">
        <f>'07'!J108</f>
        <v>0.60385416666666669</v>
      </c>
      <c r="K15" s="61">
        <f>'07'!K108</f>
        <v>223.53708333333324</v>
      </c>
      <c r="L15" s="61">
        <f>'07'!L108</f>
        <v>31.154374999999998</v>
      </c>
      <c r="M15" s="61">
        <f>'07'!M108</f>
        <v>31.823020833333356</v>
      </c>
      <c r="N15" s="61">
        <f>'07'!N108</f>
        <v>271.96562500000005</v>
      </c>
      <c r="O15" s="61">
        <f>'07'!O108</f>
        <v>0</v>
      </c>
      <c r="P15" s="202">
        <f>'07'!P108</f>
        <v>1.2838541666666667</v>
      </c>
      <c r="Q15" s="6" t="s">
        <v>42</v>
      </c>
      <c r="R15" s="118"/>
      <c r="S15" s="118"/>
      <c r="T15" s="118"/>
      <c r="U15" s="118"/>
    </row>
    <row r="16" spans="1:21" x14ac:dyDescent="0.25">
      <c r="A16" s="94" t="str">
        <f>'08'!$B$2</f>
        <v>08/04/2025 00:15</v>
      </c>
      <c r="B16" s="61">
        <f>'08'!B108</f>
        <v>30.551666666666677</v>
      </c>
      <c r="C16" s="61">
        <f>'08'!C108</f>
        <v>75.455312499999977</v>
      </c>
      <c r="D16" s="61">
        <f>'08'!D108</f>
        <v>97.816354166666727</v>
      </c>
      <c r="E16" s="61">
        <f>'08'!E108</f>
        <v>5.0393749999999997</v>
      </c>
      <c r="F16" s="61">
        <f>'08'!F108</f>
        <v>14.729166666666671</v>
      </c>
      <c r="G16" s="100">
        <f>'08'!$G$108</f>
        <v>58.730625000000032</v>
      </c>
      <c r="H16" s="61">
        <f>'08'!H108</f>
        <v>19.446979166666665</v>
      </c>
      <c r="I16" s="61">
        <f>'08'!I108</f>
        <v>4.0034374999999995</v>
      </c>
      <c r="J16" s="61">
        <f>'08'!J108</f>
        <v>0.69927083333333329</v>
      </c>
      <c r="K16" s="61">
        <f>'08'!K108</f>
        <v>197.32645833333333</v>
      </c>
      <c r="L16" s="61">
        <f>'08'!L108</f>
        <v>29.372499999999992</v>
      </c>
      <c r="M16" s="61">
        <f>'08'!M108</f>
        <v>37.04322916666667</v>
      </c>
      <c r="N16" s="61">
        <f>'08'!N108</f>
        <v>279.19479166666673</v>
      </c>
      <c r="O16" s="61">
        <f>'08'!O108</f>
        <v>0</v>
      </c>
      <c r="P16" s="202">
        <f>'08'!P108</f>
        <v>0.93875000000000008</v>
      </c>
      <c r="Q16" s="9" t="s">
        <v>36</v>
      </c>
      <c r="R16" s="118"/>
      <c r="S16" s="118"/>
      <c r="T16" s="118"/>
      <c r="U16" s="118"/>
    </row>
    <row r="17" spans="1:21" x14ac:dyDescent="0.25">
      <c r="A17" s="94" t="str">
        <f>'09'!$B$2</f>
        <v>09/04/2025 00:15</v>
      </c>
      <c r="B17" s="61">
        <f>'09'!B108</f>
        <v>2.6988541666666657</v>
      </c>
      <c r="C17" s="61">
        <f>'09'!C108</f>
        <v>40.871770833333322</v>
      </c>
      <c r="D17" s="61">
        <f>'09'!D108</f>
        <v>74.086770833333347</v>
      </c>
      <c r="E17" s="61">
        <f>'09'!E108</f>
        <v>4.8924999999999992</v>
      </c>
      <c r="F17" s="61">
        <f>'09'!F108</f>
        <v>13.565104166666673</v>
      </c>
      <c r="G17" s="100">
        <f>'09'!$G$108</f>
        <v>43.362083333333324</v>
      </c>
      <c r="H17" s="61">
        <f>'09'!H108</f>
        <v>13.226250000000002</v>
      </c>
      <c r="I17" s="61">
        <f>'09'!I108</f>
        <v>3.9948958333333326</v>
      </c>
      <c r="J17" s="61">
        <f>'09'!J108</f>
        <v>1.3120833333333335</v>
      </c>
      <c r="K17" s="61">
        <f>'09'!K108</f>
        <v>213.4864583333333</v>
      </c>
      <c r="L17" s="61">
        <f>'09'!L108</f>
        <v>30.323854166666674</v>
      </c>
      <c r="M17" s="61">
        <f>'09'!M108</f>
        <v>36.140833333333354</v>
      </c>
      <c r="N17" s="61">
        <f>'09'!N108</f>
        <v>283.94270833333331</v>
      </c>
      <c r="O17" s="61">
        <f>'09'!O108</f>
        <v>0</v>
      </c>
      <c r="P17" s="202">
        <f>'09'!P108</f>
        <v>0.51635416666666656</v>
      </c>
      <c r="Q17" s="211" t="s">
        <v>43</v>
      </c>
      <c r="R17" s="118"/>
      <c r="S17" s="118"/>
      <c r="T17" s="118"/>
      <c r="U17" s="118"/>
    </row>
    <row r="18" spans="1:21" x14ac:dyDescent="0.25">
      <c r="A18" s="94" t="str">
        <f>'10'!$B$2</f>
        <v>10/04/2025 00:15</v>
      </c>
      <c r="B18" s="61">
        <f>'10'!B108</f>
        <v>8.1597916666666688</v>
      </c>
      <c r="C18" s="61">
        <f>'10'!C108</f>
        <v>53.40499999999998</v>
      </c>
      <c r="D18" s="61">
        <f>'10'!D108</f>
        <v>89.693437499999959</v>
      </c>
      <c r="E18" s="61">
        <f>'10'!E108</f>
        <v>6.4663541666666662</v>
      </c>
      <c r="F18" s="61">
        <f>'10'!F108</f>
        <v>14.957499999999994</v>
      </c>
      <c r="G18" s="101">
        <f>'10'!$G$108</f>
        <v>47.423541666666686</v>
      </c>
      <c r="H18" s="61">
        <f>'10'!H108</f>
        <v>12.404895833333336</v>
      </c>
      <c r="I18" s="61">
        <f>'10'!I108</f>
        <v>4.0096875000000001</v>
      </c>
      <c r="J18" s="61">
        <f>'10'!J108</f>
        <v>0.78989583333333335</v>
      </c>
      <c r="K18" s="61">
        <f>'10'!K108</f>
        <v>218.98947916666665</v>
      </c>
      <c r="L18" s="61">
        <f>'10'!L108</f>
        <v>31.183437499999997</v>
      </c>
      <c r="M18" s="61">
        <f>'10'!M108</f>
        <v>33.039375</v>
      </c>
      <c r="N18" s="61">
        <f>'10'!N108</f>
        <v>294.79479166666653</v>
      </c>
      <c r="O18" s="61">
        <f>'10'!O108</f>
        <v>0</v>
      </c>
      <c r="P18" s="202">
        <f>'10'!P108</f>
        <v>0.57708333333333328</v>
      </c>
      <c r="Q18" s="211" t="s">
        <v>43</v>
      </c>
      <c r="R18" s="118"/>
      <c r="S18" s="118"/>
      <c r="T18" s="118"/>
      <c r="U18" s="118"/>
    </row>
    <row r="19" spans="1:21" x14ac:dyDescent="0.25">
      <c r="A19" s="94" t="str">
        <f>'11'!$B$2</f>
        <v>11/04/2025 00:15</v>
      </c>
      <c r="B19" s="61">
        <f>'11'!B108</f>
        <v>7.2587500000000027</v>
      </c>
      <c r="C19" s="61">
        <f>'11'!C108</f>
        <v>53.329687499999984</v>
      </c>
      <c r="D19" s="61">
        <f>'11'!D108</f>
        <v>90.93125000000002</v>
      </c>
      <c r="E19" s="61">
        <f>'11'!E108</f>
        <v>7.6989583333333345</v>
      </c>
      <c r="F19" s="61">
        <f>'11'!F108</f>
        <v>14.966979166666667</v>
      </c>
      <c r="G19" s="99">
        <f>'11'!$G$108</f>
        <v>68.840937500000024</v>
      </c>
      <c r="H19" s="61">
        <f>'11'!H108</f>
        <v>17.429473684210517</v>
      </c>
      <c r="I19" s="61">
        <f>'11'!I108</f>
        <v>3.9905208333333344</v>
      </c>
      <c r="J19" s="61">
        <f>'11'!J108</f>
        <v>1.0235416666666659</v>
      </c>
      <c r="K19" s="61">
        <f>'11'!K108</f>
        <v>185.16333333333338</v>
      </c>
      <c r="L19" s="61">
        <f>'11'!L108</f>
        <v>31.248958333333345</v>
      </c>
      <c r="M19" s="61">
        <f>'11'!M108</f>
        <v>36.370000000000012</v>
      </c>
      <c r="N19" s="61">
        <f>'11'!N108</f>
        <v>271.51874999999995</v>
      </c>
      <c r="O19" s="61">
        <f>'11'!O108</f>
        <v>0</v>
      </c>
      <c r="P19" s="202">
        <f>'11'!P108</f>
        <v>0.69833333333333336</v>
      </c>
      <c r="Q19" s="211" t="s">
        <v>43</v>
      </c>
      <c r="R19" s="118"/>
      <c r="S19" s="118"/>
      <c r="T19" s="118"/>
      <c r="U19" s="118"/>
    </row>
    <row r="20" spans="1:21" x14ac:dyDescent="0.25">
      <c r="A20" s="94" t="str">
        <f>'12'!$B$2</f>
        <v>12/04/2025 00:15</v>
      </c>
      <c r="B20" s="61">
        <f>'12'!B108</f>
        <v>19.094583333333336</v>
      </c>
      <c r="C20" s="61">
        <f>'12'!C108</f>
        <v>65.01604166666668</v>
      </c>
      <c r="D20" s="61">
        <f>'12'!D108</f>
        <v>95.132916666666674</v>
      </c>
      <c r="E20" s="61">
        <f>'12'!E108</f>
        <v>6.393229166666667</v>
      </c>
      <c r="F20" s="61">
        <f>'12'!F108</f>
        <v>12.793749999999998</v>
      </c>
      <c r="G20" s="101">
        <f>'12'!$G$108</f>
        <v>68.114999999999995</v>
      </c>
      <c r="H20" s="61">
        <f>'12'!H108</f>
        <v>21.89416666666666</v>
      </c>
      <c r="I20" s="61">
        <f>'12'!I108</f>
        <v>4.0101041666666664</v>
      </c>
      <c r="J20" s="61">
        <f>'12'!J108</f>
        <v>0.68447916666666675</v>
      </c>
      <c r="K20" s="61">
        <f>'12'!K108</f>
        <v>231.72697916666672</v>
      </c>
      <c r="L20" s="61">
        <f>'12'!L108</f>
        <v>31.508229166666677</v>
      </c>
      <c r="M20" s="61">
        <f>'12'!M108</f>
        <v>30.982083333333332</v>
      </c>
      <c r="N20" s="61">
        <f>'12'!N108</f>
        <v>240.37812500000004</v>
      </c>
      <c r="O20" s="61">
        <f>'12'!O108</f>
        <v>0</v>
      </c>
      <c r="P20" s="202">
        <f>'12'!P108</f>
        <v>0.91791666666666683</v>
      </c>
      <c r="Q20" s="211" t="s">
        <v>43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13/04/2025 00:15</v>
      </c>
      <c r="B21" s="91">
        <f>'13'!B108</f>
        <v>10.783645833333329</v>
      </c>
      <c r="C21" s="91">
        <f>'13'!C108</f>
        <v>55.164687499999992</v>
      </c>
      <c r="D21" s="91">
        <f>'13'!D108</f>
        <v>89.033437500000034</v>
      </c>
      <c r="E21" s="91">
        <f>'13'!E108</f>
        <v>8.9790624999999995</v>
      </c>
      <c r="F21" s="91">
        <f>'13'!F108</f>
        <v>13.916145833333326</v>
      </c>
      <c r="G21" s="100">
        <f>'13'!$G$108</f>
        <v>70.77624999999999</v>
      </c>
      <c r="H21" s="91">
        <f>'13'!H108</f>
        <v>18.496145833333333</v>
      </c>
      <c r="I21" s="91">
        <f>'13'!I108</f>
        <v>4.0138541666666674</v>
      </c>
      <c r="J21" s="91">
        <f>'13'!J108</f>
        <v>0.95229166666666654</v>
      </c>
      <c r="K21" s="91">
        <f>'13'!K108</f>
        <v>224.37687500000004</v>
      </c>
      <c r="L21" s="91">
        <f>'13'!L108</f>
        <v>30.416354166666668</v>
      </c>
      <c r="M21" s="91">
        <f>'13'!M108</f>
        <v>30.445624999999996</v>
      </c>
      <c r="N21" s="91">
        <f>'13'!N108</f>
        <v>263.2156250000001</v>
      </c>
      <c r="O21" s="91">
        <f>'13'!O108</f>
        <v>0</v>
      </c>
      <c r="P21" s="203">
        <f>'13'!P108</f>
        <v>0.65041666666666687</v>
      </c>
      <c r="Q21" s="211" t="s">
        <v>43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14/04/2025 00:15</v>
      </c>
      <c r="B22" s="90">
        <f>'14'!B108</f>
        <v>13.549565217391295</v>
      </c>
      <c r="C22" s="90">
        <f>'14'!C108</f>
        <v>75.708260869565194</v>
      </c>
      <c r="D22" s="90">
        <f>'14'!D108</f>
        <v>82.383152173913047</v>
      </c>
      <c r="E22" s="90">
        <f>'14'!E108</f>
        <v>10.359450549450546</v>
      </c>
      <c r="F22" s="90">
        <f>'14'!F108</f>
        <v>13.303958333333334</v>
      </c>
      <c r="G22" s="100">
        <f>'14'!$G$108</f>
        <v>76.959347826086997</v>
      </c>
      <c r="H22" s="100">
        <f>'14'!$G$108</f>
        <v>76.959347826086997</v>
      </c>
      <c r="I22" s="90">
        <f>'14'!I108</f>
        <v>3.9885416666666669</v>
      </c>
      <c r="J22" s="90">
        <f>'14'!J108</f>
        <v>0.78281250000000002</v>
      </c>
      <c r="K22" s="90">
        <f>'14'!K108</f>
        <v>213.92479166666672</v>
      </c>
      <c r="L22" s="90">
        <f>'14'!L108</f>
        <v>29.410937500000003</v>
      </c>
      <c r="M22" s="90">
        <f>'14'!M108</f>
        <v>35.872499999999995</v>
      </c>
      <c r="N22" s="90">
        <f>'14'!N108</f>
        <v>211.703125</v>
      </c>
      <c r="O22" s="90">
        <f>'14'!O108</f>
        <v>0</v>
      </c>
      <c r="P22" s="204">
        <f>'14'!P108</f>
        <v>0.81347368421052613</v>
      </c>
      <c r="Q22" s="211" t="s">
        <v>43</v>
      </c>
      <c r="R22" s="206"/>
      <c r="S22" s="206"/>
      <c r="T22" s="206"/>
      <c r="U22" s="206"/>
    </row>
    <row r="23" spans="1:21" x14ac:dyDescent="0.25">
      <c r="A23" s="94" t="str">
        <f>'15'!$B$2</f>
        <v>15/04/2025 00:15</v>
      </c>
      <c r="B23" s="61">
        <f>'15'!B108</f>
        <v>2.0927083333333338</v>
      </c>
      <c r="C23" s="61">
        <f>'15'!C108</f>
        <v>47.093124999999993</v>
      </c>
      <c r="D23" s="61">
        <f>'15'!D108</f>
        <v>45.000937499999992</v>
      </c>
      <c r="E23" s="61">
        <f>'15'!E108</f>
        <v>4.4242708333333338</v>
      </c>
      <c r="F23" s="61">
        <f>'15'!F108</f>
        <v>13.161249999999997</v>
      </c>
      <c r="G23" s="100">
        <f>'15'!$G$108</f>
        <v>42.554687499999979</v>
      </c>
      <c r="H23" s="61">
        <f>'15'!H108</f>
        <v>13.411770833333343</v>
      </c>
      <c r="I23" s="61">
        <f>'15'!I108</f>
        <v>3.9841666666666669</v>
      </c>
      <c r="J23" s="61">
        <f>'15'!J108</f>
        <v>1.3305208333333334</v>
      </c>
      <c r="K23" s="61">
        <f>'15'!K108</f>
        <v>173.4766666666666</v>
      </c>
      <c r="L23" s="61">
        <f>'15'!L108</f>
        <v>28.390833333333347</v>
      </c>
      <c r="M23" s="61">
        <f>'15'!M108</f>
        <v>43.873749999999994</v>
      </c>
      <c r="N23" s="61">
        <f>'15'!N108</f>
        <v>256.44062499999995</v>
      </c>
      <c r="O23" s="61">
        <f>'15'!O108</f>
        <v>0</v>
      </c>
      <c r="P23" s="202">
        <f>'15'!P108</f>
        <v>0.40104166666666669</v>
      </c>
      <c r="Q23" s="61">
        <f>'15'!Q108</f>
        <v>8.6675609756097529</v>
      </c>
      <c r="R23" s="118"/>
      <c r="S23" s="118"/>
      <c r="T23" s="118"/>
      <c r="U23" s="118"/>
    </row>
    <row r="24" spans="1:21" x14ac:dyDescent="0.25">
      <c r="A24" s="94" t="str">
        <f>'16'!$B$2</f>
        <v>16/04/2025 00:15</v>
      </c>
      <c r="B24" s="61">
        <f>'16'!B108</f>
        <v>10.753229166666664</v>
      </c>
      <c r="C24" s="61">
        <f>'16'!C108</f>
        <v>70.829479166666673</v>
      </c>
      <c r="D24" s="61">
        <f>'16'!D108</f>
        <v>60.076041666666669</v>
      </c>
      <c r="E24" s="61">
        <f>'16'!E108</f>
        <v>4.071770833333332</v>
      </c>
      <c r="F24" s="61">
        <f>'16'!F108</f>
        <v>13.764895833333332</v>
      </c>
      <c r="G24" s="100">
        <f>'16'!$G$108</f>
        <v>40.395104166666655</v>
      </c>
      <c r="H24" s="61">
        <f>'16'!H108</f>
        <v>13.000312500000007</v>
      </c>
      <c r="I24" s="61">
        <f>'16'!I108</f>
        <v>3.9909374999999994</v>
      </c>
      <c r="J24" s="61">
        <f>'16'!J108</f>
        <v>1.3487499999999999</v>
      </c>
      <c r="K24" s="61">
        <f>'16'!K108</f>
        <v>203.40416666666661</v>
      </c>
      <c r="L24" s="61">
        <f>'16'!L108</f>
        <v>29.712500000000006</v>
      </c>
      <c r="M24" s="61">
        <f>'16'!M108</f>
        <v>44.031770833333326</v>
      </c>
      <c r="N24" s="61">
        <f>'16'!N108</f>
        <v>282.59375000000006</v>
      </c>
      <c r="O24" s="61">
        <f>'16'!O108</f>
        <v>0</v>
      </c>
      <c r="P24" s="202">
        <f>'16'!P108</f>
        <v>0.67989583333333325</v>
      </c>
      <c r="Q24" s="61">
        <f>'16'!Q108</f>
        <v>8.7525000000000013</v>
      </c>
      <c r="R24" s="118"/>
      <c r="S24" s="118"/>
      <c r="T24" s="118"/>
      <c r="U24" s="118"/>
    </row>
    <row r="25" spans="1:21" x14ac:dyDescent="0.25">
      <c r="A25" s="94" t="str">
        <f>'17'!$B$2</f>
        <v>17/04/2025 00:15</v>
      </c>
      <c r="B25" s="61">
        <f>'17'!B108</f>
        <v>3.5913541666666657</v>
      </c>
      <c r="C25" s="61">
        <f>'17'!C108</f>
        <v>53.144375000000004</v>
      </c>
      <c r="D25" s="61">
        <f>'17'!D108</f>
        <v>49.568541666666647</v>
      </c>
      <c r="E25" s="61">
        <f>'17'!E108</f>
        <v>3.8592708333333348</v>
      </c>
      <c r="F25" s="61">
        <f>'17'!F108</f>
        <v>12.450104166666668</v>
      </c>
      <c r="G25" s="101">
        <f>'17'!$G$108</f>
        <v>42.837187499999999</v>
      </c>
      <c r="H25" s="61">
        <f>'17'!H108</f>
        <v>13.680208333333324</v>
      </c>
      <c r="I25" s="61">
        <f>'17'!I108</f>
        <v>4.0008333333333317</v>
      </c>
      <c r="J25" s="61">
        <f>'17'!J108</f>
        <v>1.4609375000000002</v>
      </c>
      <c r="K25" s="61">
        <f>'17'!K108</f>
        <v>217.8423958333334</v>
      </c>
      <c r="L25" s="61">
        <f>'17'!L108</f>
        <v>30.281249999999989</v>
      </c>
      <c r="M25" s="61">
        <f>'17'!M108</f>
        <v>48.028229166666655</v>
      </c>
      <c r="N25" s="61">
        <f>'17'!N108</f>
        <v>248.58333333333329</v>
      </c>
      <c r="O25" s="61">
        <f>'17'!O108</f>
        <v>1.0416666666666666E-2</v>
      </c>
      <c r="P25" s="202">
        <f>'17'!P108</f>
        <v>0.53583333333333338</v>
      </c>
      <c r="Q25" s="61">
        <f>'17'!Q108</f>
        <v>8.592395833333331</v>
      </c>
      <c r="R25" s="118"/>
      <c r="S25" s="118"/>
      <c r="T25" s="118"/>
      <c r="U25" s="118"/>
    </row>
    <row r="26" spans="1:21" x14ac:dyDescent="0.25">
      <c r="A26" s="94" t="str">
        <f>'18'!$B$2</f>
        <v>18/04/2025 00:15</v>
      </c>
      <c r="B26" s="61">
        <f>'18'!B108</f>
        <v>2.5273958333333337</v>
      </c>
      <c r="C26" s="61">
        <f>'18'!C108</f>
        <v>42.451145833333349</v>
      </c>
      <c r="D26" s="61">
        <f>'18'!D108</f>
        <v>39.923229166666658</v>
      </c>
      <c r="E26" s="61">
        <f>'18'!E108</f>
        <v>2.8890625000000001</v>
      </c>
      <c r="F26" s="61">
        <f>'18'!F108</f>
        <v>12.302812500000002</v>
      </c>
      <c r="G26" s="99">
        <f>'18'!$G$108</f>
        <v>43.719375000000021</v>
      </c>
      <c r="H26" s="61">
        <f>'18'!H108</f>
        <v>13.182916666666666</v>
      </c>
      <c r="I26" s="61">
        <f>'18'!I108</f>
        <v>3.9883333333333333</v>
      </c>
      <c r="J26" s="61">
        <f>'18'!J108</f>
        <v>1.4864583333333334</v>
      </c>
      <c r="K26" s="61">
        <f>'18'!K108</f>
        <v>231.72052083333335</v>
      </c>
      <c r="L26" s="61">
        <f>'18'!L108</f>
        <v>29.898854166666666</v>
      </c>
      <c r="M26" s="61">
        <f>'18'!M108</f>
        <v>51.996979166666677</v>
      </c>
      <c r="N26" s="61">
        <f>'18'!N108</f>
        <v>252.37812500000004</v>
      </c>
      <c r="O26" s="61">
        <f>'18'!O108</f>
        <v>0</v>
      </c>
      <c r="P26" s="202">
        <f>'18'!P108</f>
        <v>0.43875000000000003</v>
      </c>
      <c r="Q26" s="61">
        <f>'18'!Q108</f>
        <v>8.5047916666666676</v>
      </c>
      <c r="R26" s="118"/>
      <c r="S26" s="118"/>
      <c r="T26" s="118"/>
      <c r="U26" s="118"/>
    </row>
    <row r="27" spans="1:21" x14ac:dyDescent="0.25">
      <c r="A27" s="94" t="str">
        <f>'19'!$B$2</f>
        <v>19/04/2025 00:15</v>
      </c>
      <c r="B27" s="61">
        <f>'19'!B108</f>
        <v>5.0689583333333319</v>
      </c>
      <c r="C27" s="61">
        <f>'19'!C108</f>
        <v>50.043958333333329</v>
      </c>
      <c r="D27" s="61">
        <f>'19'!D108</f>
        <v>44.975312500000001</v>
      </c>
      <c r="E27" s="61">
        <f>'19'!E108</f>
        <v>4.7469791666666659</v>
      </c>
      <c r="F27" s="61">
        <f>'19'!F108</f>
        <v>14.202291666666673</v>
      </c>
      <c r="G27" s="61">
        <f>'19'!G108</f>
        <v>43.553854166666646</v>
      </c>
      <c r="H27" s="61">
        <f>'19'!H108</f>
        <v>14.601979166666659</v>
      </c>
      <c r="I27" s="61">
        <f>'19'!I108</f>
        <v>4.0079166666666657</v>
      </c>
      <c r="J27" s="61">
        <f>'19'!J108</f>
        <v>1.583124999999999</v>
      </c>
      <c r="K27" s="61">
        <f>'19'!K108</f>
        <v>210.46229166666652</v>
      </c>
      <c r="L27" s="61">
        <f>'19'!L108</f>
        <v>31.093749999999996</v>
      </c>
      <c r="M27" s="61">
        <f>'19'!M108</f>
        <v>49.784375000000018</v>
      </c>
      <c r="N27" s="61">
        <f>'19'!N108</f>
        <v>266.95625000000001</v>
      </c>
      <c r="O27" s="61">
        <f>'19'!O108</f>
        <v>0</v>
      </c>
      <c r="P27" s="202">
        <f>'19'!P108</f>
        <v>0.5279166666666667</v>
      </c>
      <c r="Q27" s="61">
        <f>'19'!Q108</f>
        <v>9.137708333333336</v>
      </c>
      <c r="R27" s="118"/>
      <c r="S27" s="118"/>
      <c r="T27" s="118"/>
      <c r="U27" s="118"/>
    </row>
    <row r="28" spans="1:21" x14ac:dyDescent="0.25">
      <c r="A28" s="94" t="str">
        <f>'20'!$B$2</f>
        <v>20/04/2025 00:15</v>
      </c>
      <c r="B28" s="61">
        <f>'20'!B108</f>
        <v>8.4412359550561806</v>
      </c>
      <c r="C28" s="61">
        <f>'20'!C108</f>
        <v>59.465937500000031</v>
      </c>
      <c r="D28" s="61">
        <f>'20'!D108</f>
        <v>51.639270833333363</v>
      </c>
      <c r="E28" s="61">
        <f>'20'!E108</f>
        <v>5.6447916666666691</v>
      </c>
      <c r="F28" s="61">
        <f>'20'!F108</f>
        <v>18.05104166666667</v>
      </c>
      <c r="G28" s="61">
        <f>'20'!G108</f>
        <v>63.919895833333328</v>
      </c>
      <c r="H28" s="61">
        <f>'20'!H108</f>
        <v>20.038125000000012</v>
      </c>
      <c r="I28" s="61">
        <f>'20'!I108</f>
        <v>4.0003125000000006</v>
      </c>
      <c r="J28" s="61">
        <f>'20'!J108</f>
        <v>1.3146874999999998</v>
      </c>
      <c r="K28" s="61">
        <f>'20'!K108</f>
        <v>216.21843750000005</v>
      </c>
      <c r="L28" s="61">
        <f>'20'!L108</f>
        <v>33.01062499999999</v>
      </c>
      <c r="M28" s="61">
        <f>'20'!M108</f>
        <v>43.186666666666667</v>
      </c>
      <c r="N28" s="61">
        <f>'20'!N108</f>
        <v>284.65833333333325</v>
      </c>
      <c r="O28" s="61">
        <f>'20'!O108</f>
        <v>0</v>
      </c>
      <c r="P28" s="202">
        <f>'20'!P108</f>
        <v>0.64437500000000025</v>
      </c>
      <c r="Q28" s="61">
        <f>'20'!Q108</f>
        <v>9.6155208333333331</v>
      </c>
      <c r="R28" s="118"/>
      <c r="S28" s="118"/>
      <c r="T28" s="118"/>
      <c r="U28" s="118"/>
    </row>
    <row r="29" spans="1:21" x14ac:dyDescent="0.25">
      <c r="A29" s="94" t="str">
        <f>'21'!$B$2</f>
        <v>21/04/2025 00:15</v>
      </c>
      <c r="B29" s="61">
        <f>'21'!B108</f>
        <v>11.870937499999998</v>
      </c>
      <c r="C29" s="61">
        <f>'21'!C108</f>
        <v>65.591354166666648</v>
      </c>
      <c r="D29" s="61">
        <f>'21'!D108</f>
        <v>53.720520833333346</v>
      </c>
      <c r="E29" s="61">
        <f>'21'!E108</f>
        <v>6.7622916666666653</v>
      </c>
      <c r="F29" s="61">
        <f>'21'!F108</f>
        <v>17.422499999999996</v>
      </c>
      <c r="G29" s="61">
        <f>'21'!G108</f>
        <v>54.251458333333353</v>
      </c>
      <c r="H29" s="61">
        <f>'21'!H108</f>
        <v>18.015416666666663</v>
      </c>
      <c r="I29" s="61">
        <f>'21'!I108</f>
        <v>3.9825000000000017</v>
      </c>
      <c r="J29" s="61">
        <f>'21'!J108</f>
        <v>1.2882291666666668</v>
      </c>
      <c r="K29" s="61">
        <f>'21'!K108</f>
        <v>232.83166666666671</v>
      </c>
      <c r="L29" s="61">
        <f>'21'!L108</f>
        <v>33.438958333333318</v>
      </c>
      <c r="M29" s="61">
        <f>'21'!M108</f>
        <v>35.974999999999994</v>
      </c>
      <c r="N29" s="61">
        <f>'21'!N108</f>
        <v>284.95</v>
      </c>
      <c r="O29" s="61">
        <f>'21'!O108</f>
        <v>0</v>
      </c>
      <c r="P29" s="202">
        <f>'21'!P108</f>
        <v>0.75062499999999988</v>
      </c>
      <c r="Q29" s="61">
        <f>'21'!Q108</f>
        <v>9.5501041666666691</v>
      </c>
      <c r="R29" s="118"/>
      <c r="S29" s="118"/>
      <c r="T29" s="118"/>
      <c r="U29" s="118"/>
    </row>
    <row r="30" spans="1:21" x14ac:dyDescent="0.25">
      <c r="A30" s="94" t="str">
        <f>'22'!$B$2</f>
        <v>22/04/2025 00:15</v>
      </c>
      <c r="B30" s="61">
        <f>'22'!B108</f>
        <v>13.710107526881718</v>
      </c>
      <c r="C30" s="61">
        <f>'22'!C108</f>
        <v>64.321290322580651</v>
      </c>
      <c r="D30" s="61">
        <f>'22'!D108</f>
        <v>66.842258064516145</v>
      </c>
      <c r="E30" s="61">
        <f>'22'!E108</f>
        <v>7.2797826086956539</v>
      </c>
      <c r="F30" s="61">
        <f>'22'!F108</f>
        <v>14.406562499999991</v>
      </c>
      <c r="G30" s="61">
        <f>'22'!G108</f>
        <v>71.454347826086888</v>
      </c>
      <c r="H30" s="61">
        <f>'22'!H108</f>
        <v>18.288260869565207</v>
      </c>
      <c r="I30" s="61">
        <f>'22'!I108</f>
        <v>4.0090624999999998</v>
      </c>
      <c r="J30" s="61">
        <f>'22'!J108</f>
        <v>1.4183333333333332</v>
      </c>
      <c r="K30" s="61">
        <f>'22'!K108</f>
        <v>265.83645833333338</v>
      </c>
      <c r="L30" s="61">
        <f>'22'!L108</f>
        <v>35.54406250000001</v>
      </c>
      <c r="M30" s="61">
        <f>'22'!M108</f>
        <v>26.941666666666659</v>
      </c>
      <c r="N30" s="61">
        <f>'22'!N108</f>
        <v>297.35208333333333</v>
      </c>
      <c r="O30" s="61">
        <f>'22'!O108</f>
        <v>0</v>
      </c>
      <c r="P30" s="202">
        <f>'22'!P108</f>
        <v>0.78617021276595722</v>
      </c>
      <c r="Q30" s="61">
        <f>'22'!Q108</f>
        <v>9.4589583333333316</v>
      </c>
      <c r="R30" s="118"/>
      <c r="S30" s="118"/>
      <c r="T30" s="118"/>
      <c r="U30" s="118"/>
    </row>
    <row r="31" spans="1:21" x14ac:dyDescent="0.25">
      <c r="A31" s="94" t="str">
        <f>'23'!$B$2</f>
        <v>23/04/2025 00:15</v>
      </c>
      <c r="B31" s="61">
        <f>'23'!B108</f>
        <v>30.397083333333338</v>
      </c>
      <c r="C31" s="61">
        <f>'23'!C108</f>
        <v>61.014687500000001</v>
      </c>
      <c r="D31" s="61">
        <f>'23'!D108</f>
        <v>70.126458333333332</v>
      </c>
      <c r="E31" s="61">
        <f>'23'!E108</f>
        <v>7.3104166666666659</v>
      </c>
      <c r="F31" s="61">
        <f>'23'!F108</f>
        <v>12.64875</v>
      </c>
      <c r="G31" s="61">
        <f>'23'!G108</f>
        <v>69.205729166666643</v>
      </c>
      <c r="H31" s="61">
        <f>'23'!H108</f>
        <v>20.570624999999989</v>
      </c>
      <c r="I31" s="61">
        <f>'23'!I108</f>
        <v>4.0020833333333323</v>
      </c>
      <c r="J31" s="61">
        <f>'23'!J108</f>
        <v>1.4624999999999997</v>
      </c>
      <c r="K31" s="61">
        <f>'23'!K108</f>
        <v>250.4676041666668</v>
      </c>
      <c r="L31" s="61">
        <f>'23'!L108</f>
        <v>37.325624999999995</v>
      </c>
      <c r="M31" s="61">
        <f>'23'!M108</f>
        <v>30.658645833333349</v>
      </c>
      <c r="N31" s="61">
        <f>'23'!N108</f>
        <v>281.67812500000014</v>
      </c>
      <c r="O31" s="61">
        <f>'23'!O108</f>
        <v>0</v>
      </c>
      <c r="P31" s="202">
        <f>'23'!P108</f>
        <v>1.0330208333333333</v>
      </c>
      <c r="Q31" s="61">
        <f>'23'!Q108</f>
        <v>9.5361458333333324</v>
      </c>
      <c r="R31" s="118"/>
      <c r="S31" s="207"/>
      <c r="T31" s="118"/>
      <c r="U31" s="118"/>
    </row>
    <row r="32" spans="1:21" x14ac:dyDescent="0.25">
      <c r="A32" s="94" t="str">
        <f>'24'!$B$2</f>
        <v>24/04/2025 00:15</v>
      </c>
      <c r="B32" s="61">
        <f>'24'!B108</f>
        <v>16.551354166666666</v>
      </c>
      <c r="C32" s="61">
        <f>'24'!C108</f>
        <v>45.898333333333333</v>
      </c>
      <c r="D32" s="61">
        <f>'24'!D108</f>
        <v>62.443750000000016</v>
      </c>
      <c r="E32" s="61">
        <f>'24'!E108</f>
        <v>8.0382291666666674</v>
      </c>
      <c r="F32" s="61">
        <f>'24'!F108</f>
        <v>15.102916666666665</v>
      </c>
      <c r="G32" s="61">
        <f>'24'!G108</f>
        <v>57.065208333333381</v>
      </c>
      <c r="H32" s="61">
        <f>'24'!H108</f>
        <v>21.077916666666656</v>
      </c>
      <c r="I32" s="61">
        <f>'24'!I108</f>
        <v>3.9747916666666669</v>
      </c>
      <c r="J32" s="61">
        <f>'24'!J108</f>
        <v>1.7462499999999992</v>
      </c>
      <c r="K32" s="61">
        <f>'24'!K108</f>
        <v>252.79791666666654</v>
      </c>
      <c r="L32" s="61">
        <f>'24'!L108</f>
        <v>38.28572916666667</v>
      </c>
      <c r="M32" s="61">
        <f>'24'!M108</f>
        <v>26.062708333333333</v>
      </c>
      <c r="N32" s="61">
        <f>'24'!N108</f>
        <v>291.89166666666671</v>
      </c>
      <c r="O32" s="61">
        <f>'24'!O108</f>
        <v>0</v>
      </c>
      <c r="P32" s="202">
        <f>'24'!P108</f>
        <v>0.78291666666666659</v>
      </c>
      <c r="Q32" s="61">
        <f>'24'!Q108</f>
        <v>9.5828125000000028</v>
      </c>
      <c r="R32" s="118"/>
      <c r="S32" s="118"/>
      <c r="T32" s="118"/>
      <c r="U32" s="118"/>
    </row>
    <row r="33" spans="1:21" x14ac:dyDescent="0.25">
      <c r="A33" s="94" t="str">
        <f>'25'!$B$2</f>
        <v>25/04/2025 00:15</v>
      </c>
      <c r="B33" s="61">
        <f>'25'!B108</f>
        <v>16.476041666666667</v>
      </c>
      <c r="C33" s="61">
        <f>'25'!C108</f>
        <v>48.875729166666652</v>
      </c>
      <c r="D33" s="61">
        <f>'25'!D108</f>
        <v>68.260104166666665</v>
      </c>
      <c r="E33" s="61">
        <f>'25'!E108</f>
        <v>8.3831250000000015</v>
      </c>
      <c r="F33" s="61">
        <f>'25'!F108</f>
        <v>15.200729166666667</v>
      </c>
      <c r="G33" s="61">
        <f>'25'!G108</f>
        <v>66.094375000000014</v>
      </c>
      <c r="H33" s="61">
        <f>'25'!H108</f>
        <v>16.876249999999988</v>
      </c>
      <c r="I33" s="61">
        <f>'25'!I108</f>
        <v>3.9993750000000023</v>
      </c>
      <c r="J33" s="61">
        <f>'25'!J108</f>
        <v>1.6731250000000004</v>
      </c>
      <c r="K33" s="61">
        <f>'25'!K108</f>
        <v>233.72468749999996</v>
      </c>
      <c r="L33" s="61">
        <f>'25'!L108</f>
        <v>38.107187500000002</v>
      </c>
      <c r="M33" s="61">
        <f>'25'!M108</f>
        <v>27.166354166666675</v>
      </c>
      <c r="N33" s="61">
        <f>'25'!N108</f>
        <v>328.03020833333341</v>
      </c>
      <c r="O33" s="61">
        <f>'25'!O108</f>
        <v>0</v>
      </c>
      <c r="P33" s="202">
        <f>'25'!P108</f>
        <v>0.77749999999999986</v>
      </c>
      <c r="Q33" s="61">
        <f>'25'!Q108</f>
        <v>9.7795833333333366</v>
      </c>
      <c r="R33" s="118"/>
      <c r="S33" s="207"/>
      <c r="T33" s="118"/>
      <c r="U33" s="118"/>
    </row>
    <row r="34" spans="1:21" x14ac:dyDescent="0.25">
      <c r="A34" s="94" t="str">
        <f>'26'!$B$2</f>
        <v>26/04/2025 00:15</v>
      </c>
      <c r="B34" s="61">
        <f>'26'!B108</f>
        <v>4.9285416666666677</v>
      </c>
      <c r="C34" s="61">
        <f>'26'!C108</f>
        <v>31.20708333333333</v>
      </c>
      <c r="D34" s="61">
        <f>'26'!D108</f>
        <v>52.165312499999999</v>
      </c>
      <c r="E34" s="61">
        <f>'26'!E108</f>
        <v>8.7729166666666654</v>
      </c>
      <c r="F34" s="61">
        <f>'26'!F108</f>
        <v>13.053124999999996</v>
      </c>
      <c r="G34" s="61">
        <f>'26'!G108</f>
        <v>55.285520833333344</v>
      </c>
      <c r="H34" s="61">
        <f>'26'!H108</f>
        <v>16.78532608695652</v>
      </c>
      <c r="I34" s="61">
        <f>'26'!I108</f>
        <v>4.0008333333333326</v>
      </c>
      <c r="J34" s="61">
        <f>'26'!J108</f>
        <v>2.1445833333333328</v>
      </c>
      <c r="K34" s="61">
        <f>'26'!K108</f>
        <v>242.85312499999998</v>
      </c>
      <c r="L34" s="61">
        <f>'26'!L108</f>
        <v>37.596249999999976</v>
      </c>
      <c r="M34" s="61">
        <f>'26'!M108</f>
        <v>31.06625</v>
      </c>
      <c r="N34" s="61">
        <f>'26'!N108</f>
        <v>288.18229166666652</v>
      </c>
      <c r="O34" s="61">
        <f>'26'!O108</f>
        <v>0</v>
      </c>
      <c r="P34" s="202">
        <f>'26'!P108</f>
        <v>0.56906249999999992</v>
      </c>
      <c r="Q34" s="61">
        <f>'26'!Q108</f>
        <v>9.4872916666666747</v>
      </c>
      <c r="R34" s="118"/>
      <c r="S34" s="118"/>
      <c r="T34" s="118"/>
      <c r="U34" s="118"/>
    </row>
    <row r="35" spans="1:21" x14ac:dyDescent="0.25">
      <c r="A35" s="94" t="str">
        <f>'27'!$B$2</f>
        <v>27/04/2025 00:15</v>
      </c>
      <c r="B35" s="61">
        <f>'27'!B108</f>
        <v>3.8080208333333325</v>
      </c>
      <c r="C35" s="61">
        <f>'27'!C108</f>
        <v>27.727291666666655</v>
      </c>
      <c r="D35" s="61">
        <f>'27'!D108</f>
        <v>47.224583333333335</v>
      </c>
      <c r="E35" s="61">
        <f>'27'!E108</f>
        <v>2.8024999999999989</v>
      </c>
      <c r="F35" s="61">
        <f>'27'!F108</f>
        <v>10.000833333333333</v>
      </c>
      <c r="G35" s="61">
        <f>'27'!G108</f>
        <v>37.688333333333361</v>
      </c>
      <c r="H35" s="61">
        <f>'27'!H108</f>
        <v>12.44635416666666</v>
      </c>
      <c r="I35" s="61">
        <f>'27'!I108</f>
        <v>4.0141666666666671</v>
      </c>
      <c r="J35" s="61">
        <f>'27'!J108</f>
        <v>2.3945833333333333</v>
      </c>
      <c r="K35" s="61">
        <f>'27'!K108</f>
        <v>215.51604166666664</v>
      </c>
      <c r="L35" s="61">
        <f>'27'!L108</f>
        <v>32.026770833333323</v>
      </c>
      <c r="M35" s="61">
        <f>'27'!M108</f>
        <v>55.772187500000001</v>
      </c>
      <c r="N35" s="61">
        <f>'27'!N108</f>
        <v>285.01979166666655</v>
      </c>
      <c r="O35" s="61">
        <f>'27'!O108</f>
        <v>0.11041666666666666</v>
      </c>
      <c r="P35" s="202">
        <f>'27'!P108</f>
        <v>0.4649999999999998</v>
      </c>
      <c r="Q35" s="61">
        <f>'27'!Q108</f>
        <v>9.4736458333333307</v>
      </c>
      <c r="R35" s="118"/>
      <c r="S35" s="118"/>
      <c r="T35" s="118"/>
      <c r="U35" s="118"/>
    </row>
    <row r="36" spans="1:21" x14ac:dyDescent="0.25">
      <c r="A36" s="94" t="str">
        <f>'28'!$B$2</f>
        <v>28/04/2025 00:15</v>
      </c>
      <c r="B36" s="61">
        <f>'28'!B108</f>
        <v>5.1735416666666669</v>
      </c>
      <c r="C36" s="61">
        <f>'28'!C108</f>
        <v>27.412083333333332</v>
      </c>
      <c r="D36" s="61">
        <f>'28'!D108</f>
        <v>44.526041666666636</v>
      </c>
      <c r="E36" s="61">
        <f>'28'!E108</f>
        <v>3.4038541666666657</v>
      </c>
      <c r="F36" s="61">
        <f>'28'!F108</f>
        <v>9.2077083333333398</v>
      </c>
      <c r="G36" s="61">
        <f>'28'!G108</f>
        <v>32.33666666666668</v>
      </c>
      <c r="H36" s="61">
        <f>'28'!H108</f>
        <v>9.1267708333333335</v>
      </c>
      <c r="I36" s="61">
        <f>'28'!I108</f>
        <v>3.9934374999999993</v>
      </c>
      <c r="J36" s="61">
        <f>'28'!J108</f>
        <v>2.1990624999999997</v>
      </c>
      <c r="K36" s="61">
        <f>'28'!K108</f>
        <v>193.90124999999998</v>
      </c>
      <c r="L36" s="61">
        <f>'28'!L108</f>
        <v>30.477604166666648</v>
      </c>
      <c r="M36" s="61">
        <f>'28'!M108</f>
        <v>57.722604166666677</v>
      </c>
      <c r="N36" s="61">
        <f>'28'!N108</f>
        <v>311.48229166666675</v>
      </c>
      <c r="O36" s="61">
        <f>'28'!O108</f>
        <v>8.3333333333333332E-3</v>
      </c>
      <c r="P36" s="202">
        <f>'28'!P108</f>
        <v>0.36968749999999989</v>
      </c>
      <c r="Q36" s="61">
        <f>'28'!Q108</f>
        <v>9.5420833333333288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29/04/2025 00:15</v>
      </c>
      <c r="B37" s="61">
        <f>'29'!B108</f>
        <v>5.7129166666666658</v>
      </c>
      <c r="C37" s="61">
        <f>'29'!C108</f>
        <v>24.860937500000006</v>
      </c>
      <c r="D37" s="61">
        <f>'29'!D108</f>
        <v>38.814687499999984</v>
      </c>
      <c r="E37" s="61">
        <f>'29'!E108</f>
        <v>2.8523958333333326</v>
      </c>
      <c r="F37" s="61">
        <f>'29'!F108</f>
        <v>7.9247916666666667</v>
      </c>
      <c r="G37" s="61">
        <f>'29'!G108</f>
        <v>22.825624999999999</v>
      </c>
      <c r="H37" s="61">
        <f>'29'!H108</f>
        <v>7.1156249999999952</v>
      </c>
      <c r="I37" s="61">
        <f>'29'!I108</f>
        <v>4.000520833333332</v>
      </c>
      <c r="J37" s="61">
        <f>'29'!J108</f>
        <v>2.1697916666666668</v>
      </c>
      <c r="K37" s="61">
        <f>'29'!K108</f>
        <v>171.19729166666664</v>
      </c>
      <c r="L37" s="61">
        <f>'29'!L108</f>
        <v>30.640312500000004</v>
      </c>
      <c r="M37" s="61">
        <f>'29'!M108</f>
        <v>65.321874999999991</v>
      </c>
      <c r="N37" s="61">
        <f>'29'!N108</f>
        <v>323.66250000000025</v>
      </c>
      <c r="O37" s="61">
        <f>'29'!O108</f>
        <v>0</v>
      </c>
      <c r="P37" s="202">
        <f>'29'!P108</f>
        <v>0.31572916666666662</v>
      </c>
      <c r="Q37" s="61">
        <f>'29'!Q108</f>
        <v>9.5091666666666708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30/04/2025 00:15</v>
      </c>
      <c r="B38" s="61">
        <f>'30'!B108</f>
        <v>5.2490624999999991</v>
      </c>
      <c r="C38" s="61">
        <f>'30'!C108</f>
        <v>23.971562499999987</v>
      </c>
      <c r="D38" s="61">
        <f>'30'!D108</f>
        <v>37.824895833333329</v>
      </c>
      <c r="E38" s="61">
        <f>'30'!E108</f>
        <v>2.6533333333333347</v>
      </c>
      <c r="F38" s="61">
        <f>'30'!F108</f>
        <v>10.933437500000002</v>
      </c>
      <c r="G38" s="61">
        <f>'30'!G108</f>
        <v>20.832708333333333</v>
      </c>
      <c r="H38" s="61">
        <f>'30'!H108</f>
        <v>6.6612500000000034</v>
      </c>
      <c r="I38" s="61">
        <f>'30'!I108</f>
        <v>3.9954166666666651</v>
      </c>
      <c r="J38" s="61">
        <f>'30'!J108</f>
        <v>1.9692708333333337</v>
      </c>
      <c r="K38" s="61">
        <f>'30'!K108</f>
        <v>119.40145833333334</v>
      </c>
      <c r="L38" s="61">
        <f>'30'!L108</f>
        <v>30.798958333333317</v>
      </c>
      <c r="M38" s="61">
        <f>'30'!M108</f>
        <v>58.51541666666666</v>
      </c>
      <c r="N38" s="61">
        <f>'30'!N108</f>
        <v>341.9406249999999</v>
      </c>
      <c r="O38" s="61">
        <f>'30'!O108</f>
        <v>0</v>
      </c>
      <c r="P38" s="202">
        <f>'30'!P108</f>
        <v>0.32906250000000009</v>
      </c>
      <c r="Q38" s="61">
        <f>'30'!Q108</f>
        <v>9.4458333333333417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2.0927083333333338</v>
      </c>
      <c r="C40" s="16">
        <f t="shared" si="0"/>
        <v>23.971562499999987</v>
      </c>
      <c r="D40" s="16">
        <f t="shared" si="0"/>
        <v>37.824895833333329</v>
      </c>
      <c r="E40" s="16">
        <f t="shared" si="0"/>
        <v>2.6533333333333347</v>
      </c>
      <c r="F40" s="16">
        <f t="shared" si="0"/>
        <v>7.9247916666666667</v>
      </c>
      <c r="G40" s="16">
        <f t="shared" si="0"/>
        <v>20.832708333333333</v>
      </c>
      <c r="H40" s="16">
        <f t="shared" si="0"/>
        <v>6.6612500000000034</v>
      </c>
      <c r="I40" s="16">
        <f t="shared" si="0"/>
        <v>3.9747916666666669</v>
      </c>
      <c r="J40" s="16">
        <f t="shared" si="0"/>
        <v>0.58624999999999994</v>
      </c>
      <c r="K40" s="16">
        <f t="shared" si="0"/>
        <v>119.40145833333334</v>
      </c>
      <c r="L40" s="16">
        <f t="shared" si="0"/>
        <v>23.585624999999997</v>
      </c>
      <c r="M40" s="16">
        <f t="shared" si="0"/>
        <v>24.391458333333322</v>
      </c>
      <c r="N40" s="16">
        <f t="shared" si="0"/>
        <v>130.15104166666666</v>
      </c>
      <c r="O40" s="16">
        <f t="shared" si="0"/>
        <v>0</v>
      </c>
      <c r="P40" s="16">
        <f t="shared" si="0"/>
        <v>0.31572916666666662</v>
      </c>
      <c r="Q40" s="16">
        <f t="shared" si="0"/>
        <v>8.5047916666666676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60.606979166666669</v>
      </c>
      <c r="C41" s="16">
        <f t="shared" si="1"/>
        <v>110.1998958333333</v>
      </c>
      <c r="D41" s="16">
        <f t="shared" si="1"/>
        <v>140.81333333333333</v>
      </c>
      <c r="E41" s="16">
        <f t="shared" si="1"/>
        <v>37.502812500000005</v>
      </c>
      <c r="F41" s="16">
        <f t="shared" si="1"/>
        <v>18.05104166666667</v>
      </c>
      <c r="G41" s="16">
        <f t="shared" si="1"/>
        <v>129.7714583333333</v>
      </c>
      <c r="H41" s="16">
        <f t="shared" si="1"/>
        <v>100.61259259259261</v>
      </c>
      <c r="I41" s="16">
        <f t="shared" si="1"/>
        <v>4.0209374999999987</v>
      </c>
      <c r="J41" s="16">
        <f t="shared" si="1"/>
        <v>2.3958333333333335</v>
      </c>
      <c r="K41" s="16">
        <f t="shared" si="1"/>
        <v>265.83645833333338</v>
      </c>
      <c r="L41" s="16">
        <f t="shared" si="1"/>
        <v>38.28572916666667</v>
      </c>
      <c r="M41" s="16">
        <f t="shared" si="1"/>
        <v>65.321874999999991</v>
      </c>
      <c r="N41" s="16">
        <f t="shared" si="1"/>
        <v>341.9406249999999</v>
      </c>
      <c r="O41" s="16">
        <f t="shared" si="1"/>
        <v>0.11041666666666666</v>
      </c>
      <c r="P41" s="16">
        <f t="shared" si="1"/>
        <v>1.3955208333333335</v>
      </c>
      <c r="Q41" s="16">
        <f t="shared" si="1"/>
        <v>9.7795833333333366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13.368772930743432</v>
      </c>
      <c r="C42" s="16">
        <f t="shared" si="2"/>
        <v>55.247435025455474</v>
      </c>
      <c r="D42" s="16">
        <f t="shared" si="2"/>
        <v>69.550576675837007</v>
      </c>
      <c r="E42" s="16">
        <f t="shared" si="2"/>
        <v>7.6250195774937639</v>
      </c>
      <c r="F42" s="16">
        <f t="shared" si="2"/>
        <v>13.455770833333338</v>
      </c>
      <c r="G42" s="16">
        <f t="shared" si="2"/>
        <v>58.730779438405804</v>
      </c>
      <c r="H42" s="16">
        <f t="shared" si="2"/>
        <v>22.458184387570764</v>
      </c>
      <c r="I42" s="16">
        <f t="shared" si="2"/>
        <v>3.9987083333333326</v>
      </c>
      <c r="J42" s="16">
        <f t="shared" si="2"/>
        <v>1.4622499999999996</v>
      </c>
      <c r="K42" s="16">
        <f t="shared" si="2"/>
        <v>216.17845833333334</v>
      </c>
      <c r="L42" s="16">
        <f t="shared" si="2"/>
        <v>30.877711805555553</v>
      </c>
      <c r="M42" s="16">
        <f t="shared" si="2"/>
        <v>40.650107638888898</v>
      </c>
      <c r="N42" s="16">
        <f t="shared" si="2"/>
        <v>265.05500000000006</v>
      </c>
      <c r="O42" s="16">
        <f t="shared" si="2"/>
        <v>4.9305555555555552E-3</v>
      </c>
      <c r="P42" s="16">
        <f t="shared" si="2"/>
        <v>0.71505365409276445</v>
      </c>
      <c r="Q42" s="16">
        <f t="shared" si="2"/>
        <v>9.3352745763721376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12.848561243737715</v>
      </c>
      <c r="C43" s="16">
        <f t="shared" si="3"/>
        <v>20.861452445248826</v>
      </c>
      <c r="D43" s="16">
        <f t="shared" si="3"/>
        <v>26.574497240795878</v>
      </c>
      <c r="E43" s="16">
        <f t="shared" si="3"/>
        <v>7.4842054982882003</v>
      </c>
      <c r="F43" s="16">
        <f t="shared" si="3"/>
        <v>2.2793635490542119</v>
      </c>
      <c r="G43" s="16">
        <f t="shared" si="3"/>
        <v>23.555500284012087</v>
      </c>
      <c r="H43" s="16">
        <f t="shared" si="3"/>
        <v>19.543608077053928</v>
      </c>
      <c r="I43" s="16">
        <f t="shared" si="3"/>
        <v>1.1743308398640823E-2</v>
      </c>
      <c r="J43" s="16">
        <f t="shared" si="3"/>
        <v>0.55395116869634686</v>
      </c>
      <c r="K43" s="16">
        <f t="shared" si="3"/>
        <v>29.03481612875056</v>
      </c>
      <c r="L43" s="16">
        <f t="shared" si="3"/>
        <v>3.7535692218074459</v>
      </c>
      <c r="M43" s="16">
        <f t="shared" si="3"/>
        <v>12.172042659285419</v>
      </c>
      <c r="N43" s="16">
        <f t="shared" si="3"/>
        <v>49.089118627436193</v>
      </c>
      <c r="O43" s="16">
        <f t="shared" si="3"/>
        <v>2.0335159651980111E-2</v>
      </c>
      <c r="P43" s="16">
        <f t="shared" si="3"/>
        <v>0.27675159236219482</v>
      </c>
      <c r="Q43" s="16">
        <f t="shared" si="3"/>
        <v>0.37453265007755732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P44" si="4">COUNT(B9:B38)</f>
        <v>26</v>
      </c>
      <c r="C44" s="13">
        <f t="shared" si="4"/>
        <v>26</v>
      </c>
      <c r="D44" s="13">
        <f t="shared" si="4"/>
        <v>26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6">
        <f>COUNT(Q9:Q38)+3</f>
        <v>24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&lt;90%</v>
      </c>
      <c r="C45" s="13" t="str">
        <f t="shared" ref="C45:Q45" si="5">IF(C44&gt;=28,"&gt;90%",IF(C44&lt;=28,"&lt;90%"))</f>
        <v>&lt;90%</v>
      </c>
      <c r="D45" s="13" t="str">
        <f t="shared" si="5"/>
        <v>&lt;90%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&lt;90%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LESS</v>
      </c>
      <c r="C46" s="13" t="str">
        <f t="shared" ref="C46:Q46" si="6">IF(C44&gt;=28,"OK",IF(C44&lt;=28,"LESS"))</f>
        <v>LESS</v>
      </c>
      <c r="D46" s="13" t="str">
        <f t="shared" si="6"/>
        <v>LESS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LESS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2" sqref="D2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5" t="s">
        <v>3126</v>
      </c>
      <c r="E1" s="225"/>
      <c r="F1" s="225"/>
      <c r="G1" s="225"/>
      <c r="H1" s="225"/>
      <c r="I1" s="225"/>
      <c r="J1" s="226"/>
    </row>
    <row r="2" spans="2:24" ht="22.5" customHeight="1" thickBot="1" x14ac:dyDescent="0.3">
      <c r="B2" s="54"/>
      <c r="C2" s="111" t="s">
        <v>0</v>
      </c>
      <c r="D2" s="112" t="s">
        <v>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45761.538194444445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197.24</v>
      </c>
      <c r="I8" s="60">
        <v>0</v>
      </c>
      <c r="J8" s="61">
        <f>F8/H8</f>
        <v>1.0139931048468871</v>
      </c>
      <c r="K8" s="61">
        <f>(H8-F8)*100/F8</f>
        <v>-1.3799999999999955</v>
      </c>
      <c r="L8" s="60" t="s">
        <v>67</v>
      </c>
      <c r="M8" s="78" t="s">
        <v>216</v>
      </c>
      <c r="O8" s="63">
        <v>45749.661111111112</v>
      </c>
      <c r="P8" s="64" t="s">
        <v>70</v>
      </c>
      <c r="Q8" s="64">
        <v>4696.78</v>
      </c>
      <c r="R8" s="64">
        <v>357701</v>
      </c>
      <c r="S8" s="77" t="s">
        <v>244</v>
      </c>
      <c r="T8" s="77">
        <v>832.33</v>
      </c>
      <c r="U8" s="86">
        <v>0.89770000000000005</v>
      </c>
      <c r="V8" s="86">
        <v>0.90059999999999996</v>
      </c>
      <c r="W8" s="60" t="s">
        <v>67</v>
      </c>
      <c r="X8" s="78" t="s">
        <v>216</v>
      </c>
    </row>
    <row r="9" spans="2:24" ht="15.75" x14ac:dyDescent="0.25">
      <c r="B9" s="63">
        <v>45769.534722222219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199.21</v>
      </c>
      <c r="I9" s="60">
        <v>0</v>
      </c>
      <c r="J9" s="61">
        <f t="shared" ref="J9:J14" si="0">F9/H9</f>
        <v>1.0039656643742783</v>
      </c>
      <c r="K9" s="61">
        <f t="shared" ref="K9:K14" si="1">(H9-F9)*100/F9</f>
        <v>-0.39499999999999602</v>
      </c>
      <c r="L9" s="60" t="s">
        <v>67</v>
      </c>
      <c r="M9" s="62" t="s">
        <v>216</v>
      </c>
      <c r="O9" s="63">
        <v>45761.472916666666</v>
      </c>
      <c r="P9" s="64" t="s">
        <v>70</v>
      </c>
      <c r="Q9" s="64">
        <v>4724.0600000000004</v>
      </c>
      <c r="R9" s="64">
        <v>3602.93</v>
      </c>
      <c r="S9" s="77" t="s">
        <v>244</v>
      </c>
      <c r="T9" s="77">
        <v>829.85</v>
      </c>
      <c r="U9" s="86">
        <v>0.90059999999999996</v>
      </c>
      <c r="V9" s="86">
        <v>0.90620000000000001</v>
      </c>
      <c r="W9" s="60" t="s">
        <v>67</v>
      </c>
      <c r="X9" s="62" t="s">
        <v>216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>
        <v>45769.490972222222</v>
      </c>
      <c r="P10" s="64" t="s">
        <v>71</v>
      </c>
      <c r="Q10" s="64">
        <v>4330.45</v>
      </c>
      <c r="R10" s="64">
        <v>3286.94</v>
      </c>
      <c r="S10" s="77" t="s">
        <v>244</v>
      </c>
      <c r="T10" s="77">
        <v>833.68</v>
      </c>
      <c r="U10" s="86">
        <v>0.88919999999999999</v>
      </c>
      <c r="V10" s="86">
        <v>0.89059999999999995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2" t="s">
        <v>25</v>
      </c>
      <c r="D21" s="222"/>
      <c r="E21" s="222"/>
      <c r="F21" s="222"/>
      <c r="G21" s="222"/>
      <c r="H21" s="222"/>
      <c r="I21" s="45">
        <f>COUNT(B8:B20)</f>
        <v>2</v>
      </c>
      <c r="J21" s="46"/>
      <c r="K21" s="46"/>
      <c r="L21" s="47"/>
      <c r="M21" s="48"/>
      <c r="O21" s="80"/>
      <c r="P21" s="221" t="s">
        <v>84</v>
      </c>
      <c r="Q21" s="221"/>
      <c r="R21" s="221"/>
      <c r="S21" s="221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3" t="s">
        <v>2</v>
      </c>
      <c r="H24" s="223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45761.479166666664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201.64</v>
      </c>
      <c r="I27" s="60">
        <v>0</v>
      </c>
      <c r="J27" s="61">
        <f>F27/H27</f>
        <v>0.99186669311644526</v>
      </c>
      <c r="K27" s="61">
        <f>(H27-F27)*100/F27</f>
        <v>0.81999999999999318</v>
      </c>
      <c r="L27" s="60" t="s">
        <v>67</v>
      </c>
      <c r="M27" s="78" t="s">
        <v>216</v>
      </c>
      <c r="O27" s="63">
        <v>45749.681250000001</v>
      </c>
      <c r="P27" s="64" t="s">
        <v>71</v>
      </c>
      <c r="Q27" s="64">
        <v>5080.82</v>
      </c>
      <c r="R27" s="64">
        <v>3887.85</v>
      </c>
      <c r="S27" s="77" t="s">
        <v>245</v>
      </c>
      <c r="T27" s="77">
        <v>821.58</v>
      </c>
      <c r="U27" s="86">
        <v>0.9012</v>
      </c>
      <c r="V27" s="86">
        <v>0.92910000000000004</v>
      </c>
      <c r="W27" s="60" t="s">
        <v>67</v>
      </c>
      <c r="X27" s="78" t="s">
        <v>216</v>
      </c>
    </row>
    <row r="28" spans="2:24" s="24" customFormat="1" ht="15.75" x14ac:dyDescent="0.25">
      <c r="B28" s="63">
        <v>45769.474999999999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</v>
      </c>
      <c r="I28" s="60">
        <v>0</v>
      </c>
      <c r="J28" s="61">
        <f t="shared" ref="J28:J33" si="2">F28/H28</f>
        <v>1</v>
      </c>
      <c r="K28" s="61">
        <f t="shared" ref="K28:K33" si="3">(H28-F28)*100/F28</f>
        <v>0</v>
      </c>
      <c r="L28" s="60" t="s">
        <v>67</v>
      </c>
      <c r="M28" s="62" t="s">
        <v>222</v>
      </c>
      <c r="O28" s="63">
        <v>45761.472916666666</v>
      </c>
      <c r="P28" s="64" t="s">
        <v>71</v>
      </c>
      <c r="Q28" s="64">
        <v>4770.8500000000004</v>
      </c>
      <c r="R28" s="64">
        <v>3637.67</v>
      </c>
      <c r="S28" s="77" t="s">
        <v>245</v>
      </c>
      <c r="T28" s="77">
        <v>854.55</v>
      </c>
      <c r="U28" s="86">
        <v>0.92910000000000004</v>
      </c>
      <c r="V28" s="86">
        <v>0.92090000000000005</v>
      </c>
      <c r="W28" s="60" t="s">
        <v>67</v>
      </c>
      <c r="X28" s="62" t="s">
        <v>216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223</v>
      </c>
      <c r="O29" s="63">
        <v>45769.490972222222</v>
      </c>
      <c r="P29" s="64" t="s">
        <v>71</v>
      </c>
      <c r="Q29" s="64">
        <v>4832.59</v>
      </c>
      <c r="R29" s="64">
        <v>3705.27</v>
      </c>
      <c r="S29" s="77" t="s">
        <v>245</v>
      </c>
      <c r="T29" s="77">
        <v>849.05</v>
      </c>
      <c r="U29" s="86">
        <v>0.93920000000000003</v>
      </c>
      <c r="V29" s="86">
        <v>0.93689999999999996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 t="s">
        <v>245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1" t="s">
        <v>85</v>
      </c>
      <c r="Q40" s="221"/>
      <c r="R40" s="221"/>
      <c r="S40" s="221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2" t="s">
        <v>26</v>
      </c>
      <c r="E41" s="222"/>
      <c r="F41" s="222"/>
      <c r="G41" s="222"/>
      <c r="H41" s="222"/>
      <c r="I41" s="222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3" t="s">
        <v>23</v>
      </c>
      <c r="H44" s="223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2" t="s">
        <v>27</v>
      </c>
      <c r="E61" s="222"/>
      <c r="F61" s="222"/>
      <c r="G61" s="222"/>
      <c r="H61" s="222"/>
      <c r="I61" s="222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3" t="s">
        <v>3</v>
      </c>
      <c r="H64" s="223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45761.557638888888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4.9820000000000002</v>
      </c>
      <c r="I67" s="60">
        <v>0</v>
      </c>
      <c r="J67" s="61">
        <f>F67/H67</f>
        <v>1.0036130068245683</v>
      </c>
      <c r="K67" s="61">
        <f>(H67-F67)*100/F67</f>
        <v>-0.35999999999999588</v>
      </c>
      <c r="L67" s="60" t="s">
        <v>67</v>
      </c>
      <c r="M67" s="78" t="s">
        <v>222</v>
      </c>
    </row>
    <row r="68" spans="2:13" ht="15.75" x14ac:dyDescent="0.25">
      <c r="B68" s="63">
        <v>45769.552083333336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4.9931000000000001</v>
      </c>
      <c r="I68" s="60">
        <v>0</v>
      </c>
      <c r="J68" s="61">
        <f t="shared" ref="J68:J73" si="4">F68/H68</f>
        <v>1.0013819070317038</v>
      </c>
      <c r="K68" s="61">
        <f t="shared" ref="K68:K73" si="5">(H68-F68)*100/F68</f>
        <v>-0.13799999999999812</v>
      </c>
      <c r="L68" s="60" t="s">
        <v>67</v>
      </c>
      <c r="M68" s="62" t="s">
        <v>223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2" t="s">
        <v>28</v>
      </c>
      <c r="E81" s="222"/>
      <c r="F81" s="222"/>
      <c r="G81" s="222"/>
      <c r="H81" s="222"/>
      <c r="I81" s="222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3" t="s">
        <v>24</v>
      </c>
      <c r="H84" s="223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2" t="s">
        <v>29</v>
      </c>
      <c r="E101" s="222"/>
      <c r="F101" s="222"/>
      <c r="G101" s="222"/>
      <c r="H101" s="222"/>
      <c r="I101" s="222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2" t="s">
        <v>69</v>
      </c>
      <c r="D119" s="222"/>
      <c r="E119" s="222"/>
      <c r="F119" s="222"/>
      <c r="G119" s="222"/>
      <c r="H119" s="222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7" t="s">
        <v>226</v>
      </c>
      <c r="C2" s="227"/>
      <c r="D2" s="228">
        <v>45017</v>
      </c>
      <c r="E2" s="228"/>
    </row>
    <row r="3" spans="1:5" x14ac:dyDescent="0.25">
      <c r="B3" s="227" t="s">
        <v>21</v>
      </c>
      <c r="C3" s="227"/>
      <c r="D3" s="228"/>
      <c r="E3" s="228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9" t="s">
        <v>22</v>
      </c>
      <c r="C44" s="229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5" t="s">
        <v>220</v>
      </c>
      <c r="C2" s="245"/>
      <c r="D2" s="245"/>
      <c r="E2" s="245"/>
      <c r="F2" s="246">
        <v>44713</v>
      </c>
      <c r="G2" s="247"/>
      <c r="H2" s="247"/>
    </row>
    <row r="3" spans="2:24" s="12" customFormat="1" ht="15" customHeight="1" x14ac:dyDescent="0.25">
      <c r="B3" s="245"/>
      <c r="C3" s="245"/>
      <c r="D3" s="245"/>
      <c r="E3" s="245"/>
      <c r="F3" s="247"/>
      <c r="G3" s="247"/>
      <c r="H3" s="247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8" t="s">
        <v>4</v>
      </c>
      <c r="C12" s="250" t="s">
        <v>133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127"/>
      <c r="U12" s="125"/>
    </row>
    <row r="13" spans="2:24" ht="15" customHeight="1" x14ac:dyDescent="0.25">
      <c r="B13" s="249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9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9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9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9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9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0" t="s">
        <v>2</v>
      </c>
      <c r="C25" s="243" t="s">
        <v>133</v>
      </c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32"/>
      <c r="S25" s="188"/>
      <c r="T25" s="189"/>
    </row>
    <row r="26" spans="2:28" ht="15" customHeight="1" x14ac:dyDescent="0.3">
      <c r="B26" s="240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40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0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2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4" t="s">
        <v>3</v>
      </c>
      <c r="C36" s="236" t="s">
        <v>133</v>
      </c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7"/>
    </row>
    <row r="37" spans="2:25" ht="15.75" customHeight="1" x14ac:dyDescent="0.25">
      <c r="B37" s="23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0" t="s">
        <v>184</v>
      </c>
      <c r="C61" s="243" t="s">
        <v>133</v>
      </c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32"/>
      <c r="S61" s="166"/>
      <c r="T61" s="167"/>
    </row>
    <row r="62" spans="2:20" ht="15.75" x14ac:dyDescent="0.3">
      <c r="B62" s="240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1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2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0" t="s">
        <v>201</v>
      </c>
      <c r="C69" s="243" t="s">
        <v>133</v>
      </c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32"/>
      <c r="S69" s="166"/>
      <c r="T69" s="167"/>
    </row>
    <row r="70" spans="2:20" ht="15.75" x14ac:dyDescent="0.3">
      <c r="B70" s="240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40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2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0" t="s">
        <v>24</v>
      </c>
      <c r="C77" s="232" t="s">
        <v>133</v>
      </c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177"/>
      <c r="S77" s="177"/>
      <c r="T77" s="178"/>
    </row>
    <row r="78" spans="2:20" x14ac:dyDescent="0.25">
      <c r="B78" s="231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31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1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3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31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1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2025-10-24T15:46:19Z</dcterms:modified>
</cp:coreProperties>
</file>