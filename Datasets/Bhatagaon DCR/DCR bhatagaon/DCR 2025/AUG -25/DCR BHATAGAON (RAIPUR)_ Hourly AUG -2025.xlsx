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2" r:id="rId31"/>
    <sheet name="MONTHLY 30" sheetId="39" r:id="rId32"/>
  </sheets>
  <calcPr calcId="144525"/>
</workbook>
</file>

<file path=xl/calcChain.xml><?xml version="1.0" encoding="utf-8"?>
<calcChain xmlns="http://schemas.openxmlformats.org/spreadsheetml/2006/main">
  <c r="D45" i="39" l="1"/>
  <c r="E45" i="39"/>
  <c r="F45" i="39"/>
  <c r="G45" i="39"/>
  <c r="H45" i="39"/>
  <c r="I45" i="39"/>
  <c r="J45" i="39"/>
  <c r="K45" i="39"/>
  <c r="L45" i="39"/>
  <c r="M45" i="39"/>
  <c r="N45" i="39"/>
  <c r="O45" i="39"/>
  <c r="P45" i="39"/>
  <c r="Q45" i="39"/>
  <c r="C45" i="39"/>
  <c r="N17" i="39"/>
  <c r="O17" i="39"/>
  <c r="P17" i="39"/>
  <c r="N15" i="39"/>
  <c r="O15" i="39"/>
  <c r="P15" i="39"/>
  <c r="C39" i="39"/>
  <c r="D39" i="39"/>
  <c r="E39" i="39"/>
  <c r="F39" i="39"/>
  <c r="G39" i="39"/>
  <c r="H39" i="39"/>
  <c r="I39" i="39"/>
  <c r="J39" i="39"/>
  <c r="K39" i="39"/>
  <c r="L39" i="39"/>
  <c r="M39" i="39"/>
  <c r="N39" i="39"/>
  <c r="O39" i="39"/>
  <c r="P39" i="39"/>
  <c r="Q39" i="39"/>
  <c r="B39" i="39"/>
  <c r="A39" i="39"/>
  <c r="Q38" i="42"/>
  <c r="Q40" i="42" s="1"/>
  <c r="P38" i="42"/>
  <c r="P40" i="42" s="1"/>
  <c r="O38" i="42"/>
  <c r="O40" i="42" s="1"/>
  <c r="N38" i="42"/>
  <c r="N40" i="42" s="1"/>
  <c r="M38" i="42"/>
  <c r="M40" i="42" s="1"/>
  <c r="L38" i="42"/>
  <c r="L40" i="42" s="1"/>
  <c r="K38" i="42"/>
  <c r="K40" i="42" s="1"/>
  <c r="J38" i="42"/>
  <c r="J40" i="42" s="1"/>
  <c r="I38" i="42"/>
  <c r="I40" i="42" s="1"/>
  <c r="H38" i="42"/>
  <c r="H40" i="42" s="1"/>
  <c r="G38" i="42"/>
  <c r="G40" i="42" s="1"/>
  <c r="F38" i="42"/>
  <c r="F40" i="42" s="1"/>
  <c r="E38" i="42"/>
  <c r="E39" i="42" s="1"/>
  <c r="D38" i="42"/>
  <c r="D40" i="42" s="1"/>
  <c r="C38" i="42"/>
  <c r="C39" i="42" s="1"/>
  <c r="B38" i="42"/>
  <c r="B40" i="42" s="1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C37" i="42"/>
  <c r="B37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C36" i="42"/>
  <c r="B36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B35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4" i="42"/>
  <c r="B2" i="42"/>
  <c r="H38" i="32"/>
  <c r="G38" i="32"/>
  <c r="E38" i="30"/>
  <c r="E38" i="27"/>
  <c r="C38" i="27"/>
  <c r="D38" i="27"/>
  <c r="B38" i="27"/>
  <c r="B39" i="42" l="1"/>
  <c r="D39" i="42"/>
  <c r="E40" i="42"/>
  <c r="F39" i="42"/>
  <c r="G39" i="42"/>
  <c r="H39" i="42"/>
  <c r="C40" i="42"/>
  <c r="I39" i="42"/>
  <c r="J39" i="42"/>
  <c r="K39" i="42"/>
  <c r="L39" i="42"/>
  <c r="M39" i="42"/>
  <c r="N39" i="42"/>
  <c r="O39" i="42"/>
  <c r="P39" i="42"/>
  <c r="Q39" i="42"/>
  <c r="G38" i="2"/>
  <c r="H38" i="2"/>
  <c r="C38" i="2"/>
  <c r="D38" i="2"/>
  <c r="B38" i="2"/>
  <c r="B2" i="20" l="1"/>
  <c r="C38" i="39"/>
  <c r="E37" i="39"/>
  <c r="D37" i="39"/>
  <c r="F35" i="39"/>
  <c r="I33" i="39"/>
  <c r="H33" i="39"/>
  <c r="K31" i="39"/>
  <c r="J31" i="39"/>
  <c r="K30" i="39"/>
  <c r="O28" i="39"/>
  <c r="M28" i="39"/>
  <c r="N27" i="39"/>
  <c r="M27" i="39"/>
  <c r="Q26" i="39"/>
  <c r="O26" i="39"/>
  <c r="L26" i="39"/>
  <c r="I26" i="39"/>
  <c r="D26" i="39"/>
  <c r="A26" i="39"/>
  <c r="L25" i="39"/>
  <c r="H25" i="39"/>
  <c r="L24" i="39"/>
  <c r="H24" i="39"/>
  <c r="M23" i="39"/>
  <c r="J23" i="39"/>
  <c r="E23" i="39"/>
  <c r="A23" i="39"/>
  <c r="I22" i="39"/>
  <c r="E22" i="39"/>
  <c r="N21" i="39"/>
  <c r="K21" i="39"/>
  <c r="F21" i="39"/>
  <c r="C21" i="39"/>
  <c r="I19" i="39"/>
  <c r="F19" i="39"/>
  <c r="Q17" i="39"/>
  <c r="M17" i="39"/>
  <c r="K17" i="39"/>
  <c r="I17" i="39"/>
  <c r="E17" i="39"/>
  <c r="C17" i="39"/>
  <c r="A17" i="39"/>
  <c r="O16" i="39"/>
  <c r="C16" i="39"/>
  <c r="M15" i="39"/>
  <c r="Q14" i="39"/>
  <c r="M14" i="39"/>
  <c r="M12" i="39"/>
  <c r="H11" i="39"/>
  <c r="D11" i="39"/>
  <c r="P10" i="39"/>
  <c r="D10" i="39"/>
  <c r="N9" i="39"/>
  <c r="M9" i="39"/>
  <c r="J9" i="39"/>
  <c r="F9" i="39"/>
  <c r="E9" i="39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Q38" i="39" s="1"/>
  <c r="P36" i="41"/>
  <c r="P38" i="39" s="1"/>
  <c r="O36" i="41"/>
  <c r="O38" i="39" s="1"/>
  <c r="N36" i="41"/>
  <c r="N38" i="39" s="1"/>
  <c r="M36" i="41"/>
  <c r="M38" i="39" s="1"/>
  <c r="L36" i="41"/>
  <c r="L38" i="39" s="1"/>
  <c r="K36" i="41"/>
  <c r="K38" i="39" s="1"/>
  <c r="J36" i="41"/>
  <c r="J38" i="39" s="1"/>
  <c r="I36" i="41"/>
  <c r="I38" i="39" s="1"/>
  <c r="H36" i="41"/>
  <c r="H38" i="39" s="1"/>
  <c r="G36" i="41"/>
  <c r="G38" i="39" s="1"/>
  <c r="F36" i="41"/>
  <c r="F38" i="39" s="1"/>
  <c r="E36" i="41"/>
  <c r="E38" i="39" s="1"/>
  <c r="D36" i="41"/>
  <c r="D38" i="39" s="1"/>
  <c r="C36" i="41"/>
  <c r="B36" i="41"/>
  <c r="B38" i="39" s="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A38" i="39" s="1"/>
  <c r="Q38" i="40"/>
  <c r="Q40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 s="1"/>
  <c r="P36" i="40"/>
  <c r="P37" i="39" s="1"/>
  <c r="O36" i="40"/>
  <c r="O37" i="39" s="1"/>
  <c r="N36" i="40"/>
  <c r="N37" i="39" s="1"/>
  <c r="M36" i="40"/>
  <c r="M37" i="39" s="1"/>
  <c r="L36" i="40"/>
  <c r="L37" i="39" s="1"/>
  <c r="K36" i="40"/>
  <c r="K37" i="39" s="1"/>
  <c r="J36" i="40"/>
  <c r="J37" i="39" s="1"/>
  <c r="I36" i="40"/>
  <c r="I37" i="39" s="1"/>
  <c r="H36" i="40"/>
  <c r="H37" i="39" s="1"/>
  <c r="G36" i="40"/>
  <c r="G37" i="39" s="1"/>
  <c r="F36" i="40"/>
  <c r="F37" i="39" s="1"/>
  <c r="E36" i="40"/>
  <c r="D36" i="40"/>
  <c r="C36" i="40"/>
  <c r="C37" i="39" s="1"/>
  <c r="B36" i="40"/>
  <c r="B37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40" i="33" s="1"/>
  <c r="H38" i="33"/>
  <c r="H40" i="33" s="1"/>
  <c r="G38" i="33"/>
  <c r="G40" i="33" s="1"/>
  <c r="F38" i="33"/>
  <c r="F40" i="33" s="1"/>
  <c r="E38" i="33"/>
  <c r="E40" i="33" s="1"/>
  <c r="D38" i="33"/>
  <c r="D40" i="33" s="1"/>
  <c r="C38" i="33"/>
  <c r="C40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Q38" i="32"/>
  <c r="Q40" i="32" s="1"/>
  <c r="P38" i="32"/>
  <c r="P40" i="32" s="1"/>
  <c r="O38" i="32"/>
  <c r="O40" i="32" s="1"/>
  <c r="N38" i="32"/>
  <c r="N40" i="32" s="1"/>
  <c r="M38" i="32"/>
  <c r="M40" i="32" s="1"/>
  <c r="L38" i="32"/>
  <c r="L40" i="32" s="1"/>
  <c r="K38" i="32"/>
  <c r="K40" i="32" s="1"/>
  <c r="J38" i="32"/>
  <c r="J40" i="32" s="1"/>
  <c r="I38" i="32"/>
  <c r="I40" i="32" s="1"/>
  <c r="H40" i="32"/>
  <c r="G40" i="32"/>
  <c r="F38" i="32"/>
  <c r="F39" i="32" s="1"/>
  <c r="E38" i="32"/>
  <c r="E40" i="32" s="1"/>
  <c r="D38" i="32"/>
  <c r="D40" i="32" s="1"/>
  <c r="C38" i="32"/>
  <c r="C40" i="32" s="1"/>
  <c r="B38" i="32"/>
  <c r="B40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Q38" i="31"/>
  <c r="Q40" i="31" s="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39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39" i="30" s="1"/>
  <c r="G38" i="30"/>
  <c r="G40" i="30" s="1"/>
  <c r="F38" i="30"/>
  <c r="F40" i="30" s="1"/>
  <c r="E40" i="30"/>
  <c r="D38" i="30"/>
  <c r="D40" i="30" s="1"/>
  <c r="C38" i="30"/>
  <c r="C40" i="30" s="1"/>
  <c r="B38" i="30"/>
  <c r="B40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H36" i="30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Q38" i="29"/>
  <c r="Q40" i="29" s="1"/>
  <c r="P38" i="29"/>
  <c r="P40" i="29" s="1"/>
  <c r="O38" i="29"/>
  <c r="O40" i="29" s="1"/>
  <c r="N38" i="29"/>
  <c r="N40" i="29" s="1"/>
  <c r="M38" i="29"/>
  <c r="M40" i="29" s="1"/>
  <c r="L38" i="29"/>
  <c r="L40" i="29" s="1"/>
  <c r="K38" i="29"/>
  <c r="K40" i="29" s="1"/>
  <c r="J38" i="29"/>
  <c r="J39" i="29" s="1"/>
  <c r="I38" i="29"/>
  <c r="I39" i="29" s="1"/>
  <c r="H38" i="29"/>
  <c r="H40" i="29" s="1"/>
  <c r="G38" i="29"/>
  <c r="G40" i="29" s="1"/>
  <c r="F38" i="29"/>
  <c r="F40" i="29" s="1"/>
  <c r="E38" i="29"/>
  <c r="E40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40" i="28" s="1"/>
  <c r="J38" i="28"/>
  <c r="J40" i="28" s="1"/>
  <c r="I38" i="28"/>
  <c r="I39" i="28" s="1"/>
  <c r="H38" i="28"/>
  <c r="H40" i="28" s="1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J36" i="28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Q38" i="27"/>
  <c r="Q40" i="27" s="1"/>
  <c r="P38" i="27"/>
  <c r="P40" i="27" s="1"/>
  <c r="O38" i="27"/>
  <c r="O40" i="27" s="1"/>
  <c r="N38" i="27"/>
  <c r="N40" i="27" s="1"/>
  <c r="M38" i="27"/>
  <c r="M40" i="27" s="1"/>
  <c r="L38" i="27"/>
  <c r="L40" i="27" s="1"/>
  <c r="K38" i="27"/>
  <c r="K40" i="27" s="1"/>
  <c r="J38" i="27"/>
  <c r="J39" i="27" s="1"/>
  <c r="I38" i="27"/>
  <c r="I40" i="27" s="1"/>
  <c r="H38" i="27"/>
  <c r="H40" i="27" s="1"/>
  <c r="G38" i="27"/>
  <c r="G40" i="27" s="1"/>
  <c r="F38" i="27"/>
  <c r="F40" i="27" s="1"/>
  <c r="E40" i="27"/>
  <c r="D40" i="27"/>
  <c r="C40" i="27"/>
  <c r="B40" i="27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Q38" i="26"/>
  <c r="Q40" i="26" s="1"/>
  <c r="P38" i="26"/>
  <c r="P40" i="26" s="1"/>
  <c r="O38" i="26"/>
  <c r="O40" i="26" s="1"/>
  <c r="N38" i="26"/>
  <c r="N40" i="26" s="1"/>
  <c r="M38" i="26"/>
  <c r="M40" i="26" s="1"/>
  <c r="L38" i="26"/>
  <c r="L40" i="26" s="1"/>
  <c r="K38" i="26"/>
  <c r="K40" i="26" s="1"/>
  <c r="J38" i="26"/>
  <c r="J40" i="26" s="1"/>
  <c r="I38" i="26"/>
  <c r="I40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40" i="26" s="1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40" i="25" s="1"/>
  <c r="K38" i="25"/>
  <c r="K40" i="25" s="1"/>
  <c r="J38" i="25"/>
  <c r="J40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40" i="25" s="1"/>
  <c r="B38" i="25"/>
  <c r="B40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N36" i="25"/>
  <c r="N28" i="39" s="1"/>
  <c r="M36" i="25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8" i="24"/>
  <c r="Q40" i="24" s="1"/>
  <c r="P38" i="24"/>
  <c r="P40" i="24" s="1"/>
  <c r="O38" i="24"/>
  <c r="O40" i="24" s="1"/>
  <c r="N38" i="24"/>
  <c r="N40" i="24" s="1"/>
  <c r="M38" i="24"/>
  <c r="M40" i="24" s="1"/>
  <c r="L38" i="24"/>
  <c r="L39" i="24" s="1"/>
  <c r="K38" i="24"/>
  <c r="K40" i="24" s="1"/>
  <c r="J38" i="24"/>
  <c r="J40" i="24" s="1"/>
  <c r="I38" i="24"/>
  <c r="I40" i="24" s="1"/>
  <c r="H38" i="24"/>
  <c r="H40" i="24" s="1"/>
  <c r="G38" i="24"/>
  <c r="G40" i="24" s="1"/>
  <c r="F38" i="24"/>
  <c r="F40" i="24" s="1"/>
  <c r="E38" i="24"/>
  <c r="E40" i="24" s="1"/>
  <c r="D38" i="24"/>
  <c r="D40" i="24" s="1"/>
  <c r="C38" i="24"/>
  <c r="C40" i="24" s="1"/>
  <c r="B38" i="24"/>
  <c r="B40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M36" i="24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38" i="23"/>
  <c r="Q40" i="23" s="1"/>
  <c r="P38" i="23"/>
  <c r="P40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40" i="23" s="1"/>
  <c r="C38" i="23"/>
  <c r="C40" i="23" s="1"/>
  <c r="B38" i="23"/>
  <c r="B40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P36" i="23"/>
  <c r="P26" i="39" s="1"/>
  <c r="O36" i="23"/>
  <c r="N36" i="23"/>
  <c r="N26" i="39" s="1"/>
  <c r="M36" i="23"/>
  <c r="M26" i="39" s="1"/>
  <c r="L36" i="23"/>
  <c r="K36" i="23"/>
  <c r="K26" i="39" s="1"/>
  <c r="J36" i="23"/>
  <c r="J26" i="39" s="1"/>
  <c r="I36" i="23"/>
  <c r="H36" i="23"/>
  <c r="H26" i="39" s="1"/>
  <c r="G36" i="23"/>
  <c r="G26" i="39" s="1"/>
  <c r="F36" i="23"/>
  <c r="F26" i="39" s="1"/>
  <c r="E36" i="23"/>
  <c r="E26" i="39" s="1"/>
  <c r="D36" i="23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Q38" i="22"/>
  <c r="Q40" i="22" s="1"/>
  <c r="P38" i="22"/>
  <c r="P40" i="22" s="1"/>
  <c r="O38" i="22"/>
  <c r="O40" i="22" s="1"/>
  <c r="N38" i="22"/>
  <c r="N40" i="22" s="1"/>
  <c r="M38" i="22"/>
  <c r="M40" i="22" s="1"/>
  <c r="L38" i="22"/>
  <c r="L40" i="22" s="1"/>
  <c r="K38" i="22"/>
  <c r="K40" i="22" s="1"/>
  <c r="J38" i="22"/>
  <c r="J40" i="22" s="1"/>
  <c r="I38" i="22"/>
  <c r="I40" i="22" s="1"/>
  <c r="H38" i="22"/>
  <c r="H40" i="22" s="1"/>
  <c r="G38" i="22"/>
  <c r="G40" i="22" s="1"/>
  <c r="F38" i="22"/>
  <c r="F40" i="22" s="1"/>
  <c r="E38" i="22"/>
  <c r="E40" i="22" s="1"/>
  <c r="D38" i="22"/>
  <c r="D40" i="22" s="1"/>
  <c r="C38" i="22"/>
  <c r="C40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P25" i="39" s="1"/>
  <c r="O36" i="22"/>
  <c r="O25" i="39" s="1"/>
  <c r="N36" i="22"/>
  <c r="N25" i="39" s="1"/>
  <c r="M36" i="22"/>
  <c r="M25" i="39" s="1"/>
  <c r="L36" i="22"/>
  <c r="K36" i="22"/>
  <c r="K25" i="39" s="1"/>
  <c r="J36" i="22"/>
  <c r="J25" i="39" s="1"/>
  <c r="I36" i="22"/>
  <c r="I25" i="39" s="1"/>
  <c r="H36" i="22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K39" i="21"/>
  <c r="Q38" i="21"/>
  <c r="Q40" i="21" s="1"/>
  <c r="P38" i="21"/>
  <c r="P40" i="21" s="1"/>
  <c r="O38" i="21"/>
  <c r="O40" i="21" s="1"/>
  <c r="N38" i="21"/>
  <c r="N40" i="21" s="1"/>
  <c r="M38" i="21"/>
  <c r="M40" i="21" s="1"/>
  <c r="L38" i="21"/>
  <c r="L40" i="21" s="1"/>
  <c r="K38" i="21"/>
  <c r="K40" i="21" s="1"/>
  <c r="J38" i="21"/>
  <c r="J40" i="21" s="1"/>
  <c r="I38" i="21"/>
  <c r="I40" i="21" s="1"/>
  <c r="H38" i="21"/>
  <c r="H40" i="21" s="1"/>
  <c r="G38" i="21"/>
  <c r="G40" i="21" s="1"/>
  <c r="F38" i="21"/>
  <c r="F40" i="21" s="1"/>
  <c r="E38" i="21"/>
  <c r="E40" i="21" s="1"/>
  <c r="D38" i="21"/>
  <c r="D40" i="21" s="1"/>
  <c r="C38" i="21"/>
  <c r="C40" i="21" s="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K36" i="21"/>
  <c r="K24" i="39" s="1"/>
  <c r="J36" i="21"/>
  <c r="J24" i="39" s="1"/>
  <c r="I36" i="21"/>
  <c r="I24" i="39" s="1"/>
  <c r="H36" i="2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40" i="20" s="1"/>
  <c r="K38" i="20"/>
  <c r="K40" i="20" s="1"/>
  <c r="J38" i="20"/>
  <c r="J40" i="20" s="1"/>
  <c r="I38" i="20"/>
  <c r="I40" i="20" s="1"/>
  <c r="H38" i="20"/>
  <c r="H40" i="20" s="1"/>
  <c r="G38" i="20"/>
  <c r="G40" i="20" s="1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L36" i="20"/>
  <c r="L23" i="39" s="1"/>
  <c r="K36" i="20"/>
  <c r="K23" i="39" s="1"/>
  <c r="J36" i="20"/>
  <c r="I36" i="20"/>
  <c r="I23" i="39" s="1"/>
  <c r="H36" i="20"/>
  <c r="H23" i="39" s="1"/>
  <c r="G36" i="20"/>
  <c r="G23" i="39" s="1"/>
  <c r="F36" i="20"/>
  <c r="F23" i="39" s="1"/>
  <c r="E36" i="20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40" i="19" s="1"/>
  <c r="I38" i="19"/>
  <c r="I40" i="19" s="1"/>
  <c r="H38" i="19"/>
  <c r="H40" i="19" s="1"/>
  <c r="G38" i="19"/>
  <c r="G40" i="19" s="1"/>
  <c r="F38" i="19"/>
  <c r="F40" i="19" s="1"/>
  <c r="E38" i="19"/>
  <c r="E40" i="19" s="1"/>
  <c r="D38" i="19"/>
  <c r="D40" i="19" s="1"/>
  <c r="C38" i="19"/>
  <c r="C40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H36" i="19"/>
  <c r="H22" i="39" s="1"/>
  <c r="G36" i="19"/>
  <c r="G22" i="39" s="1"/>
  <c r="F36" i="19"/>
  <c r="F22" i="39" s="1"/>
  <c r="E36" i="19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J39" i="18"/>
  <c r="B39" i="18"/>
  <c r="Q38" i="18"/>
  <c r="Q40" i="18" s="1"/>
  <c r="P38" i="18"/>
  <c r="P40" i="18" s="1"/>
  <c r="O38" i="18"/>
  <c r="O40" i="18" s="1"/>
  <c r="N38" i="18"/>
  <c r="N40" i="18" s="1"/>
  <c r="M38" i="18"/>
  <c r="M39" i="18" s="1"/>
  <c r="L38" i="18"/>
  <c r="L40" i="18" s="1"/>
  <c r="K38" i="18"/>
  <c r="K40" i="18" s="1"/>
  <c r="J38" i="18"/>
  <c r="J40" i="18" s="1"/>
  <c r="I38" i="18"/>
  <c r="I40" i="18" s="1"/>
  <c r="H38" i="18"/>
  <c r="H40" i="18" s="1"/>
  <c r="G38" i="18"/>
  <c r="G40" i="18" s="1"/>
  <c r="F38" i="18"/>
  <c r="F40" i="18" s="1"/>
  <c r="E38" i="18"/>
  <c r="E40" i="18" s="1"/>
  <c r="D38" i="18"/>
  <c r="D40" i="18" s="1"/>
  <c r="C38" i="18"/>
  <c r="C40" i="18" s="1"/>
  <c r="B38" i="18"/>
  <c r="B40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M36" i="18"/>
  <c r="M21" i="39" s="1"/>
  <c r="L36" i="18"/>
  <c r="L21" i="39" s="1"/>
  <c r="K36" i="18"/>
  <c r="J36" i="18"/>
  <c r="J21" i="39" s="1"/>
  <c r="I36" i="18"/>
  <c r="I21" i="39" s="1"/>
  <c r="H36" i="18"/>
  <c r="H21" i="39" s="1"/>
  <c r="G36" i="18"/>
  <c r="G21" i="39" s="1"/>
  <c r="F36" i="18"/>
  <c r="E36" i="18"/>
  <c r="E21" i="39" s="1"/>
  <c r="D36" i="18"/>
  <c r="D21" i="39" s="1"/>
  <c r="C36" i="18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40" i="17" s="1"/>
  <c r="K38" i="17"/>
  <c r="K40" i="17" s="1"/>
  <c r="J38" i="17"/>
  <c r="J40" i="17" s="1"/>
  <c r="I38" i="17"/>
  <c r="I40" i="17" s="1"/>
  <c r="H38" i="17"/>
  <c r="H40" i="17" s="1"/>
  <c r="G38" i="17"/>
  <c r="G40" i="17" s="1"/>
  <c r="F38" i="17"/>
  <c r="F40" i="17" s="1"/>
  <c r="E38" i="17"/>
  <c r="E40" i="17" s="1"/>
  <c r="D38" i="17"/>
  <c r="D40" i="17" s="1"/>
  <c r="C38" i="17"/>
  <c r="C40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Q38" i="16"/>
  <c r="Q40" i="16" s="1"/>
  <c r="P38" i="16"/>
  <c r="P40" i="16" s="1"/>
  <c r="O38" i="16"/>
  <c r="O40" i="16" s="1"/>
  <c r="N38" i="16"/>
  <c r="N40" i="16" s="1"/>
  <c r="M38" i="16"/>
  <c r="M40" i="16" s="1"/>
  <c r="L38" i="16"/>
  <c r="L40" i="16" s="1"/>
  <c r="K38" i="16"/>
  <c r="K40" i="16" s="1"/>
  <c r="J38" i="16"/>
  <c r="J40" i="16" s="1"/>
  <c r="I38" i="16"/>
  <c r="I40" i="16" s="1"/>
  <c r="H38" i="16"/>
  <c r="H40" i="16" s="1"/>
  <c r="G38" i="16"/>
  <c r="G40" i="16" s="1"/>
  <c r="F38" i="16"/>
  <c r="F40" i="16" s="1"/>
  <c r="E38" i="16"/>
  <c r="E40" i="16" s="1"/>
  <c r="D38" i="16"/>
  <c r="D40" i="16" s="1"/>
  <c r="C38" i="16"/>
  <c r="C40" i="16" s="1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H36" i="16"/>
  <c r="H19" i="39" s="1"/>
  <c r="G36" i="16"/>
  <c r="G19" i="39" s="1"/>
  <c r="F36" i="16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G40" i="15"/>
  <c r="G39" i="15"/>
  <c r="Q38" i="15"/>
  <c r="Q40" i="15" s="1"/>
  <c r="P38" i="15"/>
  <c r="P40" i="15" s="1"/>
  <c r="O38" i="15"/>
  <c r="O40" i="15" s="1"/>
  <c r="N38" i="15"/>
  <c r="N40" i="15" s="1"/>
  <c r="M38" i="15"/>
  <c r="M40" i="15" s="1"/>
  <c r="L38" i="15"/>
  <c r="L40" i="15" s="1"/>
  <c r="K38" i="15"/>
  <c r="K40" i="15" s="1"/>
  <c r="J38" i="15"/>
  <c r="J40" i="15" s="1"/>
  <c r="I38" i="15"/>
  <c r="I40" i="15" s="1"/>
  <c r="H38" i="15"/>
  <c r="H40" i="15" s="1"/>
  <c r="G38" i="15"/>
  <c r="F38" i="15"/>
  <c r="F40" i="15" s="1"/>
  <c r="E38" i="15"/>
  <c r="E40" i="15" s="1"/>
  <c r="D38" i="15"/>
  <c r="D40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Q38" i="14"/>
  <c r="Q40" i="14" s="1"/>
  <c r="P38" i="14"/>
  <c r="P40" i="14" s="1"/>
  <c r="O38" i="14"/>
  <c r="O40" i="14" s="1"/>
  <c r="N38" i="14"/>
  <c r="N40" i="14" s="1"/>
  <c r="M38" i="14"/>
  <c r="M40" i="14" s="1"/>
  <c r="L38" i="14"/>
  <c r="L40" i="14" s="1"/>
  <c r="K38" i="14"/>
  <c r="K40" i="14" s="1"/>
  <c r="J38" i="14"/>
  <c r="J40" i="14" s="1"/>
  <c r="I38" i="14"/>
  <c r="I40" i="14" s="1"/>
  <c r="H38" i="14"/>
  <c r="H40" i="14" s="1"/>
  <c r="G38" i="14"/>
  <c r="G40" i="14" s="1"/>
  <c r="F38" i="14"/>
  <c r="F40" i="14" s="1"/>
  <c r="E38" i="14"/>
  <c r="E40" i="14" s="1"/>
  <c r="D38" i="14"/>
  <c r="D40" i="14" s="1"/>
  <c r="C38" i="14"/>
  <c r="C40" i="14" s="1"/>
  <c r="B38" i="14"/>
  <c r="B40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P36" i="14"/>
  <c r="O36" i="14"/>
  <c r="N36" i="14"/>
  <c r="M36" i="14"/>
  <c r="L36" i="14"/>
  <c r="L17" i="39" s="1"/>
  <c r="K36" i="14"/>
  <c r="J36" i="14"/>
  <c r="J17" i="39" s="1"/>
  <c r="I36" i="14"/>
  <c r="H36" i="14"/>
  <c r="H17" i="39" s="1"/>
  <c r="G36" i="14"/>
  <c r="G17" i="39" s="1"/>
  <c r="F36" i="14"/>
  <c r="F17" i="39" s="1"/>
  <c r="E36" i="14"/>
  <c r="D36" i="14"/>
  <c r="D17" i="39" s="1"/>
  <c r="C36" i="14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Q38" i="13"/>
  <c r="Q40" i="13" s="1"/>
  <c r="P38" i="13"/>
  <c r="P40" i="13" s="1"/>
  <c r="O38" i="13"/>
  <c r="O40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40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O36" i="12"/>
  <c r="N36" i="12"/>
  <c r="M36" i="12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40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40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P36" i="11"/>
  <c r="P14" i="39" s="1"/>
  <c r="O36" i="11"/>
  <c r="O14" i="39" s="1"/>
  <c r="N36" i="11"/>
  <c r="N14" i="39" s="1"/>
  <c r="M36" i="1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8" i="10"/>
  <c r="Q40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38" i="9"/>
  <c r="H40" i="9" s="1"/>
  <c r="G38" i="9"/>
  <c r="G40" i="9" s="1"/>
  <c r="F38" i="9"/>
  <c r="F39" i="9" s="1"/>
  <c r="E38" i="9"/>
  <c r="E40" i="9" s="1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B39" i="8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40" i="8" s="1"/>
  <c r="H38" i="8"/>
  <c r="H40" i="8" s="1"/>
  <c r="G38" i="8"/>
  <c r="G39" i="8" s="1"/>
  <c r="F38" i="8"/>
  <c r="F40" i="8" s="1"/>
  <c r="E38" i="8"/>
  <c r="E40" i="8" s="1"/>
  <c r="D38" i="8"/>
  <c r="D40" i="8" s="1"/>
  <c r="C38" i="8"/>
  <c r="C40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G36" i="8"/>
  <c r="G11" i="39" s="1"/>
  <c r="F36" i="8"/>
  <c r="F11" i="39" s="1"/>
  <c r="E36" i="8"/>
  <c r="E11" i="39" s="1"/>
  <c r="D36" i="8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40" i="3" s="1"/>
  <c r="O38" i="3"/>
  <c r="O40" i="3" s="1"/>
  <c r="N38" i="3"/>
  <c r="N40" i="3" s="1"/>
  <c r="M38" i="3"/>
  <c r="M40" i="3" s="1"/>
  <c r="L38" i="3"/>
  <c r="L40" i="3" s="1"/>
  <c r="K38" i="3"/>
  <c r="K40" i="3" s="1"/>
  <c r="J38" i="3"/>
  <c r="J40" i="3" s="1"/>
  <c r="I38" i="3"/>
  <c r="I40" i="3" s="1"/>
  <c r="H38" i="3"/>
  <c r="H40" i="3" s="1"/>
  <c r="G38" i="3"/>
  <c r="G40" i="3" s="1"/>
  <c r="F38" i="3"/>
  <c r="F40" i="3" s="1"/>
  <c r="E38" i="3"/>
  <c r="E40" i="3" s="1"/>
  <c r="D38" i="3"/>
  <c r="D40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9" i="2"/>
  <c r="L39" i="2"/>
  <c r="H39" i="2"/>
  <c r="Q38" i="2"/>
  <c r="Q40" i="2" s="1"/>
  <c r="P38" i="2"/>
  <c r="P40" i="2" s="1"/>
  <c r="O38" i="2"/>
  <c r="O40" i="2" s="1"/>
  <c r="N38" i="2"/>
  <c r="N40" i="2" s="1"/>
  <c r="M38" i="2"/>
  <c r="M40" i="2" s="1"/>
  <c r="L38" i="2"/>
  <c r="L40" i="2" s="1"/>
  <c r="K38" i="2"/>
  <c r="K40" i="2" s="1"/>
  <c r="J38" i="2"/>
  <c r="J40" i="2" s="1"/>
  <c r="I38" i="2"/>
  <c r="I40" i="2" s="1"/>
  <c r="H40" i="2"/>
  <c r="G40" i="2"/>
  <c r="F38" i="2"/>
  <c r="F40" i="2" s="1"/>
  <c r="E38" i="2"/>
  <c r="E40" i="2" s="1"/>
  <c r="D40" i="2"/>
  <c r="C39" i="2"/>
  <c r="B40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M36" i="2"/>
  <c r="L36" i="2"/>
  <c r="L9" i="39" s="1"/>
  <c r="K36" i="2"/>
  <c r="K9" i="39" s="1"/>
  <c r="J36" i="2"/>
  <c r="I36" i="2"/>
  <c r="I9" i="39" s="1"/>
  <c r="H36" i="2"/>
  <c r="H9" i="39" s="1"/>
  <c r="G36" i="2"/>
  <c r="G9" i="39" s="1"/>
  <c r="F36" i="2"/>
  <c r="E36" i="2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C39" i="41" l="1"/>
  <c r="D39" i="41"/>
  <c r="E39" i="41"/>
  <c r="F39" i="41"/>
  <c r="G39" i="41"/>
  <c r="H39" i="41"/>
  <c r="B39" i="41"/>
  <c r="I39" i="41"/>
  <c r="J39" i="41"/>
  <c r="K39" i="41"/>
  <c r="L39" i="41"/>
  <c r="M39" i="41"/>
  <c r="N39" i="41"/>
  <c r="O39" i="41"/>
  <c r="P39" i="41"/>
  <c r="Q39" i="41"/>
  <c r="B39" i="40"/>
  <c r="D39" i="40"/>
  <c r="E39" i="40"/>
  <c r="F39" i="40"/>
  <c r="G39" i="40"/>
  <c r="H39" i="40"/>
  <c r="I39" i="40"/>
  <c r="J39" i="40"/>
  <c r="K39" i="40"/>
  <c r="L39" i="40"/>
  <c r="C39" i="40"/>
  <c r="M39" i="40"/>
  <c r="N39" i="40"/>
  <c r="O39" i="40"/>
  <c r="P39" i="40"/>
  <c r="Q39" i="40"/>
  <c r="D39" i="33"/>
  <c r="E39" i="33"/>
  <c r="F39" i="33"/>
  <c r="G39" i="33"/>
  <c r="H39" i="33"/>
  <c r="I39" i="33"/>
  <c r="J39" i="33"/>
  <c r="K39" i="33"/>
  <c r="L39" i="33"/>
  <c r="M39" i="33"/>
  <c r="N39" i="33"/>
  <c r="O39" i="33"/>
  <c r="P39" i="33"/>
  <c r="Q39" i="33"/>
  <c r="B39" i="33"/>
  <c r="C39" i="33"/>
  <c r="E39" i="32"/>
  <c r="G39" i="32"/>
  <c r="H39" i="32"/>
  <c r="I39" i="32"/>
  <c r="J39" i="32"/>
  <c r="K39" i="32"/>
  <c r="L39" i="32"/>
  <c r="M39" i="32"/>
  <c r="N39" i="32"/>
  <c r="O39" i="32"/>
  <c r="P39" i="32"/>
  <c r="F40" i="32"/>
  <c r="Q39" i="32"/>
  <c r="B39" i="32"/>
  <c r="C39" i="32"/>
  <c r="D39" i="32"/>
  <c r="H39" i="31"/>
  <c r="I39" i="31"/>
  <c r="J39" i="31"/>
  <c r="K39" i="31"/>
  <c r="L39" i="31"/>
  <c r="M39" i="31"/>
  <c r="N39" i="31"/>
  <c r="G40" i="31"/>
  <c r="O39" i="31"/>
  <c r="P39" i="31"/>
  <c r="Q39" i="31"/>
  <c r="B39" i="31"/>
  <c r="C39" i="31"/>
  <c r="D39" i="31"/>
  <c r="E39" i="31"/>
  <c r="F39" i="31"/>
  <c r="G39" i="30"/>
  <c r="I39" i="30"/>
  <c r="J39" i="30"/>
  <c r="K39" i="30"/>
  <c r="L39" i="30"/>
  <c r="M39" i="30"/>
  <c r="N39" i="30"/>
  <c r="O39" i="30"/>
  <c r="P39" i="30"/>
  <c r="H40" i="30"/>
  <c r="Q39" i="30"/>
  <c r="B39" i="30"/>
  <c r="C39" i="30"/>
  <c r="D39" i="30"/>
  <c r="E39" i="30"/>
  <c r="F39" i="30"/>
  <c r="K39" i="29"/>
  <c r="L39" i="29"/>
  <c r="M39" i="29"/>
  <c r="N39" i="29"/>
  <c r="O39" i="29"/>
  <c r="P39" i="29"/>
  <c r="Q39" i="29"/>
  <c r="J40" i="29"/>
  <c r="B39" i="29"/>
  <c r="C39" i="29"/>
  <c r="I40" i="29"/>
  <c r="D39" i="29"/>
  <c r="E39" i="29"/>
  <c r="F39" i="29"/>
  <c r="G39" i="29"/>
  <c r="H39" i="29"/>
  <c r="K39" i="28"/>
  <c r="L39" i="28"/>
  <c r="M39" i="28"/>
  <c r="I40" i="28"/>
  <c r="J39" i="28"/>
  <c r="N39" i="28"/>
  <c r="O39" i="28"/>
  <c r="P39" i="28"/>
  <c r="Q39" i="28"/>
  <c r="B39" i="28"/>
  <c r="C39" i="28"/>
  <c r="D39" i="28"/>
  <c r="E39" i="28"/>
  <c r="F39" i="28"/>
  <c r="G39" i="28"/>
  <c r="H39" i="28"/>
  <c r="K39" i="27"/>
  <c r="L39" i="27"/>
  <c r="J40" i="27"/>
  <c r="M39" i="27"/>
  <c r="N39" i="27"/>
  <c r="O39" i="27"/>
  <c r="P39" i="27"/>
  <c r="Q39" i="27"/>
  <c r="B39" i="27"/>
  <c r="C39" i="27"/>
  <c r="D39" i="27"/>
  <c r="E39" i="27"/>
  <c r="F39" i="27"/>
  <c r="G39" i="27"/>
  <c r="H39" i="27"/>
  <c r="I39" i="27"/>
  <c r="M39" i="26"/>
  <c r="N39" i="26"/>
  <c r="O39" i="26"/>
  <c r="L39" i="26"/>
  <c r="P39" i="26"/>
  <c r="Q39" i="26"/>
  <c r="B39" i="26"/>
  <c r="C39" i="26"/>
  <c r="D39" i="26"/>
  <c r="E39" i="26"/>
  <c r="F39" i="26"/>
  <c r="G39" i="26"/>
  <c r="H39" i="26"/>
  <c r="I39" i="26"/>
  <c r="J39" i="26"/>
  <c r="K39" i="26"/>
  <c r="L39" i="25"/>
  <c r="M39" i="25"/>
  <c r="N39" i="25"/>
  <c r="O39" i="25"/>
  <c r="P39" i="25"/>
  <c r="Q39" i="25"/>
  <c r="B39" i="25"/>
  <c r="C39" i="25"/>
  <c r="D39" i="25"/>
  <c r="E39" i="25"/>
  <c r="F39" i="25"/>
  <c r="G39" i="25"/>
  <c r="H39" i="25"/>
  <c r="I39" i="25"/>
  <c r="J39" i="25"/>
  <c r="K39" i="25"/>
  <c r="L40" i="24"/>
  <c r="M39" i="24"/>
  <c r="N39" i="24"/>
  <c r="O39" i="24"/>
  <c r="P39" i="24"/>
  <c r="Q39" i="24"/>
  <c r="B39" i="24"/>
  <c r="C39" i="24"/>
  <c r="D39" i="24"/>
  <c r="E39" i="24"/>
  <c r="F39" i="24"/>
  <c r="G39" i="24"/>
  <c r="H39" i="24"/>
  <c r="I39" i="24"/>
  <c r="J39" i="24"/>
  <c r="K39" i="24"/>
  <c r="H39" i="23"/>
  <c r="I39" i="23"/>
  <c r="J39" i="23"/>
  <c r="K39" i="23"/>
  <c r="L39" i="23"/>
  <c r="M39" i="23"/>
  <c r="N39" i="23"/>
  <c r="O39" i="23"/>
  <c r="P39" i="23"/>
  <c r="Q39" i="23"/>
  <c r="B39" i="23"/>
  <c r="C39" i="23"/>
  <c r="D39" i="23"/>
  <c r="E39" i="23"/>
  <c r="F39" i="23"/>
  <c r="G39" i="23"/>
  <c r="H39" i="22"/>
  <c r="I39" i="22"/>
  <c r="J39" i="22"/>
  <c r="K39" i="22"/>
  <c r="L39" i="22"/>
  <c r="M39" i="22"/>
  <c r="N39" i="22"/>
  <c r="O39" i="22"/>
  <c r="P39" i="22"/>
  <c r="Q39" i="22"/>
  <c r="B39" i="22"/>
  <c r="C39" i="22"/>
  <c r="D39" i="22"/>
  <c r="E39" i="22"/>
  <c r="F39" i="22"/>
  <c r="G39" i="22"/>
  <c r="H39" i="21"/>
  <c r="I39" i="21"/>
  <c r="J39" i="21"/>
  <c r="L39" i="21"/>
  <c r="M39" i="21"/>
  <c r="N39" i="21"/>
  <c r="O39" i="21"/>
  <c r="P39" i="21"/>
  <c r="Q39" i="21"/>
  <c r="B39" i="21"/>
  <c r="C39" i="21"/>
  <c r="D39" i="21"/>
  <c r="E39" i="21"/>
  <c r="F39" i="21"/>
  <c r="G39" i="21"/>
  <c r="F39" i="20"/>
  <c r="G39" i="20"/>
  <c r="H39" i="20"/>
  <c r="I39" i="20"/>
  <c r="J39" i="20"/>
  <c r="K39" i="20"/>
  <c r="L39" i="20"/>
  <c r="M39" i="20"/>
  <c r="N39" i="20"/>
  <c r="O39" i="20"/>
  <c r="P39" i="20"/>
  <c r="Q39" i="20"/>
  <c r="B39" i="20"/>
  <c r="C39" i="20"/>
  <c r="D39" i="20"/>
  <c r="E39" i="20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B39" i="19"/>
  <c r="C39" i="19"/>
  <c r="D39" i="19"/>
  <c r="C39" i="18"/>
  <c r="D39" i="18"/>
  <c r="E39" i="18"/>
  <c r="F39" i="18"/>
  <c r="G39" i="18"/>
  <c r="H39" i="18"/>
  <c r="I39" i="18"/>
  <c r="K39" i="18"/>
  <c r="L39" i="18"/>
  <c r="N39" i="18"/>
  <c r="M40" i="18"/>
  <c r="O39" i="18"/>
  <c r="P39" i="18"/>
  <c r="Q39" i="18"/>
  <c r="F39" i="17"/>
  <c r="E39" i="17"/>
  <c r="G39" i="17"/>
  <c r="H39" i="17"/>
  <c r="I39" i="17"/>
  <c r="J39" i="17"/>
  <c r="K39" i="17"/>
  <c r="L39" i="17"/>
  <c r="M39" i="17"/>
  <c r="N39" i="17"/>
  <c r="O39" i="17"/>
  <c r="P39" i="17"/>
  <c r="Q39" i="17"/>
  <c r="B39" i="17"/>
  <c r="C39" i="17"/>
  <c r="D39" i="17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B39" i="16"/>
  <c r="C39" i="16"/>
  <c r="D39" i="16"/>
  <c r="H39" i="15"/>
  <c r="I39" i="15"/>
  <c r="J39" i="15"/>
  <c r="K39" i="15"/>
  <c r="L39" i="15"/>
  <c r="M39" i="15"/>
  <c r="N39" i="15"/>
  <c r="O39" i="15"/>
  <c r="P39" i="15"/>
  <c r="Q39" i="15"/>
  <c r="B39" i="15"/>
  <c r="C39" i="15"/>
  <c r="D39" i="15"/>
  <c r="E39" i="15"/>
  <c r="F39" i="15"/>
  <c r="O39" i="14"/>
  <c r="P39" i="14"/>
  <c r="Q39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3"/>
  <c r="P39" i="13"/>
  <c r="Q39" i="13"/>
  <c r="B39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L39" i="12"/>
  <c r="M39" i="12"/>
  <c r="N39" i="12"/>
  <c r="O39" i="12"/>
  <c r="P39" i="12"/>
  <c r="Q39" i="12"/>
  <c r="B39" i="12"/>
  <c r="C39" i="12"/>
  <c r="D39" i="12"/>
  <c r="E39" i="12"/>
  <c r="F39" i="12"/>
  <c r="G39" i="12"/>
  <c r="H39" i="12"/>
  <c r="I39" i="12"/>
  <c r="J39" i="12"/>
  <c r="K39" i="12"/>
  <c r="L39" i="11"/>
  <c r="M39" i="11"/>
  <c r="N39" i="11"/>
  <c r="O39" i="11"/>
  <c r="P39" i="11"/>
  <c r="Q39" i="11"/>
  <c r="B39" i="11"/>
  <c r="C39" i="11"/>
  <c r="D39" i="11"/>
  <c r="E39" i="11"/>
  <c r="F39" i="11"/>
  <c r="G39" i="11"/>
  <c r="H39" i="11"/>
  <c r="I39" i="11"/>
  <c r="J39" i="11"/>
  <c r="K39" i="11"/>
  <c r="O39" i="10"/>
  <c r="P39" i="10"/>
  <c r="Q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P39" i="9"/>
  <c r="Q39" i="9"/>
  <c r="B39" i="9"/>
  <c r="C39" i="9"/>
  <c r="D39" i="9"/>
  <c r="E39" i="9"/>
  <c r="F40" i="9"/>
  <c r="G39" i="9"/>
  <c r="H39" i="9"/>
  <c r="I39" i="9"/>
  <c r="J39" i="9"/>
  <c r="K39" i="9"/>
  <c r="L39" i="9"/>
  <c r="M39" i="9"/>
  <c r="N39" i="9"/>
  <c r="O39" i="9"/>
  <c r="P39" i="8"/>
  <c r="Q39" i="8"/>
  <c r="C39" i="8"/>
  <c r="D39" i="8"/>
  <c r="E39" i="8"/>
  <c r="F39" i="8"/>
  <c r="G40" i="8"/>
  <c r="H39" i="8"/>
  <c r="I39" i="8"/>
  <c r="J39" i="8"/>
  <c r="K39" i="8"/>
  <c r="L39" i="8"/>
  <c r="M39" i="8"/>
  <c r="N39" i="8"/>
  <c r="O39" i="8"/>
  <c r="P39" i="3"/>
  <c r="M47" i="39"/>
  <c r="Q39" i="3"/>
  <c r="N46" i="39"/>
  <c r="B39" i="3"/>
  <c r="C39" i="3"/>
  <c r="D39" i="3"/>
  <c r="E39" i="3"/>
  <c r="F39" i="3"/>
  <c r="G39" i="3"/>
  <c r="H39" i="3"/>
  <c r="I39" i="3"/>
  <c r="J39" i="3"/>
  <c r="K39" i="3"/>
  <c r="L39" i="3"/>
  <c r="M39" i="3"/>
  <c r="E47" i="39"/>
  <c r="N39" i="3"/>
  <c r="F46" i="39"/>
  <c r="B45" i="39"/>
  <c r="B46" i="39" s="1"/>
  <c r="O39" i="3"/>
  <c r="J47" i="39"/>
  <c r="D44" i="39"/>
  <c r="D43" i="39"/>
  <c r="D42" i="39"/>
  <c r="D41" i="39"/>
  <c r="G44" i="39"/>
  <c r="G43" i="39"/>
  <c r="G42" i="39"/>
  <c r="G41" i="39"/>
  <c r="H44" i="39"/>
  <c r="H43" i="39"/>
  <c r="H42" i="39"/>
  <c r="H41" i="39"/>
  <c r="I41" i="39"/>
  <c r="I44" i="39"/>
  <c r="I43" i="39"/>
  <c r="I42" i="39"/>
  <c r="C44" i="39"/>
  <c r="C43" i="39"/>
  <c r="C42" i="39"/>
  <c r="C41" i="39"/>
  <c r="K44" i="39"/>
  <c r="K43" i="39"/>
  <c r="K42" i="39"/>
  <c r="K41" i="39"/>
  <c r="L44" i="39"/>
  <c r="L43" i="39"/>
  <c r="L42" i="39"/>
  <c r="L41" i="39"/>
  <c r="O44" i="39"/>
  <c r="O43" i="39"/>
  <c r="O42" i="39"/>
  <c r="O41" i="39"/>
  <c r="P44" i="39"/>
  <c r="P43" i="39"/>
  <c r="P42" i="39"/>
  <c r="P41" i="39"/>
  <c r="Q41" i="39"/>
  <c r="Q44" i="39"/>
  <c r="Q43" i="39"/>
  <c r="Q42" i="39"/>
  <c r="N39" i="2"/>
  <c r="O39" i="2"/>
  <c r="P39" i="2"/>
  <c r="E41" i="39"/>
  <c r="E42" i="39"/>
  <c r="E43" i="39"/>
  <c r="E44" i="39"/>
  <c r="F41" i="39"/>
  <c r="F42" i="39"/>
  <c r="F43" i="39"/>
  <c r="F44" i="39"/>
  <c r="B39" i="2"/>
  <c r="C40" i="2"/>
  <c r="D39" i="2"/>
  <c r="E39" i="2"/>
  <c r="J41" i="39"/>
  <c r="J42" i="39"/>
  <c r="J43" i="39"/>
  <c r="J44" i="39"/>
  <c r="F39" i="2"/>
  <c r="G39" i="2"/>
  <c r="M41" i="39"/>
  <c r="M42" i="39"/>
  <c r="M43" i="39"/>
  <c r="M44" i="39"/>
  <c r="I39" i="2"/>
  <c r="N41" i="39"/>
  <c r="N42" i="39"/>
  <c r="N43" i="39"/>
  <c r="N44" i="39"/>
  <c r="J39" i="2"/>
  <c r="K39" i="2"/>
  <c r="M39" i="2"/>
  <c r="B41" i="39"/>
  <c r="B42" i="39"/>
  <c r="B43" i="39"/>
  <c r="B44" i="39"/>
  <c r="B47" i="39" l="1"/>
  <c r="F47" i="39"/>
  <c r="M46" i="39"/>
  <c r="E46" i="39"/>
  <c r="N47" i="39"/>
  <c r="J46" i="39"/>
  <c r="H47" i="39"/>
  <c r="H46" i="39"/>
  <c r="D47" i="39"/>
  <c r="D46" i="39"/>
  <c r="K47" i="39"/>
  <c r="K46" i="39"/>
  <c r="G47" i="39"/>
  <c r="G46" i="39"/>
  <c r="P47" i="39"/>
  <c r="P46" i="39"/>
  <c r="C47" i="39"/>
  <c r="C46" i="39"/>
  <c r="O47" i="39"/>
  <c r="O46" i="39"/>
  <c r="Q46" i="39"/>
  <c r="Q47" i="39"/>
  <c r="I46" i="39"/>
  <c r="I47" i="39"/>
  <c r="L47" i="39"/>
  <c r="L46" i="39"/>
</calcChain>
</file>

<file path=xl/sharedStrings.xml><?xml version="1.0" encoding="utf-8"?>
<sst xmlns="http://schemas.openxmlformats.org/spreadsheetml/2006/main" count="2920" uniqueCount="805">
  <si>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</si>
  <si>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</si>
  <si>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</si>
  <si>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</si>
  <si>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</si>
  <si>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</si>
  <si>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</si>
  <si>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</si>
  <si>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</si>
  <si>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</si>
  <si>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</si>
  <si>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</si>
  <si>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</si>
  <si>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</si>
  <si>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</si>
  <si>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</si>
  <si>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</si>
  <si>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</si>
  <si>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</si>
  <si>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</si>
  <si>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</si>
  <si>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</si>
  <si>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</si>
  <si>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</si>
  <si>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</si>
  <si>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</si>
  <si>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</si>
  <si>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</si>
  <si>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</si>
  <si>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</si>
  <si>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</si>
  <si>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</si>
  <si>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</si>
  <si>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</si>
  <si>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</si>
  <si>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</si>
  <si>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</si>
  <si>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</si>
  <si>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</si>
  <si>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</si>
  <si>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</si>
  <si>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</si>
  <si>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</si>
  <si>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</si>
  <si>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</si>
  <si>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</si>
  <si>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</si>
  <si>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</si>
  <si>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</si>
  <si>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</si>
  <si>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</si>
  <si>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</si>
  <si>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</si>
  <si>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</si>
  <si>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</si>
  <si>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</si>
  <si>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</si>
  <si>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</si>
  <si>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</si>
  <si>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</si>
  <si>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</si>
  <si>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</si>
  <si>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</si>
  <si>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</si>
  <si>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</si>
  <si>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</si>
  <si>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</si>
  <si>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</si>
  <si>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</si>
  <si>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</si>
  <si>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</si>
  <si>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</si>
  <si>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</si>
  <si>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</si>
  <si>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</si>
  <si>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</si>
  <si>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</si>
  <si>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</si>
  <si>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</si>
  <si>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</si>
  <si>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</si>
  <si>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</si>
  <si>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</si>
  <si>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01/08/2025 24:00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</si>
  <si>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</si>
  <si>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</si>
  <si>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</si>
  <si>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</si>
  <si>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</si>
  <si>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</si>
  <si>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</si>
  <si>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</si>
  <si>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</si>
  <si>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</si>
  <si>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</si>
  <si>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</si>
  <si>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</si>
  <si>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</si>
  <si>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</si>
  <si>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</si>
  <si>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</si>
  <si>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</si>
  <si>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</si>
  <si>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</si>
  <si>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</si>
  <si>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</si>
  <si>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</si>
  <si>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02/08/2025 24:00</t>
  </si>
  <si>
    <t>03/08/2025 01:00</t>
  </si>
  <si>
    <t>03/08/2025 02:00</t>
  </si>
  <si>
    <t>03/08/2025 03:00</t>
  </si>
  <si>
    <t>03/08/2025 04:00</t>
  </si>
  <si>
    <t>03/08/2025 05:00</t>
  </si>
  <si>
    <t>03/08/2025 06:00</t>
  </si>
  <si>
    <t>03/08/2025 07:00</t>
  </si>
  <si>
    <t>03/08/2025 08:00</t>
  </si>
  <si>
    <t>03/08/2025 09:00</t>
  </si>
  <si>
    <t>03/08/2025 10:00</t>
  </si>
  <si>
    <t>03/08/2025 11:00</t>
  </si>
  <si>
    <t>03/08/2025 12:00</t>
  </si>
  <si>
    <t>03/08/2025 13:00</t>
  </si>
  <si>
    <t>03/08/2025 14:00</t>
  </si>
  <si>
    <t>03/08/2025 15:00</t>
  </si>
  <si>
    <t>03/08/2025 16:00</t>
  </si>
  <si>
    <t>03/08/2025 17:00</t>
  </si>
  <si>
    <t>03/08/2025 18:00</t>
  </si>
  <si>
    <t>03/08/2025 19:00</t>
  </si>
  <si>
    <t>03/08/2025 20:00</t>
  </si>
  <si>
    <t>03/08/2025 21:00</t>
  </si>
  <si>
    <t>03/08/2025 22:00</t>
  </si>
  <si>
    <t>03/08/2025 23:00</t>
  </si>
  <si>
    <t>03/08/2025 24:00</t>
  </si>
  <si>
    <t>04/08/2025 01:00</t>
  </si>
  <si>
    <t>04/08/2025 02:00</t>
  </si>
  <si>
    <t>04/08/2025 03:00</t>
  </si>
  <si>
    <t>04/08/2025 04:00</t>
  </si>
  <si>
    <t>04/08/2025 05:00</t>
  </si>
  <si>
    <t>04/08/2025 06:00</t>
  </si>
  <si>
    <t>04/08/2025 07:00</t>
  </si>
  <si>
    <t>04/08/2025 08:00</t>
  </si>
  <si>
    <t>04/08/2025 09:00</t>
  </si>
  <si>
    <t>04/08/2025 10:00</t>
  </si>
  <si>
    <t>04/08/2025 11:00</t>
  </si>
  <si>
    <t>04/08/2025 12:00</t>
  </si>
  <si>
    <t>04/08/2025 13:00</t>
  </si>
  <si>
    <t>04/08/2025 14:00</t>
  </si>
  <si>
    <t>04/08/2025 15:00</t>
  </si>
  <si>
    <t>04/08/2025 16:00</t>
  </si>
  <si>
    <t>04/08/2025 17:00</t>
  </si>
  <si>
    <t>04/08/2025 18:00</t>
  </si>
  <si>
    <t>04/08/2025 19:00</t>
  </si>
  <si>
    <t>04/08/2025 20:00</t>
  </si>
  <si>
    <t>04/08/2025 21:00</t>
  </si>
  <si>
    <t>04/08/2025 22:00</t>
  </si>
  <si>
    <t>04/08/2025 23:00</t>
  </si>
  <si>
    <t>04/08/2025 24:00</t>
  </si>
  <si>
    <t>05/08/2025 01:00</t>
  </si>
  <si>
    <t>05/08/2025 02:00</t>
  </si>
  <si>
    <t>05/08/2025 03:00</t>
  </si>
  <si>
    <t>05/08/2025 04:00</t>
  </si>
  <si>
    <t>05/08/2025 05:00</t>
  </si>
  <si>
    <t>05/08/2025 06:00</t>
  </si>
  <si>
    <t>05/08/2025 07:00</t>
  </si>
  <si>
    <t>05/08/2025 08:00</t>
  </si>
  <si>
    <t>05/08/2025 09:00</t>
  </si>
  <si>
    <t>05/08/2025 10:00</t>
  </si>
  <si>
    <t>05/08/2025 11:00</t>
  </si>
  <si>
    <t>05/08/2025 12:00</t>
  </si>
  <si>
    <t>05/08/2025 13:00</t>
  </si>
  <si>
    <t>05/08/2025 14:00</t>
  </si>
  <si>
    <t>05/08/2025 15:00</t>
  </si>
  <si>
    <t>05/08/2025 16:00</t>
  </si>
  <si>
    <t>05/08/2025 17:00</t>
  </si>
  <si>
    <t>05/08/2025 18:00</t>
  </si>
  <si>
    <t>05/08/2025 19:00</t>
  </si>
  <si>
    <t>05/08/2025 20:00</t>
  </si>
  <si>
    <t>05/08/2025 21:00</t>
  </si>
  <si>
    <t>05/08/2025 22:00</t>
  </si>
  <si>
    <t>05/08/2025 23:00</t>
  </si>
  <si>
    <t>05/08/2025 24:00</t>
  </si>
  <si>
    <t>06/08/2025 01:00</t>
  </si>
  <si>
    <t>06/08/2025 02:00</t>
  </si>
  <si>
    <t>06/08/2025 03:00</t>
  </si>
  <si>
    <t>06/08/2025 04:00</t>
  </si>
  <si>
    <t>06/08/2025 05:00</t>
  </si>
  <si>
    <t>06/08/2025 06:00</t>
  </si>
  <si>
    <t>06/08/2025 07:00</t>
  </si>
  <si>
    <t>06/08/2025 08:00</t>
  </si>
  <si>
    <t>06/08/2025 09:00</t>
  </si>
  <si>
    <t>06/08/2025 10:00</t>
  </si>
  <si>
    <t>06/08/2025 11:00</t>
  </si>
  <si>
    <t>06/08/2025 12:00</t>
  </si>
  <si>
    <t>06/08/2025 13:00</t>
  </si>
  <si>
    <t>06/08/2025 14:00</t>
  </si>
  <si>
    <t>06/08/2025 15:00</t>
  </si>
  <si>
    <t>06/08/2025 16:00</t>
  </si>
  <si>
    <t>06/08/2025 17:00</t>
  </si>
  <si>
    <t>06/08/2025 18:00</t>
  </si>
  <si>
    <t>06/08/2025 19:00</t>
  </si>
  <si>
    <t>06/08/2025 20:00</t>
  </si>
  <si>
    <t>06/08/2025 21:00</t>
  </si>
  <si>
    <t>06/08/2025 22:00</t>
  </si>
  <si>
    <t>06/08/2025 23:00</t>
  </si>
  <si>
    <t>06/08/2025 24:00</t>
  </si>
  <si>
    <t>07/08/2025 01:00</t>
  </si>
  <si>
    <t>07/08/2025 02:00</t>
  </si>
  <si>
    <t>07/08/2025 03:00</t>
  </si>
  <si>
    <t>07/08/2025 04:00</t>
  </si>
  <si>
    <t>07/08/2025 05:00</t>
  </si>
  <si>
    <t>07/08/2025 06:00</t>
  </si>
  <si>
    <t>07/08/2025 07:00</t>
  </si>
  <si>
    <t>07/08/2025 08:00</t>
  </si>
  <si>
    <t>07/08/2025 09:00</t>
  </si>
  <si>
    <t>07/08/2025 10:00</t>
  </si>
  <si>
    <t>07/08/2025 11:00</t>
  </si>
  <si>
    <t>07/08/2025 12:00</t>
  </si>
  <si>
    <t>07/08/2025 13:00</t>
  </si>
  <si>
    <t>07/08/2025 14:00</t>
  </si>
  <si>
    <t>07/08/2025 15:00</t>
  </si>
  <si>
    <t>07/08/2025 16:00</t>
  </si>
  <si>
    <t>07/08/2025 17:00</t>
  </si>
  <si>
    <t>07/08/2025 18:00</t>
  </si>
  <si>
    <t>07/08/2025 19:00</t>
  </si>
  <si>
    <t>07/08/2025 20:00</t>
  </si>
  <si>
    <t>07/08/2025 21:00</t>
  </si>
  <si>
    <t>07/08/2025 22:00</t>
  </si>
  <si>
    <t>07/08/2025 23:00</t>
  </si>
  <si>
    <t>07/08/2025 24:00</t>
  </si>
  <si>
    <t>08/08/2025 01:00</t>
  </si>
  <si>
    <t>08/08/2025 02:00</t>
  </si>
  <si>
    <t>08/08/2025 03:00</t>
  </si>
  <si>
    <t>08/08/2025 04:00</t>
  </si>
  <si>
    <t>08/08/2025 05:00</t>
  </si>
  <si>
    <t>08/08/2025 06:00</t>
  </si>
  <si>
    <t>08/08/2025 07:00</t>
  </si>
  <si>
    <t>08/08/2025 08:00</t>
  </si>
  <si>
    <t>08/08/2025 09:00</t>
  </si>
  <si>
    <t>08/08/2025 10:00</t>
  </si>
  <si>
    <t>08/08/2025 11:00</t>
  </si>
  <si>
    <t>08/08/2025 12:00</t>
  </si>
  <si>
    <t>08/08/2025 13:00</t>
  </si>
  <si>
    <t>08/08/2025 14:00</t>
  </si>
  <si>
    <t>08/08/2025 15:00</t>
  </si>
  <si>
    <t>08/08/2025 16:00</t>
  </si>
  <si>
    <t>08/08/2025 17:00</t>
  </si>
  <si>
    <t>08/08/2025 18:00</t>
  </si>
  <si>
    <t>08/08/2025 19:00</t>
  </si>
  <si>
    <t>08/08/2025 20:00</t>
  </si>
  <si>
    <t>08/08/2025 21:00</t>
  </si>
  <si>
    <t>08/08/2025 22:00</t>
  </si>
  <si>
    <t>08/08/2025 23:00</t>
  </si>
  <si>
    <t>08/08/2025 24:00</t>
  </si>
  <si>
    <t>09/08/2025 01:00</t>
  </si>
  <si>
    <t>09/08/2025 02:00</t>
  </si>
  <si>
    <t>09/08/2025 03:00</t>
  </si>
  <si>
    <t>09/08/2025 04:00</t>
  </si>
  <si>
    <t>09/08/2025 05:00</t>
  </si>
  <si>
    <t>09/08/2025 06:00</t>
  </si>
  <si>
    <t>09/08/2025 07:00</t>
  </si>
  <si>
    <t>09/08/2025 08:00</t>
  </si>
  <si>
    <t>09/08/2025 09:00</t>
  </si>
  <si>
    <t>09/08/2025 10:00</t>
  </si>
  <si>
    <t>09/08/2025 11:00</t>
  </si>
  <si>
    <t>09/08/2025 12:00</t>
  </si>
  <si>
    <t>09/08/2025 13:00</t>
  </si>
  <si>
    <t>09/08/2025 14:00</t>
  </si>
  <si>
    <t>09/08/2025 15:00</t>
  </si>
  <si>
    <t>09/08/2025 16:00</t>
  </si>
  <si>
    <t>09/08/2025 17:00</t>
  </si>
  <si>
    <t>09/08/2025 18:00</t>
  </si>
  <si>
    <t>09/08/2025 19:00</t>
  </si>
  <si>
    <t>09/08/2025 20:00</t>
  </si>
  <si>
    <t>09/08/2025 21:00</t>
  </si>
  <si>
    <t>09/08/2025 22:00</t>
  </si>
  <si>
    <t>09/08/2025 23:00</t>
  </si>
  <si>
    <t>09/08/2025 24:00</t>
  </si>
  <si>
    <t>10/08/2025 01:00</t>
  </si>
  <si>
    <t>10/08/2025 02:00</t>
  </si>
  <si>
    <t>10/08/2025 03:00</t>
  </si>
  <si>
    <t>10/08/2025 04:00</t>
  </si>
  <si>
    <t>10/08/2025 05:00</t>
  </si>
  <si>
    <t>10/08/2025 06:00</t>
  </si>
  <si>
    <t>10/08/2025 07:00</t>
  </si>
  <si>
    <t>10/08/2025 08:00</t>
  </si>
  <si>
    <t>10/08/2025 09:00</t>
  </si>
  <si>
    <t>10/08/2025 10:00</t>
  </si>
  <si>
    <t>10/08/2025 11:00</t>
  </si>
  <si>
    <t>10/08/2025 12:00</t>
  </si>
  <si>
    <t>10/08/2025 13:00</t>
  </si>
  <si>
    <t>10/08/2025 14:00</t>
  </si>
  <si>
    <t>10/08/2025 15:00</t>
  </si>
  <si>
    <t>10/08/2025 16:00</t>
  </si>
  <si>
    <t>10/08/2025 17:00</t>
  </si>
  <si>
    <t>10/08/2025 18:00</t>
  </si>
  <si>
    <t>10/08/2025 19:00</t>
  </si>
  <si>
    <t>10/08/2025 20:00</t>
  </si>
  <si>
    <t>10/08/2025 21:00</t>
  </si>
  <si>
    <t>10/08/2025 22:00</t>
  </si>
  <si>
    <t>10/08/2025 23:00</t>
  </si>
  <si>
    <t>10/08/2025 24:00</t>
  </si>
  <si>
    <t>11/08/2025 01:00</t>
  </si>
  <si>
    <t>11/08/2025 02:00</t>
  </si>
  <si>
    <t>11/08/2025 03:00</t>
  </si>
  <si>
    <t>11/08/2025 04:00</t>
  </si>
  <si>
    <t>11/08/2025 05:00</t>
  </si>
  <si>
    <t>11/08/2025 06:00</t>
  </si>
  <si>
    <t>11/08/2025 07:00</t>
  </si>
  <si>
    <t>11/08/2025 08:00</t>
  </si>
  <si>
    <t>11/08/2025 09:00</t>
  </si>
  <si>
    <t>11/08/2025 10:00</t>
  </si>
  <si>
    <t>11/08/2025 11:00</t>
  </si>
  <si>
    <t>11/08/2025 12:00</t>
  </si>
  <si>
    <t>11/08/2025 13:00</t>
  </si>
  <si>
    <t>11/08/2025 14:00</t>
  </si>
  <si>
    <t>11/08/2025 15:00</t>
  </si>
  <si>
    <t>11/08/2025 16:00</t>
  </si>
  <si>
    <t>11/08/2025 17:00</t>
  </si>
  <si>
    <t>11/08/2025 18:00</t>
  </si>
  <si>
    <t>11/08/2025 19:00</t>
  </si>
  <si>
    <t>11/08/2025 20:00</t>
  </si>
  <si>
    <t>11/08/2025 21:00</t>
  </si>
  <si>
    <t>11/08/2025 22:00</t>
  </si>
  <si>
    <t>11/08/2025 23:00</t>
  </si>
  <si>
    <t>11/08/2025 24:00</t>
  </si>
  <si>
    <t>12/08/2025 01:00</t>
  </si>
  <si>
    <t>12/08/2025 02:00</t>
  </si>
  <si>
    <t>12/08/2025 03:00</t>
  </si>
  <si>
    <t>12/08/2025 04:00</t>
  </si>
  <si>
    <t>12/08/2025 05:00</t>
  </si>
  <si>
    <t>12/08/2025 06:00</t>
  </si>
  <si>
    <t>12/08/2025 07:00</t>
  </si>
  <si>
    <t>12/08/2025 08:00</t>
  </si>
  <si>
    <t>12/08/2025 09:00</t>
  </si>
  <si>
    <t>12/08/2025 10:00</t>
  </si>
  <si>
    <t>12/08/2025 11:00</t>
  </si>
  <si>
    <t>12/08/2025 12:00</t>
  </si>
  <si>
    <t>12/08/2025 13:00</t>
  </si>
  <si>
    <t>12/08/2025 14:00</t>
  </si>
  <si>
    <t>12/08/2025 15:00</t>
  </si>
  <si>
    <t>12/08/2025 16:00</t>
  </si>
  <si>
    <t>12/08/2025 17:00</t>
  </si>
  <si>
    <t>12/08/2025 18:00</t>
  </si>
  <si>
    <t>12/08/2025 19:00</t>
  </si>
  <si>
    <t>12/08/2025 20:00</t>
  </si>
  <si>
    <t>12/08/2025 21:00</t>
  </si>
  <si>
    <t>12/08/2025 22:00</t>
  </si>
  <si>
    <t>12/08/2025 23:00</t>
  </si>
  <si>
    <t>12/08/2025 24:00</t>
  </si>
  <si>
    <t>13/08/2025 01:00</t>
  </si>
  <si>
    <t>13/08/2025 02:00</t>
  </si>
  <si>
    <t>13/08/2025 03:00</t>
  </si>
  <si>
    <t>13/08/2025 04:00</t>
  </si>
  <si>
    <t>13/08/2025 05:00</t>
  </si>
  <si>
    <t>13/08/2025 06:00</t>
  </si>
  <si>
    <t>13/08/2025 07:00</t>
  </si>
  <si>
    <t>13/08/2025 08:00</t>
  </si>
  <si>
    <t>13/08/2025 09:00</t>
  </si>
  <si>
    <t>13/08/2025 10:00</t>
  </si>
  <si>
    <t>13/08/2025 11:00</t>
  </si>
  <si>
    <t>13/08/2025 12:00</t>
  </si>
  <si>
    <t>13/08/2025 13:00</t>
  </si>
  <si>
    <t>13/08/2025 14:00</t>
  </si>
  <si>
    <t>13/08/2025 15:00</t>
  </si>
  <si>
    <t>13/08/2025 16:00</t>
  </si>
  <si>
    <t>13/08/2025 17:00</t>
  </si>
  <si>
    <t>13/08/2025 18:00</t>
  </si>
  <si>
    <t>13/08/2025 19:00</t>
  </si>
  <si>
    <t>13/08/2025 20:00</t>
  </si>
  <si>
    <t>13/08/2025 21:00</t>
  </si>
  <si>
    <t>13/08/2025 22:00</t>
  </si>
  <si>
    <t>13/08/2025 23:00</t>
  </si>
  <si>
    <t>13/08/2025 24:00</t>
  </si>
  <si>
    <t>14/08/2025 01:00</t>
  </si>
  <si>
    <t>14/08/2025 02:00</t>
  </si>
  <si>
    <t>14/08/2025 03:00</t>
  </si>
  <si>
    <t>14/08/2025 04:00</t>
  </si>
  <si>
    <t>14/08/2025 05:00</t>
  </si>
  <si>
    <t>14/08/2025 06:00</t>
  </si>
  <si>
    <t>14/08/2025 07:00</t>
  </si>
  <si>
    <t>14/08/2025 08:00</t>
  </si>
  <si>
    <t>14/08/2025 09:00</t>
  </si>
  <si>
    <t>14/08/2025 10:00</t>
  </si>
  <si>
    <t>14/08/2025 11:00</t>
  </si>
  <si>
    <t>14/08/2025 12:00</t>
  </si>
  <si>
    <t>14/08/2025 13:00</t>
  </si>
  <si>
    <t>14/08/2025 14:00</t>
  </si>
  <si>
    <t>14/08/2025 15:00</t>
  </si>
  <si>
    <t>14/08/2025 16:00</t>
  </si>
  <si>
    <t>14/08/2025 17:00</t>
  </si>
  <si>
    <t>14/08/2025 18:00</t>
  </si>
  <si>
    <t>14/08/2025 19:00</t>
  </si>
  <si>
    <t>14/08/2025 20:00</t>
  </si>
  <si>
    <t>14/08/2025 21:00</t>
  </si>
  <si>
    <t>14/08/2025 22:00</t>
  </si>
  <si>
    <t>14/08/2025 23:00</t>
  </si>
  <si>
    <t>14/08/2025 24:00</t>
  </si>
  <si>
    <t>15/08/2025 01:00</t>
  </si>
  <si>
    <t>15/08/2025 02:00</t>
  </si>
  <si>
    <t>15/08/2025 03:00</t>
  </si>
  <si>
    <t>15/08/2025 04:00</t>
  </si>
  <si>
    <t>15/08/2025 05:00</t>
  </si>
  <si>
    <t>15/08/2025 06:00</t>
  </si>
  <si>
    <t>15/08/2025 07:00</t>
  </si>
  <si>
    <t>15/08/2025 08:00</t>
  </si>
  <si>
    <t>15/08/2025 09:00</t>
  </si>
  <si>
    <t>15/08/2025 10:00</t>
  </si>
  <si>
    <t>15/08/2025 11:00</t>
  </si>
  <si>
    <t>15/08/2025 12:00</t>
  </si>
  <si>
    <t>15/08/2025 13:00</t>
  </si>
  <si>
    <t>15/08/2025 14:00</t>
  </si>
  <si>
    <t>15/08/2025 15:00</t>
  </si>
  <si>
    <t>15/08/2025 16:00</t>
  </si>
  <si>
    <t>15/08/2025 17:00</t>
  </si>
  <si>
    <t>15/08/2025 18:00</t>
  </si>
  <si>
    <t>15/08/2025 19:00</t>
  </si>
  <si>
    <t>15/08/2025 20:00</t>
  </si>
  <si>
    <t>15/08/2025 21:00</t>
  </si>
  <si>
    <t>15/08/2025 22:00</t>
  </si>
  <si>
    <t>15/08/2025 23:00</t>
  </si>
  <si>
    <t>15/08/2025 24:00</t>
  </si>
  <si>
    <t>16/08/2025 01:00</t>
  </si>
  <si>
    <t>16/08/2025 02:00</t>
  </si>
  <si>
    <t>16/08/2025 03:00</t>
  </si>
  <si>
    <t>16/08/2025 04:00</t>
  </si>
  <si>
    <t>16/08/2025 05:00</t>
  </si>
  <si>
    <t>16/08/2025 06:00</t>
  </si>
  <si>
    <t>16/08/2025 07:00</t>
  </si>
  <si>
    <t>16/08/2025 08:00</t>
  </si>
  <si>
    <t>16/08/2025 09:00</t>
  </si>
  <si>
    <t>16/08/2025 10:00</t>
  </si>
  <si>
    <t>16/08/2025 11:00</t>
  </si>
  <si>
    <t>16/08/2025 12:00</t>
  </si>
  <si>
    <t>16/08/2025 13:00</t>
  </si>
  <si>
    <t>16/08/2025 14:00</t>
  </si>
  <si>
    <t>16/08/2025 15:00</t>
  </si>
  <si>
    <t>16/08/2025 16:00</t>
  </si>
  <si>
    <t>16/08/2025 17:00</t>
  </si>
  <si>
    <t>16/08/2025 18:00</t>
  </si>
  <si>
    <t>16/08/2025 19:00</t>
  </si>
  <si>
    <t>16/08/2025 20:00</t>
  </si>
  <si>
    <t>16/08/2025 21:00</t>
  </si>
  <si>
    <t>16/08/2025 22:00</t>
  </si>
  <si>
    <t>16/08/2025 23:00</t>
  </si>
  <si>
    <t>16/08/2025 24:00</t>
  </si>
  <si>
    <t>17/08/2025 01:00</t>
  </si>
  <si>
    <t>17/08/2025 02:00</t>
  </si>
  <si>
    <t>17/08/2025 03:00</t>
  </si>
  <si>
    <t>17/08/2025 04:00</t>
  </si>
  <si>
    <t>17/08/2025 05:00</t>
  </si>
  <si>
    <t>17/08/2025 06:00</t>
  </si>
  <si>
    <t>17/08/2025 07:00</t>
  </si>
  <si>
    <t>17/08/2025 08:00</t>
  </si>
  <si>
    <t>17/08/2025 09:00</t>
  </si>
  <si>
    <t>17/08/2025 10:00</t>
  </si>
  <si>
    <t>17/08/2025 11:00</t>
  </si>
  <si>
    <t>17/08/2025 12:00</t>
  </si>
  <si>
    <t>17/08/2025 13:00</t>
  </si>
  <si>
    <t>17/08/2025 14:00</t>
  </si>
  <si>
    <t>17/08/2025 15:00</t>
  </si>
  <si>
    <t>17/08/2025 16:00</t>
  </si>
  <si>
    <t>17/08/2025 17:00</t>
  </si>
  <si>
    <t>17/08/2025 18:00</t>
  </si>
  <si>
    <t>17/08/2025 19:00</t>
  </si>
  <si>
    <t>17/08/2025 20:00</t>
  </si>
  <si>
    <t>17/08/2025 21:00</t>
  </si>
  <si>
    <t>17/08/2025 22:00</t>
  </si>
  <si>
    <t>17/08/2025 23:00</t>
  </si>
  <si>
    <t>17/08/2025 24:00</t>
  </si>
  <si>
    <t>18/08/2025 01:00</t>
  </si>
  <si>
    <t>18/08/2025 02:00</t>
  </si>
  <si>
    <t>18/08/2025 03:00</t>
  </si>
  <si>
    <t>18/08/2025 04:00</t>
  </si>
  <si>
    <t>18/08/2025 05:00</t>
  </si>
  <si>
    <t>18/08/2025 06:00</t>
  </si>
  <si>
    <t>18/08/2025 07:00</t>
  </si>
  <si>
    <t>18/08/2025 08:00</t>
  </si>
  <si>
    <t>18/08/2025 09:00</t>
  </si>
  <si>
    <t>18/08/2025 10:00</t>
  </si>
  <si>
    <t>18/08/2025 11:00</t>
  </si>
  <si>
    <t>18/08/2025 12:00</t>
  </si>
  <si>
    <t>18/08/2025 13:00</t>
  </si>
  <si>
    <t>18/08/2025 14:00</t>
  </si>
  <si>
    <t>18/08/2025 15:00</t>
  </si>
  <si>
    <t>18/08/2025 16:00</t>
  </si>
  <si>
    <t>18/08/2025 17:00</t>
  </si>
  <si>
    <t>18/08/2025 18:00</t>
  </si>
  <si>
    <t>18/08/2025 19:00</t>
  </si>
  <si>
    <t>18/08/2025 20:00</t>
  </si>
  <si>
    <t>18/08/2025 21:00</t>
  </si>
  <si>
    <t>18/08/2025 22:00</t>
  </si>
  <si>
    <t>18/08/2025 23:00</t>
  </si>
  <si>
    <t>18/08/2025 24:00</t>
  </si>
  <si>
    <t>19/08/2025 01:00</t>
  </si>
  <si>
    <t>19/08/2025 02:00</t>
  </si>
  <si>
    <t>19/08/2025 03:00</t>
  </si>
  <si>
    <t>19/08/2025 04:00</t>
  </si>
  <si>
    <t>19/08/2025 05:00</t>
  </si>
  <si>
    <t>19/08/2025 06:00</t>
  </si>
  <si>
    <t>19/08/2025 07:00</t>
  </si>
  <si>
    <t>19/08/2025 08:00</t>
  </si>
  <si>
    <t>19/08/2025 09:00</t>
  </si>
  <si>
    <t>19/08/2025 10:00</t>
  </si>
  <si>
    <t>19/08/2025 11:00</t>
  </si>
  <si>
    <t>19/08/2025 12:00</t>
  </si>
  <si>
    <t>19/08/2025 13:00</t>
  </si>
  <si>
    <t>19/08/2025 14:00</t>
  </si>
  <si>
    <t>19/08/2025 15:00</t>
  </si>
  <si>
    <t>19/08/2025 16:00</t>
  </si>
  <si>
    <t>19/08/2025 17:00</t>
  </si>
  <si>
    <t>19/08/2025 18:00</t>
  </si>
  <si>
    <t>19/08/2025 19:00</t>
  </si>
  <si>
    <t>19/08/2025 20:00</t>
  </si>
  <si>
    <t>19/08/2025 21:00</t>
  </si>
  <si>
    <t>19/08/2025 22:00</t>
  </si>
  <si>
    <t>19/08/2025 23:00</t>
  </si>
  <si>
    <t>19/08/2025 24:00</t>
  </si>
  <si>
    <t>20/08/2025 01:00</t>
  </si>
  <si>
    <t>20/08/2025 02:00</t>
  </si>
  <si>
    <t>20/08/2025 03:00</t>
  </si>
  <si>
    <t>20/08/2025 04:00</t>
  </si>
  <si>
    <t>20/08/2025 05:00</t>
  </si>
  <si>
    <t>20/08/2025 06:00</t>
  </si>
  <si>
    <t>20/08/2025 07:00</t>
  </si>
  <si>
    <t>20/08/2025 08:00</t>
  </si>
  <si>
    <t>20/08/2025 09:00</t>
  </si>
  <si>
    <t>20/08/2025 10:00</t>
  </si>
  <si>
    <t>20/08/2025 11:00</t>
  </si>
  <si>
    <t>20/08/2025 12:00</t>
  </si>
  <si>
    <t>20/08/2025 13:00</t>
  </si>
  <si>
    <t>20/08/2025 14:00</t>
  </si>
  <si>
    <t>20/08/2025 15:00</t>
  </si>
  <si>
    <t>20/08/2025 16:00</t>
  </si>
  <si>
    <t>20/08/2025 17:00</t>
  </si>
  <si>
    <t>20/08/2025 18:00</t>
  </si>
  <si>
    <t>20/08/2025 19:00</t>
  </si>
  <si>
    <t>20/08/2025 20:00</t>
  </si>
  <si>
    <t>20/08/2025 21:00</t>
  </si>
  <si>
    <t>20/08/2025 22:00</t>
  </si>
  <si>
    <t>20/08/2025 23:00</t>
  </si>
  <si>
    <t>20/08/2025 24:00</t>
  </si>
  <si>
    <t>21/08/2025 01:00</t>
  </si>
  <si>
    <t>21/08/2025 02:00</t>
  </si>
  <si>
    <t>21/08/2025 03:00</t>
  </si>
  <si>
    <t>21/08/2025 04:00</t>
  </si>
  <si>
    <t>21/08/2025 05:00</t>
  </si>
  <si>
    <t>21/08/2025 06:00</t>
  </si>
  <si>
    <t>21/08/2025 07:00</t>
  </si>
  <si>
    <t>21/08/2025 08:00</t>
  </si>
  <si>
    <t>21/08/2025 09:00</t>
  </si>
  <si>
    <t>21/08/2025 10:00</t>
  </si>
  <si>
    <t>21/08/2025 11:00</t>
  </si>
  <si>
    <t>21/08/2025 12:00</t>
  </si>
  <si>
    <t>21/08/2025 13:00</t>
  </si>
  <si>
    <t>21/08/2025 14:00</t>
  </si>
  <si>
    <t>21/08/2025 15:00</t>
  </si>
  <si>
    <t>21/08/2025 16:00</t>
  </si>
  <si>
    <t>21/08/2025 17:00</t>
  </si>
  <si>
    <t>21/08/2025 18:00</t>
  </si>
  <si>
    <t>21/08/2025 19:00</t>
  </si>
  <si>
    <t>21/08/2025 20:00</t>
  </si>
  <si>
    <t>21/08/2025 21:00</t>
  </si>
  <si>
    <t>21/08/2025 22:00</t>
  </si>
  <si>
    <t>21/08/2025 23:00</t>
  </si>
  <si>
    <t>21/08/2025 24:00</t>
  </si>
  <si>
    <t>22/08/2025 01:00</t>
  </si>
  <si>
    <t>22/08/2025 02:00</t>
  </si>
  <si>
    <t>22/08/2025 03:00</t>
  </si>
  <si>
    <t>22/08/2025 04:00</t>
  </si>
  <si>
    <t>22/08/2025 05:00</t>
  </si>
  <si>
    <t>22/08/2025 06:00</t>
  </si>
  <si>
    <t>22/08/2025 07:00</t>
  </si>
  <si>
    <t>22/08/2025 08:00</t>
  </si>
  <si>
    <t>22/08/2025 09:00</t>
  </si>
  <si>
    <t>22/08/2025 10:00</t>
  </si>
  <si>
    <t>22/08/2025 11:00</t>
  </si>
  <si>
    <t>22/08/2025 12:00</t>
  </si>
  <si>
    <t>22/08/2025 13:00</t>
  </si>
  <si>
    <t>22/08/2025 14:00</t>
  </si>
  <si>
    <t>22/08/2025 15:00</t>
  </si>
  <si>
    <t>22/08/2025 16:00</t>
  </si>
  <si>
    <t>22/08/2025 17:00</t>
  </si>
  <si>
    <t>22/08/2025 18:00</t>
  </si>
  <si>
    <t>22/08/2025 19:00</t>
  </si>
  <si>
    <t>22/08/2025 20:00</t>
  </si>
  <si>
    <t>22/08/2025 21:00</t>
  </si>
  <si>
    <t>22/08/2025 22:00</t>
  </si>
  <si>
    <t>22/08/2025 23:00</t>
  </si>
  <si>
    <t>22/08/2025 24:00</t>
  </si>
  <si>
    <t>23/08/2025 01:00</t>
  </si>
  <si>
    <t>23/08/2025 02:00</t>
  </si>
  <si>
    <t>23/08/2025 03:00</t>
  </si>
  <si>
    <t>23/08/2025 04:00</t>
  </si>
  <si>
    <t>23/08/2025 05:00</t>
  </si>
  <si>
    <t>23/08/2025 06:00</t>
  </si>
  <si>
    <t>23/08/2025 07:00</t>
  </si>
  <si>
    <t>23/08/2025 08:00</t>
  </si>
  <si>
    <t>23/08/2025 09:00</t>
  </si>
  <si>
    <t>23/08/2025 10:00</t>
  </si>
  <si>
    <t>23/08/2025 11:00</t>
  </si>
  <si>
    <t>23/08/2025 12:00</t>
  </si>
  <si>
    <t>23/08/2025 13:00</t>
  </si>
  <si>
    <t>23/08/2025 14:00</t>
  </si>
  <si>
    <t>23/08/2025 15:00</t>
  </si>
  <si>
    <t>23/08/2025 16:00</t>
  </si>
  <si>
    <t>23/08/2025 17:00</t>
  </si>
  <si>
    <t>23/08/2025 18:00</t>
  </si>
  <si>
    <t>23/08/2025 19:00</t>
  </si>
  <si>
    <t>23/08/2025 20:00</t>
  </si>
  <si>
    <t>23/08/2025 21:00</t>
  </si>
  <si>
    <t>23/08/2025 22:00</t>
  </si>
  <si>
    <t>23/08/2025 23:00</t>
  </si>
  <si>
    <t>23/08/2025 24:00</t>
  </si>
  <si>
    <t>24/08/2025 01:00</t>
  </si>
  <si>
    <t>24/08/2025 02:00</t>
  </si>
  <si>
    <t>24/08/2025 03:00</t>
  </si>
  <si>
    <t>24/08/2025 04:00</t>
  </si>
  <si>
    <t>24/08/2025 05:00</t>
  </si>
  <si>
    <t>24/08/2025 06:00</t>
  </si>
  <si>
    <t>24/08/2025 07:00</t>
  </si>
  <si>
    <t>24/08/2025 08:00</t>
  </si>
  <si>
    <t>24/08/2025 09:00</t>
  </si>
  <si>
    <t>24/08/2025 10:00</t>
  </si>
  <si>
    <t>24/08/2025 11:00</t>
  </si>
  <si>
    <t>24/08/2025 12:00</t>
  </si>
  <si>
    <t>24/08/2025 13:00</t>
  </si>
  <si>
    <t>24/08/2025 14:00</t>
  </si>
  <si>
    <t>24/08/2025 15:00</t>
  </si>
  <si>
    <t>24/08/2025 16:00</t>
  </si>
  <si>
    <t>24/08/2025 17:00</t>
  </si>
  <si>
    <t>24/08/2025 18:00</t>
  </si>
  <si>
    <t>24/08/2025 19:00</t>
  </si>
  <si>
    <t>24/08/2025 20:00</t>
  </si>
  <si>
    <t>24/08/2025 21:00</t>
  </si>
  <si>
    <t>24/08/2025 22:00</t>
  </si>
  <si>
    <t>24/08/2025 23:00</t>
  </si>
  <si>
    <t>24/08/2025 24:00</t>
  </si>
  <si>
    <t>25/08/2025 01:00</t>
  </si>
  <si>
    <t>25/08/2025 02:00</t>
  </si>
  <si>
    <t>25/08/2025 03:00</t>
  </si>
  <si>
    <t>25/08/2025 04:00</t>
  </si>
  <si>
    <t>25/08/2025 05:00</t>
  </si>
  <si>
    <t>25/08/2025 06:00</t>
  </si>
  <si>
    <t>25/08/2025 07:00</t>
  </si>
  <si>
    <t>25/08/2025 08:00</t>
  </si>
  <si>
    <t>25/08/2025 09:00</t>
  </si>
  <si>
    <t>25/08/2025 10:00</t>
  </si>
  <si>
    <t>25/08/2025 11:00</t>
  </si>
  <si>
    <t>25/08/2025 12:00</t>
  </si>
  <si>
    <t>25/08/2025 13:00</t>
  </si>
  <si>
    <t>25/08/2025 14:00</t>
  </si>
  <si>
    <t>25/08/2025 15:00</t>
  </si>
  <si>
    <t>25/08/2025 16:00</t>
  </si>
  <si>
    <t>25/08/2025 17:00</t>
  </si>
  <si>
    <t>25/08/2025 18:00</t>
  </si>
  <si>
    <t>25/08/2025 19:00</t>
  </si>
  <si>
    <t>25/08/2025 20:00</t>
  </si>
  <si>
    <t>25/08/2025 21:00</t>
  </si>
  <si>
    <t>25/08/2025 22:00</t>
  </si>
  <si>
    <t>25/08/2025 23:00</t>
  </si>
  <si>
    <t>25/08/2025 24:00</t>
  </si>
  <si>
    <t>26/08/2025 01:00</t>
  </si>
  <si>
    <t>26/08/2025 02:00</t>
  </si>
  <si>
    <t>26/08/2025 03:00</t>
  </si>
  <si>
    <t>26/08/2025 04:00</t>
  </si>
  <si>
    <t>26/08/2025 05:00</t>
  </si>
  <si>
    <t>26/08/2025 06:00</t>
  </si>
  <si>
    <t>26/08/2025 07:00</t>
  </si>
  <si>
    <t>26/08/2025 08:00</t>
  </si>
  <si>
    <t>26/08/2025 09:00</t>
  </si>
  <si>
    <t>26/08/2025 10:00</t>
  </si>
  <si>
    <t>26/08/2025 11:00</t>
  </si>
  <si>
    <t>26/08/2025 12:00</t>
  </si>
  <si>
    <t>26/08/2025 13:00</t>
  </si>
  <si>
    <t>26/08/2025 14:00</t>
  </si>
  <si>
    <t>26/08/2025 15:00</t>
  </si>
  <si>
    <t>26/08/2025 16:00</t>
  </si>
  <si>
    <t>26/08/2025 17:00</t>
  </si>
  <si>
    <t>26/08/2025 18:00</t>
  </si>
  <si>
    <t>26/08/2025 19:00</t>
  </si>
  <si>
    <t>26/08/2025 20:00</t>
  </si>
  <si>
    <t>26/08/2025 21:00</t>
  </si>
  <si>
    <t>26/08/2025 22:00</t>
  </si>
  <si>
    <t>26/08/2025 23:00</t>
  </si>
  <si>
    <t>26/08/2025 24:00</t>
  </si>
  <si>
    <t>27/08/2025 01:00</t>
  </si>
  <si>
    <t>27/08/2025 02:00</t>
  </si>
  <si>
    <t>27/08/2025 03:00</t>
  </si>
  <si>
    <t>27/08/2025 04:00</t>
  </si>
  <si>
    <t>27/08/2025 05:00</t>
  </si>
  <si>
    <t>27/08/2025 06:00</t>
  </si>
  <si>
    <t>27/08/2025 07:00</t>
  </si>
  <si>
    <t>27/08/2025 08:00</t>
  </si>
  <si>
    <t>27/08/2025 09:00</t>
  </si>
  <si>
    <t>27/08/2025 10:00</t>
  </si>
  <si>
    <t>27/08/2025 11:00</t>
  </si>
  <si>
    <t>27/08/2025 12:00</t>
  </si>
  <si>
    <t>27/08/2025 13:00</t>
  </si>
  <si>
    <t>27/08/2025 14:00</t>
  </si>
  <si>
    <t>27/08/2025 15:00</t>
  </si>
  <si>
    <t>27/08/2025 16:00</t>
  </si>
  <si>
    <t>27/08/2025 17:00</t>
  </si>
  <si>
    <t>27/08/2025 18:00</t>
  </si>
  <si>
    <t>27/08/2025 19:00</t>
  </si>
  <si>
    <t>27/08/2025 20:00</t>
  </si>
  <si>
    <t>27/08/2025 21:00</t>
  </si>
  <si>
    <t>27/08/2025 22:00</t>
  </si>
  <si>
    <t>27/08/2025 23:00</t>
  </si>
  <si>
    <t>27/08/2025 24:00</t>
  </si>
  <si>
    <t>28/08/2025 01:00</t>
  </si>
  <si>
    <t>28/08/2025 02:00</t>
  </si>
  <si>
    <t>28/08/2025 03:00</t>
  </si>
  <si>
    <t>28/08/2025 04:00</t>
  </si>
  <si>
    <t>28/08/2025 05:00</t>
  </si>
  <si>
    <t>28/08/2025 06:00</t>
  </si>
  <si>
    <t>28/08/2025 07:00</t>
  </si>
  <si>
    <t>28/08/2025 08:00</t>
  </si>
  <si>
    <t>28/08/2025 09:00</t>
  </si>
  <si>
    <t>28/08/2025 10:00</t>
  </si>
  <si>
    <t>28/08/2025 11:00</t>
  </si>
  <si>
    <t>28/08/2025 12:00</t>
  </si>
  <si>
    <t>28/08/2025 13:00</t>
  </si>
  <si>
    <t>28/08/2025 14:00</t>
  </si>
  <si>
    <t>28/08/2025 15:00</t>
  </si>
  <si>
    <t>28/08/2025 16:00</t>
  </si>
  <si>
    <t>28/08/2025 17:00</t>
  </si>
  <si>
    <t>28/08/2025 18:00</t>
  </si>
  <si>
    <t>28/08/2025 19:00</t>
  </si>
  <si>
    <t>28/08/2025 20:00</t>
  </si>
  <si>
    <t>28/08/2025 21:00</t>
  </si>
  <si>
    <t>28/08/2025 22:00</t>
  </si>
  <si>
    <t>28/08/2025 23:00</t>
  </si>
  <si>
    <t>28/08/2025 24:00</t>
  </si>
  <si>
    <t>29/08/2025 01:00</t>
  </si>
  <si>
    <t>29/08/2025 02:00</t>
  </si>
  <si>
    <t>29/08/2025 03:00</t>
  </si>
  <si>
    <t>29/08/2025 04:00</t>
  </si>
  <si>
    <t>29/08/2025 05:00</t>
  </si>
  <si>
    <t>29/08/2025 06:00</t>
  </si>
  <si>
    <t>29/08/2025 07:00</t>
  </si>
  <si>
    <t>29/08/2025 08:00</t>
  </si>
  <si>
    <t>29/08/2025 09:00</t>
  </si>
  <si>
    <t>29/08/2025 10:00</t>
  </si>
  <si>
    <t>29/08/2025 11:00</t>
  </si>
  <si>
    <t>29/08/2025 12:00</t>
  </si>
  <si>
    <t>29/08/2025 13:00</t>
  </si>
  <si>
    <t>29/08/2025 14:00</t>
  </si>
  <si>
    <t>29/08/2025 15:00</t>
  </si>
  <si>
    <t>29/08/2025 16:00</t>
  </si>
  <si>
    <t>29/08/2025 17:00</t>
  </si>
  <si>
    <t>29/08/2025 18:00</t>
  </si>
  <si>
    <t>29/08/2025 19:00</t>
  </si>
  <si>
    <t>29/08/2025 20:00</t>
  </si>
  <si>
    <t>29/08/2025 21:00</t>
  </si>
  <si>
    <t>29/08/2025 22:00</t>
  </si>
  <si>
    <t>29/08/2025 23:00</t>
  </si>
  <si>
    <t>29/08/2025 24:00</t>
  </si>
  <si>
    <t>30/08/2025 01:00</t>
  </si>
  <si>
    <t>30/08/2025 02:00</t>
  </si>
  <si>
    <t>30/08/2025 03:00</t>
  </si>
  <si>
    <t>30/08/2025 04:00</t>
  </si>
  <si>
    <t>30/08/2025 05:00</t>
  </si>
  <si>
    <t>30/08/2025 06:00</t>
  </si>
  <si>
    <t>30/08/2025 07:00</t>
  </si>
  <si>
    <t>30/08/2025 08:00</t>
  </si>
  <si>
    <t>30/08/2025 09:00</t>
  </si>
  <si>
    <t>30/08/2025 10:00</t>
  </si>
  <si>
    <t>30/08/2025 11:00</t>
  </si>
  <si>
    <t>30/08/2025 12:00</t>
  </si>
  <si>
    <t>30/08/2025 13:00</t>
  </si>
  <si>
    <t>30/08/2025 14:00</t>
  </si>
  <si>
    <t>30/08/2025 15:00</t>
  </si>
  <si>
    <t>30/08/2025 16:00</t>
  </si>
  <si>
    <t>30/08/2025 17:00</t>
  </si>
  <si>
    <t>30/08/2025 18:00</t>
  </si>
  <si>
    <t>30/08/2025 19:00</t>
  </si>
  <si>
    <t>30/08/2025 20:00</t>
  </si>
  <si>
    <t>30/08/2025 21:00</t>
  </si>
  <si>
    <t>30/08/2025 22:00</t>
  </si>
  <si>
    <t>30/08/2025 23:00</t>
  </si>
  <si>
    <t>30/08/2025 24:00</t>
  </si>
  <si>
    <t>31/08/2025 01:00</t>
  </si>
  <si>
    <t>31/08/2025 02:00</t>
  </si>
  <si>
    <t>31/08/2025 03:00</t>
  </si>
  <si>
    <t>31/08/2025 04:00</t>
  </si>
  <si>
    <t>31/08/2025 05:00</t>
  </si>
  <si>
    <t>31/08/2025 06:00</t>
  </si>
  <si>
    <t>31/08/2025 07:00</t>
  </si>
  <si>
    <t>31/08/2025 08:00</t>
  </si>
  <si>
    <t>31/08/2025 09:00</t>
  </si>
  <si>
    <t>31/08/2025 10:00</t>
  </si>
  <si>
    <t>31/08/2025 11:00</t>
  </si>
  <si>
    <t>31/08/2025 12:00</t>
  </si>
  <si>
    <t>31/08/2025 13:00</t>
  </si>
  <si>
    <t>31/08/2025 14:00</t>
  </si>
  <si>
    <t>31/08/2025 15:00</t>
  </si>
  <si>
    <t>31/08/2025 16:00</t>
  </si>
  <si>
    <t>31/08/2025 17:00</t>
  </si>
  <si>
    <t>31/08/2025 18:00</t>
  </si>
  <si>
    <t>31/08/2025 19:00</t>
  </si>
  <si>
    <t>31/08/2025 20:00</t>
  </si>
  <si>
    <t>31/08/2025 21:00</t>
  </si>
  <si>
    <t>31/08/2025 22:00</t>
  </si>
  <si>
    <t>31/08/2025 23:00</t>
  </si>
  <si>
    <t>31/08/2025 24:00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</si>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</sst>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4" fillId="9" borderId="0" xfId="0" applyFont="1" applyFill="1" applyAlignment="1">
      <alignment horizontal="left"/>
    </xf>
    <xf numFmtId="49" fontId="0" fillId="0" borderId="0" xfId="0" applyNumberFormat="1"/>
    <xf numFmtId="0" fontId="7" fillId="4" borderId="1" xfId="0" applyFont="1" applyFill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  <xf numFmtId="0" fontId="0" fillId="1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87" zoomScaleNormal="87" workbookViewId="0">
      <pane xSplit="2" ySplit="8" topLeftCell="C1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G39" sqref="G39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60</v>
      </c>
      <c r="B9" s="52">
        <v>9.2100000000000009</v>
      </c>
      <c r="C9" s="52">
        <v>10.49</v>
      </c>
      <c r="D9" s="52">
        <v>12.65</v>
      </c>
      <c r="E9" s="52">
        <v>4.7</v>
      </c>
      <c r="F9" s="52">
        <v>11.94</v>
      </c>
      <c r="G9" s="52">
        <v>46.81</v>
      </c>
      <c r="H9" s="52">
        <v>14.54</v>
      </c>
      <c r="I9" s="52">
        <v>2.04</v>
      </c>
      <c r="J9" s="52">
        <v>0.36</v>
      </c>
      <c r="K9" s="52">
        <v>179.76</v>
      </c>
      <c r="L9" s="52">
        <v>23.36</v>
      </c>
      <c r="M9" s="52">
        <v>97.97</v>
      </c>
      <c r="N9" s="52">
        <v>84</v>
      </c>
      <c r="O9" s="52">
        <v>0</v>
      </c>
      <c r="P9" s="52">
        <v>0.48</v>
      </c>
      <c r="Q9" s="52">
        <v>9.15</v>
      </c>
      <c r="R9" s="43"/>
      <c r="S9" s="43"/>
      <c r="T9" s="43"/>
      <c r="U9" s="43"/>
    </row>
    <row r="10" spans="1:21" s="11" customFormat="1" x14ac:dyDescent="0.25">
      <c r="A10" s="51" t="s">
        <v>61</v>
      </c>
      <c r="B10" s="52">
        <v>9.24</v>
      </c>
      <c r="C10" s="52">
        <v>9.89</v>
      </c>
      <c r="D10" s="52">
        <v>12.44</v>
      </c>
      <c r="E10" s="52">
        <v>4.76</v>
      </c>
      <c r="F10" s="52">
        <v>11.86</v>
      </c>
      <c r="G10" s="52">
        <v>38.76</v>
      </c>
      <c r="H10" s="52">
        <v>12.8</v>
      </c>
      <c r="I10" s="52">
        <v>1.9</v>
      </c>
      <c r="J10" s="52">
        <v>0.09</v>
      </c>
      <c r="K10" s="52">
        <v>332.93</v>
      </c>
      <c r="L10" s="52">
        <v>23.57</v>
      </c>
      <c r="M10" s="52">
        <v>97.93</v>
      </c>
      <c r="N10" s="52">
        <v>83.5</v>
      </c>
      <c r="O10" s="52">
        <v>0</v>
      </c>
      <c r="P10" s="52">
        <v>0.34</v>
      </c>
      <c r="Q10" s="52">
        <v>9.16</v>
      </c>
      <c r="R10" s="43"/>
      <c r="S10" s="43"/>
      <c r="T10" s="43"/>
      <c r="U10" s="43"/>
    </row>
    <row r="11" spans="1:21" s="11" customFormat="1" x14ac:dyDescent="0.25">
      <c r="A11" s="51" t="s">
        <v>62</v>
      </c>
      <c r="B11" s="52">
        <v>8.01</v>
      </c>
      <c r="C11" s="52">
        <v>9.5399999999999991</v>
      </c>
      <c r="D11" s="52">
        <v>11.4</v>
      </c>
      <c r="E11" s="52">
        <v>4.82</v>
      </c>
      <c r="F11" s="52">
        <v>10.93</v>
      </c>
      <c r="G11" s="52">
        <v>28.6</v>
      </c>
      <c r="H11" s="52">
        <v>11.53</v>
      </c>
      <c r="I11" s="52">
        <v>1.78</v>
      </c>
      <c r="J11" s="52">
        <v>0.12</v>
      </c>
      <c r="K11" s="52">
        <v>182.48</v>
      </c>
      <c r="L11" s="52">
        <v>23.28</v>
      </c>
      <c r="M11" s="52">
        <v>98.03</v>
      </c>
      <c r="N11" s="52">
        <v>84.9</v>
      </c>
      <c r="O11" s="52">
        <v>0</v>
      </c>
      <c r="P11" s="52">
        <v>0.37</v>
      </c>
      <c r="Q11" s="52">
        <v>9.17</v>
      </c>
      <c r="R11" s="43"/>
      <c r="S11" s="43"/>
      <c r="T11" s="43"/>
      <c r="U11" s="43"/>
    </row>
    <row r="12" spans="1:21" s="11" customFormat="1" x14ac:dyDescent="0.25">
      <c r="A12" s="51" t="s">
        <v>63</v>
      </c>
      <c r="B12" s="52">
        <v>8.8699999999999992</v>
      </c>
      <c r="C12" s="52">
        <v>9.4600000000000009</v>
      </c>
      <c r="D12" s="52">
        <v>12.06</v>
      </c>
      <c r="E12" s="52">
        <v>4.96</v>
      </c>
      <c r="F12" s="52">
        <v>8.7200000000000006</v>
      </c>
      <c r="G12" s="52">
        <v>20.329999999999998</v>
      </c>
      <c r="H12" s="52">
        <v>6.71</v>
      </c>
      <c r="I12" s="52">
        <v>1.63</v>
      </c>
      <c r="J12" s="52">
        <v>0.14000000000000001</v>
      </c>
      <c r="K12" s="52">
        <v>163.07</v>
      </c>
      <c r="L12" s="52">
        <v>22.69</v>
      </c>
      <c r="M12" s="52">
        <v>98</v>
      </c>
      <c r="N12" s="52">
        <v>83.5</v>
      </c>
      <c r="O12" s="52">
        <v>0</v>
      </c>
      <c r="P12" s="52">
        <v>0.33</v>
      </c>
      <c r="Q12" s="52">
        <v>9.16</v>
      </c>
      <c r="R12" s="43"/>
      <c r="S12" s="43"/>
      <c r="T12" s="43"/>
      <c r="U12" s="43"/>
    </row>
    <row r="13" spans="1:21" s="11" customFormat="1" x14ac:dyDescent="0.25">
      <c r="A13" s="51" t="s">
        <v>64</v>
      </c>
      <c r="B13" s="52">
        <v>9.23</v>
      </c>
      <c r="C13" s="52">
        <v>11.66</v>
      </c>
      <c r="D13" s="52">
        <v>13.5</v>
      </c>
      <c r="E13" s="52">
        <v>4.76</v>
      </c>
      <c r="F13" s="52">
        <v>10.67</v>
      </c>
      <c r="G13" s="52">
        <v>18.690000000000001</v>
      </c>
      <c r="H13" s="52">
        <v>9.08</v>
      </c>
      <c r="I13" s="52">
        <v>1.47</v>
      </c>
      <c r="J13" s="52">
        <v>0.1</v>
      </c>
      <c r="K13" s="52">
        <v>254.62</v>
      </c>
      <c r="L13" s="52">
        <v>22.65</v>
      </c>
      <c r="M13" s="52">
        <v>98.06</v>
      </c>
      <c r="N13" s="52">
        <v>83.4</v>
      </c>
      <c r="O13" s="52">
        <v>0</v>
      </c>
      <c r="P13" s="52">
        <v>0.28000000000000003</v>
      </c>
      <c r="Q13" s="52">
        <v>9.14</v>
      </c>
      <c r="R13" s="43"/>
      <c r="S13" s="43"/>
      <c r="T13" s="43"/>
      <c r="U13" s="43"/>
    </row>
    <row r="14" spans="1:21" s="11" customFormat="1" x14ac:dyDescent="0.25">
      <c r="A14" s="51" t="s">
        <v>65</v>
      </c>
      <c r="B14" s="52">
        <v>11.66</v>
      </c>
      <c r="C14" s="52">
        <v>11.8</v>
      </c>
      <c r="D14" s="52">
        <v>14.85</v>
      </c>
      <c r="E14" s="52">
        <v>4.8600000000000003</v>
      </c>
      <c r="F14" s="52">
        <v>6.27</v>
      </c>
      <c r="G14" s="52">
        <v>15.87</v>
      </c>
      <c r="H14" s="52">
        <v>8.34</v>
      </c>
      <c r="I14" s="52">
        <v>1.34</v>
      </c>
      <c r="J14" s="52">
        <v>7.0000000000000007E-2</v>
      </c>
      <c r="K14" s="52">
        <v>287.77999999999997</v>
      </c>
      <c r="L14" s="52">
        <v>22.95</v>
      </c>
      <c r="M14" s="52">
        <v>98.11</v>
      </c>
      <c r="N14" s="52">
        <v>92.8</v>
      </c>
      <c r="O14" s="52">
        <v>0</v>
      </c>
      <c r="P14" s="52">
        <v>0.34</v>
      </c>
      <c r="Q14" s="52">
        <v>9.14</v>
      </c>
      <c r="R14" s="43"/>
      <c r="S14" s="43"/>
      <c r="T14" s="43"/>
      <c r="U14" s="43"/>
    </row>
    <row r="15" spans="1:21" s="11" customFormat="1" x14ac:dyDescent="0.25">
      <c r="A15" s="51" t="s">
        <v>66</v>
      </c>
      <c r="B15" s="52">
        <v>13</v>
      </c>
      <c r="C15" s="52">
        <v>13.01</v>
      </c>
      <c r="D15" s="52">
        <v>17.22</v>
      </c>
      <c r="E15" s="52">
        <v>4.72</v>
      </c>
      <c r="F15" s="52">
        <v>4.9800000000000004</v>
      </c>
      <c r="G15" s="52">
        <v>16.05</v>
      </c>
      <c r="H15" s="52">
        <v>7.47</v>
      </c>
      <c r="I15" s="52">
        <v>1.27</v>
      </c>
      <c r="J15" s="52">
        <v>0.11</v>
      </c>
      <c r="K15" s="52">
        <v>300.64</v>
      </c>
      <c r="L15" s="52">
        <v>24.14</v>
      </c>
      <c r="M15" s="52">
        <v>98.1</v>
      </c>
      <c r="N15" s="52">
        <v>160.5</v>
      </c>
      <c r="O15" s="52">
        <v>0</v>
      </c>
      <c r="P15" s="52">
        <v>0.35</v>
      </c>
      <c r="Q15" s="52">
        <v>9.1300000000000008</v>
      </c>
      <c r="R15" s="43"/>
      <c r="S15" s="43"/>
      <c r="T15" s="43"/>
      <c r="U15" s="43"/>
    </row>
    <row r="16" spans="1:21" s="11" customFormat="1" x14ac:dyDescent="0.25">
      <c r="A16" s="51" t="s">
        <v>67</v>
      </c>
      <c r="B16" s="52">
        <v>17.170000000000002</v>
      </c>
      <c r="C16" s="52">
        <v>13.6</v>
      </c>
      <c r="D16" s="52">
        <v>20.87</v>
      </c>
      <c r="E16" s="52">
        <v>4.5599999999999996</v>
      </c>
      <c r="F16" s="52">
        <v>4.88</v>
      </c>
      <c r="G16" s="52">
        <v>16.75</v>
      </c>
      <c r="H16" s="52">
        <v>9</v>
      </c>
      <c r="I16" s="52">
        <v>1.24</v>
      </c>
      <c r="J16" s="52">
        <v>0.17</v>
      </c>
      <c r="K16" s="52">
        <v>300.10000000000002</v>
      </c>
      <c r="L16" s="52">
        <v>25.28</v>
      </c>
      <c r="M16" s="52">
        <v>98.05</v>
      </c>
      <c r="N16" s="52">
        <v>222.9</v>
      </c>
      <c r="O16" s="52">
        <v>0</v>
      </c>
      <c r="P16" s="52">
        <v>0.39</v>
      </c>
      <c r="Q16" s="52">
        <v>9.18</v>
      </c>
      <c r="R16" s="43"/>
      <c r="S16" s="43"/>
      <c r="T16" s="43"/>
      <c r="U16" s="43"/>
    </row>
    <row r="17" spans="1:21" s="11" customFormat="1" x14ac:dyDescent="0.25">
      <c r="A17" s="51" t="s">
        <v>68</v>
      </c>
      <c r="B17" s="52">
        <v>18.420000000000002</v>
      </c>
      <c r="C17" s="52">
        <v>15.53</v>
      </c>
      <c r="D17" s="52">
        <v>22.89</v>
      </c>
      <c r="E17" s="52">
        <v>3.81</v>
      </c>
      <c r="F17" s="52">
        <v>6.17</v>
      </c>
      <c r="G17" s="52">
        <v>24.39</v>
      </c>
      <c r="H17" s="52">
        <v>8.41</v>
      </c>
      <c r="I17" s="52">
        <v>1.36</v>
      </c>
      <c r="J17" s="52">
        <v>0.3</v>
      </c>
      <c r="K17" s="52">
        <v>309.87</v>
      </c>
      <c r="L17" s="52">
        <v>25.96</v>
      </c>
      <c r="M17" s="52">
        <v>98.01</v>
      </c>
      <c r="N17" s="52">
        <v>259.60000000000002</v>
      </c>
      <c r="O17" s="52">
        <v>0.2</v>
      </c>
      <c r="P17" s="52">
        <v>0.43</v>
      </c>
      <c r="Q17" s="52">
        <v>9.25</v>
      </c>
      <c r="R17" s="43"/>
      <c r="S17" s="43"/>
      <c r="T17" s="43"/>
      <c r="U17" s="43"/>
    </row>
    <row r="18" spans="1:21" s="11" customFormat="1" x14ac:dyDescent="0.25">
      <c r="A18" s="51" t="s">
        <v>69</v>
      </c>
      <c r="B18" s="52">
        <v>30.55</v>
      </c>
      <c r="C18" s="52">
        <v>18.260000000000002</v>
      </c>
      <c r="D18" s="52">
        <v>33.28</v>
      </c>
      <c r="E18" s="52">
        <v>4.0199999999999996</v>
      </c>
      <c r="F18" s="52">
        <v>8.06</v>
      </c>
      <c r="G18" s="52">
        <v>31.78</v>
      </c>
      <c r="H18" s="52">
        <v>6.46</v>
      </c>
      <c r="I18" s="52">
        <v>1.41</v>
      </c>
      <c r="J18" s="52">
        <v>1.56</v>
      </c>
      <c r="K18" s="52">
        <v>341.58</v>
      </c>
      <c r="L18" s="52">
        <v>25.46</v>
      </c>
      <c r="M18" s="52">
        <v>98.1</v>
      </c>
      <c r="N18" s="52">
        <v>274.8</v>
      </c>
      <c r="O18" s="52">
        <v>0</v>
      </c>
      <c r="P18" s="52">
        <v>0.73</v>
      </c>
      <c r="Q18" s="52">
        <v>9.35</v>
      </c>
      <c r="R18" s="43"/>
      <c r="S18" s="43"/>
      <c r="T18" s="43"/>
      <c r="U18" s="43"/>
    </row>
    <row r="19" spans="1:21" s="11" customFormat="1" x14ac:dyDescent="0.25">
      <c r="A19" s="51" t="s">
        <v>70</v>
      </c>
      <c r="B19" s="52">
        <v>20.89</v>
      </c>
      <c r="C19" s="52">
        <v>18.72</v>
      </c>
      <c r="D19" s="52">
        <v>26.08</v>
      </c>
      <c r="E19" s="52">
        <v>4.12</v>
      </c>
      <c r="F19" s="52">
        <v>9.5</v>
      </c>
      <c r="G19" s="52">
        <v>32.04</v>
      </c>
      <c r="H19" s="52">
        <v>8.8800000000000008</v>
      </c>
      <c r="I19" s="52">
        <v>1.52</v>
      </c>
      <c r="J19" s="52">
        <v>0.56000000000000005</v>
      </c>
      <c r="K19" s="52">
        <v>331.49</v>
      </c>
      <c r="L19" s="52">
        <v>29.31</v>
      </c>
      <c r="M19" s="52">
        <v>98.08</v>
      </c>
      <c r="N19" s="52">
        <v>779.8</v>
      </c>
      <c r="O19" s="52">
        <v>0</v>
      </c>
      <c r="P19" s="52">
        <v>0.59</v>
      </c>
      <c r="Q19" s="52">
        <v>9.44</v>
      </c>
      <c r="R19" s="43"/>
      <c r="S19" s="43"/>
      <c r="T19" s="43"/>
      <c r="U19" s="43"/>
    </row>
    <row r="20" spans="1:21" s="11" customFormat="1" x14ac:dyDescent="0.25">
      <c r="A20" s="51" t="s">
        <v>71</v>
      </c>
      <c r="B20" s="52">
        <v>21.14</v>
      </c>
      <c r="C20" s="52">
        <v>13.87</v>
      </c>
      <c r="D20" s="52">
        <v>24.2</v>
      </c>
      <c r="E20" s="52">
        <v>4.07</v>
      </c>
      <c r="F20" s="52">
        <v>8.0500000000000007</v>
      </c>
      <c r="G20" s="8" t="s">
        <v>8</v>
      </c>
      <c r="H20" s="8" t="s">
        <v>8</v>
      </c>
      <c r="I20" s="52">
        <v>1.53</v>
      </c>
      <c r="J20" s="52">
        <v>1.0900000000000001</v>
      </c>
      <c r="K20" s="52">
        <v>333.78</v>
      </c>
      <c r="L20" s="52">
        <v>31.57</v>
      </c>
      <c r="M20" s="52">
        <v>83.79</v>
      </c>
      <c r="N20" s="52">
        <v>913.7</v>
      </c>
      <c r="O20" s="52">
        <v>0</v>
      </c>
      <c r="P20" s="52">
        <v>0.48</v>
      </c>
      <c r="Q20" s="52">
        <v>9.42</v>
      </c>
      <c r="R20" s="43"/>
      <c r="S20" s="43"/>
      <c r="T20" s="43"/>
      <c r="U20" s="43"/>
    </row>
    <row r="21" spans="1:21" s="11" customFormat="1" x14ac:dyDescent="0.25">
      <c r="A21" s="51" t="s">
        <v>72</v>
      </c>
      <c r="B21" s="52">
        <v>18.420000000000002</v>
      </c>
      <c r="C21" s="52">
        <v>15.31</v>
      </c>
      <c r="D21" s="52">
        <v>22.77</v>
      </c>
      <c r="E21" s="52">
        <v>4.0999999999999996</v>
      </c>
      <c r="F21" s="52">
        <v>8.08</v>
      </c>
      <c r="G21" s="8" t="s">
        <v>8</v>
      </c>
      <c r="H21" s="8" t="s">
        <v>8</v>
      </c>
      <c r="I21" s="52">
        <v>1.5</v>
      </c>
      <c r="J21" s="52">
        <v>2.16</v>
      </c>
      <c r="K21" s="52">
        <v>332.28</v>
      </c>
      <c r="L21" s="52">
        <v>31.57</v>
      </c>
      <c r="M21" s="52">
        <v>71.52</v>
      </c>
      <c r="N21" s="52">
        <v>916.4</v>
      </c>
      <c r="O21" s="52">
        <v>0</v>
      </c>
      <c r="P21" s="52">
        <v>0.49</v>
      </c>
      <c r="Q21" s="52">
        <v>9.4</v>
      </c>
      <c r="R21" s="43"/>
      <c r="S21" s="43"/>
      <c r="T21" s="43"/>
      <c r="U21" s="43"/>
    </row>
    <row r="22" spans="1:21" s="11" customFormat="1" x14ac:dyDescent="0.25">
      <c r="A22" s="51" t="s">
        <v>73</v>
      </c>
      <c r="B22" s="8" t="s">
        <v>8</v>
      </c>
      <c r="C22" s="8" t="s">
        <v>8</v>
      </c>
      <c r="D22" s="8" t="s">
        <v>8</v>
      </c>
      <c r="E22" s="52">
        <v>6.39</v>
      </c>
      <c r="F22" s="52">
        <v>12.12</v>
      </c>
      <c r="G22" s="8" t="s">
        <v>8</v>
      </c>
      <c r="H22" s="8" t="s">
        <v>8</v>
      </c>
      <c r="I22" s="52">
        <v>80.98</v>
      </c>
      <c r="J22" s="52">
        <v>0.2</v>
      </c>
      <c r="K22" s="52">
        <v>297.39999999999998</v>
      </c>
      <c r="L22" s="52">
        <v>29.48</v>
      </c>
      <c r="M22" s="52">
        <v>97.65</v>
      </c>
      <c r="N22" s="52">
        <v>257.89999999999998</v>
      </c>
      <c r="O22" s="52">
        <v>0</v>
      </c>
      <c r="P22" s="52">
        <v>0.5</v>
      </c>
      <c r="Q22" s="52">
        <v>9.35</v>
      </c>
      <c r="R22" s="43"/>
      <c r="S22" s="43"/>
      <c r="T22" s="43"/>
      <c r="U22" s="43"/>
    </row>
    <row r="23" spans="1:21" s="11" customFormat="1" x14ac:dyDescent="0.25">
      <c r="A23" s="51" t="s">
        <v>74</v>
      </c>
      <c r="B23" s="52">
        <v>109.36</v>
      </c>
      <c r="C23" s="52">
        <v>25.53</v>
      </c>
      <c r="D23" s="52">
        <v>115.57</v>
      </c>
      <c r="E23" s="52">
        <v>5.74</v>
      </c>
      <c r="F23" s="52">
        <v>9.7200000000000006</v>
      </c>
      <c r="G23" s="52">
        <v>45.63</v>
      </c>
      <c r="H23" s="8" t="s">
        <v>8</v>
      </c>
      <c r="I23" s="52">
        <v>134.25</v>
      </c>
      <c r="J23" s="52">
        <v>0.55000000000000004</v>
      </c>
      <c r="K23" s="52">
        <v>327.27999999999997</v>
      </c>
      <c r="L23" s="52">
        <v>30.88</v>
      </c>
      <c r="M23" s="52">
        <v>91.63</v>
      </c>
      <c r="N23" s="52">
        <v>345.4</v>
      </c>
      <c r="O23" s="52">
        <v>0</v>
      </c>
      <c r="P23" s="52">
        <v>0.32</v>
      </c>
      <c r="Q23" s="52">
        <v>11.38</v>
      </c>
      <c r="R23" s="43"/>
      <c r="S23" s="43"/>
      <c r="T23" s="43"/>
      <c r="U23" s="43"/>
    </row>
    <row r="24" spans="1:21" s="11" customFormat="1" x14ac:dyDescent="0.25">
      <c r="A24" s="51" t="s">
        <v>75</v>
      </c>
      <c r="B24" s="52">
        <v>33.979999999999997</v>
      </c>
      <c r="C24" s="52">
        <v>18.59</v>
      </c>
      <c r="D24" s="52">
        <v>36.65</v>
      </c>
      <c r="E24" s="52">
        <v>6.67</v>
      </c>
      <c r="F24" s="52">
        <v>7.06</v>
      </c>
      <c r="G24" s="52">
        <v>73.39</v>
      </c>
      <c r="H24" s="8" t="s">
        <v>8</v>
      </c>
      <c r="I24" s="52">
        <v>39.090000000000003</v>
      </c>
      <c r="J24" s="52">
        <v>0.56999999999999995</v>
      </c>
      <c r="K24" s="52">
        <v>318.7</v>
      </c>
      <c r="L24" s="52">
        <v>30.82</v>
      </c>
      <c r="M24" s="52">
        <v>79.650000000000006</v>
      </c>
      <c r="N24" s="52">
        <v>197.5</v>
      </c>
      <c r="O24" s="52">
        <v>0</v>
      </c>
      <c r="P24" s="52">
        <v>0.36</v>
      </c>
      <c r="Q24" s="52">
        <v>9.77</v>
      </c>
      <c r="R24" s="43"/>
      <c r="S24" s="43"/>
      <c r="T24" s="43"/>
      <c r="U24" s="43"/>
    </row>
    <row r="25" spans="1:21" s="11" customFormat="1" x14ac:dyDescent="0.25">
      <c r="A25" s="51" t="s">
        <v>76</v>
      </c>
      <c r="B25" s="52">
        <v>15.24</v>
      </c>
      <c r="C25" s="52">
        <v>25.46</v>
      </c>
      <c r="D25" s="52">
        <v>22.7</v>
      </c>
      <c r="E25" s="52">
        <v>8.43</v>
      </c>
      <c r="F25" s="52">
        <v>10.85</v>
      </c>
      <c r="G25" s="52">
        <v>67.709999999999994</v>
      </c>
      <c r="H25" s="52">
        <v>34</v>
      </c>
      <c r="I25" s="52">
        <v>24.01</v>
      </c>
      <c r="J25" s="52">
        <v>0.15</v>
      </c>
      <c r="K25" s="52">
        <v>315.52999999999997</v>
      </c>
      <c r="L25" s="52">
        <v>29.52</v>
      </c>
      <c r="M25" s="52">
        <v>79.569999999999993</v>
      </c>
      <c r="N25" s="52">
        <v>171.9</v>
      </c>
      <c r="O25" s="52">
        <v>0</v>
      </c>
      <c r="P25" s="52">
        <v>0.51</v>
      </c>
      <c r="Q25" s="52">
        <v>9.59</v>
      </c>
      <c r="R25" s="43"/>
      <c r="S25" s="43"/>
      <c r="T25" s="43"/>
      <c r="U25" s="43"/>
    </row>
    <row r="26" spans="1:21" s="11" customFormat="1" x14ac:dyDescent="0.25">
      <c r="A26" s="51" t="s">
        <v>77</v>
      </c>
      <c r="B26" s="52">
        <v>8.09</v>
      </c>
      <c r="C26" s="52">
        <v>23.13</v>
      </c>
      <c r="D26" s="52">
        <v>16.84</v>
      </c>
      <c r="E26" s="52">
        <v>8.02</v>
      </c>
      <c r="F26" s="52">
        <v>12.5</v>
      </c>
      <c r="G26" s="52">
        <v>72.02</v>
      </c>
      <c r="H26" s="52">
        <v>33.92</v>
      </c>
      <c r="I26" s="52">
        <v>8.2799999999999994</v>
      </c>
      <c r="J26" s="52">
        <v>0.16</v>
      </c>
      <c r="K26" s="52">
        <v>350.21</v>
      </c>
      <c r="L26" s="52">
        <v>28.94</v>
      </c>
      <c r="M26" s="52">
        <v>81.92</v>
      </c>
      <c r="N26" s="52">
        <v>103.5</v>
      </c>
      <c r="O26" s="52">
        <v>0</v>
      </c>
      <c r="P26" s="52">
        <v>0.64</v>
      </c>
      <c r="Q26" s="52">
        <v>9.32</v>
      </c>
      <c r="R26" s="43"/>
      <c r="S26" s="43"/>
      <c r="T26" s="43"/>
      <c r="U26" s="43"/>
    </row>
    <row r="27" spans="1:21" s="11" customFormat="1" x14ac:dyDescent="0.25">
      <c r="A27" s="51" t="s">
        <v>78</v>
      </c>
      <c r="B27" s="52">
        <v>18.61</v>
      </c>
      <c r="C27" s="52">
        <v>16.670000000000002</v>
      </c>
      <c r="D27" s="52">
        <v>23.24</v>
      </c>
      <c r="E27" s="52">
        <v>5.77</v>
      </c>
      <c r="F27" s="52">
        <v>9.81</v>
      </c>
      <c r="G27" s="52">
        <v>77.52</v>
      </c>
      <c r="H27" s="52">
        <v>32.79</v>
      </c>
      <c r="I27" s="52">
        <v>5.18</v>
      </c>
      <c r="J27" s="52">
        <v>1.35</v>
      </c>
      <c r="K27" s="52">
        <v>341.07</v>
      </c>
      <c r="L27" s="52">
        <v>28.16</v>
      </c>
      <c r="M27" s="52">
        <v>96.17</v>
      </c>
      <c r="N27" s="52">
        <v>52.7</v>
      </c>
      <c r="O27" s="52">
        <v>0.2</v>
      </c>
      <c r="P27" s="52">
        <v>0.87</v>
      </c>
      <c r="Q27" s="52">
        <v>9.32</v>
      </c>
      <c r="R27" s="43"/>
      <c r="S27" s="43"/>
      <c r="T27" s="43"/>
      <c r="U27" s="43"/>
    </row>
    <row r="28" spans="1:21" s="11" customFormat="1" x14ac:dyDescent="0.25">
      <c r="A28" s="51" t="s">
        <v>79</v>
      </c>
      <c r="B28" s="52">
        <v>22.15</v>
      </c>
      <c r="C28" s="52">
        <v>17.98</v>
      </c>
      <c r="D28" s="52">
        <v>27.16</v>
      </c>
      <c r="E28" s="52">
        <v>4.72</v>
      </c>
      <c r="F28" s="52">
        <v>7.72</v>
      </c>
      <c r="G28" s="52">
        <v>75.33</v>
      </c>
      <c r="H28" s="52">
        <v>28.3</v>
      </c>
      <c r="I28" s="52">
        <v>5.13</v>
      </c>
      <c r="J28" s="52">
        <v>0.68</v>
      </c>
      <c r="K28" s="52">
        <v>341.86</v>
      </c>
      <c r="L28" s="52">
        <v>26.47</v>
      </c>
      <c r="M28" s="52">
        <v>97.72</v>
      </c>
      <c r="N28" s="52">
        <v>43.4</v>
      </c>
      <c r="O28" s="52">
        <v>0</v>
      </c>
      <c r="P28" s="52">
        <v>0.93</v>
      </c>
      <c r="Q28" s="52">
        <v>9.4499999999999993</v>
      </c>
      <c r="R28" s="43"/>
      <c r="S28" s="43"/>
      <c r="T28" s="43"/>
      <c r="U28" s="43"/>
    </row>
    <row r="29" spans="1:21" s="11" customFormat="1" x14ac:dyDescent="0.25">
      <c r="A29" s="51" t="s">
        <v>80</v>
      </c>
      <c r="B29" s="52">
        <v>29.68</v>
      </c>
      <c r="C29" s="52">
        <v>19.489999999999998</v>
      </c>
      <c r="D29" s="52">
        <v>33.04</v>
      </c>
      <c r="E29" s="52">
        <v>4.7300000000000004</v>
      </c>
      <c r="F29" s="52">
        <v>6.93</v>
      </c>
      <c r="G29" s="52">
        <v>81.66</v>
      </c>
      <c r="H29" s="52">
        <v>29.95</v>
      </c>
      <c r="I29" s="52">
        <v>5.0999999999999996</v>
      </c>
      <c r="J29" s="52">
        <v>0.11</v>
      </c>
      <c r="K29" s="52">
        <v>343.91</v>
      </c>
      <c r="L29" s="52">
        <v>26.43</v>
      </c>
      <c r="M29" s="52">
        <v>94.4</v>
      </c>
      <c r="N29" s="52">
        <v>43.6</v>
      </c>
      <c r="O29" s="52">
        <v>0</v>
      </c>
      <c r="P29" s="52">
        <v>1.25</v>
      </c>
      <c r="Q29" s="52">
        <v>9.58</v>
      </c>
      <c r="R29" s="43"/>
      <c r="S29" s="43"/>
      <c r="T29" s="43"/>
      <c r="U29" s="43"/>
    </row>
    <row r="30" spans="1:21" s="11" customFormat="1" x14ac:dyDescent="0.25">
      <c r="A30" s="51" t="s">
        <v>81</v>
      </c>
      <c r="B30" s="52">
        <v>30.22</v>
      </c>
      <c r="C30" s="52">
        <v>19.45</v>
      </c>
      <c r="D30" s="52">
        <v>34.4</v>
      </c>
      <c r="E30" s="52">
        <v>4.55</v>
      </c>
      <c r="F30" s="52">
        <v>5.42</v>
      </c>
      <c r="G30" s="52">
        <v>84.14</v>
      </c>
      <c r="H30" s="52">
        <v>29.15</v>
      </c>
      <c r="I30" s="52">
        <v>4.84</v>
      </c>
      <c r="J30" s="52">
        <v>0.71</v>
      </c>
      <c r="K30" s="52">
        <v>319.98</v>
      </c>
      <c r="L30" s="52">
        <v>26.3</v>
      </c>
      <c r="M30" s="52">
        <v>97.92</v>
      </c>
      <c r="N30" s="52">
        <v>44</v>
      </c>
      <c r="O30" s="52">
        <v>0</v>
      </c>
      <c r="P30" s="52">
        <v>1.07</v>
      </c>
      <c r="Q30" s="52">
        <v>9.6300000000000008</v>
      </c>
      <c r="R30" s="43"/>
      <c r="S30" s="43"/>
      <c r="T30" s="43"/>
      <c r="U30" s="43"/>
    </row>
    <row r="31" spans="1:21" s="11" customFormat="1" x14ac:dyDescent="0.25">
      <c r="A31" s="51" t="s">
        <v>82</v>
      </c>
      <c r="B31" s="52">
        <v>17.21</v>
      </c>
      <c r="C31" s="52">
        <v>10.14</v>
      </c>
      <c r="D31" s="52">
        <v>17.190000000000001</v>
      </c>
      <c r="E31" s="52">
        <v>4.59</v>
      </c>
      <c r="F31" s="52">
        <v>4.43</v>
      </c>
      <c r="G31" s="52">
        <v>80.42</v>
      </c>
      <c r="H31" s="52">
        <v>28.53</v>
      </c>
      <c r="I31" s="52">
        <v>4.43</v>
      </c>
      <c r="J31" s="52">
        <v>0.28999999999999998</v>
      </c>
      <c r="K31" s="52">
        <v>331.67</v>
      </c>
      <c r="L31" s="52">
        <v>25.16</v>
      </c>
      <c r="M31" s="52">
        <v>97.96</v>
      </c>
      <c r="N31" s="52">
        <v>44.1</v>
      </c>
      <c r="O31" s="52">
        <v>0</v>
      </c>
      <c r="P31" s="52">
        <v>0.69</v>
      </c>
      <c r="Q31" s="52">
        <v>9.61</v>
      </c>
      <c r="R31" s="43"/>
      <c r="S31" s="43"/>
      <c r="T31" s="43"/>
      <c r="U31" s="43"/>
    </row>
    <row r="32" spans="1:21" s="11" customFormat="1" x14ac:dyDescent="0.25">
      <c r="A32" s="51" t="s">
        <v>83</v>
      </c>
      <c r="B32" s="52">
        <v>12.65</v>
      </c>
      <c r="C32" s="52">
        <v>12.26</v>
      </c>
      <c r="D32" s="52">
        <v>15.94</v>
      </c>
      <c r="E32" s="52">
        <v>4.7</v>
      </c>
      <c r="F32" s="52">
        <v>4.62</v>
      </c>
      <c r="G32" s="52">
        <v>61.23</v>
      </c>
      <c r="H32" s="52">
        <v>27.1</v>
      </c>
      <c r="I32" s="52">
        <v>3.64</v>
      </c>
      <c r="J32" s="52">
        <v>0.4</v>
      </c>
      <c r="K32" s="52">
        <v>316.82</v>
      </c>
      <c r="L32" s="52">
        <v>24.55</v>
      </c>
      <c r="M32" s="52">
        <v>98.02</v>
      </c>
      <c r="N32" s="52">
        <v>43.8</v>
      </c>
      <c r="O32" s="52">
        <v>0</v>
      </c>
      <c r="P32" s="52">
        <v>0.52</v>
      </c>
      <c r="Q32" s="52">
        <v>9.4499999999999993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8.01</v>
      </c>
      <c r="C34" s="28">
        <f t="shared" si="0"/>
        <v>9.4600000000000009</v>
      </c>
      <c r="D34" s="28">
        <f t="shared" si="0"/>
        <v>11.4</v>
      </c>
      <c r="E34" s="28">
        <f t="shared" si="0"/>
        <v>3.81</v>
      </c>
      <c r="F34" s="28">
        <f t="shared" si="0"/>
        <v>4.43</v>
      </c>
      <c r="G34" s="28">
        <f t="shared" si="0"/>
        <v>15.87</v>
      </c>
      <c r="H34" s="28">
        <f t="shared" si="0"/>
        <v>6.46</v>
      </c>
      <c r="I34" s="28">
        <f t="shared" si="0"/>
        <v>1.24</v>
      </c>
      <c r="J34" s="28">
        <f t="shared" si="0"/>
        <v>7.0000000000000007E-2</v>
      </c>
      <c r="K34" s="28">
        <f t="shared" si="0"/>
        <v>163.07</v>
      </c>
      <c r="L34" s="28">
        <f t="shared" si="0"/>
        <v>22.65</v>
      </c>
      <c r="M34" s="28">
        <f t="shared" si="0"/>
        <v>71.52</v>
      </c>
      <c r="N34" s="28">
        <f t="shared" si="0"/>
        <v>43.4</v>
      </c>
      <c r="O34" s="28">
        <f t="shared" si="0"/>
        <v>0</v>
      </c>
      <c r="P34" s="28">
        <f t="shared" si="0"/>
        <v>0.28000000000000003</v>
      </c>
      <c r="Q34" s="28">
        <f t="shared" si="0"/>
        <v>9.1300000000000008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109.36</v>
      </c>
      <c r="C35" s="29">
        <f t="shared" si="1"/>
        <v>25.53</v>
      </c>
      <c r="D35" s="29">
        <f t="shared" si="1"/>
        <v>115.57</v>
      </c>
      <c r="E35" s="29">
        <f t="shared" si="1"/>
        <v>8.43</v>
      </c>
      <c r="F35" s="29">
        <f t="shared" si="1"/>
        <v>12.5</v>
      </c>
      <c r="G35" s="29">
        <f t="shared" si="1"/>
        <v>84.14</v>
      </c>
      <c r="H35" s="29">
        <f t="shared" si="1"/>
        <v>34</v>
      </c>
      <c r="I35" s="29">
        <f t="shared" si="1"/>
        <v>134.25</v>
      </c>
      <c r="J35" s="29">
        <f t="shared" si="1"/>
        <v>2.16</v>
      </c>
      <c r="K35" s="29">
        <f t="shared" si="1"/>
        <v>350.21</v>
      </c>
      <c r="L35" s="29">
        <f t="shared" si="1"/>
        <v>31.57</v>
      </c>
      <c r="M35" s="29">
        <f t="shared" si="1"/>
        <v>98.11</v>
      </c>
      <c r="N35" s="29">
        <f t="shared" si="1"/>
        <v>916.4</v>
      </c>
      <c r="O35" s="29">
        <f t="shared" si="1"/>
        <v>0.2</v>
      </c>
      <c r="P35" s="29">
        <f t="shared" si="1"/>
        <v>1.25</v>
      </c>
      <c r="Q35" s="29">
        <f t="shared" si="1"/>
        <v>11.38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21.434782608695649</v>
      </c>
      <c r="C36" s="28">
        <f t="shared" si="2"/>
        <v>15.64521739130435</v>
      </c>
      <c r="D36" s="28">
        <f t="shared" si="2"/>
        <v>25.51913043478261</v>
      </c>
      <c r="E36" s="28">
        <f t="shared" si="2"/>
        <v>5.1070833333333328</v>
      </c>
      <c r="F36" s="28">
        <f t="shared" si="2"/>
        <v>8.3870833333333348</v>
      </c>
      <c r="G36" s="28">
        <f t="shared" si="2"/>
        <v>48.053333333333327</v>
      </c>
      <c r="H36" s="28">
        <f t="shared" si="2"/>
        <v>18.261052631578949</v>
      </c>
      <c r="I36" s="28">
        <f t="shared" si="2"/>
        <v>13.954999999999998</v>
      </c>
      <c r="J36" s="28">
        <f t="shared" si="2"/>
        <v>0.49999999999999994</v>
      </c>
      <c r="K36" s="28">
        <f t="shared" si="2"/>
        <v>302.28374999999988</v>
      </c>
      <c r="L36" s="28">
        <f t="shared" si="2"/>
        <v>26.604166666666657</v>
      </c>
      <c r="M36" s="28">
        <f t="shared" si="2"/>
        <v>93.598333333333358</v>
      </c>
      <c r="N36" s="28">
        <f t="shared" si="2"/>
        <v>224.48333333333332</v>
      </c>
      <c r="O36" s="28">
        <f t="shared" si="2"/>
        <v>1.6666666666666666E-2</v>
      </c>
      <c r="P36" s="28">
        <f t="shared" si="2"/>
        <v>0.55249999999999999</v>
      </c>
      <c r="Q36" s="28">
        <f t="shared" si="2"/>
        <v>9.4391666666666652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20.698158650988788</v>
      </c>
      <c r="C37" s="28">
        <f t="shared" ref="C37:Q37" si="3">STDEV(C9:C32)</f>
        <v>4.9214399865793208</v>
      </c>
      <c r="D37" s="28">
        <f t="shared" si="3"/>
        <v>21.066449395153828</v>
      </c>
      <c r="E37" s="28">
        <f t="shared" si="3"/>
        <v>1.1876190253087757</v>
      </c>
      <c r="F37" s="28">
        <f t="shared" si="3"/>
        <v>2.5962556301530535</v>
      </c>
      <c r="G37" s="28">
        <f t="shared" si="3"/>
        <v>25.585152204615355</v>
      </c>
      <c r="H37" s="28">
        <f t="shared" si="3"/>
        <v>10.992965374242665</v>
      </c>
      <c r="I37" s="28">
        <f t="shared" si="3"/>
        <v>31.1008060848981</v>
      </c>
      <c r="J37" s="28">
        <f t="shared" si="3"/>
        <v>0.53888774341229928</v>
      </c>
      <c r="K37" s="28">
        <f t="shared" si="3"/>
        <v>53.610035466481968</v>
      </c>
      <c r="L37" s="28">
        <f t="shared" si="3"/>
        <v>3.0103544738072987</v>
      </c>
      <c r="M37" s="28">
        <f t="shared" si="3"/>
        <v>7.8856576835067642</v>
      </c>
      <c r="N37" s="28">
        <f t="shared" si="3"/>
        <v>264.81074401339453</v>
      </c>
      <c r="O37" s="28">
        <f t="shared" si="3"/>
        <v>5.6465970257327996E-2</v>
      </c>
      <c r="P37" s="28">
        <f t="shared" si="3"/>
        <v>0.25521091022064918</v>
      </c>
      <c r="Q37" s="28">
        <f t="shared" si="3"/>
        <v>0.45302765696038311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COUNT(B9:B32)+1</f>
        <v>24</v>
      </c>
      <c r="C38" s="32">
        <f t="shared" ref="C38:D38" si="4">COUNT(C9:C32)+1</f>
        <v>24</v>
      </c>
      <c r="D38" s="32">
        <f t="shared" si="4"/>
        <v>24</v>
      </c>
      <c r="E38" s="32">
        <f t="shared" ref="E38:Q38" si="5">COUNT(E9:E32)</f>
        <v>24</v>
      </c>
      <c r="F38" s="32">
        <f t="shared" si="5"/>
        <v>24</v>
      </c>
      <c r="G38" s="32">
        <f>COUNT(G9:G32)+3</f>
        <v>24</v>
      </c>
      <c r="H38" s="32">
        <f>COUNT(H9:H32)+5</f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15" sqref="H15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84</v>
      </c>
      <c r="B9" s="52">
        <v>11.26</v>
      </c>
      <c r="C9" s="52">
        <v>8.94</v>
      </c>
      <c r="D9" s="52">
        <v>13.53</v>
      </c>
      <c r="E9" s="52">
        <v>4.76</v>
      </c>
      <c r="F9" s="52">
        <v>3.85</v>
      </c>
      <c r="G9" s="52">
        <v>46.85</v>
      </c>
      <c r="H9" s="52">
        <v>18.5</v>
      </c>
      <c r="I9" s="52">
        <v>3.27</v>
      </c>
      <c r="J9" s="52">
        <v>0.22</v>
      </c>
      <c r="K9" s="52">
        <v>323.58999999999997</v>
      </c>
      <c r="L9" s="52">
        <v>24.18</v>
      </c>
      <c r="M9" s="52">
        <v>98.02</v>
      </c>
      <c r="N9" s="52">
        <v>43.8</v>
      </c>
      <c r="O9" s="52">
        <v>0</v>
      </c>
      <c r="P9" s="52">
        <v>0.47</v>
      </c>
      <c r="Q9" s="52">
        <v>9.35</v>
      </c>
      <c r="R9" s="43"/>
      <c r="S9" s="43"/>
      <c r="T9" s="43"/>
      <c r="U9" s="43"/>
    </row>
    <row r="10" spans="1:21" s="11" customFormat="1" x14ac:dyDescent="0.25">
      <c r="A10" s="51" t="s">
        <v>85</v>
      </c>
      <c r="B10" s="52">
        <v>8.93</v>
      </c>
      <c r="C10" s="52">
        <v>10.33</v>
      </c>
      <c r="D10" s="52">
        <v>12.3</v>
      </c>
      <c r="E10" s="52">
        <v>4.68</v>
      </c>
      <c r="F10" s="52">
        <v>5.31</v>
      </c>
      <c r="G10" s="52">
        <v>38.76</v>
      </c>
      <c r="H10" s="52">
        <v>16.760000000000002</v>
      </c>
      <c r="I10" s="52">
        <v>3.11</v>
      </c>
      <c r="J10" s="52">
        <v>0.09</v>
      </c>
      <c r="K10" s="52">
        <v>324.56</v>
      </c>
      <c r="L10" s="52">
        <v>23.95</v>
      </c>
      <c r="M10" s="52">
        <v>98.02</v>
      </c>
      <c r="N10" s="52">
        <v>43.8</v>
      </c>
      <c r="O10" s="52">
        <v>0</v>
      </c>
      <c r="P10" s="52">
        <v>0.5</v>
      </c>
      <c r="Q10" s="52">
        <v>9.1999999999999993</v>
      </c>
      <c r="R10" s="43"/>
      <c r="S10" s="43"/>
      <c r="T10" s="43"/>
      <c r="U10" s="43"/>
    </row>
    <row r="11" spans="1:21" s="11" customFormat="1" x14ac:dyDescent="0.25">
      <c r="A11" s="51" t="s">
        <v>86</v>
      </c>
      <c r="B11" s="52">
        <v>8.69</v>
      </c>
      <c r="C11" s="52">
        <v>8.35</v>
      </c>
      <c r="D11" s="52">
        <v>11.32</v>
      </c>
      <c r="E11" s="52">
        <v>4.29</v>
      </c>
      <c r="F11" s="52">
        <v>8.0500000000000007</v>
      </c>
      <c r="G11" s="52">
        <v>35.78</v>
      </c>
      <c r="H11" s="52">
        <v>16.07</v>
      </c>
      <c r="I11" s="52">
        <v>3.28</v>
      </c>
      <c r="J11" s="52">
        <v>0.09</v>
      </c>
      <c r="K11" s="52">
        <v>317.44</v>
      </c>
      <c r="L11" s="52">
        <v>24.01</v>
      </c>
      <c r="M11" s="52">
        <v>98.04</v>
      </c>
      <c r="N11" s="52">
        <v>43.8</v>
      </c>
      <c r="O11" s="52">
        <v>0</v>
      </c>
      <c r="P11" s="52">
        <v>0.47</v>
      </c>
      <c r="Q11" s="52">
        <v>9.14</v>
      </c>
      <c r="R11" s="43"/>
      <c r="S11" s="43"/>
      <c r="T11" s="43"/>
      <c r="U11" s="43"/>
    </row>
    <row r="12" spans="1:21" s="11" customFormat="1" x14ac:dyDescent="0.25">
      <c r="A12" s="51" t="s">
        <v>87</v>
      </c>
      <c r="B12" s="52">
        <v>7.26</v>
      </c>
      <c r="C12" s="52">
        <v>9.08</v>
      </c>
      <c r="D12" s="52">
        <v>10.54</v>
      </c>
      <c r="E12" s="52">
        <v>4.59</v>
      </c>
      <c r="F12" s="52">
        <v>6.94</v>
      </c>
      <c r="G12" s="52">
        <v>32.36</v>
      </c>
      <c r="H12" s="52">
        <v>15.43</v>
      </c>
      <c r="I12" s="52">
        <v>2.98</v>
      </c>
      <c r="J12" s="52">
        <v>0.11</v>
      </c>
      <c r="K12" s="52">
        <v>313.13</v>
      </c>
      <c r="L12" s="52">
        <v>24.01</v>
      </c>
      <c r="M12" s="52">
        <v>98.05</v>
      </c>
      <c r="N12" s="52">
        <v>43.8</v>
      </c>
      <c r="O12" s="52">
        <v>0</v>
      </c>
      <c r="P12" s="52">
        <v>0.33</v>
      </c>
      <c r="Q12" s="52">
        <v>9.1300000000000008</v>
      </c>
      <c r="R12" s="43"/>
      <c r="S12" s="43"/>
      <c r="T12" s="43"/>
      <c r="U12" s="43"/>
    </row>
    <row r="13" spans="1:21" s="11" customFormat="1" x14ac:dyDescent="0.25">
      <c r="A13" s="51" t="s">
        <v>88</v>
      </c>
      <c r="B13" s="52">
        <v>7.83</v>
      </c>
      <c r="C13" s="52">
        <v>9.32</v>
      </c>
      <c r="D13" s="52">
        <v>11.15</v>
      </c>
      <c r="E13" s="52">
        <v>4.5199999999999996</v>
      </c>
      <c r="F13" s="52">
        <v>6.67</v>
      </c>
      <c r="G13" s="52">
        <v>27.09</v>
      </c>
      <c r="H13" s="52">
        <v>14.45</v>
      </c>
      <c r="I13" s="52">
        <v>2.67</v>
      </c>
      <c r="J13" s="52">
        <v>0.1</v>
      </c>
      <c r="K13" s="52">
        <v>302.79000000000002</v>
      </c>
      <c r="L13" s="52">
        <v>23.85</v>
      </c>
      <c r="M13" s="52">
        <v>98.06</v>
      </c>
      <c r="N13" s="52">
        <v>43.8</v>
      </c>
      <c r="O13" s="52">
        <v>0</v>
      </c>
      <c r="P13" s="52">
        <v>0.32</v>
      </c>
      <c r="Q13" s="52">
        <v>9.14</v>
      </c>
      <c r="R13" s="43"/>
      <c r="S13" s="43"/>
      <c r="T13" s="43"/>
      <c r="U13" s="43"/>
    </row>
    <row r="14" spans="1:21" s="11" customFormat="1" x14ac:dyDescent="0.25">
      <c r="A14" s="51" t="s">
        <v>89</v>
      </c>
      <c r="B14" s="52">
        <v>7.95</v>
      </c>
      <c r="C14" s="52">
        <v>9.84</v>
      </c>
      <c r="D14" s="52">
        <v>11.52</v>
      </c>
      <c r="E14" s="52">
        <v>4.53</v>
      </c>
      <c r="F14" s="52">
        <v>5.88</v>
      </c>
      <c r="G14" s="52">
        <v>24.01</v>
      </c>
      <c r="H14" s="52">
        <v>13.86</v>
      </c>
      <c r="I14" s="52">
        <v>2.37</v>
      </c>
      <c r="J14" s="52">
        <v>0.12</v>
      </c>
      <c r="K14" s="52">
        <v>305.64</v>
      </c>
      <c r="L14" s="52">
        <v>23.91</v>
      </c>
      <c r="M14" s="52">
        <v>98.16</v>
      </c>
      <c r="N14" s="52">
        <v>48.1</v>
      </c>
      <c r="O14" s="52">
        <v>0</v>
      </c>
      <c r="P14" s="52">
        <v>0.27</v>
      </c>
      <c r="Q14" s="52">
        <v>9.1</v>
      </c>
      <c r="R14" s="43"/>
      <c r="S14" s="43"/>
      <c r="T14" s="43"/>
      <c r="U14" s="43"/>
    </row>
    <row r="15" spans="1:21" s="11" customFormat="1" x14ac:dyDescent="0.25">
      <c r="A15" s="51" t="s">
        <v>90</v>
      </c>
      <c r="B15" s="52">
        <v>7.63</v>
      </c>
      <c r="C15" s="52">
        <v>10.43</v>
      </c>
      <c r="D15" s="52">
        <v>10.98</v>
      </c>
      <c r="E15" s="52">
        <v>4.43</v>
      </c>
      <c r="F15" s="52">
        <v>7.75</v>
      </c>
      <c r="G15" s="52">
        <v>24.38</v>
      </c>
      <c r="H15" s="52">
        <v>13.99</v>
      </c>
      <c r="I15" s="52">
        <v>2.09</v>
      </c>
      <c r="J15" s="52">
        <v>0.1</v>
      </c>
      <c r="K15" s="52">
        <v>266.91000000000003</v>
      </c>
      <c r="L15" s="52">
        <v>23.13</v>
      </c>
      <c r="M15" s="52">
        <v>98.18</v>
      </c>
      <c r="N15" s="52">
        <v>106.9</v>
      </c>
      <c r="O15" s="52">
        <v>0</v>
      </c>
      <c r="P15" s="52">
        <v>0.26</v>
      </c>
      <c r="Q15" s="52">
        <v>9.08</v>
      </c>
      <c r="R15" s="43"/>
      <c r="S15" s="43"/>
      <c r="T15" s="43"/>
      <c r="U15" s="43"/>
    </row>
    <row r="16" spans="1:21" s="11" customFormat="1" x14ac:dyDescent="0.25">
      <c r="A16" s="51" t="s">
        <v>91</v>
      </c>
      <c r="B16" s="52">
        <v>8.15</v>
      </c>
      <c r="C16" s="52">
        <v>10.24</v>
      </c>
      <c r="D16" s="52">
        <v>11.87</v>
      </c>
      <c r="E16" s="52">
        <v>4.51</v>
      </c>
      <c r="F16" s="52">
        <v>9.2899999999999991</v>
      </c>
      <c r="G16" s="52">
        <v>19.32</v>
      </c>
      <c r="H16" s="52">
        <v>13.4</v>
      </c>
      <c r="I16" s="52">
        <v>1.96</v>
      </c>
      <c r="J16" s="52">
        <v>0.32</v>
      </c>
      <c r="K16" s="52">
        <v>193.32</v>
      </c>
      <c r="L16" s="52">
        <v>23.97</v>
      </c>
      <c r="M16" s="52">
        <v>98.18</v>
      </c>
      <c r="N16" s="52">
        <v>131.69999999999999</v>
      </c>
      <c r="O16" s="52">
        <v>0</v>
      </c>
      <c r="P16" s="52">
        <v>0.28999999999999998</v>
      </c>
      <c r="Q16" s="52">
        <v>9.14</v>
      </c>
      <c r="R16" s="43"/>
      <c r="S16" s="43"/>
      <c r="T16" s="43"/>
      <c r="U16" s="43"/>
    </row>
    <row r="17" spans="1:21" s="11" customFormat="1" x14ac:dyDescent="0.25">
      <c r="A17" s="51" t="s">
        <v>92</v>
      </c>
      <c r="B17" s="52">
        <v>9.08</v>
      </c>
      <c r="C17" s="52">
        <v>9.2100000000000009</v>
      </c>
      <c r="D17" s="52">
        <v>12.09</v>
      </c>
      <c r="E17" s="52">
        <v>4.08</v>
      </c>
      <c r="F17" s="52">
        <v>9.0399999999999991</v>
      </c>
      <c r="G17" s="52">
        <v>18.68</v>
      </c>
      <c r="H17" s="52">
        <v>162.44</v>
      </c>
      <c r="I17" s="52">
        <v>1.87</v>
      </c>
      <c r="J17" s="52">
        <v>0.11</v>
      </c>
      <c r="K17" s="52">
        <v>280.08999999999997</v>
      </c>
      <c r="L17" s="52">
        <v>25.43</v>
      </c>
      <c r="M17" s="52">
        <v>98.18</v>
      </c>
      <c r="N17" s="52">
        <v>248.8</v>
      </c>
      <c r="O17" s="52">
        <v>0</v>
      </c>
      <c r="P17" s="52">
        <v>0.28000000000000003</v>
      </c>
      <c r="Q17" s="52">
        <v>9.18</v>
      </c>
      <c r="R17" s="43"/>
      <c r="S17" s="43"/>
      <c r="T17" s="43"/>
      <c r="U17" s="43"/>
    </row>
    <row r="18" spans="1:21" s="11" customFormat="1" x14ac:dyDescent="0.25">
      <c r="A18" s="51" t="s">
        <v>93</v>
      </c>
      <c r="B18" s="52">
        <v>10.69</v>
      </c>
      <c r="C18" s="52">
        <v>9.41</v>
      </c>
      <c r="D18" s="52">
        <v>13.49</v>
      </c>
      <c r="E18" s="52">
        <v>4.0599999999999996</v>
      </c>
      <c r="F18" s="52">
        <v>4.28</v>
      </c>
      <c r="G18" s="52">
        <v>24.9</v>
      </c>
      <c r="H18" s="52">
        <v>152.47999999999999</v>
      </c>
      <c r="I18" s="52">
        <v>1.83</v>
      </c>
      <c r="J18" s="52">
        <v>0.19</v>
      </c>
      <c r="K18" s="52">
        <v>291.77</v>
      </c>
      <c r="L18" s="52">
        <v>26.42</v>
      </c>
      <c r="M18" s="52">
        <v>98.04</v>
      </c>
      <c r="N18" s="52">
        <v>416.5</v>
      </c>
      <c r="O18" s="52">
        <v>0</v>
      </c>
      <c r="P18" s="52">
        <v>0.36</v>
      </c>
      <c r="Q18" s="52">
        <v>9.16</v>
      </c>
      <c r="R18" s="43"/>
      <c r="S18" s="43"/>
      <c r="T18" s="43"/>
      <c r="U18" s="43"/>
    </row>
    <row r="19" spans="1:21" s="11" customFormat="1" x14ac:dyDescent="0.25">
      <c r="A19" s="51" t="s">
        <v>94</v>
      </c>
      <c r="B19" s="52">
        <v>9.48</v>
      </c>
      <c r="C19" s="52">
        <v>11.48</v>
      </c>
      <c r="D19" s="52">
        <v>12.67</v>
      </c>
      <c r="E19" s="52">
        <v>4.0599999999999996</v>
      </c>
      <c r="F19" s="52">
        <v>3.9</v>
      </c>
      <c r="G19" s="52">
        <v>33.49</v>
      </c>
      <c r="H19" s="52">
        <v>80.05</v>
      </c>
      <c r="I19" s="52">
        <v>2.12</v>
      </c>
      <c r="J19" s="52">
        <v>0.27</v>
      </c>
      <c r="K19" s="52">
        <v>294.45</v>
      </c>
      <c r="L19" s="52">
        <v>30.44</v>
      </c>
      <c r="M19" s="52">
        <v>98.01</v>
      </c>
      <c r="N19" s="52">
        <v>828.1</v>
      </c>
      <c r="O19" s="52">
        <v>0</v>
      </c>
      <c r="P19" s="52">
        <v>0.54</v>
      </c>
      <c r="Q19" s="52">
        <v>9.1199999999999992</v>
      </c>
      <c r="R19" s="43"/>
      <c r="S19" s="43"/>
      <c r="T19" s="43"/>
      <c r="U19" s="43"/>
    </row>
    <row r="20" spans="1:21" s="11" customFormat="1" x14ac:dyDescent="0.25">
      <c r="A20" s="51" t="s">
        <v>95</v>
      </c>
      <c r="B20" s="52">
        <v>8.49</v>
      </c>
      <c r="C20" s="52">
        <v>12.91</v>
      </c>
      <c r="D20" s="52">
        <v>13.21</v>
      </c>
      <c r="E20" s="52">
        <v>4.09</v>
      </c>
      <c r="F20" s="52">
        <v>8.9600000000000009</v>
      </c>
      <c r="G20" s="52">
        <v>38.99</v>
      </c>
      <c r="H20" s="52">
        <v>32.06</v>
      </c>
      <c r="I20" s="52">
        <v>2.2999999999999998</v>
      </c>
      <c r="J20" s="52">
        <v>0.51</v>
      </c>
      <c r="K20" s="52">
        <v>314.18</v>
      </c>
      <c r="L20" s="52">
        <v>30.69</v>
      </c>
      <c r="M20" s="52">
        <v>94.05</v>
      </c>
      <c r="N20" s="52">
        <v>431</v>
      </c>
      <c r="O20" s="52">
        <v>0</v>
      </c>
      <c r="P20" s="52">
        <v>0.6</v>
      </c>
      <c r="Q20" s="52">
        <v>9.09</v>
      </c>
      <c r="R20" s="43"/>
      <c r="S20" s="43"/>
      <c r="T20" s="43"/>
      <c r="U20" s="43"/>
    </row>
    <row r="21" spans="1:21" s="11" customFormat="1" x14ac:dyDescent="0.25">
      <c r="A21" s="51" t="s">
        <v>96</v>
      </c>
      <c r="B21" s="52">
        <v>9.57</v>
      </c>
      <c r="C21" s="52">
        <v>12.45</v>
      </c>
      <c r="D21" s="52">
        <v>13.81</v>
      </c>
      <c r="E21" s="52">
        <v>3.91</v>
      </c>
      <c r="F21" s="52">
        <v>9.07</v>
      </c>
      <c r="G21" s="52">
        <v>44.36</v>
      </c>
      <c r="H21" s="52">
        <v>27.67</v>
      </c>
      <c r="I21" s="52">
        <v>2.37</v>
      </c>
      <c r="J21" s="52">
        <v>0.79</v>
      </c>
      <c r="K21" s="52">
        <v>321.14</v>
      </c>
      <c r="L21" s="52">
        <v>31.43</v>
      </c>
      <c r="M21" s="52">
        <v>78.61</v>
      </c>
      <c r="N21" s="52">
        <v>491.7</v>
      </c>
      <c r="O21" s="52">
        <v>0</v>
      </c>
      <c r="P21" s="52">
        <v>0.55000000000000004</v>
      </c>
      <c r="Q21" s="52">
        <v>9.09</v>
      </c>
      <c r="R21" s="43"/>
      <c r="S21" s="43"/>
      <c r="T21" s="43"/>
      <c r="U21" s="43"/>
    </row>
    <row r="22" spans="1:21" s="11" customFormat="1" x14ac:dyDescent="0.25">
      <c r="A22" s="51" t="s">
        <v>97</v>
      </c>
      <c r="B22" s="52">
        <v>9.7200000000000006</v>
      </c>
      <c r="C22" s="52">
        <v>16.04</v>
      </c>
      <c r="D22" s="52">
        <v>15.89</v>
      </c>
      <c r="E22" s="52">
        <v>3.84</v>
      </c>
      <c r="F22" s="52">
        <v>11.31</v>
      </c>
      <c r="G22" s="52">
        <v>46.92</v>
      </c>
      <c r="H22" s="52">
        <v>1.49</v>
      </c>
      <c r="I22" s="52">
        <v>2.1800000000000002</v>
      </c>
      <c r="J22" s="52">
        <v>0.57999999999999996</v>
      </c>
      <c r="K22" s="52">
        <v>326.52999999999997</v>
      </c>
      <c r="L22" s="52">
        <v>31.73</v>
      </c>
      <c r="M22" s="52">
        <v>77.099999999999994</v>
      </c>
      <c r="N22" s="52">
        <v>459.3</v>
      </c>
      <c r="O22" s="52">
        <v>0</v>
      </c>
      <c r="P22" s="52">
        <v>0.42</v>
      </c>
      <c r="Q22" s="52">
        <v>9.14</v>
      </c>
      <c r="R22" s="43"/>
      <c r="S22" s="43"/>
      <c r="T22" s="43"/>
      <c r="U22" s="43"/>
    </row>
    <row r="23" spans="1:21" s="11" customFormat="1" x14ac:dyDescent="0.25">
      <c r="A23" s="51" t="s">
        <v>98</v>
      </c>
      <c r="B23" s="52">
        <v>9.61</v>
      </c>
      <c r="C23" s="52">
        <v>14.73</v>
      </c>
      <c r="D23" s="52">
        <v>15.05</v>
      </c>
      <c r="E23" s="52">
        <v>4.0199999999999996</v>
      </c>
      <c r="F23" s="52">
        <v>11.97</v>
      </c>
      <c r="G23" s="52">
        <v>48.39</v>
      </c>
      <c r="H23" s="52">
        <v>58.35</v>
      </c>
      <c r="I23" s="52">
        <v>2.0699999999999998</v>
      </c>
      <c r="J23" s="52">
        <v>0.36</v>
      </c>
      <c r="K23" s="52">
        <v>319.27999999999997</v>
      </c>
      <c r="L23" s="52">
        <v>30.48</v>
      </c>
      <c r="M23" s="52">
        <v>82.38</v>
      </c>
      <c r="N23" s="52">
        <v>293.8</v>
      </c>
      <c r="O23" s="52">
        <v>0</v>
      </c>
      <c r="P23" s="52">
        <v>0.47</v>
      </c>
      <c r="Q23" s="52">
        <v>9.17</v>
      </c>
      <c r="R23" s="43"/>
      <c r="S23" s="43"/>
      <c r="T23" s="43"/>
      <c r="U23" s="43"/>
    </row>
    <row r="24" spans="1:21" s="11" customFormat="1" x14ac:dyDescent="0.25">
      <c r="A24" s="51" t="s">
        <v>99</v>
      </c>
      <c r="B24" s="52">
        <v>8.68</v>
      </c>
      <c r="C24" s="52">
        <v>13.39</v>
      </c>
      <c r="D24" s="52">
        <v>13.96</v>
      </c>
      <c r="E24" s="52">
        <v>6.15</v>
      </c>
      <c r="F24" s="52">
        <v>8.32</v>
      </c>
      <c r="G24" s="52">
        <v>52.32</v>
      </c>
      <c r="H24" s="52">
        <v>56.2</v>
      </c>
      <c r="I24" s="52">
        <v>2.0499999999999998</v>
      </c>
      <c r="J24" s="52">
        <v>0.2</v>
      </c>
      <c r="K24" s="52">
        <v>294.27999999999997</v>
      </c>
      <c r="L24" s="52">
        <v>29.45</v>
      </c>
      <c r="M24" s="52">
        <v>81.11</v>
      </c>
      <c r="N24" s="52">
        <v>243</v>
      </c>
      <c r="O24" s="52">
        <v>0</v>
      </c>
      <c r="P24" s="52">
        <v>0.42</v>
      </c>
      <c r="Q24" s="52">
        <v>9.16</v>
      </c>
      <c r="R24" s="43"/>
      <c r="S24" s="43"/>
      <c r="T24" s="43"/>
      <c r="U24" s="43"/>
    </row>
    <row r="25" spans="1:21" s="11" customFormat="1" x14ac:dyDescent="0.25">
      <c r="A25" s="51" t="s">
        <v>100</v>
      </c>
      <c r="B25" s="52">
        <v>9.07</v>
      </c>
      <c r="C25" s="52">
        <v>13.69</v>
      </c>
      <c r="D25" s="52">
        <v>14.43</v>
      </c>
      <c r="E25" s="52">
        <v>5.92</v>
      </c>
      <c r="F25" s="52">
        <v>8.0299999999999994</v>
      </c>
      <c r="G25" s="52">
        <v>55.03</v>
      </c>
      <c r="H25" s="52">
        <v>39.26</v>
      </c>
      <c r="I25" s="52">
        <v>1.82</v>
      </c>
      <c r="J25" s="52">
        <v>0.18</v>
      </c>
      <c r="K25" s="52">
        <v>315.48</v>
      </c>
      <c r="L25" s="52">
        <v>29.25</v>
      </c>
      <c r="M25" s="52">
        <v>82.16</v>
      </c>
      <c r="N25" s="52">
        <v>188.5</v>
      </c>
      <c r="O25" s="52">
        <v>0</v>
      </c>
      <c r="P25" s="52">
        <v>0.44</v>
      </c>
      <c r="Q25" s="52">
        <v>9.11</v>
      </c>
      <c r="R25" s="43"/>
      <c r="S25" s="43"/>
      <c r="T25" s="43"/>
      <c r="U25" s="43"/>
    </row>
    <row r="26" spans="1:21" s="11" customFormat="1" x14ac:dyDescent="0.25">
      <c r="A26" s="51" t="s">
        <v>101</v>
      </c>
      <c r="B26" s="52">
        <v>9.7899999999999991</v>
      </c>
      <c r="C26" s="52">
        <v>20.76</v>
      </c>
      <c r="D26" s="52">
        <v>18.329999999999998</v>
      </c>
      <c r="E26" s="52">
        <v>5.97</v>
      </c>
      <c r="F26" s="52">
        <v>12.19</v>
      </c>
      <c r="G26" s="52">
        <v>59.06</v>
      </c>
      <c r="H26" s="52">
        <v>46.24</v>
      </c>
      <c r="I26" s="52">
        <v>1.75</v>
      </c>
      <c r="J26" s="52">
        <v>0.13</v>
      </c>
      <c r="K26" s="52">
        <v>321.73</v>
      </c>
      <c r="L26" s="52">
        <v>28.86</v>
      </c>
      <c r="M26" s="52">
        <v>85.17</v>
      </c>
      <c r="N26" s="52">
        <v>125.8</v>
      </c>
      <c r="O26" s="52">
        <v>0</v>
      </c>
      <c r="P26" s="52">
        <v>0.55000000000000004</v>
      </c>
      <c r="Q26" s="52">
        <v>9.1199999999999992</v>
      </c>
      <c r="R26" s="43"/>
      <c r="S26" s="43"/>
      <c r="T26" s="43"/>
      <c r="U26" s="43"/>
    </row>
    <row r="27" spans="1:21" s="11" customFormat="1" x14ac:dyDescent="0.25">
      <c r="A27" s="51" t="s">
        <v>102</v>
      </c>
      <c r="B27" s="52">
        <v>8.86</v>
      </c>
      <c r="C27" s="52">
        <v>20.79</v>
      </c>
      <c r="D27" s="52">
        <v>17.97</v>
      </c>
      <c r="E27" s="52">
        <v>6.3</v>
      </c>
      <c r="F27" s="52">
        <v>14.76</v>
      </c>
      <c r="G27" s="52">
        <v>61.34</v>
      </c>
      <c r="H27" s="52">
        <v>43.45</v>
      </c>
      <c r="I27" s="52">
        <v>1.63</v>
      </c>
      <c r="J27" s="52">
        <v>0.11</v>
      </c>
      <c r="K27" s="52">
        <v>354.84</v>
      </c>
      <c r="L27" s="52">
        <v>27.91</v>
      </c>
      <c r="M27" s="52">
        <v>93.05</v>
      </c>
      <c r="N27" s="52">
        <v>72.7</v>
      </c>
      <c r="O27" s="52">
        <v>0</v>
      </c>
      <c r="P27" s="52">
        <v>0.55000000000000004</v>
      </c>
      <c r="Q27" s="52">
        <v>9.16</v>
      </c>
      <c r="R27" s="43"/>
      <c r="S27" s="43"/>
      <c r="T27" s="43"/>
      <c r="U27" s="43"/>
    </row>
    <row r="28" spans="1:21" s="11" customFormat="1" x14ac:dyDescent="0.25">
      <c r="A28" s="51" t="s">
        <v>103</v>
      </c>
      <c r="B28" s="52">
        <v>7.99</v>
      </c>
      <c r="C28" s="52">
        <v>21.7</v>
      </c>
      <c r="D28" s="52">
        <v>17.059999999999999</v>
      </c>
      <c r="E28" s="52">
        <v>6.17</v>
      </c>
      <c r="F28" s="52">
        <v>13.77</v>
      </c>
      <c r="G28" s="52">
        <v>61.95</v>
      </c>
      <c r="H28" s="52">
        <v>25.07</v>
      </c>
      <c r="I28" s="52">
        <v>1.71</v>
      </c>
      <c r="J28" s="52">
        <v>7.0000000000000007E-2</v>
      </c>
      <c r="K28" s="52">
        <v>334.41</v>
      </c>
      <c r="L28" s="52">
        <v>27.02</v>
      </c>
      <c r="M28" s="52">
        <v>96.35</v>
      </c>
      <c r="N28" s="52">
        <v>54.9</v>
      </c>
      <c r="O28" s="52">
        <v>0</v>
      </c>
      <c r="P28" s="52">
        <v>0.7</v>
      </c>
      <c r="Q28" s="52">
        <v>9.15</v>
      </c>
      <c r="R28" s="43"/>
      <c r="S28" s="43"/>
      <c r="T28" s="43"/>
      <c r="U28" s="43"/>
    </row>
    <row r="29" spans="1:21" s="11" customFormat="1" x14ac:dyDescent="0.25">
      <c r="A29" s="51" t="s">
        <v>104</v>
      </c>
      <c r="B29" s="52">
        <v>25.45</v>
      </c>
      <c r="C29" s="52">
        <v>22.85</v>
      </c>
      <c r="D29" s="52">
        <v>32.35</v>
      </c>
      <c r="E29" s="52">
        <v>6.47</v>
      </c>
      <c r="F29" s="52">
        <v>8.9700000000000006</v>
      </c>
      <c r="G29" s="52">
        <v>70.97</v>
      </c>
      <c r="H29" s="52">
        <v>39.85</v>
      </c>
      <c r="I29" s="52">
        <v>1.83</v>
      </c>
      <c r="J29" s="52">
        <v>0.53</v>
      </c>
      <c r="K29" s="52">
        <v>341.36</v>
      </c>
      <c r="L29" s="52">
        <v>26.43</v>
      </c>
      <c r="M29" s="52">
        <v>98</v>
      </c>
      <c r="N29" s="52">
        <v>54.9</v>
      </c>
      <c r="O29" s="52">
        <v>0</v>
      </c>
      <c r="P29" s="52">
        <v>1.27</v>
      </c>
      <c r="Q29" s="52">
        <v>9.1999999999999993</v>
      </c>
      <c r="R29" s="43"/>
      <c r="S29" s="43"/>
      <c r="T29" s="43"/>
      <c r="U29" s="43"/>
    </row>
    <row r="30" spans="1:21" s="11" customFormat="1" x14ac:dyDescent="0.25">
      <c r="A30" s="51" t="s">
        <v>105</v>
      </c>
      <c r="B30" s="52">
        <v>24.76</v>
      </c>
      <c r="C30" s="52">
        <v>24.21</v>
      </c>
      <c r="D30" s="52">
        <v>32.5</v>
      </c>
      <c r="E30" s="52">
        <v>6.21</v>
      </c>
      <c r="F30" s="52">
        <v>10.81</v>
      </c>
      <c r="G30" s="52">
        <v>79.400000000000006</v>
      </c>
      <c r="H30" s="52">
        <v>40.770000000000003</v>
      </c>
      <c r="I30" s="52">
        <v>2.02</v>
      </c>
      <c r="J30" s="52">
        <v>0.09</v>
      </c>
      <c r="K30" s="52">
        <v>326.64</v>
      </c>
      <c r="L30" s="52">
        <v>26.25</v>
      </c>
      <c r="M30" s="52">
        <v>98</v>
      </c>
      <c r="N30" s="52">
        <v>55</v>
      </c>
      <c r="O30" s="52">
        <v>0</v>
      </c>
      <c r="P30" s="52">
        <v>1.02</v>
      </c>
      <c r="Q30" s="52">
        <v>9.34</v>
      </c>
      <c r="R30" s="43"/>
      <c r="S30" s="43"/>
      <c r="T30" s="43"/>
      <c r="U30" s="43"/>
    </row>
    <row r="31" spans="1:21" s="11" customFormat="1" x14ac:dyDescent="0.25">
      <c r="A31" s="51" t="s">
        <v>106</v>
      </c>
      <c r="B31" s="52">
        <v>8.41</v>
      </c>
      <c r="C31" s="52">
        <v>20.95</v>
      </c>
      <c r="D31" s="52">
        <v>17.690000000000001</v>
      </c>
      <c r="E31" s="52">
        <v>6.13</v>
      </c>
      <c r="F31" s="52">
        <v>10.220000000000001</v>
      </c>
      <c r="G31" s="52">
        <v>81.55</v>
      </c>
      <c r="H31" s="52">
        <v>38.659999999999997</v>
      </c>
      <c r="I31" s="52">
        <v>2.17</v>
      </c>
      <c r="J31" s="52">
        <v>0.06</v>
      </c>
      <c r="K31" s="52">
        <v>307.38</v>
      </c>
      <c r="L31" s="52">
        <v>26.04</v>
      </c>
      <c r="M31" s="52">
        <v>97.99</v>
      </c>
      <c r="N31" s="52">
        <v>55.1</v>
      </c>
      <c r="O31" s="52">
        <v>0.2</v>
      </c>
      <c r="P31" s="52">
        <v>0.56000000000000005</v>
      </c>
      <c r="Q31" s="52">
        <v>9.36</v>
      </c>
      <c r="R31" s="43"/>
      <c r="S31" s="43"/>
      <c r="T31" s="43"/>
      <c r="U31" s="43"/>
    </row>
    <row r="32" spans="1:21" s="11" customFormat="1" x14ac:dyDescent="0.25">
      <c r="A32" s="51" t="s">
        <v>107</v>
      </c>
      <c r="B32" s="52">
        <v>9.7200000000000006</v>
      </c>
      <c r="C32" s="52">
        <v>18.190000000000001</v>
      </c>
      <c r="D32" s="52">
        <v>17.3</v>
      </c>
      <c r="E32" s="52">
        <v>6.13</v>
      </c>
      <c r="F32" s="52">
        <v>10.210000000000001</v>
      </c>
      <c r="G32" s="52">
        <v>74.540000000000006</v>
      </c>
      <c r="H32" s="52">
        <v>27.16</v>
      </c>
      <c r="I32" s="52">
        <v>2.12</v>
      </c>
      <c r="J32" s="52">
        <v>0.05</v>
      </c>
      <c r="K32" s="52">
        <v>304.85000000000002</v>
      </c>
      <c r="L32" s="52">
        <v>25.65</v>
      </c>
      <c r="M32" s="52">
        <v>98</v>
      </c>
      <c r="N32" s="52">
        <v>55.1</v>
      </c>
      <c r="O32" s="52">
        <v>0</v>
      </c>
      <c r="P32" s="52">
        <v>0.41</v>
      </c>
      <c r="Q32" s="52">
        <v>9.35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7.26</v>
      </c>
      <c r="C34" s="28">
        <f t="shared" si="0"/>
        <v>8.35</v>
      </c>
      <c r="D34" s="28">
        <f t="shared" si="0"/>
        <v>10.54</v>
      </c>
      <c r="E34" s="28">
        <f t="shared" si="0"/>
        <v>3.84</v>
      </c>
      <c r="F34" s="28">
        <f t="shared" si="0"/>
        <v>3.85</v>
      </c>
      <c r="G34" s="28">
        <f t="shared" si="0"/>
        <v>18.68</v>
      </c>
      <c r="H34" s="28">
        <f t="shared" si="0"/>
        <v>1.49</v>
      </c>
      <c r="I34" s="28">
        <f t="shared" si="0"/>
        <v>1.63</v>
      </c>
      <c r="J34" s="28">
        <f t="shared" si="0"/>
        <v>0.05</v>
      </c>
      <c r="K34" s="28">
        <f t="shared" si="0"/>
        <v>193.32</v>
      </c>
      <c r="L34" s="28">
        <f t="shared" si="0"/>
        <v>23.13</v>
      </c>
      <c r="M34" s="28">
        <f t="shared" si="0"/>
        <v>77.099999999999994</v>
      </c>
      <c r="N34" s="28">
        <f t="shared" si="0"/>
        <v>43.8</v>
      </c>
      <c r="O34" s="28">
        <f t="shared" si="0"/>
        <v>0</v>
      </c>
      <c r="P34" s="28">
        <f t="shared" si="0"/>
        <v>0.26</v>
      </c>
      <c r="Q34" s="28">
        <f t="shared" si="0"/>
        <v>9.08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25.45</v>
      </c>
      <c r="C35" s="29">
        <f t="shared" si="1"/>
        <v>24.21</v>
      </c>
      <c r="D35" s="29">
        <f t="shared" si="1"/>
        <v>32.5</v>
      </c>
      <c r="E35" s="29">
        <f t="shared" si="1"/>
        <v>6.47</v>
      </c>
      <c r="F35" s="29">
        <f t="shared" si="1"/>
        <v>14.76</v>
      </c>
      <c r="G35" s="29">
        <f t="shared" si="1"/>
        <v>81.55</v>
      </c>
      <c r="H35" s="29">
        <f t="shared" si="1"/>
        <v>162.44</v>
      </c>
      <c r="I35" s="29">
        <f t="shared" si="1"/>
        <v>3.28</v>
      </c>
      <c r="J35" s="29">
        <f t="shared" si="1"/>
        <v>0.79</v>
      </c>
      <c r="K35" s="29">
        <f t="shared" si="1"/>
        <v>354.84</v>
      </c>
      <c r="L35" s="29">
        <f t="shared" si="1"/>
        <v>31.73</v>
      </c>
      <c r="M35" s="29">
        <f t="shared" si="1"/>
        <v>98.18</v>
      </c>
      <c r="N35" s="29">
        <f t="shared" si="1"/>
        <v>828.1</v>
      </c>
      <c r="O35" s="29">
        <f t="shared" si="1"/>
        <v>0.2</v>
      </c>
      <c r="P35" s="29">
        <f t="shared" si="1"/>
        <v>1.27</v>
      </c>
      <c r="Q35" s="29">
        <f t="shared" si="1"/>
        <v>9.36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10.29458333333333</v>
      </c>
      <c r="C36" s="28">
        <f t="shared" si="2"/>
        <v>14.137083333333329</v>
      </c>
      <c r="D36" s="28">
        <f t="shared" si="2"/>
        <v>15.458750000000002</v>
      </c>
      <c r="E36" s="28">
        <f t="shared" si="2"/>
        <v>4.9924999999999997</v>
      </c>
      <c r="F36" s="28">
        <f t="shared" si="2"/>
        <v>8.7312500000000011</v>
      </c>
      <c r="G36" s="28">
        <f t="shared" si="2"/>
        <v>45.851666666666667</v>
      </c>
      <c r="H36" s="28">
        <f t="shared" si="2"/>
        <v>41.402500000000003</v>
      </c>
      <c r="I36" s="28">
        <f t="shared" si="2"/>
        <v>2.2320833333333332</v>
      </c>
      <c r="J36" s="28">
        <f t="shared" si="2"/>
        <v>0.22416666666666665</v>
      </c>
      <c r="K36" s="28">
        <f t="shared" si="2"/>
        <v>308.15791666666661</v>
      </c>
      <c r="L36" s="28">
        <f t="shared" si="2"/>
        <v>26.853749999999994</v>
      </c>
      <c r="M36" s="28">
        <f t="shared" si="2"/>
        <v>93.371249999999989</v>
      </c>
      <c r="N36" s="28">
        <f t="shared" si="2"/>
        <v>190.82916666666665</v>
      </c>
      <c r="O36" s="28">
        <f t="shared" si="2"/>
        <v>8.3333333333333332E-3</v>
      </c>
      <c r="P36" s="28">
        <f t="shared" si="2"/>
        <v>0.50208333333333333</v>
      </c>
      <c r="Q36" s="28">
        <f t="shared" si="2"/>
        <v>9.1741666666666664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4.6591210023450547</v>
      </c>
      <c r="C37" s="28">
        <f t="shared" ref="C37:Q37" si="3">STDEV(C9:C32)</f>
        <v>5.1897628991386071</v>
      </c>
      <c r="D37" s="28">
        <f t="shared" si="3"/>
        <v>5.7395449846163524</v>
      </c>
      <c r="E37" s="28">
        <f t="shared" si="3"/>
        <v>0.95849633144384239</v>
      </c>
      <c r="F37" s="28">
        <f t="shared" si="3"/>
        <v>2.9233249570220243</v>
      </c>
      <c r="G37" s="28">
        <f t="shared" si="3"/>
        <v>19.075531485368245</v>
      </c>
      <c r="H37" s="28">
        <f t="shared" si="3"/>
        <v>40.020528563747604</v>
      </c>
      <c r="I37" s="28">
        <f t="shared" si="3"/>
        <v>0.4873172269786315</v>
      </c>
      <c r="J37" s="28">
        <f t="shared" si="3"/>
        <v>0.19562423310957711</v>
      </c>
      <c r="K37" s="28">
        <f t="shared" si="3"/>
        <v>31.072827634609396</v>
      </c>
      <c r="L37" s="28">
        <f t="shared" si="3"/>
        <v>2.7943573773184762</v>
      </c>
      <c r="M37" s="28">
        <f t="shared" si="3"/>
        <v>7.478391661836528</v>
      </c>
      <c r="N37" s="28">
        <f t="shared" si="3"/>
        <v>202.53235378504377</v>
      </c>
      <c r="O37" s="28">
        <f t="shared" si="3"/>
        <v>4.0824829046386311E-2</v>
      </c>
      <c r="P37" s="28">
        <f t="shared" si="3"/>
        <v>0.23191038686577176</v>
      </c>
      <c r="Q37" s="28">
        <f t="shared" si="3"/>
        <v>8.6372130502472902E-2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6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15" sqref="I15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108</v>
      </c>
      <c r="B9" s="52">
        <v>7.02</v>
      </c>
      <c r="C9" s="52">
        <v>12.2</v>
      </c>
      <c r="D9" s="52">
        <v>12</v>
      </c>
      <c r="E9" s="52">
        <v>4.07</v>
      </c>
      <c r="F9" s="52">
        <v>11.76</v>
      </c>
      <c r="G9" s="52">
        <v>70.42</v>
      </c>
      <c r="H9" s="52">
        <v>48.38</v>
      </c>
      <c r="I9" s="52">
        <v>1.94</v>
      </c>
      <c r="J9" s="52">
        <v>0.06</v>
      </c>
      <c r="K9" s="52">
        <v>225.04</v>
      </c>
      <c r="L9" s="52">
        <v>25.27</v>
      </c>
      <c r="M9" s="52">
        <v>98.04</v>
      </c>
      <c r="N9" s="52">
        <v>55.2</v>
      </c>
      <c r="O9" s="52">
        <v>0</v>
      </c>
      <c r="P9" s="52">
        <v>0.27</v>
      </c>
      <c r="Q9" s="52">
        <v>9.32</v>
      </c>
      <c r="R9" s="43"/>
      <c r="S9" s="43"/>
      <c r="T9" s="43"/>
      <c r="U9" s="43"/>
    </row>
    <row r="10" spans="1:21" s="11" customFormat="1" x14ac:dyDescent="0.25">
      <c r="A10" s="51" t="s">
        <v>109</v>
      </c>
      <c r="B10" s="52">
        <v>6.27</v>
      </c>
      <c r="C10" s="52">
        <v>9.85</v>
      </c>
      <c r="D10" s="52">
        <v>9.4499999999999993</v>
      </c>
      <c r="E10" s="52">
        <v>3.89</v>
      </c>
      <c r="F10" s="52">
        <v>10.68</v>
      </c>
      <c r="G10" s="52">
        <v>59.62</v>
      </c>
      <c r="H10" s="52">
        <v>46.6</v>
      </c>
      <c r="I10" s="52">
        <v>1.78</v>
      </c>
      <c r="J10" s="52">
        <v>0.16</v>
      </c>
      <c r="K10" s="52">
        <v>131.72</v>
      </c>
      <c r="L10" s="52">
        <v>24.89</v>
      </c>
      <c r="M10" s="52">
        <v>98.05</v>
      </c>
      <c r="N10" s="52">
        <v>55.1</v>
      </c>
      <c r="O10" s="52">
        <v>0</v>
      </c>
      <c r="P10" s="52">
        <v>0.23</v>
      </c>
      <c r="Q10" s="52">
        <v>9.25</v>
      </c>
      <c r="R10" s="43"/>
      <c r="S10" s="43"/>
      <c r="T10" s="43"/>
      <c r="U10" s="43"/>
    </row>
    <row r="11" spans="1:21" s="11" customFormat="1" x14ac:dyDescent="0.25">
      <c r="A11" s="51" t="s">
        <v>110</v>
      </c>
      <c r="B11" s="52">
        <v>6.63</v>
      </c>
      <c r="C11" s="52">
        <v>9.74</v>
      </c>
      <c r="D11" s="52">
        <v>10.41</v>
      </c>
      <c r="E11" s="52">
        <v>4.09</v>
      </c>
      <c r="F11" s="52">
        <v>9.4</v>
      </c>
      <c r="G11" s="52">
        <v>53.43</v>
      </c>
      <c r="H11" s="52">
        <v>33.020000000000003</v>
      </c>
      <c r="I11" s="52">
        <v>1.71</v>
      </c>
      <c r="J11" s="52">
        <v>7.0000000000000007E-2</v>
      </c>
      <c r="K11" s="52">
        <v>223.76</v>
      </c>
      <c r="L11" s="52">
        <v>24.57</v>
      </c>
      <c r="M11" s="52">
        <v>98.02</v>
      </c>
      <c r="N11" s="52">
        <v>55</v>
      </c>
      <c r="O11" s="52">
        <v>0</v>
      </c>
      <c r="P11" s="52">
        <v>0.18</v>
      </c>
      <c r="Q11" s="52">
        <v>9.24</v>
      </c>
      <c r="R11" s="43"/>
      <c r="S11" s="43"/>
      <c r="T11" s="43"/>
      <c r="U11" s="43"/>
    </row>
    <row r="12" spans="1:21" s="11" customFormat="1" x14ac:dyDescent="0.25">
      <c r="A12" s="51" t="s">
        <v>111</v>
      </c>
      <c r="B12" s="52">
        <v>6.45</v>
      </c>
      <c r="C12" s="52">
        <v>8.81</v>
      </c>
      <c r="D12" s="52">
        <v>9.65</v>
      </c>
      <c r="E12" s="52">
        <v>3.9</v>
      </c>
      <c r="F12" s="52">
        <v>8.73</v>
      </c>
      <c r="G12" s="52">
        <v>46.37</v>
      </c>
      <c r="H12" s="52">
        <v>15.45</v>
      </c>
      <c r="I12" s="52">
        <v>1.51</v>
      </c>
      <c r="J12" s="52">
        <v>0.09</v>
      </c>
      <c r="K12" s="52">
        <v>303.12</v>
      </c>
      <c r="L12" s="52">
        <v>24.47</v>
      </c>
      <c r="M12" s="52">
        <v>98.03</v>
      </c>
      <c r="N12" s="52">
        <v>55.1</v>
      </c>
      <c r="O12" s="52">
        <v>0</v>
      </c>
      <c r="P12" s="52">
        <v>0.15</v>
      </c>
      <c r="Q12" s="52">
        <v>9.25</v>
      </c>
      <c r="R12" s="43"/>
      <c r="S12" s="43"/>
      <c r="T12" s="43"/>
      <c r="U12" s="43"/>
    </row>
    <row r="13" spans="1:21" s="11" customFormat="1" x14ac:dyDescent="0.25">
      <c r="A13" s="51" t="s">
        <v>112</v>
      </c>
      <c r="B13" s="52">
        <v>8.11</v>
      </c>
      <c r="C13" s="52">
        <v>9.7799999999999994</v>
      </c>
      <c r="D13" s="52">
        <v>11.57</v>
      </c>
      <c r="E13" s="52">
        <v>4.05</v>
      </c>
      <c r="F13" s="52">
        <v>9.69</v>
      </c>
      <c r="G13" s="52">
        <v>34.44</v>
      </c>
      <c r="H13" s="52">
        <v>15.23</v>
      </c>
      <c r="I13" s="52">
        <v>1.42</v>
      </c>
      <c r="J13" s="52">
        <v>7.0000000000000007E-2</v>
      </c>
      <c r="K13" s="52">
        <v>319.89</v>
      </c>
      <c r="L13" s="52">
        <v>24.52</v>
      </c>
      <c r="M13" s="52">
        <v>98.02</v>
      </c>
      <c r="N13" s="52">
        <v>55.3</v>
      </c>
      <c r="O13" s="52">
        <v>0</v>
      </c>
      <c r="P13" s="52">
        <v>0.3</v>
      </c>
      <c r="Q13" s="52">
        <v>9.26</v>
      </c>
      <c r="R13" s="43"/>
      <c r="S13" s="43"/>
      <c r="T13" s="43"/>
      <c r="U13" s="43"/>
    </row>
    <row r="14" spans="1:21" s="11" customFormat="1" x14ac:dyDescent="0.25">
      <c r="A14" s="51" t="s">
        <v>113</v>
      </c>
      <c r="B14" s="52">
        <v>10.11</v>
      </c>
      <c r="C14" s="52">
        <v>9.75</v>
      </c>
      <c r="D14" s="52">
        <v>13</v>
      </c>
      <c r="E14" s="52">
        <v>3.8</v>
      </c>
      <c r="F14" s="52">
        <v>7.36</v>
      </c>
      <c r="G14" s="52">
        <v>37.159999999999997</v>
      </c>
      <c r="H14" s="52">
        <v>12.81</v>
      </c>
      <c r="I14" s="52">
        <v>1.28</v>
      </c>
      <c r="J14" s="52">
        <v>0.09</v>
      </c>
      <c r="K14" s="52">
        <v>292.22000000000003</v>
      </c>
      <c r="L14" s="52">
        <v>24.47</v>
      </c>
      <c r="M14" s="52">
        <v>98</v>
      </c>
      <c r="N14" s="52">
        <v>77</v>
      </c>
      <c r="O14" s="52">
        <v>0</v>
      </c>
      <c r="P14" s="52">
        <v>0.26</v>
      </c>
      <c r="Q14" s="52">
        <v>9.2200000000000006</v>
      </c>
      <c r="R14" s="43"/>
      <c r="S14" s="43"/>
      <c r="T14" s="43"/>
      <c r="U14" s="43"/>
    </row>
    <row r="15" spans="1:21" s="11" customFormat="1" x14ac:dyDescent="0.25">
      <c r="A15" s="51" t="s">
        <v>114</v>
      </c>
      <c r="B15" s="52">
        <v>10.33</v>
      </c>
      <c r="C15" s="52">
        <v>10.58</v>
      </c>
      <c r="D15" s="52">
        <v>13.16</v>
      </c>
      <c r="E15" s="52">
        <v>3.61</v>
      </c>
      <c r="F15" s="52">
        <v>7.7</v>
      </c>
      <c r="G15" s="52">
        <v>39.51</v>
      </c>
      <c r="H15" s="52">
        <v>12.64</v>
      </c>
      <c r="I15" s="52">
        <v>1.25</v>
      </c>
      <c r="J15" s="52">
        <v>0.11</v>
      </c>
      <c r="K15" s="52">
        <v>294.61</v>
      </c>
      <c r="L15" s="52">
        <v>25.51</v>
      </c>
      <c r="M15" s="52">
        <v>97.97</v>
      </c>
      <c r="N15" s="52">
        <v>204.7</v>
      </c>
      <c r="O15" s="52">
        <v>0</v>
      </c>
      <c r="P15" s="52">
        <v>0.28999999999999998</v>
      </c>
      <c r="Q15" s="52">
        <v>9.18</v>
      </c>
      <c r="R15" s="43"/>
      <c r="S15" s="43"/>
      <c r="T15" s="43"/>
      <c r="U15" s="43"/>
    </row>
    <row r="16" spans="1:21" s="11" customFormat="1" x14ac:dyDescent="0.25">
      <c r="A16" s="51" t="s">
        <v>115</v>
      </c>
      <c r="B16" s="52">
        <v>10.39</v>
      </c>
      <c r="C16" s="52">
        <v>9.86</v>
      </c>
      <c r="D16" s="52">
        <v>13.46</v>
      </c>
      <c r="E16" s="52">
        <v>4.9000000000000004</v>
      </c>
      <c r="F16" s="52">
        <v>5.19</v>
      </c>
      <c r="G16" s="52">
        <v>40.99</v>
      </c>
      <c r="H16" s="52">
        <v>14.64</v>
      </c>
      <c r="I16" s="52">
        <v>1.27</v>
      </c>
      <c r="J16" s="52">
        <v>0.18</v>
      </c>
      <c r="K16" s="52">
        <v>288.11</v>
      </c>
      <c r="L16" s="52">
        <v>28.12</v>
      </c>
      <c r="M16" s="52">
        <v>97.91</v>
      </c>
      <c r="N16" s="52">
        <v>362</v>
      </c>
      <c r="O16" s="52">
        <v>0</v>
      </c>
      <c r="P16" s="52">
        <v>0.3</v>
      </c>
      <c r="Q16" s="52">
        <v>9.19</v>
      </c>
      <c r="R16" s="43"/>
      <c r="S16" s="43"/>
      <c r="T16" s="43"/>
      <c r="U16" s="43"/>
    </row>
    <row r="17" spans="1:21" s="11" customFormat="1" x14ac:dyDescent="0.25">
      <c r="A17" s="51" t="s">
        <v>116</v>
      </c>
      <c r="B17" s="52">
        <v>11.82</v>
      </c>
      <c r="C17" s="52">
        <v>10.73</v>
      </c>
      <c r="D17" s="52">
        <v>15.09</v>
      </c>
      <c r="E17" s="52">
        <v>5.2</v>
      </c>
      <c r="F17" s="52">
        <v>6.74</v>
      </c>
      <c r="G17" s="52">
        <v>50.78</v>
      </c>
      <c r="H17" s="52">
        <v>13.52</v>
      </c>
      <c r="I17" s="52">
        <v>1.57</v>
      </c>
      <c r="J17" s="52">
        <v>0.19</v>
      </c>
      <c r="K17" s="52">
        <v>289.89</v>
      </c>
      <c r="L17" s="52">
        <v>30.41</v>
      </c>
      <c r="M17" s="52">
        <v>92.93</v>
      </c>
      <c r="N17" s="52">
        <v>617.29999999999995</v>
      </c>
      <c r="O17" s="52">
        <v>0</v>
      </c>
      <c r="P17" s="52">
        <v>0.5</v>
      </c>
      <c r="Q17" s="52">
        <v>9.19</v>
      </c>
      <c r="R17" s="43"/>
      <c r="S17" s="43"/>
      <c r="T17" s="43"/>
      <c r="U17" s="43"/>
    </row>
    <row r="18" spans="1:21" s="11" customFormat="1" x14ac:dyDescent="0.25">
      <c r="A18" s="51" t="s">
        <v>117</v>
      </c>
      <c r="B18" s="52">
        <v>11.42</v>
      </c>
      <c r="C18" s="52">
        <v>10.7</v>
      </c>
      <c r="D18" s="52">
        <v>14.53</v>
      </c>
      <c r="E18" s="52">
        <v>5.14</v>
      </c>
      <c r="F18" s="52">
        <v>9.9499999999999993</v>
      </c>
      <c r="G18" s="52">
        <v>58.49</v>
      </c>
      <c r="H18" s="52">
        <v>21.28</v>
      </c>
      <c r="I18" s="52">
        <v>1.98</v>
      </c>
      <c r="J18" s="52">
        <v>0.28000000000000003</v>
      </c>
      <c r="K18" s="52">
        <v>298.32</v>
      </c>
      <c r="L18" s="52">
        <v>32.700000000000003</v>
      </c>
      <c r="M18" s="52">
        <v>78.78</v>
      </c>
      <c r="N18" s="52">
        <v>877</v>
      </c>
      <c r="O18" s="52">
        <v>0</v>
      </c>
      <c r="P18" s="52">
        <v>0.51</v>
      </c>
      <c r="Q18" s="52">
        <v>9.17</v>
      </c>
      <c r="R18" s="43"/>
      <c r="S18" s="43"/>
      <c r="T18" s="43"/>
      <c r="U18" s="43"/>
    </row>
    <row r="19" spans="1:21" s="11" customFormat="1" x14ac:dyDescent="0.25">
      <c r="A19" s="51" t="s">
        <v>118</v>
      </c>
      <c r="B19" s="52">
        <v>8.74</v>
      </c>
      <c r="C19" s="52">
        <v>12.01</v>
      </c>
      <c r="D19" s="52">
        <v>13.28</v>
      </c>
      <c r="E19" s="52">
        <v>5.38</v>
      </c>
      <c r="F19" s="52">
        <v>11.44</v>
      </c>
      <c r="G19" s="52">
        <v>60.22</v>
      </c>
      <c r="H19" s="52">
        <v>23.49</v>
      </c>
      <c r="I19" s="52">
        <v>2.06</v>
      </c>
      <c r="J19" s="52">
        <v>0.17</v>
      </c>
      <c r="K19" s="52">
        <v>300.52999999999997</v>
      </c>
      <c r="L19" s="52">
        <v>32.28</v>
      </c>
      <c r="M19" s="52">
        <v>75.84</v>
      </c>
      <c r="N19" s="52">
        <v>920.7</v>
      </c>
      <c r="O19" s="52">
        <v>0</v>
      </c>
      <c r="P19" s="52">
        <v>0.55000000000000004</v>
      </c>
      <c r="Q19" s="52">
        <v>9.1199999999999992</v>
      </c>
      <c r="R19" s="43"/>
      <c r="S19" s="43"/>
      <c r="T19" s="43"/>
      <c r="U19" s="43"/>
    </row>
    <row r="20" spans="1:21" s="11" customFormat="1" x14ac:dyDescent="0.25">
      <c r="A20" s="51" t="s">
        <v>119</v>
      </c>
      <c r="B20" s="52">
        <v>7.08</v>
      </c>
      <c r="C20" s="52">
        <v>14.07</v>
      </c>
      <c r="D20" s="52">
        <v>13.03</v>
      </c>
      <c r="E20" s="52">
        <v>5.53</v>
      </c>
      <c r="F20" s="52">
        <v>8.75</v>
      </c>
      <c r="G20" s="52">
        <v>61.34</v>
      </c>
      <c r="H20" s="52">
        <v>23.07</v>
      </c>
      <c r="I20" s="52">
        <v>2.16</v>
      </c>
      <c r="J20" s="52">
        <v>0.21</v>
      </c>
      <c r="K20" s="52">
        <v>290.68</v>
      </c>
      <c r="L20" s="52">
        <v>31.66</v>
      </c>
      <c r="M20" s="52">
        <v>71.28</v>
      </c>
      <c r="N20" s="52">
        <v>857.1</v>
      </c>
      <c r="O20" s="52">
        <v>0</v>
      </c>
      <c r="P20" s="52">
        <v>0.53</v>
      </c>
      <c r="Q20" s="52">
        <v>9.06</v>
      </c>
      <c r="R20" s="43"/>
      <c r="S20" s="43"/>
      <c r="T20" s="43"/>
      <c r="U20" s="43"/>
    </row>
    <row r="21" spans="1:21" s="11" customFormat="1" x14ac:dyDescent="0.25">
      <c r="A21" s="51" t="s">
        <v>120</v>
      </c>
      <c r="B21" s="52">
        <v>5.53</v>
      </c>
      <c r="C21" s="52">
        <v>13.92</v>
      </c>
      <c r="D21" s="52">
        <v>11.63</v>
      </c>
      <c r="E21" s="52">
        <v>5.38</v>
      </c>
      <c r="F21" s="52">
        <v>7.48</v>
      </c>
      <c r="G21" s="52">
        <v>62.83</v>
      </c>
      <c r="H21" s="52">
        <v>22.31</v>
      </c>
      <c r="I21" s="52">
        <v>2.0299999999999998</v>
      </c>
      <c r="J21" s="52">
        <v>0.25</v>
      </c>
      <c r="K21" s="52">
        <v>290.20999999999998</v>
      </c>
      <c r="L21" s="52">
        <v>31.93</v>
      </c>
      <c r="M21" s="52">
        <v>67.72</v>
      </c>
      <c r="N21" s="52">
        <v>903.6</v>
      </c>
      <c r="O21" s="52">
        <v>0</v>
      </c>
      <c r="P21" s="52">
        <v>0.46</v>
      </c>
      <c r="Q21" s="52">
        <v>9.0500000000000007</v>
      </c>
      <c r="R21" s="43"/>
      <c r="S21" s="43"/>
      <c r="T21" s="43"/>
      <c r="U21" s="43"/>
    </row>
    <row r="22" spans="1:21" s="11" customFormat="1" x14ac:dyDescent="0.25">
      <c r="A22" s="51" t="s">
        <v>121</v>
      </c>
      <c r="B22" s="52">
        <v>5.51</v>
      </c>
      <c r="C22" s="52">
        <v>12.05</v>
      </c>
      <c r="D22" s="52">
        <v>10.210000000000001</v>
      </c>
      <c r="E22" s="52">
        <v>5.29</v>
      </c>
      <c r="F22" s="52">
        <v>9.73</v>
      </c>
      <c r="G22" s="52">
        <v>63.02</v>
      </c>
      <c r="H22" s="52">
        <v>22.31</v>
      </c>
      <c r="I22" s="52">
        <v>1.79</v>
      </c>
      <c r="J22" s="52">
        <v>0.23</v>
      </c>
      <c r="K22" s="52">
        <v>292.89</v>
      </c>
      <c r="L22" s="52">
        <v>30.97</v>
      </c>
      <c r="M22" s="52">
        <v>65.33</v>
      </c>
      <c r="N22" s="52">
        <v>376.2</v>
      </c>
      <c r="O22" s="52">
        <v>0</v>
      </c>
      <c r="P22" s="52">
        <v>0.46</v>
      </c>
      <c r="Q22" s="52">
        <v>9.01</v>
      </c>
      <c r="R22" s="43"/>
      <c r="S22" s="43"/>
      <c r="T22" s="43"/>
      <c r="U22" s="43"/>
    </row>
    <row r="23" spans="1:21" s="11" customFormat="1" x14ac:dyDescent="0.25">
      <c r="A23" s="51" t="s">
        <v>122</v>
      </c>
      <c r="B23" s="52">
        <v>4.9800000000000004</v>
      </c>
      <c r="C23" s="52">
        <v>11.22</v>
      </c>
      <c r="D23" s="52">
        <v>9.7100000000000009</v>
      </c>
      <c r="E23" s="52">
        <v>4.99</v>
      </c>
      <c r="F23" s="52">
        <v>10.81</v>
      </c>
      <c r="G23" s="52">
        <v>57.93</v>
      </c>
      <c r="H23" s="52">
        <v>21.01</v>
      </c>
      <c r="I23" s="52">
        <v>1.5</v>
      </c>
      <c r="J23" s="52">
        <v>0.22</v>
      </c>
      <c r="K23" s="52">
        <v>294.19</v>
      </c>
      <c r="L23" s="52">
        <v>30.99</v>
      </c>
      <c r="M23" s="52">
        <v>62.35</v>
      </c>
      <c r="N23" s="52">
        <v>244.8</v>
      </c>
      <c r="O23" s="52">
        <v>0</v>
      </c>
      <c r="P23" s="52">
        <v>0.39</v>
      </c>
      <c r="Q23" s="52">
        <v>8.9700000000000006</v>
      </c>
      <c r="R23" s="43"/>
      <c r="S23" s="43"/>
      <c r="T23" s="43"/>
      <c r="U23" s="43"/>
    </row>
    <row r="24" spans="1:21" s="11" customFormat="1" x14ac:dyDescent="0.25">
      <c r="A24" s="51" t="s">
        <v>123</v>
      </c>
      <c r="B24" s="52">
        <v>5.55</v>
      </c>
      <c r="C24" s="52">
        <v>12.49</v>
      </c>
      <c r="D24" s="52">
        <v>10.84</v>
      </c>
      <c r="E24" s="52">
        <v>5.84</v>
      </c>
      <c r="F24" s="52">
        <v>11.37</v>
      </c>
      <c r="G24" s="52">
        <v>56.4</v>
      </c>
      <c r="H24" s="52">
        <v>13.89</v>
      </c>
      <c r="I24" s="52">
        <v>1.24</v>
      </c>
      <c r="J24" s="52">
        <v>0.25</v>
      </c>
      <c r="K24" s="52">
        <v>295.17</v>
      </c>
      <c r="L24" s="52">
        <v>30.98</v>
      </c>
      <c r="M24" s="52">
        <v>64.569999999999993</v>
      </c>
      <c r="N24" s="52">
        <v>219.5</v>
      </c>
      <c r="O24" s="52">
        <v>0.2</v>
      </c>
      <c r="P24" s="52">
        <v>0.36</v>
      </c>
      <c r="Q24" s="52">
        <v>8.9700000000000006</v>
      </c>
      <c r="R24" s="43"/>
      <c r="S24" s="43"/>
      <c r="T24" s="43"/>
      <c r="U24" s="43"/>
    </row>
    <row r="25" spans="1:21" s="11" customFormat="1" x14ac:dyDescent="0.25">
      <c r="A25" s="51" t="s">
        <v>124</v>
      </c>
      <c r="B25" s="52">
        <v>6.81</v>
      </c>
      <c r="C25" s="52">
        <v>12.37</v>
      </c>
      <c r="D25" s="52">
        <v>11.84</v>
      </c>
      <c r="E25" s="52">
        <v>5.65</v>
      </c>
      <c r="F25" s="52">
        <v>12.27</v>
      </c>
      <c r="G25" s="52">
        <v>57.19</v>
      </c>
      <c r="H25" s="52">
        <v>12.61</v>
      </c>
      <c r="I25" s="52">
        <v>1.18</v>
      </c>
      <c r="J25" s="52">
        <v>0.14000000000000001</v>
      </c>
      <c r="K25" s="52">
        <v>309.63</v>
      </c>
      <c r="L25" s="52">
        <v>30.78</v>
      </c>
      <c r="M25" s="52">
        <v>65.83</v>
      </c>
      <c r="N25" s="52">
        <v>188.9</v>
      </c>
      <c r="O25" s="52">
        <v>0</v>
      </c>
      <c r="P25" s="52">
        <v>0.35</v>
      </c>
      <c r="Q25" s="52">
        <v>9.01</v>
      </c>
      <c r="R25" s="43"/>
      <c r="S25" s="43"/>
      <c r="T25" s="43"/>
      <c r="U25" s="43"/>
    </row>
    <row r="26" spans="1:21" s="11" customFormat="1" x14ac:dyDescent="0.25">
      <c r="A26" s="51" t="s">
        <v>125</v>
      </c>
      <c r="B26" s="52">
        <v>8.9600000000000009</v>
      </c>
      <c r="C26" s="52">
        <v>14.27</v>
      </c>
      <c r="D26" s="52">
        <v>13.39</v>
      </c>
      <c r="E26" s="52">
        <v>5.6</v>
      </c>
      <c r="F26" s="52">
        <v>14.84</v>
      </c>
      <c r="G26" s="52">
        <v>58.89</v>
      </c>
      <c r="H26" s="52">
        <v>14.27</v>
      </c>
      <c r="I26" s="52">
        <v>1.21</v>
      </c>
      <c r="J26" s="52">
        <v>0.15</v>
      </c>
      <c r="K26" s="52">
        <v>335.78</v>
      </c>
      <c r="L26" s="52">
        <v>30.51</v>
      </c>
      <c r="M26" s="52">
        <v>73.83</v>
      </c>
      <c r="N26" s="52">
        <v>127.6</v>
      </c>
      <c r="O26" s="52">
        <v>0</v>
      </c>
      <c r="P26" s="52">
        <v>0.41</v>
      </c>
      <c r="Q26" s="52">
        <v>9.0299999999999994</v>
      </c>
      <c r="R26" s="43"/>
      <c r="S26" s="43"/>
      <c r="T26" s="43"/>
      <c r="U26" s="43"/>
    </row>
    <row r="27" spans="1:21" s="11" customFormat="1" x14ac:dyDescent="0.25">
      <c r="A27" s="51" t="s">
        <v>126</v>
      </c>
      <c r="B27" s="52">
        <v>12.3</v>
      </c>
      <c r="C27" s="52">
        <v>22.27</v>
      </c>
      <c r="D27" s="52">
        <v>20.440000000000001</v>
      </c>
      <c r="E27" s="52">
        <v>5.84</v>
      </c>
      <c r="F27" s="52">
        <v>13.21</v>
      </c>
      <c r="G27" s="52">
        <v>62.59</v>
      </c>
      <c r="H27" s="52">
        <v>15.1</v>
      </c>
      <c r="I27" s="52">
        <v>1.24</v>
      </c>
      <c r="J27" s="52">
        <v>0.08</v>
      </c>
      <c r="K27" s="52">
        <v>343.95</v>
      </c>
      <c r="L27" s="52">
        <v>29.22</v>
      </c>
      <c r="M27" s="52">
        <v>78.459999999999994</v>
      </c>
      <c r="N27" s="52">
        <v>66</v>
      </c>
      <c r="O27" s="52">
        <v>0</v>
      </c>
      <c r="P27" s="52">
        <v>0.79</v>
      </c>
      <c r="Q27" s="52">
        <v>9.0500000000000007</v>
      </c>
      <c r="R27" s="43"/>
      <c r="S27" s="43"/>
      <c r="T27" s="43"/>
      <c r="U27" s="43"/>
    </row>
    <row r="28" spans="1:21" s="11" customFormat="1" x14ac:dyDescent="0.25">
      <c r="A28" s="51" t="s">
        <v>127</v>
      </c>
      <c r="B28" s="52">
        <v>16.61</v>
      </c>
      <c r="C28" s="52">
        <v>24.37</v>
      </c>
      <c r="D28" s="52">
        <v>22.4</v>
      </c>
      <c r="E28" s="52">
        <v>5.95</v>
      </c>
      <c r="F28" s="52">
        <v>13.63</v>
      </c>
      <c r="G28" s="52">
        <v>65.86</v>
      </c>
      <c r="H28" s="52">
        <v>15.01</v>
      </c>
      <c r="I28" s="52">
        <v>1.34</v>
      </c>
      <c r="J28" s="52">
        <v>0.5</v>
      </c>
      <c r="K28" s="52">
        <v>340.48</v>
      </c>
      <c r="L28" s="52">
        <v>28.39</v>
      </c>
      <c r="M28" s="52">
        <v>86.95</v>
      </c>
      <c r="N28" s="52">
        <v>50.4</v>
      </c>
      <c r="O28" s="52">
        <v>0</v>
      </c>
      <c r="P28" s="52">
        <v>0.9</v>
      </c>
      <c r="Q28" s="52">
        <v>9.11</v>
      </c>
      <c r="R28" s="43"/>
      <c r="S28" s="43"/>
      <c r="T28" s="43"/>
      <c r="U28" s="43"/>
    </row>
    <row r="29" spans="1:21" s="11" customFormat="1" x14ac:dyDescent="0.25">
      <c r="A29" s="51" t="s">
        <v>128</v>
      </c>
      <c r="B29" s="52">
        <v>20.12</v>
      </c>
      <c r="C29" s="52">
        <v>18.96</v>
      </c>
      <c r="D29" s="52">
        <v>24.85</v>
      </c>
      <c r="E29" s="52">
        <v>6.47</v>
      </c>
      <c r="F29" s="52">
        <v>8.89</v>
      </c>
      <c r="G29" s="52">
        <v>74.069999999999993</v>
      </c>
      <c r="H29" s="52">
        <v>14.4</v>
      </c>
      <c r="I29" s="52">
        <v>1.58</v>
      </c>
      <c r="J29" s="52">
        <v>0.63</v>
      </c>
      <c r="K29" s="52">
        <v>342.08</v>
      </c>
      <c r="L29" s="52">
        <v>27.87</v>
      </c>
      <c r="M29" s="52">
        <v>88.48</v>
      </c>
      <c r="N29" s="52">
        <v>50.4</v>
      </c>
      <c r="O29" s="52">
        <v>0</v>
      </c>
      <c r="P29" s="52">
        <v>1.1000000000000001</v>
      </c>
      <c r="Q29" s="52">
        <v>9.2799999999999994</v>
      </c>
      <c r="R29" s="43"/>
      <c r="S29" s="43"/>
      <c r="T29" s="43"/>
      <c r="U29" s="43"/>
    </row>
    <row r="30" spans="1:21" s="11" customFormat="1" x14ac:dyDescent="0.25">
      <c r="A30" s="51" t="s">
        <v>129</v>
      </c>
      <c r="B30" s="52">
        <v>37.61</v>
      </c>
      <c r="C30" s="52">
        <v>18.45</v>
      </c>
      <c r="D30" s="52">
        <v>38.979999999999997</v>
      </c>
      <c r="E30" s="52">
        <v>7.14</v>
      </c>
      <c r="F30" s="52">
        <v>9.26</v>
      </c>
      <c r="G30" s="52">
        <v>90.38</v>
      </c>
      <c r="H30" s="52">
        <v>16.559999999999999</v>
      </c>
      <c r="I30" s="52">
        <v>2.0699999999999998</v>
      </c>
      <c r="J30" s="52">
        <v>0.28000000000000003</v>
      </c>
      <c r="K30" s="52">
        <v>343.51</v>
      </c>
      <c r="L30" s="52">
        <v>27.39</v>
      </c>
      <c r="M30" s="52">
        <v>90.79</v>
      </c>
      <c r="N30" s="52">
        <v>50.5</v>
      </c>
      <c r="O30" s="52">
        <v>0</v>
      </c>
      <c r="P30" s="52">
        <v>1.3</v>
      </c>
      <c r="Q30" s="52">
        <v>9.5</v>
      </c>
      <c r="R30" s="43"/>
      <c r="S30" s="43"/>
      <c r="T30" s="43"/>
      <c r="U30" s="43"/>
    </row>
    <row r="31" spans="1:21" s="11" customFormat="1" x14ac:dyDescent="0.25">
      <c r="A31" s="51" t="s">
        <v>130</v>
      </c>
      <c r="B31" s="52">
        <v>26.69</v>
      </c>
      <c r="C31" s="52">
        <v>23.62</v>
      </c>
      <c r="D31" s="52">
        <v>30.55</v>
      </c>
      <c r="E31" s="52">
        <v>6.89</v>
      </c>
      <c r="F31" s="52">
        <v>7.35</v>
      </c>
      <c r="G31" s="52">
        <v>99.37</v>
      </c>
      <c r="H31" s="52">
        <v>19.93</v>
      </c>
      <c r="I31" s="52">
        <v>2.23</v>
      </c>
      <c r="J31" s="52">
        <v>0.15</v>
      </c>
      <c r="K31" s="52">
        <v>349.2</v>
      </c>
      <c r="L31" s="52">
        <v>26.77</v>
      </c>
      <c r="M31" s="52">
        <v>93.78</v>
      </c>
      <c r="N31" s="52">
        <v>50.5</v>
      </c>
      <c r="O31" s="52">
        <v>0</v>
      </c>
      <c r="P31" s="52">
        <v>1.1299999999999999</v>
      </c>
      <c r="Q31" s="52">
        <v>9.6</v>
      </c>
      <c r="R31" s="43"/>
      <c r="S31" s="43"/>
      <c r="T31" s="43"/>
      <c r="U31" s="43"/>
    </row>
    <row r="32" spans="1:21" s="11" customFormat="1" x14ac:dyDescent="0.25">
      <c r="A32" s="51" t="s">
        <v>131</v>
      </c>
      <c r="B32" s="52">
        <v>30.8</v>
      </c>
      <c r="C32" s="52">
        <v>18.61</v>
      </c>
      <c r="D32" s="52">
        <v>33.049999999999997</v>
      </c>
      <c r="E32" s="52">
        <v>6.61</v>
      </c>
      <c r="F32" s="52">
        <v>6.58</v>
      </c>
      <c r="G32" s="52">
        <v>105.92</v>
      </c>
      <c r="H32" s="52">
        <v>22.6</v>
      </c>
      <c r="I32" s="52">
        <v>2.46</v>
      </c>
      <c r="J32" s="52">
        <v>0.26</v>
      </c>
      <c r="K32" s="52">
        <v>358.22</v>
      </c>
      <c r="L32" s="52">
        <v>26.51</v>
      </c>
      <c r="M32" s="52">
        <v>97.19</v>
      </c>
      <c r="N32" s="52">
        <v>50.5</v>
      </c>
      <c r="O32" s="52">
        <v>0</v>
      </c>
      <c r="P32" s="52">
        <v>1.4</v>
      </c>
      <c r="Q32" s="52">
        <v>9.64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4.9800000000000004</v>
      </c>
      <c r="C34" s="28">
        <f t="shared" si="0"/>
        <v>8.81</v>
      </c>
      <c r="D34" s="28">
        <f t="shared" si="0"/>
        <v>9.4499999999999993</v>
      </c>
      <c r="E34" s="28">
        <f t="shared" si="0"/>
        <v>3.61</v>
      </c>
      <c r="F34" s="28">
        <f t="shared" si="0"/>
        <v>5.19</v>
      </c>
      <c r="G34" s="28">
        <f t="shared" si="0"/>
        <v>34.44</v>
      </c>
      <c r="H34" s="28">
        <f t="shared" si="0"/>
        <v>12.61</v>
      </c>
      <c r="I34" s="28">
        <f t="shared" si="0"/>
        <v>1.18</v>
      </c>
      <c r="J34" s="28">
        <f t="shared" si="0"/>
        <v>0.06</v>
      </c>
      <c r="K34" s="28">
        <f t="shared" si="0"/>
        <v>131.72</v>
      </c>
      <c r="L34" s="28">
        <f t="shared" si="0"/>
        <v>24.47</v>
      </c>
      <c r="M34" s="28">
        <f t="shared" si="0"/>
        <v>62.35</v>
      </c>
      <c r="N34" s="28">
        <f t="shared" si="0"/>
        <v>50.4</v>
      </c>
      <c r="O34" s="28">
        <f t="shared" si="0"/>
        <v>0</v>
      </c>
      <c r="P34" s="28">
        <f t="shared" si="0"/>
        <v>0.15</v>
      </c>
      <c r="Q34" s="28">
        <f t="shared" si="0"/>
        <v>8.9700000000000006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37.61</v>
      </c>
      <c r="C35" s="29">
        <f t="shared" si="1"/>
        <v>24.37</v>
      </c>
      <c r="D35" s="29">
        <f t="shared" si="1"/>
        <v>38.979999999999997</v>
      </c>
      <c r="E35" s="29">
        <f t="shared" si="1"/>
        <v>7.14</v>
      </c>
      <c r="F35" s="29">
        <f t="shared" si="1"/>
        <v>14.84</v>
      </c>
      <c r="G35" s="29">
        <f t="shared" si="1"/>
        <v>105.92</v>
      </c>
      <c r="H35" s="29">
        <f t="shared" si="1"/>
        <v>48.38</v>
      </c>
      <c r="I35" s="29">
        <f t="shared" si="1"/>
        <v>2.46</v>
      </c>
      <c r="J35" s="29">
        <f t="shared" si="1"/>
        <v>0.63</v>
      </c>
      <c r="K35" s="29">
        <f t="shared" si="1"/>
        <v>358.22</v>
      </c>
      <c r="L35" s="29">
        <f t="shared" si="1"/>
        <v>32.700000000000003</v>
      </c>
      <c r="M35" s="29">
        <f t="shared" si="1"/>
        <v>98.05</v>
      </c>
      <c r="N35" s="29">
        <f t="shared" si="1"/>
        <v>920.7</v>
      </c>
      <c r="O35" s="29">
        <f t="shared" si="1"/>
        <v>0.2</v>
      </c>
      <c r="P35" s="29">
        <f t="shared" si="1"/>
        <v>1.4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11.910000000000002</v>
      </c>
      <c r="C36" s="28">
        <f t="shared" si="2"/>
        <v>13.778333333333336</v>
      </c>
      <c r="D36" s="28">
        <f t="shared" si="2"/>
        <v>16.105</v>
      </c>
      <c r="E36" s="28">
        <f t="shared" si="2"/>
        <v>5.217083333333334</v>
      </c>
      <c r="F36" s="28">
        <f t="shared" si="2"/>
        <v>9.7004166666666674</v>
      </c>
      <c r="G36" s="28">
        <f t="shared" si="2"/>
        <v>61.134166666666658</v>
      </c>
      <c r="H36" s="28">
        <f t="shared" si="2"/>
        <v>20.422083333333333</v>
      </c>
      <c r="I36" s="28">
        <f t="shared" si="2"/>
        <v>1.6583333333333332</v>
      </c>
      <c r="J36" s="28">
        <f t="shared" si="2"/>
        <v>0.20083333333333339</v>
      </c>
      <c r="K36" s="28">
        <f t="shared" si="2"/>
        <v>298.04999999999995</v>
      </c>
      <c r="L36" s="28">
        <f t="shared" si="2"/>
        <v>28.382500000000004</v>
      </c>
      <c r="M36" s="28">
        <f t="shared" si="2"/>
        <v>84.922916666666652</v>
      </c>
      <c r="N36" s="28">
        <f t="shared" si="2"/>
        <v>273.76666666666665</v>
      </c>
      <c r="O36" s="28">
        <f t="shared" si="2"/>
        <v>8.3333333333333332E-3</v>
      </c>
      <c r="P36" s="28">
        <f t="shared" si="2"/>
        <v>0.54666666666666663</v>
      </c>
      <c r="Q36" s="28">
        <f t="shared" si="2"/>
        <v>9.1945833333333322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8.5967450867730459</v>
      </c>
      <c r="C37" s="28">
        <f t="shared" ref="C37:Q37" si="3">STDEV(C9:C32)</f>
        <v>4.6871671862526965</v>
      </c>
      <c r="D37" s="28">
        <f t="shared" si="3"/>
        <v>8.089093032408293</v>
      </c>
      <c r="E37" s="28">
        <f t="shared" si="3"/>
        <v>1.0215737184945732</v>
      </c>
      <c r="F37" s="28">
        <f t="shared" si="3"/>
        <v>2.4195876026022831</v>
      </c>
      <c r="G37" s="28">
        <f t="shared" si="3"/>
        <v>17.712959126427588</v>
      </c>
      <c r="H37" s="28">
        <f t="shared" si="3"/>
        <v>9.6838089789390107</v>
      </c>
      <c r="I37" s="28">
        <f t="shared" si="3"/>
        <v>0.38263010480286302</v>
      </c>
      <c r="J37" s="28">
        <f t="shared" si="3"/>
        <v>0.13341392491909837</v>
      </c>
      <c r="K37" s="28">
        <f t="shared" si="3"/>
        <v>48.948788145056135</v>
      </c>
      <c r="L37" s="28">
        <f t="shared" si="3"/>
        <v>2.8750398863017685</v>
      </c>
      <c r="M37" s="28">
        <f t="shared" si="3"/>
        <v>13.436962479980718</v>
      </c>
      <c r="N37" s="28">
        <f t="shared" si="3"/>
        <v>313.67365021719581</v>
      </c>
      <c r="O37" s="28">
        <f t="shared" si="3"/>
        <v>4.0824829046386311E-2</v>
      </c>
      <c r="P37" s="28">
        <f t="shared" si="3"/>
        <v>0.361165584891674</v>
      </c>
      <c r="Q37" s="28">
        <f t="shared" si="3"/>
        <v>0.18199329100550515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9" sqref="B9:Q32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132</v>
      </c>
      <c r="B9" s="52">
        <v>9.39</v>
      </c>
      <c r="C9" s="52">
        <v>18.079999999999998</v>
      </c>
      <c r="D9" s="52">
        <v>16.82</v>
      </c>
      <c r="E9" s="52">
        <v>5.74</v>
      </c>
      <c r="F9" s="52">
        <v>7.2</v>
      </c>
      <c r="G9" s="52">
        <v>109.68</v>
      </c>
      <c r="H9" s="52">
        <v>22.35</v>
      </c>
      <c r="I9" s="52">
        <v>2.5299999999999998</v>
      </c>
      <c r="J9" s="52">
        <v>0.05</v>
      </c>
      <c r="K9" s="52">
        <v>214.92</v>
      </c>
      <c r="L9" s="52">
        <v>26.22</v>
      </c>
      <c r="M9" s="52">
        <v>98</v>
      </c>
      <c r="N9" s="52">
        <v>50.5</v>
      </c>
      <c r="O9" s="52">
        <v>0</v>
      </c>
      <c r="P9" s="52">
        <v>0.77</v>
      </c>
      <c r="Q9" s="52">
        <v>9.65</v>
      </c>
      <c r="R9" s="43"/>
      <c r="S9" s="43"/>
      <c r="T9" s="43"/>
      <c r="U9" s="43"/>
    </row>
    <row r="10" spans="1:21" s="11" customFormat="1" x14ac:dyDescent="0.25">
      <c r="A10" s="51" t="s">
        <v>133</v>
      </c>
      <c r="B10" s="52">
        <v>8.35</v>
      </c>
      <c r="C10" s="52">
        <v>14.43</v>
      </c>
      <c r="D10" s="52">
        <v>13.14</v>
      </c>
      <c r="E10" s="52">
        <v>5.33</v>
      </c>
      <c r="F10" s="52">
        <v>9.76</v>
      </c>
      <c r="G10" s="52">
        <v>96.95</v>
      </c>
      <c r="H10" s="52">
        <v>23.18</v>
      </c>
      <c r="I10" s="52">
        <v>2.5099999999999998</v>
      </c>
      <c r="J10" s="52">
        <v>7.0000000000000007E-2</v>
      </c>
      <c r="K10" s="52">
        <v>340.47</v>
      </c>
      <c r="L10" s="52">
        <v>26.32</v>
      </c>
      <c r="M10" s="52">
        <v>98.01</v>
      </c>
      <c r="N10" s="52">
        <v>50.5</v>
      </c>
      <c r="O10" s="52">
        <v>0</v>
      </c>
      <c r="P10" s="52">
        <v>0.16</v>
      </c>
      <c r="Q10" s="52">
        <v>9.64</v>
      </c>
      <c r="R10" s="43"/>
      <c r="S10" s="43"/>
      <c r="T10" s="43"/>
      <c r="U10" s="43"/>
    </row>
    <row r="11" spans="1:21" s="11" customFormat="1" x14ac:dyDescent="0.25">
      <c r="A11" s="51" t="s">
        <v>134</v>
      </c>
      <c r="B11" s="52">
        <v>8.57</v>
      </c>
      <c r="C11" s="52">
        <v>14.35</v>
      </c>
      <c r="D11" s="52">
        <v>13.18</v>
      </c>
      <c r="E11" s="52">
        <v>5.43</v>
      </c>
      <c r="F11" s="52">
        <v>8.36</v>
      </c>
      <c r="G11" s="52">
        <v>71.680000000000007</v>
      </c>
      <c r="H11" s="52">
        <v>22.09</v>
      </c>
      <c r="I11" s="52">
        <v>2.35</v>
      </c>
      <c r="J11" s="52">
        <v>0.06</v>
      </c>
      <c r="K11" s="52">
        <v>340.47</v>
      </c>
      <c r="L11" s="52">
        <v>26.21</v>
      </c>
      <c r="M11" s="52">
        <v>98.04</v>
      </c>
      <c r="N11" s="52">
        <v>50.5</v>
      </c>
      <c r="O11" s="52">
        <v>0</v>
      </c>
      <c r="P11" s="52">
        <v>0.16</v>
      </c>
      <c r="Q11" s="52">
        <v>9.64</v>
      </c>
      <c r="R11" s="43"/>
      <c r="S11" s="43"/>
      <c r="T11" s="43"/>
      <c r="U11" s="43"/>
    </row>
    <row r="12" spans="1:21" s="11" customFormat="1" x14ac:dyDescent="0.25">
      <c r="A12" s="51" t="s">
        <v>135</v>
      </c>
      <c r="B12" s="52">
        <v>6.54</v>
      </c>
      <c r="C12" s="52">
        <v>12.81</v>
      </c>
      <c r="D12" s="52">
        <v>10.96</v>
      </c>
      <c r="E12" s="52">
        <v>5.17</v>
      </c>
      <c r="F12" s="52">
        <v>7.33</v>
      </c>
      <c r="G12" s="52">
        <v>53.33</v>
      </c>
      <c r="H12" s="52">
        <v>15.56</v>
      </c>
      <c r="I12" s="52">
        <v>2.1</v>
      </c>
      <c r="J12" s="52">
        <v>0.17</v>
      </c>
      <c r="K12" s="52">
        <v>158.44999999999999</v>
      </c>
      <c r="L12" s="52">
        <v>26.03</v>
      </c>
      <c r="M12" s="52">
        <v>98.13</v>
      </c>
      <c r="N12" s="52">
        <v>50.5</v>
      </c>
      <c r="O12" s="52">
        <v>0</v>
      </c>
      <c r="P12" s="52">
        <v>0.14000000000000001</v>
      </c>
      <c r="Q12" s="52">
        <v>9.5500000000000007</v>
      </c>
      <c r="R12" s="43"/>
      <c r="S12" s="43"/>
      <c r="T12" s="43"/>
      <c r="U12" s="43"/>
    </row>
    <row r="13" spans="1:21" s="11" customFormat="1" x14ac:dyDescent="0.25">
      <c r="A13" s="51" t="s">
        <v>136</v>
      </c>
      <c r="B13" s="52">
        <v>9.6</v>
      </c>
      <c r="C13" s="52">
        <v>10.26</v>
      </c>
      <c r="D13" s="52">
        <v>11.86</v>
      </c>
      <c r="E13" s="52">
        <v>5.01</v>
      </c>
      <c r="F13" s="52">
        <v>8.11</v>
      </c>
      <c r="G13" s="52">
        <v>45.24</v>
      </c>
      <c r="H13" s="52">
        <v>14.24</v>
      </c>
      <c r="I13" s="52">
        <v>1.88</v>
      </c>
      <c r="J13" s="52">
        <v>0.11</v>
      </c>
      <c r="K13" s="52">
        <v>261.06</v>
      </c>
      <c r="L13" s="52">
        <v>25.56</v>
      </c>
      <c r="M13" s="52">
        <v>98.13</v>
      </c>
      <c r="N13" s="52">
        <v>50.5</v>
      </c>
      <c r="O13" s="52">
        <v>0</v>
      </c>
      <c r="P13" s="52">
        <v>0.18</v>
      </c>
      <c r="Q13" s="52">
        <v>9.4700000000000006</v>
      </c>
      <c r="R13" s="43"/>
      <c r="S13" s="43"/>
      <c r="T13" s="43"/>
      <c r="U13" s="43"/>
    </row>
    <row r="14" spans="1:21" s="11" customFormat="1" x14ac:dyDescent="0.25">
      <c r="A14" s="51" t="s">
        <v>137</v>
      </c>
      <c r="B14" s="52">
        <v>9.82</v>
      </c>
      <c r="C14" s="52">
        <v>12.52</v>
      </c>
      <c r="D14" s="52">
        <v>13.97</v>
      </c>
      <c r="E14" s="52">
        <v>5.19</v>
      </c>
      <c r="F14" s="52">
        <v>11.33</v>
      </c>
      <c r="G14" s="52">
        <v>43.05</v>
      </c>
      <c r="H14" s="52">
        <v>10.43</v>
      </c>
      <c r="I14" s="52">
        <v>1.69</v>
      </c>
      <c r="J14" s="52">
        <v>7.0000000000000007E-2</v>
      </c>
      <c r="K14" s="52">
        <v>269.77999999999997</v>
      </c>
      <c r="L14" s="52">
        <v>25.48</v>
      </c>
      <c r="M14" s="52">
        <v>98.11</v>
      </c>
      <c r="N14" s="52">
        <v>64.3</v>
      </c>
      <c r="O14" s="52">
        <v>0</v>
      </c>
      <c r="P14" s="52">
        <v>0.2</v>
      </c>
      <c r="Q14" s="52">
        <v>9.44</v>
      </c>
      <c r="R14" s="43"/>
      <c r="S14" s="43"/>
      <c r="T14" s="43"/>
      <c r="U14" s="43"/>
    </row>
    <row r="15" spans="1:21" s="11" customFormat="1" x14ac:dyDescent="0.25">
      <c r="A15" s="51" t="s">
        <v>138</v>
      </c>
      <c r="B15" s="52">
        <v>9.4600000000000009</v>
      </c>
      <c r="C15" s="52">
        <v>11.95</v>
      </c>
      <c r="D15" s="52">
        <v>13.36</v>
      </c>
      <c r="E15" s="52">
        <v>5.27</v>
      </c>
      <c r="F15" s="52">
        <v>9.26</v>
      </c>
      <c r="G15" s="52">
        <v>40.22</v>
      </c>
      <c r="H15" s="52">
        <v>11.23</v>
      </c>
      <c r="I15" s="52">
        <v>1.54</v>
      </c>
      <c r="J15" s="52">
        <v>0.18</v>
      </c>
      <c r="K15" s="52">
        <v>243.06</v>
      </c>
      <c r="L15" s="52">
        <v>26.1</v>
      </c>
      <c r="M15" s="52">
        <v>98.1</v>
      </c>
      <c r="N15" s="52">
        <v>154.6</v>
      </c>
      <c r="O15" s="52">
        <v>0</v>
      </c>
      <c r="P15" s="52">
        <v>0.22</v>
      </c>
      <c r="Q15" s="52">
        <v>9.41</v>
      </c>
      <c r="R15" s="43"/>
      <c r="S15" s="43"/>
      <c r="T15" s="43"/>
      <c r="U15" s="43"/>
    </row>
    <row r="16" spans="1:21" s="11" customFormat="1" x14ac:dyDescent="0.25">
      <c r="A16" s="51" t="s">
        <v>139</v>
      </c>
      <c r="B16" s="52">
        <v>11.92</v>
      </c>
      <c r="C16" s="52">
        <v>11.36</v>
      </c>
      <c r="D16" s="52">
        <v>15.49</v>
      </c>
      <c r="E16" s="52">
        <v>5.19</v>
      </c>
      <c r="F16" s="52">
        <v>12.23</v>
      </c>
      <c r="G16" s="52">
        <v>44.7</v>
      </c>
      <c r="H16" s="52">
        <v>10.91</v>
      </c>
      <c r="I16" s="52">
        <v>1.48</v>
      </c>
      <c r="J16" s="52">
        <v>0.13</v>
      </c>
      <c r="K16" s="52">
        <v>282.58</v>
      </c>
      <c r="L16" s="52">
        <v>27.48</v>
      </c>
      <c r="M16" s="52">
        <v>98.02</v>
      </c>
      <c r="N16" s="52">
        <v>254.4</v>
      </c>
      <c r="O16" s="52">
        <v>0</v>
      </c>
      <c r="P16" s="52">
        <v>0.37</v>
      </c>
      <c r="Q16" s="52">
        <v>9.3699999999999992</v>
      </c>
      <c r="R16" s="43"/>
      <c r="S16" s="43"/>
      <c r="T16" s="43"/>
      <c r="U16" s="43"/>
    </row>
    <row r="17" spans="1:21" s="11" customFormat="1" x14ac:dyDescent="0.25">
      <c r="A17" s="51" t="s">
        <v>140</v>
      </c>
      <c r="B17" s="52">
        <v>12.27</v>
      </c>
      <c r="C17" s="52">
        <v>9.81</v>
      </c>
      <c r="D17" s="52">
        <v>14.97</v>
      </c>
      <c r="E17" s="52">
        <v>4.53</v>
      </c>
      <c r="F17" s="52">
        <v>12.16</v>
      </c>
      <c r="G17" s="52">
        <v>48.81</v>
      </c>
      <c r="H17" s="52">
        <v>17.079999999999998</v>
      </c>
      <c r="I17" s="52">
        <v>1.41</v>
      </c>
      <c r="J17" s="52">
        <v>0.1</v>
      </c>
      <c r="K17" s="52">
        <v>316.01</v>
      </c>
      <c r="L17" s="52">
        <v>28.84</v>
      </c>
      <c r="M17" s="52">
        <v>97.95</v>
      </c>
      <c r="N17" s="52">
        <v>440.2</v>
      </c>
      <c r="O17" s="52">
        <v>0</v>
      </c>
      <c r="P17" s="52">
        <v>0.39</v>
      </c>
      <c r="Q17" s="52">
        <v>9.31</v>
      </c>
      <c r="R17" s="43"/>
      <c r="S17" s="43"/>
      <c r="T17" s="43"/>
      <c r="U17" s="43"/>
    </row>
    <row r="18" spans="1:21" s="11" customFormat="1" x14ac:dyDescent="0.25">
      <c r="A18" s="51" t="s">
        <v>141</v>
      </c>
      <c r="B18" s="52">
        <v>14.47</v>
      </c>
      <c r="C18" s="52">
        <v>15.47</v>
      </c>
      <c r="D18" s="52">
        <v>17.52</v>
      </c>
      <c r="E18" s="52">
        <v>4.55</v>
      </c>
      <c r="F18" s="52">
        <v>12.18</v>
      </c>
      <c r="G18" s="52">
        <v>56.67</v>
      </c>
      <c r="H18" s="52">
        <v>16.82</v>
      </c>
      <c r="I18" s="52">
        <v>1.5</v>
      </c>
      <c r="J18" s="52">
        <v>0.19</v>
      </c>
      <c r="K18" s="52">
        <v>304.27999999999997</v>
      </c>
      <c r="L18" s="52">
        <v>30.29</v>
      </c>
      <c r="M18" s="52">
        <v>88.19</v>
      </c>
      <c r="N18" s="52">
        <v>438.5</v>
      </c>
      <c r="O18" s="52">
        <v>0</v>
      </c>
      <c r="P18" s="52">
        <v>0.71</v>
      </c>
      <c r="Q18" s="52">
        <v>9.2899999999999991</v>
      </c>
      <c r="R18" s="43"/>
      <c r="S18" s="43"/>
      <c r="T18" s="43"/>
      <c r="U18" s="43"/>
    </row>
    <row r="19" spans="1:21" s="11" customFormat="1" x14ac:dyDescent="0.25">
      <c r="A19" s="51" t="s">
        <v>142</v>
      </c>
      <c r="B19" s="52">
        <v>14.48</v>
      </c>
      <c r="C19" s="52">
        <v>17</v>
      </c>
      <c r="D19" s="52">
        <v>20.48</v>
      </c>
      <c r="E19" s="52">
        <v>4.7300000000000004</v>
      </c>
      <c r="F19" s="52">
        <v>16.11</v>
      </c>
      <c r="G19" s="52">
        <v>65.180000000000007</v>
      </c>
      <c r="H19" s="52">
        <v>15.09</v>
      </c>
      <c r="I19" s="52">
        <v>1.9</v>
      </c>
      <c r="J19" s="52">
        <v>0.17</v>
      </c>
      <c r="K19" s="52">
        <v>301.91000000000003</v>
      </c>
      <c r="L19" s="52">
        <v>29.79</v>
      </c>
      <c r="M19" s="52">
        <v>90.18</v>
      </c>
      <c r="N19" s="52">
        <v>384.2</v>
      </c>
      <c r="O19" s="52">
        <v>0</v>
      </c>
      <c r="P19" s="52">
        <v>0.89</v>
      </c>
      <c r="Q19" s="52">
        <v>9.2899999999999991</v>
      </c>
      <c r="R19" s="43"/>
      <c r="S19" s="43"/>
      <c r="T19" s="43"/>
      <c r="U19" s="43"/>
    </row>
    <row r="20" spans="1:21" s="11" customFormat="1" x14ac:dyDescent="0.25">
      <c r="A20" s="51" t="s">
        <v>143</v>
      </c>
      <c r="B20" s="52">
        <v>11.35</v>
      </c>
      <c r="C20" s="52">
        <v>21.37</v>
      </c>
      <c r="D20" s="52">
        <v>17.22</v>
      </c>
      <c r="E20" s="52">
        <v>4.82</v>
      </c>
      <c r="F20" s="52">
        <v>16.920000000000002</v>
      </c>
      <c r="G20" s="52">
        <v>69.849999999999994</v>
      </c>
      <c r="H20" s="52">
        <v>14.28</v>
      </c>
      <c r="I20" s="52">
        <v>2.0299999999999998</v>
      </c>
      <c r="J20" s="52">
        <v>0.22</v>
      </c>
      <c r="K20" s="52">
        <v>301.79000000000002</v>
      </c>
      <c r="L20" s="52">
        <v>30.29</v>
      </c>
      <c r="M20" s="52">
        <v>85.61</v>
      </c>
      <c r="N20" s="52">
        <v>304</v>
      </c>
      <c r="O20" s="52">
        <v>0</v>
      </c>
      <c r="P20" s="52">
        <v>0.69</v>
      </c>
      <c r="Q20" s="52">
        <v>9.2799999999999994</v>
      </c>
      <c r="R20" s="43"/>
      <c r="S20" s="43"/>
      <c r="T20" s="43"/>
      <c r="U20" s="43"/>
    </row>
    <row r="21" spans="1:21" s="11" customFormat="1" x14ac:dyDescent="0.25">
      <c r="A21" s="51" t="s">
        <v>144</v>
      </c>
      <c r="B21" s="52">
        <v>6.37</v>
      </c>
      <c r="C21" s="52">
        <v>18.510000000000002</v>
      </c>
      <c r="D21" s="52">
        <v>14.78</v>
      </c>
      <c r="E21" s="52">
        <v>4.67</v>
      </c>
      <c r="F21" s="52">
        <v>13.67</v>
      </c>
      <c r="G21" s="52">
        <v>71.11</v>
      </c>
      <c r="H21" s="52">
        <v>13.86</v>
      </c>
      <c r="I21" s="52">
        <v>2.08</v>
      </c>
      <c r="J21" s="52">
        <v>0.15</v>
      </c>
      <c r="K21" s="52">
        <v>278.73</v>
      </c>
      <c r="L21" s="52">
        <v>30.09</v>
      </c>
      <c r="M21" s="52">
        <v>83.45</v>
      </c>
      <c r="N21" s="52">
        <v>525</v>
      </c>
      <c r="O21" s="52">
        <v>0</v>
      </c>
      <c r="P21" s="52">
        <v>0.6</v>
      </c>
      <c r="Q21" s="52">
        <v>9</v>
      </c>
      <c r="R21" s="43"/>
      <c r="S21" s="43"/>
      <c r="T21" s="43"/>
      <c r="U21" s="43"/>
    </row>
    <row r="22" spans="1:21" s="11" customFormat="1" x14ac:dyDescent="0.25">
      <c r="A22" s="51" t="s">
        <v>145</v>
      </c>
      <c r="B22" s="52">
        <v>5.47</v>
      </c>
      <c r="C22" s="52">
        <v>13.34</v>
      </c>
      <c r="D22" s="52">
        <v>11.23</v>
      </c>
      <c r="E22" s="52">
        <v>4.8899999999999997</v>
      </c>
      <c r="F22" s="52">
        <v>9.27</v>
      </c>
      <c r="G22" s="52">
        <v>2</v>
      </c>
      <c r="H22" s="52">
        <v>1</v>
      </c>
      <c r="I22" s="52">
        <v>1.9</v>
      </c>
      <c r="J22" s="52">
        <v>0.16</v>
      </c>
      <c r="K22" s="52">
        <v>293.72000000000003</v>
      </c>
      <c r="L22" s="52">
        <v>31.13</v>
      </c>
      <c r="M22" s="52">
        <v>79.37</v>
      </c>
      <c r="N22" s="52">
        <v>341.1</v>
      </c>
      <c r="O22" s="52">
        <v>0</v>
      </c>
      <c r="P22" s="52">
        <v>0.44</v>
      </c>
      <c r="Q22" s="52">
        <v>9.0299999999999994</v>
      </c>
      <c r="R22" s="43"/>
      <c r="S22" s="43"/>
      <c r="T22" s="43"/>
      <c r="U22" s="43"/>
    </row>
    <row r="23" spans="1:21" s="11" customFormat="1" x14ac:dyDescent="0.25">
      <c r="A23" s="51" t="s">
        <v>146</v>
      </c>
      <c r="B23" s="52">
        <v>7.46</v>
      </c>
      <c r="C23" s="52">
        <v>13.98</v>
      </c>
      <c r="D23" s="52">
        <v>13.29</v>
      </c>
      <c r="E23" s="52">
        <v>4.79</v>
      </c>
      <c r="F23" s="52">
        <v>13.32</v>
      </c>
      <c r="G23" s="52">
        <v>87.6</v>
      </c>
      <c r="H23" s="52">
        <v>1.03</v>
      </c>
      <c r="I23" s="52">
        <v>1.61</v>
      </c>
      <c r="J23" s="52">
        <v>0.16</v>
      </c>
      <c r="K23" s="52">
        <v>285.43</v>
      </c>
      <c r="L23" s="52">
        <v>30.72</v>
      </c>
      <c r="M23" s="52">
        <v>75.239999999999995</v>
      </c>
      <c r="N23" s="52">
        <v>308.7</v>
      </c>
      <c r="O23" s="52">
        <v>0</v>
      </c>
      <c r="P23" s="52">
        <v>0.36</v>
      </c>
      <c r="Q23" s="52">
        <v>9.02</v>
      </c>
      <c r="R23" s="43"/>
      <c r="S23" s="43"/>
      <c r="T23" s="43"/>
      <c r="U23" s="43"/>
    </row>
    <row r="24" spans="1:21" s="11" customFormat="1" x14ac:dyDescent="0.25">
      <c r="A24" s="51" t="s">
        <v>147</v>
      </c>
      <c r="B24" s="52">
        <v>6.24</v>
      </c>
      <c r="C24" s="52">
        <v>12.12</v>
      </c>
      <c r="D24" s="52">
        <v>11.07</v>
      </c>
      <c r="E24" s="52">
        <v>4.78</v>
      </c>
      <c r="F24" s="52">
        <v>13.59</v>
      </c>
      <c r="G24" s="52">
        <v>87.86</v>
      </c>
      <c r="H24" s="52">
        <v>1.03</v>
      </c>
      <c r="I24" s="52">
        <v>1.37</v>
      </c>
      <c r="J24" s="52">
        <v>1.1000000000000001</v>
      </c>
      <c r="K24" s="52">
        <v>335.52</v>
      </c>
      <c r="L24" s="52">
        <v>30.34</v>
      </c>
      <c r="M24" s="52">
        <v>83.26</v>
      </c>
      <c r="N24" s="52">
        <v>224.2</v>
      </c>
      <c r="O24" s="52">
        <v>0</v>
      </c>
      <c r="P24" s="52">
        <v>0.36</v>
      </c>
      <c r="Q24" s="52">
        <v>9.0299999999999994</v>
      </c>
      <c r="R24" s="43"/>
      <c r="S24" s="43"/>
      <c r="T24" s="43"/>
      <c r="U24" s="43"/>
    </row>
    <row r="25" spans="1:21" s="11" customFormat="1" x14ac:dyDescent="0.25">
      <c r="A25" s="51" t="s">
        <v>148</v>
      </c>
      <c r="B25" s="52">
        <v>12.94</v>
      </c>
      <c r="C25" s="52">
        <v>17.32</v>
      </c>
      <c r="D25" s="52">
        <v>17.12</v>
      </c>
      <c r="E25" s="52">
        <v>4.7300000000000004</v>
      </c>
      <c r="F25" s="52">
        <v>13.6</v>
      </c>
      <c r="G25" s="52">
        <v>87.86</v>
      </c>
      <c r="H25" s="52">
        <v>4.2</v>
      </c>
      <c r="I25" s="52">
        <v>1.35</v>
      </c>
      <c r="J25" s="52">
        <v>0.45</v>
      </c>
      <c r="K25" s="52">
        <v>338.23</v>
      </c>
      <c r="L25" s="52">
        <v>27.4</v>
      </c>
      <c r="M25" s="52">
        <v>97.45</v>
      </c>
      <c r="N25" s="52">
        <v>156.80000000000001</v>
      </c>
      <c r="O25" s="52">
        <v>0</v>
      </c>
      <c r="P25" s="52">
        <v>0.56999999999999995</v>
      </c>
      <c r="Q25" s="52">
        <v>9.01</v>
      </c>
      <c r="R25" s="43"/>
      <c r="S25" s="43"/>
      <c r="T25" s="43"/>
      <c r="U25" s="43"/>
    </row>
    <row r="26" spans="1:21" s="11" customFormat="1" x14ac:dyDescent="0.25">
      <c r="A26" s="51" t="s">
        <v>149</v>
      </c>
      <c r="B26" s="52">
        <v>12.92</v>
      </c>
      <c r="C26" s="52">
        <v>22.04</v>
      </c>
      <c r="D26" s="52">
        <v>21.27</v>
      </c>
      <c r="E26" s="52">
        <v>5.07</v>
      </c>
      <c r="F26" s="52">
        <v>11.86</v>
      </c>
      <c r="G26" s="52">
        <v>70.39</v>
      </c>
      <c r="H26" s="52">
        <v>4.2</v>
      </c>
      <c r="I26" s="52">
        <v>1.45</v>
      </c>
      <c r="J26" s="52">
        <v>0.41</v>
      </c>
      <c r="K26" s="52">
        <v>332.94</v>
      </c>
      <c r="L26" s="52">
        <v>27.7</v>
      </c>
      <c r="M26" s="52">
        <v>95.66</v>
      </c>
      <c r="N26" s="52">
        <v>142.69999999999999</v>
      </c>
      <c r="O26" s="52">
        <v>0</v>
      </c>
      <c r="P26" s="52">
        <v>0.78</v>
      </c>
      <c r="Q26" s="52">
        <v>9.11</v>
      </c>
      <c r="R26" s="43"/>
      <c r="S26" s="43"/>
      <c r="T26" s="43"/>
      <c r="U26" s="43"/>
    </row>
    <row r="27" spans="1:21" s="11" customFormat="1" x14ac:dyDescent="0.25">
      <c r="A27" s="51" t="s">
        <v>150</v>
      </c>
      <c r="B27" s="52">
        <v>8.3699999999999992</v>
      </c>
      <c r="C27" s="52">
        <v>25.4</v>
      </c>
      <c r="D27" s="52">
        <v>19.98</v>
      </c>
      <c r="E27" s="52">
        <v>4.91</v>
      </c>
      <c r="F27" s="52">
        <v>13.82</v>
      </c>
      <c r="G27" s="52">
        <v>40</v>
      </c>
      <c r="H27" s="52">
        <v>1</v>
      </c>
      <c r="I27" s="52">
        <v>2.4300000000000002</v>
      </c>
      <c r="J27" s="52">
        <v>0.1</v>
      </c>
      <c r="K27" s="52">
        <v>278.54000000000002</v>
      </c>
      <c r="L27" s="52">
        <v>27.43</v>
      </c>
      <c r="M27" s="52">
        <v>92.2</v>
      </c>
      <c r="N27" s="52">
        <v>98.7</v>
      </c>
      <c r="O27" s="52">
        <v>0</v>
      </c>
      <c r="P27" s="52">
        <v>1.78</v>
      </c>
      <c r="Q27" s="52">
        <v>9.17</v>
      </c>
      <c r="R27" s="43"/>
      <c r="S27" s="43"/>
      <c r="T27" s="43"/>
      <c r="U27" s="43"/>
    </row>
    <row r="28" spans="1:21" s="11" customFormat="1" x14ac:dyDescent="0.25">
      <c r="A28" s="51" t="s">
        <v>151</v>
      </c>
      <c r="B28" s="52">
        <v>10.36</v>
      </c>
      <c r="C28" s="52">
        <v>27.9</v>
      </c>
      <c r="D28" s="52">
        <v>22.89</v>
      </c>
      <c r="E28" s="52">
        <v>5.14</v>
      </c>
      <c r="F28" s="52">
        <v>13.51</v>
      </c>
      <c r="G28" s="52">
        <v>120.01</v>
      </c>
      <c r="H28" s="52">
        <v>25.37</v>
      </c>
      <c r="I28" s="52">
        <v>2.73</v>
      </c>
      <c r="J28" s="52">
        <v>0.25</v>
      </c>
      <c r="K28" s="52">
        <v>176.46</v>
      </c>
      <c r="L28" s="52">
        <v>27.07</v>
      </c>
      <c r="M28" s="52">
        <v>97.33</v>
      </c>
      <c r="N28" s="52">
        <v>83.7</v>
      </c>
      <c r="O28" s="52">
        <v>0</v>
      </c>
      <c r="P28" s="52">
        <v>0.57999999999999996</v>
      </c>
      <c r="Q28" s="52">
        <v>9.19</v>
      </c>
      <c r="R28" s="43"/>
      <c r="S28" s="43"/>
      <c r="T28" s="43"/>
      <c r="U28" s="43"/>
    </row>
    <row r="29" spans="1:21" s="11" customFormat="1" x14ac:dyDescent="0.25">
      <c r="A29" s="51" t="s">
        <v>152</v>
      </c>
      <c r="B29" s="52">
        <v>11.9</v>
      </c>
      <c r="C29" s="52">
        <v>22.12</v>
      </c>
      <c r="D29" s="52">
        <v>20.29</v>
      </c>
      <c r="E29" s="52">
        <v>5.13</v>
      </c>
      <c r="F29" s="52">
        <v>10.45</v>
      </c>
      <c r="G29" s="52">
        <v>113.13</v>
      </c>
      <c r="H29" s="52">
        <v>24.5</v>
      </c>
      <c r="I29" s="52">
        <v>2.7</v>
      </c>
      <c r="J29" s="52">
        <v>0.19</v>
      </c>
      <c r="K29" s="52">
        <v>186.6</v>
      </c>
      <c r="L29" s="52">
        <v>26.74</v>
      </c>
      <c r="M29" s="52">
        <v>98.04</v>
      </c>
      <c r="N29" s="52">
        <v>84.1</v>
      </c>
      <c r="O29" s="52">
        <v>0</v>
      </c>
      <c r="P29" s="52">
        <v>0.55000000000000004</v>
      </c>
      <c r="Q29" s="52">
        <v>9.18</v>
      </c>
      <c r="R29" s="43"/>
      <c r="S29" s="43"/>
      <c r="T29" s="43"/>
      <c r="U29" s="43"/>
    </row>
    <row r="30" spans="1:21" s="11" customFormat="1" x14ac:dyDescent="0.25">
      <c r="A30" s="51" t="s">
        <v>153</v>
      </c>
      <c r="B30" s="52">
        <v>11.52</v>
      </c>
      <c r="C30" s="52">
        <v>16.64</v>
      </c>
      <c r="D30" s="52">
        <v>17.940000000000001</v>
      </c>
      <c r="E30" s="52">
        <v>4.7300000000000004</v>
      </c>
      <c r="F30" s="52">
        <v>8.6</v>
      </c>
      <c r="G30" s="52">
        <v>97.12</v>
      </c>
      <c r="H30" s="52">
        <v>20.71</v>
      </c>
      <c r="I30" s="52">
        <v>2.36</v>
      </c>
      <c r="J30" s="52">
        <v>0.06</v>
      </c>
      <c r="K30" s="52">
        <v>269.98</v>
      </c>
      <c r="L30" s="52">
        <v>26.56</v>
      </c>
      <c r="M30" s="52">
        <v>98.15</v>
      </c>
      <c r="N30" s="52">
        <v>84.6</v>
      </c>
      <c r="O30" s="52">
        <v>0</v>
      </c>
      <c r="P30" s="52">
        <v>0.59</v>
      </c>
      <c r="Q30" s="52">
        <v>9.1999999999999993</v>
      </c>
      <c r="R30" s="43"/>
      <c r="S30" s="43"/>
      <c r="T30" s="43"/>
      <c r="U30" s="43"/>
    </row>
    <row r="31" spans="1:21" s="11" customFormat="1" x14ac:dyDescent="0.25">
      <c r="A31" s="51" t="s">
        <v>154</v>
      </c>
      <c r="B31" s="52">
        <v>5.43</v>
      </c>
      <c r="C31" s="52">
        <v>12.32</v>
      </c>
      <c r="D31" s="52">
        <v>10.79</v>
      </c>
      <c r="E31" s="52">
        <v>4.71</v>
      </c>
      <c r="F31" s="52">
        <v>10.24</v>
      </c>
      <c r="G31" s="52">
        <v>78.2</v>
      </c>
      <c r="H31" s="52">
        <v>16.59</v>
      </c>
      <c r="I31" s="52">
        <v>2.19</v>
      </c>
      <c r="J31" s="52">
        <v>0.19</v>
      </c>
      <c r="K31" s="52">
        <v>165.82</v>
      </c>
      <c r="L31" s="52">
        <v>26.18</v>
      </c>
      <c r="M31" s="52">
        <v>98.2</v>
      </c>
      <c r="N31" s="52">
        <v>86.9</v>
      </c>
      <c r="O31" s="52">
        <v>0</v>
      </c>
      <c r="P31" s="52">
        <v>0.31</v>
      </c>
      <c r="Q31" s="52">
        <v>9.2100000000000009</v>
      </c>
      <c r="R31" s="43"/>
      <c r="S31" s="43"/>
      <c r="T31" s="43"/>
      <c r="U31" s="43"/>
    </row>
    <row r="32" spans="1:21" s="11" customFormat="1" x14ac:dyDescent="0.25">
      <c r="A32" s="51" t="s">
        <v>155</v>
      </c>
      <c r="B32" s="52">
        <v>5.49</v>
      </c>
      <c r="C32" s="52">
        <v>10.83</v>
      </c>
      <c r="D32" s="52">
        <v>9.7899999999999991</v>
      </c>
      <c r="E32" s="52">
        <v>5.15</v>
      </c>
      <c r="F32" s="52">
        <v>10.79</v>
      </c>
      <c r="G32" s="52">
        <v>63.06</v>
      </c>
      <c r="H32" s="52">
        <v>14.42</v>
      </c>
      <c r="I32" s="52">
        <v>2.0499999999999998</v>
      </c>
      <c r="J32" s="52">
        <v>0.08</v>
      </c>
      <c r="K32" s="52">
        <v>337.73</v>
      </c>
      <c r="L32" s="52">
        <v>25.89</v>
      </c>
      <c r="M32" s="52">
        <v>98.25</v>
      </c>
      <c r="N32" s="52">
        <v>81.900000000000006</v>
      </c>
      <c r="O32" s="52">
        <v>0</v>
      </c>
      <c r="P32" s="52">
        <v>0.25</v>
      </c>
      <c r="Q32" s="52">
        <v>9.2100000000000009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5.43</v>
      </c>
      <c r="C34" s="28">
        <f t="shared" si="0"/>
        <v>9.81</v>
      </c>
      <c r="D34" s="28">
        <f t="shared" si="0"/>
        <v>9.7899999999999991</v>
      </c>
      <c r="E34" s="28">
        <f t="shared" si="0"/>
        <v>4.53</v>
      </c>
      <c r="F34" s="28">
        <f t="shared" si="0"/>
        <v>7.2</v>
      </c>
      <c r="G34" s="28">
        <f t="shared" si="0"/>
        <v>2</v>
      </c>
      <c r="H34" s="28">
        <f t="shared" si="0"/>
        <v>1</v>
      </c>
      <c r="I34" s="28">
        <f t="shared" si="0"/>
        <v>1.35</v>
      </c>
      <c r="J34" s="28">
        <f t="shared" si="0"/>
        <v>0.05</v>
      </c>
      <c r="K34" s="28">
        <f t="shared" si="0"/>
        <v>158.44999999999999</v>
      </c>
      <c r="L34" s="28">
        <f t="shared" si="0"/>
        <v>25.48</v>
      </c>
      <c r="M34" s="28">
        <f t="shared" si="0"/>
        <v>75.239999999999995</v>
      </c>
      <c r="N34" s="28">
        <f t="shared" si="0"/>
        <v>50.5</v>
      </c>
      <c r="O34" s="28">
        <f t="shared" si="0"/>
        <v>0</v>
      </c>
      <c r="P34" s="28">
        <f t="shared" si="0"/>
        <v>0.14000000000000001</v>
      </c>
      <c r="Q34" s="28">
        <f t="shared" si="0"/>
        <v>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14.48</v>
      </c>
      <c r="C35" s="29">
        <f t="shared" si="1"/>
        <v>27.9</v>
      </c>
      <c r="D35" s="29">
        <f t="shared" si="1"/>
        <v>22.89</v>
      </c>
      <c r="E35" s="29">
        <f t="shared" si="1"/>
        <v>5.74</v>
      </c>
      <c r="F35" s="29">
        <f t="shared" si="1"/>
        <v>16.920000000000002</v>
      </c>
      <c r="G35" s="29">
        <f t="shared" si="1"/>
        <v>120.01</v>
      </c>
      <c r="H35" s="29">
        <f t="shared" si="1"/>
        <v>25.37</v>
      </c>
      <c r="I35" s="29">
        <f t="shared" si="1"/>
        <v>2.73</v>
      </c>
      <c r="J35" s="29">
        <f t="shared" si="1"/>
        <v>1.1000000000000001</v>
      </c>
      <c r="K35" s="29">
        <f t="shared" si="1"/>
        <v>340.47</v>
      </c>
      <c r="L35" s="29">
        <f t="shared" si="1"/>
        <v>31.13</v>
      </c>
      <c r="M35" s="29">
        <f t="shared" si="1"/>
        <v>98.25</v>
      </c>
      <c r="N35" s="29">
        <f t="shared" si="1"/>
        <v>525</v>
      </c>
      <c r="O35" s="29">
        <f t="shared" si="1"/>
        <v>0</v>
      </c>
      <c r="P35" s="29">
        <f t="shared" si="1"/>
        <v>1.78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9.6120833333333362</v>
      </c>
      <c r="C36" s="28">
        <f t="shared" si="2"/>
        <v>15.913749999999999</v>
      </c>
      <c r="D36" s="28">
        <f t="shared" si="2"/>
        <v>15.392083333333334</v>
      </c>
      <c r="E36" s="28">
        <f t="shared" si="2"/>
        <v>4.9858333333333338</v>
      </c>
      <c r="F36" s="28">
        <f t="shared" si="2"/>
        <v>11.402916666666664</v>
      </c>
      <c r="G36" s="28">
        <f t="shared" si="2"/>
        <v>69.32083333333334</v>
      </c>
      <c r="H36" s="28">
        <f t="shared" si="2"/>
        <v>13.382083333333332</v>
      </c>
      <c r="I36" s="28">
        <f t="shared" si="2"/>
        <v>1.9641666666666664</v>
      </c>
      <c r="J36" s="28">
        <f t="shared" si="2"/>
        <v>0.20083333333333334</v>
      </c>
      <c r="K36" s="28">
        <f t="shared" si="2"/>
        <v>275.6033333333333</v>
      </c>
      <c r="L36" s="28">
        <f t="shared" si="2"/>
        <v>27.744166666666658</v>
      </c>
      <c r="M36" s="28">
        <f t="shared" si="2"/>
        <v>93.461250000000007</v>
      </c>
      <c r="N36" s="28">
        <f t="shared" si="2"/>
        <v>187.96249999999998</v>
      </c>
      <c r="O36" s="28">
        <f t="shared" si="2"/>
        <v>0</v>
      </c>
      <c r="P36" s="28">
        <f t="shared" si="2"/>
        <v>0.50208333333333333</v>
      </c>
      <c r="Q36" s="28">
        <f t="shared" si="2"/>
        <v>9.2791666666666668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2.8444117282331187</v>
      </c>
      <c r="C37" s="28">
        <f t="shared" ref="C37:Q37" si="3">STDEV(C9:C32)</f>
        <v>4.8890968424426458</v>
      </c>
      <c r="D37" s="28">
        <f t="shared" si="3"/>
        <v>3.7466669003687549</v>
      </c>
      <c r="E37" s="28">
        <f t="shared" si="3"/>
        <v>0.29889530909183137</v>
      </c>
      <c r="F37" s="28">
        <f t="shared" si="3"/>
        <v>2.6380699123258453</v>
      </c>
      <c r="G37" s="28">
        <f t="shared" si="3"/>
        <v>27.797327509432744</v>
      </c>
      <c r="H37" s="28">
        <f t="shared" si="3"/>
        <v>7.855816443422901</v>
      </c>
      <c r="I37" s="28">
        <f t="shared" si="3"/>
        <v>0.4428457054557266</v>
      </c>
      <c r="J37" s="28">
        <f t="shared" si="3"/>
        <v>0.2157477727562335</v>
      </c>
      <c r="K37" s="28">
        <f t="shared" si="3"/>
        <v>57.463118278760852</v>
      </c>
      <c r="L37" s="28">
        <f t="shared" si="3"/>
        <v>1.8903850922765575</v>
      </c>
      <c r="M37" s="28">
        <f t="shared" si="3"/>
        <v>7.0729529608895678</v>
      </c>
      <c r="N37" s="28">
        <f t="shared" si="3"/>
        <v>149.11247523845594</v>
      </c>
      <c r="O37" s="28">
        <f t="shared" si="3"/>
        <v>0</v>
      </c>
      <c r="P37" s="28">
        <f t="shared" si="3"/>
        <v>0.35237059501593487</v>
      </c>
      <c r="Q37" s="28">
        <f t="shared" si="3"/>
        <v>0.20599528628348415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13" sqref="F13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156</v>
      </c>
      <c r="B9" s="52">
        <v>7.18</v>
      </c>
      <c r="C9" s="52">
        <v>10.84</v>
      </c>
      <c r="D9" s="52">
        <v>11.42</v>
      </c>
      <c r="E9" s="52">
        <v>5.0999999999999996</v>
      </c>
      <c r="F9" s="52">
        <v>10.31</v>
      </c>
      <c r="G9" s="52">
        <v>55.33</v>
      </c>
      <c r="H9" s="52">
        <v>11.65</v>
      </c>
      <c r="I9" s="52">
        <v>2</v>
      </c>
      <c r="J9" s="52">
        <v>0.06</v>
      </c>
      <c r="K9" s="52">
        <v>328.35</v>
      </c>
      <c r="L9" s="52">
        <v>25.71</v>
      </c>
      <c r="M9" s="52">
        <v>98.27</v>
      </c>
      <c r="N9" s="52">
        <v>86.3</v>
      </c>
      <c r="O9" s="52">
        <v>0</v>
      </c>
      <c r="P9" s="52">
        <v>0.34</v>
      </c>
      <c r="Q9" s="52">
        <v>9.1999999999999993</v>
      </c>
      <c r="R9" s="43"/>
      <c r="S9" s="43"/>
      <c r="T9" s="43"/>
      <c r="U9" s="43"/>
    </row>
    <row r="10" spans="1:21" s="11" customFormat="1" x14ac:dyDescent="0.25">
      <c r="A10" s="51" t="s">
        <v>157</v>
      </c>
      <c r="B10" s="52">
        <v>5.28</v>
      </c>
      <c r="C10" s="52">
        <v>9.98</v>
      </c>
      <c r="D10" s="52">
        <v>8.75</v>
      </c>
      <c r="E10" s="52">
        <v>4.95</v>
      </c>
      <c r="F10" s="52">
        <v>12.12</v>
      </c>
      <c r="G10" s="52">
        <v>51.78</v>
      </c>
      <c r="H10" s="52">
        <v>7.81</v>
      </c>
      <c r="I10" s="52">
        <v>1.89</v>
      </c>
      <c r="J10" s="52">
        <v>0.13</v>
      </c>
      <c r="K10" s="52">
        <v>304.54000000000002</v>
      </c>
      <c r="L10" s="52">
        <v>25.52</v>
      </c>
      <c r="M10" s="52">
        <v>98.42</v>
      </c>
      <c r="N10" s="52">
        <v>84</v>
      </c>
      <c r="O10" s="52">
        <v>0</v>
      </c>
      <c r="P10" s="52">
        <v>0.2</v>
      </c>
      <c r="Q10" s="52">
        <v>9.16</v>
      </c>
      <c r="R10" s="43"/>
      <c r="S10" s="43"/>
      <c r="T10" s="43"/>
      <c r="U10" s="43"/>
    </row>
    <row r="11" spans="1:21" s="11" customFormat="1" x14ac:dyDescent="0.25">
      <c r="A11" s="51" t="s">
        <v>158</v>
      </c>
      <c r="B11" s="52">
        <v>4.9800000000000004</v>
      </c>
      <c r="C11" s="52">
        <v>9.5</v>
      </c>
      <c r="D11" s="52">
        <v>8.44</v>
      </c>
      <c r="E11" s="52">
        <v>5.22</v>
      </c>
      <c r="F11" s="52">
        <v>11.8</v>
      </c>
      <c r="G11" s="52">
        <v>49.17</v>
      </c>
      <c r="H11" s="52">
        <v>17.13</v>
      </c>
      <c r="I11" s="52">
        <v>1.75</v>
      </c>
      <c r="J11" s="52">
        <v>0.06</v>
      </c>
      <c r="K11" s="52">
        <v>313.08999999999997</v>
      </c>
      <c r="L11" s="52">
        <v>25.09</v>
      </c>
      <c r="M11" s="52">
        <v>98.21</v>
      </c>
      <c r="N11" s="52">
        <v>83</v>
      </c>
      <c r="O11" s="52">
        <v>0</v>
      </c>
      <c r="P11" s="52">
        <v>0.2</v>
      </c>
      <c r="Q11" s="52">
        <v>9.1199999999999992</v>
      </c>
      <c r="R11" s="43"/>
      <c r="S11" s="43"/>
      <c r="T11" s="43"/>
      <c r="U11" s="43"/>
    </row>
    <row r="12" spans="1:21" s="11" customFormat="1" x14ac:dyDescent="0.25">
      <c r="A12" s="51" t="s">
        <v>159</v>
      </c>
      <c r="B12" s="52">
        <v>5.07</v>
      </c>
      <c r="C12" s="52">
        <v>10.26</v>
      </c>
      <c r="D12" s="52">
        <v>9.43</v>
      </c>
      <c r="E12" s="52">
        <v>5.28</v>
      </c>
      <c r="F12" s="52">
        <v>10.74</v>
      </c>
      <c r="G12" s="52">
        <v>48.83</v>
      </c>
      <c r="H12" s="52">
        <v>14.61</v>
      </c>
      <c r="I12" s="52">
        <v>1.69</v>
      </c>
      <c r="J12" s="52">
        <v>0.11</v>
      </c>
      <c r="K12" s="52">
        <v>344.17</v>
      </c>
      <c r="L12" s="52">
        <v>24.79</v>
      </c>
      <c r="M12" s="52">
        <v>97.9</v>
      </c>
      <c r="N12" s="52">
        <v>82.6</v>
      </c>
      <c r="O12" s="52">
        <v>0</v>
      </c>
      <c r="P12" s="52">
        <v>0.17</v>
      </c>
      <c r="Q12" s="52">
        <v>9.16</v>
      </c>
      <c r="R12" s="43"/>
      <c r="S12" s="43"/>
      <c r="T12" s="43"/>
      <c r="U12" s="43"/>
    </row>
    <row r="13" spans="1:21" s="11" customFormat="1" x14ac:dyDescent="0.25">
      <c r="A13" s="51" t="s">
        <v>160</v>
      </c>
      <c r="B13" s="52">
        <v>7.25</v>
      </c>
      <c r="C13" s="52">
        <v>12.66</v>
      </c>
      <c r="D13" s="52">
        <v>12.43</v>
      </c>
      <c r="E13" s="52">
        <v>5.03</v>
      </c>
      <c r="F13" s="52">
        <v>8.17</v>
      </c>
      <c r="G13" s="52">
        <v>47.1</v>
      </c>
      <c r="H13" s="52">
        <v>11.14</v>
      </c>
      <c r="I13" s="52">
        <v>1.57</v>
      </c>
      <c r="J13" s="52">
        <v>0.11</v>
      </c>
      <c r="K13" s="52">
        <v>191.6</v>
      </c>
      <c r="L13" s="52">
        <v>24.57</v>
      </c>
      <c r="M13" s="52">
        <v>98</v>
      </c>
      <c r="N13" s="52">
        <v>84.9</v>
      </c>
      <c r="O13" s="52">
        <v>0.2</v>
      </c>
      <c r="P13" s="52">
        <v>0.21</v>
      </c>
      <c r="Q13" s="52">
        <v>9.18</v>
      </c>
      <c r="R13" s="43"/>
      <c r="S13" s="43"/>
      <c r="T13" s="43"/>
      <c r="U13" s="43"/>
    </row>
    <row r="14" spans="1:21" s="11" customFormat="1" x14ac:dyDescent="0.25">
      <c r="A14" s="51" t="s">
        <v>161</v>
      </c>
      <c r="B14" s="52">
        <v>6.11</v>
      </c>
      <c r="C14" s="52">
        <v>12.62</v>
      </c>
      <c r="D14" s="52">
        <v>11.27</v>
      </c>
      <c r="E14" s="52">
        <v>5.28</v>
      </c>
      <c r="F14" s="52">
        <v>8.9600000000000009</v>
      </c>
      <c r="G14" s="52">
        <v>46.3</v>
      </c>
      <c r="H14" s="52">
        <v>10.59</v>
      </c>
      <c r="I14" s="52">
        <v>1.47</v>
      </c>
      <c r="J14" s="52">
        <v>0.06</v>
      </c>
      <c r="K14" s="52">
        <v>348.26</v>
      </c>
      <c r="L14" s="52">
        <v>24.49</v>
      </c>
      <c r="M14" s="52">
        <v>97.94</v>
      </c>
      <c r="N14" s="52">
        <v>102.7</v>
      </c>
      <c r="O14" s="52">
        <v>0</v>
      </c>
      <c r="P14" s="52">
        <v>0.21</v>
      </c>
      <c r="Q14" s="52">
        <v>9.16</v>
      </c>
      <c r="R14" s="43"/>
      <c r="S14" s="43"/>
      <c r="T14" s="43"/>
      <c r="U14" s="43"/>
    </row>
    <row r="15" spans="1:21" s="11" customFormat="1" x14ac:dyDescent="0.25">
      <c r="A15" s="51" t="s">
        <v>162</v>
      </c>
      <c r="B15" s="52">
        <v>7.22</v>
      </c>
      <c r="C15" s="52">
        <v>13.77</v>
      </c>
      <c r="D15" s="52">
        <v>12.99</v>
      </c>
      <c r="E15" s="52">
        <v>5.0199999999999996</v>
      </c>
      <c r="F15" s="52">
        <v>8</v>
      </c>
      <c r="G15" s="52">
        <v>46.27</v>
      </c>
      <c r="H15" s="52">
        <v>11.9</v>
      </c>
      <c r="I15" s="52">
        <v>1.39</v>
      </c>
      <c r="J15" s="52">
        <v>0.23</v>
      </c>
      <c r="K15" s="52">
        <v>196.29</v>
      </c>
      <c r="L15" s="52">
        <v>25.65</v>
      </c>
      <c r="M15" s="52">
        <v>97.83</v>
      </c>
      <c r="N15" s="52">
        <v>229.6</v>
      </c>
      <c r="O15" s="52">
        <v>0</v>
      </c>
      <c r="P15" s="52">
        <v>0.25</v>
      </c>
      <c r="Q15" s="52">
        <v>9.15</v>
      </c>
      <c r="R15" s="43"/>
      <c r="S15" s="43"/>
      <c r="T15" s="43"/>
      <c r="U15" s="43"/>
    </row>
    <row r="16" spans="1:21" s="11" customFormat="1" x14ac:dyDescent="0.25">
      <c r="A16" s="51" t="s">
        <v>163</v>
      </c>
      <c r="B16" s="52">
        <v>9.75</v>
      </c>
      <c r="C16" s="52">
        <v>16.399999999999999</v>
      </c>
      <c r="D16" s="52">
        <v>14.61</v>
      </c>
      <c r="E16" s="52">
        <v>5.18</v>
      </c>
      <c r="F16" s="52">
        <v>9.67</v>
      </c>
      <c r="G16" s="52">
        <v>47.63</v>
      </c>
      <c r="H16" s="52">
        <v>10.4</v>
      </c>
      <c r="I16" s="52">
        <v>1.32</v>
      </c>
      <c r="J16" s="52">
        <v>0.16</v>
      </c>
      <c r="K16" s="52">
        <v>286.47000000000003</v>
      </c>
      <c r="L16" s="52">
        <v>28.98</v>
      </c>
      <c r="M16" s="52">
        <v>97.76</v>
      </c>
      <c r="N16" s="52">
        <v>381.3</v>
      </c>
      <c r="O16" s="52">
        <v>0</v>
      </c>
      <c r="P16" s="52">
        <v>0.37</v>
      </c>
      <c r="Q16" s="52">
        <v>9.15</v>
      </c>
      <c r="R16" s="43"/>
      <c r="S16" s="43"/>
      <c r="T16" s="43"/>
      <c r="U16" s="43"/>
    </row>
    <row r="17" spans="1:21" s="11" customFormat="1" x14ac:dyDescent="0.25">
      <c r="A17" s="51" t="s">
        <v>164</v>
      </c>
      <c r="B17" s="52">
        <v>9.42</v>
      </c>
      <c r="C17" s="52">
        <v>12.11</v>
      </c>
      <c r="D17" s="52">
        <v>13.88</v>
      </c>
      <c r="E17" s="52">
        <v>4.49</v>
      </c>
      <c r="F17" s="52">
        <v>11.83</v>
      </c>
      <c r="G17" s="52">
        <v>48.91</v>
      </c>
      <c r="H17" s="52">
        <v>9.41</v>
      </c>
      <c r="I17" s="52">
        <v>1.4</v>
      </c>
      <c r="J17" s="52">
        <v>0.16</v>
      </c>
      <c r="K17" s="52">
        <v>296.69</v>
      </c>
      <c r="L17" s="52">
        <v>30.47</v>
      </c>
      <c r="M17" s="52">
        <v>95.59</v>
      </c>
      <c r="N17" s="52">
        <v>628.5</v>
      </c>
      <c r="O17" s="52">
        <v>0</v>
      </c>
      <c r="P17" s="52">
        <v>0.51</v>
      </c>
      <c r="Q17" s="52">
        <v>9.16</v>
      </c>
      <c r="R17" s="43"/>
      <c r="S17" s="43"/>
      <c r="T17" s="43"/>
      <c r="U17" s="43"/>
    </row>
    <row r="18" spans="1:21" s="11" customFormat="1" x14ac:dyDescent="0.25">
      <c r="A18" s="51" t="s">
        <v>165</v>
      </c>
      <c r="B18" s="52">
        <v>10.63</v>
      </c>
      <c r="C18" s="52">
        <v>12.8</v>
      </c>
      <c r="D18" s="52">
        <v>15.21</v>
      </c>
      <c r="E18" s="52">
        <v>4.45</v>
      </c>
      <c r="F18" s="52">
        <v>17.760000000000002</v>
      </c>
      <c r="G18" s="52">
        <v>52.62</v>
      </c>
      <c r="H18" s="52">
        <v>9.1300000000000008</v>
      </c>
      <c r="I18" s="52">
        <v>1.68</v>
      </c>
      <c r="J18" s="52">
        <v>0.71</v>
      </c>
      <c r="K18" s="52">
        <v>340.54</v>
      </c>
      <c r="L18" s="52">
        <v>35.35</v>
      </c>
      <c r="M18" s="52">
        <v>77.319999999999993</v>
      </c>
      <c r="N18" s="52">
        <v>831.5</v>
      </c>
      <c r="O18" s="52">
        <v>0</v>
      </c>
      <c r="P18" s="52">
        <v>0.56000000000000005</v>
      </c>
      <c r="Q18" s="52">
        <v>9.14</v>
      </c>
      <c r="R18" s="43"/>
      <c r="S18" s="43"/>
      <c r="T18" s="43"/>
      <c r="U18" s="43"/>
    </row>
    <row r="19" spans="1:21" s="11" customFormat="1" x14ac:dyDescent="0.25">
      <c r="A19" s="51" t="s">
        <v>166</v>
      </c>
      <c r="B19" s="52">
        <v>10.039999999999999</v>
      </c>
      <c r="C19" s="52">
        <v>18.72</v>
      </c>
      <c r="D19" s="52">
        <v>17.829999999999998</v>
      </c>
      <c r="E19" s="52">
        <v>4.6399999999999997</v>
      </c>
      <c r="F19" s="52">
        <v>19.059999999999999</v>
      </c>
      <c r="G19" s="52">
        <v>65.92</v>
      </c>
      <c r="H19" s="52">
        <v>12.42</v>
      </c>
      <c r="I19" s="52">
        <v>1.78</v>
      </c>
      <c r="J19" s="52">
        <v>0.56999999999999995</v>
      </c>
      <c r="K19" s="52">
        <v>336.99</v>
      </c>
      <c r="L19" s="52">
        <v>35.700000000000003</v>
      </c>
      <c r="M19" s="52">
        <v>64.06</v>
      </c>
      <c r="N19" s="52">
        <v>763.7</v>
      </c>
      <c r="O19" s="52">
        <v>0</v>
      </c>
      <c r="P19" s="52">
        <v>0.64</v>
      </c>
      <c r="Q19" s="52">
        <v>9.14</v>
      </c>
      <c r="R19" s="43"/>
      <c r="S19" s="43"/>
      <c r="T19" s="43"/>
      <c r="U19" s="43"/>
    </row>
    <row r="20" spans="1:21" s="11" customFormat="1" x14ac:dyDescent="0.25">
      <c r="A20" s="51" t="s">
        <v>167</v>
      </c>
      <c r="B20" s="52">
        <v>9.64</v>
      </c>
      <c r="C20" s="52">
        <v>16.22</v>
      </c>
      <c r="D20" s="52">
        <v>16.2</v>
      </c>
      <c r="E20" s="52">
        <v>4.57</v>
      </c>
      <c r="F20" s="52">
        <v>19.440000000000001</v>
      </c>
      <c r="G20" s="52">
        <v>70.42</v>
      </c>
      <c r="H20" s="52">
        <v>12.37</v>
      </c>
      <c r="I20" s="52">
        <v>1.81</v>
      </c>
      <c r="J20" s="52">
        <v>0.5</v>
      </c>
      <c r="K20" s="52">
        <v>339.37</v>
      </c>
      <c r="L20" s="52">
        <v>33.42</v>
      </c>
      <c r="M20" s="52">
        <v>78.319999999999993</v>
      </c>
      <c r="N20" s="52">
        <v>542.9</v>
      </c>
      <c r="O20" s="52">
        <v>0</v>
      </c>
      <c r="P20" s="52">
        <v>0.55000000000000004</v>
      </c>
      <c r="Q20" s="52">
        <v>9.1199999999999992</v>
      </c>
      <c r="R20" s="43"/>
      <c r="S20" s="43"/>
      <c r="T20" s="43"/>
      <c r="U20" s="43"/>
    </row>
    <row r="21" spans="1:21" s="11" customFormat="1" x14ac:dyDescent="0.25">
      <c r="A21" s="51" t="s">
        <v>168</v>
      </c>
      <c r="B21" s="52">
        <v>15.96</v>
      </c>
      <c r="C21" s="52">
        <v>22.2</v>
      </c>
      <c r="D21" s="52">
        <v>23.14</v>
      </c>
      <c r="E21" s="52">
        <v>4.54</v>
      </c>
      <c r="F21" s="52">
        <v>13.63</v>
      </c>
      <c r="G21" s="52">
        <v>68.319999999999993</v>
      </c>
      <c r="H21" s="52">
        <v>15.09</v>
      </c>
      <c r="I21" s="52">
        <v>1.78</v>
      </c>
      <c r="J21" s="52">
        <v>0.31</v>
      </c>
      <c r="K21" s="52">
        <v>357.75</v>
      </c>
      <c r="L21" s="52">
        <v>30.5</v>
      </c>
      <c r="M21" s="52">
        <v>90.43</v>
      </c>
      <c r="N21" s="52">
        <v>326.8</v>
      </c>
      <c r="O21" s="52">
        <v>0</v>
      </c>
      <c r="P21" s="52">
        <v>0.69</v>
      </c>
      <c r="Q21" s="52">
        <v>9.1</v>
      </c>
      <c r="R21" s="43"/>
      <c r="S21" s="43"/>
      <c r="T21" s="43"/>
      <c r="U21" s="43"/>
    </row>
    <row r="22" spans="1:21" s="11" customFormat="1" x14ac:dyDescent="0.25">
      <c r="A22" s="51" t="s">
        <v>169</v>
      </c>
      <c r="B22" s="52">
        <v>11.12</v>
      </c>
      <c r="C22" s="52">
        <v>18.239999999999998</v>
      </c>
      <c r="D22" s="52">
        <v>18.45</v>
      </c>
      <c r="E22" s="52">
        <v>4.7699999999999996</v>
      </c>
      <c r="F22" s="52">
        <v>15.61</v>
      </c>
      <c r="G22" s="52">
        <v>76.89</v>
      </c>
      <c r="H22" s="52">
        <v>14.6</v>
      </c>
      <c r="I22" s="52">
        <v>1.73</v>
      </c>
      <c r="J22" s="52">
        <v>0.75</v>
      </c>
      <c r="K22" s="52">
        <v>137.44</v>
      </c>
      <c r="L22" s="52">
        <v>28.7</v>
      </c>
      <c r="M22" s="52">
        <v>87.26</v>
      </c>
      <c r="N22" s="52">
        <v>288</v>
      </c>
      <c r="O22" s="52">
        <v>0</v>
      </c>
      <c r="P22" s="52">
        <v>0.55000000000000004</v>
      </c>
      <c r="Q22" s="52">
        <v>9.15</v>
      </c>
      <c r="R22" s="43"/>
      <c r="S22" s="43"/>
      <c r="T22" s="43"/>
      <c r="U22" s="43"/>
    </row>
    <row r="23" spans="1:21" s="11" customFormat="1" x14ac:dyDescent="0.25">
      <c r="A23" s="51" t="s">
        <v>170</v>
      </c>
      <c r="B23" s="52">
        <v>15.85</v>
      </c>
      <c r="C23" s="52">
        <v>24.02</v>
      </c>
      <c r="D23" s="52">
        <v>24.49</v>
      </c>
      <c r="E23" s="52">
        <v>4.63</v>
      </c>
      <c r="F23" s="52">
        <v>16.399999999999999</v>
      </c>
      <c r="G23" s="52">
        <v>67.14</v>
      </c>
      <c r="H23" s="52">
        <v>13.56</v>
      </c>
      <c r="I23" s="52">
        <v>1.57</v>
      </c>
      <c r="J23" s="52">
        <v>0.18</v>
      </c>
      <c r="K23" s="52">
        <v>130.15</v>
      </c>
      <c r="L23" s="52">
        <v>29.36</v>
      </c>
      <c r="M23" s="52">
        <v>85.66</v>
      </c>
      <c r="N23" s="52">
        <v>253.1</v>
      </c>
      <c r="O23" s="52">
        <v>0</v>
      </c>
      <c r="P23" s="52">
        <v>0.79</v>
      </c>
      <c r="Q23" s="52">
        <v>9.15</v>
      </c>
      <c r="R23" s="43"/>
      <c r="S23" s="43"/>
      <c r="T23" s="43"/>
      <c r="U23" s="43"/>
    </row>
    <row r="24" spans="1:21" s="11" customFormat="1" x14ac:dyDescent="0.25">
      <c r="A24" s="51" t="s">
        <v>171</v>
      </c>
      <c r="B24" s="52">
        <v>16.12</v>
      </c>
      <c r="C24" s="52">
        <v>24.47</v>
      </c>
      <c r="D24" s="52">
        <v>25.17</v>
      </c>
      <c r="E24" s="52">
        <v>5.27</v>
      </c>
      <c r="F24" s="52">
        <v>16.149999999999999</v>
      </c>
      <c r="G24" s="52">
        <v>67.959999999999994</v>
      </c>
      <c r="H24" s="52">
        <v>12.57</v>
      </c>
      <c r="I24" s="52">
        <v>1.65</v>
      </c>
      <c r="J24" s="52">
        <v>0.18</v>
      </c>
      <c r="K24" s="52">
        <v>357.58</v>
      </c>
      <c r="L24" s="52">
        <v>29.6</v>
      </c>
      <c r="M24" s="52">
        <v>83.94</v>
      </c>
      <c r="N24" s="52">
        <v>195.9</v>
      </c>
      <c r="O24" s="52">
        <v>0</v>
      </c>
      <c r="P24" s="52">
        <v>0.85</v>
      </c>
      <c r="Q24" s="52">
        <v>9.1999999999999993</v>
      </c>
      <c r="R24" s="43"/>
      <c r="S24" s="43"/>
      <c r="T24" s="43"/>
      <c r="U24" s="43"/>
    </row>
    <row r="25" spans="1:21" s="11" customFormat="1" x14ac:dyDescent="0.25">
      <c r="A25" s="51" t="s">
        <v>172</v>
      </c>
      <c r="B25" s="52">
        <v>20.98</v>
      </c>
      <c r="C25" s="52">
        <v>27.36</v>
      </c>
      <c r="D25" s="52">
        <v>31.12</v>
      </c>
      <c r="E25" s="52">
        <v>5.95</v>
      </c>
      <c r="F25" s="52">
        <v>17.170000000000002</v>
      </c>
      <c r="G25" s="52">
        <v>69.36</v>
      </c>
      <c r="H25" s="52">
        <v>13.64</v>
      </c>
      <c r="I25" s="52">
        <v>1.77</v>
      </c>
      <c r="J25" s="52">
        <v>0.68</v>
      </c>
      <c r="K25" s="52">
        <v>340.75</v>
      </c>
      <c r="L25" s="52">
        <v>31.18</v>
      </c>
      <c r="M25" s="52">
        <v>79.98</v>
      </c>
      <c r="N25" s="52">
        <v>196.3</v>
      </c>
      <c r="O25" s="52">
        <v>0</v>
      </c>
      <c r="P25" s="52">
        <v>0.99</v>
      </c>
      <c r="Q25" s="52">
        <v>9.31</v>
      </c>
      <c r="R25" s="43"/>
      <c r="S25" s="43"/>
      <c r="T25" s="43"/>
      <c r="U25" s="43"/>
    </row>
    <row r="26" spans="1:21" s="11" customFormat="1" x14ac:dyDescent="0.25">
      <c r="A26" s="51" t="s">
        <v>173</v>
      </c>
      <c r="B26" s="52">
        <v>42.88</v>
      </c>
      <c r="C26" s="52">
        <v>23.79</v>
      </c>
      <c r="D26" s="52">
        <v>46.19</v>
      </c>
      <c r="E26" s="52">
        <v>5.97</v>
      </c>
      <c r="F26" s="52">
        <v>15.18</v>
      </c>
      <c r="G26" s="52">
        <v>65.78</v>
      </c>
      <c r="H26" s="52">
        <v>14.69</v>
      </c>
      <c r="I26" s="52">
        <v>1.95</v>
      </c>
      <c r="J26" s="52">
        <v>0.34</v>
      </c>
      <c r="K26" s="52">
        <v>338.79</v>
      </c>
      <c r="L26" s="52">
        <v>30.99</v>
      </c>
      <c r="M26" s="52">
        <v>80.52</v>
      </c>
      <c r="N26" s="52">
        <v>107</v>
      </c>
      <c r="O26" s="52">
        <v>0</v>
      </c>
      <c r="P26" s="52">
        <v>0.89</v>
      </c>
      <c r="Q26" s="52">
        <v>9.48</v>
      </c>
      <c r="R26" s="43"/>
      <c r="S26" s="43"/>
      <c r="T26" s="43"/>
      <c r="U26" s="43"/>
    </row>
    <row r="27" spans="1:21" s="11" customFormat="1" x14ac:dyDescent="0.25">
      <c r="A27" s="51" t="s">
        <v>174</v>
      </c>
      <c r="B27" s="52">
        <v>21.36</v>
      </c>
      <c r="C27" s="52">
        <v>26.16</v>
      </c>
      <c r="D27" s="52">
        <v>28.99</v>
      </c>
      <c r="E27" s="52">
        <v>5.7</v>
      </c>
      <c r="F27" s="52">
        <v>11.38</v>
      </c>
      <c r="G27" s="52">
        <v>80.03</v>
      </c>
      <c r="H27" s="52">
        <v>15.75</v>
      </c>
      <c r="I27" s="52">
        <v>2.04</v>
      </c>
      <c r="J27" s="52">
        <v>0.28000000000000003</v>
      </c>
      <c r="K27" s="52">
        <v>343.51</v>
      </c>
      <c r="L27" s="52">
        <v>29.3</v>
      </c>
      <c r="M27" s="52">
        <v>93.38</v>
      </c>
      <c r="N27" s="52">
        <v>70.599999999999994</v>
      </c>
      <c r="O27" s="52">
        <v>0</v>
      </c>
      <c r="P27" s="52">
        <v>1.1200000000000001</v>
      </c>
      <c r="Q27" s="52">
        <v>9.4499999999999993</v>
      </c>
      <c r="R27" s="43"/>
      <c r="S27" s="43"/>
      <c r="T27" s="43"/>
      <c r="U27" s="43"/>
    </row>
    <row r="28" spans="1:21" s="11" customFormat="1" x14ac:dyDescent="0.25">
      <c r="A28" s="51" t="s">
        <v>175</v>
      </c>
      <c r="B28" s="52">
        <v>17.25</v>
      </c>
      <c r="C28" s="52">
        <v>26.66</v>
      </c>
      <c r="D28" s="52">
        <v>27.76</v>
      </c>
      <c r="E28" s="52">
        <v>5.4</v>
      </c>
      <c r="F28" s="52">
        <v>9.48</v>
      </c>
      <c r="G28" s="52">
        <v>100.35</v>
      </c>
      <c r="H28" s="52">
        <v>16.059999999999999</v>
      </c>
      <c r="I28" s="52">
        <v>2.4700000000000002</v>
      </c>
      <c r="J28" s="52">
        <v>0.06</v>
      </c>
      <c r="K28" s="52">
        <v>324.63</v>
      </c>
      <c r="L28" s="52">
        <v>27.66</v>
      </c>
      <c r="M28" s="52">
        <v>96.19</v>
      </c>
      <c r="N28" s="52">
        <v>49.7</v>
      </c>
      <c r="O28" s="52">
        <v>0</v>
      </c>
      <c r="P28" s="52">
        <v>1.24</v>
      </c>
      <c r="Q28" s="52">
        <v>9.4499999999999993</v>
      </c>
      <c r="R28" s="43"/>
      <c r="S28" s="43"/>
      <c r="T28" s="43"/>
      <c r="U28" s="43"/>
    </row>
    <row r="29" spans="1:21" s="11" customFormat="1" x14ac:dyDescent="0.25">
      <c r="A29" s="51" t="s">
        <v>176</v>
      </c>
      <c r="B29" s="52">
        <v>28.3</v>
      </c>
      <c r="C29" s="52">
        <v>27.98</v>
      </c>
      <c r="D29" s="52">
        <v>32.46</v>
      </c>
      <c r="E29" s="52">
        <v>5.69</v>
      </c>
      <c r="F29" s="52">
        <v>6.83</v>
      </c>
      <c r="G29" s="52">
        <v>96.69</v>
      </c>
      <c r="H29" s="52">
        <v>17.62</v>
      </c>
      <c r="I29" s="52">
        <v>2.84</v>
      </c>
      <c r="J29" s="52">
        <v>0.13</v>
      </c>
      <c r="K29" s="52">
        <v>336.5</v>
      </c>
      <c r="L29" s="52">
        <v>26.99</v>
      </c>
      <c r="M29" s="52">
        <v>96.97</v>
      </c>
      <c r="N29" s="52">
        <v>49.6</v>
      </c>
      <c r="O29" s="52">
        <v>0</v>
      </c>
      <c r="P29" s="52">
        <v>1.52</v>
      </c>
      <c r="Q29" s="52">
        <v>9.4600000000000009</v>
      </c>
      <c r="R29" s="43"/>
      <c r="S29" s="43"/>
      <c r="T29" s="43"/>
      <c r="U29" s="43"/>
    </row>
    <row r="30" spans="1:21" s="11" customFormat="1" x14ac:dyDescent="0.25">
      <c r="A30" s="51" t="s">
        <v>177</v>
      </c>
      <c r="B30" s="52">
        <v>19.809999999999999</v>
      </c>
      <c r="C30" s="52">
        <v>26.47</v>
      </c>
      <c r="D30" s="52">
        <v>27.46</v>
      </c>
      <c r="E30" s="52">
        <v>5.36</v>
      </c>
      <c r="F30" s="52">
        <v>8.33</v>
      </c>
      <c r="G30" s="52">
        <v>89.87</v>
      </c>
      <c r="H30" s="52">
        <v>18.239999999999998</v>
      </c>
      <c r="I30" s="52">
        <v>2.98</v>
      </c>
      <c r="J30" s="52">
        <v>0.08</v>
      </c>
      <c r="K30" s="52">
        <v>328.97</v>
      </c>
      <c r="L30" s="52">
        <v>26.6</v>
      </c>
      <c r="M30" s="52">
        <v>97.58</v>
      </c>
      <c r="N30" s="52">
        <v>49.5</v>
      </c>
      <c r="O30" s="52">
        <v>0</v>
      </c>
      <c r="P30" s="52">
        <v>0.75</v>
      </c>
      <c r="Q30" s="52">
        <v>9.5</v>
      </c>
      <c r="R30" s="43"/>
      <c r="S30" s="43"/>
      <c r="T30" s="43"/>
      <c r="U30" s="43"/>
    </row>
    <row r="31" spans="1:21" s="11" customFormat="1" x14ac:dyDescent="0.25">
      <c r="A31" s="51" t="s">
        <v>178</v>
      </c>
      <c r="B31" s="52">
        <v>37.979999999999997</v>
      </c>
      <c r="C31" s="52">
        <v>20.16</v>
      </c>
      <c r="D31" s="52">
        <v>39.5</v>
      </c>
      <c r="E31" s="52">
        <v>5.64</v>
      </c>
      <c r="F31" s="52">
        <v>4.93</v>
      </c>
      <c r="G31" s="52">
        <v>86.67</v>
      </c>
      <c r="H31" s="52">
        <v>18.670000000000002</v>
      </c>
      <c r="I31" s="52">
        <v>2.93</v>
      </c>
      <c r="J31" s="52">
        <v>0.19</v>
      </c>
      <c r="K31" s="52">
        <v>343.25</v>
      </c>
      <c r="L31" s="52">
        <v>26.12</v>
      </c>
      <c r="M31" s="52">
        <v>97.71</v>
      </c>
      <c r="N31" s="52">
        <v>49.6</v>
      </c>
      <c r="O31" s="52">
        <v>0</v>
      </c>
      <c r="P31" s="52">
        <v>1.39</v>
      </c>
      <c r="Q31" s="52">
        <v>9.6</v>
      </c>
      <c r="R31" s="43"/>
      <c r="S31" s="43"/>
      <c r="T31" s="43"/>
      <c r="U31" s="43"/>
    </row>
    <row r="32" spans="1:21" s="11" customFormat="1" x14ac:dyDescent="0.25">
      <c r="A32" s="51" t="s">
        <v>179</v>
      </c>
      <c r="B32" s="52">
        <v>12.43</v>
      </c>
      <c r="C32" s="52">
        <v>18.760000000000002</v>
      </c>
      <c r="D32" s="52">
        <v>19.77</v>
      </c>
      <c r="E32" s="52">
        <v>5.29</v>
      </c>
      <c r="F32" s="52">
        <v>7.28</v>
      </c>
      <c r="G32" s="52">
        <v>87.85</v>
      </c>
      <c r="H32" s="52">
        <v>16.38</v>
      </c>
      <c r="I32" s="52">
        <v>2.9</v>
      </c>
      <c r="J32" s="52">
        <v>0.1</v>
      </c>
      <c r="K32" s="52">
        <v>344.62</v>
      </c>
      <c r="L32" s="52">
        <v>25.58</v>
      </c>
      <c r="M32" s="52">
        <v>97.7</v>
      </c>
      <c r="N32" s="52">
        <v>49.6</v>
      </c>
      <c r="O32" s="52">
        <v>0.2</v>
      </c>
      <c r="P32" s="52">
        <v>0.57999999999999996</v>
      </c>
      <c r="Q32" s="52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4.9800000000000004</v>
      </c>
      <c r="C34" s="28">
        <f t="shared" si="0"/>
        <v>9.5</v>
      </c>
      <c r="D34" s="28">
        <f t="shared" si="0"/>
        <v>8.44</v>
      </c>
      <c r="E34" s="28">
        <f t="shared" si="0"/>
        <v>4.45</v>
      </c>
      <c r="F34" s="28">
        <f t="shared" si="0"/>
        <v>4.93</v>
      </c>
      <c r="G34" s="28">
        <f t="shared" si="0"/>
        <v>46.27</v>
      </c>
      <c r="H34" s="28">
        <f t="shared" si="0"/>
        <v>7.81</v>
      </c>
      <c r="I34" s="28">
        <f t="shared" si="0"/>
        <v>1.32</v>
      </c>
      <c r="J34" s="28">
        <f t="shared" si="0"/>
        <v>0.06</v>
      </c>
      <c r="K34" s="28">
        <f t="shared" si="0"/>
        <v>130.15</v>
      </c>
      <c r="L34" s="28">
        <f t="shared" si="0"/>
        <v>24.49</v>
      </c>
      <c r="M34" s="28">
        <f t="shared" si="0"/>
        <v>64.06</v>
      </c>
      <c r="N34" s="28">
        <f t="shared" si="0"/>
        <v>49.5</v>
      </c>
      <c r="O34" s="28">
        <f t="shared" si="0"/>
        <v>0</v>
      </c>
      <c r="P34" s="28">
        <f t="shared" si="0"/>
        <v>0.17</v>
      </c>
      <c r="Q34" s="28">
        <f t="shared" si="0"/>
        <v>9.1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42.88</v>
      </c>
      <c r="C35" s="29">
        <f t="shared" si="1"/>
        <v>27.98</v>
      </c>
      <c r="D35" s="29">
        <f t="shared" si="1"/>
        <v>46.19</v>
      </c>
      <c r="E35" s="29">
        <f t="shared" si="1"/>
        <v>5.97</v>
      </c>
      <c r="F35" s="29">
        <f t="shared" si="1"/>
        <v>19.440000000000001</v>
      </c>
      <c r="G35" s="29">
        <f t="shared" si="1"/>
        <v>100.35</v>
      </c>
      <c r="H35" s="29">
        <f t="shared" si="1"/>
        <v>18.670000000000002</v>
      </c>
      <c r="I35" s="29">
        <f t="shared" si="1"/>
        <v>2.98</v>
      </c>
      <c r="J35" s="29">
        <f t="shared" si="1"/>
        <v>0.75</v>
      </c>
      <c r="K35" s="29">
        <f t="shared" si="1"/>
        <v>357.75</v>
      </c>
      <c r="L35" s="29">
        <f t="shared" si="1"/>
        <v>35.700000000000003</v>
      </c>
      <c r="M35" s="29">
        <f t="shared" si="1"/>
        <v>98.42</v>
      </c>
      <c r="N35" s="29">
        <f t="shared" si="1"/>
        <v>831.5</v>
      </c>
      <c r="O35" s="29">
        <f t="shared" si="1"/>
        <v>0.2</v>
      </c>
      <c r="P35" s="29">
        <f t="shared" si="1"/>
        <v>1.52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14.692083333333334</v>
      </c>
      <c r="C36" s="28">
        <f t="shared" si="2"/>
        <v>18.422916666666673</v>
      </c>
      <c r="D36" s="28">
        <f t="shared" si="2"/>
        <v>20.706666666666663</v>
      </c>
      <c r="E36" s="28">
        <f t="shared" si="2"/>
        <v>5.142500000000001</v>
      </c>
      <c r="F36" s="28">
        <f t="shared" si="2"/>
        <v>12.092916666666667</v>
      </c>
      <c r="G36" s="28">
        <f t="shared" si="2"/>
        <v>66.132916666666674</v>
      </c>
      <c r="H36" s="28">
        <f t="shared" si="2"/>
        <v>13.559583333333334</v>
      </c>
      <c r="I36" s="28">
        <f t="shared" si="2"/>
        <v>1.9316666666666664</v>
      </c>
      <c r="J36" s="28">
        <f t="shared" si="2"/>
        <v>0.2558333333333333</v>
      </c>
      <c r="K36" s="28">
        <f t="shared" si="2"/>
        <v>304.5958333333333</v>
      </c>
      <c r="L36" s="28">
        <f t="shared" si="2"/>
        <v>28.430000000000003</v>
      </c>
      <c r="M36" s="28">
        <f t="shared" si="2"/>
        <v>91.122499999999988</v>
      </c>
      <c r="N36" s="28">
        <f t="shared" si="2"/>
        <v>232.77916666666673</v>
      </c>
      <c r="O36" s="28">
        <f t="shared" si="2"/>
        <v>1.6666666666666666E-2</v>
      </c>
      <c r="P36" s="28">
        <f t="shared" si="2"/>
        <v>0.64875000000000005</v>
      </c>
      <c r="Q36" s="28">
        <f t="shared" si="2"/>
        <v>9.2633333333333319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9.9876919817938106</v>
      </c>
      <c r="C37" s="28">
        <f t="shared" ref="C37:Q37" si="3">STDEV(C9:C32)</f>
        <v>6.3310178309148748</v>
      </c>
      <c r="D37" s="28">
        <f t="shared" si="3"/>
        <v>10.055876787780104</v>
      </c>
      <c r="E37" s="28">
        <f t="shared" si="3"/>
        <v>0.4524450483087758</v>
      </c>
      <c r="F37" s="28">
        <f t="shared" si="3"/>
        <v>4.1511794857833326</v>
      </c>
      <c r="G37" s="28">
        <f t="shared" si="3"/>
        <v>17.181761938087131</v>
      </c>
      <c r="H37" s="28">
        <f t="shared" si="3"/>
        <v>2.997985525339451</v>
      </c>
      <c r="I37" s="28">
        <f t="shared" si="3"/>
        <v>0.50876377594139521</v>
      </c>
      <c r="J37" s="28">
        <f t="shared" si="3"/>
        <v>0.22037353006571186</v>
      </c>
      <c r="K37" s="28">
        <f t="shared" si="3"/>
        <v>67.776539606374911</v>
      </c>
      <c r="L37" s="28">
        <f t="shared" si="3"/>
        <v>3.2933754324599063</v>
      </c>
      <c r="M37" s="28">
        <f t="shared" si="3"/>
        <v>9.3641412475652857</v>
      </c>
      <c r="N37" s="28">
        <f t="shared" si="3"/>
        <v>234.74670526773735</v>
      </c>
      <c r="O37" s="28">
        <f t="shared" si="3"/>
        <v>5.6465970257327996E-2</v>
      </c>
      <c r="P37" s="28">
        <f t="shared" si="3"/>
        <v>0.39163328565736416</v>
      </c>
      <c r="Q37" s="28">
        <f t="shared" si="3"/>
        <v>0.17048949136725902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14" sqref="F14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180</v>
      </c>
      <c r="B9" s="52">
        <v>7.3</v>
      </c>
      <c r="C9" s="52">
        <v>14.88</v>
      </c>
      <c r="D9" s="52">
        <v>13.62</v>
      </c>
      <c r="E9" s="52">
        <v>4.57</v>
      </c>
      <c r="F9" s="52">
        <v>9.33</v>
      </c>
      <c r="G9" s="52">
        <v>82.6</v>
      </c>
      <c r="H9" s="52">
        <v>13.54</v>
      </c>
      <c r="I9" s="52">
        <v>2.75</v>
      </c>
      <c r="J9" s="52">
        <v>0.14000000000000001</v>
      </c>
      <c r="K9" s="52">
        <v>345.98</v>
      </c>
      <c r="L9" s="52">
        <v>25.46</v>
      </c>
      <c r="M9" s="52">
        <v>97.7</v>
      </c>
      <c r="N9" s="52">
        <v>49.7</v>
      </c>
      <c r="O9" s="52">
        <v>0</v>
      </c>
      <c r="P9" s="52">
        <v>0.28999999999999998</v>
      </c>
      <c r="Q9" s="52">
        <v>9.6199999999999992</v>
      </c>
      <c r="R9" s="43"/>
      <c r="S9" s="43"/>
      <c r="T9" s="43"/>
      <c r="U9" s="43"/>
    </row>
    <row r="10" spans="1:21" s="11" customFormat="1" x14ac:dyDescent="0.25">
      <c r="A10" s="51" t="s">
        <v>181</v>
      </c>
      <c r="B10" s="52">
        <v>8.58</v>
      </c>
      <c r="C10" s="52">
        <v>6.43</v>
      </c>
      <c r="D10" s="52">
        <v>9.85</v>
      </c>
      <c r="E10" s="52">
        <v>4.75</v>
      </c>
      <c r="F10" s="52">
        <v>9.56</v>
      </c>
      <c r="G10" s="52">
        <v>69.290000000000006</v>
      </c>
      <c r="H10" s="52">
        <v>13.49</v>
      </c>
      <c r="I10" s="52">
        <v>2.52</v>
      </c>
      <c r="J10" s="52">
        <v>0.19</v>
      </c>
      <c r="K10" s="52">
        <v>271.31</v>
      </c>
      <c r="L10" s="52">
        <v>25.35</v>
      </c>
      <c r="M10" s="52">
        <v>97.69</v>
      </c>
      <c r="N10" s="52">
        <v>50.1</v>
      </c>
      <c r="O10" s="52">
        <v>0</v>
      </c>
      <c r="P10" s="52">
        <v>0.22</v>
      </c>
      <c r="Q10" s="52">
        <v>9.56</v>
      </c>
      <c r="R10" s="43"/>
      <c r="S10" s="43"/>
      <c r="T10" s="43"/>
      <c r="U10" s="43"/>
    </row>
    <row r="11" spans="1:21" s="11" customFormat="1" x14ac:dyDescent="0.25">
      <c r="A11" s="51" t="s">
        <v>182</v>
      </c>
      <c r="B11" s="52">
        <v>7.87</v>
      </c>
      <c r="C11" s="52">
        <v>6.56</v>
      </c>
      <c r="D11" s="52">
        <v>9.74</v>
      </c>
      <c r="E11" s="52">
        <v>4.74</v>
      </c>
      <c r="F11" s="52">
        <v>8.84</v>
      </c>
      <c r="G11" s="52">
        <v>49.61</v>
      </c>
      <c r="H11" s="52">
        <v>12.78</v>
      </c>
      <c r="I11" s="52">
        <v>2.2799999999999998</v>
      </c>
      <c r="J11" s="52">
        <v>0.1</v>
      </c>
      <c r="K11" s="52">
        <v>344.01</v>
      </c>
      <c r="L11" s="52">
        <v>25.09</v>
      </c>
      <c r="M11" s="52">
        <v>97.7</v>
      </c>
      <c r="N11" s="52">
        <v>50.5</v>
      </c>
      <c r="O11" s="52">
        <v>0</v>
      </c>
      <c r="P11" s="52">
        <v>0.18</v>
      </c>
      <c r="Q11" s="52">
        <v>9.5</v>
      </c>
      <c r="R11" s="43"/>
      <c r="S11" s="43"/>
      <c r="T11" s="43"/>
      <c r="U11" s="43"/>
    </row>
    <row r="12" spans="1:21" s="11" customFormat="1" x14ac:dyDescent="0.25">
      <c r="A12" s="51" t="s">
        <v>183</v>
      </c>
      <c r="B12" s="52">
        <v>6.83</v>
      </c>
      <c r="C12" s="52">
        <v>10.57</v>
      </c>
      <c r="D12" s="52">
        <v>10.32</v>
      </c>
      <c r="E12" s="52">
        <v>4.6100000000000003</v>
      </c>
      <c r="F12" s="52">
        <v>7.5</v>
      </c>
      <c r="G12" s="52">
        <v>34.76</v>
      </c>
      <c r="H12" s="52">
        <v>10.39</v>
      </c>
      <c r="I12" s="52">
        <v>2.1</v>
      </c>
      <c r="J12" s="52">
        <v>0.1</v>
      </c>
      <c r="K12" s="52">
        <v>352.91</v>
      </c>
      <c r="L12" s="52">
        <v>24.77</v>
      </c>
      <c r="M12" s="52">
        <v>97.75</v>
      </c>
      <c r="N12" s="52">
        <v>50.5</v>
      </c>
      <c r="O12" s="52">
        <v>0</v>
      </c>
      <c r="P12" s="52">
        <v>0.2</v>
      </c>
      <c r="Q12" s="52">
        <v>9.44</v>
      </c>
      <c r="R12" s="43"/>
      <c r="S12" s="43"/>
      <c r="T12" s="43"/>
      <c r="U12" s="43"/>
    </row>
    <row r="13" spans="1:21" s="11" customFormat="1" x14ac:dyDescent="0.25">
      <c r="A13" s="51" t="s">
        <v>184</v>
      </c>
      <c r="B13" s="52">
        <v>13.46</v>
      </c>
      <c r="C13" s="52">
        <v>11</v>
      </c>
      <c r="D13" s="52">
        <v>15.89</v>
      </c>
      <c r="E13" s="52">
        <v>4.74</v>
      </c>
      <c r="F13" s="52">
        <v>7.43</v>
      </c>
      <c r="G13" s="52">
        <v>32.6</v>
      </c>
      <c r="H13" s="52">
        <v>8.19</v>
      </c>
      <c r="I13" s="52">
        <v>1.87</v>
      </c>
      <c r="J13" s="52">
        <v>0.04</v>
      </c>
      <c r="K13" s="52">
        <v>296.39999999999998</v>
      </c>
      <c r="L13" s="52">
        <v>24.87</v>
      </c>
      <c r="M13" s="52">
        <v>97.75</v>
      </c>
      <c r="N13" s="52">
        <v>50.7</v>
      </c>
      <c r="O13" s="52">
        <v>0</v>
      </c>
      <c r="P13" s="52">
        <v>0.27</v>
      </c>
      <c r="Q13" s="52">
        <v>9.39</v>
      </c>
      <c r="R13" s="43"/>
      <c r="S13" s="43"/>
      <c r="T13" s="43"/>
      <c r="U13" s="43"/>
    </row>
    <row r="14" spans="1:21" s="11" customFormat="1" x14ac:dyDescent="0.25">
      <c r="A14" s="51" t="s">
        <v>185</v>
      </c>
      <c r="B14" s="52">
        <v>12.56</v>
      </c>
      <c r="C14" s="52">
        <v>10.57</v>
      </c>
      <c r="D14" s="52">
        <v>15.42</v>
      </c>
      <c r="E14" s="52">
        <v>4.5</v>
      </c>
      <c r="F14" s="52">
        <v>6.04</v>
      </c>
      <c r="G14" s="52">
        <v>37.380000000000003</v>
      </c>
      <c r="H14" s="52">
        <v>8.33</v>
      </c>
      <c r="I14" s="52">
        <v>1.71</v>
      </c>
      <c r="J14" s="52">
        <v>0.06</v>
      </c>
      <c r="K14" s="52">
        <v>317.24</v>
      </c>
      <c r="L14" s="52">
        <v>24.91</v>
      </c>
      <c r="M14" s="52">
        <v>97.75</v>
      </c>
      <c r="N14" s="52">
        <v>68.3</v>
      </c>
      <c r="O14" s="52">
        <v>0</v>
      </c>
      <c r="P14" s="52">
        <v>0.32</v>
      </c>
      <c r="Q14" s="52">
        <v>9.39</v>
      </c>
      <c r="R14" s="43"/>
      <c r="S14" s="43"/>
      <c r="T14" s="43"/>
      <c r="U14" s="43"/>
    </row>
    <row r="15" spans="1:21" s="11" customFormat="1" x14ac:dyDescent="0.25">
      <c r="A15" s="51" t="s">
        <v>186</v>
      </c>
      <c r="B15" s="52">
        <v>14.76</v>
      </c>
      <c r="C15" s="52">
        <v>9.77</v>
      </c>
      <c r="D15" s="52">
        <v>16.940000000000001</v>
      </c>
      <c r="E15" s="52">
        <v>4.59</v>
      </c>
      <c r="F15" s="52">
        <v>6.78</v>
      </c>
      <c r="G15" s="52">
        <v>41.77</v>
      </c>
      <c r="H15" s="52">
        <v>9.58</v>
      </c>
      <c r="I15" s="52">
        <v>1.6</v>
      </c>
      <c r="J15" s="52">
        <v>0.1</v>
      </c>
      <c r="K15" s="52">
        <v>311.39</v>
      </c>
      <c r="L15" s="52">
        <v>26.33</v>
      </c>
      <c r="M15" s="52">
        <v>97.71</v>
      </c>
      <c r="N15" s="52">
        <v>198.2</v>
      </c>
      <c r="O15" s="52">
        <v>0</v>
      </c>
      <c r="P15" s="52">
        <v>0.43</v>
      </c>
      <c r="Q15" s="52">
        <v>9.44</v>
      </c>
      <c r="R15" s="43"/>
      <c r="S15" s="43"/>
      <c r="T15" s="43"/>
      <c r="U15" s="43"/>
    </row>
    <row r="16" spans="1:21" s="11" customFormat="1" x14ac:dyDescent="0.25">
      <c r="A16" s="51" t="s">
        <v>187</v>
      </c>
      <c r="B16" s="52">
        <v>16.91</v>
      </c>
      <c r="C16" s="52">
        <v>11.8</v>
      </c>
      <c r="D16" s="52">
        <v>19.72</v>
      </c>
      <c r="E16" s="52">
        <v>5.18</v>
      </c>
      <c r="F16" s="52">
        <v>10.5</v>
      </c>
      <c r="G16" s="52">
        <v>51.77</v>
      </c>
      <c r="H16" s="52">
        <v>9.0399999999999991</v>
      </c>
      <c r="I16" s="52">
        <v>1.63</v>
      </c>
      <c r="J16" s="52">
        <v>0.43</v>
      </c>
      <c r="K16" s="52">
        <v>334.6</v>
      </c>
      <c r="L16" s="52">
        <v>32.89</v>
      </c>
      <c r="M16" s="52">
        <v>97.06</v>
      </c>
      <c r="N16" s="52">
        <v>472.6</v>
      </c>
      <c r="O16" s="52">
        <v>0</v>
      </c>
      <c r="P16" s="52">
        <v>0.46</v>
      </c>
      <c r="Q16" s="52">
        <v>9.4600000000000009</v>
      </c>
      <c r="R16" s="43"/>
      <c r="S16" s="43"/>
      <c r="T16" s="43"/>
      <c r="U16" s="43"/>
    </row>
    <row r="17" spans="1:21" s="11" customFormat="1" x14ac:dyDescent="0.25">
      <c r="A17" s="51" t="s">
        <v>188</v>
      </c>
      <c r="B17" s="52">
        <v>17.239999999999998</v>
      </c>
      <c r="C17" s="52">
        <v>13.78</v>
      </c>
      <c r="D17" s="52">
        <v>21.03</v>
      </c>
      <c r="E17" s="52">
        <v>5.1100000000000003</v>
      </c>
      <c r="F17" s="52">
        <v>14.09</v>
      </c>
      <c r="G17" s="52">
        <v>71.16</v>
      </c>
      <c r="H17" s="52">
        <v>11.45</v>
      </c>
      <c r="I17" s="52">
        <v>1.7</v>
      </c>
      <c r="J17" s="52">
        <v>0.43</v>
      </c>
      <c r="K17" s="52">
        <v>346.99</v>
      </c>
      <c r="L17" s="52">
        <v>35.020000000000003</v>
      </c>
      <c r="M17" s="52">
        <v>71.959999999999994</v>
      </c>
      <c r="N17" s="52">
        <v>693.1</v>
      </c>
      <c r="O17" s="52">
        <v>0</v>
      </c>
      <c r="P17" s="52">
        <v>0.49</v>
      </c>
      <c r="Q17" s="52">
        <v>9.48</v>
      </c>
      <c r="R17" s="43"/>
      <c r="S17" s="43"/>
      <c r="T17" s="43"/>
      <c r="U17" s="43"/>
    </row>
    <row r="18" spans="1:21" s="11" customFormat="1" x14ac:dyDescent="0.25">
      <c r="A18" s="51" t="s">
        <v>189</v>
      </c>
      <c r="B18" s="52">
        <v>14.13</v>
      </c>
      <c r="C18" s="52">
        <v>14.21</v>
      </c>
      <c r="D18" s="52">
        <v>18.66</v>
      </c>
      <c r="E18" s="52">
        <v>5.3</v>
      </c>
      <c r="F18" s="52">
        <v>15.13</v>
      </c>
      <c r="G18" s="52">
        <v>77.41</v>
      </c>
      <c r="H18" s="52">
        <v>14.53</v>
      </c>
      <c r="I18" s="52">
        <v>1.7</v>
      </c>
      <c r="J18" s="52">
        <v>0.56999999999999995</v>
      </c>
      <c r="K18" s="52">
        <v>354.62</v>
      </c>
      <c r="L18" s="52">
        <v>35.450000000000003</v>
      </c>
      <c r="M18" s="52">
        <v>59.68</v>
      </c>
      <c r="N18" s="52">
        <v>819.5</v>
      </c>
      <c r="O18" s="52">
        <v>0</v>
      </c>
      <c r="P18" s="52">
        <v>0.52</v>
      </c>
      <c r="Q18" s="52">
        <v>9.48</v>
      </c>
      <c r="R18" s="43"/>
      <c r="S18" s="43"/>
      <c r="T18" s="43"/>
      <c r="U18" s="43"/>
    </row>
    <row r="19" spans="1:21" s="11" customFormat="1" x14ac:dyDescent="0.25">
      <c r="A19" s="51" t="s">
        <v>190</v>
      </c>
      <c r="B19" s="52">
        <v>13.31</v>
      </c>
      <c r="C19" s="52">
        <v>20.77</v>
      </c>
      <c r="D19" s="52">
        <v>18.16</v>
      </c>
      <c r="E19" s="52">
        <v>5.29</v>
      </c>
      <c r="F19" s="52">
        <v>16.079999999999998</v>
      </c>
      <c r="G19" s="52">
        <v>84.07</v>
      </c>
      <c r="H19" s="52">
        <v>15.41</v>
      </c>
      <c r="I19" s="52">
        <v>1.69</v>
      </c>
      <c r="J19" s="52">
        <v>0.81</v>
      </c>
      <c r="K19" s="52">
        <v>336.4</v>
      </c>
      <c r="L19" s="52">
        <v>36.33</v>
      </c>
      <c r="M19" s="52">
        <v>55.57</v>
      </c>
      <c r="N19" s="52">
        <v>963.5</v>
      </c>
      <c r="O19" s="52">
        <v>0</v>
      </c>
      <c r="P19" s="52">
        <v>0.62</v>
      </c>
      <c r="Q19" s="52">
        <v>9.4600000000000009</v>
      </c>
      <c r="R19" s="43"/>
      <c r="S19" s="43"/>
      <c r="T19" s="43"/>
      <c r="U19" s="43"/>
    </row>
    <row r="20" spans="1:21" s="11" customFormat="1" x14ac:dyDescent="0.25">
      <c r="A20" s="51" t="s">
        <v>191</v>
      </c>
      <c r="B20" s="52">
        <v>13.77</v>
      </c>
      <c r="C20" s="52">
        <v>60.64</v>
      </c>
      <c r="D20" s="52">
        <v>37.56</v>
      </c>
      <c r="E20" s="52">
        <v>5.63</v>
      </c>
      <c r="F20" s="52">
        <v>13.84</v>
      </c>
      <c r="G20" s="52">
        <v>2</v>
      </c>
      <c r="H20" s="52">
        <v>1</v>
      </c>
      <c r="I20" s="52">
        <v>1.63</v>
      </c>
      <c r="J20" s="52">
        <v>0.63</v>
      </c>
      <c r="K20" s="52">
        <v>331.21</v>
      </c>
      <c r="L20" s="52">
        <v>36.71</v>
      </c>
      <c r="M20" s="52">
        <v>51.44</v>
      </c>
      <c r="N20" s="52">
        <v>936.2</v>
      </c>
      <c r="O20" s="52">
        <v>0</v>
      </c>
      <c r="P20" s="52">
        <v>0.57999999999999996</v>
      </c>
      <c r="Q20" s="52">
        <v>9.3000000000000007</v>
      </c>
      <c r="R20" s="43"/>
      <c r="S20" s="43"/>
      <c r="T20" s="43"/>
      <c r="U20" s="43"/>
    </row>
    <row r="21" spans="1:21" s="11" customFormat="1" x14ac:dyDescent="0.25">
      <c r="A21" s="51" t="s">
        <v>192</v>
      </c>
      <c r="B21" s="52">
        <v>12.17</v>
      </c>
      <c r="C21" s="52">
        <v>29.88</v>
      </c>
      <c r="D21" s="52">
        <v>21.49</v>
      </c>
      <c r="E21" s="52">
        <v>5.67</v>
      </c>
      <c r="F21" s="52">
        <v>22.23</v>
      </c>
      <c r="G21" s="52">
        <v>74.67</v>
      </c>
      <c r="H21" s="52">
        <v>19.27</v>
      </c>
      <c r="I21" s="52">
        <v>1.55</v>
      </c>
      <c r="J21" s="52">
        <v>0.91</v>
      </c>
      <c r="K21" s="52">
        <v>340.98</v>
      </c>
      <c r="L21" s="52">
        <v>36.22</v>
      </c>
      <c r="M21" s="52">
        <v>51.26</v>
      </c>
      <c r="N21" s="52">
        <v>900.3</v>
      </c>
      <c r="O21" s="52">
        <v>0</v>
      </c>
      <c r="P21" s="52">
        <v>0.54</v>
      </c>
      <c r="Q21" s="52">
        <v>9.27</v>
      </c>
      <c r="R21" s="43"/>
      <c r="S21" s="43"/>
      <c r="T21" s="43"/>
      <c r="U21" s="43"/>
    </row>
    <row r="22" spans="1:21" s="11" customFormat="1" x14ac:dyDescent="0.25">
      <c r="A22" s="51" t="s">
        <v>193</v>
      </c>
      <c r="B22" s="52">
        <v>8.64</v>
      </c>
      <c r="C22" s="52">
        <v>23.18</v>
      </c>
      <c r="D22" s="52">
        <v>16.07</v>
      </c>
      <c r="E22" s="52">
        <v>5.38</v>
      </c>
      <c r="F22" s="52">
        <v>15.12</v>
      </c>
      <c r="G22" s="52">
        <v>77.88</v>
      </c>
      <c r="H22" s="52">
        <v>19.27</v>
      </c>
      <c r="I22" s="52">
        <v>1.45</v>
      </c>
      <c r="J22" s="52">
        <v>1.28</v>
      </c>
      <c r="K22" s="52">
        <v>335.14</v>
      </c>
      <c r="L22" s="52">
        <v>35.49</v>
      </c>
      <c r="M22" s="52">
        <v>49.81</v>
      </c>
      <c r="N22" s="52">
        <v>376.4</v>
      </c>
      <c r="O22" s="52">
        <v>0</v>
      </c>
      <c r="P22" s="52">
        <v>0.45</v>
      </c>
      <c r="Q22" s="52">
        <v>9.1999999999999993</v>
      </c>
      <c r="R22" s="43"/>
      <c r="S22" s="43"/>
      <c r="T22" s="43"/>
      <c r="U22" s="43"/>
    </row>
    <row r="23" spans="1:21" s="11" customFormat="1" x14ac:dyDescent="0.25">
      <c r="A23" s="51" t="s">
        <v>194</v>
      </c>
      <c r="B23" s="52">
        <v>14.72</v>
      </c>
      <c r="C23" s="52">
        <v>18.190000000000001</v>
      </c>
      <c r="D23" s="52">
        <v>21.17</v>
      </c>
      <c r="E23" s="52">
        <v>4.97</v>
      </c>
      <c r="F23" s="52">
        <v>19.07</v>
      </c>
      <c r="G23" s="52">
        <v>77.88</v>
      </c>
      <c r="H23" s="52">
        <v>15.19</v>
      </c>
      <c r="I23" s="52">
        <v>1.22</v>
      </c>
      <c r="J23" s="52">
        <v>0.94</v>
      </c>
      <c r="K23" s="52">
        <v>341.43</v>
      </c>
      <c r="L23" s="52">
        <v>35.07</v>
      </c>
      <c r="M23" s="52">
        <v>67.11</v>
      </c>
      <c r="N23" s="52">
        <v>304.7</v>
      </c>
      <c r="O23" s="52">
        <v>0</v>
      </c>
      <c r="P23" s="52">
        <v>0.41</v>
      </c>
      <c r="Q23" s="52">
        <v>9.17</v>
      </c>
      <c r="R23" s="43"/>
      <c r="S23" s="43"/>
      <c r="T23" s="43"/>
      <c r="U23" s="43"/>
    </row>
    <row r="24" spans="1:21" s="11" customFormat="1" x14ac:dyDescent="0.25">
      <c r="A24" s="51" t="s">
        <v>195</v>
      </c>
      <c r="B24" s="52">
        <v>14.15</v>
      </c>
      <c r="C24" s="52">
        <v>18.95</v>
      </c>
      <c r="D24" s="52">
        <v>21.25</v>
      </c>
      <c r="E24" s="52">
        <v>5.08</v>
      </c>
      <c r="F24" s="52">
        <v>19.66</v>
      </c>
      <c r="G24" s="52">
        <v>78.86</v>
      </c>
      <c r="H24" s="52">
        <v>15.26</v>
      </c>
      <c r="I24" s="52">
        <v>1.05</v>
      </c>
      <c r="J24" s="52">
        <v>0.81</v>
      </c>
      <c r="K24" s="52">
        <v>123.77</v>
      </c>
      <c r="L24" s="52">
        <v>32.35</v>
      </c>
      <c r="M24" s="52">
        <v>71.41</v>
      </c>
      <c r="N24" s="52">
        <v>248.6</v>
      </c>
      <c r="O24" s="52">
        <v>0</v>
      </c>
      <c r="P24" s="52">
        <v>0.45</v>
      </c>
      <c r="Q24" s="52">
        <v>9.1199999999999992</v>
      </c>
      <c r="R24" s="43"/>
      <c r="S24" s="43"/>
      <c r="T24" s="43"/>
      <c r="U24" s="43"/>
    </row>
    <row r="25" spans="1:21" s="11" customFormat="1" x14ac:dyDescent="0.25">
      <c r="A25" s="51" t="s">
        <v>196</v>
      </c>
      <c r="B25" s="52">
        <v>7.53</v>
      </c>
      <c r="C25" s="52">
        <v>14.53</v>
      </c>
      <c r="D25" s="52">
        <v>12.57</v>
      </c>
      <c r="E25" s="52">
        <v>4.7300000000000004</v>
      </c>
      <c r="F25" s="52">
        <v>20.04</v>
      </c>
      <c r="G25" s="52">
        <v>78.86</v>
      </c>
      <c r="H25" s="52">
        <v>15.26</v>
      </c>
      <c r="I25" s="52">
        <v>1.08</v>
      </c>
      <c r="J25" s="52">
        <v>0.96</v>
      </c>
      <c r="K25" s="52">
        <v>318.73</v>
      </c>
      <c r="L25" s="52">
        <v>30.79</v>
      </c>
      <c r="M25" s="52">
        <v>82.68</v>
      </c>
      <c r="N25" s="52">
        <v>128.1</v>
      </c>
      <c r="O25" s="52">
        <v>0</v>
      </c>
      <c r="P25" s="52">
        <v>0.3</v>
      </c>
      <c r="Q25" s="52">
        <v>9.1199999999999992</v>
      </c>
      <c r="R25" s="43"/>
      <c r="S25" s="43"/>
      <c r="T25" s="43"/>
      <c r="U25" s="43"/>
    </row>
    <row r="26" spans="1:21" s="11" customFormat="1" x14ac:dyDescent="0.25">
      <c r="A26" s="51" t="s">
        <v>197</v>
      </c>
      <c r="B26" s="52">
        <v>13.14</v>
      </c>
      <c r="C26" s="52">
        <v>13.07</v>
      </c>
      <c r="D26" s="52">
        <v>17.239999999999998</v>
      </c>
      <c r="E26" s="52">
        <v>4.6500000000000004</v>
      </c>
      <c r="F26" s="52">
        <v>10.78</v>
      </c>
      <c r="G26" s="52">
        <v>66.45</v>
      </c>
      <c r="H26" s="52">
        <v>13.34</v>
      </c>
      <c r="I26" s="52">
        <v>1</v>
      </c>
      <c r="J26" s="52">
        <v>0.62</v>
      </c>
      <c r="K26" s="52">
        <v>358.41</v>
      </c>
      <c r="L26" s="52">
        <v>28.71</v>
      </c>
      <c r="M26" s="52">
        <v>97.76</v>
      </c>
      <c r="N26" s="52">
        <v>66.099999999999994</v>
      </c>
      <c r="O26" s="52">
        <v>0</v>
      </c>
      <c r="P26" s="52">
        <v>0.39</v>
      </c>
      <c r="Q26" s="52">
        <v>9.1</v>
      </c>
      <c r="R26" s="43"/>
      <c r="S26" s="43"/>
      <c r="T26" s="43"/>
      <c r="U26" s="43"/>
    </row>
    <row r="27" spans="1:21" s="11" customFormat="1" x14ac:dyDescent="0.25">
      <c r="A27" s="51" t="s">
        <v>198</v>
      </c>
      <c r="B27" s="52">
        <v>6.99</v>
      </c>
      <c r="C27" s="52">
        <v>9.5399999999999991</v>
      </c>
      <c r="D27" s="52">
        <v>10.53</v>
      </c>
      <c r="E27" s="52">
        <v>4.57</v>
      </c>
      <c r="F27" s="52">
        <v>3.32</v>
      </c>
      <c r="G27" s="52">
        <v>66.45</v>
      </c>
      <c r="H27" s="52">
        <v>13.34</v>
      </c>
      <c r="I27" s="52">
        <v>0.99</v>
      </c>
      <c r="J27" s="52">
        <v>1.52</v>
      </c>
      <c r="K27" s="52">
        <v>142.69999999999999</v>
      </c>
      <c r="L27" s="52">
        <v>23.05</v>
      </c>
      <c r="M27" s="52">
        <v>97.78</v>
      </c>
      <c r="N27" s="52">
        <v>61.5</v>
      </c>
      <c r="O27" s="52">
        <v>0</v>
      </c>
      <c r="P27" s="52">
        <v>0.27</v>
      </c>
      <c r="Q27" s="52">
        <v>9.1</v>
      </c>
      <c r="R27" s="43"/>
      <c r="S27" s="43"/>
      <c r="T27" s="43"/>
      <c r="U27" s="43"/>
    </row>
    <row r="28" spans="1:21" s="11" customFormat="1" x14ac:dyDescent="0.25">
      <c r="A28" s="51" t="s">
        <v>199</v>
      </c>
      <c r="B28" s="52">
        <v>6.71</v>
      </c>
      <c r="C28" s="52">
        <v>9.81</v>
      </c>
      <c r="D28" s="52">
        <v>10.39</v>
      </c>
      <c r="E28" s="52">
        <v>4.57</v>
      </c>
      <c r="F28" s="52">
        <v>4.67</v>
      </c>
      <c r="G28" s="52">
        <v>45.53</v>
      </c>
      <c r="H28" s="52">
        <v>9.65</v>
      </c>
      <c r="I28" s="52">
        <v>1.02</v>
      </c>
      <c r="J28" s="52">
        <v>0.4</v>
      </c>
      <c r="K28" s="52">
        <v>323.77</v>
      </c>
      <c r="L28" s="52">
        <v>22.43</v>
      </c>
      <c r="M28" s="52">
        <v>97.75</v>
      </c>
      <c r="N28" s="52">
        <v>58.9</v>
      </c>
      <c r="O28" s="52">
        <v>0</v>
      </c>
      <c r="P28" s="52">
        <v>0.23</v>
      </c>
      <c r="Q28" s="52">
        <v>9.1199999999999992</v>
      </c>
      <c r="R28" s="43"/>
      <c r="S28" s="43"/>
      <c r="T28" s="43"/>
      <c r="U28" s="43"/>
    </row>
    <row r="29" spans="1:21" s="11" customFormat="1" x14ac:dyDescent="0.25">
      <c r="A29" s="51" t="s">
        <v>200</v>
      </c>
      <c r="B29" s="52">
        <v>9.64</v>
      </c>
      <c r="C29" s="52">
        <v>14.31</v>
      </c>
      <c r="D29" s="52">
        <v>15.21</v>
      </c>
      <c r="E29" s="52">
        <v>4.3600000000000003</v>
      </c>
      <c r="F29" s="52">
        <v>6.04</v>
      </c>
      <c r="G29" s="52">
        <v>29.31</v>
      </c>
      <c r="H29" s="52">
        <v>9.11</v>
      </c>
      <c r="I29" s="52">
        <v>1.1000000000000001</v>
      </c>
      <c r="J29" s="52">
        <v>0.27</v>
      </c>
      <c r="K29" s="52">
        <v>334.57</v>
      </c>
      <c r="L29" s="52">
        <v>22.6</v>
      </c>
      <c r="M29" s="52">
        <v>97.78</v>
      </c>
      <c r="N29" s="52">
        <v>59</v>
      </c>
      <c r="O29" s="52">
        <v>0</v>
      </c>
      <c r="P29" s="52">
        <v>0.36</v>
      </c>
      <c r="Q29" s="52">
        <v>9.1300000000000008</v>
      </c>
      <c r="R29" s="43"/>
      <c r="S29" s="43"/>
      <c r="T29" s="43"/>
      <c r="U29" s="43"/>
    </row>
    <row r="30" spans="1:21" s="11" customFormat="1" x14ac:dyDescent="0.25">
      <c r="A30" s="51" t="s">
        <v>201</v>
      </c>
      <c r="B30" s="52">
        <v>9.3000000000000007</v>
      </c>
      <c r="C30" s="52">
        <v>11.53</v>
      </c>
      <c r="D30" s="52">
        <v>13.15</v>
      </c>
      <c r="E30" s="52">
        <v>4.71</v>
      </c>
      <c r="F30" s="52">
        <v>7.88</v>
      </c>
      <c r="G30" s="52">
        <v>24.94</v>
      </c>
      <c r="H30" s="52">
        <v>6.62</v>
      </c>
      <c r="I30" s="52">
        <v>0.99</v>
      </c>
      <c r="J30" s="52">
        <v>0.14000000000000001</v>
      </c>
      <c r="K30" s="52">
        <v>327.54000000000002</v>
      </c>
      <c r="L30" s="52">
        <v>23.24</v>
      </c>
      <c r="M30" s="52">
        <v>97.76</v>
      </c>
      <c r="N30" s="52">
        <v>59</v>
      </c>
      <c r="O30" s="52">
        <v>0</v>
      </c>
      <c r="P30" s="52">
        <v>0.31</v>
      </c>
      <c r="Q30" s="52">
        <v>9.1300000000000008</v>
      </c>
      <c r="R30" s="43"/>
      <c r="S30" s="43"/>
      <c r="T30" s="43"/>
      <c r="U30" s="43"/>
    </row>
    <row r="31" spans="1:21" s="11" customFormat="1" x14ac:dyDescent="0.25">
      <c r="A31" s="51" t="s">
        <v>202</v>
      </c>
      <c r="B31" s="52">
        <v>8.89</v>
      </c>
      <c r="C31" s="52">
        <v>11.48</v>
      </c>
      <c r="D31" s="52">
        <v>13.13</v>
      </c>
      <c r="E31" s="52">
        <v>4.4000000000000004</v>
      </c>
      <c r="F31" s="52">
        <v>6.94</v>
      </c>
      <c r="G31" s="52">
        <v>24.92</v>
      </c>
      <c r="H31" s="52">
        <v>4.9000000000000004</v>
      </c>
      <c r="I31" s="52">
        <v>0.98</v>
      </c>
      <c r="J31" s="52">
        <v>7.0000000000000007E-2</v>
      </c>
      <c r="K31" s="52">
        <v>188.67</v>
      </c>
      <c r="L31" s="52">
        <v>23.26</v>
      </c>
      <c r="M31" s="52">
        <v>97.78</v>
      </c>
      <c r="N31" s="52">
        <v>59.1</v>
      </c>
      <c r="O31" s="52">
        <v>0</v>
      </c>
      <c r="P31" s="52">
        <v>0.23</v>
      </c>
      <c r="Q31" s="52">
        <v>9.14</v>
      </c>
      <c r="R31" s="43"/>
      <c r="S31" s="43"/>
      <c r="T31" s="43"/>
      <c r="U31" s="43"/>
    </row>
    <row r="32" spans="1:21" s="11" customFormat="1" x14ac:dyDescent="0.25">
      <c r="A32" s="51" t="s">
        <v>203</v>
      </c>
      <c r="B32" s="52">
        <v>7.21</v>
      </c>
      <c r="C32" s="52">
        <v>7.72</v>
      </c>
      <c r="D32" s="52">
        <v>9.7799999999999994</v>
      </c>
      <c r="E32" s="52">
        <v>5.43</v>
      </c>
      <c r="F32" s="52">
        <v>8.89</v>
      </c>
      <c r="G32" s="52">
        <v>17.760000000000002</v>
      </c>
      <c r="H32" s="52">
        <v>4.46</v>
      </c>
      <c r="I32" s="52">
        <v>1.04</v>
      </c>
      <c r="J32" s="52">
        <v>0.22</v>
      </c>
      <c r="K32" s="52">
        <v>300.86</v>
      </c>
      <c r="L32" s="52">
        <v>23.48</v>
      </c>
      <c r="M32" s="52">
        <v>97.76</v>
      </c>
      <c r="N32" s="52">
        <v>59.4</v>
      </c>
      <c r="O32" s="52">
        <v>0</v>
      </c>
      <c r="P32" s="52">
        <v>0.18</v>
      </c>
      <c r="Q32" s="52">
        <v>9.17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6.71</v>
      </c>
      <c r="C34" s="28">
        <f t="shared" si="0"/>
        <v>6.43</v>
      </c>
      <c r="D34" s="28">
        <f t="shared" si="0"/>
        <v>9.74</v>
      </c>
      <c r="E34" s="28">
        <f t="shared" si="0"/>
        <v>4.3600000000000003</v>
      </c>
      <c r="F34" s="28">
        <f t="shared" si="0"/>
        <v>3.32</v>
      </c>
      <c r="G34" s="28">
        <f t="shared" si="0"/>
        <v>2</v>
      </c>
      <c r="H34" s="28">
        <f t="shared" si="0"/>
        <v>1</v>
      </c>
      <c r="I34" s="28">
        <f t="shared" si="0"/>
        <v>0.98</v>
      </c>
      <c r="J34" s="28">
        <f t="shared" si="0"/>
        <v>0.04</v>
      </c>
      <c r="K34" s="28">
        <f t="shared" si="0"/>
        <v>123.77</v>
      </c>
      <c r="L34" s="28">
        <f t="shared" si="0"/>
        <v>22.43</v>
      </c>
      <c r="M34" s="28">
        <f t="shared" si="0"/>
        <v>49.81</v>
      </c>
      <c r="N34" s="28">
        <f t="shared" si="0"/>
        <v>49.7</v>
      </c>
      <c r="O34" s="28">
        <f t="shared" si="0"/>
        <v>0</v>
      </c>
      <c r="P34" s="28">
        <f t="shared" si="0"/>
        <v>0.18</v>
      </c>
      <c r="Q34" s="28">
        <f t="shared" si="0"/>
        <v>9.1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17.239999999999998</v>
      </c>
      <c r="C35" s="29">
        <f t="shared" si="1"/>
        <v>60.64</v>
      </c>
      <c r="D35" s="29">
        <f t="shared" si="1"/>
        <v>37.56</v>
      </c>
      <c r="E35" s="29">
        <f t="shared" si="1"/>
        <v>5.67</v>
      </c>
      <c r="F35" s="29">
        <f t="shared" si="1"/>
        <v>22.23</v>
      </c>
      <c r="G35" s="29">
        <f t="shared" si="1"/>
        <v>84.07</v>
      </c>
      <c r="H35" s="29">
        <f t="shared" si="1"/>
        <v>19.27</v>
      </c>
      <c r="I35" s="29">
        <f t="shared" si="1"/>
        <v>2.75</v>
      </c>
      <c r="J35" s="29">
        <f t="shared" si="1"/>
        <v>1.52</v>
      </c>
      <c r="K35" s="29">
        <f t="shared" si="1"/>
        <v>358.41</v>
      </c>
      <c r="L35" s="29">
        <f t="shared" si="1"/>
        <v>36.71</v>
      </c>
      <c r="M35" s="29">
        <f t="shared" si="1"/>
        <v>97.78</v>
      </c>
      <c r="N35" s="29">
        <f t="shared" si="1"/>
        <v>963.5</v>
      </c>
      <c r="O35" s="29">
        <f t="shared" si="1"/>
        <v>0</v>
      </c>
      <c r="P35" s="29">
        <f t="shared" si="1"/>
        <v>0.62</v>
      </c>
      <c r="Q35" s="29">
        <f t="shared" si="1"/>
        <v>9.6199999999999992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11.075416666666667</v>
      </c>
      <c r="C36" s="28">
        <f t="shared" si="2"/>
        <v>15.54875</v>
      </c>
      <c r="D36" s="28">
        <f t="shared" si="2"/>
        <v>16.203749999999996</v>
      </c>
      <c r="E36" s="28">
        <f t="shared" si="2"/>
        <v>4.8970833333333337</v>
      </c>
      <c r="F36" s="28">
        <f t="shared" si="2"/>
        <v>11.239999999999997</v>
      </c>
      <c r="G36" s="28">
        <f t="shared" si="2"/>
        <v>54.080416666666657</v>
      </c>
      <c r="H36" s="28">
        <f t="shared" si="2"/>
        <v>11.391666666666666</v>
      </c>
      <c r="I36" s="28">
        <f t="shared" si="2"/>
        <v>1.5270833333333333</v>
      </c>
      <c r="J36" s="28">
        <f t="shared" si="2"/>
        <v>0.48916666666666669</v>
      </c>
      <c r="K36" s="28">
        <f t="shared" si="2"/>
        <v>307.48458333333332</v>
      </c>
      <c r="L36" s="28">
        <f t="shared" si="2"/>
        <v>28.744583333333335</v>
      </c>
      <c r="M36" s="28">
        <f t="shared" si="2"/>
        <v>84.433333333333323</v>
      </c>
      <c r="N36" s="28">
        <f t="shared" si="2"/>
        <v>282.66666666666669</v>
      </c>
      <c r="O36" s="28">
        <f t="shared" si="2"/>
        <v>0</v>
      </c>
      <c r="P36" s="28">
        <f t="shared" si="2"/>
        <v>0.36250000000000004</v>
      </c>
      <c r="Q36" s="28">
        <f t="shared" si="2"/>
        <v>9.3037499999999991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3.4341633740563542</v>
      </c>
      <c r="C37" s="28">
        <f t="shared" ref="C37:Q37" si="3">STDEV(C9:C32)</f>
        <v>11.03635939992658</v>
      </c>
      <c r="D37" s="28">
        <f t="shared" si="3"/>
        <v>6.0637574894865764</v>
      </c>
      <c r="E37" s="28">
        <f t="shared" si="3"/>
        <v>0.39112412315036876</v>
      </c>
      <c r="F37" s="28">
        <f t="shared" si="3"/>
        <v>5.3388583700686638</v>
      </c>
      <c r="G37" s="28">
        <f t="shared" si="3"/>
        <v>24.298035254113554</v>
      </c>
      <c r="H37" s="28">
        <f t="shared" si="3"/>
        <v>4.5284315997509799</v>
      </c>
      <c r="I37" s="28">
        <f t="shared" si="3"/>
        <v>0.51073245924606803</v>
      </c>
      <c r="J37" s="28">
        <f t="shared" si="3"/>
        <v>0.41828757183739429</v>
      </c>
      <c r="K37" s="28">
        <f t="shared" si="3"/>
        <v>64.120740046935623</v>
      </c>
      <c r="L37" s="28">
        <f t="shared" si="3"/>
        <v>5.3821702259014064</v>
      </c>
      <c r="M37" s="28">
        <f t="shared" si="3"/>
        <v>18.768583756689896</v>
      </c>
      <c r="N37" s="28">
        <f t="shared" si="3"/>
        <v>327.57238916753579</v>
      </c>
      <c r="O37" s="28">
        <f t="shared" si="3"/>
        <v>0</v>
      </c>
      <c r="P37" s="28">
        <f t="shared" si="3"/>
        <v>0.13152120014262531</v>
      </c>
      <c r="Q37" s="28">
        <f t="shared" si="3"/>
        <v>0.1727479314668833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14" sqref="F14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204</v>
      </c>
      <c r="B9" s="52">
        <v>7.14</v>
      </c>
      <c r="C9" s="52">
        <v>7.13</v>
      </c>
      <c r="D9" s="52">
        <v>9.17</v>
      </c>
      <c r="E9" s="52">
        <v>5.53</v>
      </c>
      <c r="F9" s="52">
        <v>9.02</v>
      </c>
      <c r="G9" s="52">
        <v>17.760000000000002</v>
      </c>
      <c r="H9" s="52">
        <v>4.55</v>
      </c>
      <c r="I9" s="52">
        <v>1.05</v>
      </c>
      <c r="J9" s="52">
        <v>0.4</v>
      </c>
      <c r="K9" s="52">
        <v>139.1</v>
      </c>
      <c r="L9" s="52">
        <v>23.51</v>
      </c>
      <c r="M9" s="52">
        <v>97.89</v>
      </c>
      <c r="N9" s="52">
        <v>59.1</v>
      </c>
      <c r="O9" s="52">
        <v>0</v>
      </c>
      <c r="P9" s="52">
        <v>0.16</v>
      </c>
      <c r="Q9" s="52">
        <v>9.18</v>
      </c>
      <c r="R9" s="43"/>
      <c r="S9" s="43"/>
      <c r="T9" s="43"/>
      <c r="U9" s="43"/>
    </row>
    <row r="10" spans="1:21" s="11" customFormat="1" x14ac:dyDescent="0.25">
      <c r="A10" s="51" t="s">
        <v>205</v>
      </c>
      <c r="B10" s="52">
        <v>7.97</v>
      </c>
      <c r="C10" s="52">
        <v>6.44</v>
      </c>
      <c r="D10" s="52">
        <v>9.7100000000000009</v>
      </c>
      <c r="E10" s="52">
        <v>5.41</v>
      </c>
      <c r="F10" s="52">
        <v>8.4499999999999993</v>
      </c>
      <c r="G10" s="52">
        <v>15.75</v>
      </c>
      <c r="H10" s="52">
        <v>4.55</v>
      </c>
      <c r="I10" s="52">
        <v>1.04</v>
      </c>
      <c r="J10" s="52">
        <v>0.31</v>
      </c>
      <c r="K10" s="52">
        <v>153.59</v>
      </c>
      <c r="L10" s="52">
        <v>23.53</v>
      </c>
      <c r="M10" s="52">
        <v>97.99</v>
      </c>
      <c r="N10" s="52">
        <v>59.1</v>
      </c>
      <c r="O10" s="52">
        <v>0</v>
      </c>
      <c r="P10" s="52">
        <v>0.24</v>
      </c>
      <c r="Q10" s="52">
        <v>9.16</v>
      </c>
      <c r="R10" s="43"/>
      <c r="S10" s="43"/>
      <c r="T10" s="43"/>
      <c r="U10" s="43"/>
    </row>
    <row r="11" spans="1:21" s="11" customFormat="1" x14ac:dyDescent="0.25">
      <c r="A11" s="51" t="s">
        <v>206</v>
      </c>
      <c r="B11" s="52">
        <v>7.12</v>
      </c>
      <c r="C11" s="52">
        <v>6.73</v>
      </c>
      <c r="D11" s="52">
        <v>8.91</v>
      </c>
      <c r="E11" s="52">
        <v>5.3</v>
      </c>
      <c r="F11" s="52">
        <v>7.73</v>
      </c>
      <c r="G11" s="52">
        <v>13.18</v>
      </c>
      <c r="H11" s="52">
        <v>4.5199999999999996</v>
      </c>
      <c r="I11" s="52">
        <v>0.94</v>
      </c>
      <c r="J11" s="52">
        <v>0.22</v>
      </c>
      <c r="K11" s="52">
        <v>321.2</v>
      </c>
      <c r="L11" s="52">
        <v>23.66</v>
      </c>
      <c r="M11" s="52">
        <v>97.92</v>
      </c>
      <c r="N11" s="52">
        <v>59.1</v>
      </c>
      <c r="O11" s="52">
        <v>0</v>
      </c>
      <c r="P11" s="52">
        <v>0.21</v>
      </c>
      <c r="Q11" s="52">
        <v>9.1300000000000008</v>
      </c>
      <c r="R11" s="43"/>
      <c r="S11" s="43"/>
      <c r="T11" s="43"/>
      <c r="U11" s="43"/>
    </row>
    <row r="12" spans="1:21" s="11" customFormat="1" x14ac:dyDescent="0.25">
      <c r="A12" s="51" t="s">
        <v>207</v>
      </c>
      <c r="B12" s="52">
        <v>7.08</v>
      </c>
      <c r="C12" s="52">
        <v>7.38</v>
      </c>
      <c r="D12" s="52">
        <v>8.9700000000000006</v>
      </c>
      <c r="E12" s="52">
        <v>5.37</v>
      </c>
      <c r="F12" s="52">
        <v>8.7200000000000006</v>
      </c>
      <c r="G12" s="52">
        <v>13.37</v>
      </c>
      <c r="H12" s="52">
        <v>4.5199999999999996</v>
      </c>
      <c r="I12" s="52">
        <v>0.9</v>
      </c>
      <c r="J12" s="52">
        <v>7.0000000000000007E-2</v>
      </c>
      <c r="K12" s="52">
        <v>295.05</v>
      </c>
      <c r="L12" s="52">
        <v>23.84</v>
      </c>
      <c r="M12" s="52">
        <v>97.93</v>
      </c>
      <c r="N12" s="52">
        <v>59.1</v>
      </c>
      <c r="O12" s="52">
        <v>0</v>
      </c>
      <c r="P12" s="52">
        <v>0.2</v>
      </c>
      <c r="Q12" s="52">
        <v>9.1300000000000008</v>
      </c>
      <c r="R12" s="43"/>
      <c r="S12" s="43"/>
      <c r="T12" s="43"/>
      <c r="U12" s="43"/>
    </row>
    <row r="13" spans="1:21" s="11" customFormat="1" x14ac:dyDescent="0.25">
      <c r="A13" s="51" t="s">
        <v>208</v>
      </c>
      <c r="B13" s="52">
        <v>8.1999999999999993</v>
      </c>
      <c r="C13" s="52">
        <v>8.07</v>
      </c>
      <c r="D13" s="52">
        <v>10.78</v>
      </c>
      <c r="E13" s="52">
        <v>5.73</v>
      </c>
      <c r="F13" s="52">
        <v>7.74</v>
      </c>
      <c r="G13" s="52">
        <v>13.37</v>
      </c>
      <c r="H13" s="52">
        <v>3.43</v>
      </c>
      <c r="I13" s="52">
        <v>0.86</v>
      </c>
      <c r="J13" s="52">
        <v>0.14000000000000001</v>
      </c>
      <c r="K13" s="52">
        <v>314.76</v>
      </c>
      <c r="L13" s="52">
        <v>23.99</v>
      </c>
      <c r="M13" s="52">
        <v>97.92</v>
      </c>
      <c r="N13" s="52">
        <v>59.1</v>
      </c>
      <c r="O13" s="52">
        <v>0</v>
      </c>
      <c r="P13" s="52">
        <v>0.21</v>
      </c>
      <c r="Q13" s="52">
        <v>9.16</v>
      </c>
      <c r="R13" s="43"/>
      <c r="S13" s="43"/>
      <c r="T13" s="43"/>
      <c r="U13" s="43"/>
    </row>
    <row r="14" spans="1:21" s="11" customFormat="1" x14ac:dyDescent="0.25">
      <c r="A14" s="51" t="s">
        <v>209</v>
      </c>
      <c r="B14" s="52">
        <v>13.76</v>
      </c>
      <c r="C14" s="52">
        <v>10.17</v>
      </c>
      <c r="D14" s="52">
        <v>16.350000000000001</v>
      </c>
      <c r="E14" s="52">
        <v>5.42</v>
      </c>
      <c r="F14" s="52">
        <v>5.4</v>
      </c>
      <c r="G14" s="52">
        <v>18.03</v>
      </c>
      <c r="H14" s="52">
        <v>2.5</v>
      </c>
      <c r="I14" s="52">
        <v>0.88</v>
      </c>
      <c r="J14" s="52">
        <v>0.22</v>
      </c>
      <c r="K14" s="52">
        <v>315.43</v>
      </c>
      <c r="L14" s="52">
        <v>24.16</v>
      </c>
      <c r="M14" s="52">
        <v>97.9</v>
      </c>
      <c r="N14" s="52">
        <v>81.599999999999994</v>
      </c>
      <c r="O14" s="52">
        <v>0</v>
      </c>
      <c r="P14" s="52">
        <v>0.41</v>
      </c>
      <c r="Q14" s="52">
        <v>9.17</v>
      </c>
      <c r="R14" s="43"/>
      <c r="S14" s="43"/>
      <c r="T14" s="43"/>
      <c r="U14" s="43"/>
    </row>
    <row r="15" spans="1:21" s="11" customFormat="1" x14ac:dyDescent="0.25">
      <c r="A15" s="51" t="s">
        <v>210</v>
      </c>
      <c r="B15" s="52">
        <v>12.22</v>
      </c>
      <c r="C15" s="52">
        <v>7.86</v>
      </c>
      <c r="D15" s="52">
        <v>13.9</v>
      </c>
      <c r="E15" s="52">
        <v>5.49</v>
      </c>
      <c r="F15" s="52">
        <v>4.47</v>
      </c>
      <c r="G15" s="52">
        <v>27.45</v>
      </c>
      <c r="H15" s="52">
        <v>2.5099999999999998</v>
      </c>
      <c r="I15" s="52">
        <v>1.1599999999999999</v>
      </c>
      <c r="J15" s="52">
        <v>0.88</v>
      </c>
      <c r="K15" s="52">
        <v>332.22</v>
      </c>
      <c r="L15" s="52">
        <v>27.05</v>
      </c>
      <c r="M15" s="52">
        <v>97.9</v>
      </c>
      <c r="N15" s="52">
        <v>274.60000000000002</v>
      </c>
      <c r="O15" s="52">
        <v>0</v>
      </c>
      <c r="P15" s="52">
        <v>0.31</v>
      </c>
      <c r="Q15" s="52">
        <v>9.1999999999999993</v>
      </c>
      <c r="R15" s="43"/>
      <c r="S15" s="43"/>
      <c r="T15" s="43"/>
      <c r="U15" s="43"/>
    </row>
    <row r="16" spans="1:21" s="11" customFormat="1" x14ac:dyDescent="0.25">
      <c r="A16" s="51" t="s">
        <v>211</v>
      </c>
      <c r="B16" s="52">
        <v>16.45</v>
      </c>
      <c r="C16" s="52">
        <v>11.1</v>
      </c>
      <c r="D16" s="52">
        <v>18.989999999999998</v>
      </c>
      <c r="E16" s="52">
        <v>5.46</v>
      </c>
      <c r="F16" s="52">
        <v>8.6999999999999993</v>
      </c>
      <c r="G16" s="52">
        <v>41.38</v>
      </c>
      <c r="H16" s="52">
        <v>5.76</v>
      </c>
      <c r="I16" s="52">
        <v>1.35</v>
      </c>
      <c r="J16" s="52">
        <v>0.9</v>
      </c>
      <c r="K16" s="52">
        <v>335.31</v>
      </c>
      <c r="L16" s="52">
        <v>28.87</v>
      </c>
      <c r="M16" s="52">
        <v>95.8</v>
      </c>
      <c r="N16" s="52">
        <v>290.7</v>
      </c>
      <c r="O16" s="52">
        <v>0</v>
      </c>
      <c r="P16" s="52">
        <v>0.49</v>
      </c>
      <c r="Q16" s="52">
        <v>9.26</v>
      </c>
      <c r="R16" s="43"/>
      <c r="S16" s="43"/>
      <c r="T16" s="43"/>
      <c r="U16" s="43"/>
    </row>
    <row r="17" spans="1:21" s="11" customFormat="1" x14ac:dyDescent="0.25">
      <c r="A17" s="51" t="s">
        <v>212</v>
      </c>
      <c r="B17" s="52">
        <v>16.600000000000001</v>
      </c>
      <c r="C17" s="52">
        <v>14.3</v>
      </c>
      <c r="D17" s="52">
        <v>20.78</v>
      </c>
      <c r="E17" s="52">
        <v>3.77</v>
      </c>
      <c r="F17" s="52">
        <v>9.2899999999999991</v>
      </c>
      <c r="G17" s="52">
        <v>46.74</v>
      </c>
      <c r="H17" s="52">
        <v>5.76</v>
      </c>
      <c r="I17" s="52">
        <v>1.4</v>
      </c>
      <c r="J17" s="52">
        <v>0.18</v>
      </c>
      <c r="K17" s="52">
        <v>319.91000000000003</v>
      </c>
      <c r="L17" s="52">
        <v>29.24</v>
      </c>
      <c r="M17" s="52">
        <v>95.18</v>
      </c>
      <c r="N17" s="52">
        <v>302</v>
      </c>
      <c r="O17" s="52">
        <v>0</v>
      </c>
      <c r="P17" s="52">
        <v>0.54</v>
      </c>
      <c r="Q17" s="52">
        <v>9.35</v>
      </c>
      <c r="R17" s="43"/>
      <c r="S17" s="43"/>
      <c r="T17" s="43"/>
      <c r="U17" s="43"/>
    </row>
    <row r="18" spans="1:21" s="11" customFormat="1" x14ac:dyDescent="0.25">
      <c r="A18" s="51" t="s">
        <v>213</v>
      </c>
      <c r="B18" s="52">
        <v>17.34</v>
      </c>
      <c r="C18" s="52">
        <v>13.75</v>
      </c>
      <c r="D18" s="52">
        <v>20.85</v>
      </c>
      <c r="E18" s="52">
        <v>3.93</v>
      </c>
      <c r="F18" s="52">
        <v>9.23</v>
      </c>
      <c r="G18" s="52">
        <v>54</v>
      </c>
      <c r="H18" s="52">
        <v>6.62</v>
      </c>
      <c r="I18" s="52">
        <v>1.49</v>
      </c>
      <c r="J18" s="52">
        <v>0.83</v>
      </c>
      <c r="K18" s="52">
        <v>336</v>
      </c>
      <c r="L18" s="52">
        <v>31.97</v>
      </c>
      <c r="M18" s="52">
        <v>93.55</v>
      </c>
      <c r="N18" s="52">
        <v>730.7</v>
      </c>
      <c r="O18" s="52">
        <v>0</v>
      </c>
      <c r="P18" s="52">
        <v>0.55000000000000004</v>
      </c>
      <c r="Q18" s="52">
        <v>9.3699999999999992</v>
      </c>
      <c r="R18" s="43"/>
      <c r="S18" s="43"/>
      <c r="T18" s="43"/>
      <c r="U18" s="43"/>
    </row>
    <row r="19" spans="1:21" s="11" customFormat="1" x14ac:dyDescent="0.25">
      <c r="A19" s="51" t="s">
        <v>214</v>
      </c>
      <c r="B19" s="52">
        <v>13.24</v>
      </c>
      <c r="C19" s="52">
        <v>17.440000000000001</v>
      </c>
      <c r="D19" s="52">
        <v>17.53</v>
      </c>
      <c r="E19" s="52">
        <v>3.66</v>
      </c>
      <c r="F19" s="52">
        <v>13.64</v>
      </c>
      <c r="G19" s="52">
        <v>60.16</v>
      </c>
      <c r="H19" s="52">
        <v>8.84</v>
      </c>
      <c r="I19" s="52">
        <v>1.5</v>
      </c>
      <c r="J19" s="52">
        <v>0.98</v>
      </c>
      <c r="K19" s="52">
        <v>335.41</v>
      </c>
      <c r="L19" s="52">
        <v>36.06</v>
      </c>
      <c r="M19" s="52">
        <v>64.89</v>
      </c>
      <c r="N19" s="52">
        <v>949.6</v>
      </c>
      <c r="O19" s="52">
        <v>0</v>
      </c>
      <c r="P19" s="52">
        <v>0.5</v>
      </c>
      <c r="Q19" s="52">
        <v>9.36</v>
      </c>
      <c r="R19" s="43"/>
      <c r="S19" s="43"/>
      <c r="T19" s="43"/>
      <c r="U19" s="43"/>
    </row>
    <row r="20" spans="1:21" s="11" customFormat="1" x14ac:dyDescent="0.25">
      <c r="A20" s="51" t="s">
        <v>215</v>
      </c>
      <c r="B20" s="52">
        <v>9.98</v>
      </c>
      <c r="C20" s="52">
        <v>16.86</v>
      </c>
      <c r="D20" s="52">
        <v>15.98</v>
      </c>
      <c r="E20" s="52">
        <v>3.73</v>
      </c>
      <c r="F20" s="52">
        <v>10.95</v>
      </c>
      <c r="G20" s="52">
        <v>63.12</v>
      </c>
      <c r="H20" s="52">
        <v>8.84</v>
      </c>
      <c r="I20" s="52">
        <v>1.36</v>
      </c>
      <c r="J20" s="52">
        <v>1.1599999999999999</v>
      </c>
      <c r="K20" s="52">
        <v>333.42</v>
      </c>
      <c r="L20" s="52">
        <v>35.479999999999997</v>
      </c>
      <c r="M20" s="52">
        <v>63.16</v>
      </c>
      <c r="N20" s="52">
        <v>1025.9000000000001</v>
      </c>
      <c r="O20" s="52">
        <v>0</v>
      </c>
      <c r="P20" s="52">
        <v>0.47</v>
      </c>
      <c r="Q20" s="52">
        <v>9.15</v>
      </c>
      <c r="R20" s="43"/>
      <c r="S20" s="43"/>
      <c r="T20" s="43"/>
      <c r="U20" s="43"/>
    </row>
    <row r="21" spans="1:21" s="11" customFormat="1" x14ac:dyDescent="0.25">
      <c r="A21" s="51" t="s">
        <v>216</v>
      </c>
      <c r="B21" s="52">
        <v>12.54</v>
      </c>
      <c r="C21" s="52">
        <v>15.95</v>
      </c>
      <c r="D21" s="52">
        <v>18.07</v>
      </c>
      <c r="E21" s="52">
        <v>3.93</v>
      </c>
      <c r="F21" s="52">
        <v>15.28</v>
      </c>
      <c r="G21" s="52">
        <v>63.12</v>
      </c>
      <c r="H21" s="52">
        <v>9.14</v>
      </c>
      <c r="I21" s="52">
        <v>1.17</v>
      </c>
      <c r="J21" s="52">
        <v>1.1200000000000001</v>
      </c>
      <c r="K21" s="52">
        <v>337.81</v>
      </c>
      <c r="L21" s="52">
        <v>34.46</v>
      </c>
      <c r="M21" s="52">
        <v>71.8</v>
      </c>
      <c r="N21" s="52">
        <v>954.9</v>
      </c>
      <c r="O21" s="52">
        <v>0</v>
      </c>
      <c r="P21" s="52">
        <v>0.56999999999999995</v>
      </c>
      <c r="Q21" s="52">
        <v>9.2100000000000009</v>
      </c>
      <c r="R21" s="43"/>
      <c r="S21" s="43"/>
      <c r="T21" s="43"/>
      <c r="U21" s="43"/>
    </row>
    <row r="22" spans="1:21" s="11" customFormat="1" x14ac:dyDescent="0.25">
      <c r="A22" s="51" t="s">
        <v>217</v>
      </c>
      <c r="B22" s="52">
        <v>15.18</v>
      </c>
      <c r="C22" s="52">
        <v>17.32</v>
      </c>
      <c r="D22" s="52">
        <v>20.440000000000001</v>
      </c>
      <c r="E22" s="52">
        <v>3.86</v>
      </c>
      <c r="F22" s="52">
        <v>15.13</v>
      </c>
      <c r="G22" s="52">
        <v>63.44</v>
      </c>
      <c r="H22" s="52">
        <v>9.34</v>
      </c>
      <c r="I22" s="52">
        <v>1.2</v>
      </c>
      <c r="J22" s="52">
        <v>0.8</v>
      </c>
      <c r="K22" s="52">
        <v>337</v>
      </c>
      <c r="L22" s="52">
        <v>33.979999999999997</v>
      </c>
      <c r="M22" s="52">
        <v>65.72</v>
      </c>
      <c r="N22" s="52">
        <v>304.10000000000002</v>
      </c>
      <c r="O22" s="52">
        <v>0</v>
      </c>
      <c r="P22" s="52">
        <v>0.56000000000000005</v>
      </c>
      <c r="Q22" s="52">
        <v>9.2200000000000006</v>
      </c>
      <c r="R22" s="43"/>
      <c r="S22" s="43"/>
      <c r="T22" s="43"/>
      <c r="U22" s="43"/>
    </row>
    <row r="23" spans="1:21" s="11" customFormat="1" x14ac:dyDescent="0.25">
      <c r="A23" s="51" t="s">
        <v>218</v>
      </c>
      <c r="B23" s="52">
        <v>13.48</v>
      </c>
      <c r="C23" s="52">
        <v>17.02</v>
      </c>
      <c r="D23" s="52">
        <v>19.7</v>
      </c>
      <c r="E23" s="52">
        <v>3.89</v>
      </c>
      <c r="F23" s="52">
        <v>14.33</v>
      </c>
      <c r="G23" s="52">
        <v>63.44</v>
      </c>
      <c r="H23" s="52">
        <v>9.34</v>
      </c>
      <c r="I23" s="52">
        <v>1.21</v>
      </c>
      <c r="J23" s="52">
        <v>0.72</v>
      </c>
      <c r="K23" s="52">
        <v>336.97</v>
      </c>
      <c r="L23" s="52">
        <v>31.43</v>
      </c>
      <c r="M23" s="52">
        <v>93.8</v>
      </c>
      <c r="N23" s="52">
        <v>185.1</v>
      </c>
      <c r="O23" s="52">
        <v>0</v>
      </c>
      <c r="P23" s="52">
        <v>0.57999999999999996</v>
      </c>
      <c r="Q23" s="52">
        <v>9.2899999999999991</v>
      </c>
      <c r="R23" s="43"/>
      <c r="S23" s="43"/>
      <c r="T23" s="43"/>
      <c r="U23" s="43"/>
    </row>
    <row r="24" spans="1:21" s="11" customFormat="1" x14ac:dyDescent="0.25">
      <c r="A24" s="51" t="s">
        <v>219</v>
      </c>
      <c r="B24" s="52">
        <v>8.08</v>
      </c>
      <c r="C24" s="52">
        <v>13.33</v>
      </c>
      <c r="D24" s="52">
        <v>13.34</v>
      </c>
      <c r="E24" s="52">
        <v>5.69</v>
      </c>
      <c r="F24" s="52">
        <v>9.5399999999999991</v>
      </c>
      <c r="G24" s="52">
        <v>64.27</v>
      </c>
      <c r="H24" s="52">
        <v>7.56</v>
      </c>
      <c r="I24" s="52">
        <v>1.19</v>
      </c>
      <c r="J24" s="52">
        <v>0.28999999999999998</v>
      </c>
      <c r="K24" s="52">
        <v>209.55</v>
      </c>
      <c r="L24" s="52">
        <v>27.61</v>
      </c>
      <c r="M24" s="52">
        <v>96.71</v>
      </c>
      <c r="N24" s="52">
        <v>163.9</v>
      </c>
      <c r="O24" s="52">
        <v>0</v>
      </c>
      <c r="P24" s="52">
        <v>0.45</v>
      </c>
      <c r="Q24" s="52">
        <v>9.24</v>
      </c>
      <c r="R24" s="43"/>
      <c r="S24" s="43"/>
      <c r="T24" s="43"/>
      <c r="U24" s="43"/>
    </row>
    <row r="25" spans="1:21" s="11" customFormat="1" x14ac:dyDescent="0.25">
      <c r="A25" s="51" t="s">
        <v>220</v>
      </c>
      <c r="B25" s="52">
        <v>7.47</v>
      </c>
      <c r="C25" s="52">
        <v>11.35</v>
      </c>
      <c r="D25" s="52">
        <v>11.8</v>
      </c>
      <c r="E25" s="52">
        <v>5.38</v>
      </c>
      <c r="F25" s="52">
        <v>7.75</v>
      </c>
      <c r="G25" s="52">
        <v>64.27</v>
      </c>
      <c r="H25" s="52">
        <v>7.31</v>
      </c>
      <c r="I25" s="52">
        <v>1.08</v>
      </c>
      <c r="J25" s="52">
        <v>0.35</v>
      </c>
      <c r="K25" s="52">
        <v>294.22000000000003</v>
      </c>
      <c r="L25" s="52">
        <v>25.94</v>
      </c>
      <c r="M25" s="52">
        <v>97.75</v>
      </c>
      <c r="N25" s="52">
        <v>116.2</v>
      </c>
      <c r="O25" s="52">
        <v>0</v>
      </c>
      <c r="P25" s="52">
        <v>0.4</v>
      </c>
      <c r="Q25" s="52">
        <v>9.15</v>
      </c>
      <c r="R25" s="43"/>
      <c r="S25" s="43"/>
      <c r="T25" s="43"/>
      <c r="U25" s="43"/>
    </row>
    <row r="26" spans="1:21" s="11" customFormat="1" x14ac:dyDescent="0.25">
      <c r="A26" s="51" t="s">
        <v>221</v>
      </c>
      <c r="B26" s="52">
        <v>7.13</v>
      </c>
      <c r="C26" s="52">
        <v>10.119999999999999</v>
      </c>
      <c r="D26" s="52">
        <v>10.85</v>
      </c>
      <c r="E26" s="52">
        <v>5.24</v>
      </c>
      <c r="F26" s="52">
        <v>4.5599999999999996</v>
      </c>
      <c r="G26" s="52">
        <v>48.41</v>
      </c>
      <c r="H26" s="52">
        <v>7.26</v>
      </c>
      <c r="I26" s="52">
        <v>1.0900000000000001</v>
      </c>
      <c r="J26" s="52">
        <v>0.16</v>
      </c>
      <c r="K26" s="52">
        <v>341.28</v>
      </c>
      <c r="L26" s="52">
        <v>25.47</v>
      </c>
      <c r="M26" s="52">
        <v>97.75</v>
      </c>
      <c r="N26" s="52">
        <v>77.3</v>
      </c>
      <c r="O26" s="52">
        <v>0</v>
      </c>
      <c r="P26" s="52">
        <v>0.38</v>
      </c>
      <c r="Q26" s="52">
        <v>9.14</v>
      </c>
      <c r="R26" s="43"/>
      <c r="S26" s="43"/>
      <c r="T26" s="43"/>
      <c r="U26" s="43"/>
    </row>
    <row r="27" spans="1:21" s="11" customFormat="1" x14ac:dyDescent="0.25">
      <c r="A27" s="51" t="s">
        <v>222</v>
      </c>
      <c r="B27" s="52">
        <v>6.94</v>
      </c>
      <c r="C27" s="52">
        <v>11.05</v>
      </c>
      <c r="D27" s="52">
        <v>11.34</v>
      </c>
      <c r="E27" s="52">
        <v>5.24</v>
      </c>
      <c r="F27" s="52">
        <v>5.73</v>
      </c>
      <c r="G27" s="52">
        <v>38.99</v>
      </c>
      <c r="H27" s="52">
        <v>5.99</v>
      </c>
      <c r="I27" s="52">
        <v>1.37</v>
      </c>
      <c r="J27" s="52">
        <v>0.54</v>
      </c>
      <c r="K27" s="52">
        <v>325.45999999999998</v>
      </c>
      <c r="L27" s="52">
        <v>25.06</v>
      </c>
      <c r="M27" s="52">
        <v>97.69</v>
      </c>
      <c r="N27" s="52">
        <v>58.7</v>
      </c>
      <c r="O27" s="52">
        <v>0</v>
      </c>
      <c r="P27" s="52">
        <v>0.37</v>
      </c>
      <c r="Q27" s="52">
        <v>9.1</v>
      </c>
      <c r="R27" s="43"/>
      <c r="S27" s="43"/>
      <c r="T27" s="43"/>
      <c r="U27" s="43"/>
    </row>
    <row r="28" spans="1:21" s="11" customFormat="1" x14ac:dyDescent="0.25">
      <c r="A28" s="51" t="s">
        <v>223</v>
      </c>
      <c r="B28" s="52">
        <v>6.58</v>
      </c>
      <c r="C28" s="52">
        <v>11.88</v>
      </c>
      <c r="D28" s="52">
        <v>10.220000000000001</v>
      </c>
      <c r="E28" s="52">
        <v>5.4</v>
      </c>
      <c r="F28" s="52">
        <v>3.31</v>
      </c>
      <c r="G28" s="52">
        <v>32.979999999999997</v>
      </c>
      <c r="H28" s="52">
        <v>5.99</v>
      </c>
      <c r="I28" s="52">
        <v>1.31</v>
      </c>
      <c r="J28" s="52">
        <v>1.08</v>
      </c>
      <c r="K28" s="52">
        <v>338</v>
      </c>
      <c r="L28" s="52">
        <v>24.91</v>
      </c>
      <c r="M28" s="52">
        <v>97.85</v>
      </c>
      <c r="N28" s="52">
        <v>55.2</v>
      </c>
      <c r="O28" s="52">
        <v>0</v>
      </c>
      <c r="P28" s="52">
        <v>0.36</v>
      </c>
      <c r="Q28" s="52">
        <v>9.0500000000000007</v>
      </c>
      <c r="R28" s="43"/>
      <c r="S28" s="43"/>
      <c r="T28" s="43"/>
      <c r="U28" s="43"/>
    </row>
    <row r="29" spans="1:21" s="11" customFormat="1" x14ac:dyDescent="0.25">
      <c r="A29" s="51" t="s">
        <v>224</v>
      </c>
      <c r="B29" s="52">
        <v>5.4</v>
      </c>
      <c r="C29" s="52">
        <v>11.83</v>
      </c>
      <c r="D29" s="52">
        <v>10.17</v>
      </c>
      <c r="E29" s="52">
        <v>5.31</v>
      </c>
      <c r="F29" s="52">
        <v>2.93</v>
      </c>
      <c r="G29" s="52">
        <v>28.93</v>
      </c>
      <c r="H29" s="52">
        <v>4.3</v>
      </c>
      <c r="I29" s="52">
        <v>1.17</v>
      </c>
      <c r="J29" s="52">
        <v>0.12</v>
      </c>
      <c r="K29" s="52">
        <v>355.24</v>
      </c>
      <c r="L29" s="52">
        <v>22.51</v>
      </c>
      <c r="M29" s="52">
        <v>97.83</v>
      </c>
      <c r="N29" s="52">
        <v>51.8</v>
      </c>
      <c r="O29" s="52">
        <v>0</v>
      </c>
      <c r="P29" s="52">
        <v>0.37</v>
      </c>
      <c r="Q29" s="52">
        <v>8.98</v>
      </c>
      <c r="R29" s="43"/>
      <c r="S29" s="43"/>
      <c r="T29" s="43"/>
      <c r="U29" s="43"/>
    </row>
    <row r="30" spans="1:21" s="11" customFormat="1" x14ac:dyDescent="0.25">
      <c r="A30" s="51" t="s">
        <v>225</v>
      </c>
      <c r="B30" s="52">
        <v>5.75</v>
      </c>
      <c r="C30" s="52">
        <v>11.82</v>
      </c>
      <c r="D30" s="52">
        <v>10.49</v>
      </c>
      <c r="E30" s="52">
        <v>4.76</v>
      </c>
      <c r="F30" s="52">
        <v>2.21</v>
      </c>
      <c r="G30" s="52">
        <v>26.12</v>
      </c>
      <c r="H30" s="52">
        <v>3.11</v>
      </c>
      <c r="I30" s="52">
        <v>1.19</v>
      </c>
      <c r="J30" s="52">
        <v>0.17</v>
      </c>
      <c r="K30" s="52">
        <v>358.05</v>
      </c>
      <c r="L30" s="52">
        <v>22.66</v>
      </c>
      <c r="M30" s="52">
        <v>97.85</v>
      </c>
      <c r="N30" s="52">
        <v>52.2</v>
      </c>
      <c r="O30" s="52">
        <v>0</v>
      </c>
      <c r="P30" s="52">
        <v>0.36</v>
      </c>
      <c r="Q30" s="52">
        <v>8.94</v>
      </c>
      <c r="R30" s="43"/>
      <c r="S30" s="43"/>
      <c r="T30" s="43"/>
      <c r="U30" s="43"/>
    </row>
    <row r="31" spans="1:21" s="11" customFormat="1" x14ac:dyDescent="0.25">
      <c r="A31" s="51" t="s">
        <v>226</v>
      </c>
      <c r="B31" s="52">
        <v>6.4</v>
      </c>
      <c r="C31" s="52">
        <v>10.44</v>
      </c>
      <c r="D31" s="52">
        <v>10.52</v>
      </c>
      <c r="E31" s="52">
        <v>4.2</v>
      </c>
      <c r="F31" s="52">
        <v>2.6</v>
      </c>
      <c r="G31" s="52">
        <v>19.32</v>
      </c>
      <c r="H31" s="52">
        <v>2.39</v>
      </c>
      <c r="I31" s="52">
        <v>1.22</v>
      </c>
      <c r="J31" s="52">
        <v>0.08</v>
      </c>
      <c r="K31" s="52">
        <v>343.05</v>
      </c>
      <c r="L31" s="52">
        <v>23.04</v>
      </c>
      <c r="M31" s="52">
        <v>97.87</v>
      </c>
      <c r="N31" s="52">
        <v>52.2</v>
      </c>
      <c r="O31" s="52">
        <v>0</v>
      </c>
      <c r="P31" s="52">
        <v>0.31</v>
      </c>
      <c r="Q31" s="52">
        <v>9.6199999999999992</v>
      </c>
      <c r="R31" s="43"/>
      <c r="S31" s="43"/>
      <c r="T31" s="43"/>
      <c r="U31" s="43"/>
    </row>
    <row r="32" spans="1:21" s="11" customFormat="1" x14ac:dyDescent="0.25">
      <c r="A32" s="51" t="s">
        <v>227</v>
      </c>
      <c r="B32" s="52">
        <v>6.2</v>
      </c>
      <c r="C32" s="52">
        <v>10.26</v>
      </c>
      <c r="D32" s="52">
        <v>10.28</v>
      </c>
      <c r="E32" s="52">
        <v>4.43</v>
      </c>
      <c r="F32" s="52">
        <v>5.36</v>
      </c>
      <c r="G32" s="52">
        <v>18.7</v>
      </c>
      <c r="H32" s="52">
        <v>4.13</v>
      </c>
      <c r="I32" s="52">
        <v>1.1599999999999999</v>
      </c>
      <c r="J32" s="52">
        <v>0.14000000000000001</v>
      </c>
      <c r="K32" s="52">
        <v>335</v>
      </c>
      <c r="L32" s="52">
        <v>23.11</v>
      </c>
      <c r="M32" s="52">
        <v>97.85</v>
      </c>
      <c r="N32" s="52">
        <v>52.2</v>
      </c>
      <c r="O32" s="52">
        <v>0</v>
      </c>
      <c r="P32" s="52">
        <v>0.25</v>
      </c>
      <c r="Q32" s="52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5.4</v>
      </c>
      <c r="C34" s="28">
        <f t="shared" si="0"/>
        <v>6.44</v>
      </c>
      <c r="D34" s="28">
        <f t="shared" si="0"/>
        <v>8.91</v>
      </c>
      <c r="E34" s="28">
        <f t="shared" si="0"/>
        <v>3.66</v>
      </c>
      <c r="F34" s="28">
        <f t="shared" si="0"/>
        <v>2.21</v>
      </c>
      <c r="G34" s="28">
        <f t="shared" si="0"/>
        <v>13.18</v>
      </c>
      <c r="H34" s="28">
        <f t="shared" si="0"/>
        <v>2.39</v>
      </c>
      <c r="I34" s="28">
        <f t="shared" si="0"/>
        <v>0.86</v>
      </c>
      <c r="J34" s="28">
        <f t="shared" si="0"/>
        <v>7.0000000000000007E-2</v>
      </c>
      <c r="K34" s="28">
        <f t="shared" si="0"/>
        <v>139.1</v>
      </c>
      <c r="L34" s="28">
        <f t="shared" si="0"/>
        <v>22.51</v>
      </c>
      <c r="M34" s="28">
        <f t="shared" si="0"/>
        <v>63.16</v>
      </c>
      <c r="N34" s="28">
        <f t="shared" si="0"/>
        <v>51.8</v>
      </c>
      <c r="O34" s="28">
        <f t="shared" si="0"/>
        <v>0</v>
      </c>
      <c r="P34" s="28">
        <f t="shared" si="0"/>
        <v>0.16</v>
      </c>
      <c r="Q34" s="28">
        <f t="shared" si="0"/>
        <v>8.94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17.34</v>
      </c>
      <c r="C35" s="29">
        <f t="shared" si="1"/>
        <v>17.440000000000001</v>
      </c>
      <c r="D35" s="29">
        <f t="shared" si="1"/>
        <v>20.85</v>
      </c>
      <c r="E35" s="29">
        <f t="shared" si="1"/>
        <v>5.73</v>
      </c>
      <c r="F35" s="29">
        <f t="shared" si="1"/>
        <v>15.28</v>
      </c>
      <c r="G35" s="29">
        <f t="shared" si="1"/>
        <v>64.27</v>
      </c>
      <c r="H35" s="29">
        <f t="shared" si="1"/>
        <v>9.34</v>
      </c>
      <c r="I35" s="29">
        <f t="shared" si="1"/>
        <v>1.5</v>
      </c>
      <c r="J35" s="29">
        <f t="shared" si="1"/>
        <v>1.1599999999999999</v>
      </c>
      <c r="K35" s="29">
        <f t="shared" si="1"/>
        <v>358.05</v>
      </c>
      <c r="L35" s="29">
        <f t="shared" si="1"/>
        <v>36.06</v>
      </c>
      <c r="M35" s="29">
        <f t="shared" si="1"/>
        <v>97.99</v>
      </c>
      <c r="N35" s="29">
        <f t="shared" si="1"/>
        <v>1025.9000000000001</v>
      </c>
      <c r="O35" s="29">
        <f t="shared" si="1"/>
        <v>0</v>
      </c>
      <c r="P35" s="29">
        <f t="shared" si="1"/>
        <v>0.57999999999999996</v>
      </c>
      <c r="Q35" s="29">
        <f t="shared" si="1"/>
        <v>9.6199999999999992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9.9270833333333339</v>
      </c>
      <c r="C36" s="28">
        <f t="shared" si="2"/>
        <v>11.65</v>
      </c>
      <c r="D36" s="28">
        <f t="shared" si="2"/>
        <v>13.714166666666666</v>
      </c>
      <c r="E36" s="28">
        <f t="shared" si="2"/>
        <v>4.8387500000000001</v>
      </c>
      <c r="F36" s="28">
        <f t="shared" si="2"/>
        <v>8.0029166666666693</v>
      </c>
      <c r="G36" s="28">
        <f t="shared" si="2"/>
        <v>38.179166666666667</v>
      </c>
      <c r="H36" s="28">
        <f t="shared" si="2"/>
        <v>5.7608333333333333</v>
      </c>
      <c r="I36" s="28">
        <f t="shared" si="2"/>
        <v>1.17875</v>
      </c>
      <c r="J36" s="28">
        <f t="shared" si="2"/>
        <v>0.49416666666666664</v>
      </c>
      <c r="K36" s="28">
        <f t="shared" si="2"/>
        <v>310.12625000000003</v>
      </c>
      <c r="L36" s="28">
        <f t="shared" si="2"/>
        <v>27.147499999999997</v>
      </c>
      <c r="M36" s="28">
        <f t="shared" si="2"/>
        <v>92.020833333333329</v>
      </c>
      <c r="N36" s="28">
        <f t="shared" si="2"/>
        <v>253.1</v>
      </c>
      <c r="O36" s="28">
        <f t="shared" si="2"/>
        <v>0</v>
      </c>
      <c r="P36" s="28">
        <f t="shared" si="2"/>
        <v>0.38541666666666669</v>
      </c>
      <c r="Q36" s="28">
        <f t="shared" si="2"/>
        <v>9.2158333333333342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3.9133933670061265</v>
      </c>
      <c r="C37" s="28">
        <f t="shared" ref="C37:Q37" si="3">STDEV(C9:C32)</f>
        <v>3.4915263885210885</v>
      </c>
      <c r="D37" s="28">
        <f t="shared" si="3"/>
        <v>4.2787786927404028</v>
      </c>
      <c r="E37" s="28">
        <f t="shared" si="3"/>
        <v>0.75094324743589447</v>
      </c>
      <c r="F37" s="28">
        <f t="shared" si="3"/>
        <v>3.8784863465764174</v>
      </c>
      <c r="G37" s="28">
        <f t="shared" si="3"/>
        <v>19.884731944201636</v>
      </c>
      <c r="H37" s="28">
        <f t="shared" si="3"/>
        <v>2.2894672185745608</v>
      </c>
      <c r="I37" s="28">
        <f t="shared" si="3"/>
        <v>0.18036948792385271</v>
      </c>
      <c r="J37" s="28">
        <f t="shared" si="3"/>
        <v>0.37881872074701611</v>
      </c>
      <c r="K37" s="28">
        <f t="shared" si="3"/>
        <v>58.166738651278109</v>
      </c>
      <c r="L37" s="28">
        <f t="shared" si="3"/>
        <v>4.4475310688848371</v>
      </c>
      <c r="M37" s="28">
        <f t="shared" si="3"/>
        <v>11.855670049341004</v>
      </c>
      <c r="N37" s="28">
        <f t="shared" si="3"/>
        <v>318.16083846135871</v>
      </c>
      <c r="O37" s="28">
        <f t="shared" si="3"/>
        <v>0</v>
      </c>
      <c r="P37" s="28">
        <f t="shared" si="3"/>
        <v>0.13004946104786658</v>
      </c>
      <c r="Q37" s="28">
        <f t="shared" si="3"/>
        <v>0.16271919441751165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E11" sqref="E11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228</v>
      </c>
      <c r="B9" s="52">
        <v>6.13</v>
      </c>
      <c r="C9" s="52">
        <v>8.48</v>
      </c>
      <c r="D9" s="52">
        <v>9.31</v>
      </c>
      <c r="E9" s="52">
        <v>4.26</v>
      </c>
      <c r="F9" s="52">
        <v>7.11</v>
      </c>
      <c r="G9" s="52">
        <v>17.760000000000002</v>
      </c>
      <c r="H9" s="52">
        <v>4.13</v>
      </c>
      <c r="I9" s="52">
        <v>1.1000000000000001</v>
      </c>
      <c r="J9" s="52">
        <v>0.18</v>
      </c>
      <c r="K9" s="52">
        <v>347.23</v>
      </c>
      <c r="L9" s="52">
        <v>23.11</v>
      </c>
      <c r="M9" s="52">
        <v>97.96</v>
      </c>
      <c r="N9" s="52">
        <v>52</v>
      </c>
      <c r="O9" s="52">
        <v>0</v>
      </c>
      <c r="P9" s="52">
        <v>0.2</v>
      </c>
      <c r="Q9" s="52">
        <v>9.6199999999999992</v>
      </c>
      <c r="R9" s="43"/>
      <c r="S9" s="43"/>
      <c r="T9" s="43"/>
      <c r="U9" s="43"/>
    </row>
    <row r="10" spans="1:21" s="11" customFormat="1" x14ac:dyDescent="0.25">
      <c r="A10" s="51" t="s">
        <v>229</v>
      </c>
      <c r="B10" s="52">
        <v>6.39</v>
      </c>
      <c r="C10" s="52">
        <v>7.72</v>
      </c>
      <c r="D10" s="52">
        <v>9.14</v>
      </c>
      <c r="E10" s="52">
        <v>4.8499999999999996</v>
      </c>
      <c r="F10" s="52">
        <v>7.09</v>
      </c>
      <c r="G10" s="52">
        <v>16.579999999999998</v>
      </c>
      <c r="H10" s="52">
        <v>3</v>
      </c>
      <c r="I10" s="52">
        <v>1</v>
      </c>
      <c r="J10" s="52">
        <v>0.1</v>
      </c>
      <c r="K10" s="52">
        <v>348.25</v>
      </c>
      <c r="L10" s="52">
        <v>23.09</v>
      </c>
      <c r="M10" s="52">
        <v>98.06</v>
      </c>
      <c r="N10" s="52">
        <v>52</v>
      </c>
      <c r="O10" s="52">
        <v>0</v>
      </c>
      <c r="P10" s="52">
        <v>0.2</v>
      </c>
      <c r="Q10" s="52">
        <v>9.6300000000000008</v>
      </c>
      <c r="R10" s="43"/>
      <c r="S10" s="43"/>
      <c r="T10" s="43"/>
      <c r="U10" s="43"/>
    </row>
    <row r="11" spans="1:21" s="11" customFormat="1" x14ac:dyDescent="0.25">
      <c r="A11" s="51" t="s">
        <v>230</v>
      </c>
      <c r="B11" s="52">
        <v>6.82</v>
      </c>
      <c r="C11" s="52">
        <v>7.76</v>
      </c>
      <c r="D11" s="52">
        <v>9.5299999999999994</v>
      </c>
      <c r="E11" s="52">
        <v>4.8099999999999996</v>
      </c>
      <c r="F11" s="52">
        <v>4.07</v>
      </c>
      <c r="G11" s="52">
        <v>14.69</v>
      </c>
      <c r="H11" s="52">
        <v>2.75</v>
      </c>
      <c r="I11" s="52">
        <v>0.97</v>
      </c>
      <c r="J11" s="52">
        <v>0.08</v>
      </c>
      <c r="K11" s="52">
        <v>337.12</v>
      </c>
      <c r="L11" s="52">
        <v>23</v>
      </c>
      <c r="M11" s="52">
        <v>98.1</v>
      </c>
      <c r="N11" s="52">
        <v>51.9</v>
      </c>
      <c r="O11" s="52">
        <v>0</v>
      </c>
      <c r="P11" s="52">
        <v>0.2</v>
      </c>
      <c r="Q11" s="52">
        <v>9.6300000000000008</v>
      </c>
      <c r="R11" s="43"/>
      <c r="S11" s="43"/>
      <c r="T11" s="43"/>
      <c r="U11" s="43"/>
    </row>
    <row r="12" spans="1:21" s="11" customFormat="1" x14ac:dyDescent="0.25">
      <c r="A12" s="51" t="s">
        <v>231</v>
      </c>
      <c r="B12" s="52">
        <v>6.74</v>
      </c>
      <c r="C12" s="52">
        <v>7.51</v>
      </c>
      <c r="D12" s="52">
        <v>9.31</v>
      </c>
      <c r="E12" s="52">
        <v>4.68</v>
      </c>
      <c r="F12" s="52">
        <v>3.2</v>
      </c>
      <c r="G12" s="52">
        <v>14.69</v>
      </c>
      <c r="H12" s="52">
        <v>4.24</v>
      </c>
      <c r="I12" s="52">
        <v>0.91</v>
      </c>
      <c r="J12" s="52">
        <v>0.11</v>
      </c>
      <c r="K12" s="52">
        <v>350.05</v>
      </c>
      <c r="L12" s="52">
        <v>22.81</v>
      </c>
      <c r="M12" s="52">
        <v>98.1</v>
      </c>
      <c r="N12" s="52">
        <v>51.7</v>
      </c>
      <c r="O12" s="52">
        <v>0</v>
      </c>
      <c r="P12" s="52">
        <v>0.18</v>
      </c>
      <c r="Q12" s="52">
        <v>9.6300000000000008</v>
      </c>
      <c r="R12" s="43"/>
      <c r="S12" s="43"/>
      <c r="T12" s="43"/>
      <c r="U12" s="43"/>
    </row>
    <row r="13" spans="1:21" s="11" customFormat="1" x14ac:dyDescent="0.25">
      <c r="A13" s="51" t="s">
        <v>232</v>
      </c>
      <c r="B13" s="52">
        <v>8.1199999999999992</v>
      </c>
      <c r="C13" s="52">
        <v>9.66</v>
      </c>
      <c r="D13" s="52">
        <v>11.56</v>
      </c>
      <c r="E13" s="52">
        <v>4.7</v>
      </c>
      <c r="F13" s="52">
        <v>3.15</v>
      </c>
      <c r="G13" s="52">
        <v>13.27</v>
      </c>
      <c r="H13" s="52">
        <v>4.24</v>
      </c>
      <c r="I13" s="52">
        <v>0.83</v>
      </c>
      <c r="J13" s="52">
        <v>0.1</v>
      </c>
      <c r="K13" s="52">
        <v>326.16000000000003</v>
      </c>
      <c r="L13" s="52">
        <v>22.89</v>
      </c>
      <c r="M13" s="52">
        <v>98.13</v>
      </c>
      <c r="N13" s="52">
        <v>51.9</v>
      </c>
      <c r="O13" s="52">
        <v>0</v>
      </c>
      <c r="P13" s="52">
        <v>0.23</v>
      </c>
      <c r="Q13" s="52">
        <v>9.64</v>
      </c>
      <c r="R13" s="43"/>
      <c r="S13" s="43"/>
      <c r="T13" s="43"/>
      <c r="U13" s="43"/>
    </row>
    <row r="14" spans="1:21" s="11" customFormat="1" x14ac:dyDescent="0.25">
      <c r="A14" s="51" t="s">
        <v>233</v>
      </c>
      <c r="B14" s="52">
        <v>7.16</v>
      </c>
      <c r="C14" s="52">
        <v>10.48</v>
      </c>
      <c r="D14" s="52">
        <v>11.22</v>
      </c>
      <c r="E14" s="52">
        <v>4.7</v>
      </c>
      <c r="F14" s="52">
        <v>5.0199999999999996</v>
      </c>
      <c r="G14" s="52">
        <v>13.45</v>
      </c>
      <c r="H14" s="52">
        <v>4.3600000000000003</v>
      </c>
      <c r="I14" s="52">
        <v>0.93</v>
      </c>
      <c r="J14" s="52">
        <v>0.1</v>
      </c>
      <c r="K14" s="52">
        <v>305.29000000000002</v>
      </c>
      <c r="L14" s="52">
        <v>22.96</v>
      </c>
      <c r="M14" s="52">
        <v>98.06</v>
      </c>
      <c r="N14" s="52">
        <v>63.6</v>
      </c>
      <c r="O14" s="52">
        <v>0</v>
      </c>
      <c r="P14" s="52">
        <v>0.28999999999999998</v>
      </c>
      <c r="Q14" s="52">
        <v>9.64</v>
      </c>
      <c r="R14" s="43"/>
      <c r="S14" s="43"/>
      <c r="T14" s="43"/>
      <c r="U14" s="43"/>
    </row>
    <row r="15" spans="1:21" s="11" customFormat="1" x14ac:dyDescent="0.25">
      <c r="A15" s="51" t="s">
        <v>234</v>
      </c>
      <c r="B15" s="52">
        <v>7.79</v>
      </c>
      <c r="C15" s="52">
        <v>10.58</v>
      </c>
      <c r="D15" s="52">
        <v>11.78</v>
      </c>
      <c r="E15" s="52">
        <v>4.83</v>
      </c>
      <c r="F15" s="52">
        <v>2.73</v>
      </c>
      <c r="G15" s="52">
        <v>13.78</v>
      </c>
      <c r="H15" s="52">
        <v>4.3600000000000003</v>
      </c>
      <c r="I15" s="52">
        <v>0.97</v>
      </c>
      <c r="J15" s="52">
        <v>0.17</v>
      </c>
      <c r="K15" s="52">
        <v>299.85000000000002</v>
      </c>
      <c r="L15" s="52">
        <v>22.96</v>
      </c>
      <c r="M15" s="52">
        <v>98.01</v>
      </c>
      <c r="N15" s="52">
        <v>92.6</v>
      </c>
      <c r="O15" s="52">
        <v>0</v>
      </c>
      <c r="P15" s="52">
        <v>0.21</v>
      </c>
      <c r="Q15" s="52">
        <v>9.6300000000000008</v>
      </c>
      <c r="R15" s="43"/>
      <c r="S15" s="43"/>
      <c r="T15" s="43"/>
      <c r="U15" s="43"/>
    </row>
    <row r="16" spans="1:21" s="11" customFormat="1" x14ac:dyDescent="0.25">
      <c r="A16" s="51" t="s">
        <v>235</v>
      </c>
      <c r="B16" s="52">
        <v>7.24</v>
      </c>
      <c r="C16" s="52">
        <v>9.1300000000000008</v>
      </c>
      <c r="D16" s="52">
        <v>10.41</v>
      </c>
      <c r="E16" s="52">
        <v>4.54</v>
      </c>
      <c r="F16" s="52">
        <v>2.3199999999999998</v>
      </c>
      <c r="G16" s="52">
        <v>16.260000000000002</v>
      </c>
      <c r="H16" s="52">
        <v>4.01</v>
      </c>
      <c r="I16" s="52">
        <v>0.95</v>
      </c>
      <c r="J16" s="52">
        <v>0.22</v>
      </c>
      <c r="K16" s="52">
        <v>303.72000000000003</v>
      </c>
      <c r="L16" s="52">
        <v>23.29</v>
      </c>
      <c r="M16" s="52">
        <v>97.77</v>
      </c>
      <c r="N16" s="52">
        <v>167.8</v>
      </c>
      <c r="O16" s="52">
        <v>0</v>
      </c>
      <c r="P16" s="52">
        <v>0.21</v>
      </c>
      <c r="Q16" s="52">
        <v>9.6300000000000008</v>
      </c>
      <c r="R16" s="43"/>
      <c r="S16" s="43"/>
      <c r="T16" s="43"/>
      <c r="U16" s="43"/>
    </row>
    <row r="17" spans="1:21" s="11" customFormat="1" x14ac:dyDescent="0.25">
      <c r="A17" s="51" t="s">
        <v>236</v>
      </c>
      <c r="B17" s="52">
        <v>7.24</v>
      </c>
      <c r="C17" s="52">
        <v>10</v>
      </c>
      <c r="D17" s="52">
        <v>10.66</v>
      </c>
      <c r="E17" s="52">
        <v>4.2300000000000004</v>
      </c>
      <c r="F17" s="52">
        <v>2.72</v>
      </c>
      <c r="G17" s="52">
        <v>17.48</v>
      </c>
      <c r="H17" s="52">
        <v>4.01</v>
      </c>
      <c r="I17" s="52">
        <v>0.91</v>
      </c>
      <c r="J17" s="52">
        <v>0.18</v>
      </c>
      <c r="K17" s="52">
        <v>298.91000000000003</v>
      </c>
      <c r="L17" s="52">
        <v>24.79</v>
      </c>
      <c r="M17" s="52">
        <v>97.72</v>
      </c>
      <c r="N17" s="52">
        <v>265</v>
      </c>
      <c r="O17" s="52">
        <v>0.2</v>
      </c>
      <c r="P17" s="52">
        <v>0.24</v>
      </c>
      <c r="Q17" s="52">
        <v>9.6199999999999992</v>
      </c>
      <c r="R17" s="43"/>
      <c r="S17" s="43"/>
      <c r="T17" s="43"/>
      <c r="U17" s="43"/>
    </row>
    <row r="18" spans="1:21" s="11" customFormat="1" x14ac:dyDescent="0.25">
      <c r="A18" s="51" t="s">
        <v>237</v>
      </c>
      <c r="B18" s="52">
        <v>7.16</v>
      </c>
      <c r="C18" s="52">
        <v>9.49</v>
      </c>
      <c r="D18" s="52">
        <v>10.61</v>
      </c>
      <c r="E18" s="52">
        <v>4.05</v>
      </c>
      <c r="F18" s="52">
        <v>3.11</v>
      </c>
      <c r="G18" s="52">
        <v>18.22</v>
      </c>
      <c r="H18" s="52">
        <v>2.95</v>
      </c>
      <c r="I18" s="52">
        <v>0.92</v>
      </c>
      <c r="J18" s="52">
        <v>0.15</v>
      </c>
      <c r="K18" s="52">
        <v>281.89</v>
      </c>
      <c r="L18" s="52">
        <v>25.29</v>
      </c>
      <c r="M18" s="52">
        <v>97.66</v>
      </c>
      <c r="N18" s="52">
        <v>352.1</v>
      </c>
      <c r="O18" s="52">
        <v>0</v>
      </c>
      <c r="P18" s="52">
        <v>0.23</v>
      </c>
      <c r="Q18" s="52">
        <v>9.6199999999999992</v>
      </c>
      <c r="R18" s="43"/>
      <c r="S18" s="43"/>
      <c r="T18" s="43"/>
      <c r="U18" s="43"/>
    </row>
    <row r="19" spans="1:21" s="11" customFormat="1" x14ac:dyDescent="0.25">
      <c r="A19" s="51" t="s">
        <v>238</v>
      </c>
      <c r="B19" s="52">
        <v>7.66</v>
      </c>
      <c r="C19" s="52">
        <v>9.59</v>
      </c>
      <c r="D19" s="52">
        <v>11.1</v>
      </c>
      <c r="E19" s="52">
        <v>4.29</v>
      </c>
      <c r="F19" s="52">
        <v>3.22</v>
      </c>
      <c r="G19" s="52">
        <v>22.65</v>
      </c>
      <c r="H19" s="52">
        <v>4.13</v>
      </c>
      <c r="I19" s="52">
        <v>0.95</v>
      </c>
      <c r="J19" s="52">
        <v>0.66</v>
      </c>
      <c r="K19" s="52">
        <v>237.27</v>
      </c>
      <c r="L19" s="52">
        <v>25.5</v>
      </c>
      <c r="M19" s="52">
        <v>97.66</v>
      </c>
      <c r="N19" s="52">
        <v>348.5</v>
      </c>
      <c r="O19" s="52">
        <v>0</v>
      </c>
      <c r="P19" s="52">
        <v>0.24</v>
      </c>
      <c r="Q19" s="52">
        <v>9.6199999999999992</v>
      </c>
      <c r="R19" s="43"/>
      <c r="S19" s="43"/>
      <c r="T19" s="43"/>
      <c r="U19" s="43"/>
    </row>
    <row r="20" spans="1:21" s="11" customFormat="1" x14ac:dyDescent="0.25">
      <c r="A20" s="51" t="s">
        <v>239</v>
      </c>
      <c r="B20" s="52">
        <v>7.28</v>
      </c>
      <c r="C20" s="52">
        <v>9.35</v>
      </c>
      <c r="D20" s="52">
        <v>10.73</v>
      </c>
      <c r="E20" s="52">
        <v>4.21</v>
      </c>
      <c r="F20" s="52">
        <v>5.39</v>
      </c>
      <c r="G20" s="52">
        <v>22.65</v>
      </c>
      <c r="H20" s="52">
        <v>4.13</v>
      </c>
      <c r="I20" s="52">
        <v>0.92</v>
      </c>
      <c r="J20" s="52">
        <v>0.43</v>
      </c>
      <c r="K20" s="52">
        <v>181.84</v>
      </c>
      <c r="L20" s="52">
        <v>26.78</v>
      </c>
      <c r="M20" s="52">
        <v>97.17</v>
      </c>
      <c r="N20" s="52">
        <v>633.1</v>
      </c>
      <c r="O20" s="52">
        <v>0</v>
      </c>
      <c r="P20" s="52">
        <v>0.22</v>
      </c>
      <c r="Q20" s="52">
        <v>9.6300000000000008</v>
      </c>
      <c r="R20" s="43"/>
      <c r="S20" s="43"/>
      <c r="T20" s="43"/>
      <c r="U20" s="43"/>
    </row>
    <row r="21" spans="1:21" s="11" customFormat="1" x14ac:dyDescent="0.25">
      <c r="A21" s="51" t="s">
        <v>240</v>
      </c>
      <c r="B21" s="52">
        <v>7.72</v>
      </c>
      <c r="C21" s="52">
        <v>9.9600000000000009</v>
      </c>
      <c r="D21" s="52">
        <v>11</v>
      </c>
      <c r="E21" s="52">
        <v>4.13</v>
      </c>
      <c r="F21" s="52">
        <v>5.73</v>
      </c>
      <c r="G21" s="52">
        <v>18.43</v>
      </c>
      <c r="H21" s="52">
        <v>3.23</v>
      </c>
      <c r="I21" s="52">
        <v>0.89</v>
      </c>
      <c r="J21" s="52">
        <v>0.18</v>
      </c>
      <c r="K21" s="52">
        <v>234.92</v>
      </c>
      <c r="L21" s="52">
        <v>26.58</v>
      </c>
      <c r="M21" s="52">
        <v>97.58</v>
      </c>
      <c r="N21" s="52">
        <v>301.5</v>
      </c>
      <c r="O21" s="52">
        <v>0</v>
      </c>
      <c r="P21" s="52">
        <v>0.22</v>
      </c>
      <c r="Q21" s="52">
        <v>9.6199999999999992</v>
      </c>
      <c r="R21" s="43"/>
      <c r="S21" s="43"/>
      <c r="T21" s="43"/>
      <c r="U21" s="43"/>
    </row>
    <row r="22" spans="1:21" s="11" customFormat="1" x14ac:dyDescent="0.25">
      <c r="A22" s="51" t="s">
        <v>241</v>
      </c>
      <c r="B22" s="52">
        <v>7.86</v>
      </c>
      <c r="C22" s="52">
        <v>10.1</v>
      </c>
      <c r="D22" s="52">
        <v>11.36</v>
      </c>
      <c r="E22" s="52">
        <v>4.3899999999999997</v>
      </c>
      <c r="F22" s="52">
        <v>8.08</v>
      </c>
      <c r="G22" s="52">
        <v>18.43</v>
      </c>
      <c r="H22" s="52">
        <v>3.62</v>
      </c>
      <c r="I22" s="52">
        <v>0.87</v>
      </c>
      <c r="J22" s="52">
        <v>0.33</v>
      </c>
      <c r="K22" s="52">
        <v>163.65</v>
      </c>
      <c r="L22" s="52">
        <v>26.59</v>
      </c>
      <c r="M22" s="52">
        <v>97.5</v>
      </c>
      <c r="N22" s="52">
        <v>332.4</v>
      </c>
      <c r="O22" s="52">
        <v>0</v>
      </c>
      <c r="P22" s="52">
        <v>0.27</v>
      </c>
      <c r="Q22" s="52">
        <v>9.6300000000000008</v>
      </c>
      <c r="R22" s="43"/>
      <c r="S22" s="43"/>
      <c r="T22" s="43"/>
      <c r="U22" s="43"/>
    </row>
    <row r="23" spans="1:21" s="11" customFormat="1" x14ac:dyDescent="0.25">
      <c r="A23" s="51" t="s">
        <v>242</v>
      </c>
      <c r="B23" s="52">
        <v>7.33</v>
      </c>
      <c r="C23" s="52">
        <v>10.029999999999999</v>
      </c>
      <c r="D23" s="52">
        <v>11.11</v>
      </c>
      <c r="E23" s="52">
        <v>4.53</v>
      </c>
      <c r="F23" s="52">
        <v>7.41</v>
      </c>
      <c r="G23" s="52">
        <v>15.55</v>
      </c>
      <c r="H23" s="52">
        <v>3.62</v>
      </c>
      <c r="I23" s="52">
        <v>0.85</v>
      </c>
      <c r="J23" s="52">
        <v>0.61</v>
      </c>
      <c r="K23" s="52">
        <v>157.96</v>
      </c>
      <c r="L23" s="52">
        <v>26.94</v>
      </c>
      <c r="M23" s="52">
        <v>97.6</v>
      </c>
      <c r="N23" s="52">
        <v>308.8</v>
      </c>
      <c r="O23" s="52">
        <v>0</v>
      </c>
      <c r="P23" s="52">
        <v>0.26</v>
      </c>
      <c r="Q23" s="52">
        <v>9.6300000000000008</v>
      </c>
      <c r="R23" s="43"/>
      <c r="S23" s="43"/>
      <c r="T23" s="43"/>
      <c r="U23" s="43"/>
    </row>
    <row r="24" spans="1:21" s="11" customFormat="1" x14ac:dyDescent="0.25">
      <c r="A24" s="51" t="s">
        <v>243</v>
      </c>
      <c r="B24" s="52">
        <v>7.79</v>
      </c>
      <c r="C24" s="52">
        <v>10.01</v>
      </c>
      <c r="D24" s="52">
        <v>11.48</v>
      </c>
      <c r="E24" s="52">
        <v>4.5199999999999996</v>
      </c>
      <c r="F24" s="52">
        <v>8.5299999999999994</v>
      </c>
      <c r="G24" s="52">
        <v>15.55</v>
      </c>
      <c r="H24" s="52">
        <v>3.58</v>
      </c>
      <c r="I24" s="52">
        <v>0.86</v>
      </c>
      <c r="J24" s="52">
        <v>1.0900000000000001</v>
      </c>
      <c r="K24" s="52">
        <v>148.07</v>
      </c>
      <c r="L24" s="52">
        <v>26.52</v>
      </c>
      <c r="M24" s="52">
        <v>97.63</v>
      </c>
      <c r="N24" s="52">
        <v>216.3</v>
      </c>
      <c r="O24" s="52">
        <v>0</v>
      </c>
      <c r="P24" s="52">
        <v>0.25</v>
      </c>
      <c r="Q24" s="52">
        <v>9.6300000000000008</v>
      </c>
      <c r="R24" s="43"/>
      <c r="S24" s="43"/>
      <c r="T24" s="43"/>
      <c r="U24" s="43"/>
    </row>
    <row r="25" spans="1:21" s="11" customFormat="1" x14ac:dyDescent="0.25">
      <c r="A25" s="51" t="s">
        <v>244</v>
      </c>
      <c r="B25" s="52">
        <v>8.14</v>
      </c>
      <c r="C25" s="52">
        <v>12.05</v>
      </c>
      <c r="D25" s="52">
        <v>12.38</v>
      </c>
      <c r="E25" s="52">
        <v>4.3499999999999996</v>
      </c>
      <c r="F25" s="52">
        <v>10.31</v>
      </c>
      <c r="G25" s="52">
        <v>15.29</v>
      </c>
      <c r="H25" s="52">
        <v>2.89</v>
      </c>
      <c r="I25" s="52">
        <v>0.85</v>
      </c>
      <c r="J25" s="52">
        <v>1.73</v>
      </c>
      <c r="K25" s="52">
        <v>143.46</v>
      </c>
      <c r="L25" s="52">
        <v>26.37</v>
      </c>
      <c r="M25" s="52">
        <v>97.65</v>
      </c>
      <c r="N25" s="52">
        <v>162.5</v>
      </c>
      <c r="O25" s="52">
        <v>0</v>
      </c>
      <c r="P25" s="52">
        <v>0.25</v>
      </c>
      <c r="Q25" s="52">
        <v>9.6199999999999992</v>
      </c>
      <c r="R25" s="43"/>
      <c r="S25" s="43"/>
      <c r="T25" s="43"/>
      <c r="U25" s="43"/>
    </row>
    <row r="26" spans="1:21" s="11" customFormat="1" x14ac:dyDescent="0.25">
      <c r="A26" s="51" t="s">
        <v>245</v>
      </c>
      <c r="B26" s="52">
        <v>8.1999999999999993</v>
      </c>
      <c r="C26" s="52">
        <v>11.63</v>
      </c>
      <c r="D26" s="52">
        <v>12.26</v>
      </c>
      <c r="E26" s="52">
        <v>4.42</v>
      </c>
      <c r="F26" s="52">
        <v>8.34</v>
      </c>
      <c r="G26" s="52">
        <v>28.08</v>
      </c>
      <c r="H26" s="52">
        <v>4.1399999999999997</v>
      </c>
      <c r="I26" s="52">
        <v>0.83</v>
      </c>
      <c r="J26" s="52">
        <v>0.64</v>
      </c>
      <c r="K26" s="52">
        <v>343.63</v>
      </c>
      <c r="L26" s="52">
        <v>26.17</v>
      </c>
      <c r="M26" s="52">
        <v>97.68</v>
      </c>
      <c r="N26" s="52">
        <v>109.3</v>
      </c>
      <c r="O26" s="52">
        <v>0</v>
      </c>
      <c r="P26" s="52">
        <v>0.27</v>
      </c>
      <c r="Q26" s="52">
        <v>9.6199999999999992</v>
      </c>
      <c r="R26" s="43"/>
      <c r="S26" s="43"/>
      <c r="T26" s="43"/>
      <c r="U26" s="43"/>
    </row>
    <row r="27" spans="1:21" s="11" customFormat="1" x14ac:dyDescent="0.25">
      <c r="A27" s="51" t="s">
        <v>246</v>
      </c>
      <c r="B27" s="52">
        <v>8.81</v>
      </c>
      <c r="C27" s="52">
        <v>16.71</v>
      </c>
      <c r="D27" s="52">
        <v>14.93</v>
      </c>
      <c r="E27" s="52">
        <v>4.25</v>
      </c>
      <c r="F27" s="52">
        <v>5.39</v>
      </c>
      <c r="G27" s="52">
        <v>28.08</v>
      </c>
      <c r="H27" s="52">
        <v>4.28</v>
      </c>
      <c r="I27" s="52">
        <v>0.87</v>
      </c>
      <c r="J27" s="52">
        <v>0.2</v>
      </c>
      <c r="K27" s="52">
        <v>348.31</v>
      </c>
      <c r="L27" s="52">
        <v>24.19</v>
      </c>
      <c r="M27" s="52">
        <v>97.73</v>
      </c>
      <c r="N27" s="52">
        <v>61.1</v>
      </c>
      <c r="O27" s="52">
        <v>0</v>
      </c>
      <c r="P27" s="52">
        <v>0.48</v>
      </c>
      <c r="Q27" s="52">
        <v>9.64</v>
      </c>
      <c r="R27" s="43"/>
      <c r="S27" s="43"/>
      <c r="T27" s="43"/>
      <c r="U27" s="43"/>
    </row>
    <row r="28" spans="1:21" s="11" customFormat="1" x14ac:dyDescent="0.25">
      <c r="A28" s="51" t="s">
        <v>247</v>
      </c>
      <c r="B28" s="52">
        <v>13.08</v>
      </c>
      <c r="C28" s="52">
        <v>12.7</v>
      </c>
      <c r="D28" s="52">
        <v>17.12</v>
      </c>
      <c r="E28" s="52">
        <v>4.3899999999999997</v>
      </c>
      <c r="F28" s="52">
        <v>4.18</v>
      </c>
      <c r="G28" s="52">
        <v>24.21</v>
      </c>
      <c r="H28" s="52">
        <v>4.28</v>
      </c>
      <c r="I28" s="52">
        <v>0.94</v>
      </c>
      <c r="J28" s="52">
        <v>0.12</v>
      </c>
      <c r="K28" s="52">
        <v>332.36</v>
      </c>
      <c r="L28" s="52">
        <v>24.09</v>
      </c>
      <c r="M28" s="52">
        <v>97.73</v>
      </c>
      <c r="N28" s="52">
        <v>53.1</v>
      </c>
      <c r="O28" s="52">
        <v>0</v>
      </c>
      <c r="P28" s="52">
        <v>0.63</v>
      </c>
      <c r="Q28" s="52">
        <v>9.6300000000000008</v>
      </c>
      <c r="R28" s="43"/>
      <c r="S28" s="43"/>
      <c r="T28" s="43"/>
      <c r="U28" s="43"/>
    </row>
    <row r="29" spans="1:21" s="11" customFormat="1" x14ac:dyDescent="0.25">
      <c r="A29" s="51" t="s">
        <v>248</v>
      </c>
      <c r="B29" s="52">
        <v>14.26</v>
      </c>
      <c r="C29" s="52">
        <v>14.22</v>
      </c>
      <c r="D29" s="52">
        <v>18.87</v>
      </c>
      <c r="E29" s="52">
        <v>4.1900000000000004</v>
      </c>
      <c r="F29" s="52">
        <v>7.57</v>
      </c>
      <c r="G29" s="52">
        <v>28.84</v>
      </c>
      <c r="H29" s="52">
        <v>5.04</v>
      </c>
      <c r="I29" s="52">
        <v>1.07</v>
      </c>
      <c r="J29" s="52">
        <v>0.18</v>
      </c>
      <c r="K29" s="52">
        <v>341.2</v>
      </c>
      <c r="L29" s="52">
        <v>24.31</v>
      </c>
      <c r="M29" s="52">
        <v>97.7</v>
      </c>
      <c r="N29" s="52">
        <v>53.1</v>
      </c>
      <c r="O29" s="52">
        <v>0</v>
      </c>
      <c r="P29" s="52">
        <v>0.72</v>
      </c>
      <c r="Q29" s="52">
        <v>9.64</v>
      </c>
      <c r="R29" s="43"/>
      <c r="S29" s="43"/>
      <c r="T29" s="43"/>
      <c r="U29" s="43"/>
    </row>
    <row r="30" spans="1:21" s="11" customFormat="1" x14ac:dyDescent="0.25">
      <c r="A30" s="51" t="s">
        <v>249</v>
      </c>
      <c r="B30" s="52">
        <v>22.74</v>
      </c>
      <c r="C30" s="52">
        <v>15.52</v>
      </c>
      <c r="D30" s="52">
        <v>24.77</v>
      </c>
      <c r="E30" s="52">
        <v>4.45</v>
      </c>
      <c r="F30" s="52">
        <v>5.85</v>
      </c>
      <c r="G30" s="52">
        <v>34.590000000000003</v>
      </c>
      <c r="H30" s="52">
        <v>5.04</v>
      </c>
      <c r="I30" s="52">
        <v>1.3</v>
      </c>
      <c r="J30" s="52">
        <v>0.27</v>
      </c>
      <c r="K30" s="52">
        <v>327.16000000000003</v>
      </c>
      <c r="L30" s="52">
        <v>24.16</v>
      </c>
      <c r="M30" s="52">
        <v>97.75</v>
      </c>
      <c r="N30" s="52">
        <v>52.2</v>
      </c>
      <c r="O30" s="52">
        <v>0</v>
      </c>
      <c r="P30" s="52">
        <v>0.73</v>
      </c>
      <c r="Q30" s="52">
        <v>9.6300000000000008</v>
      </c>
      <c r="R30" s="43"/>
      <c r="S30" s="43"/>
      <c r="T30" s="43"/>
      <c r="U30" s="43"/>
    </row>
    <row r="31" spans="1:21" s="11" customFormat="1" x14ac:dyDescent="0.25">
      <c r="A31" s="51" t="s">
        <v>250</v>
      </c>
      <c r="B31" s="52">
        <v>10.6</v>
      </c>
      <c r="C31" s="52">
        <v>14.4</v>
      </c>
      <c r="D31" s="52">
        <v>14.21</v>
      </c>
      <c r="E31" s="52">
        <v>4.75</v>
      </c>
      <c r="F31" s="52">
        <v>5.31</v>
      </c>
      <c r="G31" s="52">
        <v>34.590000000000003</v>
      </c>
      <c r="H31" s="52">
        <v>5.89</v>
      </c>
      <c r="I31" s="52">
        <v>1.39</v>
      </c>
      <c r="J31" s="52">
        <v>0.19</v>
      </c>
      <c r="K31" s="52">
        <v>219.51</v>
      </c>
      <c r="L31" s="52">
        <v>23.65</v>
      </c>
      <c r="M31" s="52">
        <v>97.78</v>
      </c>
      <c r="N31" s="52">
        <v>52.7</v>
      </c>
      <c r="O31" s="52">
        <v>0</v>
      </c>
      <c r="P31" s="52">
        <v>0.54</v>
      </c>
      <c r="Q31" s="52">
        <v>9.64</v>
      </c>
      <c r="R31" s="43"/>
      <c r="S31" s="43"/>
      <c r="T31" s="43"/>
      <c r="U31" s="43"/>
    </row>
    <row r="32" spans="1:21" s="11" customFormat="1" x14ac:dyDescent="0.25">
      <c r="A32" s="51" t="s">
        <v>251</v>
      </c>
      <c r="B32" s="52">
        <v>9.8000000000000007</v>
      </c>
      <c r="C32" s="52">
        <v>11.95</v>
      </c>
      <c r="D32" s="52">
        <v>13.78</v>
      </c>
      <c r="E32" s="52">
        <v>4.75</v>
      </c>
      <c r="F32" s="52">
        <v>7.17</v>
      </c>
      <c r="G32" s="52">
        <v>25.85</v>
      </c>
      <c r="H32" s="52">
        <v>6.5</v>
      </c>
      <c r="I32" s="52">
        <v>1.42</v>
      </c>
      <c r="J32" s="52">
        <v>0.09</v>
      </c>
      <c r="K32" s="52">
        <v>238.24</v>
      </c>
      <c r="L32" s="52">
        <v>23.35</v>
      </c>
      <c r="M32" s="52">
        <v>97.82</v>
      </c>
      <c r="N32" s="52">
        <v>52.7</v>
      </c>
      <c r="O32" s="52">
        <v>0</v>
      </c>
      <c r="P32" s="52">
        <v>0.57999999999999996</v>
      </c>
      <c r="Q32" s="52">
        <v>9.65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6.13</v>
      </c>
      <c r="C34" s="28">
        <f t="shared" si="0"/>
        <v>7.51</v>
      </c>
      <c r="D34" s="28">
        <f t="shared" si="0"/>
        <v>9.14</v>
      </c>
      <c r="E34" s="28">
        <f t="shared" si="0"/>
        <v>4.05</v>
      </c>
      <c r="F34" s="28">
        <f t="shared" si="0"/>
        <v>2.3199999999999998</v>
      </c>
      <c r="G34" s="28">
        <f t="shared" si="0"/>
        <v>13.27</v>
      </c>
      <c r="H34" s="28">
        <f t="shared" si="0"/>
        <v>2.75</v>
      </c>
      <c r="I34" s="28">
        <f t="shared" si="0"/>
        <v>0.83</v>
      </c>
      <c r="J34" s="28">
        <f t="shared" si="0"/>
        <v>0.08</v>
      </c>
      <c r="K34" s="28">
        <f t="shared" si="0"/>
        <v>143.46</v>
      </c>
      <c r="L34" s="28">
        <f t="shared" si="0"/>
        <v>22.81</v>
      </c>
      <c r="M34" s="28">
        <f t="shared" si="0"/>
        <v>97.17</v>
      </c>
      <c r="N34" s="28">
        <f t="shared" si="0"/>
        <v>51.7</v>
      </c>
      <c r="O34" s="28">
        <f t="shared" si="0"/>
        <v>0</v>
      </c>
      <c r="P34" s="28">
        <f t="shared" si="0"/>
        <v>0.18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22.74</v>
      </c>
      <c r="C35" s="29">
        <f t="shared" si="1"/>
        <v>16.71</v>
      </c>
      <c r="D35" s="29">
        <f t="shared" si="1"/>
        <v>24.77</v>
      </c>
      <c r="E35" s="29">
        <f t="shared" si="1"/>
        <v>4.8499999999999996</v>
      </c>
      <c r="F35" s="29">
        <f t="shared" si="1"/>
        <v>10.31</v>
      </c>
      <c r="G35" s="29">
        <f t="shared" si="1"/>
        <v>34.590000000000003</v>
      </c>
      <c r="H35" s="29">
        <f t="shared" si="1"/>
        <v>6.5</v>
      </c>
      <c r="I35" s="29">
        <f t="shared" si="1"/>
        <v>1.42</v>
      </c>
      <c r="J35" s="29">
        <f t="shared" si="1"/>
        <v>1.73</v>
      </c>
      <c r="K35" s="29">
        <f t="shared" si="1"/>
        <v>350.05</v>
      </c>
      <c r="L35" s="29">
        <f t="shared" si="1"/>
        <v>26.94</v>
      </c>
      <c r="M35" s="29">
        <f t="shared" si="1"/>
        <v>98.13</v>
      </c>
      <c r="N35" s="29">
        <f t="shared" si="1"/>
        <v>633.1</v>
      </c>
      <c r="O35" s="29">
        <f t="shared" si="1"/>
        <v>0.2</v>
      </c>
      <c r="P35" s="29">
        <f t="shared" si="1"/>
        <v>0.73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8.8358333333333352</v>
      </c>
      <c r="C36" s="28">
        <f t="shared" si="2"/>
        <v>10.792916666666665</v>
      </c>
      <c r="D36" s="28">
        <f t="shared" si="2"/>
        <v>12.442916666666667</v>
      </c>
      <c r="E36" s="28">
        <f t="shared" si="2"/>
        <v>4.4695833333333326</v>
      </c>
      <c r="F36" s="28">
        <f t="shared" si="2"/>
        <v>5.5416666666666652</v>
      </c>
      <c r="G36" s="28">
        <f t="shared" si="2"/>
        <v>20.373750000000001</v>
      </c>
      <c r="H36" s="28">
        <f t="shared" si="2"/>
        <v>4.1008333333333331</v>
      </c>
      <c r="I36" s="28">
        <f t="shared" si="2"/>
        <v>0.97916666666666663</v>
      </c>
      <c r="J36" s="28">
        <f t="shared" si="2"/>
        <v>0.33791666666666664</v>
      </c>
      <c r="K36" s="28">
        <f t="shared" si="2"/>
        <v>275.66874999999999</v>
      </c>
      <c r="L36" s="28">
        <f t="shared" si="2"/>
        <v>24.55791666666666</v>
      </c>
      <c r="M36" s="28">
        <f t="shared" si="2"/>
        <v>97.772916666666688</v>
      </c>
      <c r="N36" s="28">
        <f t="shared" si="2"/>
        <v>164.07916666666665</v>
      </c>
      <c r="O36" s="28">
        <f t="shared" si="2"/>
        <v>8.3333333333333332E-3</v>
      </c>
      <c r="P36" s="28">
        <f t="shared" si="2"/>
        <v>0.32708333333333334</v>
      </c>
      <c r="Q36" s="28">
        <f t="shared" si="2"/>
        <v>9.629999999999999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3.5455384292971881</v>
      </c>
      <c r="C37" s="28">
        <f t="shared" ref="C37:Q37" si="3">STDEV(C9:C32)</f>
        <v>2.4366289599374382</v>
      </c>
      <c r="D37" s="28">
        <f t="shared" si="3"/>
        <v>3.5470704129595134</v>
      </c>
      <c r="E37" s="28">
        <f t="shared" si="3"/>
        <v>0.24297931861654867</v>
      </c>
      <c r="F37" s="28">
        <f t="shared" si="3"/>
        <v>2.2295401488563349</v>
      </c>
      <c r="G37" s="28">
        <f t="shared" si="3"/>
        <v>6.5518300214852001</v>
      </c>
      <c r="H37" s="28">
        <f t="shared" si="3"/>
        <v>0.89194909518749821</v>
      </c>
      <c r="I37" s="28">
        <f t="shared" si="3"/>
        <v>0.16623494810362327</v>
      </c>
      <c r="J37" s="28">
        <f t="shared" si="3"/>
        <v>0.38453788377476028</v>
      </c>
      <c r="K37" s="28">
        <f t="shared" si="3"/>
        <v>72.767593438915583</v>
      </c>
      <c r="L37" s="28">
        <f t="shared" si="3"/>
        <v>1.5054537931097076</v>
      </c>
      <c r="M37" s="28">
        <f t="shared" si="3"/>
        <v>0.22716550501047972</v>
      </c>
      <c r="N37" s="28">
        <f t="shared" si="3"/>
        <v>150.95699352771823</v>
      </c>
      <c r="O37" s="28">
        <f t="shared" si="3"/>
        <v>4.0824829046386311E-2</v>
      </c>
      <c r="P37" s="28">
        <f t="shared" si="3"/>
        <v>0.17691754814200783</v>
      </c>
      <c r="Q37" s="28">
        <f t="shared" si="3"/>
        <v>8.34057656228346E-3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3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E17" sqref="E17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252</v>
      </c>
      <c r="B9" s="52">
        <v>9.06</v>
      </c>
      <c r="C9" s="52">
        <v>8.3699999999999992</v>
      </c>
      <c r="D9" s="52">
        <v>11.16</v>
      </c>
      <c r="E9" s="52">
        <v>4.45</v>
      </c>
      <c r="F9" s="52">
        <v>7.34</v>
      </c>
      <c r="G9" s="52">
        <v>25.37</v>
      </c>
      <c r="H9" s="52">
        <v>6.5</v>
      </c>
      <c r="I9" s="52">
        <v>1.42</v>
      </c>
      <c r="J9" s="52">
        <v>0.11</v>
      </c>
      <c r="K9" s="52">
        <v>260.88</v>
      </c>
      <c r="L9" s="52">
        <v>23.26</v>
      </c>
      <c r="M9" s="52">
        <v>97.83</v>
      </c>
      <c r="N9" s="52">
        <v>52.8</v>
      </c>
      <c r="O9" s="52">
        <v>0</v>
      </c>
      <c r="P9" s="52">
        <v>0.4</v>
      </c>
      <c r="Q9" s="52">
        <v>9.66</v>
      </c>
      <c r="R9" s="43"/>
      <c r="S9" s="43"/>
      <c r="T9" s="43"/>
      <c r="U9" s="43"/>
    </row>
    <row r="10" spans="1:21" s="11" customFormat="1" x14ac:dyDescent="0.25">
      <c r="A10" s="51" t="s">
        <v>253</v>
      </c>
      <c r="B10" s="52">
        <v>8.43</v>
      </c>
      <c r="C10" s="52">
        <v>6.88</v>
      </c>
      <c r="D10" s="52">
        <v>10.36</v>
      </c>
      <c r="E10" s="52">
        <v>4.84</v>
      </c>
      <c r="F10" s="52">
        <v>7.68</v>
      </c>
      <c r="G10" s="52">
        <v>17.170000000000002</v>
      </c>
      <c r="H10" s="52">
        <v>6.95</v>
      </c>
      <c r="I10" s="52">
        <v>1.35</v>
      </c>
      <c r="J10" s="52">
        <v>0.05</v>
      </c>
      <c r="K10" s="52">
        <v>310.45</v>
      </c>
      <c r="L10" s="52">
        <v>23.25</v>
      </c>
      <c r="M10" s="52">
        <v>97.79</v>
      </c>
      <c r="N10" s="52">
        <v>53.1</v>
      </c>
      <c r="O10" s="52">
        <v>0</v>
      </c>
      <c r="P10" s="52">
        <v>0.33</v>
      </c>
      <c r="Q10" s="52">
        <v>9.66</v>
      </c>
      <c r="R10" s="43"/>
      <c r="S10" s="43"/>
      <c r="T10" s="43"/>
      <c r="U10" s="43"/>
    </row>
    <row r="11" spans="1:21" s="11" customFormat="1" x14ac:dyDescent="0.25">
      <c r="A11" s="51" t="s">
        <v>254</v>
      </c>
      <c r="B11" s="52">
        <v>8.85</v>
      </c>
      <c r="C11" s="52">
        <v>6.73</v>
      </c>
      <c r="D11" s="52">
        <v>10.27</v>
      </c>
      <c r="E11" s="52">
        <v>4.71</v>
      </c>
      <c r="F11" s="52">
        <v>8.57</v>
      </c>
      <c r="G11" s="52">
        <v>15.08</v>
      </c>
      <c r="H11" s="52">
        <v>6.95</v>
      </c>
      <c r="I11" s="52">
        <v>1.26</v>
      </c>
      <c r="J11" s="52">
        <v>0.05</v>
      </c>
      <c r="K11" s="52">
        <v>305.10000000000002</v>
      </c>
      <c r="L11" s="52">
        <v>23.17</v>
      </c>
      <c r="M11" s="52">
        <v>97.8</v>
      </c>
      <c r="N11" s="52">
        <v>53.1</v>
      </c>
      <c r="O11" s="52">
        <v>0</v>
      </c>
      <c r="P11" s="52">
        <v>0.36</v>
      </c>
      <c r="Q11" s="52">
        <v>9.66</v>
      </c>
      <c r="R11" s="43"/>
      <c r="S11" s="43"/>
      <c r="T11" s="43"/>
      <c r="U11" s="43"/>
    </row>
    <row r="12" spans="1:21" s="11" customFormat="1" x14ac:dyDescent="0.25">
      <c r="A12" s="51" t="s">
        <v>255</v>
      </c>
      <c r="B12" s="52">
        <v>7.96</v>
      </c>
      <c r="C12" s="52">
        <v>6.55</v>
      </c>
      <c r="D12" s="52">
        <v>9.81</v>
      </c>
      <c r="E12" s="52">
        <v>4.7</v>
      </c>
      <c r="F12" s="52">
        <v>8.73</v>
      </c>
      <c r="G12" s="52">
        <v>14.25</v>
      </c>
      <c r="H12" s="52">
        <v>5.13</v>
      </c>
      <c r="I12" s="52">
        <v>1.2</v>
      </c>
      <c r="J12" s="52">
        <v>0.08</v>
      </c>
      <c r="K12" s="52">
        <v>194.24</v>
      </c>
      <c r="L12" s="52">
        <v>23.02</v>
      </c>
      <c r="M12" s="52">
        <v>97.79</v>
      </c>
      <c r="N12" s="52">
        <v>52.9</v>
      </c>
      <c r="O12" s="52">
        <v>0.2</v>
      </c>
      <c r="P12" s="52">
        <v>0.26</v>
      </c>
      <c r="Q12" s="52">
        <v>9.66</v>
      </c>
      <c r="R12" s="43"/>
      <c r="S12" s="43"/>
      <c r="T12" s="43"/>
      <c r="U12" s="43"/>
    </row>
    <row r="13" spans="1:21" s="11" customFormat="1" x14ac:dyDescent="0.25">
      <c r="A13" s="51" t="s">
        <v>256</v>
      </c>
      <c r="B13" s="52">
        <v>10.26</v>
      </c>
      <c r="C13" s="52">
        <v>10.31</v>
      </c>
      <c r="D13" s="52">
        <v>13.61</v>
      </c>
      <c r="E13" s="52">
        <v>4.6900000000000004</v>
      </c>
      <c r="F13" s="52">
        <v>6.23</v>
      </c>
      <c r="G13" s="52">
        <v>12.78</v>
      </c>
      <c r="H13" s="52">
        <v>3.88</v>
      </c>
      <c r="I13" s="52">
        <v>1.24</v>
      </c>
      <c r="J13" s="52">
        <v>0.19</v>
      </c>
      <c r="K13" s="52">
        <v>189.94</v>
      </c>
      <c r="L13" s="52">
        <v>22.79</v>
      </c>
      <c r="M13" s="52">
        <v>97.82</v>
      </c>
      <c r="N13" s="52">
        <v>52.9</v>
      </c>
      <c r="O13" s="52">
        <v>0</v>
      </c>
      <c r="P13" s="52">
        <v>0.26</v>
      </c>
      <c r="Q13" s="52">
        <v>9.66</v>
      </c>
      <c r="R13" s="43"/>
      <c r="S13" s="43"/>
      <c r="T13" s="43"/>
      <c r="U13" s="43"/>
    </row>
    <row r="14" spans="1:21" s="11" customFormat="1" x14ac:dyDescent="0.25">
      <c r="A14" s="51" t="s">
        <v>257</v>
      </c>
      <c r="B14" s="52">
        <v>7.87</v>
      </c>
      <c r="C14" s="52">
        <v>8.76</v>
      </c>
      <c r="D14" s="52">
        <v>10.71</v>
      </c>
      <c r="E14" s="52">
        <v>4.67</v>
      </c>
      <c r="F14" s="52">
        <v>6.89</v>
      </c>
      <c r="G14" s="52">
        <v>14.22</v>
      </c>
      <c r="H14" s="52">
        <v>3.05</v>
      </c>
      <c r="I14" s="52">
        <v>1.18</v>
      </c>
      <c r="J14" s="52">
        <v>0.11</v>
      </c>
      <c r="K14" s="52">
        <v>203.89</v>
      </c>
      <c r="L14" s="52">
        <v>22.86</v>
      </c>
      <c r="M14" s="52">
        <v>97.83</v>
      </c>
      <c r="N14" s="52">
        <v>64.8</v>
      </c>
      <c r="O14" s="52">
        <v>0</v>
      </c>
      <c r="P14" s="52">
        <v>0.26</v>
      </c>
      <c r="Q14" s="52">
        <v>9.65</v>
      </c>
      <c r="R14" s="43"/>
      <c r="S14" s="43"/>
      <c r="T14" s="43"/>
      <c r="U14" s="43"/>
    </row>
    <row r="15" spans="1:21" s="11" customFormat="1" x14ac:dyDescent="0.25">
      <c r="A15" s="51" t="s">
        <v>258</v>
      </c>
      <c r="B15" s="52">
        <v>10.25</v>
      </c>
      <c r="C15" s="52">
        <v>9.2899999999999991</v>
      </c>
      <c r="D15" s="52">
        <v>12.84</v>
      </c>
      <c r="E15" s="52">
        <v>5.03</v>
      </c>
      <c r="F15" s="52">
        <v>6.32</v>
      </c>
      <c r="G15" s="52">
        <v>15.12</v>
      </c>
      <c r="H15" s="52">
        <v>2.46</v>
      </c>
      <c r="I15" s="52">
        <v>1.1299999999999999</v>
      </c>
      <c r="J15" s="52">
        <v>0.33</v>
      </c>
      <c r="K15" s="52">
        <v>139.49</v>
      </c>
      <c r="L15" s="52">
        <v>23.7</v>
      </c>
      <c r="M15" s="52">
        <v>97.83</v>
      </c>
      <c r="N15" s="52">
        <v>145.6</v>
      </c>
      <c r="O15" s="52">
        <v>0</v>
      </c>
      <c r="P15" s="52">
        <v>0.27</v>
      </c>
      <c r="Q15" s="52">
        <v>9.65</v>
      </c>
      <c r="R15" s="43"/>
      <c r="S15" s="43"/>
      <c r="T15" s="43"/>
      <c r="U15" s="43"/>
    </row>
    <row r="16" spans="1:21" s="11" customFormat="1" x14ac:dyDescent="0.25">
      <c r="A16" s="51" t="s">
        <v>259</v>
      </c>
      <c r="B16" s="52">
        <v>10.38</v>
      </c>
      <c r="C16" s="52">
        <v>9.1999999999999993</v>
      </c>
      <c r="D16" s="52">
        <v>12.8</v>
      </c>
      <c r="E16" s="52">
        <v>4.96</v>
      </c>
      <c r="F16" s="52">
        <v>6.87</v>
      </c>
      <c r="G16" s="52">
        <v>17.16</v>
      </c>
      <c r="H16" s="52">
        <v>2.57</v>
      </c>
      <c r="I16" s="52">
        <v>1.1299999999999999</v>
      </c>
      <c r="J16" s="52">
        <v>0.26</v>
      </c>
      <c r="K16" s="52">
        <v>150.78</v>
      </c>
      <c r="L16" s="52">
        <v>25.92</v>
      </c>
      <c r="M16" s="52">
        <v>97.75</v>
      </c>
      <c r="N16" s="52">
        <v>401.1</v>
      </c>
      <c r="O16" s="52">
        <v>0</v>
      </c>
      <c r="P16" s="52">
        <v>0.28999999999999998</v>
      </c>
      <c r="Q16" s="52">
        <v>9.66</v>
      </c>
      <c r="R16" s="43"/>
      <c r="S16" s="43"/>
      <c r="T16" s="43"/>
      <c r="U16" s="43"/>
    </row>
    <row r="17" spans="1:21" s="11" customFormat="1" x14ac:dyDescent="0.25">
      <c r="A17" s="51" t="s">
        <v>260</v>
      </c>
      <c r="B17" s="52">
        <v>11.32</v>
      </c>
      <c r="C17" s="52">
        <v>8.11</v>
      </c>
      <c r="D17" s="52">
        <v>13.07</v>
      </c>
      <c r="E17" s="52">
        <v>4.88</v>
      </c>
      <c r="F17" s="52">
        <v>6.02</v>
      </c>
      <c r="G17" s="52">
        <v>17.62</v>
      </c>
      <c r="H17" s="52">
        <v>2.57</v>
      </c>
      <c r="I17" s="52">
        <v>1.04</v>
      </c>
      <c r="J17" s="52">
        <v>0.24</v>
      </c>
      <c r="K17" s="52">
        <v>311.91000000000003</v>
      </c>
      <c r="L17" s="52">
        <v>30.69</v>
      </c>
      <c r="M17" s="52">
        <v>89.66</v>
      </c>
      <c r="N17" s="52">
        <v>796.6</v>
      </c>
      <c r="O17" s="52">
        <v>0</v>
      </c>
      <c r="P17" s="52">
        <v>0.3</v>
      </c>
      <c r="Q17" s="52">
        <v>9.66</v>
      </c>
      <c r="R17" s="43"/>
      <c r="S17" s="43"/>
      <c r="T17" s="43"/>
      <c r="U17" s="43"/>
    </row>
    <row r="18" spans="1:21" s="11" customFormat="1" x14ac:dyDescent="0.25">
      <c r="A18" s="51" t="s">
        <v>261</v>
      </c>
      <c r="B18" s="52">
        <v>10.41</v>
      </c>
      <c r="C18" s="52">
        <v>10.86</v>
      </c>
      <c r="D18" s="52">
        <v>13.61</v>
      </c>
      <c r="E18" s="52">
        <v>4.99</v>
      </c>
      <c r="F18" s="52">
        <v>6.59</v>
      </c>
      <c r="G18" s="52">
        <v>20.079999999999998</v>
      </c>
      <c r="H18" s="52">
        <v>2.88</v>
      </c>
      <c r="I18" s="52">
        <v>1.01</v>
      </c>
      <c r="J18" s="52">
        <v>0.32</v>
      </c>
      <c r="K18" s="52">
        <v>311</v>
      </c>
      <c r="L18" s="52">
        <v>31.41</v>
      </c>
      <c r="M18" s="52">
        <v>77.489999999999995</v>
      </c>
      <c r="N18" s="52">
        <v>887.1</v>
      </c>
      <c r="O18" s="52">
        <v>0</v>
      </c>
      <c r="P18" s="52">
        <v>0.39</v>
      </c>
      <c r="Q18" s="52">
        <v>9.64</v>
      </c>
      <c r="R18" s="43"/>
      <c r="S18" s="43"/>
      <c r="T18" s="43"/>
      <c r="U18" s="43"/>
    </row>
    <row r="19" spans="1:21" s="11" customFormat="1" x14ac:dyDescent="0.25">
      <c r="A19" s="51" t="s">
        <v>262</v>
      </c>
      <c r="B19" s="52">
        <v>10.43</v>
      </c>
      <c r="C19" s="52">
        <v>12.72</v>
      </c>
      <c r="D19" s="52">
        <v>14.45</v>
      </c>
      <c r="E19" s="52">
        <v>5.31</v>
      </c>
      <c r="F19" s="52">
        <v>7.05</v>
      </c>
      <c r="G19" s="52">
        <v>21.8</v>
      </c>
      <c r="H19" s="52">
        <v>5.57</v>
      </c>
      <c r="I19" s="52">
        <v>1.03</v>
      </c>
      <c r="J19" s="52">
        <v>0.24</v>
      </c>
      <c r="K19" s="52">
        <v>308.52</v>
      </c>
      <c r="L19" s="52">
        <v>32.049999999999997</v>
      </c>
      <c r="M19" s="52">
        <v>75.180000000000007</v>
      </c>
      <c r="N19" s="52">
        <v>939.9</v>
      </c>
      <c r="O19" s="52">
        <v>0</v>
      </c>
      <c r="P19" s="52">
        <v>0.36</v>
      </c>
      <c r="Q19" s="52">
        <v>9.61</v>
      </c>
      <c r="R19" s="43"/>
      <c r="S19" s="43"/>
      <c r="T19" s="43"/>
      <c r="U19" s="43"/>
    </row>
    <row r="20" spans="1:21" s="11" customFormat="1" x14ac:dyDescent="0.25">
      <c r="A20" s="51" t="s">
        <v>263</v>
      </c>
      <c r="B20" s="52">
        <v>7.88</v>
      </c>
      <c r="C20" s="52">
        <v>9.8800000000000008</v>
      </c>
      <c r="D20" s="52">
        <v>11.48</v>
      </c>
      <c r="E20" s="52">
        <v>5.0199999999999996</v>
      </c>
      <c r="F20" s="52">
        <v>5.38</v>
      </c>
      <c r="G20" s="52">
        <v>21.8</v>
      </c>
      <c r="H20" s="52">
        <v>5.57</v>
      </c>
      <c r="I20" s="52">
        <v>1.03</v>
      </c>
      <c r="J20" s="52">
        <v>0.2</v>
      </c>
      <c r="K20" s="52">
        <v>298.05</v>
      </c>
      <c r="L20" s="52">
        <v>31.25</v>
      </c>
      <c r="M20" s="52">
        <v>73.33</v>
      </c>
      <c r="N20" s="52">
        <v>1121.2</v>
      </c>
      <c r="O20" s="52">
        <v>0</v>
      </c>
      <c r="P20" s="52">
        <v>0.33</v>
      </c>
      <c r="Q20" s="52">
        <v>9.6199999999999992</v>
      </c>
      <c r="R20" s="43"/>
      <c r="S20" s="43"/>
      <c r="T20" s="43"/>
      <c r="U20" s="43"/>
    </row>
    <row r="21" spans="1:21" s="11" customFormat="1" x14ac:dyDescent="0.25">
      <c r="A21" s="51" t="s">
        <v>264</v>
      </c>
      <c r="B21" s="52">
        <v>7.23</v>
      </c>
      <c r="C21" s="52">
        <v>9.57</v>
      </c>
      <c r="D21" s="52">
        <v>10.76</v>
      </c>
      <c r="E21" s="52">
        <v>4.9800000000000004</v>
      </c>
      <c r="F21" s="52">
        <v>4.84</v>
      </c>
      <c r="G21" s="52">
        <v>19.27</v>
      </c>
      <c r="H21" s="52">
        <v>4.6100000000000003</v>
      </c>
      <c r="I21" s="52">
        <v>0.98</v>
      </c>
      <c r="J21" s="52">
        <v>0.15</v>
      </c>
      <c r="K21" s="52">
        <v>296.99</v>
      </c>
      <c r="L21" s="52">
        <v>31.83</v>
      </c>
      <c r="M21" s="52">
        <v>67</v>
      </c>
      <c r="N21" s="52">
        <v>1107.9000000000001</v>
      </c>
      <c r="O21" s="52">
        <v>0</v>
      </c>
      <c r="P21" s="52">
        <v>0.31</v>
      </c>
      <c r="Q21" s="52">
        <v>9.6199999999999992</v>
      </c>
      <c r="R21" s="43"/>
      <c r="S21" s="43"/>
      <c r="T21" s="43"/>
      <c r="U21" s="43"/>
    </row>
    <row r="22" spans="1:21" s="11" customFormat="1" x14ac:dyDescent="0.25">
      <c r="A22" s="51" t="s">
        <v>265</v>
      </c>
      <c r="B22" s="52">
        <v>6.78</v>
      </c>
      <c r="C22" s="52">
        <v>11.15</v>
      </c>
      <c r="D22" s="52">
        <v>10.89</v>
      </c>
      <c r="E22" s="52">
        <v>4.8899999999999997</v>
      </c>
      <c r="F22" s="52">
        <v>6.89</v>
      </c>
      <c r="G22" s="52">
        <v>20.02</v>
      </c>
      <c r="H22" s="52">
        <v>4.6100000000000003</v>
      </c>
      <c r="I22" s="52">
        <v>1</v>
      </c>
      <c r="J22" s="52">
        <v>0.62</v>
      </c>
      <c r="K22" s="52">
        <v>312.86</v>
      </c>
      <c r="L22" s="52">
        <v>31.89</v>
      </c>
      <c r="M22" s="52">
        <v>97.63</v>
      </c>
      <c r="N22" s="52">
        <v>304.2</v>
      </c>
      <c r="O22" s="52">
        <v>0</v>
      </c>
      <c r="P22" s="52">
        <v>0.32</v>
      </c>
      <c r="Q22" s="52">
        <v>9.61</v>
      </c>
      <c r="R22" s="43"/>
      <c r="S22" s="43"/>
      <c r="T22" s="43"/>
      <c r="U22" s="43"/>
    </row>
    <row r="23" spans="1:21" s="11" customFormat="1" x14ac:dyDescent="0.25">
      <c r="A23" s="51" t="s">
        <v>266</v>
      </c>
      <c r="B23" s="52">
        <v>7.45</v>
      </c>
      <c r="C23" s="52">
        <v>14.85</v>
      </c>
      <c r="D23" s="52">
        <v>13.74</v>
      </c>
      <c r="E23" s="52">
        <v>5.14</v>
      </c>
      <c r="F23" s="52">
        <v>9.16</v>
      </c>
      <c r="G23" s="52">
        <v>20.02</v>
      </c>
      <c r="H23" s="52">
        <v>4.12</v>
      </c>
      <c r="I23" s="52">
        <v>0.99</v>
      </c>
      <c r="J23" s="52">
        <v>1.53</v>
      </c>
      <c r="K23" s="52">
        <v>152.47999999999999</v>
      </c>
      <c r="L23" s="52">
        <v>26.84</v>
      </c>
      <c r="M23" s="52">
        <v>97.63</v>
      </c>
      <c r="N23" s="52">
        <v>211.1</v>
      </c>
      <c r="O23" s="52">
        <v>0</v>
      </c>
      <c r="P23" s="52">
        <v>0.28999999999999998</v>
      </c>
      <c r="Q23" s="52">
        <v>9.61</v>
      </c>
      <c r="R23" s="43"/>
      <c r="S23" s="43"/>
      <c r="T23" s="43"/>
      <c r="U23" s="43"/>
    </row>
    <row r="24" spans="1:21" s="11" customFormat="1" x14ac:dyDescent="0.25">
      <c r="A24" s="51" t="s">
        <v>267</v>
      </c>
      <c r="B24" s="52">
        <v>12.47</v>
      </c>
      <c r="C24" s="52">
        <v>15.63</v>
      </c>
      <c r="D24" s="52">
        <v>17.54</v>
      </c>
      <c r="E24" s="52">
        <v>5.07</v>
      </c>
      <c r="F24" s="52">
        <v>9.59</v>
      </c>
      <c r="G24" s="52">
        <v>20.22</v>
      </c>
      <c r="H24" s="52">
        <v>5.0999999999999996</v>
      </c>
      <c r="I24" s="52">
        <v>1.04</v>
      </c>
      <c r="J24" s="52">
        <v>0.12</v>
      </c>
      <c r="K24" s="52">
        <v>277.52</v>
      </c>
      <c r="L24" s="52">
        <v>28.62</v>
      </c>
      <c r="M24" s="52">
        <v>89.75</v>
      </c>
      <c r="N24" s="52">
        <v>226.4</v>
      </c>
      <c r="O24" s="52">
        <v>0</v>
      </c>
      <c r="P24" s="52">
        <v>0.41</v>
      </c>
      <c r="Q24" s="52">
        <v>9.6199999999999992</v>
      </c>
      <c r="R24" s="43"/>
      <c r="S24" s="43"/>
      <c r="T24" s="43"/>
      <c r="U24" s="43"/>
    </row>
    <row r="25" spans="1:21" s="11" customFormat="1" x14ac:dyDescent="0.25">
      <c r="A25" s="51" t="s">
        <v>268</v>
      </c>
      <c r="B25" s="52">
        <v>7.91</v>
      </c>
      <c r="C25" s="52">
        <v>13.02</v>
      </c>
      <c r="D25" s="52">
        <v>13.15</v>
      </c>
      <c r="E25" s="52">
        <v>3.91</v>
      </c>
      <c r="F25" s="52">
        <v>10.69</v>
      </c>
      <c r="G25" s="52">
        <v>20.22</v>
      </c>
      <c r="H25" s="52">
        <v>5.0999999999999996</v>
      </c>
      <c r="I25" s="52">
        <v>1.05</v>
      </c>
      <c r="J25" s="52">
        <v>0.77</v>
      </c>
      <c r="K25" s="52">
        <v>146.66999999999999</v>
      </c>
      <c r="L25" s="52">
        <v>28.5</v>
      </c>
      <c r="M25" s="52">
        <v>91.29</v>
      </c>
      <c r="N25" s="52">
        <v>179.4</v>
      </c>
      <c r="O25" s="52">
        <v>0</v>
      </c>
      <c r="P25" s="52">
        <v>0.25</v>
      </c>
      <c r="Q25" s="52">
        <v>9.64</v>
      </c>
      <c r="R25" s="43"/>
      <c r="S25" s="43"/>
      <c r="T25" s="43"/>
      <c r="U25" s="43"/>
    </row>
    <row r="26" spans="1:21" s="11" customFormat="1" x14ac:dyDescent="0.25">
      <c r="A26" s="51" t="s">
        <v>269</v>
      </c>
      <c r="B26" s="52">
        <v>6.36</v>
      </c>
      <c r="C26" s="52">
        <v>11.82</v>
      </c>
      <c r="D26" s="52">
        <v>11.28</v>
      </c>
      <c r="E26" s="52">
        <v>3.81</v>
      </c>
      <c r="F26" s="52">
        <v>10.59</v>
      </c>
      <c r="G26" s="52">
        <v>21.83</v>
      </c>
      <c r="H26" s="52">
        <v>3.81</v>
      </c>
      <c r="I26" s="52">
        <v>0.86</v>
      </c>
      <c r="J26" s="52">
        <v>0.42</v>
      </c>
      <c r="K26" s="52">
        <v>218.3</v>
      </c>
      <c r="L26" s="52">
        <v>28.13</v>
      </c>
      <c r="M26" s="52">
        <v>92.31</v>
      </c>
      <c r="N26" s="52">
        <v>141.4</v>
      </c>
      <c r="O26" s="52">
        <v>0</v>
      </c>
      <c r="P26" s="52">
        <v>0.24</v>
      </c>
      <c r="Q26" s="52">
        <v>9.64</v>
      </c>
      <c r="R26" s="43"/>
      <c r="S26" s="43"/>
      <c r="T26" s="43"/>
      <c r="U26" s="43"/>
    </row>
    <row r="27" spans="1:21" s="11" customFormat="1" x14ac:dyDescent="0.25">
      <c r="A27" s="51" t="s">
        <v>270</v>
      </c>
      <c r="B27" s="52">
        <v>7.86</v>
      </c>
      <c r="C27" s="52">
        <v>14.44</v>
      </c>
      <c r="D27" s="52">
        <v>13.85</v>
      </c>
      <c r="E27" s="52">
        <v>4.09</v>
      </c>
      <c r="F27" s="52">
        <v>9.3800000000000008</v>
      </c>
      <c r="G27" s="52">
        <v>21.83</v>
      </c>
      <c r="H27" s="52">
        <v>3.44</v>
      </c>
      <c r="I27" s="52">
        <v>0.82</v>
      </c>
      <c r="J27" s="52">
        <v>0.66</v>
      </c>
      <c r="K27" s="52">
        <v>137</v>
      </c>
      <c r="L27" s="52">
        <v>27.64</v>
      </c>
      <c r="M27" s="52">
        <v>97.56</v>
      </c>
      <c r="N27" s="52">
        <v>70.900000000000006</v>
      </c>
      <c r="O27" s="52">
        <v>0</v>
      </c>
      <c r="P27" s="52">
        <v>0.32</v>
      </c>
      <c r="Q27" s="52">
        <v>9.64</v>
      </c>
      <c r="R27" s="43"/>
      <c r="S27" s="43"/>
      <c r="T27" s="43"/>
      <c r="U27" s="43"/>
    </row>
    <row r="28" spans="1:21" s="11" customFormat="1" x14ac:dyDescent="0.25">
      <c r="A28" s="51" t="s">
        <v>271</v>
      </c>
      <c r="B28" s="52">
        <v>6.47</v>
      </c>
      <c r="C28" s="52">
        <v>17.21</v>
      </c>
      <c r="D28" s="52">
        <v>14.15</v>
      </c>
      <c r="E28" s="52">
        <v>4.05</v>
      </c>
      <c r="F28" s="52">
        <v>8.58</v>
      </c>
      <c r="G28" s="52">
        <v>22.42</v>
      </c>
      <c r="H28" s="52">
        <v>4.8899999999999997</v>
      </c>
      <c r="I28" s="52">
        <v>0.93</v>
      </c>
      <c r="J28" s="52">
        <v>0.52</v>
      </c>
      <c r="K28" s="52">
        <v>219.84</v>
      </c>
      <c r="L28" s="52">
        <v>26.93</v>
      </c>
      <c r="M28" s="52">
        <v>97.57</v>
      </c>
      <c r="N28" s="52">
        <v>52.9</v>
      </c>
      <c r="O28" s="52">
        <v>0</v>
      </c>
      <c r="P28" s="52">
        <v>0.37</v>
      </c>
      <c r="Q28" s="52">
        <v>9.6300000000000008</v>
      </c>
      <c r="R28" s="43"/>
      <c r="S28" s="43"/>
      <c r="T28" s="43"/>
      <c r="U28" s="43"/>
    </row>
    <row r="29" spans="1:21" s="11" customFormat="1" x14ac:dyDescent="0.25">
      <c r="A29" s="51" t="s">
        <v>272</v>
      </c>
      <c r="B29" s="52">
        <v>18.41</v>
      </c>
      <c r="C29" s="52">
        <v>16.34</v>
      </c>
      <c r="D29" s="52">
        <v>23.3</v>
      </c>
      <c r="E29" s="52">
        <v>4.09</v>
      </c>
      <c r="F29" s="52">
        <v>8.9499999999999993</v>
      </c>
      <c r="G29" s="52">
        <v>24.25</v>
      </c>
      <c r="H29" s="52">
        <v>4.8899999999999997</v>
      </c>
      <c r="I29" s="52">
        <v>1.03</v>
      </c>
      <c r="J29" s="52">
        <v>0.15</v>
      </c>
      <c r="K29" s="52">
        <v>355.28</v>
      </c>
      <c r="L29" s="52">
        <v>26.75</v>
      </c>
      <c r="M29" s="52">
        <v>97.63</v>
      </c>
      <c r="N29" s="52">
        <v>53.1</v>
      </c>
      <c r="O29" s="52">
        <v>0</v>
      </c>
      <c r="P29" s="52">
        <v>0.47</v>
      </c>
      <c r="Q29" s="52">
        <v>9.64</v>
      </c>
      <c r="R29" s="43"/>
      <c r="S29" s="43"/>
      <c r="T29" s="43"/>
      <c r="U29" s="43"/>
    </row>
    <row r="30" spans="1:21" s="11" customFormat="1" x14ac:dyDescent="0.25">
      <c r="A30" s="51" t="s">
        <v>273</v>
      </c>
      <c r="B30" s="52">
        <v>10.62</v>
      </c>
      <c r="C30" s="52">
        <v>14.96</v>
      </c>
      <c r="D30" s="52">
        <v>16.11</v>
      </c>
      <c r="E30" s="52">
        <v>4.08</v>
      </c>
      <c r="F30" s="52">
        <v>5.7</v>
      </c>
      <c r="G30" s="52">
        <v>28.05</v>
      </c>
      <c r="H30" s="52">
        <v>4.74</v>
      </c>
      <c r="I30" s="52">
        <v>0.98</v>
      </c>
      <c r="J30" s="52">
        <v>0.95</v>
      </c>
      <c r="K30" s="52">
        <v>141.47</v>
      </c>
      <c r="L30" s="52">
        <v>26.2</v>
      </c>
      <c r="M30" s="52">
        <v>97.7</v>
      </c>
      <c r="N30" s="52">
        <v>53.1</v>
      </c>
      <c r="O30" s="52">
        <v>0</v>
      </c>
      <c r="P30" s="52">
        <v>0.4</v>
      </c>
      <c r="Q30" s="52">
        <v>9.64</v>
      </c>
      <c r="R30" s="43"/>
      <c r="S30" s="43"/>
      <c r="T30" s="43"/>
      <c r="U30" s="43"/>
    </row>
    <row r="31" spans="1:21" s="11" customFormat="1" x14ac:dyDescent="0.25">
      <c r="A31" s="51" t="s">
        <v>274</v>
      </c>
      <c r="B31" s="52">
        <v>7.84</v>
      </c>
      <c r="C31" s="52">
        <v>12.74</v>
      </c>
      <c r="D31" s="52">
        <v>11.78</v>
      </c>
      <c r="E31" s="52">
        <v>3.86</v>
      </c>
      <c r="F31" s="52">
        <v>7.87</v>
      </c>
      <c r="G31" s="52">
        <v>28.05</v>
      </c>
      <c r="H31" s="52">
        <v>4.74</v>
      </c>
      <c r="I31" s="52">
        <v>1.01</v>
      </c>
      <c r="J31" s="52">
        <v>0.33</v>
      </c>
      <c r="K31" s="52">
        <v>148.6</v>
      </c>
      <c r="L31" s="52">
        <v>25.61</v>
      </c>
      <c r="M31" s="52">
        <v>97.7</v>
      </c>
      <c r="N31" s="52">
        <v>53.1</v>
      </c>
      <c r="O31" s="52">
        <v>0</v>
      </c>
      <c r="P31" s="52">
        <v>0.31</v>
      </c>
      <c r="Q31" s="52">
        <v>9.65</v>
      </c>
      <c r="R31" s="43"/>
      <c r="S31" s="43"/>
      <c r="T31" s="43"/>
      <c r="U31" s="43"/>
    </row>
    <row r="32" spans="1:21" s="11" customFormat="1" x14ac:dyDescent="0.25">
      <c r="A32" s="51" t="s">
        <v>275</v>
      </c>
      <c r="B32" s="52">
        <v>7.7</v>
      </c>
      <c r="C32" s="52">
        <v>9.73</v>
      </c>
      <c r="D32" s="52">
        <v>11.26</v>
      </c>
      <c r="E32" s="52">
        <v>4.41</v>
      </c>
      <c r="F32" s="52">
        <v>7.65</v>
      </c>
      <c r="G32" s="52">
        <v>25.29</v>
      </c>
      <c r="H32" s="52">
        <v>6.72</v>
      </c>
      <c r="I32" s="52">
        <v>1.01</v>
      </c>
      <c r="J32" s="52">
        <v>0.17</v>
      </c>
      <c r="K32" s="52">
        <v>178.48</v>
      </c>
      <c r="L32" s="52">
        <v>25.15</v>
      </c>
      <c r="M32" s="52">
        <v>97.73</v>
      </c>
      <c r="N32" s="52">
        <v>53</v>
      </c>
      <c r="O32" s="52">
        <v>0</v>
      </c>
      <c r="P32" s="52">
        <v>0.26</v>
      </c>
      <c r="Q32" s="52">
        <v>9.65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6.36</v>
      </c>
      <c r="C34" s="28">
        <f t="shared" si="0"/>
        <v>6.55</v>
      </c>
      <c r="D34" s="28">
        <f t="shared" si="0"/>
        <v>9.81</v>
      </c>
      <c r="E34" s="28">
        <f t="shared" si="0"/>
        <v>3.81</v>
      </c>
      <c r="F34" s="28">
        <f t="shared" si="0"/>
        <v>4.84</v>
      </c>
      <c r="G34" s="28">
        <f t="shared" si="0"/>
        <v>12.78</v>
      </c>
      <c r="H34" s="28">
        <f t="shared" si="0"/>
        <v>2.46</v>
      </c>
      <c r="I34" s="28">
        <f t="shared" si="0"/>
        <v>0.82</v>
      </c>
      <c r="J34" s="28">
        <f t="shared" si="0"/>
        <v>0.05</v>
      </c>
      <c r="K34" s="28">
        <f t="shared" si="0"/>
        <v>137</v>
      </c>
      <c r="L34" s="28">
        <f t="shared" si="0"/>
        <v>22.79</v>
      </c>
      <c r="M34" s="28">
        <f t="shared" si="0"/>
        <v>67</v>
      </c>
      <c r="N34" s="28">
        <f t="shared" si="0"/>
        <v>52.8</v>
      </c>
      <c r="O34" s="28">
        <f t="shared" si="0"/>
        <v>0</v>
      </c>
      <c r="P34" s="28">
        <f t="shared" si="0"/>
        <v>0.24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18.41</v>
      </c>
      <c r="C35" s="29">
        <f t="shared" si="1"/>
        <v>17.21</v>
      </c>
      <c r="D35" s="29">
        <f t="shared" si="1"/>
        <v>23.3</v>
      </c>
      <c r="E35" s="29">
        <f t="shared" si="1"/>
        <v>5.31</v>
      </c>
      <c r="F35" s="29">
        <f t="shared" si="1"/>
        <v>10.69</v>
      </c>
      <c r="G35" s="29">
        <f t="shared" si="1"/>
        <v>28.05</v>
      </c>
      <c r="H35" s="29">
        <f t="shared" si="1"/>
        <v>6.95</v>
      </c>
      <c r="I35" s="29">
        <f t="shared" si="1"/>
        <v>1.42</v>
      </c>
      <c r="J35" s="29">
        <f t="shared" si="1"/>
        <v>1.53</v>
      </c>
      <c r="K35" s="29">
        <f t="shared" si="1"/>
        <v>355.28</v>
      </c>
      <c r="L35" s="29">
        <f t="shared" si="1"/>
        <v>32.049999999999997</v>
      </c>
      <c r="M35" s="29">
        <f t="shared" si="1"/>
        <v>97.83</v>
      </c>
      <c r="N35" s="29">
        <f t="shared" si="1"/>
        <v>1121.2</v>
      </c>
      <c r="O35" s="29">
        <f t="shared" si="1"/>
        <v>0.2</v>
      </c>
      <c r="P35" s="29">
        <f t="shared" si="1"/>
        <v>0.47</v>
      </c>
      <c r="Q35" s="29">
        <f t="shared" si="1"/>
        <v>9.66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9.1750000000000007</v>
      </c>
      <c r="C36" s="28">
        <f t="shared" si="2"/>
        <v>11.213333333333333</v>
      </c>
      <c r="D36" s="28">
        <f t="shared" si="2"/>
        <v>12.999166666666666</v>
      </c>
      <c r="E36" s="28">
        <f t="shared" si="2"/>
        <v>4.609583333333334</v>
      </c>
      <c r="F36" s="28">
        <f t="shared" si="2"/>
        <v>7.6483333333333325</v>
      </c>
      <c r="G36" s="28">
        <f t="shared" si="2"/>
        <v>20.163333333333338</v>
      </c>
      <c r="H36" s="28">
        <f t="shared" si="2"/>
        <v>4.6187499999999995</v>
      </c>
      <c r="I36" s="28">
        <f t="shared" si="2"/>
        <v>1.0716666666666668</v>
      </c>
      <c r="J36" s="28">
        <f t="shared" si="2"/>
        <v>0.35708333333333336</v>
      </c>
      <c r="K36" s="28">
        <f t="shared" si="2"/>
        <v>232.07249999999999</v>
      </c>
      <c r="L36" s="28">
        <f t="shared" si="2"/>
        <v>26.977499999999996</v>
      </c>
      <c r="M36" s="28">
        <f t="shared" si="2"/>
        <v>92.483333333333334</v>
      </c>
      <c r="N36" s="28">
        <f t="shared" si="2"/>
        <v>296.98333333333329</v>
      </c>
      <c r="O36" s="28">
        <f t="shared" si="2"/>
        <v>8.3333333333333332E-3</v>
      </c>
      <c r="P36" s="28">
        <f t="shared" si="2"/>
        <v>0.32333333333333331</v>
      </c>
      <c r="Q36" s="28">
        <f t="shared" si="2"/>
        <v>9.6408333333333314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2.556065250578976</v>
      </c>
      <c r="C37" s="28">
        <f t="shared" ref="C37:Q37" si="3">STDEV(C9:C32)</f>
        <v>3.1442959627632505</v>
      </c>
      <c r="D37" s="28">
        <f t="shared" si="3"/>
        <v>2.9071783969829057</v>
      </c>
      <c r="E37" s="28">
        <f t="shared" si="3"/>
        <v>0.45951277757383768</v>
      </c>
      <c r="F37" s="28">
        <f t="shared" si="3"/>
        <v>1.5904023736605004</v>
      </c>
      <c r="G37" s="28">
        <f t="shared" si="3"/>
        <v>4.2317553831936223</v>
      </c>
      <c r="H37" s="28">
        <f t="shared" si="3"/>
        <v>1.3659216111571306</v>
      </c>
      <c r="I37" s="28">
        <f t="shared" si="3"/>
        <v>0.1434866049396282</v>
      </c>
      <c r="J37" s="28">
        <f t="shared" si="3"/>
        <v>0.34552391431320478</v>
      </c>
      <c r="K37" s="28">
        <f t="shared" si="3"/>
        <v>73.226622104140603</v>
      </c>
      <c r="L37" s="28">
        <f t="shared" si="3"/>
        <v>3.243629542456381</v>
      </c>
      <c r="M37" s="28">
        <f t="shared" si="3"/>
        <v>9.3180165209157035</v>
      </c>
      <c r="N37" s="28">
        <f t="shared" si="3"/>
        <v>369.05378972467548</v>
      </c>
      <c r="O37" s="28">
        <f t="shared" si="3"/>
        <v>4.0824829046386311E-2</v>
      </c>
      <c r="P37" s="28">
        <f t="shared" si="3"/>
        <v>6.0624766546689322E-2</v>
      </c>
      <c r="Q37" s="28">
        <f t="shared" si="3"/>
        <v>1.7672544824662937E-2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6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E12" sqref="E12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276</v>
      </c>
      <c r="B9" s="52">
        <v>8.23</v>
      </c>
      <c r="C9" s="52">
        <v>7.1</v>
      </c>
      <c r="D9" s="52">
        <v>10.07</v>
      </c>
      <c r="E9" s="52">
        <v>4.5199999999999996</v>
      </c>
      <c r="F9" s="52">
        <v>8.2100000000000009</v>
      </c>
      <c r="G9" s="52">
        <v>20.64</v>
      </c>
      <c r="H9" s="52">
        <v>6.72</v>
      </c>
      <c r="I9" s="52">
        <v>1.08</v>
      </c>
      <c r="J9" s="52">
        <v>0.09</v>
      </c>
      <c r="K9" s="52">
        <v>335.64</v>
      </c>
      <c r="L9" s="52">
        <v>24.95</v>
      </c>
      <c r="M9" s="52">
        <v>97.73</v>
      </c>
      <c r="N9" s="52">
        <v>52.8</v>
      </c>
      <c r="O9" s="52">
        <v>0</v>
      </c>
      <c r="P9" s="52">
        <v>0.27</v>
      </c>
      <c r="Q9" s="52">
        <v>9.65</v>
      </c>
      <c r="R9" s="43"/>
      <c r="S9" s="43"/>
      <c r="T9" s="43"/>
      <c r="U9" s="43"/>
    </row>
    <row r="10" spans="1:21" s="11" customFormat="1" x14ac:dyDescent="0.25">
      <c r="A10" s="51" t="s">
        <v>277</v>
      </c>
      <c r="B10" s="52">
        <v>7.68</v>
      </c>
      <c r="C10" s="52">
        <v>7.47</v>
      </c>
      <c r="D10" s="52">
        <v>9.6199999999999992</v>
      </c>
      <c r="E10" s="52">
        <v>4.6100000000000003</v>
      </c>
      <c r="F10" s="52">
        <v>9.66</v>
      </c>
      <c r="G10" s="52">
        <v>19.899999999999999</v>
      </c>
      <c r="H10" s="52">
        <v>5.7</v>
      </c>
      <c r="I10" s="52">
        <v>0.96</v>
      </c>
      <c r="J10" s="52">
        <v>0.08</v>
      </c>
      <c r="K10" s="52">
        <v>334.16</v>
      </c>
      <c r="L10" s="52">
        <v>24.72</v>
      </c>
      <c r="M10" s="52">
        <v>97.46</v>
      </c>
      <c r="N10" s="52">
        <v>53</v>
      </c>
      <c r="O10" s="52">
        <v>0</v>
      </c>
      <c r="P10" s="52">
        <v>0.27</v>
      </c>
      <c r="Q10" s="52">
        <v>9.66</v>
      </c>
      <c r="R10" s="43"/>
      <c r="S10" s="43"/>
      <c r="T10" s="43"/>
      <c r="U10" s="43"/>
    </row>
    <row r="11" spans="1:21" s="11" customFormat="1" x14ac:dyDescent="0.25">
      <c r="A11" s="51" t="s">
        <v>278</v>
      </c>
      <c r="B11" s="52">
        <v>6.59</v>
      </c>
      <c r="C11" s="52">
        <v>6.91</v>
      </c>
      <c r="D11" s="52">
        <v>8.7799999999999994</v>
      </c>
      <c r="E11" s="52">
        <v>4.6500000000000004</v>
      </c>
      <c r="F11" s="52">
        <v>10.02</v>
      </c>
      <c r="G11" s="52">
        <v>18.399999999999999</v>
      </c>
      <c r="H11" s="52">
        <v>6.28</v>
      </c>
      <c r="I11" s="52">
        <v>0.87</v>
      </c>
      <c r="J11" s="52">
        <v>0.06</v>
      </c>
      <c r="K11" s="52">
        <v>305.72000000000003</v>
      </c>
      <c r="L11" s="52">
        <v>24.4</v>
      </c>
      <c r="M11" s="52">
        <v>97.49</v>
      </c>
      <c r="N11" s="52">
        <v>53.1</v>
      </c>
      <c r="O11" s="52">
        <v>0</v>
      </c>
      <c r="P11" s="52">
        <v>0.24</v>
      </c>
      <c r="Q11" s="52">
        <v>9.64</v>
      </c>
      <c r="R11" s="43"/>
      <c r="S11" s="43"/>
      <c r="T11" s="43"/>
      <c r="U11" s="43"/>
    </row>
    <row r="12" spans="1:21" s="11" customFormat="1" x14ac:dyDescent="0.25">
      <c r="A12" s="51" t="s">
        <v>279</v>
      </c>
      <c r="B12" s="52">
        <v>6.03</v>
      </c>
      <c r="C12" s="52">
        <v>8.36</v>
      </c>
      <c r="D12" s="52">
        <v>8.59</v>
      </c>
      <c r="E12" s="52">
        <v>4.6100000000000003</v>
      </c>
      <c r="F12" s="52">
        <v>12.96</v>
      </c>
      <c r="G12" s="52">
        <v>19</v>
      </c>
      <c r="H12" s="52">
        <v>7.34</v>
      </c>
      <c r="I12" s="52">
        <v>0.89</v>
      </c>
      <c r="J12" s="52">
        <v>0.11</v>
      </c>
      <c r="K12" s="52">
        <v>328.2</v>
      </c>
      <c r="L12" s="52">
        <v>24.29</v>
      </c>
      <c r="M12" s="52">
        <v>97.46</v>
      </c>
      <c r="N12" s="52">
        <v>53.1</v>
      </c>
      <c r="O12" s="52">
        <v>0</v>
      </c>
      <c r="P12" s="52">
        <v>0.26</v>
      </c>
      <c r="Q12" s="52">
        <v>9.65</v>
      </c>
      <c r="R12" s="43"/>
      <c r="S12" s="43"/>
      <c r="T12" s="43"/>
      <c r="U12" s="43"/>
    </row>
    <row r="13" spans="1:21" s="11" customFormat="1" x14ac:dyDescent="0.25">
      <c r="A13" s="51" t="s">
        <v>280</v>
      </c>
      <c r="B13" s="52">
        <v>7.38</v>
      </c>
      <c r="C13" s="52">
        <v>12.6</v>
      </c>
      <c r="D13" s="52">
        <v>12.5</v>
      </c>
      <c r="E13" s="52">
        <v>4.53</v>
      </c>
      <c r="F13" s="52">
        <v>8.92</v>
      </c>
      <c r="G13" s="52">
        <v>20.55</v>
      </c>
      <c r="H13" s="52">
        <v>7.34</v>
      </c>
      <c r="I13" s="52">
        <v>1.02</v>
      </c>
      <c r="J13" s="52">
        <v>0.2</v>
      </c>
      <c r="K13" s="52">
        <v>228.46</v>
      </c>
      <c r="L13" s="52">
        <v>24.12</v>
      </c>
      <c r="M13" s="52">
        <v>97.5</v>
      </c>
      <c r="N13" s="52">
        <v>53.1</v>
      </c>
      <c r="O13" s="52">
        <v>0</v>
      </c>
      <c r="P13" s="52">
        <v>0.25</v>
      </c>
      <c r="Q13" s="52">
        <v>9.64</v>
      </c>
      <c r="R13" s="43"/>
      <c r="S13" s="43"/>
      <c r="T13" s="43"/>
      <c r="U13" s="43"/>
    </row>
    <row r="14" spans="1:21" s="11" customFormat="1" x14ac:dyDescent="0.25">
      <c r="A14" s="51" t="s">
        <v>281</v>
      </c>
      <c r="B14" s="52">
        <v>6.81</v>
      </c>
      <c r="C14" s="52">
        <v>8.7100000000000009</v>
      </c>
      <c r="D14" s="52">
        <v>9.9499999999999993</v>
      </c>
      <c r="E14" s="52">
        <v>4.8600000000000003</v>
      </c>
      <c r="F14" s="52">
        <v>8.58</v>
      </c>
      <c r="G14" s="52">
        <v>24.3</v>
      </c>
      <c r="H14" s="52">
        <v>7.42</v>
      </c>
      <c r="I14" s="52">
        <v>1.02</v>
      </c>
      <c r="J14" s="52">
        <v>0.14000000000000001</v>
      </c>
      <c r="K14" s="52">
        <v>259.06</v>
      </c>
      <c r="L14" s="52">
        <v>23.85</v>
      </c>
      <c r="M14" s="52">
        <v>97.78</v>
      </c>
      <c r="N14" s="52">
        <v>64.8</v>
      </c>
      <c r="O14" s="52">
        <v>0</v>
      </c>
      <c r="P14" s="52">
        <v>0.25</v>
      </c>
      <c r="Q14" s="52">
        <v>9.65</v>
      </c>
      <c r="R14" s="43"/>
      <c r="S14" s="43"/>
      <c r="T14" s="43"/>
      <c r="U14" s="43"/>
    </row>
    <row r="15" spans="1:21" s="11" customFormat="1" x14ac:dyDescent="0.25">
      <c r="A15" s="51" t="s">
        <v>282</v>
      </c>
      <c r="B15" s="52">
        <v>8.19</v>
      </c>
      <c r="C15" s="52">
        <v>8.6999999999999993</v>
      </c>
      <c r="D15" s="52">
        <v>11.12</v>
      </c>
      <c r="E15" s="52">
        <v>4.6100000000000003</v>
      </c>
      <c r="F15" s="52">
        <v>6.73</v>
      </c>
      <c r="G15" s="52">
        <v>24.38</v>
      </c>
      <c r="H15" s="52">
        <v>7.42</v>
      </c>
      <c r="I15" s="52">
        <v>0.95</v>
      </c>
      <c r="J15" s="52">
        <v>0.26</v>
      </c>
      <c r="K15" s="52">
        <v>213.6</v>
      </c>
      <c r="L15" s="52">
        <v>24.22</v>
      </c>
      <c r="M15" s="52">
        <v>97.78</v>
      </c>
      <c r="N15" s="52">
        <v>177.6</v>
      </c>
      <c r="O15" s="52">
        <v>0</v>
      </c>
      <c r="P15" s="52">
        <v>0.25</v>
      </c>
      <c r="Q15" s="52">
        <v>9.65</v>
      </c>
      <c r="R15" s="43"/>
      <c r="S15" s="43"/>
      <c r="T15" s="43"/>
      <c r="U15" s="43"/>
    </row>
    <row r="16" spans="1:21" s="11" customFormat="1" x14ac:dyDescent="0.25">
      <c r="A16" s="51" t="s">
        <v>283</v>
      </c>
      <c r="B16" s="52">
        <v>8.7899999999999991</v>
      </c>
      <c r="C16" s="52">
        <v>7.06</v>
      </c>
      <c r="D16" s="52">
        <v>10.74</v>
      </c>
      <c r="E16" s="52">
        <v>4.6100000000000003</v>
      </c>
      <c r="F16" s="52">
        <v>6.42</v>
      </c>
      <c r="G16" s="52">
        <v>24.38</v>
      </c>
      <c r="H16" s="52">
        <v>7.32</v>
      </c>
      <c r="I16" s="52">
        <v>0.95</v>
      </c>
      <c r="J16" s="52">
        <v>0.18</v>
      </c>
      <c r="K16" s="52">
        <v>274.01</v>
      </c>
      <c r="L16" s="52">
        <v>27.52</v>
      </c>
      <c r="M16" s="52">
        <v>97.69</v>
      </c>
      <c r="N16" s="52">
        <v>462.3</v>
      </c>
      <c r="O16" s="52">
        <v>0</v>
      </c>
      <c r="P16" s="52">
        <v>0.24</v>
      </c>
      <c r="Q16" s="52">
        <v>9.64</v>
      </c>
      <c r="R16" s="43"/>
      <c r="S16" s="43"/>
      <c r="T16" s="43"/>
      <c r="U16" s="43"/>
    </row>
    <row r="17" spans="1:21" s="11" customFormat="1" x14ac:dyDescent="0.25">
      <c r="A17" s="51" t="s">
        <v>284</v>
      </c>
      <c r="B17" s="52">
        <v>8.3699999999999992</v>
      </c>
      <c r="C17" s="52">
        <v>9.5399999999999991</v>
      </c>
      <c r="D17" s="52">
        <v>11.69</v>
      </c>
      <c r="E17" s="52">
        <v>4.71</v>
      </c>
      <c r="F17" s="52">
        <v>6.31</v>
      </c>
      <c r="G17" s="52">
        <v>23.2</v>
      </c>
      <c r="H17" s="52">
        <v>7.31</v>
      </c>
      <c r="I17" s="52">
        <v>0.91</v>
      </c>
      <c r="J17" s="52">
        <v>0.15</v>
      </c>
      <c r="K17" s="52">
        <v>268.43</v>
      </c>
      <c r="L17" s="52">
        <v>29.17</v>
      </c>
      <c r="M17" s="52">
        <v>92.82</v>
      </c>
      <c r="N17" s="52">
        <v>703.4</v>
      </c>
      <c r="O17" s="52">
        <v>0</v>
      </c>
      <c r="P17" s="52">
        <v>0.26</v>
      </c>
      <c r="Q17" s="52">
        <v>9.66</v>
      </c>
      <c r="R17" s="43"/>
      <c r="S17" s="43"/>
      <c r="T17" s="43"/>
      <c r="U17" s="43"/>
    </row>
    <row r="18" spans="1:21" s="11" customFormat="1" x14ac:dyDescent="0.25">
      <c r="A18" s="51" t="s">
        <v>285</v>
      </c>
      <c r="B18" s="52">
        <v>6.74</v>
      </c>
      <c r="C18" s="52">
        <v>11.14</v>
      </c>
      <c r="D18" s="52">
        <v>11.22</v>
      </c>
      <c r="E18" s="52">
        <v>4.6500000000000004</v>
      </c>
      <c r="F18" s="52">
        <v>6.11</v>
      </c>
      <c r="G18" s="52">
        <v>23.2</v>
      </c>
      <c r="H18" s="52">
        <v>8.81</v>
      </c>
      <c r="I18" s="52">
        <v>0.94</v>
      </c>
      <c r="J18" s="52">
        <v>0.22</v>
      </c>
      <c r="K18" s="52">
        <v>300.42</v>
      </c>
      <c r="L18" s="52">
        <v>31.01</v>
      </c>
      <c r="M18" s="52">
        <v>84.88</v>
      </c>
      <c r="N18" s="52">
        <v>853</v>
      </c>
      <c r="O18" s="52">
        <v>0</v>
      </c>
      <c r="P18" s="52">
        <v>0.4</v>
      </c>
      <c r="Q18" s="52">
        <v>9.6199999999999992</v>
      </c>
      <c r="R18" s="43"/>
      <c r="S18" s="43"/>
      <c r="T18" s="43"/>
      <c r="U18" s="43"/>
    </row>
    <row r="19" spans="1:21" s="11" customFormat="1" x14ac:dyDescent="0.25">
      <c r="A19" s="51" t="s">
        <v>286</v>
      </c>
      <c r="B19" s="52">
        <v>6.75</v>
      </c>
      <c r="C19" s="52">
        <v>13.32</v>
      </c>
      <c r="D19" s="52">
        <v>12.18</v>
      </c>
      <c r="E19" s="52">
        <v>4.78</v>
      </c>
      <c r="F19" s="52">
        <v>5.98</v>
      </c>
      <c r="G19" s="52">
        <v>32.5</v>
      </c>
      <c r="H19" s="52">
        <v>11.33</v>
      </c>
      <c r="I19" s="52">
        <v>1.49</v>
      </c>
      <c r="J19" s="52">
        <v>0.28999999999999998</v>
      </c>
      <c r="K19" s="52">
        <v>272.95</v>
      </c>
      <c r="L19" s="52">
        <v>30.7</v>
      </c>
      <c r="M19" s="52">
        <v>73.66</v>
      </c>
      <c r="N19" s="52">
        <v>995.7</v>
      </c>
      <c r="O19" s="52">
        <v>0</v>
      </c>
      <c r="P19" s="52">
        <v>0.46</v>
      </c>
      <c r="Q19" s="52">
        <v>9.61</v>
      </c>
      <c r="R19" s="43"/>
      <c r="S19" s="43"/>
      <c r="T19" s="43"/>
      <c r="U19" s="43"/>
    </row>
    <row r="20" spans="1:21" s="11" customFormat="1" x14ac:dyDescent="0.25">
      <c r="A20" s="51" t="s">
        <v>287</v>
      </c>
      <c r="B20" s="52">
        <v>5.89</v>
      </c>
      <c r="C20" s="52">
        <v>11.67</v>
      </c>
      <c r="D20" s="52">
        <v>10.57</v>
      </c>
      <c r="E20" s="52">
        <v>4.99</v>
      </c>
      <c r="F20" s="52">
        <v>6.78</v>
      </c>
      <c r="G20" s="52">
        <v>35.99</v>
      </c>
      <c r="H20" s="52">
        <v>12.07</v>
      </c>
      <c r="I20" s="52">
        <v>1.6</v>
      </c>
      <c r="J20" s="52">
        <v>0.23</v>
      </c>
      <c r="K20" s="52">
        <v>192.56</v>
      </c>
      <c r="L20" s="52">
        <v>30.34</v>
      </c>
      <c r="M20" s="52">
        <v>76.12</v>
      </c>
      <c r="N20" s="52">
        <v>1024.5999999999999</v>
      </c>
      <c r="O20" s="52">
        <v>0</v>
      </c>
      <c r="P20" s="52">
        <v>0.41</v>
      </c>
      <c r="Q20" s="52">
        <v>9.61</v>
      </c>
      <c r="R20" s="43"/>
      <c r="S20" s="43"/>
      <c r="T20" s="43"/>
      <c r="U20" s="43"/>
    </row>
    <row r="21" spans="1:21" s="11" customFormat="1" x14ac:dyDescent="0.25">
      <c r="A21" s="51" t="s">
        <v>288</v>
      </c>
      <c r="B21" s="52">
        <v>5.23</v>
      </c>
      <c r="C21" s="52">
        <v>11.15</v>
      </c>
      <c r="D21" s="52">
        <v>10.02</v>
      </c>
      <c r="E21" s="52">
        <v>4.93</v>
      </c>
      <c r="F21" s="52">
        <v>9.26</v>
      </c>
      <c r="G21" s="52">
        <v>37.24</v>
      </c>
      <c r="H21" s="52">
        <v>13.87</v>
      </c>
      <c r="I21" s="52">
        <v>1.48</v>
      </c>
      <c r="J21" s="52">
        <v>0.7</v>
      </c>
      <c r="K21" s="52">
        <v>245.72</v>
      </c>
      <c r="L21" s="52">
        <v>31.28</v>
      </c>
      <c r="M21" s="52">
        <v>75.930000000000007</v>
      </c>
      <c r="N21" s="52">
        <v>898.6</v>
      </c>
      <c r="O21" s="52">
        <v>0</v>
      </c>
      <c r="P21" s="52">
        <v>0.36</v>
      </c>
      <c r="Q21" s="52">
        <v>9.6</v>
      </c>
      <c r="R21" s="43"/>
      <c r="S21" s="43"/>
      <c r="T21" s="43"/>
      <c r="U21" s="43"/>
    </row>
    <row r="22" spans="1:21" s="11" customFormat="1" x14ac:dyDescent="0.25">
      <c r="A22" s="51" t="s">
        <v>289</v>
      </c>
      <c r="B22" s="52">
        <v>5.32</v>
      </c>
      <c r="C22" s="52">
        <v>12.07</v>
      </c>
      <c r="D22" s="52">
        <v>10.11</v>
      </c>
      <c r="E22" s="52">
        <v>4.8099999999999996</v>
      </c>
      <c r="F22" s="52">
        <v>8.85</v>
      </c>
      <c r="G22" s="52">
        <v>37.24</v>
      </c>
      <c r="H22" s="52">
        <v>13.87</v>
      </c>
      <c r="I22" s="52">
        <v>1.29</v>
      </c>
      <c r="J22" s="52">
        <v>0.26</v>
      </c>
      <c r="K22" s="52">
        <v>307.08999999999997</v>
      </c>
      <c r="L22" s="52">
        <v>31.51</v>
      </c>
      <c r="M22" s="52">
        <v>69.98</v>
      </c>
      <c r="N22" s="52">
        <v>363.7</v>
      </c>
      <c r="O22" s="52">
        <v>0</v>
      </c>
      <c r="P22" s="52">
        <v>0.37</v>
      </c>
      <c r="Q22" s="52">
        <v>9.6</v>
      </c>
      <c r="R22" s="43"/>
      <c r="S22" s="43"/>
      <c r="T22" s="43"/>
      <c r="U22" s="43"/>
    </row>
    <row r="23" spans="1:21" s="11" customFormat="1" x14ac:dyDescent="0.25">
      <c r="A23" s="51" t="s">
        <v>290</v>
      </c>
      <c r="B23" s="52">
        <v>5.39</v>
      </c>
      <c r="C23" s="52">
        <v>12.48</v>
      </c>
      <c r="D23" s="52">
        <v>10.64</v>
      </c>
      <c r="E23" s="52">
        <v>4.74</v>
      </c>
      <c r="F23" s="52">
        <v>10.02</v>
      </c>
      <c r="G23" s="52">
        <v>39.229999999999997</v>
      </c>
      <c r="H23" s="52">
        <v>13.86</v>
      </c>
      <c r="I23" s="52">
        <v>1.29</v>
      </c>
      <c r="J23" s="52">
        <v>0.12</v>
      </c>
      <c r="K23" s="52">
        <v>278.2</v>
      </c>
      <c r="L23" s="52">
        <v>30.3</v>
      </c>
      <c r="M23" s="52">
        <v>72.790000000000006</v>
      </c>
      <c r="N23" s="52">
        <v>289.89999999999998</v>
      </c>
      <c r="O23" s="52">
        <v>0</v>
      </c>
      <c r="P23" s="52">
        <v>0.39</v>
      </c>
      <c r="Q23" s="52">
        <v>9.58</v>
      </c>
      <c r="R23" s="43"/>
      <c r="S23" s="43"/>
      <c r="T23" s="43"/>
      <c r="U23" s="43"/>
    </row>
    <row r="24" spans="1:21" s="11" customFormat="1" x14ac:dyDescent="0.25">
      <c r="A24" s="51" t="s">
        <v>291</v>
      </c>
      <c r="B24" s="52">
        <v>5.58</v>
      </c>
      <c r="C24" s="52">
        <v>14.19</v>
      </c>
      <c r="D24" s="52">
        <v>11.89</v>
      </c>
      <c r="E24" s="52">
        <v>5.39</v>
      </c>
      <c r="F24" s="52">
        <v>15.01</v>
      </c>
      <c r="G24" s="52">
        <v>39.229999999999997</v>
      </c>
      <c r="H24" s="52">
        <v>13.63</v>
      </c>
      <c r="I24" s="52">
        <v>1.25</v>
      </c>
      <c r="J24" s="52">
        <v>0.28000000000000003</v>
      </c>
      <c r="K24" s="52">
        <v>292.04000000000002</v>
      </c>
      <c r="L24" s="52">
        <v>30.02</v>
      </c>
      <c r="M24" s="52">
        <v>77.86</v>
      </c>
      <c r="N24" s="52">
        <v>193.2</v>
      </c>
      <c r="O24" s="52">
        <v>0</v>
      </c>
      <c r="P24" s="52">
        <v>0.37</v>
      </c>
      <c r="Q24" s="52">
        <v>9.5500000000000007</v>
      </c>
      <c r="R24" s="43"/>
      <c r="S24" s="43"/>
      <c r="T24" s="43"/>
      <c r="U24" s="43"/>
    </row>
    <row r="25" spans="1:21" s="11" customFormat="1" x14ac:dyDescent="0.25">
      <c r="A25" s="51" t="s">
        <v>292</v>
      </c>
      <c r="B25" s="52">
        <v>5.03</v>
      </c>
      <c r="C25" s="52">
        <v>12.75</v>
      </c>
      <c r="D25" s="52">
        <v>10.7</v>
      </c>
      <c r="E25" s="52">
        <v>5.43</v>
      </c>
      <c r="F25" s="52">
        <v>15.86</v>
      </c>
      <c r="G25" s="52">
        <v>38.44</v>
      </c>
      <c r="H25" s="52">
        <v>13.63</v>
      </c>
      <c r="I25" s="52">
        <v>1.25</v>
      </c>
      <c r="J25" s="52">
        <v>0.52</v>
      </c>
      <c r="K25" s="52">
        <v>160.81</v>
      </c>
      <c r="L25" s="52">
        <v>29.13</v>
      </c>
      <c r="M25" s="52">
        <v>79.45</v>
      </c>
      <c r="N25" s="52">
        <v>139.9</v>
      </c>
      <c r="O25" s="52">
        <v>0</v>
      </c>
      <c r="P25" s="52">
        <v>0.28999999999999998</v>
      </c>
      <c r="Q25" s="52">
        <v>9.6</v>
      </c>
      <c r="R25" s="43"/>
      <c r="S25" s="43"/>
      <c r="T25" s="43"/>
      <c r="U25" s="43"/>
    </row>
    <row r="26" spans="1:21" s="11" customFormat="1" x14ac:dyDescent="0.25">
      <c r="A26" s="51" t="s">
        <v>293</v>
      </c>
      <c r="B26" s="52">
        <v>5.38</v>
      </c>
      <c r="C26" s="52">
        <v>11.1</v>
      </c>
      <c r="D26" s="52">
        <v>9.9600000000000009</v>
      </c>
      <c r="E26" s="52">
        <v>5.32</v>
      </c>
      <c r="F26" s="52">
        <v>14</v>
      </c>
      <c r="G26" s="52">
        <v>42.3</v>
      </c>
      <c r="H26" s="52">
        <v>14.58</v>
      </c>
      <c r="I26" s="52">
        <v>1.18</v>
      </c>
      <c r="J26" s="52">
        <v>0.14000000000000001</v>
      </c>
      <c r="K26" s="52">
        <v>282.62</v>
      </c>
      <c r="L26" s="52">
        <v>29.03</v>
      </c>
      <c r="M26" s="52">
        <v>80.56</v>
      </c>
      <c r="N26" s="52">
        <v>109.1</v>
      </c>
      <c r="O26" s="52">
        <v>0</v>
      </c>
      <c r="P26" s="52">
        <v>0.27</v>
      </c>
      <c r="Q26" s="52">
        <v>9.61</v>
      </c>
      <c r="R26" s="43"/>
      <c r="S26" s="43"/>
      <c r="T26" s="43"/>
      <c r="U26" s="43"/>
    </row>
    <row r="27" spans="1:21" s="11" customFormat="1" x14ac:dyDescent="0.25">
      <c r="A27" s="51" t="s">
        <v>294</v>
      </c>
      <c r="B27" s="52">
        <v>6.07</v>
      </c>
      <c r="C27" s="52">
        <v>18.04</v>
      </c>
      <c r="D27" s="52">
        <v>14.19</v>
      </c>
      <c r="E27" s="52">
        <v>5.34</v>
      </c>
      <c r="F27" s="52">
        <v>15.35</v>
      </c>
      <c r="G27" s="52">
        <v>42.3</v>
      </c>
      <c r="H27" s="52">
        <v>14.58</v>
      </c>
      <c r="I27" s="52">
        <v>1.1200000000000001</v>
      </c>
      <c r="J27" s="52">
        <v>0.31</v>
      </c>
      <c r="K27" s="52">
        <v>134.25</v>
      </c>
      <c r="L27" s="52">
        <v>28.39</v>
      </c>
      <c r="M27" s="52">
        <v>88.38</v>
      </c>
      <c r="N27" s="52">
        <v>59.1</v>
      </c>
      <c r="O27" s="52">
        <v>0</v>
      </c>
      <c r="P27" s="52">
        <v>0.28000000000000003</v>
      </c>
      <c r="Q27" s="52">
        <v>9.6199999999999992</v>
      </c>
      <c r="R27" s="43"/>
      <c r="S27" s="43"/>
      <c r="T27" s="43"/>
      <c r="U27" s="43"/>
    </row>
    <row r="28" spans="1:21" s="11" customFormat="1" x14ac:dyDescent="0.25">
      <c r="A28" s="51" t="s">
        <v>295</v>
      </c>
      <c r="B28" s="52">
        <v>6.81</v>
      </c>
      <c r="C28" s="52">
        <v>14.82</v>
      </c>
      <c r="D28" s="52">
        <v>13.2</v>
      </c>
      <c r="E28" s="52">
        <v>5.36</v>
      </c>
      <c r="F28" s="52">
        <v>12.91</v>
      </c>
      <c r="G28" s="52">
        <v>40.79</v>
      </c>
      <c r="H28" s="52">
        <v>13.24</v>
      </c>
      <c r="I28" s="52">
        <v>1.04</v>
      </c>
      <c r="J28" s="52">
        <v>1.0900000000000001</v>
      </c>
      <c r="K28" s="52">
        <v>139.06</v>
      </c>
      <c r="L28" s="52">
        <v>27.73</v>
      </c>
      <c r="M28" s="52">
        <v>96.79</v>
      </c>
      <c r="N28" s="52">
        <v>42.2</v>
      </c>
      <c r="O28" s="52">
        <v>0</v>
      </c>
      <c r="P28" s="52">
        <v>0.36</v>
      </c>
      <c r="Q28" s="52">
        <v>9.6199999999999992</v>
      </c>
      <c r="R28" s="43"/>
      <c r="S28" s="43"/>
      <c r="T28" s="43"/>
      <c r="U28" s="43"/>
    </row>
    <row r="29" spans="1:21" s="11" customFormat="1" x14ac:dyDescent="0.25">
      <c r="A29" s="51" t="s">
        <v>296</v>
      </c>
      <c r="B29" s="52">
        <v>7.02</v>
      </c>
      <c r="C29" s="52">
        <v>14.49</v>
      </c>
      <c r="D29" s="52">
        <v>12.84</v>
      </c>
      <c r="E29" s="52">
        <v>5.35</v>
      </c>
      <c r="F29" s="52">
        <v>10.02</v>
      </c>
      <c r="G29" s="52">
        <v>39.65</v>
      </c>
      <c r="H29" s="52">
        <v>13.24</v>
      </c>
      <c r="I29" s="52">
        <v>1.04</v>
      </c>
      <c r="J29" s="52">
        <v>0.14000000000000001</v>
      </c>
      <c r="K29" s="52">
        <v>150.78</v>
      </c>
      <c r="L29" s="52">
        <v>27.11</v>
      </c>
      <c r="M29" s="52">
        <v>97.65</v>
      </c>
      <c r="N29" s="52">
        <v>42.2</v>
      </c>
      <c r="O29" s="52">
        <v>0</v>
      </c>
      <c r="P29" s="52">
        <v>0.39</v>
      </c>
      <c r="Q29" s="52">
        <v>9.6199999999999992</v>
      </c>
      <c r="R29" s="43"/>
      <c r="S29" s="43"/>
      <c r="T29" s="43"/>
      <c r="U29" s="43"/>
    </row>
    <row r="30" spans="1:21" s="11" customFormat="1" x14ac:dyDescent="0.25">
      <c r="A30" s="51" t="s">
        <v>297</v>
      </c>
      <c r="B30" s="52">
        <v>8.51</v>
      </c>
      <c r="C30" s="52">
        <v>16.350000000000001</v>
      </c>
      <c r="D30" s="52">
        <v>15.37</v>
      </c>
      <c r="E30" s="52">
        <v>5.6</v>
      </c>
      <c r="F30" s="52">
        <v>8.4</v>
      </c>
      <c r="G30" s="52">
        <v>40.29</v>
      </c>
      <c r="H30" s="52">
        <v>10.62</v>
      </c>
      <c r="I30" s="52">
        <v>1.08</v>
      </c>
      <c r="J30" s="52">
        <v>0.69</v>
      </c>
      <c r="K30" s="52">
        <v>137.18</v>
      </c>
      <c r="L30" s="52">
        <v>26.69</v>
      </c>
      <c r="M30" s="52">
        <v>97.7</v>
      </c>
      <c r="N30" s="52">
        <v>42.1</v>
      </c>
      <c r="O30" s="52">
        <v>0</v>
      </c>
      <c r="P30" s="52">
        <v>0.38</v>
      </c>
      <c r="Q30" s="52">
        <v>9.64</v>
      </c>
      <c r="R30" s="43"/>
      <c r="S30" s="43"/>
      <c r="T30" s="43"/>
      <c r="U30" s="43"/>
    </row>
    <row r="31" spans="1:21" s="11" customFormat="1" x14ac:dyDescent="0.25">
      <c r="A31" s="51" t="s">
        <v>298</v>
      </c>
      <c r="B31" s="52">
        <v>6.91</v>
      </c>
      <c r="C31" s="52">
        <v>12.57</v>
      </c>
      <c r="D31" s="52">
        <v>11.89</v>
      </c>
      <c r="E31" s="52">
        <v>5.62</v>
      </c>
      <c r="F31" s="52">
        <v>8.99</v>
      </c>
      <c r="G31" s="52">
        <v>40.96</v>
      </c>
      <c r="H31" s="52">
        <v>12.47</v>
      </c>
      <c r="I31" s="52">
        <v>1.1100000000000001</v>
      </c>
      <c r="J31" s="52">
        <v>0.94</v>
      </c>
      <c r="K31" s="52">
        <v>145.44</v>
      </c>
      <c r="L31" s="52">
        <v>26.12</v>
      </c>
      <c r="M31" s="52">
        <v>97.75</v>
      </c>
      <c r="N31" s="52">
        <v>42.3</v>
      </c>
      <c r="O31" s="52">
        <v>0</v>
      </c>
      <c r="P31" s="52">
        <v>0.35</v>
      </c>
      <c r="Q31" s="52">
        <v>9.6300000000000008</v>
      </c>
      <c r="R31" s="43"/>
      <c r="S31" s="43"/>
      <c r="T31" s="43"/>
      <c r="U31" s="43"/>
    </row>
    <row r="32" spans="1:21" s="11" customFormat="1" x14ac:dyDescent="0.25">
      <c r="A32" s="51" t="s">
        <v>299</v>
      </c>
      <c r="B32" s="52">
        <v>6.82</v>
      </c>
      <c r="C32" s="52">
        <v>9.59</v>
      </c>
      <c r="D32" s="52">
        <v>10.48</v>
      </c>
      <c r="E32" s="52">
        <v>5.31</v>
      </c>
      <c r="F32" s="52">
        <v>7.37</v>
      </c>
      <c r="G32" s="52">
        <v>40.96</v>
      </c>
      <c r="H32" s="52">
        <v>12.47</v>
      </c>
      <c r="I32" s="52">
        <v>1.1100000000000001</v>
      </c>
      <c r="J32" s="52">
        <v>0.55000000000000004</v>
      </c>
      <c r="K32" s="52">
        <v>148.58000000000001</v>
      </c>
      <c r="L32" s="52">
        <v>25.75</v>
      </c>
      <c r="M32" s="52">
        <v>97.79</v>
      </c>
      <c r="N32" s="52">
        <v>42.3</v>
      </c>
      <c r="O32" s="52">
        <v>0</v>
      </c>
      <c r="P32" s="52">
        <v>0.31</v>
      </c>
      <c r="Q32" s="52">
        <v>9.64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5.03</v>
      </c>
      <c r="C34" s="28">
        <f t="shared" si="0"/>
        <v>6.91</v>
      </c>
      <c r="D34" s="28">
        <f t="shared" si="0"/>
        <v>8.59</v>
      </c>
      <c r="E34" s="28">
        <f t="shared" si="0"/>
        <v>4.5199999999999996</v>
      </c>
      <c r="F34" s="28">
        <f t="shared" si="0"/>
        <v>5.98</v>
      </c>
      <c r="G34" s="28">
        <f t="shared" si="0"/>
        <v>18.399999999999999</v>
      </c>
      <c r="H34" s="28">
        <f t="shared" si="0"/>
        <v>5.7</v>
      </c>
      <c r="I34" s="28">
        <f t="shared" si="0"/>
        <v>0.87</v>
      </c>
      <c r="J34" s="28">
        <f t="shared" si="0"/>
        <v>0.06</v>
      </c>
      <c r="K34" s="28">
        <f t="shared" si="0"/>
        <v>134.25</v>
      </c>
      <c r="L34" s="28">
        <f t="shared" si="0"/>
        <v>23.85</v>
      </c>
      <c r="M34" s="28">
        <f t="shared" si="0"/>
        <v>69.98</v>
      </c>
      <c r="N34" s="28">
        <f t="shared" si="0"/>
        <v>42.1</v>
      </c>
      <c r="O34" s="28">
        <f t="shared" si="0"/>
        <v>0</v>
      </c>
      <c r="P34" s="28">
        <f t="shared" si="0"/>
        <v>0.24</v>
      </c>
      <c r="Q34" s="28">
        <f t="shared" si="0"/>
        <v>9.5500000000000007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8.7899999999999991</v>
      </c>
      <c r="C35" s="29">
        <f t="shared" si="1"/>
        <v>18.04</v>
      </c>
      <c r="D35" s="29">
        <f t="shared" si="1"/>
        <v>15.37</v>
      </c>
      <c r="E35" s="29">
        <f t="shared" si="1"/>
        <v>5.62</v>
      </c>
      <c r="F35" s="29">
        <f t="shared" si="1"/>
        <v>15.86</v>
      </c>
      <c r="G35" s="29">
        <f t="shared" si="1"/>
        <v>42.3</v>
      </c>
      <c r="H35" s="29">
        <f t="shared" si="1"/>
        <v>14.58</v>
      </c>
      <c r="I35" s="29">
        <f t="shared" si="1"/>
        <v>1.6</v>
      </c>
      <c r="J35" s="29">
        <f t="shared" si="1"/>
        <v>1.0900000000000001</v>
      </c>
      <c r="K35" s="29">
        <f t="shared" si="1"/>
        <v>335.64</v>
      </c>
      <c r="L35" s="29">
        <f t="shared" si="1"/>
        <v>31.51</v>
      </c>
      <c r="M35" s="29">
        <f t="shared" si="1"/>
        <v>97.79</v>
      </c>
      <c r="N35" s="29">
        <f t="shared" si="1"/>
        <v>1024.5999999999999</v>
      </c>
      <c r="O35" s="29">
        <f t="shared" si="1"/>
        <v>0</v>
      </c>
      <c r="P35" s="29">
        <f t="shared" si="1"/>
        <v>0.46</v>
      </c>
      <c r="Q35" s="29">
        <f t="shared" si="1"/>
        <v>9.66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6.7299999999999995</v>
      </c>
      <c r="C36" s="28">
        <f t="shared" si="2"/>
        <v>11.340833333333331</v>
      </c>
      <c r="D36" s="28">
        <f t="shared" si="2"/>
        <v>11.18</v>
      </c>
      <c r="E36" s="28">
        <f t="shared" si="2"/>
        <v>4.972083333333333</v>
      </c>
      <c r="F36" s="28">
        <f t="shared" si="2"/>
        <v>9.6966666666666672</v>
      </c>
      <c r="G36" s="28">
        <f t="shared" si="2"/>
        <v>31.877916666666664</v>
      </c>
      <c r="H36" s="28">
        <f t="shared" si="2"/>
        <v>10.630000000000003</v>
      </c>
      <c r="I36" s="28">
        <f t="shared" si="2"/>
        <v>1.1216666666666664</v>
      </c>
      <c r="J36" s="28">
        <f t="shared" si="2"/>
        <v>0.32291666666666663</v>
      </c>
      <c r="K36" s="28">
        <f t="shared" si="2"/>
        <v>238.95749999999998</v>
      </c>
      <c r="L36" s="28">
        <f t="shared" si="2"/>
        <v>27.597916666666666</v>
      </c>
      <c r="M36" s="28">
        <f t="shared" si="2"/>
        <v>89.208333333333329</v>
      </c>
      <c r="N36" s="28">
        <f t="shared" si="2"/>
        <v>283.79583333333335</v>
      </c>
      <c r="O36" s="28">
        <f t="shared" si="2"/>
        <v>0</v>
      </c>
      <c r="P36" s="28">
        <f t="shared" si="2"/>
        <v>0.31999999999999995</v>
      </c>
      <c r="Q36" s="28">
        <f t="shared" si="2"/>
        <v>9.6245833333333337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1.135697448994311</v>
      </c>
      <c r="C37" s="28">
        <f t="shared" ref="C37:Q37" si="3">STDEV(C9:C32)</f>
        <v>3.0302588735254599</v>
      </c>
      <c r="D37" s="28">
        <f t="shared" si="3"/>
        <v>1.6241573065813937</v>
      </c>
      <c r="E37" s="28">
        <f t="shared" si="3"/>
        <v>0.37267516064572742</v>
      </c>
      <c r="F37" s="28">
        <f t="shared" si="3"/>
        <v>3.0697736308932462</v>
      </c>
      <c r="G37" s="28">
        <f t="shared" si="3"/>
        <v>9.0525561987697269</v>
      </c>
      <c r="H37" s="28">
        <f t="shared" si="3"/>
        <v>3.1599050618649813</v>
      </c>
      <c r="I37" s="28">
        <f t="shared" si="3"/>
        <v>0.19820206348828726</v>
      </c>
      <c r="J37" s="28">
        <f t="shared" si="3"/>
        <v>0.27986765764750576</v>
      </c>
      <c r="K37" s="28">
        <f t="shared" si="3"/>
        <v>70.471273348729284</v>
      </c>
      <c r="L37" s="28">
        <f t="shared" si="3"/>
        <v>2.6293659000283482</v>
      </c>
      <c r="M37" s="28">
        <f t="shared" si="3"/>
        <v>10.368025541210292</v>
      </c>
      <c r="N37" s="28">
        <f t="shared" si="3"/>
        <v>342.57137432018914</v>
      </c>
      <c r="O37" s="28">
        <f t="shared" si="3"/>
        <v>0</v>
      </c>
      <c r="P37" s="28">
        <f t="shared" si="3"/>
        <v>6.6398009399182514E-2</v>
      </c>
      <c r="Q37" s="28">
        <f t="shared" si="3"/>
        <v>2.6699481621196106E-2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2" sqref="G12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300</v>
      </c>
      <c r="B9" s="52">
        <v>5.13</v>
      </c>
      <c r="C9" s="52">
        <v>7.68</v>
      </c>
      <c r="D9" s="52">
        <v>7.64</v>
      </c>
      <c r="E9" s="52">
        <v>4.82</v>
      </c>
      <c r="F9" s="52">
        <v>7.77</v>
      </c>
      <c r="G9" s="52">
        <v>37.71</v>
      </c>
      <c r="H9" s="52">
        <v>11.17</v>
      </c>
      <c r="I9" s="52">
        <v>1.07</v>
      </c>
      <c r="J9" s="52">
        <v>0.2</v>
      </c>
      <c r="K9" s="52">
        <v>179.37</v>
      </c>
      <c r="L9" s="52">
        <v>25.67</v>
      </c>
      <c r="M9" s="52">
        <v>97.8</v>
      </c>
      <c r="N9" s="52">
        <v>42.3</v>
      </c>
      <c r="O9" s="52">
        <v>0</v>
      </c>
      <c r="P9" s="52">
        <v>0.28999999999999998</v>
      </c>
      <c r="Q9" s="52">
        <v>9.65</v>
      </c>
      <c r="R9" s="43"/>
      <c r="S9" s="43"/>
      <c r="T9" s="43"/>
      <c r="U9" s="43"/>
    </row>
    <row r="10" spans="1:21" s="11" customFormat="1" x14ac:dyDescent="0.25">
      <c r="A10" s="51" t="s">
        <v>301</v>
      </c>
      <c r="B10" s="52">
        <v>5.28</v>
      </c>
      <c r="C10" s="52">
        <v>7.06</v>
      </c>
      <c r="D10" s="52">
        <v>7.63</v>
      </c>
      <c r="E10" s="52">
        <v>4.5199999999999996</v>
      </c>
      <c r="F10" s="52">
        <v>7.17</v>
      </c>
      <c r="G10" s="52">
        <v>37.71</v>
      </c>
      <c r="H10" s="52">
        <v>10.51</v>
      </c>
      <c r="I10" s="52">
        <v>1.05</v>
      </c>
      <c r="J10" s="52">
        <v>0.18</v>
      </c>
      <c r="K10" s="52">
        <v>169.38</v>
      </c>
      <c r="L10" s="52">
        <v>25.41</v>
      </c>
      <c r="M10" s="52">
        <v>97.8</v>
      </c>
      <c r="N10" s="52">
        <v>42.3</v>
      </c>
      <c r="O10" s="52">
        <v>0</v>
      </c>
      <c r="P10" s="52">
        <v>0.28000000000000003</v>
      </c>
      <c r="Q10" s="52">
        <v>9.65</v>
      </c>
      <c r="R10" s="43"/>
      <c r="S10" s="43"/>
      <c r="T10" s="43"/>
      <c r="U10" s="43"/>
    </row>
    <row r="11" spans="1:21" s="11" customFormat="1" x14ac:dyDescent="0.25">
      <c r="A11" s="51" t="s">
        <v>302</v>
      </c>
      <c r="B11" s="52">
        <v>5.54</v>
      </c>
      <c r="C11" s="52">
        <v>7.03</v>
      </c>
      <c r="D11" s="52">
        <v>8</v>
      </c>
      <c r="E11" s="52">
        <v>4.7699999999999996</v>
      </c>
      <c r="F11" s="52">
        <v>6.62</v>
      </c>
      <c r="G11" s="52">
        <v>30.22</v>
      </c>
      <c r="H11" s="52">
        <v>10.51</v>
      </c>
      <c r="I11" s="52">
        <v>1.02</v>
      </c>
      <c r="J11" s="52">
        <v>0.18</v>
      </c>
      <c r="K11" s="52">
        <v>184.65</v>
      </c>
      <c r="L11" s="52">
        <v>25.11</v>
      </c>
      <c r="M11" s="52">
        <v>97.8</v>
      </c>
      <c r="N11" s="52">
        <v>42.3</v>
      </c>
      <c r="O11" s="52">
        <v>0</v>
      </c>
      <c r="P11" s="52">
        <v>0.26</v>
      </c>
      <c r="Q11" s="52">
        <v>9.64</v>
      </c>
      <c r="R11" s="43"/>
      <c r="S11" s="43"/>
      <c r="T11" s="43"/>
      <c r="U11" s="43"/>
    </row>
    <row r="12" spans="1:21" s="11" customFormat="1" x14ac:dyDescent="0.25">
      <c r="A12" s="51" t="s">
        <v>303</v>
      </c>
      <c r="B12" s="52">
        <v>6.42</v>
      </c>
      <c r="C12" s="52">
        <v>6.43</v>
      </c>
      <c r="D12" s="52">
        <v>8.51</v>
      </c>
      <c r="E12" s="52">
        <v>4.8600000000000003</v>
      </c>
      <c r="F12" s="52">
        <v>6.54</v>
      </c>
      <c r="G12" s="52">
        <v>30.22</v>
      </c>
      <c r="H12" s="52">
        <v>10.33</v>
      </c>
      <c r="I12" s="52">
        <v>1.01</v>
      </c>
      <c r="J12" s="52">
        <v>0.13</v>
      </c>
      <c r="K12" s="52">
        <v>169.97</v>
      </c>
      <c r="L12" s="52">
        <v>24.87</v>
      </c>
      <c r="M12" s="52">
        <v>97.8</v>
      </c>
      <c r="N12" s="52">
        <v>42.3</v>
      </c>
      <c r="O12" s="52">
        <v>0</v>
      </c>
      <c r="P12" s="52">
        <v>0.28000000000000003</v>
      </c>
      <c r="Q12" s="52">
        <v>9.64</v>
      </c>
      <c r="R12" s="43"/>
      <c r="S12" s="43"/>
      <c r="T12" s="43"/>
      <c r="U12" s="43"/>
    </row>
    <row r="13" spans="1:21" s="11" customFormat="1" x14ac:dyDescent="0.25">
      <c r="A13" s="51" t="s">
        <v>304</v>
      </c>
      <c r="B13" s="52">
        <v>6.54</v>
      </c>
      <c r="C13" s="52">
        <v>8.27</v>
      </c>
      <c r="D13" s="52">
        <v>8.8000000000000007</v>
      </c>
      <c r="E13" s="52">
        <v>4.66</v>
      </c>
      <c r="F13" s="52">
        <v>5.95</v>
      </c>
      <c r="G13" s="52">
        <v>21.8</v>
      </c>
      <c r="H13" s="52">
        <v>9.07</v>
      </c>
      <c r="I13" s="52">
        <v>0.93</v>
      </c>
      <c r="J13" s="52">
        <v>0.4</v>
      </c>
      <c r="K13" s="52">
        <v>247.64</v>
      </c>
      <c r="L13" s="52">
        <v>24.55</v>
      </c>
      <c r="M13" s="52">
        <v>97.85</v>
      </c>
      <c r="N13" s="52">
        <v>42.6</v>
      </c>
      <c r="O13" s="52">
        <v>0</v>
      </c>
      <c r="P13" s="52">
        <v>0.27</v>
      </c>
      <c r="Q13" s="52">
        <v>9.65</v>
      </c>
      <c r="R13" s="43"/>
      <c r="S13" s="43"/>
      <c r="T13" s="43"/>
      <c r="U13" s="43"/>
    </row>
    <row r="14" spans="1:21" s="11" customFormat="1" x14ac:dyDescent="0.25">
      <c r="A14" s="51" t="s">
        <v>305</v>
      </c>
      <c r="B14" s="52">
        <v>8.58</v>
      </c>
      <c r="C14" s="52">
        <v>10.35</v>
      </c>
      <c r="D14" s="52">
        <v>12.29</v>
      </c>
      <c r="E14" s="52">
        <v>4.6399999999999997</v>
      </c>
      <c r="F14" s="52">
        <v>4.6399999999999997</v>
      </c>
      <c r="G14" s="52">
        <v>19.45</v>
      </c>
      <c r="H14" s="52">
        <v>7.11</v>
      </c>
      <c r="I14" s="52">
        <v>0.9</v>
      </c>
      <c r="J14" s="52">
        <v>0.17</v>
      </c>
      <c r="K14" s="52">
        <v>220.79</v>
      </c>
      <c r="L14" s="52">
        <v>24.53</v>
      </c>
      <c r="M14" s="52">
        <v>97.85</v>
      </c>
      <c r="N14" s="52">
        <v>58.8</v>
      </c>
      <c r="O14" s="52">
        <v>0</v>
      </c>
      <c r="P14" s="52">
        <v>0.28000000000000003</v>
      </c>
      <c r="Q14" s="52">
        <v>9.65</v>
      </c>
      <c r="R14" s="43"/>
      <c r="S14" s="43"/>
      <c r="T14" s="43"/>
      <c r="U14" s="43"/>
    </row>
    <row r="15" spans="1:21" s="11" customFormat="1" x14ac:dyDescent="0.25">
      <c r="A15" s="51" t="s">
        <v>306</v>
      </c>
      <c r="B15" s="52">
        <v>8.7100000000000009</v>
      </c>
      <c r="C15" s="52">
        <v>7.96</v>
      </c>
      <c r="D15" s="52">
        <v>11.1</v>
      </c>
      <c r="E15" s="52">
        <v>4.8499999999999996</v>
      </c>
      <c r="F15" s="52">
        <v>7.2</v>
      </c>
      <c r="G15" s="52">
        <v>19.45</v>
      </c>
      <c r="H15" s="52">
        <v>7.91</v>
      </c>
      <c r="I15" s="52">
        <v>0.91</v>
      </c>
      <c r="J15" s="52">
        <v>7.0000000000000007E-2</v>
      </c>
      <c r="K15" s="52">
        <v>281.11</v>
      </c>
      <c r="L15" s="52">
        <v>25.51</v>
      </c>
      <c r="M15" s="52">
        <v>97.84</v>
      </c>
      <c r="N15" s="52">
        <v>170.9</v>
      </c>
      <c r="O15" s="52">
        <v>0</v>
      </c>
      <c r="P15" s="52">
        <v>0.3</v>
      </c>
      <c r="Q15" s="52">
        <v>9.65</v>
      </c>
      <c r="R15" s="43"/>
      <c r="S15" s="43"/>
      <c r="T15" s="43"/>
      <c r="U15" s="43"/>
    </row>
    <row r="16" spans="1:21" s="11" customFormat="1" x14ac:dyDescent="0.25">
      <c r="A16" s="51" t="s">
        <v>307</v>
      </c>
      <c r="B16" s="52">
        <v>8.8800000000000008</v>
      </c>
      <c r="C16" s="52">
        <v>6.68</v>
      </c>
      <c r="D16" s="52">
        <v>10.43</v>
      </c>
      <c r="E16" s="52">
        <v>5.19</v>
      </c>
      <c r="F16" s="52">
        <v>6.06</v>
      </c>
      <c r="G16" s="52">
        <v>22.57</v>
      </c>
      <c r="H16" s="52">
        <v>8.7799999999999994</v>
      </c>
      <c r="I16" s="52">
        <v>0.94</v>
      </c>
      <c r="J16" s="52">
        <v>0.19</v>
      </c>
      <c r="K16" s="52">
        <v>287.52999999999997</v>
      </c>
      <c r="L16" s="52">
        <v>26.3</v>
      </c>
      <c r="M16" s="52">
        <v>97.7</v>
      </c>
      <c r="N16" s="52">
        <v>220.5</v>
      </c>
      <c r="O16" s="52">
        <v>0</v>
      </c>
      <c r="P16" s="52">
        <v>0.27</v>
      </c>
      <c r="Q16" s="52">
        <v>9.64</v>
      </c>
      <c r="R16" s="43"/>
      <c r="S16" s="43"/>
      <c r="T16" s="43"/>
      <c r="U16" s="43"/>
    </row>
    <row r="17" spans="1:21" s="11" customFormat="1" x14ac:dyDescent="0.25">
      <c r="A17" s="51" t="s">
        <v>308</v>
      </c>
      <c r="B17" s="52">
        <v>8.3000000000000007</v>
      </c>
      <c r="C17" s="52">
        <v>8.5</v>
      </c>
      <c r="D17" s="52">
        <v>10.39</v>
      </c>
      <c r="E17" s="52">
        <v>5.29</v>
      </c>
      <c r="F17" s="52">
        <v>2.85</v>
      </c>
      <c r="G17" s="52">
        <v>28.03</v>
      </c>
      <c r="H17" s="52">
        <v>8.7799999999999994</v>
      </c>
      <c r="I17" s="52">
        <v>0.92</v>
      </c>
      <c r="J17" s="52">
        <v>0.22</v>
      </c>
      <c r="K17" s="52">
        <v>298.16000000000003</v>
      </c>
      <c r="L17" s="52">
        <v>27.76</v>
      </c>
      <c r="M17" s="52">
        <v>97.67</v>
      </c>
      <c r="N17" s="52">
        <v>418.4</v>
      </c>
      <c r="O17" s="52">
        <v>0</v>
      </c>
      <c r="P17" s="52">
        <v>0.3</v>
      </c>
      <c r="Q17" s="52">
        <v>9.65</v>
      </c>
      <c r="R17" s="43"/>
      <c r="S17" s="43"/>
      <c r="T17" s="43"/>
      <c r="U17" s="43"/>
    </row>
    <row r="18" spans="1:21" s="11" customFormat="1" x14ac:dyDescent="0.25">
      <c r="A18" s="51" t="s">
        <v>309</v>
      </c>
      <c r="B18" s="52">
        <v>9.5</v>
      </c>
      <c r="C18" s="52">
        <v>10.19</v>
      </c>
      <c r="D18" s="52">
        <v>12.95</v>
      </c>
      <c r="E18" s="52">
        <v>4.9400000000000004</v>
      </c>
      <c r="F18" s="52">
        <v>4.9000000000000004</v>
      </c>
      <c r="G18" s="52">
        <v>31.7</v>
      </c>
      <c r="H18" s="52">
        <v>6.55</v>
      </c>
      <c r="I18" s="52">
        <v>0.98</v>
      </c>
      <c r="J18" s="52">
        <v>0.2</v>
      </c>
      <c r="K18" s="52">
        <v>291.55</v>
      </c>
      <c r="L18" s="52">
        <v>29.53</v>
      </c>
      <c r="M18" s="52">
        <v>95.95</v>
      </c>
      <c r="N18" s="52">
        <v>594.20000000000005</v>
      </c>
      <c r="O18" s="52">
        <v>0</v>
      </c>
      <c r="P18" s="52">
        <v>0.46</v>
      </c>
      <c r="Q18" s="52">
        <v>9.6300000000000008</v>
      </c>
      <c r="R18" s="43"/>
      <c r="S18" s="43"/>
      <c r="T18" s="43"/>
      <c r="U18" s="43"/>
    </row>
    <row r="19" spans="1:21" s="11" customFormat="1" x14ac:dyDescent="0.25">
      <c r="A19" s="51" t="s">
        <v>310</v>
      </c>
      <c r="B19" s="52">
        <v>10.37</v>
      </c>
      <c r="C19" s="52">
        <v>13.54</v>
      </c>
      <c r="D19" s="52">
        <v>15.37</v>
      </c>
      <c r="E19" s="52">
        <v>5.46</v>
      </c>
      <c r="F19" s="52">
        <v>10.82</v>
      </c>
      <c r="G19" s="52">
        <v>42.49</v>
      </c>
      <c r="H19" s="52">
        <v>12.59</v>
      </c>
      <c r="I19" s="52">
        <v>1.25</v>
      </c>
      <c r="J19" s="52">
        <v>0.25</v>
      </c>
      <c r="K19" s="52">
        <v>315.27</v>
      </c>
      <c r="L19" s="52">
        <v>30.19</v>
      </c>
      <c r="M19" s="52">
        <v>84.1</v>
      </c>
      <c r="N19" s="52">
        <v>580.6</v>
      </c>
      <c r="O19" s="52">
        <v>0</v>
      </c>
      <c r="P19" s="52">
        <v>0.53</v>
      </c>
      <c r="Q19" s="52">
        <v>9.61</v>
      </c>
      <c r="R19" s="43"/>
      <c r="S19" s="43"/>
      <c r="T19" s="43"/>
      <c r="U19" s="43"/>
    </row>
    <row r="20" spans="1:21" s="11" customFormat="1" x14ac:dyDescent="0.25">
      <c r="A20" s="51" t="s">
        <v>311</v>
      </c>
      <c r="B20" s="52">
        <v>8.58</v>
      </c>
      <c r="C20" s="52">
        <v>13.21</v>
      </c>
      <c r="D20" s="52">
        <v>13.62</v>
      </c>
      <c r="E20" s="52">
        <v>5.14</v>
      </c>
      <c r="F20" s="52">
        <v>11.61</v>
      </c>
      <c r="G20" s="52">
        <v>43.91</v>
      </c>
      <c r="H20" s="52">
        <v>12.59</v>
      </c>
      <c r="I20" s="52">
        <v>1.46</v>
      </c>
      <c r="J20" s="52">
        <v>0.75</v>
      </c>
      <c r="K20" s="52">
        <v>328.5</v>
      </c>
      <c r="L20" s="52">
        <v>32.47</v>
      </c>
      <c r="M20" s="52">
        <v>76.099999999999994</v>
      </c>
      <c r="N20" s="52">
        <v>599.5</v>
      </c>
      <c r="O20" s="52">
        <v>0</v>
      </c>
      <c r="P20" s="52">
        <v>0.49</v>
      </c>
      <c r="Q20" s="52">
        <v>9.6</v>
      </c>
      <c r="R20" s="43"/>
      <c r="S20" s="43"/>
      <c r="T20" s="43"/>
      <c r="U20" s="43"/>
    </row>
    <row r="21" spans="1:21" s="11" customFormat="1" x14ac:dyDescent="0.25">
      <c r="A21" s="51" t="s">
        <v>312</v>
      </c>
      <c r="B21" s="52">
        <v>10.91</v>
      </c>
      <c r="C21" s="52">
        <v>12.91</v>
      </c>
      <c r="D21" s="52">
        <v>15.34</v>
      </c>
      <c r="E21" s="52">
        <v>5.36</v>
      </c>
      <c r="F21" s="52">
        <v>13.23</v>
      </c>
      <c r="G21" s="52">
        <v>44.18</v>
      </c>
      <c r="H21" s="52">
        <v>12.42</v>
      </c>
      <c r="I21" s="52">
        <v>1.48</v>
      </c>
      <c r="J21" s="52">
        <v>0.61</v>
      </c>
      <c r="K21" s="52">
        <v>328.77</v>
      </c>
      <c r="L21" s="52">
        <v>33.020000000000003</v>
      </c>
      <c r="M21" s="52">
        <v>69.28</v>
      </c>
      <c r="N21" s="52">
        <v>777.4</v>
      </c>
      <c r="O21" s="52">
        <v>0</v>
      </c>
      <c r="P21" s="52">
        <v>0.48</v>
      </c>
      <c r="Q21" s="52">
        <v>9.6199999999999992</v>
      </c>
      <c r="R21" s="43"/>
      <c r="S21" s="43"/>
      <c r="T21" s="43"/>
      <c r="U21" s="43"/>
    </row>
    <row r="22" spans="1:21" s="11" customFormat="1" x14ac:dyDescent="0.25">
      <c r="A22" s="51" t="s">
        <v>313</v>
      </c>
      <c r="B22" s="52">
        <v>8.7899999999999991</v>
      </c>
      <c r="C22" s="52">
        <v>14.59</v>
      </c>
      <c r="D22" s="52">
        <v>13.95</v>
      </c>
      <c r="E22" s="52">
        <v>5.03</v>
      </c>
      <c r="F22" s="52">
        <v>12.21</v>
      </c>
      <c r="G22" s="52">
        <v>44.33</v>
      </c>
      <c r="H22" s="52">
        <v>9.64</v>
      </c>
      <c r="I22" s="52">
        <v>1.41</v>
      </c>
      <c r="J22" s="52">
        <v>0.2</v>
      </c>
      <c r="K22" s="52">
        <v>316.38</v>
      </c>
      <c r="L22" s="52">
        <v>31.74</v>
      </c>
      <c r="M22" s="52">
        <v>70.459999999999994</v>
      </c>
      <c r="N22" s="52">
        <v>380</v>
      </c>
      <c r="O22" s="52">
        <v>0</v>
      </c>
      <c r="P22" s="52">
        <v>0.5</v>
      </c>
      <c r="Q22" s="52">
        <v>9.6199999999999992</v>
      </c>
      <c r="R22" s="43"/>
      <c r="S22" s="43"/>
      <c r="T22" s="43"/>
      <c r="U22" s="43"/>
    </row>
    <row r="23" spans="1:21" s="11" customFormat="1" x14ac:dyDescent="0.25">
      <c r="A23" s="51" t="s">
        <v>314</v>
      </c>
      <c r="B23" s="52">
        <v>5.78</v>
      </c>
      <c r="C23" s="52">
        <v>13.99</v>
      </c>
      <c r="D23" s="52">
        <v>11.69</v>
      </c>
      <c r="E23" s="52">
        <v>5.07</v>
      </c>
      <c r="F23" s="52">
        <v>20.88</v>
      </c>
      <c r="G23" s="52">
        <v>44.33</v>
      </c>
      <c r="H23" s="52">
        <v>10.9</v>
      </c>
      <c r="I23" s="52">
        <v>1.41</v>
      </c>
      <c r="J23" s="52">
        <v>0.36</v>
      </c>
      <c r="K23" s="52">
        <v>272.98</v>
      </c>
      <c r="L23" s="52">
        <v>31.21</v>
      </c>
      <c r="M23" s="52">
        <v>76.88</v>
      </c>
      <c r="N23" s="52">
        <v>259.3</v>
      </c>
      <c r="O23" s="52">
        <v>0</v>
      </c>
      <c r="P23" s="52">
        <v>0.44</v>
      </c>
      <c r="Q23" s="52">
        <v>9.61</v>
      </c>
      <c r="R23" s="43"/>
      <c r="S23" s="43"/>
      <c r="T23" s="43"/>
      <c r="U23" s="43"/>
    </row>
    <row r="24" spans="1:21" s="11" customFormat="1" x14ac:dyDescent="0.25">
      <c r="A24" s="51" t="s">
        <v>315</v>
      </c>
      <c r="B24" s="52">
        <v>5.19</v>
      </c>
      <c r="C24" s="52">
        <v>10.98</v>
      </c>
      <c r="D24" s="52">
        <v>9.66</v>
      </c>
      <c r="E24" s="52">
        <v>5.14</v>
      </c>
      <c r="F24" s="52">
        <v>14.68</v>
      </c>
      <c r="G24" s="52">
        <v>41.86</v>
      </c>
      <c r="H24" s="52">
        <v>10.9</v>
      </c>
      <c r="I24" s="52">
        <v>1.42</v>
      </c>
      <c r="J24" s="52">
        <v>0.32</v>
      </c>
      <c r="K24" s="52">
        <v>293.42</v>
      </c>
      <c r="L24" s="52">
        <v>30.35</v>
      </c>
      <c r="M24" s="52">
        <v>79.209999999999994</v>
      </c>
      <c r="N24" s="52">
        <v>199.9</v>
      </c>
      <c r="O24" s="52">
        <v>0</v>
      </c>
      <c r="P24" s="52">
        <v>0.43</v>
      </c>
      <c r="Q24" s="52">
        <v>9.6</v>
      </c>
      <c r="R24" s="43"/>
      <c r="S24" s="43"/>
      <c r="T24" s="43"/>
      <c r="U24" s="43"/>
    </row>
    <row r="25" spans="1:21" s="11" customFormat="1" x14ac:dyDescent="0.25">
      <c r="A25" s="51" t="s">
        <v>316</v>
      </c>
      <c r="B25" s="52">
        <v>7.12</v>
      </c>
      <c r="C25" s="52">
        <v>13.83</v>
      </c>
      <c r="D25" s="52">
        <v>12.45</v>
      </c>
      <c r="E25" s="52">
        <v>4.79</v>
      </c>
      <c r="F25" s="52">
        <v>15.8</v>
      </c>
      <c r="G25" s="52">
        <v>40.659999999999997</v>
      </c>
      <c r="H25" s="52">
        <v>8.67</v>
      </c>
      <c r="I25" s="52">
        <v>1.41</v>
      </c>
      <c r="J25" s="52">
        <v>0.13</v>
      </c>
      <c r="K25" s="52">
        <v>277.61</v>
      </c>
      <c r="L25" s="52">
        <v>30.22</v>
      </c>
      <c r="M25" s="52">
        <v>74.91</v>
      </c>
      <c r="N25" s="52">
        <v>149.30000000000001</v>
      </c>
      <c r="O25" s="52">
        <v>0.2</v>
      </c>
      <c r="P25" s="52">
        <v>0.51</v>
      </c>
      <c r="Q25" s="52">
        <v>9.59</v>
      </c>
      <c r="R25" s="43"/>
      <c r="S25" s="43"/>
      <c r="T25" s="43"/>
      <c r="U25" s="43"/>
    </row>
    <row r="26" spans="1:21" s="11" customFormat="1" x14ac:dyDescent="0.25">
      <c r="A26" s="51" t="s">
        <v>317</v>
      </c>
      <c r="B26" s="52">
        <v>8.89</v>
      </c>
      <c r="C26" s="52">
        <v>14.01</v>
      </c>
      <c r="D26" s="52">
        <v>14.45</v>
      </c>
      <c r="E26" s="52">
        <v>4.67</v>
      </c>
      <c r="F26" s="52">
        <v>10.58</v>
      </c>
      <c r="G26" s="52">
        <v>38.630000000000003</v>
      </c>
      <c r="H26" s="52">
        <v>10.71</v>
      </c>
      <c r="I26" s="52">
        <v>1.41</v>
      </c>
      <c r="J26" s="52">
        <v>0.23</v>
      </c>
      <c r="K26" s="52">
        <v>323.98</v>
      </c>
      <c r="L26" s="52">
        <v>29.75</v>
      </c>
      <c r="M26" s="52">
        <v>84.33</v>
      </c>
      <c r="N26" s="52">
        <v>94.8</v>
      </c>
      <c r="O26" s="52">
        <v>0</v>
      </c>
      <c r="P26" s="52">
        <v>0.56000000000000005</v>
      </c>
      <c r="Q26" s="52">
        <v>9.59</v>
      </c>
      <c r="R26" s="43"/>
      <c r="S26" s="43"/>
      <c r="T26" s="43"/>
      <c r="U26" s="43"/>
    </row>
    <row r="27" spans="1:21" s="11" customFormat="1" x14ac:dyDescent="0.25">
      <c r="A27" s="51" t="s">
        <v>318</v>
      </c>
      <c r="B27" s="52">
        <v>17.64</v>
      </c>
      <c r="C27" s="52">
        <v>17.46</v>
      </c>
      <c r="D27" s="52">
        <v>23.27</v>
      </c>
      <c r="E27" s="52">
        <v>5</v>
      </c>
      <c r="F27" s="52">
        <v>9.32</v>
      </c>
      <c r="G27" s="52">
        <v>35.729999999999997</v>
      </c>
      <c r="H27" s="52">
        <v>10.71</v>
      </c>
      <c r="I27" s="52">
        <v>1.5</v>
      </c>
      <c r="J27" s="52">
        <v>0.3</v>
      </c>
      <c r="K27" s="52">
        <v>335.97</v>
      </c>
      <c r="L27" s="52">
        <v>28.59</v>
      </c>
      <c r="M27" s="52">
        <v>85.4</v>
      </c>
      <c r="N27" s="52">
        <v>58.4</v>
      </c>
      <c r="O27" s="52">
        <v>0</v>
      </c>
      <c r="P27" s="52">
        <v>0.84</v>
      </c>
      <c r="Q27" s="52">
        <v>9.61</v>
      </c>
      <c r="R27" s="43"/>
      <c r="S27" s="43"/>
      <c r="T27" s="43"/>
      <c r="U27" s="43"/>
    </row>
    <row r="28" spans="1:21" s="11" customFormat="1" x14ac:dyDescent="0.25">
      <c r="A28" s="51" t="s">
        <v>319</v>
      </c>
      <c r="B28" s="52">
        <v>19.66</v>
      </c>
      <c r="C28" s="52">
        <v>16.09</v>
      </c>
      <c r="D28" s="52">
        <v>24.16</v>
      </c>
      <c r="E28" s="52">
        <v>4.92</v>
      </c>
      <c r="F28" s="52">
        <v>8.52</v>
      </c>
      <c r="G28" s="52">
        <v>40.89</v>
      </c>
      <c r="H28" s="52">
        <v>8.7899999999999991</v>
      </c>
      <c r="I28" s="52">
        <v>1.49</v>
      </c>
      <c r="J28" s="52">
        <v>1.25</v>
      </c>
      <c r="K28" s="52">
        <v>333.13</v>
      </c>
      <c r="L28" s="52">
        <v>27.93</v>
      </c>
      <c r="M28" s="52">
        <v>85.63</v>
      </c>
      <c r="N28" s="52">
        <v>48.7</v>
      </c>
      <c r="O28" s="52">
        <v>0</v>
      </c>
      <c r="P28" s="52">
        <v>1</v>
      </c>
      <c r="Q28" s="52">
        <v>9.6199999999999992</v>
      </c>
      <c r="R28" s="43"/>
      <c r="S28" s="43"/>
      <c r="T28" s="43"/>
      <c r="U28" s="43"/>
    </row>
    <row r="29" spans="1:21" s="11" customFormat="1" x14ac:dyDescent="0.25">
      <c r="A29" s="51" t="s">
        <v>320</v>
      </c>
      <c r="B29" s="52">
        <v>14.27</v>
      </c>
      <c r="C29" s="52">
        <v>11.52</v>
      </c>
      <c r="D29" s="52">
        <v>16.36</v>
      </c>
      <c r="E29" s="52">
        <v>4.66</v>
      </c>
      <c r="F29" s="52">
        <v>8</v>
      </c>
      <c r="G29" s="52">
        <v>42.43</v>
      </c>
      <c r="H29" s="52">
        <v>8.7899999999999991</v>
      </c>
      <c r="I29" s="52">
        <v>1.57</v>
      </c>
      <c r="J29" s="52">
        <v>1.49</v>
      </c>
      <c r="K29" s="52">
        <v>336.97</v>
      </c>
      <c r="L29" s="52">
        <v>27.58</v>
      </c>
      <c r="M29" s="52">
        <v>97.62</v>
      </c>
      <c r="N29" s="52">
        <v>49.2</v>
      </c>
      <c r="O29" s="52">
        <v>0</v>
      </c>
      <c r="P29" s="52">
        <v>0.65</v>
      </c>
      <c r="Q29" s="52">
        <v>9.6199999999999992</v>
      </c>
      <c r="R29" s="43"/>
      <c r="S29" s="43"/>
      <c r="T29" s="43"/>
      <c r="U29" s="43"/>
    </row>
    <row r="30" spans="1:21" s="11" customFormat="1" x14ac:dyDescent="0.25">
      <c r="A30" s="51" t="s">
        <v>321</v>
      </c>
      <c r="B30" s="52">
        <v>19.440000000000001</v>
      </c>
      <c r="C30" s="52">
        <v>11.24</v>
      </c>
      <c r="D30" s="52">
        <v>20.97</v>
      </c>
      <c r="E30" s="52">
        <v>4.6399999999999997</v>
      </c>
      <c r="F30" s="52">
        <v>6.95</v>
      </c>
      <c r="G30" s="52">
        <v>46.26</v>
      </c>
      <c r="H30" s="52">
        <v>7.35</v>
      </c>
      <c r="I30" s="52">
        <v>1.58</v>
      </c>
      <c r="J30" s="52">
        <v>0.94</v>
      </c>
      <c r="K30" s="52">
        <v>338.02</v>
      </c>
      <c r="L30" s="52">
        <v>26.71</v>
      </c>
      <c r="M30" s="52">
        <v>97.66</v>
      </c>
      <c r="N30" s="52">
        <v>48.9</v>
      </c>
      <c r="O30" s="52">
        <v>0</v>
      </c>
      <c r="P30" s="52">
        <v>0.73</v>
      </c>
      <c r="Q30" s="52">
        <v>9.67</v>
      </c>
      <c r="R30" s="43"/>
      <c r="S30" s="43"/>
      <c r="T30" s="43"/>
      <c r="U30" s="43"/>
    </row>
    <row r="31" spans="1:21" s="11" customFormat="1" x14ac:dyDescent="0.25">
      <c r="A31" s="51" t="s">
        <v>322</v>
      </c>
      <c r="B31" s="52">
        <v>20.170000000000002</v>
      </c>
      <c r="C31" s="52">
        <v>18.88</v>
      </c>
      <c r="D31" s="52">
        <v>24.34</v>
      </c>
      <c r="E31" s="52">
        <v>4.8600000000000003</v>
      </c>
      <c r="F31" s="52">
        <v>6.99</v>
      </c>
      <c r="G31" s="52">
        <v>50.81</v>
      </c>
      <c r="H31" s="52">
        <v>8</v>
      </c>
      <c r="I31" s="52">
        <v>1.58</v>
      </c>
      <c r="J31" s="52">
        <v>0.42</v>
      </c>
      <c r="K31" s="52">
        <v>349.92</v>
      </c>
      <c r="L31" s="52">
        <v>26.33</v>
      </c>
      <c r="M31" s="52">
        <v>97.65</v>
      </c>
      <c r="N31" s="52">
        <v>49</v>
      </c>
      <c r="O31" s="52">
        <v>0</v>
      </c>
      <c r="P31" s="52">
        <v>0.71</v>
      </c>
      <c r="Q31" s="52">
        <v>9.68</v>
      </c>
      <c r="R31" s="43"/>
      <c r="S31" s="43"/>
      <c r="T31" s="43"/>
      <c r="U31" s="43"/>
    </row>
    <row r="32" spans="1:21" s="11" customFormat="1" x14ac:dyDescent="0.25">
      <c r="A32" s="51" t="s">
        <v>323</v>
      </c>
      <c r="B32" s="52">
        <v>16.02</v>
      </c>
      <c r="C32" s="52">
        <v>12.86</v>
      </c>
      <c r="D32" s="52">
        <v>19.22</v>
      </c>
      <c r="E32" s="52">
        <v>4.91</v>
      </c>
      <c r="F32" s="52">
        <v>8.8000000000000007</v>
      </c>
      <c r="G32" s="52">
        <v>50.81</v>
      </c>
      <c r="H32" s="52">
        <v>8.82</v>
      </c>
      <c r="I32" s="52">
        <v>1.56</v>
      </c>
      <c r="J32" s="52">
        <v>0.37</v>
      </c>
      <c r="K32" s="52">
        <v>328.79</v>
      </c>
      <c r="L32" s="52">
        <v>26.28</v>
      </c>
      <c r="M32" s="52">
        <v>97.67</v>
      </c>
      <c r="N32" s="52">
        <v>49</v>
      </c>
      <c r="O32" s="52">
        <v>0</v>
      </c>
      <c r="P32" s="52">
        <v>0.49</v>
      </c>
      <c r="Q32" s="52">
        <v>9.66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5.13</v>
      </c>
      <c r="C34" s="28">
        <f t="shared" si="0"/>
        <v>6.43</v>
      </c>
      <c r="D34" s="28">
        <f t="shared" si="0"/>
        <v>7.63</v>
      </c>
      <c r="E34" s="28">
        <f t="shared" si="0"/>
        <v>4.5199999999999996</v>
      </c>
      <c r="F34" s="28">
        <f t="shared" si="0"/>
        <v>2.85</v>
      </c>
      <c r="G34" s="28">
        <f t="shared" si="0"/>
        <v>19.45</v>
      </c>
      <c r="H34" s="28">
        <f t="shared" si="0"/>
        <v>6.55</v>
      </c>
      <c r="I34" s="28">
        <f t="shared" si="0"/>
        <v>0.9</v>
      </c>
      <c r="J34" s="28">
        <f t="shared" si="0"/>
        <v>7.0000000000000007E-2</v>
      </c>
      <c r="K34" s="28">
        <f t="shared" si="0"/>
        <v>169.38</v>
      </c>
      <c r="L34" s="28">
        <f t="shared" si="0"/>
        <v>24.53</v>
      </c>
      <c r="M34" s="28">
        <f t="shared" si="0"/>
        <v>69.28</v>
      </c>
      <c r="N34" s="28">
        <f t="shared" si="0"/>
        <v>42.3</v>
      </c>
      <c r="O34" s="28">
        <f t="shared" si="0"/>
        <v>0</v>
      </c>
      <c r="P34" s="28">
        <f t="shared" si="0"/>
        <v>0.26</v>
      </c>
      <c r="Q34" s="28">
        <f t="shared" si="0"/>
        <v>9.59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20.170000000000002</v>
      </c>
      <c r="C35" s="29">
        <f t="shared" si="1"/>
        <v>18.88</v>
      </c>
      <c r="D35" s="29">
        <f t="shared" si="1"/>
        <v>24.34</v>
      </c>
      <c r="E35" s="29">
        <f t="shared" si="1"/>
        <v>5.46</v>
      </c>
      <c r="F35" s="29">
        <f t="shared" si="1"/>
        <v>20.88</v>
      </c>
      <c r="G35" s="29">
        <f t="shared" si="1"/>
        <v>50.81</v>
      </c>
      <c r="H35" s="29">
        <f t="shared" si="1"/>
        <v>12.59</v>
      </c>
      <c r="I35" s="29">
        <f t="shared" si="1"/>
        <v>1.58</v>
      </c>
      <c r="J35" s="29">
        <f t="shared" si="1"/>
        <v>1.49</v>
      </c>
      <c r="K35" s="29">
        <f t="shared" si="1"/>
        <v>349.92</v>
      </c>
      <c r="L35" s="29">
        <f t="shared" si="1"/>
        <v>33.020000000000003</v>
      </c>
      <c r="M35" s="29">
        <f t="shared" si="1"/>
        <v>97.85</v>
      </c>
      <c r="N35" s="29">
        <f t="shared" si="1"/>
        <v>777.4</v>
      </c>
      <c r="O35" s="29">
        <f t="shared" si="1"/>
        <v>0.2</v>
      </c>
      <c r="P35" s="29">
        <f t="shared" si="1"/>
        <v>1</v>
      </c>
      <c r="Q35" s="29">
        <f t="shared" si="1"/>
        <v>9.68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10.237916666666667</v>
      </c>
      <c r="C36" s="28">
        <f t="shared" si="2"/>
        <v>11.469166666666668</v>
      </c>
      <c r="D36" s="28">
        <f t="shared" si="2"/>
        <v>13.857916666666663</v>
      </c>
      <c r="E36" s="28">
        <f t="shared" si="2"/>
        <v>4.9245833333333335</v>
      </c>
      <c r="F36" s="28">
        <f t="shared" si="2"/>
        <v>9.0870833333333358</v>
      </c>
      <c r="G36" s="28">
        <f t="shared" si="2"/>
        <v>36.924166666666657</v>
      </c>
      <c r="H36" s="28">
        <f t="shared" si="2"/>
        <v>9.6499999999999986</v>
      </c>
      <c r="I36" s="28">
        <f t="shared" si="2"/>
        <v>1.2608333333333335</v>
      </c>
      <c r="J36" s="28">
        <f t="shared" si="2"/>
        <v>0.39833333333333337</v>
      </c>
      <c r="K36" s="28">
        <f t="shared" si="2"/>
        <v>283.74416666666667</v>
      </c>
      <c r="L36" s="28">
        <f t="shared" si="2"/>
        <v>27.983750000000001</v>
      </c>
      <c r="M36" s="28">
        <f t="shared" si="2"/>
        <v>89.706666666666663</v>
      </c>
      <c r="N36" s="28">
        <f t="shared" si="2"/>
        <v>209.10833333333332</v>
      </c>
      <c r="O36" s="28">
        <f t="shared" si="2"/>
        <v>8.3333333333333332E-3</v>
      </c>
      <c r="P36" s="28">
        <f t="shared" si="2"/>
        <v>0.47291666666666665</v>
      </c>
      <c r="Q36" s="28">
        <f t="shared" si="2"/>
        <v>9.6312499999999996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4.8945790591905496</v>
      </c>
      <c r="C37" s="28">
        <f t="shared" ref="C37:Q37" si="3">STDEV(C9:C32)</f>
        <v>3.5385921011005173</v>
      </c>
      <c r="D37" s="28">
        <f t="shared" si="3"/>
        <v>5.1919871199400403</v>
      </c>
      <c r="E37" s="28">
        <f t="shared" si="3"/>
        <v>0.24749139935283254</v>
      </c>
      <c r="F37" s="28">
        <f t="shared" si="3"/>
        <v>4.0716095302308428</v>
      </c>
      <c r="G37" s="28">
        <f t="shared" si="3"/>
        <v>9.4330777478563252</v>
      </c>
      <c r="H37" s="28">
        <f t="shared" si="3"/>
        <v>1.7024892261677875</v>
      </c>
      <c r="I37" s="28">
        <f t="shared" si="3"/>
        <v>0.2607000052812094</v>
      </c>
      <c r="J37" s="28">
        <f t="shared" si="3"/>
        <v>0.36357723498192435</v>
      </c>
      <c r="K37" s="28">
        <f t="shared" si="3"/>
        <v>58.086609915274913</v>
      </c>
      <c r="L37" s="28">
        <f t="shared" si="3"/>
        <v>2.6493228215986586</v>
      </c>
      <c r="M37" s="28">
        <f t="shared" si="3"/>
        <v>10.302892656989592</v>
      </c>
      <c r="N37" s="28">
        <f t="shared" si="3"/>
        <v>225.35720807616539</v>
      </c>
      <c r="O37" s="28">
        <f t="shared" si="3"/>
        <v>4.0824829046386311E-2</v>
      </c>
      <c r="P37" s="28">
        <f t="shared" si="3"/>
        <v>0.199509815965698</v>
      </c>
      <c r="Q37" s="28">
        <f t="shared" si="3"/>
        <v>2.4901981761542329E-2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E12" sqref="E1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324</v>
      </c>
      <c r="B9" s="52">
        <v>10.89</v>
      </c>
      <c r="C9" s="52">
        <v>9.85</v>
      </c>
      <c r="D9" s="52">
        <v>12.82</v>
      </c>
      <c r="E9" s="52">
        <v>4.93</v>
      </c>
      <c r="F9" s="52">
        <v>8.33</v>
      </c>
      <c r="G9" s="52">
        <v>47.09</v>
      </c>
      <c r="H9" s="52">
        <v>8.82</v>
      </c>
      <c r="I9" s="52">
        <v>1.49</v>
      </c>
      <c r="J9" s="52">
        <v>0.15</v>
      </c>
      <c r="K9" s="52">
        <v>321.22000000000003</v>
      </c>
      <c r="L9" s="52">
        <v>25.7</v>
      </c>
      <c r="M9" s="52">
        <v>97.68</v>
      </c>
      <c r="N9" s="52">
        <v>49</v>
      </c>
      <c r="O9" s="52">
        <v>0</v>
      </c>
      <c r="P9" s="52">
        <v>0.56999999999999995</v>
      </c>
      <c r="Q9" s="52">
        <v>9.65</v>
      </c>
      <c r="R9" s="43"/>
      <c r="S9" s="43"/>
      <c r="T9" s="43"/>
      <c r="U9" s="43"/>
    </row>
    <row r="10" spans="1:21" s="11" customFormat="1" x14ac:dyDescent="0.25">
      <c r="A10" s="51" t="s">
        <v>325</v>
      </c>
      <c r="B10" s="52">
        <v>10.78</v>
      </c>
      <c r="C10" s="52">
        <v>8.4700000000000006</v>
      </c>
      <c r="D10" s="52">
        <v>12.7</v>
      </c>
      <c r="E10" s="52">
        <v>4.99</v>
      </c>
      <c r="F10" s="52">
        <v>7.37</v>
      </c>
      <c r="G10" s="52">
        <v>42.07</v>
      </c>
      <c r="H10" s="52">
        <v>8.75</v>
      </c>
      <c r="I10" s="52">
        <v>1.67</v>
      </c>
      <c r="J10" s="52">
        <v>0.09</v>
      </c>
      <c r="K10" s="52">
        <v>337.04</v>
      </c>
      <c r="L10" s="52">
        <v>25.21</v>
      </c>
      <c r="M10" s="52">
        <v>97.73</v>
      </c>
      <c r="N10" s="52">
        <v>49</v>
      </c>
      <c r="O10" s="52">
        <v>0</v>
      </c>
      <c r="P10" s="52">
        <v>0.45</v>
      </c>
      <c r="Q10" s="52">
        <v>9.67</v>
      </c>
      <c r="R10" s="43"/>
      <c r="S10" s="43"/>
      <c r="T10" s="43"/>
      <c r="U10" s="43"/>
    </row>
    <row r="11" spans="1:21" s="11" customFormat="1" x14ac:dyDescent="0.25">
      <c r="A11" s="51" t="s">
        <v>326</v>
      </c>
      <c r="B11" s="52">
        <v>8.6199999999999992</v>
      </c>
      <c r="C11" s="52">
        <v>7.75</v>
      </c>
      <c r="D11" s="52">
        <v>10.41</v>
      </c>
      <c r="E11" s="52">
        <v>4.7</v>
      </c>
      <c r="F11" s="52">
        <v>8.85</v>
      </c>
      <c r="G11" s="52">
        <v>39.28</v>
      </c>
      <c r="H11" s="52">
        <v>8.75</v>
      </c>
      <c r="I11" s="52">
        <v>1.58</v>
      </c>
      <c r="J11" s="52">
        <v>0.06</v>
      </c>
      <c r="K11" s="52">
        <v>298.32</v>
      </c>
      <c r="L11" s="52">
        <v>24.7</v>
      </c>
      <c r="M11" s="52">
        <v>97.73</v>
      </c>
      <c r="N11" s="52">
        <v>49</v>
      </c>
      <c r="O11" s="52">
        <v>0</v>
      </c>
      <c r="P11" s="52">
        <v>0.35</v>
      </c>
      <c r="Q11" s="52">
        <v>9.66</v>
      </c>
      <c r="R11" s="43"/>
      <c r="S11" s="43"/>
      <c r="T11" s="43"/>
      <c r="U11" s="43"/>
    </row>
    <row r="12" spans="1:21" s="11" customFormat="1" x14ac:dyDescent="0.25">
      <c r="A12" s="51" t="s">
        <v>327</v>
      </c>
      <c r="B12" s="52">
        <v>6.97</v>
      </c>
      <c r="C12" s="52">
        <v>8.17</v>
      </c>
      <c r="D12" s="52">
        <v>9.5299999999999994</v>
      </c>
      <c r="E12" s="52">
        <v>4.7699999999999996</v>
      </c>
      <c r="F12" s="52">
        <v>9</v>
      </c>
      <c r="G12" s="52">
        <v>33.06</v>
      </c>
      <c r="H12" s="52">
        <v>7.4</v>
      </c>
      <c r="I12" s="52">
        <v>1.59</v>
      </c>
      <c r="J12" s="52">
        <v>0.35</v>
      </c>
      <c r="K12" s="52">
        <v>244.6</v>
      </c>
      <c r="L12" s="52">
        <v>24.31</v>
      </c>
      <c r="M12" s="52">
        <v>97.73</v>
      </c>
      <c r="N12" s="52">
        <v>49</v>
      </c>
      <c r="O12" s="52">
        <v>0</v>
      </c>
      <c r="P12" s="52">
        <v>0.32</v>
      </c>
      <c r="Q12" s="52">
        <v>9.65</v>
      </c>
      <c r="R12" s="43"/>
      <c r="S12" s="43"/>
      <c r="T12" s="43"/>
      <c r="U12" s="43"/>
    </row>
    <row r="13" spans="1:21" s="11" customFormat="1" x14ac:dyDescent="0.25">
      <c r="A13" s="51" t="s">
        <v>328</v>
      </c>
      <c r="B13" s="52">
        <v>8.0299999999999994</v>
      </c>
      <c r="C13" s="52">
        <v>8.8800000000000008</v>
      </c>
      <c r="D13" s="52">
        <v>11.08</v>
      </c>
      <c r="E13" s="52">
        <v>4.78</v>
      </c>
      <c r="F13" s="52">
        <v>8.39</v>
      </c>
      <c r="G13" s="52">
        <v>24.24</v>
      </c>
      <c r="H13" s="52">
        <v>8.57</v>
      </c>
      <c r="I13" s="52">
        <v>1.59</v>
      </c>
      <c r="J13" s="52">
        <v>0.12</v>
      </c>
      <c r="K13" s="52">
        <v>321.56</v>
      </c>
      <c r="L13" s="52">
        <v>23.95</v>
      </c>
      <c r="M13" s="52">
        <v>97.75</v>
      </c>
      <c r="N13" s="52">
        <v>49</v>
      </c>
      <c r="O13" s="52">
        <v>0</v>
      </c>
      <c r="P13" s="52">
        <v>0.28000000000000003</v>
      </c>
      <c r="Q13" s="52">
        <v>9.65</v>
      </c>
      <c r="R13" s="43"/>
      <c r="S13" s="43"/>
      <c r="T13" s="43"/>
      <c r="U13" s="43"/>
    </row>
    <row r="14" spans="1:21" s="11" customFormat="1" x14ac:dyDescent="0.25">
      <c r="A14" s="51" t="s">
        <v>329</v>
      </c>
      <c r="B14" s="52">
        <v>10.72</v>
      </c>
      <c r="C14" s="52">
        <v>9.6</v>
      </c>
      <c r="D14" s="52">
        <v>12.74</v>
      </c>
      <c r="E14" s="52">
        <v>4.88</v>
      </c>
      <c r="F14" s="52">
        <v>6.29</v>
      </c>
      <c r="G14" s="52">
        <v>28.2</v>
      </c>
      <c r="H14" s="52">
        <v>8.57</v>
      </c>
      <c r="I14" s="52">
        <v>1.58</v>
      </c>
      <c r="J14" s="52">
        <v>0.1</v>
      </c>
      <c r="K14" s="52">
        <v>318.77999999999997</v>
      </c>
      <c r="L14" s="52">
        <v>23.97</v>
      </c>
      <c r="M14" s="52">
        <v>97.75</v>
      </c>
      <c r="N14" s="52">
        <v>68.2</v>
      </c>
      <c r="O14" s="52">
        <v>0</v>
      </c>
      <c r="P14" s="52">
        <v>0.39</v>
      </c>
      <c r="Q14" s="52">
        <v>9.64</v>
      </c>
      <c r="R14" s="43"/>
      <c r="S14" s="43"/>
      <c r="T14" s="43"/>
      <c r="U14" s="43"/>
    </row>
    <row r="15" spans="1:21" s="11" customFormat="1" x14ac:dyDescent="0.25">
      <c r="A15" s="51" t="s">
        <v>330</v>
      </c>
      <c r="B15" s="52">
        <v>16.010000000000002</v>
      </c>
      <c r="C15" s="52">
        <v>10.61</v>
      </c>
      <c r="D15" s="52">
        <v>18.27</v>
      </c>
      <c r="E15" s="52">
        <v>4.93</v>
      </c>
      <c r="F15" s="52">
        <v>5.73</v>
      </c>
      <c r="G15" s="52">
        <v>33.26</v>
      </c>
      <c r="H15" s="52">
        <v>8.42</v>
      </c>
      <c r="I15" s="52">
        <v>1.58</v>
      </c>
      <c r="J15" s="52">
        <v>0.13</v>
      </c>
      <c r="K15" s="52">
        <v>317.75</v>
      </c>
      <c r="L15" s="52">
        <v>25.95</v>
      </c>
      <c r="M15" s="52">
        <v>97.75</v>
      </c>
      <c r="N15" s="52">
        <v>125.5</v>
      </c>
      <c r="O15" s="52">
        <v>0</v>
      </c>
      <c r="P15" s="52">
        <v>0.5</v>
      </c>
      <c r="Q15" s="52">
        <v>9.67</v>
      </c>
      <c r="R15" s="43"/>
      <c r="S15" s="43"/>
      <c r="T15" s="43"/>
      <c r="U15" s="43"/>
    </row>
    <row r="16" spans="1:21" s="11" customFormat="1" x14ac:dyDescent="0.25">
      <c r="A16" s="51" t="s">
        <v>331</v>
      </c>
      <c r="B16" s="52">
        <v>16.27</v>
      </c>
      <c r="C16" s="52">
        <v>7.38</v>
      </c>
      <c r="D16" s="52">
        <v>16.899999999999999</v>
      </c>
      <c r="E16" s="52">
        <v>5.0599999999999996</v>
      </c>
      <c r="F16" s="52">
        <v>6.9</v>
      </c>
      <c r="G16" s="52">
        <v>44.94</v>
      </c>
      <c r="H16" s="52">
        <v>9.43</v>
      </c>
      <c r="I16" s="52">
        <v>1.68</v>
      </c>
      <c r="J16" s="52">
        <v>0.66</v>
      </c>
      <c r="K16" s="52">
        <v>333.44</v>
      </c>
      <c r="L16" s="52">
        <v>29.26</v>
      </c>
      <c r="M16" s="52">
        <v>97.55</v>
      </c>
      <c r="N16" s="52">
        <v>363</v>
      </c>
      <c r="O16" s="52">
        <v>0</v>
      </c>
      <c r="P16" s="52">
        <v>0.48</v>
      </c>
      <c r="Q16" s="52">
        <v>9.65</v>
      </c>
      <c r="R16" s="43"/>
      <c r="S16" s="43"/>
      <c r="T16" s="43"/>
      <c r="U16" s="43"/>
    </row>
    <row r="17" spans="1:21" s="11" customFormat="1" x14ac:dyDescent="0.25">
      <c r="A17" s="51" t="s">
        <v>332</v>
      </c>
      <c r="B17" s="52">
        <v>15.8</v>
      </c>
      <c r="C17" s="52">
        <v>8.8800000000000008</v>
      </c>
      <c r="D17" s="52">
        <v>17.190000000000001</v>
      </c>
      <c r="E17" s="52">
        <v>5.24</v>
      </c>
      <c r="F17" s="52">
        <v>7.82</v>
      </c>
      <c r="G17" s="52">
        <v>50.27</v>
      </c>
      <c r="H17" s="52">
        <v>9.43</v>
      </c>
      <c r="I17" s="52">
        <v>1.67</v>
      </c>
      <c r="J17" s="52">
        <v>0.87</v>
      </c>
      <c r="K17" s="52">
        <v>333.89</v>
      </c>
      <c r="L17" s="52">
        <v>31.22</v>
      </c>
      <c r="M17" s="52">
        <v>85.12</v>
      </c>
      <c r="N17" s="52">
        <v>625.20000000000005</v>
      </c>
      <c r="O17" s="52">
        <v>0</v>
      </c>
      <c r="P17" s="52">
        <v>0.47</v>
      </c>
      <c r="Q17" s="52">
        <v>9.66</v>
      </c>
      <c r="R17" s="43"/>
      <c r="S17" s="43"/>
      <c r="T17" s="43"/>
      <c r="U17" s="43"/>
    </row>
    <row r="18" spans="1:21" s="11" customFormat="1" x14ac:dyDescent="0.25">
      <c r="A18" s="51" t="s">
        <v>333</v>
      </c>
      <c r="B18" s="52">
        <v>14.23</v>
      </c>
      <c r="C18" s="52">
        <v>11.08</v>
      </c>
      <c r="D18" s="52">
        <v>16.8</v>
      </c>
      <c r="E18" s="52">
        <v>5.38</v>
      </c>
      <c r="F18" s="52">
        <v>9.1999999999999993</v>
      </c>
      <c r="G18" s="52">
        <v>50.27</v>
      </c>
      <c r="H18" s="52">
        <v>7</v>
      </c>
      <c r="I18" s="52">
        <v>1.63</v>
      </c>
      <c r="J18" s="52">
        <v>0.4</v>
      </c>
      <c r="K18" s="52">
        <v>334.57</v>
      </c>
      <c r="L18" s="52">
        <v>34</v>
      </c>
      <c r="M18" s="52">
        <v>68.099999999999994</v>
      </c>
      <c r="N18" s="52">
        <v>828.1</v>
      </c>
      <c r="O18" s="52">
        <v>0</v>
      </c>
      <c r="P18" s="52">
        <v>0.49</v>
      </c>
      <c r="Q18" s="52">
        <v>9.65</v>
      </c>
      <c r="R18" s="43"/>
      <c r="S18" s="43"/>
      <c r="T18" s="43"/>
      <c r="U18" s="43"/>
    </row>
    <row r="19" spans="1:21" s="11" customFormat="1" x14ac:dyDescent="0.25">
      <c r="A19" s="51" t="s">
        <v>334</v>
      </c>
      <c r="B19" s="52">
        <v>12.84</v>
      </c>
      <c r="C19" s="52">
        <v>14.11</v>
      </c>
      <c r="D19" s="52">
        <v>16.78</v>
      </c>
      <c r="E19" s="52">
        <v>5.25</v>
      </c>
      <c r="F19" s="52">
        <v>13.45</v>
      </c>
      <c r="G19" s="52">
        <v>47.64</v>
      </c>
      <c r="H19" s="52">
        <v>6.61</v>
      </c>
      <c r="I19" s="52">
        <v>1.58</v>
      </c>
      <c r="J19" s="52">
        <v>0.61</v>
      </c>
      <c r="K19" s="52">
        <v>340.86</v>
      </c>
      <c r="L19" s="52">
        <v>34.19</v>
      </c>
      <c r="M19" s="52">
        <v>64.92</v>
      </c>
      <c r="N19" s="52">
        <v>859.6</v>
      </c>
      <c r="O19" s="52">
        <v>0</v>
      </c>
      <c r="P19" s="52">
        <v>0.52</v>
      </c>
      <c r="Q19" s="52">
        <v>9.66</v>
      </c>
      <c r="R19" s="43"/>
      <c r="S19" s="43"/>
      <c r="T19" s="43"/>
      <c r="U19" s="43"/>
    </row>
    <row r="20" spans="1:21" s="11" customFormat="1" x14ac:dyDescent="0.25">
      <c r="A20" s="51" t="s">
        <v>335</v>
      </c>
      <c r="B20" s="52">
        <v>8.6300000000000008</v>
      </c>
      <c r="C20" s="52">
        <v>16.309999999999999</v>
      </c>
      <c r="D20" s="52">
        <v>15.44</v>
      </c>
      <c r="E20" s="52">
        <v>4.8</v>
      </c>
      <c r="F20" s="52">
        <v>10.73</v>
      </c>
      <c r="G20" s="52">
        <v>42.73</v>
      </c>
      <c r="H20" s="52">
        <v>5.9</v>
      </c>
      <c r="I20" s="52">
        <v>1.42</v>
      </c>
      <c r="J20" s="52">
        <v>0.43</v>
      </c>
      <c r="K20" s="52">
        <v>323.08999999999997</v>
      </c>
      <c r="L20" s="52">
        <v>32.979999999999997</v>
      </c>
      <c r="M20" s="52">
        <v>74.56</v>
      </c>
      <c r="N20" s="52">
        <v>384.1</v>
      </c>
      <c r="O20" s="52">
        <v>0</v>
      </c>
      <c r="P20" s="52">
        <v>0.49</v>
      </c>
      <c r="Q20" s="52">
        <v>9.61</v>
      </c>
      <c r="R20" s="43"/>
      <c r="S20" s="43"/>
      <c r="T20" s="43"/>
      <c r="U20" s="43"/>
    </row>
    <row r="21" spans="1:21" s="11" customFormat="1" x14ac:dyDescent="0.25">
      <c r="A21" s="51" t="s">
        <v>336</v>
      </c>
      <c r="B21" s="52">
        <v>9.64</v>
      </c>
      <c r="C21" s="52">
        <v>16.05</v>
      </c>
      <c r="D21" s="52">
        <v>16.12</v>
      </c>
      <c r="E21" s="52">
        <v>4.9800000000000004</v>
      </c>
      <c r="F21" s="52">
        <v>13.42</v>
      </c>
      <c r="G21" s="52">
        <v>49.31</v>
      </c>
      <c r="H21" s="52">
        <v>17.989999999999998</v>
      </c>
      <c r="I21" s="52">
        <v>1.17</v>
      </c>
      <c r="J21" s="52">
        <v>0.53</v>
      </c>
      <c r="K21" s="52">
        <v>335.25</v>
      </c>
      <c r="L21" s="52">
        <v>31.17</v>
      </c>
      <c r="M21" s="52">
        <v>78.44</v>
      </c>
      <c r="N21" s="52">
        <v>284.39999999999998</v>
      </c>
      <c r="O21" s="52">
        <v>0</v>
      </c>
      <c r="P21" s="52">
        <v>0.5</v>
      </c>
      <c r="Q21" s="52">
        <v>9.58</v>
      </c>
      <c r="R21" s="43"/>
      <c r="S21" s="43"/>
      <c r="T21" s="43"/>
      <c r="U21" s="43"/>
    </row>
    <row r="22" spans="1:21" s="11" customFormat="1" x14ac:dyDescent="0.25">
      <c r="A22" s="51" t="s">
        <v>337</v>
      </c>
      <c r="B22" s="52">
        <v>18.21</v>
      </c>
      <c r="C22" s="52">
        <v>21.05</v>
      </c>
      <c r="D22" s="52">
        <v>25.6</v>
      </c>
      <c r="E22" s="52">
        <v>5.21</v>
      </c>
      <c r="F22" s="52">
        <v>13.52</v>
      </c>
      <c r="G22" s="52">
        <v>49.47</v>
      </c>
      <c r="H22" s="52">
        <v>18.64</v>
      </c>
      <c r="I22" s="52">
        <v>1.17</v>
      </c>
      <c r="J22" s="52">
        <v>0.54</v>
      </c>
      <c r="K22" s="52">
        <v>342.53</v>
      </c>
      <c r="L22" s="52">
        <v>31.79</v>
      </c>
      <c r="M22" s="52">
        <v>84.57</v>
      </c>
      <c r="N22" s="52">
        <v>315.89999999999998</v>
      </c>
      <c r="O22" s="52">
        <v>0</v>
      </c>
      <c r="P22" s="52">
        <v>0.76</v>
      </c>
      <c r="Q22" s="52">
        <v>9.56</v>
      </c>
      <c r="R22" s="43"/>
      <c r="S22" s="43"/>
      <c r="T22" s="43"/>
      <c r="U22" s="43"/>
    </row>
    <row r="23" spans="1:21" s="11" customFormat="1" x14ac:dyDescent="0.25">
      <c r="A23" s="51" t="s">
        <v>338</v>
      </c>
      <c r="B23" s="52">
        <v>10.71</v>
      </c>
      <c r="C23" s="52">
        <v>15.66</v>
      </c>
      <c r="D23" s="52">
        <v>15.63</v>
      </c>
      <c r="E23" s="52">
        <v>4.8899999999999997</v>
      </c>
      <c r="F23" s="52">
        <v>10.9</v>
      </c>
      <c r="G23" s="52">
        <v>49.47</v>
      </c>
      <c r="H23" s="52">
        <v>18.64</v>
      </c>
      <c r="I23" s="52">
        <v>1.26</v>
      </c>
      <c r="J23" s="52">
        <v>1.02</v>
      </c>
      <c r="K23" s="52">
        <v>331.49</v>
      </c>
      <c r="L23" s="52">
        <v>32.81</v>
      </c>
      <c r="M23" s="52">
        <v>67.319999999999993</v>
      </c>
      <c r="N23" s="52">
        <v>293.10000000000002</v>
      </c>
      <c r="O23" s="52">
        <v>0.2</v>
      </c>
      <c r="P23" s="52">
        <v>0.39</v>
      </c>
      <c r="Q23" s="52">
        <v>9.6</v>
      </c>
      <c r="R23" s="43"/>
      <c r="S23" s="43"/>
      <c r="T23" s="43"/>
      <c r="U23" s="43"/>
    </row>
    <row r="24" spans="1:21" s="11" customFormat="1" x14ac:dyDescent="0.25">
      <c r="A24" s="51" t="s">
        <v>339</v>
      </c>
      <c r="B24" s="52">
        <v>10.27</v>
      </c>
      <c r="C24" s="52">
        <v>11.88</v>
      </c>
      <c r="D24" s="52">
        <v>14.44</v>
      </c>
      <c r="E24" s="52">
        <v>4.8899999999999997</v>
      </c>
      <c r="F24" s="52">
        <v>12.96</v>
      </c>
      <c r="G24" s="52">
        <v>43.01</v>
      </c>
      <c r="H24" s="52">
        <v>13.89</v>
      </c>
      <c r="I24" s="52">
        <v>1.1000000000000001</v>
      </c>
      <c r="J24" s="52">
        <v>1.54</v>
      </c>
      <c r="K24" s="52">
        <v>336.18</v>
      </c>
      <c r="L24" s="52">
        <v>32.69</v>
      </c>
      <c r="M24" s="52">
        <v>72.33</v>
      </c>
      <c r="N24" s="52">
        <v>241.8</v>
      </c>
      <c r="O24" s="52">
        <v>0</v>
      </c>
      <c r="P24" s="52">
        <v>0.38</v>
      </c>
      <c r="Q24" s="52">
        <v>9.61</v>
      </c>
      <c r="R24" s="43"/>
      <c r="S24" s="43"/>
      <c r="T24" s="43"/>
      <c r="U24" s="43"/>
    </row>
    <row r="25" spans="1:21" s="11" customFormat="1" x14ac:dyDescent="0.25">
      <c r="A25" s="51" t="s">
        <v>340</v>
      </c>
      <c r="B25" s="52">
        <v>11.37</v>
      </c>
      <c r="C25" s="52">
        <v>9.7100000000000009</v>
      </c>
      <c r="D25" s="52">
        <v>13.81</v>
      </c>
      <c r="E25" s="52">
        <v>4.2699999999999996</v>
      </c>
      <c r="F25" s="52">
        <v>10.52</v>
      </c>
      <c r="G25" s="52">
        <v>43.01</v>
      </c>
      <c r="H25" s="52">
        <v>13.21</v>
      </c>
      <c r="I25" s="52">
        <v>1.05</v>
      </c>
      <c r="J25" s="52">
        <v>1.35</v>
      </c>
      <c r="K25" s="52">
        <v>338.71</v>
      </c>
      <c r="L25" s="52">
        <v>31.02</v>
      </c>
      <c r="M25" s="52">
        <v>74.930000000000007</v>
      </c>
      <c r="N25" s="52">
        <v>151.30000000000001</v>
      </c>
      <c r="O25" s="52">
        <v>0</v>
      </c>
      <c r="P25" s="52">
        <v>0.45</v>
      </c>
      <c r="Q25" s="52">
        <v>9.61</v>
      </c>
      <c r="R25" s="43"/>
      <c r="S25" s="43"/>
      <c r="T25" s="43"/>
      <c r="U25" s="43"/>
    </row>
    <row r="26" spans="1:21" s="11" customFormat="1" x14ac:dyDescent="0.25">
      <c r="A26" s="51" t="s">
        <v>341</v>
      </c>
      <c r="B26" s="52">
        <v>12.73</v>
      </c>
      <c r="C26" s="52">
        <v>9.65</v>
      </c>
      <c r="D26" s="52">
        <v>15.24</v>
      </c>
      <c r="E26" s="52">
        <v>4.53</v>
      </c>
      <c r="F26" s="52">
        <v>10.8</v>
      </c>
      <c r="G26" s="52">
        <v>38.909999999999997</v>
      </c>
      <c r="H26" s="52">
        <v>10.77</v>
      </c>
      <c r="I26" s="52">
        <v>1.04</v>
      </c>
      <c r="J26" s="52">
        <v>1.57</v>
      </c>
      <c r="K26" s="52">
        <v>337.19</v>
      </c>
      <c r="L26" s="52">
        <v>30.62</v>
      </c>
      <c r="M26" s="52">
        <v>84.6</v>
      </c>
      <c r="N26" s="52">
        <v>116.7</v>
      </c>
      <c r="O26" s="52">
        <v>0</v>
      </c>
      <c r="P26" s="52">
        <v>0.43</v>
      </c>
      <c r="Q26" s="52">
        <v>9.64</v>
      </c>
      <c r="R26" s="43"/>
      <c r="S26" s="43"/>
      <c r="T26" s="43"/>
      <c r="U26" s="43"/>
    </row>
    <row r="27" spans="1:21" s="11" customFormat="1" x14ac:dyDescent="0.25">
      <c r="A27" s="51" t="s">
        <v>342</v>
      </c>
      <c r="B27" s="52">
        <v>11.6</v>
      </c>
      <c r="C27" s="52">
        <v>15.09</v>
      </c>
      <c r="D27" s="52">
        <v>16.37</v>
      </c>
      <c r="E27" s="52">
        <v>4.45</v>
      </c>
      <c r="F27" s="52">
        <v>9.2799999999999994</v>
      </c>
      <c r="G27" s="52">
        <v>40.61</v>
      </c>
      <c r="H27" s="52">
        <v>10.77</v>
      </c>
      <c r="I27" s="52">
        <v>1.27</v>
      </c>
      <c r="J27" s="52">
        <v>1.38</v>
      </c>
      <c r="K27" s="52">
        <v>335.65</v>
      </c>
      <c r="L27" s="52">
        <v>27.99</v>
      </c>
      <c r="M27" s="52">
        <v>97.72</v>
      </c>
      <c r="N27" s="52">
        <v>50.7</v>
      </c>
      <c r="O27" s="52">
        <v>0</v>
      </c>
      <c r="P27" s="52">
        <v>0.56000000000000005</v>
      </c>
      <c r="Q27" s="52">
        <v>9.6300000000000008</v>
      </c>
      <c r="R27" s="43"/>
      <c r="S27" s="43"/>
      <c r="T27" s="43"/>
      <c r="U27" s="43"/>
    </row>
    <row r="28" spans="1:21" s="11" customFormat="1" x14ac:dyDescent="0.25">
      <c r="A28" s="51" t="s">
        <v>343</v>
      </c>
      <c r="B28" s="52">
        <v>18.71</v>
      </c>
      <c r="C28" s="52">
        <v>14.67</v>
      </c>
      <c r="D28" s="52">
        <v>21.79</v>
      </c>
      <c r="E28" s="52">
        <v>4.57</v>
      </c>
      <c r="F28" s="52">
        <v>6.53</v>
      </c>
      <c r="G28" s="52">
        <v>40.61</v>
      </c>
      <c r="H28" s="52">
        <v>8.7100000000000009</v>
      </c>
      <c r="I28" s="52">
        <v>1.24</v>
      </c>
      <c r="J28" s="52">
        <v>0.8</v>
      </c>
      <c r="K28" s="52">
        <v>345.06</v>
      </c>
      <c r="L28" s="52">
        <v>26.51</v>
      </c>
      <c r="M28" s="52">
        <v>97.72</v>
      </c>
      <c r="N28" s="52">
        <v>46.4</v>
      </c>
      <c r="O28" s="52">
        <v>0</v>
      </c>
      <c r="P28" s="52">
        <v>0.93</v>
      </c>
      <c r="Q28" s="52">
        <v>9.64</v>
      </c>
      <c r="R28" s="43"/>
      <c r="S28" s="43"/>
      <c r="T28" s="43"/>
      <c r="U28" s="43"/>
    </row>
    <row r="29" spans="1:21" s="11" customFormat="1" x14ac:dyDescent="0.25">
      <c r="A29" s="51" t="s">
        <v>344</v>
      </c>
      <c r="B29" s="52">
        <v>15.03</v>
      </c>
      <c r="C29" s="52">
        <v>13.8</v>
      </c>
      <c r="D29" s="52">
        <v>18.75</v>
      </c>
      <c r="E29" s="52">
        <v>4.75</v>
      </c>
      <c r="F29" s="52">
        <v>5.69</v>
      </c>
      <c r="G29" s="52">
        <v>40.049999999999997</v>
      </c>
      <c r="H29" s="52">
        <v>8.7100000000000009</v>
      </c>
      <c r="I29" s="52">
        <v>1.39</v>
      </c>
      <c r="J29" s="52">
        <v>1.52</v>
      </c>
      <c r="K29" s="52">
        <v>335.49</v>
      </c>
      <c r="L29" s="52">
        <v>26.73</v>
      </c>
      <c r="M29" s="52">
        <v>97.65</v>
      </c>
      <c r="N29" s="52">
        <v>44.9</v>
      </c>
      <c r="O29" s="52">
        <v>0</v>
      </c>
      <c r="P29" s="52">
        <v>0.7</v>
      </c>
      <c r="Q29" s="52">
        <v>9.65</v>
      </c>
      <c r="R29" s="43"/>
      <c r="S29" s="43"/>
      <c r="T29" s="43"/>
      <c r="U29" s="43"/>
    </row>
    <row r="30" spans="1:21" s="11" customFormat="1" x14ac:dyDescent="0.25">
      <c r="A30" s="51" t="s">
        <v>345</v>
      </c>
      <c r="B30" s="52">
        <v>15.16</v>
      </c>
      <c r="C30" s="52">
        <v>14.2</v>
      </c>
      <c r="D30" s="52">
        <v>19.36</v>
      </c>
      <c r="E30" s="52">
        <v>4.6399999999999997</v>
      </c>
      <c r="F30" s="52">
        <v>8.14</v>
      </c>
      <c r="G30" s="52">
        <v>46.37</v>
      </c>
      <c r="H30" s="52">
        <v>6.57</v>
      </c>
      <c r="I30" s="52">
        <v>1.42</v>
      </c>
      <c r="J30" s="52">
        <v>0.75</v>
      </c>
      <c r="K30" s="52">
        <v>328.06</v>
      </c>
      <c r="L30" s="52">
        <v>26.69</v>
      </c>
      <c r="M30" s="52">
        <v>97.65</v>
      </c>
      <c r="N30" s="52">
        <v>44.9</v>
      </c>
      <c r="O30" s="52">
        <v>0</v>
      </c>
      <c r="P30" s="52">
        <v>0.7</v>
      </c>
      <c r="Q30" s="52">
        <v>9.65</v>
      </c>
      <c r="R30" s="43"/>
      <c r="S30" s="43"/>
      <c r="T30" s="43"/>
      <c r="U30" s="43"/>
    </row>
    <row r="31" spans="1:21" s="11" customFormat="1" x14ac:dyDescent="0.25">
      <c r="A31" s="51" t="s">
        <v>346</v>
      </c>
      <c r="B31" s="52">
        <v>14.98</v>
      </c>
      <c r="C31" s="52">
        <v>10.28</v>
      </c>
      <c r="D31" s="52">
        <v>17.38</v>
      </c>
      <c r="E31" s="52">
        <v>4.46</v>
      </c>
      <c r="F31" s="52">
        <v>6.25</v>
      </c>
      <c r="G31" s="52">
        <v>48.74</v>
      </c>
      <c r="H31" s="52">
        <v>8.7799999999999994</v>
      </c>
      <c r="I31" s="52">
        <v>1.44</v>
      </c>
      <c r="J31" s="52">
        <v>1.31</v>
      </c>
      <c r="K31" s="52">
        <v>333.72</v>
      </c>
      <c r="L31" s="52">
        <v>26.43</v>
      </c>
      <c r="M31" s="52">
        <v>97.65</v>
      </c>
      <c r="N31" s="52">
        <v>44.9</v>
      </c>
      <c r="O31" s="52">
        <v>0</v>
      </c>
      <c r="P31" s="52">
        <v>0.54</v>
      </c>
      <c r="Q31" s="52">
        <v>9.66</v>
      </c>
      <c r="R31" s="43"/>
      <c r="S31" s="43"/>
      <c r="T31" s="43"/>
      <c r="U31" s="43"/>
    </row>
    <row r="32" spans="1:21" s="11" customFormat="1" x14ac:dyDescent="0.25">
      <c r="A32" s="51" t="s">
        <v>347</v>
      </c>
      <c r="B32" s="52">
        <v>14.87</v>
      </c>
      <c r="C32" s="52">
        <v>9.77</v>
      </c>
      <c r="D32" s="52">
        <v>15.88</v>
      </c>
      <c r="E32" s="52">
        <v>5.28</v>
      </c>
      <c r="F32" s="52">
        <v>9.33</v>
      </c>
      <c r="G32" s="52">
        <v>48.74</v>
      </c>
      <c r="H32" s="52">
        <v>9.35</v>
      </c>
      <c r="I32" s="52">
        <v>1.42</v>
      </c>
      <c r="J32" s="52">
        <v>0.89</v>
      </c>
      <c r="K32" s="52">
        <v>337.05</v>
      </c>
      <c r="L32" s="52">
        <v>26.06</v>
      </c>
      <c r="M32" s="52">
        <v>97.62</v>
      </c>
      <c r="N32" s="52">
        <v>44.8</v>
      </c>
      <c r="O32" s="52">
        <v>0</v>
      </c>
      <c r="P32" s="52">
        <v>0.47</v>
      </c>
      <c r="Q32" s="52">
        <v>9.66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6.97</v>
      </c>
      <c r="C34" s="28">
        <f t="shared" si="0"/>
        <v>7.38</v>
      </c>
      <c r="D34" s="28">
        <f t="shared" si="0"/>
        <v>9.5299999999999994</v>
      </c>
      <c r="E34" s="28">
        <f t="shared" si="0"/>
        <v>4.2699999999999996</v>
      </c>
      <c r="F34" s="28">
        <f t="shared" si="0"/>
        <v>5.69</v>
      </c>
      <c r="G34" s="28">
        <f t="shared" si="0"/>
        <v>24.24</v>
      </c>
      <c r="H34" s="28">
        <f t="shared" si="0"/>
        <v>5.9</v>
      </c>
      <c r="I34" s="28">
        <f t="shared" si="0"/>
        <v>1.04</v>
      </c>
      <c r="J34" s="28">
        <f t="shared" si="0"/>
        <v>0.06</v>
      </c>
      <c r="K34" s="28">
        <f t="shared" si="0"/>
        <v>244.6</v>
      </c>
      <c r="L34" s="28">
        <f t="shared" si="0"/>
        <v>23.95</v>
      </c>
      <c r="M34" s="28">
        <f t="shared" si="0"/>
        <v>64.92</v>
      </c>
      <c r="N34" s="28">
        <f t="shared" si="0"/>
        <v>44.8</v>
      </c>
      <c r="O34" s="28">
        <f t="shared" si="0"/>
        <v>0</v>
      </c>
      <c r="P34" s="28">
        <f t="shared" si="0"/>
        <v>0.28000000000000003</v>
      </c>
      <c r="Q34" s="28">
        <f t="shared" si="0"/>
        <v>9.56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18.71</v>
      </c>
      <c r="C35" s="29">
        <f t="shared" si="1"/>
        <v>21.05</v>
      </c>
      <c r="D35" s="29">
        <f t="shared" si="1"/>
        <v>25.6</v>
      </c>
      <c r="E35" s="29">
        <f t="shared" si="1"/>
        <v>5.38</v>
      </c>
      <c r="F35" s="29">
        <f t="shared" si="1"/>
        <v>13.52</v>
      </c>
      <c r="G35" s="29">
        <f t="shared" si="1"/>
        <v>50.27</v>
      </c>
      <c r="H35" s="29">
        <f t="shared" si="1"/>
        <v>18.64</v>
      </c>
      <c r="I35" s="29">
        <f t="shared" si="1"/>
        <v>1.68</v>
      </c>
      <c r="J35" s="29">
        <f t="shared" si="1"/>
        <v>1.57</v>
      </c>
      <c r="K35" s="29">
        <f t="shared" si="1"/>
        <v>345.06</v>
      </c>
      <c r="L35" s="29">
        <f t="shared" si="1"/>
        <v>34.19</v>
      </c>
      <c r="M35" s="29">
        <f t="shared" si="1"/>
        <v>97.75</v>
      </c>
      <c r="N35" s="29">
        <f t="shared" si="1"/>
        <v>859.6</v>
      </c>
      <c r="O35" s="29">
        <f t="shared" si="1"/>
        <v>0.2</v>
      </c>
      <c r="P35" s="29">
        <f t="shared" si="1"/>
        <v>0.93</v>
      </c>
      <c r="Q35" s="29">
        <f t="shared" si="1"/>
        <v>9.67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12.627916666666669</v>
      </c>
      <c r="C36" s="28">
        <f t="shared" si="2"/>
        <v>11.7875</v>
      </c>
      <c r="D36" s="28">
        <f t="shared" si="2"/>
        <v>15.876250000000001</v>
      </c>
      <c r="E36" s="28">
        <f t="shared" si="2"/>
        <v>4.8595833333333331</v>
      </c>
      <c r="F36" s="28">
        <f t="shared" si="2"/>
        <v>9.1416666666666693</v>
      </c>
      <c r="G36" s="28">
        <f t="shared" si="2"/>
        <v>42.556249999999999</v>
      </c>
      <c r="H36" s="28">
        <f t="shared" si="2"/>
        <v>10.153333333333334</v>
      </c>
      <c r="I36" s="28">
        <f t="shared" si="2"/>
        <v>1.4179166666666669</v>
      </c>
      <c r="J36" s="28">
        <f t="shared" si="2"/>
        <v>0.7154166666666667</v>
      </c>
      <c r="K36" s="28">
        <f t="shared" si="2"/>
        <v>327.5625</v>
      </c>
      <c r="L36" s="28">
        <f t="shared" si="2"/>
        <v>28.581249999999997</v>
      </c>
      <c r="M36" s="28">
        <f t="shared" si="2"/>
        <v>88.440416666666678</v>
      </c>
      <c r="N36" s="28">
        <f t="shared" si="2"/>
        <v>215.77083333333329</v>
      </c>
      <c r="O36" s="28">
        <f t="shared" si="2"/>
        <v>8.3333333333333332E-3</v>
      </c>
      <c r="P36" s="28">
        <f t="shared" si="2"/>
        <v>0.505</v>
      </c>
      <c r="Q36" s="28">
        <f t="shared" si="2"/>
        <v>9.6379166666666674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3.2594957987883362</v>
      </c>
      <c r="C37" s="28">
        <f t="shared" ref="C37:Q37" si="3">STDEV(C9:C32)</f>
        <v>3.4658636542087433</v>
      </c>
      <c r="D37" s="28">
        <f t="shared" si="3"/>
        <v>3.5635190380833586</v>
      </c>
      <c r="E37" s="28">
        <f t="shared" si="3"/>
        <v>0.28911377580862319</v>
      </c>
      <c r="F37" s="28">
        <f t="shared" si="3"/>
        <v>2.4676051876908511</v>
      </c>
      <c r="G37" s="28">
        <f t="shared" si="3"/>
        <v>7.1019628716598451</v>
      </c>
      <c r="H37" s="28">
        <f t="shared" si="3"/>
        <v>3.6831964693570289</v>
      </c>
      <c r="I37" s="28">
        <f t="shared" si="3"/>
        <v>0.20769917976573979</v>
      </c>
      <c r="J37" s="28">
        <f t="shared" si="3"/>
        <v>0.51165527769036623</v>
      </c>
      <c r="K37" s="28">
        <f t="shared" si="3"/>
        <v>20.377169929797077</v>
      </c>
      <c r="L37" s="28">
        <f t="shared" si="3"/>
        <v>3.4559203298234702</v>
      </c>
      <c r="M37" s="28">
        <f t="shared" si="3"/>
        <v>12.134578145751908</v>
      </c>
      <c r="N37" s="28">
        <f t="shared" si="3"/>
        <v>245.32285467392217</v>
      </c>
      <c r="O37" s="28">
        <f t="shared" si="3"/>
        <v>4.0824829046386311E-2</v>
      </c>
      <c r="P37" s="28">
        <f t="shared" si="3"/>
        <v>0.14693979837956128</v>
      </c>
      <c r="Q37" s="28">
        <f t="shared" si="3"/>
        <v>2.8586887639747375E-2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11" sqref="F11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348</v>
      </c>
      <c r="B9" s="52">
        <v>9.36</v>
      </c>
      <c r="C9" s="52">
        <v>9.64</v>
      </c>
      <c r="D9" s="52">
        <v>12.36</v>
      </c>
      <c r="E9" s="52">
        <v>4.4800000000000004</v>
      </c>
      <c r="F9" s="52">
        <v>8.66</v>
      </c>
      <c r="G9" s="52">
        <v>40.39</v>
      </c>
      <c r="H9" s="52">
        <v>9.35</v>
      </c>
      <c r="I9" s="52">
        <v>1.29</v>
      </c>
      <c r="J9" s="52">
        <v>0.67</v>
      </c>
      <c r="K9" s="52">
        <v>337.56</v>
      </c>
      <c r="L9" s="52">
        <v>25.84</v>
      </c>
      <c r="M9" s="52">
        <v>97.64</v>
      </c>
      <c r="N9" s="52">
        <v>44.8</v>
      </c>
      <c r="O9" s="52">
        <v>0</v>
      </c>
      <c r="P9" s="52">
        <v>0.38</v>
      </c>
      <c r="Q9" s="52">
        <v>9.67</v>
      </c>
      <c r="R9" s="43"/>
      <c r="S9" s="43"/>
      <c r="T9" s="43"/>
      <c r="U9" s="43"/>
    </row>
    <row r="10" spans="1:21" s="11" customFormat="1" x14ac:dyDescent="0.25">
      <c r="A10" s="51" t="s">
        <v>349</v>
      </c>
      <c r="B10" s="52">
        <v>10.56</v>
      </c>
      <c r="C10" s="52">
        <v>8.31</v>
      </c>
      <c r="D10" s="52">
        <v>12.36</v>
      </c>
      <c r="E10" s="52">
        <v>4.53</v>
      </c>
      <c r="F10" s="52">
        <v>10.15</v>
      </c>
      <c r="G10" s="52">
        <v>33.04</v>
      </c>
      <c r="H10" s="52">
        <v>6.94</v>
      </c>
      <c r="I10" s="52">
        <v>1.23</v>
      </c>
      <c r="J10" s="52">
        <v>0.76</v>
      </c>
      <c r="K10" s="52">
        <v>339.21</v>
      </c>
      <c r="L10" s="52">
        <v>25.6</v>
      </c>
      <c r="M10" s="52">
        <v>97.65</v>
      </c>
      <c r="N10" s="52">
        <v>44.9</v>
      </c>
      <c r="O10" s="52">
        <v>0</v>
      </c>
      <c r="P10" s="52">
        <v>0.4</v>
      </c>
      <c r="Q10" s="52">
        <v>9.66</v>
      </c>
      <c r="R10" s="43"/>
      <c r="S10" s="43"/>
      <c r="T10" s="43"/>
      <c r="U10" s="43"/>
    </row>
    <row r="11" spans="1:21" s="11" customFormat="1" x14ac:dyDescent="0.25">
      <c r="A11" s="51" t="s">
        <v>350</v>
      </c>
      <c r="B11" s="52">
        <v>8.36</v>
      </c>
      <c r="C11" s="52">
        <v>10.06</v>
      </c>
      <c r="D11" s="52">
        <v>11.82</v>
      </c>
      <c r="E11" s="52">
        <v>4.6900000000000004</v>
      </c>
      <c r="F11" s="52">
        <v>9.19</v>
      </c>
      <c r="G11" s="52">
        <v>31.23</v>
      </c>
      <c r="H11" s="52">
        <v>5.23</v>
      </c>
      <c r="I11" s="52">
        <v>1.1499999999999999</v>
      </c>
      <c r="J11" s="52">
        <v>0.11</v>
      </c>
      <c r="K11" s="52">
        <v>318.26</v>
      </c>
      <c r="L11" s="52">
        <v>25.43</v>
      </c>
      <c r="M11" s="52">
        <v>97.69</v>
      </c>
      <c r="N11" s="52">
        <v>44.9</v>
      </c>
      <c r="O11" s="52">
        <v>0</v>
      </c>
      <c r="P11" s="52">
        <v>0.31</v>
      </c>
      <c r="Q11" s="52">
        <v>9.66</v>
      </c>
      <c r="R11" s="43"/>
      <c r="S11" s="43"/>
      <c r="T11" s="43"/>
      <c r="U11" s="43"/>
    </row>
    <row r="12" spans="1:21" s="11" customFormat="1" x14ac:dyDescent="0.25">
      <c r="A12" s="51" t="s">
        <v>351</v>
      </c>
      <c r="B12" s="52">
        <v>8.34</v>
      </c>
      <c r="C12" s="52">
        <v>8.26</v>
      </c>
      <c r="D12" s="52">
        <v>9.99</v>
      </c>
      <c r="E12" s="52">
        <v>4.6100000000000003</v>
      </c>
      <c r="F12" s="52">
        <v>9.19</v>
      </c>
      <c r="G12" s="52">
        <v>31.23</v>
      </c>
      <c r="H12" s="52">
        <v>7.08</v>
      </c>
      <c r="I12" s="52">
        <v>1.25</v>
      </c>
      <c r="J12" s="52">
        <v>0.62</v>
      </c>
      <c r="K12" s="52">
        <v>331.23</v>
      </c>
      <c r="L12" s="52">
        <v>25.17</v>
      </c>
      <c r="M12" s="52">
        <v>97.7</v>
      </c>
      <c r="N12" s="52">
        <v>44.9</v>
      </c>
      <c r="O12" s="52">
        <v>0</v>
      </c>
      <c r="P12" s="52">
        <v>0.27</v>
      </c>
      <c r="Q12" s="52">
        <v>9.66</v>
      </c>
      <c r="R12" s="43"/>
      <c r="S12" s="43"/>
      <c r="T12" s="43"/>
      <c r="U12" s="43"/>
    </row>
    <row r="13" spans="1:21" s="11" customFormat="1" x14ac:dyDescent="0.25">
      <c r="A13" s="51" t="s">
        <v>352</v>
      </c>
      <c r="B13" s="52">
        <v>7.79</v>
      </c>
      <c r="C13" s="52">
        <v>10.89</v>
      </c>
      <c r="D13" s="52">
        <v>11.9</v>
      </c>
      <c r="E13" s="52">
        <v>4.6399999999999997</v>
      </c>
      <c r="F13" s="52">
        <v>7.01</v>
      </c>
      <c r="G13" s="52">
        <v>26.54</v>
      </c>
      <c r="H13" s="52">
        <v>7.08</v>
      </c>
      <c r="I13" s="52">
        <v>1.1299999999999999</v>
      </c>
      <c r="J13" s="52">
        <v>0.15</v>
      </c>
      <c r="K13" s="52">
        <v>326.88</v>
      </c>
      <c r="L13" s="52">
        <v>25.17</v>
      </c>
      <c r="M13" s="52">
        <v>97.69</v>
      </c>
      <c r="N13" s="52">
        <v>44.9</v>
      </c>
      <c r="O13" s="52">
        <v>0</v>
      </c>
      <c r="P13" s="52">
        <v>0.22</v>
      </c>
      <c r="Q13" s="52">
        <v>9.66</v>
      </c>
      <c r="R13" s="43"/>
      <c r="S13" s="43"/>
      <c r="T13" s="43"/>
      <c r="U13" s="43"/>
    </row>
    <row r="14" spans="1:21" s="11" customFormat="1" x14ac:dyDescent="0.25">
      <c r="A14" s="51" t="s">
        <v>353</v>
      </c>
      <c r="B14" s="52">
        <v>8.09</v>
      </c>
      <c r="C14" s="52">
        <v>8.73</v>
      </c>
      <c r="D14" s="52">
        <v>11.05</v>
      </c>
      <c r="E14" s="52">
        <v>4.7</v>
      </c>
      <c r="F14" s="52">
        <v>6.71</v>
      </c>
      <c r="G14" s="52">
        <v>26.21</v>
      </c>
      <c r="H14" s="52">
        <v>6.21</v>
      </c>
      <c r="I14" s="52">
        <v>1.1599999999999999</v>
      </c>
      <c r="J14" s="52">
        <v>0.42</v>
      </c>
      <c r="K14" s="52">
        <v>163.55000000000001</v>
      </c>
      <c r="L14" s="52">
        <v>24.99</v>
      </c>
      <c r="M14" s="52">
        <v>97.76</v>
      </c>
      <c r="N14" s="52">
        <v>46.6</v>
      </c>
      <c r="O14" s="52">
        <v>0</v>
      </c>
      <c r="P14" s="52">
        <v>0.32</v>
      </c>
      <c r="Q14" s="52">
        <v>9.64</v>
      </c>
      <c r="R14" s="43"/>
      <c r="S14" s="43"/>
      <c r="T14" s="43"/>
      <c r="U14" s="43"/>
    </row>
    <row r="15" spans="1:21" s="11" customFormat="1" x14ac:dyDescent="0.25">
      <c r="A15" s="51" t="s">
        <v>354</v>
      </c>
      <c r="B15" s="52">
        <v>8.94</v>
      </c>
      <c r="C15" s="52">
        <v>8.74</v>
      </c>
      <c r="D15" s="52">
        <v>11.1</v>
      </c>
      <c r="E15" s="52">
        <v>4.72</v>
      </c>
      <c r="F15" s="52">
        <v>6.71</v>
      </c>
      <c r="G15" s="52">
        <v>26.21</v>
      </c>
      <c r="H15" s="52">
        <v>6.21</v>
      </c>
      <c r="I15" s="52">
        <v>1.1599999999999999</v>
      </c>
      <c r="J15" s="52">
        <v>0.56999999999999995</v>
      </c>
      <c r="K15" s="52">
        <v>147.04</v>
      </c>
      <c r="L15" s="52">
        <v>24.7</v>
      </c>
      <c r="M15" s="52">
        <v>97.76</v>
      </c>
      <c r="N15" s="52">
        <v>51.2</v>
      </c>
      <c r="O15" s="52">
        <v>0</v>
      </c>
      <c r="P15" s="52">
        <v>0.35</v>
      </c>
      <c r="Q15" s="52">
        <v>9.66</v>
      </c>
      <c r="R15" s="43"/>
      <c r="S15" s="43"/>
      <c r="T15" s="43"/>
      <c r="U15" s="43"/>
    </row>
    <row r="16" spans="1:21" s="11" customFormat="1" x14ac:dyDescent="0.25">
      <c r="A16" s="51" t="s">
        <v>355</v>
      </c>
      <c r="B16" s="52">
        <v>15.66</v>
      </c>
      <c r="C16" s="52">
        <v>10.06</v>
      </c>
      <c r="D16" s="52">
        <v>17.82</v>
      </c>
      <c r="E16" s="52">
        <v>5.07</v>
      </c>
      <c r="F16" s="52">
        <v>7.74</v>
      </c>
      <c r="G16" s="52">
        <v>25.84</v>
      </c>
      <c r="H16" s="52">
        <v>7.62</v>
      </c>
      <c r="I16" s="52">
        <v>1.31</v>
      </c>
      <c r="J16" s="52">
        <v>0.38</v>
      </c>
      <c r="K16" s="52">
        <v>340.97</v>
      </c>
      <c r="L16" s="52">
        <v>25.7</v>
      </c>
      <c r="M16" s="52">
        <v>97.81</v>
      </c>
      <c r="N16" s="52">
        <v>462.7</v>
      </c>
      <c r="O16" s="52">
        <v>0</v>
      </c>
      <c r="P16" s="52">
        <v>0.6</v>
      </c>
      <c r="Q16" s="52">
        <v>9.65</v>
      </c>
      <c r="R16" s="43"/>
      <c r="S16" s="43"/>
      <c r="T16" s="43"/>
      <c r="U16" s="43"/>
    </row>
    <row r="17" spans="1:21" s="11" customFormat="1" x14ac:dyDescent="0.25">
      <c r="A17" s="51" t="s">
        <v>356</v>
      </c>
      <c r="B17" s="52">
        <v>14.29</v>
      </c>
      <c r="C17" s="52">
        <v>12.23</v>
      </c>
      <c r="D17" s="52">
        <v>16.22</v>
      </c>
      <c r="E17" s="52">
        <v>4.08</v>
      </c>
      <c r="F17" s="52">
        <v>9.31</v>
      </c>
      <c r="G17" s="52">
        <v>17.190000000000001</v>
      </c>
      <c r="H17" s="52">
        <v>7.62</v>
      </c>
      <c r="I17" s="52">
        <v>1.47</v>
      </c>
      <c r="J17" s="52">
        <v>0.52</v>
      </c>
      <c r="K17" s="52">
        <v>346.69</v>
      </c>
      <c r="L17" s="52">
        <v>28.67</v>
      </c>
      <c r="M17" s="52">
        <v>97.66</v>
      </c>
      <c r="N17" s="52">
        <v>382.6</v>
      </c>
      <c r="O17" s="52">
        <v>0</v>
      </c>
      <c r="P17" s="52">
        <v>0.59</v>
      </c>
      <c r="Q17" s="52">
        <v>9.65</v>
      </c>
      <c r="R17" s="43"/>
      <c r="S17" s="43"/>
      <c r="T17" s="43"/>
      <c r="U17" s="43"/>
    </row>
    <row r="18" spans="1:21" s="11" customFormat="1" x14ac:dyDescent="0.25">
      <c r="A18" s="51" t="s">
        <v>357</v>
      </c>
      <c r="B18" s="52">
        <v>21.12</v>
      </c>
      <c r="C18" s="52">
        <v>15.26</v>
      </c>
      <c r="D18" s="52">
        <v>24.91</v>
      </c>
      <c r="E18" s="52">
        <v>4.38</v>
      </c>
      <c r="F18" s="52">
        <v>13.9</v>
      </c>
      <c r="G18" s="52">
        <v>28.09</v>
      </c>
      <c r="H18" s="52">
        <v>8.34</v>
      </c>
      <c r="I18" s="52">
        <v>1.75</v>
      </c>
      <c r="J18" s="52">
        <v>0.39</v>
      </c>
      <c r="K18" s="52">
        <v>123.23</v>
      </c>
      <c r="L18" s="52">
        <v>29.61</v>
      </c>
      <c r="M18" s="52">
        <v>97.63</v>
      </c>
      <c r="N18" s="52">
        <v>631.20000000000005</v>
      </c>
      <c r="O18" s="52">
        <v>0</v>
      </c>
      <c r="P18" s="52">
        <v>0.7</v>
      </c>
      <c r="Q18" s="52">
        <v>9.65</v>
      </c>
      <c r="R18" s="43"/>
      <c r="S18" s="43"/>
      <c r="T18" s="43"/>
      <c r="U18" s="43"/>
    </row>
    <row r="19" spans="1:21" s="11" customFormat="1" x14ac:dyDescent="0.25">
      <c r="A19" s="51" t="s">
        <v>358</v>
      </c>
      <c r="B19" s="52">
        <v>11.24</v>
      </c>
      <c r="C19" s="52">
        <v>12.79</v>
      </c>
      <c r="D19" s="52">
        <v>13.87</v>
      </c>
      <c r="E19" s="52">
        <v>4.37</v>
      </c>
      <c r="F19" s="52">
        <v>13.91</v>
      </c>
      <c r="G19" s="52">
        <v>46.8</v>
      </c>
      <c r="H19" s="52">
        <v>9.77</v>
      </c>
      <c r="I19" s="52">
        <v>1.85</v>
      </c>
      <c r="J19" s="52">
        <v>0.5</v>
      </c>
      <c r="K19" s="52">
        <v>317.27</v>
      </c>
      <c r="L19" s="52">
        <v>31.59</v>
      </c>
      <c r="M19" s="52">
        <v>97.6</v>
      </c>
      <c r="N19" s="52">
        <v>651.5</v>
      </c>
      <c r="O19" s="52">
        <v>0</v>
      </c>
      <c r="P19" s="52">
        <v>0.57999999999999996</v>
      </c>
      <c r="Q19" s="52">
        <v>9.6300000000000008</v>
      </c>
      <c r="R19" s="43"/>
      <c r="S19" s="43"/>
      <c r="T19" s="43"/>
      <c r="U19" s="43"/>
    </row>
    <row r="20" spans="1:21" s="11" customFormat="1" x14ac:dyDescent="0.25">
      <c r="A20" s="51" t="s">
        <v>359</v>
      </c>
      <c r="B20" s="52">
        <v>8.1999999999999993</v>
      </c>
      <c r="C20" s="52">
        <v>14.46</v>
      </c>
      <c r="D20" s="52">
        <v>14.13</v>
      </c>
      <c r="E20" s="52">
        <v>4.2300000000000004</v>
      </c>
      <c r="F20" s="52">
        <v>18.21</v>
      </c>
      <c r="G20" s="52">
        <v>46.8</v>
      </c>
      <c r="H20" s="52">
        <v>10.84</v>
      </c>
      <c r="I20" s="52">
        <v>1.93</v>
      </c>
      <c r="J20" s="52">
        <v>0.48</v>
      </c>
      <c r="K20" s="52">
        <v>146.41999999999999</v>
      </c>
      <c r="L20" s="52">
        <v>29.43</v>
      </c>
      <c r="M20" s="52">
        <v>92.7</v>
      </c>
      <c r="N20" s="52">
        <v>589.20000000000005</v>
      </c>
      <c r="O20" s="52">
        <v>0</v>
      </c>
      <c r="P20" s="52">
        <v>0.48</v>
      </c>
      <c r="Q20" s="52">
        <v>9.65</v>
      </c>
      <c r="R20" s="43"/>
      <c r="S20" s="43"/>
      <c r="T20" s="43"/>
      <c r="U20" s="43"/>
    </row>
    <row r="21" spans="1:21" s="11" customFormat="1" x14ac:dyDescent="0.25">
      <c r="A21" s="51" t="s">
        <v>360</v>
      </c>
      <c r="B21" s="52">
        <v>4.8099999999999996</v>
      </c>
      <c r="C21" s="52">
        <v>15.53</v>
      </c>
      <c r="D21" s="52">
        <v>11.8</v>
      </c>
      <c r="E21" s="52">
        <v>4.1500000000000004</v>
      </c>
      <c r="F21" s="52">
        <v>16.05</v>
      </c>
      <c r="G21" s="52">
        <v>44.06</v>
      </c>
      <c r="H21" s="52">
        <v>10.84</v>
      </c>
      <c r="I21" s="52">
        <v>1.91</v>
      </c>
      <c r="J21" s="52">
        <v>0.87</v>
      </c>
      <c r="K21" s="52">
        <v>158.77000000000001</v>
      </c>
      <c r="L21" s="52">
        <v>29.92</v>
      </c>
      <c r="M21" s="52">
        <v>88.09</v>
      </c>
      <c r="N21" s="52">
        <v>625.6</v>
      </c>
      <c r="O21" s="52">
        <v>0</v>
      </c>
      <c r="P21" s="52">
        <v>0.35</v>
      </c>
      <c r="Q21" s="52">
        <v>9.6</v>
      </c>
      <c r="R21" s="43"/>
      <c r="S21" s="43"/>
      <c r="T21" s="43"/>
      <c r="U21" s="43"/>
    </row>
    <row r="22" spans="1:21" s="11" customFormat="1" x14ac:dyDescent="0.25">
      <c r="A22" s="51" t="s">
        <v>361</v>
      </c>
      <c r="B22" s="52">
        <v>4.57</v>
      </c>
      <c r="C22" s="52">
        <v>10.95</v>
      </c>
      <c r="D22" s="52">
        <v>9.32</v>
      </c>
      <c r="E22" s="52">
        <v>4.07</v>
      </c>
      <c r="F22" s="52">
        <v>15.4</v>
      </c>
      <c r="G22" s="52">
        <v>44.06</v>
      </c>
      <c r="H22" s="52">
        <v>10.17</v>
      </c>
      <c r="I22" s="52">
        <v>1.52</v>
      </c>
      <c r="J22" s="52">
        <v>0.68</v>
      </c>
      <c r="K22" s="52">
        <v>151.99</v>
      </c>
      <c r="L22" s="52">
        <v>30.1</v>
      </c>
      <c r="M22" s="52">
        <v>79.349999999999994</v>
      </c>
      <c r="N22" s="52">
        <v>467.2</v>
      </c>
      <c r="O22" s="52">
        <v>0</v>
      </c>
      <c r="P22" s="52">
        <v>0.28000000000000003</v>
      </c>
      <c r="Q22" s="52">
        <v>9.56</v>
      </c>
      <c r="R22" s="43"/>
      <c r="S22" s="43"/>
      <c r="T22" s="43"/>
      <c r="U22" s="43"/>
    </row>
    <row r="23" spans="1:21" s="11" customFormat="1" x14ac:dyDescent="0.25">
      <c r="A23" s="51" t="s">
        <v>362</v>
      </c>
      <c r="B23" s="52">
        <v>4.8099999999999996</v>
      </c>
      <c r="C23" s="52">
        <v>11.34</v>
      </c>
      <c r="D23" s="52">
        <v>9.7799999999999994</v>
      </c>
      <c r="E23" s="52">
        <v>4.08</v>
      </c>
      <c r="F23" s="52">
        <v>17.39</v>
      </c>
      <c r="G23" s="52">
        <v>39.409999999999997</v>
      </c>
      <c r="H23" s="52">
        <v>9.16</v>
      </c>
      <c r="I23" s="52">
        <v>1.17</v>
      </c>
      <c r="J23" s="52">
        <v>0.64</v>
      </c>
      <c r="K23" s="52">
        <v>155.9</v>
      </c>
      <c r="L23" s="52">
        <v>30.38</v>
      </c>
      <c r="M23" s="52">
        <v>78.7</v>
      </c>
      <c r="N23" s="52">
        <v>317.7</v>
      </c>
      <c r="O23" s="52">
        <v>0</v>
      </c>
      <c r="P23" s="52">
        <v>0.25</v>
      </c>
      <c r="Q23" s="52">
        <v>9.5500000000000007</v>
      </c>
      <c r="R23" s="43"/>
      <c r="S23" s="43"/>
      <c r="T23" s="43"/>
      <c r="U23" s="43"/>
    </row>
    <row r="24" spans="1:21" s="11" customFormat="1" x14ac:dyDescent="0.25">
      <c r="A24" s="51" t="s">
        <v>363</v>
      </c>
      <c r="B24" s="52">
        <v>4.97</v>
      </c>
      <c r="C24" s="52">
        <v>10.46</v>
      </c>
      <c r="D24" s="52">
        <v>9.2899999999999991</v>
      </c>
      <c r="E24" s="52">
        <v>6.24</v>
      </c>
      <c r="F24" s="52">
        <v>16.23</v>
      </c>
      <c r="G24" s="52">
        <v>30.19</v>
      </c>
      <c r="H24" s="52">
        <v>9.16</v>
      </c>
      <c r="I24" s="52">
        <v>1.02</v>
      </c>
      <c r="J24" s="52">
        <v>0.54</v>
      </c>
      <c r="K24" s="52">
        <v>174.4</v>
      </c>
      <c r="L24" s="52">
        <v>29.42</v>
      </c>
      <c r="M24" s="52">
        <v>86.34</v>
      </c>
      <c r="N24" s="52">
        <v>217.3</v>
      </c>
      <c r="O24" s="52">
        <v>0</v>
      </c>
      <c r="P24" s="52">
        <v>0.25</v>
      </c>
      <c r="Q24" s="52">
        <v>9.61</v>
      </c>
      <c r="R24" s="43"/>
      <c r="S24" s="43"/>
      <c r="T24" s="43"/>
      <c r="U24" s="43"/>
    </row>
    <row r="25" spans="1:21" s="11" customFormat="1" x14ac:dyDescent="0.25">
      <c r="A25" s="51" t="s">
        <v>364</v>
      </c>
      <c r="B25" s="52">
        <v>5.84</v>
      </c>
      <c r="C25" s="52">
        <v>9.86</v>
      </c>
      <c r="D25" s="52">
        <v>9.76</v>
      </c>
      <c r="E25" s="52">
        <v>6.25</v>
      </c>
      <c r="F25" s="52">
        <v>15.54</v>
      </c>
      <c r="G25" s="52">
        <v>27.97</v>
      </c>
      <c r="H25" s="52">
        <v>8.27</v>
      </c>
      <c r="I25" s="52">
        <v>1.02</v>
      </c>
      <c r="J25" s="52">
        <v>0.66</v>
      </c>
      <c r="K25" s="52">
        <v>129.66</v>
      </c>
      <c r="L25" s="52">
        <v>28.74</v>
      </c>
      <c r="M25" s="52">
        <v>88.61</v>
      </c>
      <c r="N25" s="52">
        <v>133</v>
      </c>
      <c r="O25" s="52">
        <v>0</v>
      </c>
      <c r="P25" s="52">
        <v>0.28000000000000003</v>
      </c>
      <c r="Q25" s="52">
        <v>9.6199999999999992</v>
      </c>
      <c r="R25" s="43"/>
      <c r="S25" s="43"/>
      <c r="T25" s="43"/>
      <c r="U25" s="43"/>
    </row>
    <row r="26" spans="1:21" s="11" customFormat="1" x14ac:dyDescent="0.25">
      <c r="A26" s="51" t="s">
        <v>365</v>
      </c>
      <c r="B26" s="52">
        <v>9.67</v>
      </c>
      <c r="C26" s="52">
        <v>16.170000000000002</v>
      </c>
      <c r="D26" s="52">
        <v>16.2</v>
      </c>
      <c r="E26" s="52">
        <v>6.41</v>
      </c>
      <c r="F26" s="52">
        <v>13.74</v>
      </c>
      <c r="G26" s="52">
        <v>20.12</v>
      </c>
      <c r="H26" s="52">
        <v>6.16</v>
      </c>
      <c r="I26" s="52">
        <v>0.99</v>
      </c>
      <c r="J26" s="52">
        <v>0.86</v>
      </c>
      <c r="K26" s="52">
        <v>130.24</v>
      </c>
      <c r="L26" s="52">
        <v>28.54</v>
      </c>
      <c r="M26" s="52">
        <v>95.52</v>
      </c>
      <c r="N26" s="52">
        <v>125.2</v>
      </c>
      <c r="O26" s="52">
        <v>0</v>
      </c>
      <c r="P26" s="52">
        <v>0.54</v>
      </c>
      <c r="Q26" s="52">
        <v>9.6199999999999992</v>
      </c>
      <c r="R26" s="43"/>
      <c r="S26" s="43"/>
      <c r="T26" s="43"/>
      <c r="U26" s="43"/>
    </row>
    <row r="27" spans="1:21" s="11" customFormat="1" x14ac:dyDescent="0.25">
      <c r="A27" s="51" t="s">
        <v>366</v>
      </c>
      <c r="B27" s="52">
        <v>21.55</v>
      </c>
      <c r="C27" s="52">
        <v>17.8</v>
      </c>
      <c r="D27" s="52">
        <v>25.96</v>
      </c>
      <c r="E27" s="52">
        <v>6.23</v>
      </c>
      <c r="F27" s="52">
        <v>10.53</v>
      </c>
      <c r="G27" s="52">
        <v>27.75</v>
      </c>
      <c r="H27" s="52">
        <v>5.81</v>
      </c>
      <c r="I27" s="52">
        <v>1.28</v>
      </c>
      <c r="J27" s="52">
        <v>0.34</v>
      </c>
      <c r="K27" s="52">
        <v>327.67</v>
      </c>
      <c r="L27" s="52">
        <v>27.81</v>
      </c>
      <c r="M27" s="52">
        <v>97.6</v>
      </c>
      <c r="N27" s="52">
        <v>63.9</v>
      </c>
      <c r="O27" s="52">
        <v>0</v>
      </c>
      <c r="P27" s="52">
        <v>1.0900000000000001</v>
      </c>
      <c r="Q27" s="52">
        <v>9.6199999999999992</v>
      </c>
      <c r="R27" s="43"/>
      <c r="S27" s="43"/>
      <c r="T27" s="43"/>
      <c r="U27" s="43"/>
    </row>
    <row r="28" spans="1:21" s="11" customFormat="1" x14ac:dyDescent="0.25">
      <c r="A28" s="51" t="s">
        <v>367</v>
      </c>
      <c r="B28" s="52">
        <v>28.21</v>
      </c>
      <c r="C28" s="52">
        <v>17.100000000000001</v>
      </c>
      <c r="D28" s="52">
        <v>30.78</v>
      </c>
      <c r="E28" s="52">
        <v>6.61</v>
      </c>
      <c r="F28" s="52">
        <v>6.85</v>
      </c>
      <c r="G28" s="52">
        <v>34.42</v>
      </c>
      <c r="H28" s="52">
        <v>7.78</v>
      </c>
      <c r="I28" s="52">
        <v>2.13</v>
      </c>
      <c r="J28" s="52">
        <v>0.3</v>
      </c>
      <c r="K28" s="52">
        <v>330.61</v>
      </c>
      <c r="L28" s="52">
        <v>27.14</v>
      </c>
      <c r="M28" s="52">
        <v>97.63</v>
      </c>
      <c r="N28" s="52">
        <v>53.1</v>
      </c>
      <c r="O28" s="52">
        <v>0</v>
      </c>
      <c r="P28" s="52">
        <v>1.55</v>
      </c>
      <c r="Q28" s="52">
        <v>9.64</v>
      </c>
      <c r="R28" s="43"/>
      <c r="S28" s="43"/>
      <c r="T28" s="43"/>
      <c r="U28" s="43"/>
    </row>
    <row r="29" spans="1:21" s="11" customFormat="1" x14ac:dyDescent="0.25">
      <c r="A29" s="51" t="s">
        <v>368</v>
      </c>
      <c r="B29" s="52">
        <v>15.49</v>
      </c>
      <c r="C29" s="52">
        <v>23.31</v>
      </c>
      <c r="D29" s="52">
        <v>23.16</v>
      </c>
      <c r="E29" s="52">
        <v>6.61</v>
      </c>
      <c r="F29" s="52">
        <v>9.77</v>
      </c>
      <c r="G29" s="52">
        <v>45.22</v>
      </c>
      <c r="H29" s="52">
        <v>7.93</v>
      </c>
      <c r="I29" s="52">
        <v>2.2400000000000002</v>
      </c>
      <c r="J29" s="52">
        <v>0.28999999999999998</v>
      </c>
      <c r="K29" s="52">
        <v>332.65</v>
      </c>
      <c r="L29" s="52">
        <v>26.8</v>
      </c>
      <c r="M29" s="52">
        <v>97.68</v>
      </c>
      <c r="N29" s="52">
        <v>53.9</v>
      </c>
      <c r="O29" s="52">
        <v>0</v>
      </c>
      <c r="P29" s="52">
        <v>1.1100000000000001</v>
      </c>
      <c r="Q29" s="52">
        <v>9.65</v>
      </c>
      <c r="R29" s="43"/>
      <c r="S29" s="43"/>
      <c r="T29" s="43"/>
      <c r="U29" s="43"/>
    </row>
    <row r="30" spans="1:21" s="11" customFormat="1" x14ac:dyDescent="0.25">
      <c r="A30" s="51" t="s">
        <v>369</v>
      </c>
      <c r="B30" s="52">
        <v>25.38</v>
      </c>
      <c r="C30" s="52">
        <v>17.82</v>
      </c>
      <c r="D30" s="52">
        <v>29.39</v>
      </c>
      <c r="E30" s="52">
        <v>6.37</v>
      </c>
      <c r="F30" s="52">
        <v>6.58</v>
      </c>
      <c r="G30" s="52">
        <v>48.33</v>
      </c>
      <c r="H30" s="52">
        <v>9.65</v>
      </c>
      <c r="I30" s="52">
        <v>2.25</v>
      </c>
      <c r="J30" s="52">
        <v>0.98</v>
      </c>
      <c r="K30" s="52">
        <v>343.82</v>
      </c>
      <c r="L30" s="52">
        <v>25.96</v>
      </c>
      <c r="M30" s="52">
        <v>97.7</v>
      </c>
      <c r="N30" s="52">
        <v>53.5</v>
      </c>
      <c r="O30" s="52">
        <v>0</v>
      </c>
      <c r="P30" s="52">
        <v>1.1100000000000001</v>
      </c>
      <c r="Q30" s="52">
        <v>9.65</v>
      </c>
      <c r="R30" s="43"/>
      <c r="S30" s="43"/>
      <c r="T30" s="43"/>
      <c r="U30" s="43"/>
    </row>
    <row r="31" spans="1:21" s="11" customFormat="1" x14ac:dyDescent="0.25">
      <c r="A31" s="51" t="s">
        <v>370</v>
      </c>
      <c r="B31" s="52">
        <v>21.15</v>
      </c>
      <c r="C31" s="52">
        <v>13.68</v>
      </c>
      <c r="D31" s="52">
        <v>23.1</v>
      </c>
      <c r="E31" s="52">
        <v>6.3</v>
      </c>
      <c r="F31" s="52">
        <v>5.87</v>
      </c>
      <c r="G31" s="52">
        <v>56.31</v>
      </c>
      <c r="H31" s="52">
        <v>11.5</v>
      </c>
      <c r="I31" s="52">
        <v>2.2999999999999998</v>
      </c>
      <c r="J31" s="52">
        <v>1.0900000000000001</v>
      </c>
      <c r="K31" s="52">
        <v>338.14</v>
      </c>
      <c r="L31" s="52">
        <v>25.84</v>
      </c>
      <c r="M31" s="52">
        <v>97.77</v>
      </c>
      <c r="N31" s="52">
        <v>56.2</v>
      </c>
      <c r="O31" s="52">
        <v>0</v>
      </c>
      <c r="P31" s="52">
        <v>0.93</v>
      </c>
      <c r="Q31" s="52">
        <v>9.68</v>
      </c>
      <c r="R31" s="43"/>
      <c r="S31" s="43"/>
      <c r="T31" s="43"/>
      <c r="U31" s="43"/>
    </row>
    <row r="32" spans="1:21" s="11" customFormat="1" x14ac:dyDescent="0.25">
      <c r="A32" s="51" t="s">
        <v>371</v>
      </c>
      <c r="B32" s="52">
        <v>14.41</v>
      </c>
      <c r="C32" s="52">
        <v>9.9</v>
      </c>
      <c r="D32" s="52">
        <v>15.31</v>
      </c>
      <c r="E32" s="52">
        <v>6.09</v>
      </c>
      <c r="F32" s="52">
        <v>8.06</v>
      </c>
      <c r="G32" s="52">
        <v>56.31</v>
      </c>
      <c r="H32" s="52">
        <v>11.5</v>
      </c>
      <c r="I32" s="52">
        <v>2.2999999999999998</v>
      </c>
      <c r="J32" s="52">
        <v>0.26</v>
      </c>
      <c r="K32" s="52">
        <v>219.95</v>
      </c>
      <c r="L32" s="52">
        <v>24.44</v>
      </c>
      <c r="M32" s="52">
        <v>97.84</v>
      </c>
      <c r="N32" s="52">
        <v>56.1</v>
      </c>
      <c r="O32" s="52">
        <v>0</v>
      </c>
      <c r="P32" s="52">
        <v>0.67</v>
      </c>
      <c r="Q32" s="52">
        <v>9.68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4.57</v>
      </c>
      <c r="C34" s="28">
        <f t="shared" si="0"/>
        <v>8.26</v>
      </c>
      <c r="D34" s="28">
        <f t="shared" si="0"/>
        <v>9.2899999999999991</v>
      </c>
      <c r="E34" s="28">
        <f t="shared" si="0"/>
        <v>4.07</v>
      </c>
      <c r="F34" s="28">
        <f t="shared" si="0"/>
        <v>5.87</v>
      </c>
      <c r="G34" s="28">
        <f t="shared" si="0"/>
        <v>17.190000000000001</v>
      </c>
      <c r="H34" s="28">
        <f t="shared" si="0"/>
        <v>5.23</v>
      </c>
      <c r="I34" s="28">
        <f t="shared" si="0"/>
        <v>0.99</v>
      </c>
      <c r="J34" s="28">
        <f t="shared" si="0"/>
        <v>0.11</v>
      </c>
      <c r="K34" s="28">
        <f t="shared" si="0"/>
        <v>123.23</v>
      </c>
      <c r="L34" s="28">
        <f t="shared" si="0"/>
        <v>24.44</v>
      </c>
      <c r="M34" s="28">
        <f t="shared" si="0"/>
        <v>78.7</v>
      </c>
      <c r="N34" s="28">
        <f t="shared" si="0"/>
        <v>44.8</v>
      </c>
      <c r="O34" s="28">
        <f t="shared" si="0"/>
        <v>0</v>
      </c>
      <c r="P34" s="28">
        <f t="shared" si="0"/>
        <v>0.22</v>
      </c>
      <c r="Q34" s="28">
        <f t="shared" si="0"/>
        <v>9.5500000000000007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28.21</v>
      </c>
      <c r="C35" s="29">
        <f t="shared" si="1"/>
        <v>23.31</v>
      </c>
      <c r="D35" s="29">
        <f t="shared" si="1"/>
        <v>30.78</v>
      </c>
      <c r="E35" s="29">
        <f t="shared" si="1"/>
        <v>6.61</v>
      </c>
      <c r="F35" s="29">
        <f t="shared" si="1"/>
        <v>18.21</v>
      </c>
      <c r="G35" s="29">
        <f t="shared" si="1"/>
        <v>56.31</v>
      </c>
      <c r="H35" s="29">
        <f t="shared" si="1"/>
        <v>11.5</v>
      </c>
      <c r="I35" s="29">
        <f t="shared" si="1"/>
        <v>2.2999999999999998</v>
      </c>
      <c r="J35" s="29">
        <f t="shared" si="1"/>
        <v>1.0900000000000001</v>
      </c>
      <c r="K35" s="29">
        <f t="shared" si="1"/>
        <v>346.69</v>
      </c>
      <c r="L35" s="29">
        <f t="shared" si="1"/>
        <v>31.59</v>
      </c>
      <c r="M35" s="29">
        <f t="shared" si="1"/>
        <v>97.84</v>
      </c>
      <c r="N35" s="29">
        <f t="shared" si="1"/>
        <v>651.5</v>
      </c>
      <c r="O35" s="29">
        <f t="shared" si="1"/>
        <v>0</v>
      </c>
      <c r="P35" s="29">
        <f t="shared" si="1"/>
        <v>1.55</v>
      </c>
      <c r="Q35" s="29">
        <f t="shared" si="1"/>
        <v>9.68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12.200416666666667</v>
      </c>
      <c r="C36" s="28">
        <f t="shared" si="2"/>
        <v>12.639583333333333</v>
      </c>
      <c r="D36" s="28">
        <f t="shared" si="2"/>
        <v>15.890833333333333</v>
      </c>
      <c r="E36" s="28">
        <f t="shared" si="2"/>
        <v>5.1629166666666668</v>
      </c>
      <c r="F36" s="28">
        <f t="shared" si="2"/>
        <v>10.945833333333335</v>
      </c>
      <c r="G36" s="28">
        <f t="shared" si="2"/>
        <v>35.571666666666665</v>
      </c>
      <c r="H36" s="28">
        <f t="shared" si="2"/>
        <v>8.3425000000000011</v>
      </c>
      <c r="I36" s="28">
        <f t="shared" si="2"/>
        <v>1.5337499999999997</v>
      </c>
      <c r="J36" s="28">
        <f t="shared" si="2"/>
        <v>0.54499999999999982</v>
      </c>
      <c r="K36" s="28">
        <f t="shared" si="2"/>
        <v>251.33791666666662</v>
      </c>
      <c r="L36" s="28">
        <f t="shared" si="2"/>
        <v>27.374583333333337</v>
      </c>
      <c r="M36" s="28">
        <f t="shared" si="2"/>
        <v>94.588333333333324</v>
      </c>
      <c r="N36" s="28">
        <f t="shared" si="2"/>
        <v>219.25416666666663</v>
      </c>
      <c r="O36" s="28">
        <f t="shared" si="2"/>
        <v>0</v>
      </c>
      <c r="P36" s="28">
        <f t="shared" si="2"/>
        <v>0.56708333333333327</v>
      </c>
      <c r="Q36" s="28">
        <f t="shared" si="2"/>
        <v>9.6383333333333354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6.8525656757582212</v>
      </c>
      <c r="C37" s="28">
        <f t="shared" ref="C37:Q37" si="3">STDEV(C9:C32)</f>
        <v>3.8323661429491866</v>
      </c>
      <c r="D37" s="28">
        <f t="shared" si="3"/>
        <v>6.6592765742799429</v>
      </c>
      <c r="E37" s="28">
        <f t="shared" si="3"/>
        <v>0.96908957349115732</v>
      </c>
      <c r="F37" s="28">
        <f t="shared" si="3"/>
        <v>3.9693060577020449</v>
      </c>
      <c r="G37" s="28">
        <f t="shared" si="3"/>
        <v>10.890284727649462</v>
      </c>
      <c r="H37" s="28">
        <f t="shared" si="3"/>
        <v>1.8474853650064507</v>
      </c>
      <c r="I37" s="28">
        <f t="shared" si="3"/>
        <v>0.46078206203763256</v>
      </c>
      <c r="J37" s="28">
        <f t="shared" si="3"/>
        <v>0.25255219004327067</v>
      </c>
      <c r="K37" s="28">
        <f t="shared" si="3"/>
        <v>92.767298772563095</v>
      </c>
      <c r="L37" s="28">
        <f t="shared" si="3"/>
        <v>2.1589832131104569</v>
      </c>
      <c r="M37" s="28">
        <f t="shared" si="3"/>
        <v>5.8947557139830851</v>
      </c>
      <c r="N37" s="28">
        <f t="shared" si="3"/>
        <v>228.58419242231588</v>
      </c>
      <c r="O37" s="28">
        <f t="shared" si="3"/>
        <v>0</v>
      </c>
      <c r="P37" s="28">
        <f t="shared" si="3"/>
        <v>0.35251246251995716</v>
      </c>
      <c r="Q37" s="28">
        <f t="shared" si="3"/>
        <v>3.292503562662448E-2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2" sqref="G1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372</v>
      </c>
      <c r="B9" s="52">
        <v>10.11</v>
      </c>
      <c r="C9" s="52">
        <v>5.91</v>
      </c>
      <c r="D9" s="52">
        <v>10.87</v>
      </c>
      <c r="E9" s="52">
        <v>5.33</v>
      </c>
      <c r="F9" s="52">
        <v>8</v>
      </c>
      <c r="G9" s="52">
        <v>54.21</v>
      </c>
      <c r="H9" s="52">
        <v>9.8800000000000008</v>
      </c>
      <c r="I9" s="52">
        <v>2.2000000000000002</v>
      </c>
      <c r="J9" s="52">
        <v>0.25</v>
      </c>
      <c r="K9" s="52">
        <v>187.6</v>
      </c>
      <c r="L9" s="52">
        <v>24.25</v>
      </c>
      <c r="M9" s="52">
        <v>97.78</v>
      </c>
      <c r="N9" s="52">
        <v>55.6</v>
      </c>
      <c r="O9" s="52">
        <v>0</v>
      </c>
      <c r="P9" s="52">
        <v>0.39</v>
      </c>
      <c r="Q9" s="52">
        <v>9.68</v>
      </c>
      <c r="R9" s="43"/>
      <c r="S9" s="43"/>
      <c r="T9" s="43"/>
      <c r="U9" s="43"/>
    </row>
    <row r="10" spans="1:21" s="11" customFormat="1" x14ac:dyDescent="0.25">
      <c r="A10" s="51" t="s">
        <v>373</v>
      </c>
      <c r="B10" s="52">
        <v>10.3</v>
      </c>
      <c r="C10" s="52">
        <v>5.25</v>
      </c>
      <c r="D10" s="52">
        <v>10.49</v>
      </c>
      <c r="E10" s="52">
        <v>5.45</v>
      </c>
      <c r="F10" s="52">
        <v>8.19</v>
      </c>
      <c r="G10" s="52">
        <v>39.24</v>
      </c>
      <c r="H10" s="52">
        <v>7.11</v>
      </c>
      <c r="I10" s="52">
        <v>2</v>
      </c>
      <c r="J10" s="52">
        <v>0.35</v>
      </c>
      <c r="K10" s="52">
        <v>119.57</v>
      </c>
      <c r="L10" s="52">
        <v>24.28</v>
      </c>
      <c r="M10" s="52">
        <v>97.77</v>
      </c>
      <c r="N10" s="52">
        <v>55.5</v>
      </c>
      <c r="O10" s="52">
        <v>0</v>
      </c>
      <c r="P10" s="52">
        <v>0.36</v>
      </c>
      <c r="Q10" s="52">
        <v>9.69</v>
      </c>
      <c r="R10" s="43"/>
      <c r="S10" s="43"/>
      <c r="T10" s="43"/>
      <c r="U10" s="43"/>
    </row>
    <row r="11" spans="1:21" s="11" customFormat="1" x14ac:dyDescent="0.25">
      <c r="A11" s="51" t="s">
        <v>374</v>
      </c>
      <c r="B11" s="52">
        <v>9.3000000000000007</v>
      </c>
      <c r="C11" s="52">
        <v>6.28</v>
      </c>
      <c r="D11" s="52">
        <v>10.43</v>
      </c>
      <c r="E11" s="52">
        <v>5.28</v>
      </c>
      <c r="F11" s="52">
        <v>7.56</v>
      </c>
      <c r="G11" s="52">
        <v>26.25</v>
      </c>
      <c r="H11" s="52">
        <v>5.6</v>
      </c>
      <c r="I11" s="52">
        <v>1.84</v>
      </c>
      <c r="J11" s="52">
        <v>0.21</v>
      </c>
      <c r="K11" s="52">
        <v>191.19</v>
      </c>
      <c r="L11" s="52">
        <v>24</v>
      </c>
      <c r="M11" s="52">
        <v>97.7</v>
      </c>
      <c r="N11" s="52">
        <v>55</v>
      </c>
      <c r="O11" s="52">
        <v>0</v>
      </c>
      <c r="P11" s="52">
        <v>0.3</v>
      </c>
      <c r="Q11" s="52">
        <v>9.69</v>
      </c>
      <c r="R11" s="43"/>
      <c r="S11" s="43"/>
      <c r="T11" s="43"/>
      <c r="U11" s="43"/>
    </row>
    <row r="12" spans="1:21" s="11" customFormat="1" x14ac:dyDescent="0.25">
      <c r="A12" s="51" t="s">
        <v>375</v>
      </c>
      <c r="B12" s="52">
        <v>8.4499999999999993</v>
      </c>
      <c r="C12" s="52">
        <v>6.02</v>
      </c>
      <c r="D12" s="52">
        <v>9.7200000000000006</v>
      </c>
      <c r="E12" s="52">
        <v>5.0999999999999996</v>
      </c>
      <c r="F12" s="52">
        <v>7.16</v>
      </c>
      <c r="G12" s="52">
        <v>15.53</v>
      </c>
      <c r="H12" s="52">
        <v>4.08</v>
      </c>
      <c r="I12" s="52">
        <v>1.68</v>
      </c>
      <c r="J12" s="52">
        <v>0.15</v>
      </c>
      <c r="K12" s="52">
        <v>153.63</v>
      </c>
      <c r="L12" s="52">
        <v>23.9</v>
      </c>
      <c r="M12" s="52">
        <v>97.7</v>
      </c>
      <c r="N12" s="52">
        <v>55</v>
      </c>
      <c r="O12" s="52">
        <v>0</v>
      </c>
      <c r="P12" s="52">
        <v>0.27</v>
      </c>
      <c r="Q12" s="52">
        <v>9.68</v>
      </c>
      <c r="R12" s="43"/>
      <c r="S12" s="43"/>
      <c r="T12" s="43"/>
      <c r="U12" s="43"/>
    </row>
    <row r="13" spans="1:21" s="11" customFormat="1" x14ac:dyDescent="0.25">
      <c r="A13" s="51" t="s">
        <v>376</v>
      </c>
      <c r="B13" s="52">
        <v>9.8800000000000008</v>
      </c>
      <c r="C13" s="52">
        <v>7.25</v>
      </c>
      <c r="D13" s="52">
        <v>11.1</v>
      </c>
      <c r="E13" s="52">
        <v>5.15</v>
      </c>
      <c r="F13" s="52">
        <v>7.43</v>
      </c>
      <c r="G13" s="52">
        <v>15.74</v>
      </c>
      <c r="H13" s="52">
        <v>4.47</v>
      </c>
      <c r="I13" s="52">
        <v>1.56</v>
      </c>
      <c r="J13" s="52">
        <v>0.13</v>
      </c>
      <c r="K13" s="52">
        <v>243.82</v>
      </c>
      <c r="L13" s="52">
        <v>24.02</v>
      </c>
      <c r="M13" s="52">
        <v>97.65</v>
      </c>
      <c r="N13" s="52">
        <v>55.4</v>
      </c>
      <c r="O13" s="52">
        <v>0</v>
      </c>
      <c r="P13" s="52">
        <v>0.27</v>
      </c>
      <c r="Q13" s="52">
        <v>9.67</v>
      </c>
      <c r="R13" s="43"/>
      <c r="S13" s="43"/>
      <c r="T13" s="43"/>
      <c r="U13" s="43"/>
    </row>
    <row r="14" spans="1:21" s="11" customFormat="1" x14ac:dyDescent="0.25">
      <c r="A14" s="51" t="s">
        <v>377</v>
      </c>
      <c r="B14" s="52">
        <v>9</v>
      </c>
      <c r="C14" s="52">
        <v>5.9</v>
      </c>
      <c r="D14" s="52">
        <v>10.3</v>
      </c>
      <c r="E14" s="52">
        <v>5.3</v>
      </c>
      <c r="F14" s="52">
        <v>7.25</v>
      </c>
      <c r="G14" s="52">
        <v>15.74</v>
      </c>
      <c r="H14" s="52">
        <v>4.63</v>
      </c>
      <c r="I14" s="52">
        <v>1.53</v>
      </c>
      <c r="J14" s="52">
        <v>0.68</v>
      </c>
      <c r="K14" s="52">
        <v>133.88</v>
      </c>
      <c r="L14" s="52">
        <v>23.83</v>
      </c>
      <c r="M14" s="52">
        <v>97.59</v>
      </c>
      <c r="N14" s="52">
        <v>62.7</v>
      </c>
      <c r="O14" s="52">
        <v>0</v>
      </c>
      <c r="P14" s="52">
        <v>0.27</v>
      </c>
      <c r="Q14" s="52">
        <v>9.65</v>
      </c>
      <c r="R14" s="43"/>
      <c r="S14" s="43"/>
      <c r="T14" s="43"/>
      <c r="U14" s="43"/>
    </row>
    <row r="15" spans="1:21" s="11" customFormat="1" x14ac:dyDescent="0.25">
      <c r="A15" s="51" t="s">
        <v>378</v>
      </c>
      <c r="B15" s="52">
        <v>12.02</v>
      </c>
      <c r="C15" s="52">
        <v>6.01</v>
      </c>
      <c r="D15" s="52">
        <v>12.78</v>
      </c>
      <c r="E15" s="52">
        <v>5.43</v>
      </c>
      <c r="F15" s="52">
        <v>5.27</v>
      </c>
      <c r="G15" s="52">
        <v>13.52</v>
      </c>
      <c r="H15" s="52">
        <v>4.63</v>
      </c>
      <c r="I15" s="52">
        <v>1.46</v>
      </c>
      <c r="J15" s="52">
        <v>0.95</v>
      </c>
      <c r="K15" s="52">
        <v>135.03</v>
      </c>
      <c r="L15" s="52">
        <v>24.31</v>
      </c>
      <c r="M15" s="52">
        <v>97.82</v>
      </c>
      <c r="N15" s="52">
        <v>136.1</v>
      </c>
      <c r="O15" s="52">
        <v>0</v>
      </c>
      <c r="P15" s="52">
        <v>0.31</v>
      </c>
      <c r="Q15" s="52">
        <v>9.66</v>
      </c>
      <c r="R15" s="43"/>
      <c r="S15" s="43"/>
      <c r="T15" s="43"/>
      <c r="U15" s="43"/>
    </row>
    <row r="16" spans="1:21" s="11" customFormat="1" x14ac:dyDescent="0.25">
      <c r="A16" s="51" t="s">
        <v>379</v>
      </c>
      <c r="B16" s="52">
        <v>9.2899999999999991</v>
      </c>
      <c r="C16" s="52">
        <v>5.86</v>
      </c>
      <c r="D16" s="52">
        <v>10.220000000000001</v>
      </c>
      <c r="E16" s="52">
        <v>5.3</v>
      </c>
      <c r="F16" s="52">
        <v>5.94</v>
      </c>
      <c r="G16" s="52">
        <v>13.9</v>
      </c>
      <c r="H16" s="52">
        <v>4.0199999999999996</v>
      </c>
      <c r="I16" s="52">
        <v>1.31</v>
      </c>
      <c r="J16" s="52">
        <v>1.36</v>
      </c>
      <c r="K16" s="52">
        <v>125.78</v>
      </c>
      <c r="L16" s="52">
        <v>24.95</v>
      </c>
      <c r="M16" s="52">
        <v>97.76</v>
      </c>
      <c r="N16" s="52">
        <v>193.8</v>
      </c>
      <c r="O16" s="52">
        <v>0</v>
      </c>
      <c r="P16" s="52">
        <v>0.28999999999999998</v>
      </c>
      <c r="Q16" s="52">
        <v>9.69</v>
      </c>
      <c r="R16" s="43"/>
      <c r="S16" s="43"/>
      <c r="T16" s="43"/>
      <c r="U16" s="43"/>
    </row>
    <row r="17" spans="1:21" s="11" customFormat="1" x14ac:dyDescent="0.25">
      <c r="A17" s="51" t="s">
        <v>380</v>
      </c>
      <c r="B17" s="52">
        <v>9.01</v>
      </c>
      <c r="C17" s="52">
        <v>5.85</v>
      </c>
      <c r="D17" s="52">
        <v>10.28</v>
      </c>
      <c r="E17" s="52">
        <v>5.3</v>
      </c>
      <c r="F17" s="52">
        <v>9.1300000000000008</v>
      </c>
      <c r="G17" s="52">
        <v>13.9</v>
      </c>
      <c r="H17" s="52">
        <v>4.0199999999999996</v>
      </c>
      <c r="I17" s="52">
        <v>1.22</v>
      </c>
      <c r="J17" s="52">
        <v>1.27</v>
      </c>
      <c r="K17" s="52">
        <v>129.32</v>
      </c>
      <c r="L17" s="52">
        <v>27.65</v>
      </c>
      <c r="M17" s="52">
        <v>97.7</v>
      </c>
      <c r="N17" s="52">
        <v>770.1</v>
      </c>
      <c r="O17" s="52">
        <v>0</v>
      </c>
      <c r="P17" s="52">
        <v>0.26</v>
      </c>
      <c r="Q17" s="52">
        <v>9.68</v>
      </c>
      <c r="R17" s="43"/>
      <c r="S17" s="43"/>
      <c r="T17" s="43"/>
      <c r="U17" s="43"/>
    </row>
    <row r="18" spans="1:21" s="11" customFormat="1" x14ac:dyDescent="0.25">
      <c r="A18" s="51" t="s">
        <v>381</v>
      </c>
      <c r="B18" s="52">
        <v>7.69</v>
      </c>
      <c r="C18" s="52">
        <v>5.94</v>
      </c>
      <c r="D18" s="52">
        <v>9.1199999999999992</v>
      </c>
      <c r="E18" s="52">
        <v>5.44</v>
      </c>
      <c r="F18" s="52">
        <v>10.050000000000001</v>
      </c>
      <c r="G18" s="52">
        <v>14.79</v>
      </c>
      <c r="H18" s="52">
        <v>3.05</v>
      </c>
      <c r="I18" s="52">
        <v>1.1399999999999999</v>
      </c>
      <c r="J18" s="52">
        <v>1.26</v>
      </c>
      <c r="K18" s="52">
        <v>124.9</v>
      </c>
      <c r="L18" s="52">
        <v>27.95</v>
      </c>
      <c r="M18" s="52">
        <v>97.62</v>
      </c>
      <c r="N18" s="52">
        <v>791.7</v>
      </c>
      <c r="O18" s="52">
        <v>0</v>
      </c>
      <c r="P18" s="52">
        <v>0.24</v>
      </c>
      <c r="Q18" s="52">
        <v>9.66</v>
      </c>
      <c r="R18" s="43"/>
      <c r="S18" s="43"/>
      <c r="T18" s="43"/>
      <c r="U18" s="43"/>
    </row>
    <row r="19" spans="1:21" s="11" customFormat="1" x14ac:dyDescent="0.25">
      <c r="A19" s="51" t="s">
        <v>382</v>
      </c>
      <c r="B19" s="52">
        <v>9.66</v>
      </c>
      <c r="C19" s="52">
        <v>6.28</v>
      </c>
      <c r="D19" s="52">
        <v>10.92</v>
      </c>
      <c r="E19" s="52">
        <v>5.42</v>
      </c>
      <c r="F19" s="52">
        <v>11.18</v>
      </c>
      <c r="G19" s="52">
        <v>14.79</v>
      </c>
      <c r="H19" s="52">
        <v>4.41</v>
      </c>
      <c r="I19" s="52">
        <v>1.07</v>
      </c>
      <c r="J19" s="52">
        <v>1.3</v>
      </c>
      <c r="K19" s="52">
        <v>125</v>
      </c>
      <c r="L19" s="52">
        <v>28.3</v>
      </c>
      <c r="M19" s="52">
        <v>91.54</v>
      </c>
      <c r="N19" s="52">
        <v>682.1</v>
      </c>
      <c r="O19" s="52">
        <v>0</v>
      </c>
      <c r="P19" s="52">
        <v>0.28000000000000003</v>
      </c>
      <c r="Q19" s="52">
        <v>9.66</v>
      </c>
      <c r="R19" s="43"/>
      <c r="S19" s="43"/>
      <c r="T19" s="43"/>
      <c r="U19" s="43"/>
    </row>
    <row r="20" spans="1:21" s="11" customFormat="1" x14ac:dyDescent="0.25">
      <c r="A20" s="51" t="s">
        <v>383</v>
      </c>
      <c r="B20" s="52">
        <v>8.85</v>
      </c>
      <c r="C20" s="52">
        <v>7.75</v>
      </c>
      <c r="D20" s="52">
        <v>11.15</v>
      </c>
      <c r="E20" s="52">
        <v>5.32</v>
      </c>
      <c r="F20" s="52">
        <v>11.59</v>
      </c>
      <c r="G20" s="52">
        <v>14.05</v>
      </c>
      <c r="H20" s="52">
        <v>4.82</v>
      </c>
      <c r="I20" s="52">
        <v>0.99</v>
      </c>
      <c r="J20" s="52">
        <v>1.42</v>
      </c>
      <c r="K20" s="52">
        <v>123.34</v>
      </c>
      <c r="L20" s="52">
        <v>28.99</v>
      </c>
      <c r="M20" s="52">
        <v>90.12</v>
      </c>
      <c r="N20" s="52">
        <v>719.6</v>
      </c>
      <c r="O20" s="52">
        <v>0</v>
      </c>
      <c r="P20" s="52">
        <v>0.3</v>
      </c>
      <c r="Q20" s="52">
        <v>9.64</v>
      </c>
      <c r="R20" s="43"/>
      <c r="S20" s="43"/>
      <c r="T20" s="43"/>
      <c r="U20" s="43"/>
    </row>
    <row r="21" spans="1:21" s="11" customFormat="1" x14ac:dyDescent="0.25">
      <c r="A21" s="51" t="s">
        <v>384</v>
      </c>
      <c r="B21" s="52">
        <v>11.82</v>
      </c>
      <c r="C21" s="52">
        <v>8.2899999999999991</v>
      </c>
      <c r="D21" s="52">
        <v>13.67</v>
      </c>
      <c r="E21" s="52">
        <v>5.3</v>
      </c>
      <c r="F21" s="52">
        <v>10.67</v>
      </c>
      <c r="G21" s="52">
        <v>13.37</v>
      </c>
      <c r="H21" s="52">
        <v>4.82</v>
      </c>
      <c r="I21" s="52">
        <v>0.95</v>
      </c>
      <c r="J21" s="52">
        <v>0.94</v>
      </c>
      <c r="K21" s="52">
        <v>358.35</v>
      </c>
      <c r="L21" s="52">
        <v>30.5</v>
      </c>
      <c r="M21" s="52">
        <v>78.290000000000006</v>
      </c>
      <c r="N21" s="52">
        <v>586.1</v>
      </c>
      <c r="O21" s="52">
        <v>0</v>
      </c>
      <c r="P21" s="52">
        <v>0.34</v>
      </c>
      <c r="Q21" s="52">
        <v>9.6300000000000008</v>
      </c>
      <c r="R21" s="43"/>
      <c r="S21" s="43"/>
      <c r="T21" s="43"/>
      <c r="U21" s="43"/>
    </row>
    <row r="22" spans="1:21" s="11" customFormat="1" x14ac:dyDescent="0.25">
      <c r="A22" s="51" t="s">
        <v>385</v>
      </c>
      <c r="B22" s="52">
        <v>15.97</v>
      </c>
      <c r="C22" s="52">
        <v>10.68</v>
      </c>
      <c r="D22" s="52">
        <v>17.989999999999998</v>
      </c>
      <c r="E22" s="52">
        <v>5.64</v>
      </c>
      <c r="F22" s="52">
        <v>10.8</v>
      </c>
      <c r="G22" s="52">
        <v>14.03</v>
      </c>
      <c r="H22" s="52">
        <v>3.62</v>
      </c>
      <c r="I22" s="52">
        <v>0.99</v>
      </c>
      <c r="J22" s="52">
        <v>0.38</v>
      </c>
      <c r="K22" s="52">
        <v>347.86</v>
      </c>
      <c r="L22" s="52">
        <v>29.58</v>
      </c>
      <c r="M22" s="52">
        <v>87.96</v>
      </c>
      <c r="N22" s="52">
        <v>284.60000000000002</v>
      </c>
      <c r="O22" s="52">
        <v>0</v>
      </c>
      <c r="P22" s="52">
        <v>0.4</v>
      </c>
      <c r="Q22" s="52">
        <v>9.64</v>
      </c>
      <c r="R22" s="43"/>
      <c r="S22" s="43"/>
      <c r="T22" s="43"/>
      <c r="U22" s="43"/>
    </row>
    <row r="23" spans="1:21" s="11" customFormat="1" x14ac:dyDescent="0.25">
      <c r="A23" s="51" t="s">
        <v>386</v>
      </c>
      <c r="B23" s="52">
        <v>12.75</v>
      </c>
      <c r="C23" s="52">
        <v>9.5399999999999991</v>
      </c>
      <c r="D23" s="52">
        <v>14.88</v>
      </c>
      <c r="E23" s="52">
        <v>5.39</v>
      </c>
      <c r="F23" s="52">
        <v>12.88</v>
      </c>
      <c r="G23" s="52">
        <v>20.9</v>
      </c>
      <c r="H23" s="52">
        <v>4.54</v>
      </c>
      <c r="I23" s="52">
        <v>1.08</v>
      </c>
      <c r="J23" s="52">
        <v>0.89</v>
      </c>
      <c r="K23" s="52">
        <v>356.5</v>
      </c>
      <c r="L23" s="52">
        <v>30.14</v>
      </c>
      <c r="M23" s="52">
        <v>83.87</v>
      </c>
      <c r="N23" s="52">
        <v>244</v>
      </c>
      <c r="O23" s="52">
        <v>0</v>
      </c>
      <c r="P23" s="52">
        <v>0.4</v>
      </c>
      <c r="Q23" s="52">
        <v>9.64</v>
      </c>
      <c r="R23" s="43"/>
      <c r="S23" s="43"/>
      <c r="T23" s="43"/>
      <c r="U23" s="43"/>
    </row>
    <row r="24" spans="1:21" s="11" customFormat="1" x14ac:dyDescent="0.25">
      <c r="A24" s="51" t="s">
        <v>387</v>
      </c>
      <c r="B24" s="52">
        <v>13.48</v>
      </c>
      <c r="C24" s="52">
        <v>13.78</v>
      </c>
      <c r="D24" s="52">
        <v>17.38</v>
      </c>
      <c r="E24" s="52">
        <v>5.66</v>
      </c>
      <c r="F24" s="52">
        <v>14.68</v>
      </c>
      <c r="G24" s="52">
        <v>25.44</v>
      </c>
      <c r="H24" s="52">
        <v>6.89</v>
      </c>
      <c r="I24" s="52">
        <v>1.1299999999999999</v>
      </c>
      <c r="J24" s="52">
        <v>0.73</v>
      </c>
      <c r="K24" s="52">
        <v>359.09</v>
      </c>
      <c r="L24" s="52">
        <v>30.27</v>
      </c>
      <c r="M24" s="52">
        <v>78.87</v>
      </c>
      <c r="N24" s="52">
        <v>276.2</v>
      </c>
      <c r="O24" s="52">
        <v>0</v>
      </c>
      <c r="P24" s="52">
        <v>0.42</v>
      </c>
      <c r="Q24" s="52">
        <v>9.64</v>
      </c>
      <c r="R24" s="43"/>
      <c r="S24" s="43"/>
      <c r="T24" s="43"/>
      <c r="U24" s="43"/>
    </row>
    <row r="25" spans="1:21" s="11" customFormat="1" x14ac:dyDescent="0.25">
      <c r="A25" s="51" t="s">
        <v>388</v>
      </c>
      <c r="B25" s="52">
        <v>20.95</v>
      </c>
      <c r="C25" s="52">
        <v>15.68</v>
      </c>
      <c r="D25" s="52">
        <v>21.88</v>
      </c>
      <c r="E25" s="52">
        <v>5.55</v>
      </c>
      <c r="F25" s="52">
        <v>12.66</v>
      </c>
      <c r="G25" s="52">
        <v>27.75</v>
      </c>
      <c r="H25" s="52">
        <v>6.89</v>
      </c>
      <c r="I25" s="52">
        <v>1.1499999999999999</v>
      </c>
      <c r="J25" s="52">
        <v>0.53</v>
      </c>
      <c r="K25" s="52">
        <v>349.47</v>
      </c>
      <c r="L25" s="52">
        <v>29.3</v>
      </c>
      <c r="M25" s="52">
        <v>82.91</v>
      </c>
      <c r="N25" s="52">
        <v>183.1</v>
      </c>
      <c r="O25" s="52">
        <v>0</v>
      </c>
      <c r="P25" s="52">
        <v>0.53</v>
      </c>
      <c r="Q25" s="52">
        <v>9.64</v>
      </c>
      <c r="R25" s="43"/>
      <c r="S25" s="43"/>
      <c r="T25" s="43"/>
      <c r="U25" s="43"/>
    </row>
    <row r="26" spans="1:21" s="11" customFormat="1" x14ac:dyDescent="0.25">
      <c r="A26" s="51" t="s">
        <v>389</v>
      </c>
      <c r="B26" s="52">
        <v>18.53</v>
      </c>
      <c r="C26" s="52">
        <v>19.809999999999999</v>
      </c>
      <c r="D26" s="52">
        <v>23.42</v>
      </c>
      <c r="E26" s="52">
        <v>5.36</v>
      </c>
      <c r="F26" s="52">
        <v>12.57</v>
      </c>
      <c r="G26" s="52">
        <v>28.63</v>
      </c>
      <c r="H26" s="52">
        <v>6.83</v>
      </c>
      <c r="I26" s="52">
        <v>1.1599999999999999</v>
      </c>
      <c r="J26" s="52">
        <v>0.48</v>
      </c>
      <c r="K26" s="52">
        <v>338.3</v>
      </c>
      <c r="L26" s="52">
        <v>28.66</v>
      </c>
      <c r="M26" s="52">
        <v>84.07</v>
      </c>
      <c r="N26" s="52">
        <v>106.2</v>
      </c>
      <c r="O26" s="52">
        <v>0</v>
      </c>
      <c r="P26" s="52">
        <v>0.59</v>
      </c>
      <c r="Q26" s="52">
        <v>9.64</v>
      </c>
      <c r="R26" s="43"/>
      <c r="S26" s="43"/>
      <c r="T26" s="43"/>
      <c r="U26" s="43"/>
    </row>
    <row r="27" spans="1:21" s="11" customFormat="1" x14ac:dyDescent="0.25">
      <c r="A27" s="51" t="s">
        <v>390</v>
      </c>
      <c r="B27" s="52">
        <v>14.02</v>
      </c>
      <c r="C27" s="52">
        <v>21.7</v>
      </c>
      <c r="D27" s="52">
        <v>22.58</v>
      </c>
      <c r="E27" s="52">
        <v>5.66</v>
      </c>
      <c r="F27" s="52">
        <v>11.78</v>
      </c>
      <c r="G27" s="52">
        <v>30.14</v>
      </c>
      <c r="H27" s="52">
        <v>6.83</v>
      </c>
      <c r="I27" s="52">
        <v>1.26</v>
      </c>
      <c r="J27" s="52">
        <v>0.26</v>
      </c>
      <c r="K27" s="52">
        <v>354.43</v>
      </c>
      <c r="L27" s="52">
        <v>27.86</v>
      </c>
      <c r="M27" s="52">
        <v>91.74</v>
      </c>
      <c r="N27" s="52">
        <v>62.1</v>
      </c>
      <c r="O27" s="52">
        <v>0</v>
      </c>
      <c r="P27" s="52">
        <v>0.68</v>
      </c>
      <c r="Q27" s="52">
        <v>9.6300000000000008</v>
      </c>
      <c r="R27" s="43"/>
      <c r="S27" s="43"/>
      <c r="T27" s="43"/>
      <c r="U27" s="43"/>
    </row>
    <row r="28" spans="1:21" s="11" customFormat="1" x14ac:dyDescent="0.25">
      <c r="A28" s="51" t="s">
        <v>391</v>
      </c>
      <c r="B28" s="52">
        <v>9.48</v>
      </c>
      <c r="C28" s="52">
        <v>21.47</v>
      </c>
      <c r="D28" s="52">
        <v>18.82</v>
      </c>
      <c r="E28" s="52">
        <v>5.51</v>
      </c>
      <c r="F28" s="52">
        <v>14.22</v>
      </c>
      <c r="G28" s="52">
        <v>34.69</v>
      </c>
      <c r="H28" s="52">
        <v>5.15</v>
      </c>
      <c r="I28" s="52">
        <v>1.4</v>
      </c>
      <c r="J28" s="52">
        <v>0.4</v>
      </c>
      <c r="K28" s="52">
        <v>135.36000000000001</v>
      </c>
      <c r="L28" s="52">
        <v>27.41</v>
      </c>
      <c r="M28" s="52">
        <v>92.36</v>
      </c>
      <c r="N28" s="52">
        <v>44.1</v>
      </c>
      <c r="O28" s="52">
        <v>0</v>
      </c>
      <c r="P28" s="52">
        <v>0.87</v>
      </c>
      <c r="Q28" s="52">
        <v>9.65</v>
      </c>
      <c r="R28" s="43"/>
      <c r="S28" s="43"/>
      <c r="T28" s="43"/>
      <c r="U28" s="43"/>
    </row>
    <row r="29" spans="1:21" s="11" customFormat="1" x14ac:dyDescent="0.25">
      <c r="A29" s="51" t="s">
        <v>392</v>
      </c>
      <c r="B29" s="52">
        <v>11.48</v>
      </c>
      <c r="C29" s="52">
        <v>20.13</v>
      </c>
      <c r="D29" s="52">
        <v>15.53</v>
      </c>
      <c r="E29" s="52">
        <v>5.65</v>
      </c>
      <c r="F29" s="52">
        <v>12.96</v>
      </c>
      <c r="G29" s="52">
        <v>34.69</v>
      </c>
      <c r="H29" s="52">
        <v>96.9</v>
      </c>
      <c r="I29" s="52">
        <v>1.31</v>
      </c>
      <c r="J29" s="52">
        <v>0.44</v>
      </c>
      <c r="K29" s="52">
        <v>132.80000000000001</v>
      </c>
      <c r="L29" s="52">
        <v>27.04</v>
      </c>
      <c r="M29" s="52">
        <v>96.11</v>
      </c>
      <c r="N29" s="52">
        <v>44.1</v>
      </c>
      <c r="O29" s="52">
        <v>0</v>
      </c>
      <c r="P29" s="52">
        <v>0.89</v>
      </c>
      <c r="Q29" s="52">
        <v>9.66</v>
      </c>
      <c r="R29" s="43"/>
      <c r="S29" s="43"/>
      <c r="T29" s="43"/>
      <c r="U29" s="43"/>
    </row>
    <row r="30" spans="1:21" s="11" customFormat="1" x14ac:dyDescent="0.25">
      <c r="A30" s="51" t="s">
        <v>393</v>
      </c>
      <c r="B30" s="52">
        <v>19.02</v>
      </c>
      <c r="C30" s="52">
        <v>22.28</v>
      </c>
      <c r="D30" s="52">
        <v>25.17</v>
      </c>
      <c r="E30" s="52">
        <v>5.76</v>
      </c>
      <c r="F30" s="52">
        <v>11.41</v>
      </c>
      <c r="G30" s="52">
        <v>34.5</v>
      </c>
      <c r="H30" s="52">
        <v>96.9</v>
      </c>
      <c r="I30" s="52">
        <v>1.42</v>
      </c>
      <c r="J30" s="52">
        <v>0.15</v>
      </c>
      <c r="K30" s="52">
        <v>354.93</v>
      </c>
      <c r="L30" s="52">
        <v>26.77</v>
      </c>
      <c r="M30" s="52">
        <v>97.63</v>
      </c>
      <c r="N30" s="52">
        <v>44.3</v>
      </c>
      <c r="O30" s="52">
        <v>0</v>
      </c>
      <c r="P30" s="52">
        <v>1.17</v>
      </c>
      <c r="Q30" s="52">
        <v>9.65</v>
      </c>
      <c r="R30" s="43"/>
      <c r="S30" s="43"/>
      <c r="T30" s="43"/>
      <c r="U30" s="43"/>
    </row>
    <row r="31" spans="1:21" s="11" customFormat="1" x14ac:dyDescent="0.25">
      <c r="A31" s="51" t="s">
        <v>394</v>
      </c>
      <c r="B31" s="52">
        <v>18.57</v>
      </c>
      <c r="C31" s="52">
        <v>16.25</v>
      </c>
      <c r="D31" s="52">
        <v>22.74</v>
      </c>
      <c r="E31" s="52">
        <v>5.47</v>
      </c>
      <c r="F31" s="52">
        <v>10.96</v>
      </c>
      <c r="G31" s="52">
        <v>36.979999999999997</v>
      </c>
      <c r="H31" s="52">
        <v>19.57</v>
      </c>
      <c r="I31" s="52">
        <v>1.53</v>
      </c>
      <c r="J31" s="52">
        <v>0.43</v>
      </c>
      <c r="K31" s="52">
        <v>344.46</v>
      </c>
      <c r="L31" s="52">
        <v>26.79</v>
      </c>
      <c r="M31" s="52">
        <v>97.63</v>
      </c>
      <c r="N31" s="52">
        <v>44.6</v>
      </c>
      <c r="O31" s="52">
        <v>0</v>
      </c>
      <c r="P31" s="52">
        <v>0.69</v>
      </c>
      <c r="Q31" s="52">
        <v>9.65</v>
      </c>
      <c r="R31" s="43"/>
      <c r="S31" s="43"/>
      <c r="T31" s="43"/>
      <c r="U31" s="43"/>
    </row>
    <row r="32" spans="1:21" s="11" customFormat="1" x14ac:dyDescent="0.25">
      <c r="A32" s="51" t="s">
        <v>395</v>
      </c>
      <c r="B32" s="52">
        <v>10.09</v>
      </c>
      <c r="C32" s="52">
        <v>17.62</v>
      </c>
      <c r="D32" s="52">
        <v>16.29</v>
      </c>
      <c r="E32" s="52">
        <v>5.68</v>
      </c>
      <c r="F32" s="52">
        <v>10.49</v>
      </c>
      <c r="G32" s="52">
        <v>41.74</v>
      </c>
      <c r="H32" s="52">
        <v>11.54</v>
      </c>
      <c r="I32" s="52">
        <v>1.68</v>
      </c>
      <c r="J32" s="52">
        <v>0.13</v>
      </c>
      <c r="K32" s="52">
        <v>335.46</v>
      </c>
      <c r="L32" s="52">
        <v>26.54</v>
      </c>
      <c r="M32" s="52">
        <v>97.68</v>
      </c>
      <c r="N32" s="52">
        <v>44.8</v>
      </c>
      <c r="O32" s="52">
        <v>0</v>
      </c>
      <c r="P32" s="52">
        <v>0.75</v>
      </c>
      <c r="Q32" s="52">
        <v>9.64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7.69</v>
      </c>
      <c r="C34" s="28">
        <f t="shared" si="0"/>
        <v>5.25</v>
      </c>
      <c r="D34" s="28">
        <f t="shared" si="0"/>
        <v>9.1199999999999992</v>
      </c>
      <c r="E34" s="28">
        <f t="shared" si="0"/>
        <v>5.0999999999999996</v>
      </c>
      <c r="F34" s="28">
        <f t="shared" si="0"/>
        <v>5.27</v>
      </c>
      <c r="G34" s="28">
        <f t="shared" si="0"/>
        <v>13.37</v>
      </c>
      <c r="H34" s="28">
        <f t="shared" si="0"/>
        <v>3.05</v>
      </c>
      <c r="I34" s="28">
        <f t="shared" si="0"/>
        <v>0.95</v>
      </c>
      <c r="J34" s="28">
        <f t="shared" si="0"/>
        <v>0.13</v>
      </c>
      <c r="K34" s="28">
        <f t="shared" si="0"/>
        <v>119.57</v>
      </c>
      <c r="L34" s="28">
        <f t="shared" si="0"/>
        <v>23.83</v>
      </c>
      <c r="M34" s="28">
        <f t="shared" si="0"/>
        <v>78.290000000000006</v>
      </c>
      <c r="N34" s="28">
        <f t="shared" si="0"/>
        <v>44.1</v>
      </c>
      <c r="O34" s="28">
        <f t="shared" si="0"/>
        <v>0</v>
      </c>
      <c r="P34" s="28">
        <f t="shared" si="0"/>
        <v>0.24</v>
      </c>
      <c r="Q34" s="28">
        <f t="shared" si="0"/>
        <v>9.6300000000000008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20.95</v>
      </c>
      <c r="C35" s="29">
        <f t="shared" si="1"/>
        <v>22.28</v>
      </c>
      <c r="D35" s="29">
        <f t="shared" si="1"/>
        <v>25.17</v>
      </c>
      <c r="E35" s="29">
        <f t="shared" si="1"/>
        <v>5.76</v>
      </c>
      <c r="F35" s="29">
        <f t="shared" si="1"/>
        <v>14.68</v>
      </c>
      <c r="G35" s="29">
        <f t="shared" si="1"/>
        <v>54.21</v>
      </c>
      <c r="H35" s="29">
        <f t="shared" si="1"/>
        <v>96.9</v>
      </c>
      <c r="I35" s="29">
        <f t="shared" si="1"/>
        <v>2.2000000000000002</v>
      </c>
      <c r="J35" s="29">
        <f t="shared" si="1"/>
        <v>1.42</v>
      </c>
      <c r="K35" s="29">
        <f t="shared" si="1"/>
        <v>359.09</v>
      </c>
      <c r="L35" s="29">
        <f t="shared" si="1"/>
        <v>30.5</v>
      </c>
      <c r="M35" s="29">
        <f t="shared" si="1"/>
        <v>97.82</v>
      </c>
      <c r="N35" s="29">
        <f t="shared" si="1"/>
        <v>791.7</v>
      </c>
      <c r="O35" s="29">
        <f t="shared" si="1"/>
        <v>0</v>
      </c>
      <c r="P35" s="29">
        <f t="shared" si="1"/>
        <v>1.17</v>
      </c>
      <c r="Q35" s="29">
        <f t="shared" si="1"/>
        <v>9.69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12.071666666666664</v>
      </c>
      <c r="C36" s="28">
        <f t="shared" si="2"/>
        <v>11.313749999999999</v>
      </c>
      <c r="D36" s="28">
        <f t="shared" si="2"/>
        <v>14.905416666666667</v>
      </c>
      <c r="E36" s="28">
        <f t="shared" si="2"/>
        <v>5.4354166666666677</v>
      </c>
      <c r="F36" s="28">
        <f t="shared" si="2"/>
        <v>10.20125</v>
      </c>
      <c r="G36" s="28">
        <f t="shared" si="2"/>
        <v>24.771666666666665</v>
      </c>
      <c r="H36" s="28">
        <f t="shared" si="2"/>
        <v>13.800000000000002</v>
      </c>
      <c r="I36" s="28">
        <f t="shared" si="2"/>
        <v>1.3774999999999997</v>
      </c>
      <c r="J36" s="28">
        <f t="shared" si="2"/>
        <v>0.62875000000000003</v>
      </c>
      <c r="K36" s="28">
        <f t="shared" si="2"/>
        <v>231.66958333333335</v>
      </c>
      <c r="L36" s="28">
        <f t="shared" si="2"/>
        <v>26.970416666666662</v>
      </c>
      <c r="M36" s="28">
        <f t="shared" si="2"/>
        <v>92.827916666666638</v>
      </c>
      <c r="N36" s="28">
        <f t="shared" si="2"/>
        <v>233.20000000000007</v>
      </c>
      <c r="O36" s="28">
        <f t="shared" si="2"/>
        <v>0</v>
      </c>
      <c r="P36" s="28">
        <f t="shared" si="2"/>
        <v>0.4695833333333333</v>
      </c>
      <c r="Q36" s="28">
        <f t="shared" si="2"/>
        <v>9.6566666666666645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3.8338806162568826</v>
      </c>
      <c r="C37" s="28">
        <f t="shared" ref="C37:Q37" si="3">STDEV(C9:C32)</f>
        <v>6.2657251306647268</v>
      </c>
      <c r="D37" s="28">
        <f t="shared" si="3"/>
        <v>5.1553812992425412</v>
      </c>
      <c r="E37" s="28">
        <f t="shared" si="3"/>
        <v>0.17420575457640952</v>
      </c>
      <c r="F37" s="28">
        <f t="shared" si="3"/>
        <v>2.6033545458320364</v>
      </c>
      <c r="G37" s="28">
        <f t="shared" si="3"/>
        <v>11.507352533004305</v>
      </c>
      <c r="H37" s="28">
        <f t="shared" si="3"/>
        <v>25.825384209440475</v>
      </c>
      <c r="I37" s="28">
        <f t="shared" si="3"/>
        <v>0.32839861780146584</v>
      </c>
      <c r="J37" s="28">
        <f t="shared" si="3"/>
        <v>0.43797272597235121</v>
      </c>
      <c r="K37" s="28">
        <f t="shared" si="3"/>
        <v>105.68825682285438</v>
      </c>
      <c r="L37" s="28">
        <f t="shared" si="3"/>
        <v>2.2804966643763995</v>
      </c>
      <c r="M37" s="28">
        <f t="shared" si="3"/>
        <v>6.6408144990012286</v>
      </c>
      <c r="N37" s="28">
        <f t="shared" si="3"/>
        <v>263.08363689138855</v>
      </c>
      <c r="O37" s="28">
        <f t="shared" si="3"/>
        <v>0</v>
      </c>
      <c r="P37" s="28">
        <f t="shared" si="3"/>
        <v>0.24951220527202705</v>
      </c>
      <c r="Q37" s="28">
        <f t="shared" si="3"/>
        <v>1.9486152645597336E-2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D10" sqref="D1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1" t="s">
        <v>396</v>
      </c>
      <c r="B9" s="52">
        <v>6.5</v>
      </c>
      <c r="C9" s="52">
        <v>12.97</v>
      </c>
      <c r="D9" s="52">
        <v>11.85</v>
      </c>
      <c r="E9" s="52">
        <v>4</v>
      </c>
      <c r="F9" s="52">
        <v>11</v>
      </c>
      <c r="G9" s="52">
        <v>41.74</v>
      </c>
      <c r="H9" s="52">
        <v>11.54</v>
      </c>
      <c r="I9" s="52">
        <v>1.73</v>
      </c>
      <c r="J9" s="52">
        <v>0.35</v>
      </c>
      <c r="K9" s="52">
        <v>337.26</v>
      </c>
      <c r="L9" s="52">
        <v>26.53</v>
      </c>
      <c r="M9" s="52">
        <v>97.68</v>
      </c>
      <c r="N9" s="52">
        <v>44.9</v>
      </c>
      <c r="O9" s="52">
        <v>0</v>
      </c>
      <c r="P9" s="52">
        <v>0.41</v>
      </c>
      <c r="Q9" s="52">
        <v>9.66</v>
      </c>
      <c r="R9" s="43"/>
      <c r="S9" s="43"/>
      <c r="T9" s="43"/>
      <c r="U9" s="43"/>
    </row>
    <row r="10" spans="1:21" s="11" customFormat="1" x14ac:dyDescent="0.25">
      <c r="A10" s="51" t="s">
        <v>397</v>
      </c>
      <c r="B10" s="52">
        <v>5.67</v>
      </c>
      <c r="C10" s="52">
        <v>10.38</v>
      </c>
      <c r="D10" s="52">
        <v>9.9700000000000006</v>
      </c>
      <c r="E10" s="52">
        <v>3.79</v>
      </c>
      <c r="F10" s="52">
        <v>9.09</v>
      </c>
      <c r="G10" s="52">
        <v>35.619999999999997</v>
      </c>
      <c r="H10" s="52">
        <v>8.31</v>
      </c>
      <c r="I10" s="52">
        <v>1.65</v>
      </c>
      <c r="J10" s="52">
        <v>0.09</v>
      </c>
      <c r="K10" s="52">
        <v>198.1</v>
      </c>
      <c r="L10" s="52">
        <v>26.17</v>
      </c>
      <c r="M10" s="52">
        <v>97.75</v>
      </c>
      <c r="N10" s="52">
        <v>44.9</v>
      </c>
      <c r="O10" s="52">
        <v>0</v>
      </c>
      <c r="P10" s="52">
        <v>0.28999999999999998</v>
      </c>
      <c r="Q10" s="52">
        <v>9.66</v>
      </c>
      <c r="R10" s="43"/>
      <c r="S10" s="43"/>
      <c r="T10" s="43"/>
      <c r="U10" s="43"/>
    </row>
    <row r="11" spans="1:21" s="11" customFormat="1" x14ac:dyDescent="0.25">
      <c r="A11" s="51" t="s">
        <v>398</v>
      </c>
      <c r="B11" s="52">
        <v>7.12</v>
      </c>
      <c r="C11" s="52">
        <v>9.18</v>
      </c>
      <c r="D11" s="52">
        <v>10.32</v>
      </c>
      <c r="E11" s="52">
        <v>3.47</v>
      </c>
      <c r="F11" s="52">
        <v>7.57</v>
      </c>
      <c r="G11" s="52">
        <v>36.43</v>
      </c>
      <c r="H11" s="52">
        <v>16.34</v>
      </c>
      <c r="I11" s="52">
        <v>1.61</v>
      </c>
      <c r="J11" s="52">
        <v>0.28999999999999998</v>
      </c>
      <c r="K11" s="52">
        <v>159.13999999999999</v>
      </c>
      <c r="L11" s="52">
        <v>25.33</v>
      </c>
      <c r="M11" s="52">
        <v>97.78</v>
      </c>
      <c r="N11" s="52">
        <v>44.9</v>
      </c>
      <c r="O11" s="52">
        <v>0</v>
      </c>
      <c r="P11" s="52">
        <v>0.26</v>
      </c>
      <c r="Q11" s="52">
        <v>9.66</v>
      </c>
      <c r="R11" s="43"/>
      <c r="S11" s="43"/>
      <c r="T11" s="43"/>
      <c r="U11" s="43"/>
    </row>
    <row r="12" spans="1:21" s="11" customFormat="1" x14ac:dyDescent="0.25">
      <c r="A12" s="51" t="s">
        <v>399</v>
      </c>
      <c r="B12" s="52">
        <v>16.53</v>
      </c>
      <c r="C12" s="52">
        <v>17.600000000000001</v>
      </c>
      <c r="D12" s="52">
        <v>20.5</v>
      </c>
      <c r="E12" s="52">
        <v>3.56</v>
      </c>
      <c r="F12" s="52">
        <v>3.39</v>
      </c>
      <c r="G12" s="52">
        <v>36.43</v>
      </c>
      <c r="H12" s="52">
        <v>16.34</v>
      </c>
      <c r="I12" s="52">
        <v>1.68</v>
      </c>
      <c r="J12" s="52">
        <v>0.4</v>
      </c>
      <c r="K12" s="52">
        <v>337.77</v>
      </c>
      <c r="L12" s="52">
        <v>25.1</v>
      </c>
      <c r="M12" s="52">
        <v>97.76</v>
      </c>
      <c r="N12" s="52">
        <v>45.2</v>
      </c>
      <c r="O12" s="52">
        <v>0</v>
      </c>
      <c r="P12" s="52">
        <v>0.27</v>
      </c>
      <c r="Q12" s="52">
        <v>9.6300000000000008</v>
      </c>
      <c r="R12" s="43"/>
      <c r="S12" s="43"/>
      <c r="T12" s="43"/>
      <c r="U12" s="43"/>
    </row>
    <row r="13" spans="1:21" s="11" customFormat="1" x14ac:dyDescent="0.25">
      <c r="A13" s="51" t="s">
        <v>400</v>
      </c>
      <c r="B13" s="52">
        <v>13.49</v>
      </c>
      <c r="C13" s="52">
        <v>15.78</v>
      </c>
      <c r="D13" s="52">
        <v>18.559999999999999</v>
      </c>
      <c r="E13" s="52">
        <v>3.58</v>
      </c>
      <c r="F13" s="52">
        <v>3.37</v>
      </c>
      <c r="G13" s="52">
        <v>31.41</v>
      </c>
      <c r="H13" s="52">
        <v>20.74</v>
      </c>
      <c r="I13" s="52">
        <v>1.68</v>
      </c>
      <c r="J13" s="52">
        <v>0.51</v>
      </c>
      <c r="K13" s="52">
        <v>341.03</v>
      </c>
      <c r="L13" s="52">
        <v>24.88</v>
      </c>
      <c r="M13" s="52">
        <v>97.75</v>
      </c>
      <c r="N13" s="52">
        <v>45.3</v>
      </c>
      <c r="O13" s="52">
        <v>0</v>
      </c>
      <c r="P13" s="52">
        <v>0.27</v>
      </c>
      <c r="Q13" s="52">
        <v>9.65</v>
      </c>
      <c r="R13" s="43"/>
      <c r="S13" s="43"/>
      <c r="T13" s="43"/>
      <c r="U13" s="43"/>
    </row>
    <row r="14" spans="1:21" s="11" customFormat="1" x14ac:dyDescent="0.25">
      <c r="A14" s="51" t="s">
        <v>401</v>
      </c>
      <c r="B14" s="52">
        <v>16.079999999999998</v>
      </c>
      <c r="C14" s="52">
        <v>14.08</v>
      </c>
      <c r="D14" s="52">
        <v>19.829999999999998</v>
      </c>
      <c r="E14" s="52">
        <v>3.37</v>
      </c>
      <c r="F14" s="52">
        <v>3.77</v>
      </c>
      <c r="G14" s="52">
        <v>25.91</v>
      </c>
      <c r="H14" s="52">
        <v>20.74</v>
      </c>
      <c r="I14" s="52">
        <v>1.51</v>
      </c>
      <c r="J14" s="52">
        <v>0.76</v>
      </c>
      <c r="K14" s="52">
        <v>341.4</v>
      </c>
      <c r="L14" s="52">
        <v>24.87</v>
      </c>
      <c r="M14" s="52">
        <v>97.75</v>
      </c>
      <c r="N14" s="52">
        <v>54.4</v>
      </c>
      <c r="O14" s="52">
        <v>0.2</v>
      </c>
      <c r="P14" s="52">
        <v>0.36</v>
      </c>
      <c r="Q14" s="52">
        <v>9.66</v>
      </c>
      <c r="R14" s="43"/>
      <c r="S14" s="43"/>
      <c r="T14" s="43"/>
      <c r="U14" s="43"/>
    </row>
    <row r="15" spans="1:21" s="11" customFormat="1" x14ac:dyDescent="0.25">
      <c r="A15" s="51" t="s">
        <v>402</v>
      </c>
      <c r="B15" s="52">
        <v>24.55</v>
      </c>
      <c r="C15" s="52">
        <v>12.06</v>
      </c>
      <c r="D15" s="52">
        <v>25.39</v>
      </c>
      <c r="E15" s="52">
        <v>3.53</v>
      </c>
      <c r="F15" s="52">
        <v>6.2</v>
      </c>
      <c r="G15" s="52">
        <v>28.9</v>
      </c>
      <c r="H15" s="52">
        <v>5.2</v>
      </c>
      <c r="I15" s="52">
        <v>1.58</v>
      </c>
      <c r="J15" s="52">
        <v>0.67</v>
      </c>
      <c r="K15" s="52">
        <v>340.8</v>
      </c>
      <c r="L15" s="52">
        <v>26.96</v>
      </c>
      <c r="M15" s="52">
        <v>97.75</v>
      </c>
      <c r="N15" s="52">
        <v>225.3</v>
      </c>
      <c r="O15" s="52">
        <v>0</v>
      </c>
      <c r="P15" s="52">
        <v>0.44</v>
      </c>
      <c r="Q15" s="52">
        <v>9.67</v>
      </c>
      <c r="R15" s="43"/>
      <c r="S15" s="43"/>
      <c r="T15" s="43"/>
      <c r="U15" s="43"/>
    </row>
    <row r="16" spans="1:21" s="11" customFormat="1" x14ac:dyDescent="0.25">
      <c r="A16" s="51" t="s">
        <v>403</v>
      </c>
      <c r="B16" s="52">
        <v>19.329999999999998</v>
      </c>
      <c r="C16" s="52">
        <v>9.57</v>
      </c>
      <c r="D16" s="52">
        <v>20.2</v>
      </c>
      <c r="E16" s="52">
        <v>3.83</v>
      </c>
      <c r="F16" s="52">
        <v>6.71</v>
      </c>
      <c r="G16" s="52">
        <v>31.03</v>
      </c>
      <c r="H16" s="52">
        <v>6.45</v>
      </c>
      <c r="I16" s="52">
        <v>1.65</v>
      </c>
      <c r="J16" s="52">
        <v>0.49</v>
      </c>
      <c r="K16" s="52">
        <v>157.13</v>
      </c>
      <c r="L16" s="52">
        <v>27.02</v>
      </c>
      <c r="M16" s="52">
        <v>97.68</v>
      </c>
      <c r="N16" s="52">
        <v>276.7</v>
      </c>
      <c r="O16" s="52">
        <v>0</v>
      </c>
      <c r="P16" s="52">
        <v>0.43</v>
      </c>
      <c r="Q16" s="52">
        <v>9.67</v>
      </c>
      <c r="R16" s="43"/>
      <c r="S16" s="43"/>
      <c r="T16" s="43"/>
      <c r="U16" s="43"/>
    </row>
    <row r="17" spans="1:21" s="11" customFormat="1" x14ac:dyDescent="0.25">
      <c r="A17" s="51" t="s">
        <v>404</v>
      </c>
      <c r="B17" s="52">
        <v>19.260000000000002</v>
      </c>
      <c r="C17" s="52">
        <v>8.76</v>
      </c>
      <c r="D17" s="52">
        <v>19.72</v>
      </c>
      <c r="E17" s="52">
        <v>4.2300000000000004</v>
      </c>
      <c r="F17" s="52">
        <v>9.06</v>
      </c>
      <c r="G17" s="52">
        <v>31.03</v>
      </c>
      <c r="H17" s="52">
        <v>6.45</v>
      </c>
      <c r="I17" s="52">
        <v>1.68</v>
      </c>
      <c r="J17" s="52">
        <v>0.71</v>
      </c>
      <c r="K17" s="52">
        <v>339.77</v>
      </c>
      <c r="L17" s="52">
        <v>29.02</v>
      </c>
      <c r="M17" s="52">
        <v>91.81</v>
      </c>
      <c r="N17" s="52">
        <v>461.7</v>
      </c>
      <c r="O17" s="52">
        <v>0</v>
      </c>
      <c r="P17" s="52">
        <v>0.46</v>
      </c>
      <c r="Q17" s="52">
        <v>9.67</v>
      </c>
      <c r="R17" s="43"/>
      <c r="S17" s="43"/>
      <c r="T17" s="43"/>
      <c r="U17" s="43"/>
    </row>
    <row r="18" spans="1:21" s="11" customFormat="1" x14ac:dyDescent="0.25">
      <c r="A18" s="51" t="s">
        <v>405</v>
      </c>
      <c r="B18" s="52">
        <v>16.8</v>
      </c>
      <c r="C18" s="52">
        <v>10.36</v>
      </c>
      <c r="D18" s="52">
        <v>18.88</v>
      </c>
      <c r="E18" s="52">
        <v>4.22</v>
      </c>
      <c r="F18" s="52">
        <v>8.49</v>
      </c>
      <c r="G18" s="52">
        <v>30.12</v>
      </c>
      <c r="H18" s="52">
        <v>4.32</v>
      </c>
      <c r="I18" s="52">
        <v>1.65</v>
      </c>
      <c r="J18" s="52">
        <v>0.65</v>
      </c>
      <c r="K18" s="52">
        <v>127.04</v>
      </c>
      <c r="L18" s="52">
        <v>29.23</v>
      </c>
      <c r="M18" s="52">
        <v>89.46</v>
      </c>
      <c r="N18" s="52">
        <v>668.2</v>
      </c>
      <c r="O18" s="52">
        <v>0</v>
      </c>
      <c r="P18" s="52">
        <v>0.48</v>
      </c>
      <c r="Q18" s="52">
        <v>9.68</v>
      </c>
      <c r="R18" s="43"/>
      <c r="S18" s="43"/>
      <c r="T18" s="43"/>
      <c r="U18" s="43"/>
    </row>
    <row r="19" spans="1:21" s="11" customFormat="1" x14ac:dyDescent="0.25">
      <c r="A19" s="51" t="s">
        <v>406</v>
      </c>
      <c r="B19" s="52">
        <v>13.44</v>
      </c>
      <c r="C19" s="52">
        <v>9.5299999999999994</v>
      </c>
      <c r="D19" s="52">
        <v>15.47</v>
      </c>
      <c r="E19" s="52">
        <v>4.4400000000000004</v>
      </c>
      <c r="F19" s="52">
        <v>13.8</v>
      </c>
      <c r="G19" s="52">
        <v>34.049999999999997</v>
      </c>
      <c r="H19" s="52">
        <v>11.93</v>
      </c>
      <c r="I19" s="52">
        <v>1.56</v>
      </c>
      <c r="J19" s="52">
        <v>0.7</v>
      </c>
      <c r="K19" s="52">
        <v>134.36000000000001</v>
      </c>
      <c r="L19" s="52">
        <v>30.11</v>
      </c>
      <c r="M19" s="52">
        <v>83.93</v>
      </c>
      <c r="N19" s="52">
        <v>692.1</v>
      </c>
      <c r="O19" s="52">
        <v>0</v>
      </c>
      <c r="P19" s="52">
        <v>0.45</v>
      </c>
      <c r="Q19" s="52">
        <v>9.69</v>
      </c>
      <c r="R19" s="43"/>
      <c r="S19" s="43"/>
      <c r="T19" s="43"/>
      <c r="U19" s="43"/>
    </row>
    <row r="20" spans="1:21" s="11" customFormat="1" x14ac:dyDescent="0.25">
      <c r="A20" s="51" t="s">
        <v>407</v>
      </c>
      <c r="B20" s="52">
        <v>9.83</v>
      </c>
      <c r="C20" s="52">
        <v>8.3699999999999992</v>
      </c>
      <c r="D20" s="52">
        <v>12.13</v>
      </c>
      <c r="E20" s="52">
        <v>4.26</v>
      </c>
      <c r="F20" s="52">
        <v>16.399999999999999</v>
      </c>
      <c r="G20" s="52">
        <v>34.049999999999997</v>
      </c>
      <c r="H20" s="52">
        <v>11.93</v>
      </c>
      <c r="I20" s="52">
        <v>1.52</v>
      </c>
      <c r="J20" s="52">
        <v>0.93</v>
      </c>
      <c r="K20" s="52">
        <v>129.80000000000001</v>
      </c>
      <c r="L20" s="52">
        <v>29.87</v>
      </c>
      <c r="M20" s="52">
        <v>86.66</v>
      </c>
      <c r="N20" s="52">
        <v>631.29999999999995</v>
      </c>
      <c r="O20" s="52">
        <v>0</v>
      </c>
      <c r="P20" s="52">
        <v>0.36</v>
      </c>
      <c r="Q20" s="52">
        <v>9.68</v>
      </c>
      <c r="R20" s="43"/>
      <c r="S20" s="43"/>
      <c r="T20" s="43"/>
      <c r="U20" s="43"/>
    </row>
    <row r="21" spans="1:21" s="11" customFormat="1" x14ac:dyDescent="0.25">
      <c r="A21" s="51" t="s">
        <v>408</v>
      </c>
      <c r="B21" s="52">
        <v>11.08</v>
      </c>
      <c r="C21" s="52">
        <v>11.11</v>
      </c>
      <c r="D21" s="52">
        <v>14.68</v>
      </c>
      <c r="E21" s="52">
        <v>4.57</v>
      </c>
      <c r="F21" s="52">
        <v>18.190000000000001</v>
      </c>
      <c r="G21" s="52">
        <v>28.63</v>
      </c>
      <c r="H21" s="52">
        <v>15.83</v>
      </c>
      <c r="I21" s="52">
        <v>1.5</v>
      </c>
      <c r="J21" s="52">
        <v>0.89</v>
      </c>
      <c r="K21" s="52">
        <v>134.25</v>
      </c>
      <c r="L21" s="52">
        <v>29.8</v>
      </c>
      <c r="M21" s="52">
        <v>81.709999999999994</v>
      </c>
      <c r="N21" s="52">
        <v>490.9</v>
      </c>
      <c r="O21" s="52">
        <v>0</v>
      </c>
      <c r="P21" s="52">
        <v>0.4</v>
      </c>
      <c r="Q21" s="52">
        <v>9.64</v>
      </c>
      <c r="R21" s="43"/>
      <c r="S21" s="43"/>
      <c r="T21" s="43"/>
      <c r="U21" s="43"/>
    </row>
    <row r="22" spans="1:21" s="11" customFormat="1" x14ac:dyDescent="0.25">
      <c r="A22" s="51" t="s">
        <v>409</v>
      </c>
      <c r="B22" s="52">
        <v>13.44</v>
      </c>
      <c r="C22" s="52">
        <v>13.34</v>
      </c>
      <c r="D22" s="52">
        <v>17.309999999999999</v>
      </c>
      <c r="E22" s="52">
        <v>4.66</v>
      </c>
      <c r="F22" s="52">
        <v>17.559999999999999</v>
      </c>
      <c r="G22" s="52">
        <v>28.63</v>
      </c>
      <c r="H22" s="52">
        <v>15.83</v>
      </c>
      <c r="I22" s="52">
        <v>1.49</v>
      </c>
      <c r="J22" s="52">
        <v>1.1399999999999999</v>
      </c>
      <c r="K22" s="52">
        <v>127.38</v>
      </c>
      <c r="L22" s="52">
        <v>30.11</v>
      </c>
      <c r="M22" s="52">
        <v>82.82</v>
      </c>
      <c r="N22" s="52">
        <v>420.9</v>
      </c>
      <c r="O22" s="52">
        <v>0</v>
      </c>
      <c r="P22" s="52">
        <v>0.39</v>
      </c>
      <c r="Q22" s="52">
        <v>9.64</v>
      </c>
      <c r="R22" s="43"/>
      <c r="S22" s="43"/>
      <c r="T22" s="43"/>
      <c r="U22" s="43"/>
    </row>
    <row r="23" spans="1:21" s="11" customFormat="1" x14ac:dyDescent="0.25">
      <c r="A23" s="51" t="s">
        <v>410</v>
      </c>
      <c r="B23" s="52">
        <v>10.79</v>
      </c>
      <c r="C23" s="52">
        <v>12.27</v>
      </c>
      <c r="D23" s="52">
        <v>14.9</v>
      </c>
      <c r="E23" s="52">
        <v>4.53</v>
      </c>
      <c r="F23" s="52">
        <v>18.57</v>
      </c>
      <c r="G23" s="52">
        <v>28.16</v>
      </c>
      <c r="H23" s="52">
        <v>5.88</v>
      </c>
      <c r="I23" s="52">
        <v>1.32</v>
      </c>
      <c r="J23" s="52">
        <v>1.05</v>
      </c>
      <c r="K23" s="52">
        <v>128.66999999999999</v>
      </c>
      <c r="L23" s="52">
        <v>29.48</v>
      </c>
      <c r="M23" s="52">
        <v>82.67</v>
      </c>
      <c r="N23" s="52">
        <v>304.39999999999998</v>
      </c>
      <c r="O23" s="52">
        <v>0</v>
      </c>
      <c r="P23" s="52">
        <v>0.39</v>
      </c>
      <c r="Q23" s="52">
        <v>9.65</v>
      </c>
      <c r="R23" s="43"/>
      <c r="S23" s="43"/>
      <c r="T23" s="43"/>
      <c r="U23" s="43"/>
    </row>
    <row r="24" spans="1:21" s="11" customFormat="1" x14ac:dyDescent="0.25">
      <c r="A24" s="51" t="s">
        <v>411</v>
      </c>
      <c r="B24" s="52">
        <v>10.42</v>
      </c>
      <c r="C24" s="52">
        <v>10.71</v>
      </c>
      <c r="D24" s="52">
        <v>13.79</v>
      </c>
      <c r="E24" s="52">
        <v>4.84</v>
      </c>
      <c r="F24" s="52">
        <v>18.79</v>
      </c>
      <c r="G24" s="52">
        <v>29.75</v>
      </c>
      <c r="H24" s="52">
        <v>13.59</v>
      </c>
      <c r="I24" s="52">
        <v>1.27</v>
      </c>
      <c r="J24" s="52">
        <v>0.36</v>
      </c>
      <c r="K24" s="52">
        <v>120.63</v>
      </c>
      <c r="L24" s="52">
        <v>30.17</v>
      </c>
      <c r="M24" s="52">
        <v>79.06</v>
      </c>
      <c r="N24" s="52">
        <v>243.8</v>
      </c>
      <c r="O24" s="52">
        <v>0</v>
      </c>
      <c r="P24" s="52">
        <v>0.36</v>
      </c>
      <c r="Q24" s="52">
        <v>9.6199999999999992</v>
      </c>
      <c r="R24" s="43"/>
      <c r="S24" s="43"/>
      <c r="T24" s="43"/>
      <c r="U24" s="43"/>
    </row>
    <row r="25" spans="1:21" s="11" customFormat="1" x14ac:dyDescent="0.25">
      <c r="A25" s="51" t="s">
        <v>412</v>
      </c>
      <c r="B25" s="52">
        <v>6.32</v>
      </c>
      <c r="C25" s="52">
        <v>11.03</v>
      </c>
      <c r="D25" s="52">
        <v>10.41</v>
      </c>
      <c r="E25" s="52">
        <v>4.91</v>
      </c>
      <c r="F25" s="52">
        <v>19.71</v>
      </c>
      <c r="G25" s="52">
        <v>29.75</v>
      </c>
      <c r="H25" s="52">
        <v>13.59</v>
      </c>
      <c r="I25" s="52">
        <v>1.27</v>
      </c>
      <c r="J25" s="52">
        <v>1.1499999999999999</v>
      </c>
      <c r="K25" s="52">
        <v>129.80000000000001</v>
      </c>
      <c r="L25" s="52">
        <v>29.78</v>
      </c>
      <c r="M25" s="52">
        <v>88.3</v>
      </c>
      <c r="N25" s="52">
        <v>191.1</v>
      </c>
      <c r="O25" s="52">
        <v>0</v>
      </c>
      <c r="P25" s="52">
        <v>0.27</v>
      </c>
      <c r="Q25" s="52">
        <v>9.6300000000000008</v>
      </c>
      <c r="R25" s="43"/>
      <c r="S25" s="43"/>
      <c r="T25" s="43"/>
      <c r="U25" s="43"/>
    </row>
    <row r="26" spans="1:21" s="11" customFormat="1" x14ac:dyDescent="0.25">
      <c r="A26" s="51" t="s">
        <v>413</v>
      </c>
      <c r="B26" s="52">
        <v>12.17</v>
      </c>
      <c r="C26" s="52">
        <v>17.920000000000002</v>
      </c>
      <c r="D26" s="52">
        <v>19.12</v>
      </c>
      <c r="E26" s="52">
        <v>4.87</v>
      </c>
      <c r="F26" s="52">
        <v>17.91</v>
      </c>
      <c r="G26" s="52">
        <v>26.4</v>
      </c>
      <c r="H26" s="52">
        <v>8.4600000000000009</v>
      </c>
      <c r="I26" s="52">
        <v>1.26</v>
      </c>
      <c r="J26" s="52">
        <v>0.75</v>
      </c>
      <c r="K26" s="52">
        <v>355.46</v>
      </c>
      <c r="L26" s="52">
        <v>28.51</v>
      </c>
      <c r="M26" s="52">
        <v>95.15</v>
      </c>
      <c r="N26" s="52">
        <v>119.8</v>
      </c>
      <c r="O26" s="52">
        <v>0</v>
      </c>
      <c r="P26" s="52">
        <v>0.59</v>
      </c>
      <c r="Q26" s="52">
        <v>9.6300000000000008</v>
      </c>
      <c r="R26" s="43"/>
      <c r="S26" s="43"/>
      <c r="T26" s="43"/>
      <c r="U26" s="43"/>
    </row>
    <row r="27" spans="1:21" s="11" customFormat="1" x14ac:dyDescent="0.25">
      <c r="A27" s="51" t="s">
        <v>414</v>
      </c>
      <c r="B27" s="52">
        <v>21.34</v>
      </c>
      <c r="C27" s="52">
        <v>22.83</v>
      </c>
      <c r="D27" s="52">
        <v>29.04</v>
      </c>
      <c r="E27" s="52">
        <v>4.7699999999999996</v>
      </c>
      <c r="F27" s="52">
        <v>14.83</v>
      </c>
      <c r="G27" s="52">
        <v>30.27</v>
      </c>
      <c r="H27" s="52">
        <v>8.4600000000000009</v>
      </c>
      <c r="I27" s="52">
        <v>1.26</v>
      </c>
      <c r="J27" s="52">
        <v>0.48</v>
      </c>
      <c r="K27" s="52">
        <v>339.4</v>
      </c>
      <c r="L27" s="52">
        <v>28.08</v>
      </c>
      <c r="M27" s="52">
        <v>96.08</v>
      </c>
      <c r="N27" s="52">
        <v>50.3</v>
      </c>
      <c r="O27" s="52">
        <v>0</v>
      </c>
      <c r="P27" s="52">
        <v>1.1299999999999999</v>
      </c>
      <c r="Q27" s="52">
        <v>9.6300000000000008</v>
      </c>
      <c r="R27" s="43"/>
      <c r="S27" s="43"/>
      <c r="T27" s="43"/>
      <c r="U27" s="43"/>
    </row>
    <row r="28" spans="1:21" s="11" customFormat="1" x14ac:dyDescent="0.25">
      <c r="A28" s="51" t="s">
        <v>415</v>
      </c>
      <c r="B28" s="52">
        <v>6.97</v>
      </c>
      <c r="C28" s="52">
        <v>18.96</v>
      </c>
      <c r="D28" s="52">
        <v>15.5</v>
      </c>
      <c r="E28" s="52">
        <v>4.6500000000000004</v>
      </c>
      <c r="F28" s="52">
        <v>12.5</v>
      </c>
      <c r="G28" s="52">
        <v>30.47</v>
      </c>
      <c r="H28" s="52">
        <v>13.64</v>
      </c>
      <c r="I28" s="52">
        <v>1.36</v>
      </c>
      <c r="J28" s="52">
        <v>0.38</v>
      </c>
      <c r="K28" s="52">
        <v>173.09</v>
      </c>
      <c r="L28" s="52">
        <v>27.7</v>
      </c>
      <c r="M28" s="52">
        <v>97.24</v>
      </c>
      <c r="N28" s="52">
        <v>40.4</v>
      </c>
      <c r="O28" s="52">
        <v>0</v>
      </c>
      <c r="P28" s="52">
        <v>0.72</v>
      </c>
      <c r="Q28" s="52">
        <v>9.6300000000000008</v>
      </c>
      <c r="R28" s="43"/>
      <c r="S28" s="43"/>
      <c r="T28" s="43"/>
      <c r="U28" s="43"/>
    </row>
    <row r="29" spans="1:21" s="11" customFormat="1" x14ac:dyDescent="0.25">
      <c r="A29" s="51" t="s">
        <v>416</v>
      </c>
      <c r="B29" s="52">
        <v>18.7</v>
      </c>
      <c r="C29" s="52">
        <v>20.77</v>
      </c>
      <c r="D29" s="52">
        <v>24.64</v>
      </c>
      <c r="E29" s="52">
        <v>4.6399999999999997</v>
      </c>
      <c r="F29" s="52">
        <v>9.3800000000000008</v>
      </c>
      <c r="G29" s="52">
        <v>32.119999999999997</v>
      </c>
      <c r="H29" s="52">
        <v>13.64</v>
      </c>
      <c r="I29" s="52">
        <v>1.5</v>
      </c>
      <c r="J29" s="52">
        <v>0.16</v>
      </c>
      <c r="K29" s="52">
        <v>336.76</v>
      </c>
      <c r="L29" s="52">
        <v>27.53</v>
      </c>
      <c r="M29" s="52">
        <v>97.79</v>
      </c>
      <c r="N29" s="52">
        <v>41.1</v>
      </c>
      <c r="O29" s="52">
        <v>0</v>
      </c>
      <c r="P29" s="52">
        <v>0.91</v>
      </c>
      <c r="Q29" s="52">
        <v>9.6199999999999992</v>
      </c>
      <c r="R29" s="43"/>
      <c r="S29" s="43"/>
      <c r="T29" s="43"/>
      <c r="U29" s="43"/>
    </row>
    <row r="30" spans="1:21" s="11" customFormat="1" x14ac:dyDescent="0.25">
      <c r="A30" s="51" t="s">
        <v>417</v>
      </c>
      <c r="B30" s="52">
        <v>17.829999999999998</v>
      </c>
      <c r="C30" s="52">
        <v>19.7</v>
      </c>
      <c r="D30" s="52">
        <v>24.58</v>
      </c>
      <c r="E30" s="52">
        <v>4.71</v>
      </c>
      <c r="F30" s="52">
        <v>7.22</v>
      </c>
      <c r="G30" s="52">
        <v>35.06</v>
      </c>
      <c r="H30" s="52">
        <v>10.97</v>
      </c>
      <c r="I30" s="52">
        <v>1.58</v>
      </c>
      <c r="J30" s="52">
        <v>1.52</v>
      </c>
      <c r="K30" s="52">
        <v>326.08</v>
      </c>
      <c r="L30" s="52">
        <v>26.11</v>
      </c>
      <c r="M30" s="52">
        <v>97.9</v>
      </c>
      <c r="N30" s="52">
        <v>43</v>
      </c>
      <c r="O30" s="52">
        <v>0.2</v>
      </c>
      <c r="P30" s="52">
        <v>0.78</v>
      </c>
      <c r="Q30" s="52">
        <v>9.6300000000000008</v>
      </c>
      <c r="R30" s="43"/>
      <c r="S30" s="43"/>
      <c r="T30" s="43"/>
      <c r="U30" s="43"/>
    </row>
    <row r="31" spans="1:21" s="11" customFormat="1" x14ac:dyDescent="0.25">
      <c r="A31" s="51" t="s">
        <v>418</v>
      </c>
      <c r="B31" s="52">
        <v>9.1300000000000008</v>
      </c>
      <c r="C31" s="52">
        <v>11.53</v>
      </c>
      <c r="D31" s="52">
        <v>12.08</v>
      </c>
      <c r="E31" s="52">
        <v>4.7699999999999996</v>
      </c>
      <c r="F31" s="52">
        <v>9.5399999999999991</v>
      </c>
      <c r="G31" s="52">
        <v>35.06</v>
      </c>
      <c r="H31" s="52">
        <v>10.89</v>
      </c>
      <c r="I31" s="52">
        <v>1.68</v>
      </c>
      <c r="J31" s="52">
        <v>0.49</v>
      </c>
      <c r="K31" s="52">
        <v>344.08</v>
      </c>
      <c r="L31" s="52">
        <v>23.13</v>
      </c>
      <c r="M31" s="52">
        <v>97.89</v>
      </c>
      <c r="N31" s="52">
        <v>41.3</v>
      </c>
      <c r="O31" s="52">
        <v>0</v>
      </c>
      <c r="P31" s="52">
        <v>0.45</v>
      </c>
      <c r="Q31" s="52">
        <v>9.64</v>
      </c>
      <c r="R31" s="43"/>
      <c r="S31" s="43"/>
      <c r="T31" s="43"/>
      <c r="U31" s="43"/>
    </row>
    <row r="32" spans="1:21" s="11" customFormat="1" x14ac:dyDescent="0.25">
      <c r="A32" s="51" t="s">
        <v>419</v>
      </c>
      <c r="B32" s="52">
        <v>8.61</v>
      </c>
      <c r="C32" s="52">
        <v>10.98</v>
      </c>
      <c r="D32" s="52">
        <v>12.64</v>
      </c>
      <c r="E32" s="52">
        <v>4.4400000000000004</v>
      </c>
      <c r="F32" s="52">
        <v>8.69</v>
      </c>
      <c r="G32" s="52">
        <v>23.31</v>
      </c>
      <c r="H32" s="52">
        <v>6.51</v>
      </c>
      <c r="I32" s="52">
        <v>1.54</v>
      </c>
      <c r="J32" s="52">
        <v>0.6</v>
      </c>
      <c r="K32" s="52">
        <v>358.62</v>
      </c>
      <c r="L32" s="52">
        <v>23.21</v>
      </c>
      <c r="M32" s="52">
        <v>97.85</v>
      </c>
      <c r="N32" s="52">
        <v>40.9</v>
      </c>
      <c r="O32" s="52">
        <v>0</v>
      </c>
      <c r="P32" s="52">
        <v>0.43</v>
      </c>
      <c r="Q32" s="52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5.67</v>
      </c>
      <c r="C34" s="28">
        <f t="shared" si="0"/>
        <v>8.3699999999999992</v>
      </c>
      <c r="D34" s="28">
        <f t="shared" si="0"/>
        <v>9.9700000000000006</v>
      </c>
      <c r="E34" s="28">
        <f t="shared" si="0"/>
        <v>3.37</v>
      </c>
      <c r="F34" s="28">
        <f t="shared" si="0"/>
        <v>3.37</v>
      </c>
      <c r="G34" s="28">
        <f t="shared" si="0"/>
        <v>23.31</v>
      </c>
      <c r="H34" s="28">
        <f t="shared" si="0"/>
        <v>4.32</v>
      </c>
      <c r="I34" s="28">
        <f t="shared" si="0"/>
        <v>1.26</v>
      </c>
      <c r="J34" s="28">
        <f t="shared" si="0"/>
        <v>0.09</v>
      </c>
      <c r="K34" s="28">
        <f t="shared" si="0"/>
        <v>120.63</v>
      </c>
      <c r="L34" s="28">
        <f t="shared" si="0"/>
        <v>23.13</v>
      </c>
      <c r="M34" s="28">
        <f t="shared" si="0"/>
        <v>79.06</v>
      </c>
      <c r="N34" s="28">
        <f t="shared" si="0"/>
        <v>40.4</v>
      </c>
      <c r="O34" s="28">
        <f t="shared" si="0"/>
        <v>0</v>
      </c>
      <c r="P34" s="28">
        <f t="shared" si="0"/>
        <v>0.26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24.55</v>
      </c>
      <c r="C35" s="29">
        <f t="shared" si="1"/>
        <v>22.83</v>
      </c>
      <c r="D35" s="29">
        <f t="shared" si="1"/>
        <v>29.04</v>
      </c>
      <c r="E35" s="29">
        <f t="shared" si="1"/>
        <v>4.91</v>
      </c>
      <c r="F35" s="29">
        <f t="shared" si="1"/>
        <v>19.71</v>
      </c>
      <c r="G35" s="29">
        <f t="shared" si="1"/>
        <v>41.74</v>
      </c>
      <c r="H35" s="29">
        <f t="shared" si="1"/>
        <v>20.74</v>
      </c>
      <c r="I35" s="29">
        <f t="shared" si="1"/>
        <v>1.73</v>
      </c>
      <c r="J35" s="29">
        <f t="shared" si="1"/>
        <v>1.52</v>
      </c>
      <c r="K35" s="29">
        <f t="shared" si="1"/>
        <v>358.62</v>
      </c>
      <c r="L35" s="29">
        <f t="shared" si="1"/>
        <v>30.17</v>
      </c>
      <c r="M35" s="29">
        <f t="shared" si="1"/>
        <v>97.9</v>
      </c>
      <c r="N35" s="29">
        <f t="shared" si="1"/>
        <v>692.1</v>
      </c>
      <c r="O35" s="29">
        <f t="shared" si="1"/>
        <v>0.2</v>
      </c>
      <c r="P35" s="29">
        <f t="shared" si="1"/>
        <v>1.1299999999999999</v>
      </c>
      <c r="Q35" s="29">
        <f t="shared" si="1"/>
        <v>9.69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13.141666666666666</v>
      </c>
      <c r="C36" s="28">
        <f t="shared" si="2"/>
        <v>13.324583333333331</v>
      </c>
      <c r="D36" s="28">
        <f t="shared" si="2"/>
        <v>17.146249999999998</v>
      </c>
      <c r="E36" s="28">
        <f t="shared" si="2"/>
        <v>4.2766666666666664</v>
      </c>
      <c r="F36" s="28">
        <f t="shared" si="2"/>
        <v>11.3225</v>
      </c>
      <c r="G36" s="28">
        <f t="shared" si="2"/>
        <v>31.430416666666662</v>
      </c>
      <c r="H36" s="28">
        <f t="shared" si="2"/>
        <v>11.565833333333336</v>
      </c>
      <c r="I36" s="28">
        <f t="shared" si="2"/>
        <v>1.522083333333333</v>
      </c>
      <c r="J36" s="28">
        <f t="shared" si="2"/>
        <v>0.64666666666666672</v>
      </c>
      <c r="K36" s="28">
        <f t="shared" si="2"/>
        <v>242.40916666666669</v>
      </c>
      <c r="L36" s="28">
        <f t="shared" si="2"/>
        <v>27.44583333333334</v>
      </c>
      <c r="M36" s="28">
        <f t="shared" si="2"/>
        <v>92.842500000000015</v>
      </c>
      <c r="N36" s="28">
        <f t="shared" si="2"/>
        <v>219.28333333333333</v>
      </c>
      <c r="O36" s="28">
        <f t="shared" si="2"/>
        <v>1.6666666666666666E-2</v>
      </c>
      <c r="P36" s="28">
        <f t="shared" si="2"/>
        <v>0.47083333333333338</v>
      </c>
      <c r="Q36" s="28">
        <f t="shared" si="2"/>
        <v>9.6487499999999997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5.3010119351150227</v>
      </c>
      <c r="C37" s="28">
        <f t="shared" ref="C37:Q37" si="3">STDEV(C9:C32)</f>
        <v>4.1768731587226844</v>
      </c>
      <c r="D37" s="28">
        <f t="shared" si="3"/>
        <v>5.2533068777841248</v>
      </c>
      <c r="E37" s="28">
        <f t="shared" si="3"/>
        <v>0.50711174196678555</v>
      </c>
      <c r="F37" s="28">
        <f t="shared" si="3"/>
        <v>5.3056854247200631</v>
      </c>
      <c r="G37" s="28">
        <f t="shared" si="3"/>
        <v>4.0584795602023274</v>
      </c>
      <c r="H37" s="28">
        <f t="shared" si="3"/>
        <v>4.6686334623524512</v>
      </c>
      <c r="I37" s="28">
        <f t="shared" si="3"/>
        <v>0.15350907540560607</v>
      </c>
      <c r="J37" s="28">
        <f t="shared" si="3"/>
        <v>0.34048133022514454</v>
      </c>
      <c r="K37" s="28">
        <f t="shared" si="3"/>
        <v>102.72926876087904</v>
      </c>
      <c r="L37" s="28">
        <f t="shared" si="3"/>
        <v>2.2294879830729446</v>
      </c>
      <c r="M37" s="28">
        <f t="shared" si="3"/>
        <v>6.5808280501838796</v>
      </c>
      <c r="N37" s="28">
        <f t="shared" si="3"/>
        <v>224.1669635254755</v>
      </c>
      <c r="O37" s="28">
        <f t="shared" si="3"/>
        <v>5.6465970257327996E-2</v>
      </c>
      <c r="P37" s="28">
        <f t="shared" si="3"/>
        <v>0.21481876419269164</v>
      </c>
      <c r="Q37" s="28">
        <f t="shared" si="3"/>
        <v>2.0707591550590269E-2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13" sqref="H1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1" t="s">
        <v>420</v>
      </c>
      <c r="B9" s="52">
        <v>6.03</v>
      </c>
      <c r="C9" s="52">
        <v>14.7</v>
      </c>
      <c r="D9" s="52">
        <v>11.9</v>
      </c>
      <c r="E9" s="52">
        <v>5.05</v>
      </c>
      <c r="F9" s="52">
        <v>8.85</v>
      </c>
      <c r="G9" s="52">
        <v>17.899999999999999</v>
      </c>
      <c r="H9" s="52">
        <v>7.38</v>
      </c>
      <c r="I9" s="52">
        <v>1.34</v>
      </c>
      <c r="J9" s="52">
        <v>0.3</v>
      </c>
      <c r="K9" s="52">
        <v>339.02</v>
      </c>
      <c r="L9" s="52">
        <v>23.23</v>
      </c>
      <c r="M9" s="52">
        <v>97.85</v>
      </c>
      <c r="N9" s="52">
        <v>40.9</v>
      </c>
      <c r="O9" s="52">
        <v>0</v>
      </c>
      <c r="P9" s="52">
        <v>0.38</v>
      </c>
      <c r="Q9" s="52">
        <v>9.64</v>
      </c>
      <c r="R9" s="43"/>
      <c r="S9" s="43"/>
      <c r="T9" s="43"/>
      <c r="U9" s="43"/>
    </row>
    <row r="10" spans="1:21" s="11" customFormat="1" x14ac:dyDescent="0.25">
      <c r="A10" s="51" t="s">
        <v>421</v>
      </c>
      <c r="B10" s="52">
        <v>5.51</v>
      </c>
      <c r="C10" s="52">
        <v>11.32</v>
      </c>
      <c r="D10" s="52">
        <v>10.26</v>
      </c>
      <c r="E10" s="52">
        <v>5.29</v>
      </c>
      <c r="F10" s="52">
        <v>8.8800000000000008</v>
      </c>
      <c r="G10" s="52">
        <v>13.41</v>
      </c>
      <c r="H10" s="52">
        <v>8.58</v>
      </c>
      <c r="I10" s="52">
        <v>1.5</v>
      </c>
      <c r="J10" s="52">
        <v>0.15</v>
      </c>
      <c r="K10" s="52">
        <v>186.22</v>
      </c>
      <c r="L10" s="52">
        <v>23.45</v>
      </c>
      <c r="M10" s="52">
        <v>97.85</v>
      </c>
      <c r="N10" s="52">
        <v>41</v>
      </c>
      <c r="O10" s="52">
        <v>0</v>
      </c>
      <c r="P10" s="52">
        <v>0.28999999999999998</v>
      </c>
      <c r="Q10" s="52">
        <v>9.65</v>
      </c>
      <c r="R10" s="43"/>
      <c r="S10" s="43"/>
      <c r="T10" s="43"/>
      <c r="U10" s="43"/>
    </row>
    <row r="11" spans="1:21" s="11" customFormat="1" x14ac:dyDescent="0.25">
      <c r="A11" s="51" t="s">
        <v>422</v>
      </c>
      <c r="B11" s="52">
        <v>6.31</v>
      </c>
      <c r="C11" s="52">
        <v>6.94</v>
      </c>
      <c r="D11" s="52">
        <v>8.24</v>
      </c>
      <c r="E11" s="52">
        <v>5.46</v>
      </c>
      <c r="F11" s="52">
        <v>10.24</v>
      </c>
      <c r="G11" s="52">
        <v>13.65</v>
      </c>
      <c r="H11" s="52">
        <v>8.58</v>
      </c>
      <c r="I11" s="52">
        <v>1.47</v>
      </c>
      <c r="J11" s="52">
        <v>0.13</v>
      </c>
      <c r="K11" s="52">
        <v>151.26</v>
      </c>
      <c r="L11" s="52">
        <v>23.52</v>
      </c>
      <c r="M11" s="52">
        <v>97.85</v>
      </c>
      <c r="N11" s="52">
        <v>41.1</v>
      </c>
      <c r="O11" s="52">
        <v>0</v>
      </c>
      <c r="P11" s="52">
        <v>0.3</v>
      </c>
      <c r="Q11" s="52">
        <v>9.65</v>
      </c>
      <c r="R11" s="43"/>
      <c r="S11" s="43"/>
      <c r="T11" s="43"/>
      <c r="U11" s="43"/>
    </row>
    <row r="12" spans="1:21" s="11" customFormat="1" x14ac:dyDescent="0.25">
      <c r="A12" s="51" t="s">
        <v>423</v>
      </c>
      <c r="B12" s="52">
        <v>6.58</v>
      </c>
      <c r="C12" s="52">
        <v>6.39</v>
      </c>
      <c r="D12" s="52">
        <v>8.2899999999999991</v>
      </c>
      <c r="E12" s="52">
        <v>4.99</v>
      </c>
      <c r="F12" s="52">
        <v>9.5299999999999994</v>
      </c>
      <c r="G12" s="52">
        <v>14.95</v>
      </c>
      <c r="H12" s="52">
        <v>5.39</v>
      </c>
      <c r="I12" s="52">
        <v>1.36</v>
      </c>
      <c r="J12" s="52">
        <v>0.24</v>
      </c>
      <c r="K12" s="52">
        <v>199.73</v>
      </c>
      <c r="L12" s="52">
        <v>23.45</v>
      </c>
      <c r="M12" s="52">
        <v>97.86</v>
      </c>
      <c r="N12" s="52">
        <v>41.4</v>
      </c>
      <c r="O12" s="52">
        <v>0</v>
      </c>
      <c r="P12" s="52">
        <v>0.28999999999999998</v>
      </c>
      <c r="Q12" s="52">
        <v>9.65</v>
      </c>
      <c r="R12" s="43"/>
      <c r="S12" s="43"/>
      <c r="T12" s="43"/>
      <c r="U12" s="43"/>
    </row>
    <row r="13" spans="1:21" s="11" customFormat="1" x14ac:dyDescent="0.25">
      <c r="A13" s="51" t="s">
        <v>424</v>
      </c>
      <c r="B13" s="52">
        <v>7.39</v>
      </c>
      <c r="C13" s="52">
        <v>8.18</v>
      </c>
      <c r="D13" s="52">
        <v>9.66</v>
      </c>
      <c r="E13" s="52">
        <v>5.05</v>
      </c>
      <c r="F13" s="52">
        <v>8.99</v>
      </c>
      <c r="G13" s="52">
        <v>14.95</v>
      </c>
      <c r="H13" s="52">
        <v>4.72</v>
      </c>
      <c r="I13" s="52">
        <v>1.25</v>
      </c>
      <c r="J13" s="52">
        <v>0.72</v>
      </c>
      <c r="K13" s="52">
        <v>135.16999999999999</v>
      </c>
      <c r="L13" s="52">
        <v>23.56</v>
      </c>
      <c r="M13" s="52">
        <v>97.86</v>
      </c>
      <c r="N13" s="52">
        <v>41.6</v>
      </c>
      <c r="O13" s="52">
        <v>0</v>
      </c>
      <c r="P13" s="52">
        <v>0.26</v>
      </c>
      <c r="Q13" s="52">
        <v>9.65</v>
      </c>
      <c r="R13" s="43"/>
      <c r="S13" s="43"/>
      <c r="T13" s="43"/>
      <c r="U13" s="43"/>
    </row>
    <row r="14" spans="1:21" s="11" customFormat="1" x14ac:dyDescent="0.25">
      <c r="A14" s="51" t="s">
        <v>425</v>
      </c>
      <c r="B14" s="52">
        <v>7.89</v>
      </c>
      <c r="C14" s="52">
        <v>8.19</v>
      </c>
      <c r="D14" s="52">
        <v>10.15</v>
      </c>
      <c r="E14" s="52">
        <v>5.17</v>
      </c>
      <c r="F14" s="52">
        <v>8.25</v>
      </c>
      <c r="G14" s="52">
        <v>12.98</v>
      </c>
      <c r="H14" s="52">
        <v>3.15</v>
      </c>
      <c r="I14" s="52">
        <v>1.17</v>
      </c>
      <c r="J14" s="52">
        <v>0.49</v>
      </c>
      <c r="K14" s="52">
        <v>318.79000000000002</v>
      </c>
      <c r="L14" s="52">
        <v>23.71</v>
      </c>
      <c r="M14" s="52">
        <v>97.87</v>
      </c>
      <c r="N14" s="52">
        <v>53.3</v>
      </c>
      <c r="O14" s="52">
        <v>0</v>
      </c>
      <c r="P14" s="52">
        <v>0.28999999999999998</v>
      </c>
      <c r="Q14" s="52">
        <v>9.64</v>
      </c>
      <c r="R14" s="43"/>
      <c r="S14" s="43"/>
      <c r="T14" s="43"/>
      <c r="U14" s="43"/>
    </row>
    <row r="15" spans="1:21" s="11" customFormat="1" x14ac:dyDescent="0.25">
      <c r="A15" s="51" t="s">
        <v>426</v>
      </c>
      <c r="B15" s="52">
        <v>10.85</v>
      </c>
      <c r="C15" s="52">
        <v>8.91</v>
      </c>
      <c r="D15" s="52">
        <v>13.28</v>
      </c>
      <c r="E15" s="52">
        <v>5.31</v>
      </c>
      <c r="F15" s="52">
        <v>8.2100000000000009</v>
      </c>
      <c r="G15" s="52">
        <v>14.55</v>
      </c>
      <c r="H15" s="52">
        <v>5.26</v>
      </c>
      <c r="I15" s="52">
        <v>1.18</v>
      </c>
      <c r="J15" s="52">
        <v>0.79</v>
      </c>
      <c r="K15" s="52">
        <v>158.91999999999999</v>
      </c>
      <c r="L15" s="52">
        <v>24.31</v>
      </c>
      <c r="M15" s="52">
        <v>97.92</v>
      </c>
      <c r="N15" s="52">
        <v>103</v>
      </c>
      <c r="O15" s="52">
        <v>0</v>
      </c>
      <c r="P15" s="52">
        <v>0.38</v>
      </c>
      <c r="Q15" s="52">
        <v>9.64</v>
      </c>
      <c r="R15" s="43"/>
      <c r="S15" s="43"/>
      <c r="T15" s="43"/>
      <c r="U15" s="43"/>
    </row>
    <row r="16" spans="1:21" s="11" customFormat="1" x14ac:dyDescent="0.25">
      <c r="A16" s="51" t="s">
        <v>427</v>
      </c>
      <c r="B16" s="52">
        <v>8.65</v>
      </c>
      <c r="C16" s="52">
        <v>8.4</v>
      </c>
      <c r="D16" s="52">
        <v>11.33</v>
      </c>
      <c r="E16" s="52">
        <v>5.16</v>
      </c>
      <c r="F16" s="52">
        <v>8.27</v>
      </c>
      <c r="G16" s="52">
        <v>16.079999999999998</v>
      </c>
      <c r="H16" s="52">
        <v>5.26</v>
      </c>
      <c r="I16" s="52">
        <v>1.1499999999999999</v>
      </c>
      <c r="J16" s="52">
        <v>1.03</v>
      </c>
      <c r="K16" s="52">
        <v>126.33</v>
      </c>
      <c r="L16" s="52">
        <v>26.56</v>
      </c>
      <c r="M16" s="52">
        <v>97.89</v>
      </c>
      <c r="N16" s="52">
        <v>337</v>
      </c>
      <c r="O16" s="52">
        <v>0</v>
      </c>
      <c r="P16" s="52">
        <v>0.31</v>
      </c>
      <c r="Q16" s="52">
        <v>9.65</v>
      </c>
      <c r="R16" s="43"/>
      <c r="S16" s="43"/>
      <c r="T16" s="43"/>
      <c r="U16" s="43"/>
    </row>
    <row r="17" spans="1:21" s="11" customFormat="1" x14ac:dyDescent="0.25">
      <c r="A17" s="51" t="s">
        <v>428</v>
      </c>
      <c r="B17" s="52">
        <v>12.69</v>
      </c>
      <c r="C17" s="52">
        <v>8.11</v>
      </c>
      <c r="D17" s="52">
        <v>13.67</v>
      </c>
      <c r="E17" s="52">
        <v>5.2</v>
      </c>
      <c r="F17" s="52">
        <v>8.34</v>
      </c>
      <c r="G17" s="52">
        <v>16.62</v>
      </c>
      <c r="H17" s="52">
        <v>4.66</v>
      </c>
      <c r="I17" s="52">
        <v>1.1200000000000001</v>
      </c>
      <c r="J17" s="52">
        <v>0.91</v>
      </c>
      <c r="K17" s="52">
        <v>126.87</v>
      </c>
      <c r="L17" s="52">
        <v>27.41</v>
      </c>
      <c r="M17" s="52">
        <v>97.76</v>
      </c>
      <c r="N17" s="52">
        <v>579.79999999999995</v>
      </c>
      <c r="O17" s="52">
        <v>0</v>
      </c>
      <c r="P17" s="52">
        <v>0.37</v>
      </c>
      <c r="Q17" s="52">
        <v>9.65</v>
      </c>
      <c r="R17" s="43"/>
      <c r="S17" s="43"/>
      <c r="T17" s="43"/>
      <c r="U17" s="43"/>
    </row>
    <row r="18" spans="1:21" s="11" customFormat="1" x14ac:dyDescent="0.25">
      <c r="A18" s="51" t="s">
        <v>429</v>
      </c>
      <c r="B18" s="52">
        <v>10.6</v>
      </c>
      <c r="C18" s="52">
        <v>8.9</v>
      </c>
      <c r="D18" s="52">
        <v>13.15</v>
      </c>
      <c r="E18" s="52">
        <v>5.09</v>
      </c>
      <c r="F18" s="52">
        <v>10.93</v>
      </c>
      <c r="G18" s="52">
        <v>20.260000000000002</v>
      </c>
      <c r="H18" s="52">
        <v>5.69</v>
      </c>
      <c r="I18" s="52">
        <v>1.1200000000000001</v>
      </c>
      <c r="J18" s="52">
        <v>1</v>
      </c>
      <c r="K18" s="52">
        <v>130.87</v>
      </c>
      <c r="L18" s="52">
        <v>28.35</v>
      </c>
      <c r="M18" s="52">
        <v>97.72</v>
      </c>
      <c r="N18" s="52">
        <v>516.5</v>
      </c>
      <c r="O18" s="52">
        <v>0</v>
      </c>
      <c r="P18" s="52">
        <v>0.34</v>
      </c>
      <c r="Q18" s="52">
        <v>9.66</v>
      </c>
      <c r="R18" s="43"/>
      <c r="S18" s="43"/>
      <c r="T18" s="43"/>
      <c r="U18" s="43"/>
    </row>
    <row r="19" spans="1:21" s="11" customFormat="1" x14ac:dyDescent="0.25">
      <c r="A19" s="51" t="s">
        <v>430</v>
      </c>
      <c r="B19" s="52">
        <v>8.86</v>
      </c>
      <c r="C19" s="52">
        <v>8.3000000000000007</v>
      </c>
      <c r="D19" s="52">
        <v>11.32</v>
      </c>
      <c r="E19" s="52">
        <v>5.37</v>
      </c>
      <c r="F19" s="52">
        <v>11.84</v>
      </c>
      <c r="G19" s="52">
        <v>20.260000000000002</v>
      </c>
      <c r="H19" s="52">
        <v>7.99</v>
      </c>
      <c r="I19" s="52">
        <v>1.1499999999999999</v>
      </c>
      <c r="J19" s="52">
        <v>1.1000000000000001</v>
      </c>
      <c r="K19" s="52">
        <v>132.47999999999999</v>
      </c>
      <c r="L19" s="52">
        <v>28.12</v>
      </c>
      <c r="M19" s="52">
        <v>96.64</v>
      </c>
      <c r="N19" s="52">
        <v>649.9</v>
      </c>
      <c r="O19" s="52">
        <v>0</v>
      </c>
      <c r="P19" s="52">
        <v>0.34</v>
      </c>
      <c r="Q19" s="52">
        <v>9.65</v>
      </c>
      <c r="R19" s="43"/>
      <c r="S19" s="43"/>
      <c r="T19" s="43"/>
      <c r="U19" s="43"/>
    </row>
    <row r="20" spans="1:21" s="11" customFormat="1" x14ac:dyDescent="0.25">
      <c r="A20" s="51" t="s">
        <v>431</v>
      </c>
      <c r="B20" s="52">
        <v>8.84</v>
      </c>
      <c r="C20" s="52">
        <v>8.16</v>
      </c>
      <c r="D20" s="52">
        <v>11.35</v>
      </c>
      <c r="E20" s="52">
        <v>5.25</v>
      </c>
      <c r="F20" s="52">
        <v>12.83</v>
      </c>
      <c r="G20" s="52">
        <v>18.760000000000002</v>
      </c>
      <c r="H20" s="52">
        <v>7.99</v>
      </c>
      <c r="I20" s="52">
        <v>1.1499999999999999</v>
      </c>
      <c r="J20" s="52">
        <v>1.33</v>
      </c>
      <c r="K20" s="52">
        <v>146.96</v>
      </c>
      <c r="L20" s="52">
        <v>28.4</v>
      </c>
      <c r="M20" s="52">
        <v>97.89</v>
      </c>
      <c r="N20" s="52">
        <v>498.4</v>
      </c>
      <c r="O20" s="52">
        <v>0</v>
      </c>
      <c r="P20" s="52">
        <v>0.33</v>
      </c>
      <c r="Q20" s="52">
        <v>9.65</v>
      </c>
      <c r="R20" s="43"/>
      <c r="S20" s="43"/>
      <c r="T20" s="43"/>
      <c r="U20" s="43"/>
    </row>
    <row r="21" spans="1:21" s="11" customFormat="1" x14ac:dyDescent="0.25">
      <c r="A21" s="51" t="s">
        <v>432</v>
      </c>
      <c r="B21" s="52">
        <v>11.84</v>
      </c>
      <c r="C21" s="52">
        <v>10.82</v>
      </c>
      <c r="D21" s="52">
        <v>15.15</v>
      </c>
      <c r="E21" s="52">
        <v>5.13</v>
      </c>
      <c r="F21" s="52">
        <v>8.34</v>
      </c>
      <c r="G21" s="52">
        <v>18.760000000000002</v>
      </c>
      <c r="H21" s="52">
        <v>13.24</v>
      </c>
      <c r="I21" s="52">
        <v>1.0900000000000001</v>
      </c>
      <c r="J21" s="52">
        <v>0.62</v>
      </c>
      <c r="K21" s="52">
        <v>131.52000000000001</v>
      </c>
      <c r="L21" s="52">
        <v>25.73</v>
      </c>
      <c r="M21" s="52">
        <v>97.93</v>
      </c>
      <c r="N21" s="52">
        <v>443.8</v>
      </c>
      <c r="O21" s="52">
        <v>0</v>
      </c>
      <c r="P21" s="52">
        <v>0.49</v>
      </c>
      <c r="Q21" s="52">
        <v>9.64</v>
      </c>
      <c r="R21" s="43"/>
      <c r="S21" s="43"/>
      <c r="T21" s="43"/>
      <c r="U21" s="43"/>
    </row>
    <row r="22" spans="1:21" s="11" customFormat="1" x14ac:dyDescent="0.25">
      <c r="A22" s="51" t="s">
        <v>433</v>
      </c>
      <c r="B22" s="52">
        <v>10.24</v>
      </c>
      <c r="C22" s="52">
        <v>11.77</v>
      </c>
      <c r="D22" s="52">
        <v>12.75</v>
      </c>
      <c r="E22" s="52">
        <v>5.26</v>
      </c>
      <c r="F22" s="52">
        <v>11.8</v>
      </c>
      <c r="G22" s="52">
        <v>16.36</v>
      </c>
      <c r="H22" s="52">
        <v>13.24</v>
      </c>
      <c r="I22" s="52">
        <v>1.1200000000000001</v>
      </c>
      <c r="J22" s="52">
        <v>0.41</v>
      </c>
      <c r="K22" s="52">
        <v>132.74</v>
      </c>
      <c r="L22" s="52">
        <v>28.11</v>
      </c>
      <c r="M22" s="52">
        <v>97.82</v>
      </c>
      <c r="N22" s="52">
        <v>634.5</v>
      </c>
      <c r="O22" s="52">
        <v>0</v>
      </c>
      <c r="P22" s="52">
        <v>0.39</v>
      </c>
      <c r="Q22" s="52">
        <v>9.64</v>
      </c>
      <c r="R22" s="43"/>
      <c r="S22" s="43"/>
      <c r="T22" s="43"/>
      <c r="U22" s="43"/>
    </row>
    <row r="23" spans="1:21" s="11" customFormat="1" x14ac:dyDescent="0.25">
      <c r="A23" s="51" t="s">
        <v>434</v>
      </c>
      <c r="B23" s="52">
        <v>7.75</v>
      </c>
      <c r="C23" s="52">
        <v>11.55</v>
      </c>
      <c r="D23" s="52">
        <v>11.35</v>
      </c>
      <c r="E23" s="52">
        <v>5.43</v>
      </c>
      <c r="F23" s="52">
        <v>11</v>
      </c>
      <c r="G23" s="52">
        <v>19.84</v>
      </c>
      <c r="H23" s="52">
        <v>9.85</v>
      </c>
      <c r="I23" s="52">
        <v>1.1599999999999999</v>
      </c>
      <c r="J23" s="52">
        <v>1.07</v>
      </c>
      <c r="K23" s="52">
        <v>125.77</v>
      </c>
      <c r="L23" s="52">
        <v>28.52</v>
      </c>
      <c r="M23" s="52">
        <v>97.73</v>
      </c>
      <c r="N23" s="52">
        <v>230.4</v>
      </c>
      <c r="O23" s="52">
        <v>0</v>
      </c>
      <c r="P23" s="52">
        <v>0.35</v>
      </c>
      <c r="Q23" s="52">
        <v>9.64</v>
      </c>
      <c r="R23" s="43"/>
      <c r="S23" s="43"/>
      <c r="T23" s="43"/>
      <c r="U23" s="43"/>
    </row>
    <row r="24" spans="1:21" s="11" customFormat="1" x14ac:dyDescent="0.25">
      <c r="A24" s="51" t="s">
        <v>435</v>
      </c>
      <c r="B24" s="52">
        <v>10.1</v>
      </c>
      <c r="C24" s="52">
        <v>17.850000000000001</v>
      </c>
      <c r="D24" s="52">
        <v>11.14</v>
      </c>
      <c r="E24" s="52">
        <v>5.39</v>
      </c>
      <c r="F24" s="52">
        <v>12.47</v>
      </c>
      <c r="G24" s="52">
        <v>19.84</v>
      </c>
      <c r="H24" s="52">
        <v>8.2200000000000006</v>
      </c>
      <c r="I24" s="52">
        <v>1.1599999999999999</v>
      </c>
      <c r="J24" s="52">
        <v>0.86</v>
      </c>
      <c r="K24" s="52">
        <v>127.36</v>
      </c>
      <c r="L24" s="52">
        <v>28.86</v>
      </c>
      <c r="M24" s="52">
        <v>92.87</v>
      </c>
      <c r="N24" s="52">
        <v>164.1</v>
      </c>
      <c r="O24" s="52">
        <v>0</v>
      </c>
      <c r="P24" s="52">
        <v>0.35</v>
      </c>
      <c r="Q24" s="52">
        <v>9.64</v>
      </c>
      <c r="R24" s="43"/>
      <c r="S24" s="43"/>
      <c r="T24" s="43"/>
      <c r="U24" s="43"/>
    </row>
    <row r="25" spans="1:21" s="11" customFormat="1" x14ac:dyDescent="0.25">
      <c r="A25" s="51" t="s">
        <v>436</v>
      </c>
      <c r="B25" s="52">
        <v>11.09</v>
      </c>
      <c r="C25" s="52">
        <v>12.38</v>
      </c>
      <c r="D25" s="52">
        <v>15.36</v>
      </c>
      <c r="E25" s="52">
        <v>5.76</v>
      </c>
      <c r="F25" s="52">
        <v>13.1</v>
      </c>
      <c r="G25" s="52">
        <v>18.88</v>
      </c>
      <c r="H25" s="52">
        <v>6.01</v>
      </c>
      <c r="I25" s="52">
        <v>1.1100000000000001</v>
      </c>
      <c r="J25" s="52">
        <v>0.93</v>
      </c>
      <c r="K25" s="52">
        <v>330.17</v>
      </c>
      <c r="L25" s="52">
        <v>28.49</v>
      </c>
      <c r="M25" s="52">
        <v>96.24</v>
      </c>
      <c r="N25" s="52">
        <v>124.1</v>
      </c>
      <c r="O25" s="52">
        <v>0</v>
      </c>
      <c r="P25" s="52">
        <v>0.4</v>
      </c>
      <c r="Q25" s="52">
        <v>9.64</v>
      </c>
      <c r="R25" s="43"/>
      <c r="S25" s="43"/>
      <c r="T25" s="43"/>
      <c r="U25" s="43"/>
    </row>
    <row r="26" spans="1:21" s="11" customFormat="1" x14ac:dyDescent="0.25">
      <c r="A26" s="51" t="s">
        <v>437</v>
      </c>
      <c r="B26" s="52">
        <v>13.73</v>
      </c>
      <c r="C26" s="52">
        <v>14.4</v>
      </c>
      <c r="D26" s="52">
        <v>18.48</v>
      </c>
      <c r="E26" s="52">
        <v>5.43</v>
      </c>
      <c r="F26" s="52">
        <v>11.25</v>
      </c>
      <c r="G26" s="52">
        <v>22.78</v>
      </c>
      <c r="H26" s="52">
        <v>4.87</v>
      </c>
      <c r="I26" s="52">
        <v>1.1599999999999999</v>
      </c>
      <c r="J26" s="52">
        <v>0.47</v>
      </c>
      <c r="K26" s="52">
        <v>323.51</v>
      </c>
      <c r="L26" s="52">
        <v>28.5</v>
      </c>
      <c r="M26" s="52">
        <v>96.73</v>
      </c>
      <c r="N26" s="52">
        <v>138.30000000000001</v>
      </c>
      <c r="O26" s="52">
        <v>0</v>
      </c>
      <c r="P26" s="52">
        <v>0.69</v>
      </c>
      <c r="Q26" s="52">
        <v>9.6300000000000008</v>
      </c>
      <c r="R26" s="43"/>
      <c r="S26" s="43"/>
      <c r="T26" s="43"/>
      <c r="U26" s="43"/>
    </row>
    <row r="27" spans="1:21" s="11" customFormat="1" x14ac:dyDescent="0.25">
      <c r="A27" s="51" t="s">
        <v>438</v>
      </c>
      <c r="B27" s="52">
        <v>16.2</v>
      </c>
      <c r="C27" s="52">
        <v>18.100000000000001</v>
      </c>
      <c r="D27" s="52">
        <v>22.45</v>
      </c>
      <c r="E27" s="52">
        <v>5.64</v>
      </c>
      <c r="F27" s="52">
        <v>12.22</v>
      </c>
      <c r="G27" s="52">
        <v>27.2</v>
      </c>
      <c r="H27" s="52">
        <v>4.87</v>
      </c>
      <c r="I27" s="52">
        <v>1.3</v>
      </c>
      <c r="J27" s="52">
        <v>0.39</v>
      </c>
      <c r="K27" s="52">
        <v>333.12</v>
      </c>
      <c r="L27" s="52">
        <v>27.86</v>
      </c>
      <c r="M27" s="52">
        <v>97.74</v>
      </c>
      <c r="N27" s="52">
        <v>61.3</v>
      </c>
      <c r="O27" s="52">
        <v>0</v>
      </c>
      <c r="P27" s="52">
        <v>0.73</v>
      </c>
      <c r="Q27" s="52">
        <v>9.6199999999999992</v>
      </c>
      <c r="R27" s="43"/>
      <c r="S27" s="43"/>
      <c r="T27" s="43"/>
      <c r="U27" s="43"/>
    </row>
    <row r="28" spans="1:21" s="11" customFormat="1" x14ac:dyDescent="0.25">
      <c r="A28" s="51" t="s">
        <v>439</v>
      </c>
      <c r="B28" s="52">
        <v>18.25</v>
      </c>
      <c r="C28" s="52">
        <v>20.96</v>
      </c>
      <c r="D28" s="52">
        <v>25.59</v>
      </c>
      <c r="E28" s="52">
        <v>5.91</v>
      </c>
      <c r="F28" s="52">
        <v>10.79</v>
      </c>
      <c r="G28" s="52">
        <v>27.2</v>
      </c>
      <c r="H28" s="52">
        <v>7.26</v>
      </c>
      <c r="I28" s="52">
        <v>1.34</v>
      </c>
      <c r="J28" s="52">
        <v>0.24</v>
      </c>
      <c r="K28" s="52">
        <v>226.43</v>
      </c>
      <c r="L28" s="52">
        <v>27.26</v>
      </c>
      <c r="M28" s="52">
        <v>97.77</v>
      </c>
      <c r="N28" s="52">
        <v>49.1</v>
      </c>
      <c r="O28" s="52">
        <v>0</v>
      </c>
      <c r="P28" s="52">
        <v>1.38</v>
      </c>
      <c r="Q28" s="52">
        <v>9.6300000000000008</v>
      </c>
      <c r="R28" s="43"/>
      <c r="S28" s="43"/>
      <c r="T28" s="43"/>
      <c r="U28" s="43"/>
    </row>
    <row r="29" spans="1:21" s="11" customFormat="1" x14ac:dyDescent="0.25">
      <c r="A29" s="51" t="s">
        <v>440</v>
      </c>
      <c r="B29" s="52">
        <v>26.16</v>
      </c>
      <c r="C29" s="52">
        <v>21.99</v>
      </c>
      <c r="D29" s="52">
        <v>32.47</v>
      </c>
      <c r="E29" s="52">
        <v>5.99</v>
      </c>
      <c r="F29" s="52">
        <v>7.35</v>
      </c>
      <c r="G29" s="52">
        <v>31.12</v>
      </c>
      <c r="H29" s="52">
        <v>9.5299999999999994</v>
      </c>
      <c r="I29" s="52">
        <v>1.66</v>
      </c>
      <c r="J29" s="52">
        <v>0.1</v>
      </c>
      <c r="K29" s="52">
        <v>285.81</v>
      </c>
      <c r="L29" s="52">
        <v>26.7</v>
      </c>
      <c r="M29" s="52">
        <v>97.8</v>
      </c>
      <c r="N29" s="52">
        <v>49.1</v>
      </c>
      <c r="O29" s="52">
        <v>0</v>
      </c>
      <c r="P29" s="52">
        <v>1.62</v>
      </c>
      <c r="Q29" s="52">
        <v>9.64</v>
      </c>
      <c r="R29" s="43"/>
      <c r="S29" s="43"/>
      <c r="T29" s="43"/>
      <c r="U29" s="43"/>
    </row>
    <row r="30" spans="1:21" s="11" customFormat="1" x14ac:dyDescent="0.25">
      <c r="A30" s="51" t="s">
        <v>441</v>
      </c>
      <c r="B30" s="52">
        <v>17.66</v>
      </c>
      <c r="C30" s="52">
        <v>16.3</v>
      </c>
      <c r="D30" s="52">
        <v>22.67</v>
      </c>
      <c r="E30" s="52">
        <v>5.86</v>
      </c>
      <c r="F30" s="52">
        <v>7.37</v>
      </c>
      <c r="G30" s="52">
        <v>39.36</v>
      </c>
      <c r="H30" s="52">
        <v>10.42</v>
      </c>
      <c r="I30" s="52">
        <v>1.86</v>
      </c>
      <c r="J30" s="52">
        <v>0.08</v>
      </c>
      <c r="K30" s="52">
        <v>290.02</v>
      </c>
      <c r="L30" s="52">
        <v>26.55</v>
      </c>
      <c r="M30" s="52">
        <v>97.81</v>
      </c>
      <c r="N30" s="52">
        <v>49.1</v>
      </c>
      <c r="O30" s="52">
        <v>0</v>
      </c>
      <c r="P30" s="52">
        <v>1</v>
      </c>
      <c r="Q30" s="52">
        <v>9.65</v>
      </c>
      <c r="R30" s="43"/>
      <c r="S30" s="43"/>
      <c r="T30" s="43"/>
      <c r="U30" s="43"/>
    </row>
    <row r="31" spans="1:21" s="11" customFormat="1" x14ac:dyDescent="0.25">
      <c r="A31" s="51" t="s">
        <v>442</v>
      </c>
      <c r="B31" s="52">
        <v>9.6</v>
      </c>
      <c r="C31" s="52">
        <v>9.83</v>
      </c>
      <c r="D31" s="52">
        <v>12.84</v>
      </c>
      <c r="E31" s="52">
        <v>5.8</v>
      </c>
      <c r="F31" s="52">
        <v>9.0500000000000007</v>
      </c>
      <c r="G31" s="52">
        <v>39.36</v>
      </c>
      <c r="H31" s="52">
        <v>10.42</v>
      </c>
      <c r="I31" s="52">
        <v>1.87</v>
      </c>
      <c r="J31" s="52">
        <v>0.92</v>
      </c>
      <c r="K31" s="52">
        <v>145.19</v>
      </c>
      <c r="L31" s="52">
        <v>26.43</v>
      </c>
      <c r="M31" s="52">
        <v>97.78</v>
      </c>
      <c r="N31" s="52">
        <v>49.4</v>
      </c>
      <c r="O31" s="52">
        <v>0</v>
      </c>
      <c r="P31" s="52">
        <v>0.56000000000000005</v>
      </c>
      <c r="Q31" s="52">
        <v>9.65</v>
      </c>
      <c r="R31" s="43"/>
      <c r="S31" s="43"/>
      <c r="T31" s="43"/>
      <c r="U31" s="43"/>
    </row>
    <row r="32" spans="1:21" s="11" customFormat="1" x14ac:dyDescent="0.25">
      <c r="A32" s="51" t="s">
        <v>443</v>
      </c>
      <c r="B32" s="52">
        <v>9.7200000000000006</v>
      </c>
      <c r="C32" s="52">
        <v>22.94</v>
      </c>
      <c r="D32" s="52">
        <v>19.78</v>
      </c>
      <c r="E32" s="52">
        <v>5.66</v>
      </c>
      <c r="F32" s="52">
        <v>11.15</v>
      </c>
      <c r="G32" s="52">
        <v>33.130000000000003</v>
      </c>
      <c r="H32" s="52">
        <v>8.07</v>
      </c>
      <c r="I32" s="52">
        <v>1.78</v>
      </c>
      <c r="J32" s="52">
        <v>1.21</v>
      </c>
      <c r="K32" s="52">
        <v>131.13999999999999</v>
      </c>
      <c r="L32" s="52">
        <v>26.21</v>
      </c>
      <c r="M32" s="52">
        <v>97.75</v>
      </c>
      <c r="N32" s="52">
        <v>49.4</v>
      </c>
      <c r="O32" s="52">
        <v>0</v>
      </c>
      <c r="P32" s="52">
        <v>0.42</v>
      </c>
      <c r="Q32" s="52">
        <v>9.66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5.51</v>
      </c>
      <c r="C34" s="28">
        <f t="shared" si="0"/>
        <v>6.39</v>
      </c>
      <c r="D34" s="28">
        <f t="shared" si="0"/>
        <v>8.24</v>
      </c>
      <c r="E34" s="28">
        <f t="shared" si="0"/>
        <v>4.99</v>
      </c>
      <c r="F34" s="28">
        <f t="shared" si="0"/>
        <v>7.35</v>
      </c>
      <c r="G34" s="28">
        <f t="shared" si="0"/>
        <v>12.98</v>
      </c>
      <c r="H34" s="28">
        <f t="shared" si="0"/>
        <v>3.15</v>
      </c>
      <c r="I34" s="28">
        <f t="shared" si="0"/>
        <v>1.0900000000000001</v>
      </c>
      <c r="J34" s="28">
        <f t="shared" si="0"/>
        <v>0.08</v>
      </c>
      <c r="K34" s="28">
        <f t="shared" si="0"/>
        <v>125.77</v>
      </c>
      <c r="L34" s="28">
        <f t="shared" si="0"/>
        <v>23.23</v>
      </c>
      <c r="M34" s="28">
        <f t="shared" si="0"/>
        <v>92.87</v>
      </c>
      <c r="N34" s="28">
        <f t="shared" si="0"/>
        <v>40.9</v>
      </c>
      <c r="O34" s="28">
        <f t="shared" si="0"/>
        <v>0</v>
      </c>
      <c r="P34" s="28">
        <f t="shared" si="0"/>
        <v>0.26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26.16</v>
      </c>
      <c r="C35" s="29">
        <f t="shared" si="1"/>
        <v>22.94</v>
      </c>
      <c r="D35" s="29">
        <f t="shared" si="1"/>
        <v>32.47</v>
      </c>
      <c r="E35" s="29">
        <f t="shared" si="1"/>
        <v>5.99</v>
      </c>
      <c r="F35" s="29">
        <f t="shared" si="1"/>
        <v>13.1</v>
      </c>
      <c r="G35" s="29">
        <f t="shared" si="1"/>
        <v>39.36</v>
      </c>
      <c r="H35" s="29">
        <f t="shared" si="1"/>
        <v>13.24</v>
      </c>
      <c r="I35" s="29">
        <f t="shared" si="1"/>
        <v>1.87</v>
      </c>
      <c r="J35" s="29">
        <f t="shared" si="1"/>
        <v>1.33</v>
      </c>
      <c r="K35" s="29">
        <f t="shared" si="1"/>
        <v>339.02</v>
      </c>
      <c r="L35" s="29">
        <f t="shared" si="1"/>
        <v>28.86</v>
      </c>
      <c r="M35" s="29">
        <f t="shared" si="1"/>
        <v>97.93</v>
      </c>
      <c r="N35" s="29">
        <f t="shared" si="1"/>
        <v>649.9</v>
      </c>
      <c r="O35" s="29">
        <f t="shared" si="1"/>
        <v>0</v>
      </c>
      <c r="P35" s="29">
        <f t="shared" si="1"/>
        <v>1.62</v>
      </c>
      <c r="Q35" s="29">
        <f t="shared" si="1"/>
        <v>9.66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10.939166666666665</v>
      </c>
      <c r="C36" s="28">
        <f t="shared" si="2"/>
        <v>12.307916666666666</v>
      </c>
      <c r="D36" s="28">
        <f t="shared" si="2"/>
        <v>14.692916666666667</v>
      </c>
      <c r="E36" s="28">
        <f t="shared" si="2"/>
        <v>5.4020833333333336</v>
      </c>
      <c r="F36" s="28">
        <f t="shared" si="2"/>
        <v>10.043750000000001</v>
      </c>
      <c r="G36" s="28">
        <f t="shared" si="2"/>
        <v>21.174999999999997</v>
      </c>
      <c r="H36" s="28">
        <f t="shared" si="2"/>
        <v>7.52708333333333</v>
      </c>
      <c r="I36" s="28">
        <f t="shared" si="2"/>
        <v>1.3154166666666669</v>
      </c>
      <c r="J36" s="28">
        <f t="shared" si="2"/>
        <v>0.64541666666666675</v>
      </c>
      <c r="K36" s="28">
        <f t="shared" si="2"/>
        <v>197.30833333333331</v>
      </c>
      <c r="L36" s="28">
        <f t="shared" si="2"/>
        <v>26.387083333333337</v>
      </c>
      <c r="M36" s="28">
        <f t="shared" si="2"/>
        <v>97.455416666666679</v>
      </c>
      <c r="N36" s="28">
        <f t="shared" si="2"/>
        <v>207.7708333333334</v>
      </c>
      <c r="O36" s="28">
        <f t="shared" si="2"/>
        <v>0</v>
      </c>
      <c r="P36" s="28">
        <f t="shared" si="2"/>
        <v>0.51083333333333336</v>
      </c>
      <c r="Q36" s="28">
        <f t="shared" si="2"/>
        <v>9.6441666666666652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4.7287004526629239</v>
      </c>
      <c r="C37" s="28">
        <f t="shared" ref="C37:Q37" si="3">STDEV(C9:C32)</f>
        <v>4.9751372969183896</v>
      </c>
      <c r="D37" s="28">
        <f t="shared" si="3"/>
        <v>5.992021128980185</v>
      </c>
      <c r="E37" s="28">
        <f t="shared" si="3"/>
        <v>0.29751111293335009</v>
      </c>
      <c r="F37" s="28">
        <f t="shared" si="3"/>
        <v>1.7947987957961451</v>
      </c>
      <c r="G37" s="28">
        <f t="shared" si="3"/>
        <v>7.7646041921574955</v>
      </c>
      <c r="H37" s="28">
        <f t="shared" si="3"/>
        <v>2.677083876106646</v>
      </c>
      <c r="I37" s="28">
        <f t="shared" si="3"/>
        <v>0.24724533084203734</v>
      </c>
      <c r="J37" s="28">
        <f t="shared" si="3"/>
        <v>0.39006107845763877</v>
      </c>
      <c r="K37" s="28">
        <f t="shared" si="3"/>
        <v>83.007988807084786</v>
      </c>
      <c r="L37" s="28">
        <f t="shared" si="3"/>
        <v>2.0101751582055396</v>
      </c>
      <c r="M37" s="28">
        <f t="shared" si="3"/>
        <v>1.0727290640826017</v>
      </c>
      <c r="N37" s="28">
        <f t="shared" si="3"/>
        <v>219.00270293977536</v>
      </c>
      <c r="O37" s="28">
        <f t="shared" si="3"/>
        <v>0</v>
      </c>
      <c r="P37" s="28">
        <f t="shared" si="3"/>
        <v>0.35102231647954596</v>
      </c>
      <c r="Q37" s="28">
        <f t="shared" si="3"/>
        <v>9.2861124297507341E-3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14" sqref="H14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1" t="s">
        <v>444</v>
      </c>
      <c r="B9" s="52">
        <v>10.57</v>
      </c>
      <c r="C9" s="52">
        <v>6.75</v>
      </c>
      <c r="D9" s="52">
        <v>11.46</v>
      </c>
      <c r="E9" s="52">
        <v>4.97</v>
      </c>
      <c r="F9" s="52">
        <v>7.25</v>
      </c>
      <c r="G9" s="52">
        <v>26.24</v>
      </c>
      <c r="H9" s="52">
        <v>7.46</v>
      </c>
      <c r="I9" s="52">
        <v>1.65</v>
      </c>
      <c r="J9" s="52">
        <v>1.24</v>
      </c>
      <c r="K9" s="52">
        <v>310.01</v>
      </c>
      <c r="L9" s="52">
        <v>25.85</v>
      </c>
      <c r="M9" s="52">
        <v>97.93</v>
      </c>
      <c r="N9" s="52">
        <v>51.9</v>
      </c>
      <c r="O9" s="52">
        <v>0</v>
      </c>
      <c r="P9" s="52">
        <v>0.54</v>
      </c>
      <c r="Q9" s="52">
        <v>9.65</v>
      </c>
      <c r="R9" s="43"/>
      <c r="S9" s="43"/>
      <c r="T9" s="43"/>
      <c r="U9" s="43"/>
    </row>
    <row r="10" spans="1:21" s="11" customFormat="1" x14ac:dyDescent="0.25">
      <c r="A10" s="51" t="s">
        <v>445</v>
      </c>
      <c r="B10" s="52">
        <v>10.33</v>
      </c>
      <c r="C10" s="52">
        <v>6.19</v>
      </c>
      <c r="D10" s="52">
        <v>11.32</v>
      </c>
      <c r="E10" s="52">
        <v>4.7</v>
      </c>
      <c r="F10" s="52">
        <v>2.31</v>
      </c>
      <c r="G10" s="52">
        <v>24.41</v>
      </c>
      <c r="H10" s="52">
        <v>5.67</v>
      </c>
      <c r="I10" s="52">
        <v>1.48</v>
      </c>
      <c r="J10" s="52">
        <v>0.19</v>
      </c>
      <c r="K10" s="52">
        <v>341.44</v>
      </c>
      <c r="L10" s="52">
        <v>22.74</v>
      </c>
      <c r="M10" s="52">
        <v>97.95</v>
      </c>
      <c r="N10" s="52">
        <v>50.1</v>
      </c>
      <c r="O10" s="52">
        <v>0</v>
      </c>
      <c r="P10" s="52">
        <v>0.49</v>
      </c>
      <c r="Q10" s="52">
        <v>9.65</v>
      </c>
      <c r="R10" s="43"/>
      <c r="S10" s="43"/>
      <c r="T10" s="43"/>
      <c r="U10" s="43"/>
    </row>
    <row r="11" spans="1:21" s="11" customFormat="1" x14ac:dyDescent="0.25">
      <c r="A11" s="51" t="s">
        <v>446</v>
      </c>
      <c r="B11" s="52">
        <v>8.73</v>
      </c>
      <c r="C11" s="52">
        <v>8.4600000000000009</v>
      </c>
      <c r="D11" s="52">
        <v>10.3</v>
      </c>
      <c r="E11" s="52">
        <v>4.66</v>
      </c>
      <c r="F11" s="52">
        <v>7.77</v>
      </c>
      <c r="G11" s="52">
        <v>16.440000000000001</v>
      </c>
      <c r="H11" s="52">
        <v>5.25</v>
      </c>
      <c r="I11" s="52">
        <v>1.25</v>
      </c>
      <c r="J11" s="52">
        <v>0.2</v>
      </c>
      <c r="K11" s="52">
        <v>166.13</v>
      </c>
      <c r="L11" s="52">
        <v>22.62</v>
      </c>
      <c r="M11" s="52">
        <v>97.93</v>
      </c>
      <c r="N11" s="52">
        <v>49.2</v>
      </c>
      <c r="O11" s="52">
        <v>0</v>
      </c>
      <c r="P11" s="52">
        <v>0.41</v>
      </c>
      <c r="Q11" s="52">
        <v>9.64</v>
      </c>
      <c r="R11" s="43"/>
      <c r="S11" s="43"/>
      <c r="T11" s="43"/>
      <c r="U11" s="43"/>
    </row>
    <row r="12" spans="1:21" s="11" customFormat="1" x14ac:dyDescent="0.25">
      <c r="A12" s="51" t="s">
        <v>447</v>
      </c>
      <c r="B12" s="52">
        <v>6.3</v>
      </c>
      <c r="C12" s="52">
        <v>7.29</v>
      </c>
      <c r="D12" s="52">
        <v>8.86</v>
      </c>
      <c r="E12" s="52">
        <v>4.62</v>
      </c>
      <c r="F12" s="52">
        <v>7.89</v>
      </c>
      <c r="G12" s="52">
        <v>11.48</v>
      </c>
      <c r="H12" s="52">
        <v>3.94</v>
      </c>
      <c r="I12" s="52">
        <v>1.25</v>
      </c>
      <c r="J12" s="52">
        <v>0.96</v>
      </c>
      <c r="K12" s="52">
        <v>180.92</v>
      </c>
      <c r="L12" s="52">
        <v>22.77</v>
      </c>
      <c r="M12" s="52">
        <v>97.95</v>
      </c>
      <c r="N12" s="52">
        <v>49.4</v>
      </c>
      <c r="O12" s="52">
        <v>0</v>
      </c>
      <c r="P12" s="52">
        <v>0.3</v>
      </c>
      <c r="Q12" s="52">
        <v>9.64</v>
      </c>
      <c r="R12" s="43"/>
      <c r="S12" s="43"/>
      <c r="T12" s="43"/>
      <c r="U12" s="43"/>
    </row>
    <row r="13" spans="1:21" s="11" customFormat="1" x14ac:dyDescent="0.25">
      <c r="A13" s="51" t="s">
        <v>448</v>
      </c>
      <c r="B13" s="52">
        <v>7.48</v>
      </c>
      <c r="C13" s="52">
        <v>7.12</v>
      </c>
      <c r="D13" s="52">
        <v>9.26</v>
      </c>
      <c r="E13" s="52">
        <v>4.7699999999999996</v>
      </c>
      <c r="F13" s="52">
        <v>8.09</v>
      </c>
      <c r="G13" s="52">
        <v>8.67</v>
      </c>
      <c r="H13" s="52">
        <v>3.08</v>
      </c>
      <c r="I13" s="52">
        <v>1.26</v>
      </c>
      <c r="J13" s="52">
        <v>1.1399999999999999</v>
      </c>
      <c r="K13" s="52">
        <v>133.22999999999999</v>
      </c>
      <c r="L13" s="52">
        <v>23</v>
      </c>
      <c r="M13" s="52">
        <v>97.95</v>
      </c>
      <c r="N13" s="52">
        <v>49.6</v>
      </c>
      <c r="O13" s="52">
        <v>0</v>
      </c>
      <c r="P13" s="52">
        <v>0.3</v>
      </c>
      <c r="Q13" s="52">
        <v>9.6300000000000008</v>
      </c>
      <c r="R13" s="43"/>
      <c r="S13" s="43"/>
      <c r="T13" s="43"/>
      <c r="U13" s="43"/>
    </row>
    <row r="14" spans="1:21" s="11" customFormat="1" x14ac:dyDescent="0.25">
      <c r="A14" s="51" t="s">
        <v>449</v>
      </c>
      <c r="B14" s="52">
        <v>7.41</v>
      </c>
      <c r="C14" s="52">
        <v>11.03</v>
      </c>
      <c r="D14" s="52">
        <v>11.47</v>
      </c>
      <c r="E14" s="52">
        <v>4.72</v>
      </c>
      <c r="F14" s="52">
        <v>4.7699999999999996</v>
      </c>
      <c r="G14" s="52">
        <v>8.3800000000000008</v>
      </c>
      <c r="H14" s="52">
        <v>2.2599999999999998</v>
      </c>
      <c r="I14" s="52">
        <v>1.22</v>
      </c>
      <c r="J14" s="52">
        <v>0.61</v>
      </c>
      <c r="K14" s="52">
        <v>127.81</v>
      </c>
      <c r="L14" s="52">
        <v>23.22</v>
      </c>
      <c r="M14" s="52">
        <v>97.95</v>
      </c>
      <c r="N14" s="52">
        <v>57.5</v>
      </c>
      <c r="O14" s="52">
        <v>0</v>
      </c>
      <c r="P14" s="52">
        <v>0.36</v>
      </c>
      <c r="Q14" s="52">
        <v>9.64</v>
      </c>
      <c r="R14" s="43"/>
      <c r="S14" s="43"/>
      <c r="T14" s="43"/>
      <c r="U14" s="43"/>
    </row>
    <row r="15" spans="1:21" s="11" customFormat="1" x14ac:dyDescent="0.25">
      <c r="A15" s="51" t="s">
        <v>450</v>
      </c>
      <c r="B15" s="52">
        <v>8.61</v>
      </c>
      <c r="C15" s="52">
        <v>10.62</v>
      </c>
      <c r="D15" s="52">
        <v>11.59</v>
      </c>
      <c r="E15" s="52">
        <v>4.58</v>
      </c>
      <c r="F15" s="52">
        <v>5.14</v>
      </c>
      <c r="G15" s="52">
        <v>7.6</v>
      </c>
      <c r="H15" s="52">
        <v>1.69</v>
      </c>
      <c r="I15" s="52">
        <v>1.29</v>
      </c>
      <c r="J15" s="52">
        <v>1.01</v>
      </c>
      <c r="K15" s="52">
        <v>126.99</v>
      </c>
      <c r="L15" s="52">
        <v>23.97</v>
      </c>
      <c r="M15" s="52">
        <v>97.95</v>
      </c>
      <c r="N15" s="52">
        <v>143.1</v>
      </c>
      <c r="O15" s="52">
        <v>0</v>
      </c>
      <c r="P15" s="52">
        <v>0.32</v>
      </c>
      <c r="Q15" s="52">
        <v>9.64</v>
      </c>
      <c r="R15" s="43"/>
      <c r="S15" s="43"/>
      <c r="T15" s="43"/>
      <c r="U15" s="43"/>
    </row>
    <row r="16" spans="1:21" s="11" customFormat="1" x14ac:dyDescent="0.25">
      <c r="A16" s="51" t="s">
        <v>451</v>
      </c>
      <c r="B16" s="52">
        <v>7.91</v>
      </c>
      <c r="C16" s="52">
        <v>7.1</v>
      </c>
      <c r="D16" s="52">
        <v>9.99</v>
      </c>
      <c r="E16" s="52">
        <v>4.83</v>
      </c>
      <c r="F16" s="52">
        <v>6.72</v>
      </c>
      <c r="G16" s="52">
        <v>8.4</v>
      </c>
      <c r="H16" s="52">
        <v>1.55</v>
      </c>
      <c r="I16" s="52">
        <v>1.29</v>
      </c>
      <c r="J16" s="52">
        <v>0.83</v>
      </c>
      <c r="K16" s="52">
        <v>117.46</v>
      </c>
      <c r="L16" s="52">
        <v>24.68</v>
      </c>
      <c r="M16" s="52">
        <v>97.91</v>
      </c>
      <c r="N16" s="52">
        <v>206</v>
      </c>
      <c r="O16" s="52">
        <v>0</v>
      </c>
      <c r="P16" s="52">
        <v>0.26</v>
      </c>
      <c r="Q16" s="52">
        <v>9.66</v>
      </c>
      <c r="R16" s="43"/>
      <c r="S16" s="43"/>
      <c r="T16" s="43"/>
      <c r="U16" s="43"/>
    </row>
    <row r="17" spans="1:21" s="11" customFormat="1" x14ac:dyDescent="0.25">
      <c r="A17" s="51" t="s">
        <v>452</v>
      </c>
      <c r="B17" s="52">
        <v>7.79</v>
      </c>
      <c r="C17" s="52">
        <v>7.01</v>
      </c>
      <c r="D17" s="52">
        <v>9.8699999999999992</v>
      </c>
      <c r="E17" s="52">
        <v>4.6399999999999997</v>
      </c>
      <c r="F17" s="52">
        <v>9.24</v>
      </c>
      <c r="G17" s="52">
        <v>8.4</v>
      </c>
      <c r="H17" s="52">
        <v>4.13</v>
      </c>
      <c r="I17" s="52">
        <v>1.22</v>
      </c>
      <c r="J17" s="52">
        <v>0.9</v>
      </c>
      <c r="K17" s="52">
        <v>123.53</v>
      </c>
      <c r="L17" s="52">
        <v>26.27</v>
      </c>
      <c r="M17" s="52">
        <v>97.83</v>
      </c>
      <c r="N17" s="52">
        <v>683.7</v>
      </c>
      <c r="O17" s="52">
        <v>0</v>
      </c>
      <c r="P17" s="52">
        <v>0.24</v>
      </c>
      <c r="Q17" s="52">
        <v>9.64</v>
      </c>
      <c r="R17" s="43"/>
      <c r="S17" s="43"/>
      <c r="T17" s="43"/>
      <c r="U17" s="43"/>
    </row>
    <row r="18" spans="1:21" s="11" customFormat="1" x14ac:dyDescent="0.25">
      <c r="A18" s="51" t="s">
        <v>453</v>
      </c>
      <c r="B18" s="52">
        <v>7.32</v>
      </c>
      <c r="C18" s="52">
        <v>6.8</v>
      </c>
      <c r="D18" s="52">
        <v>9.1</v>
      </c>
      <c r="E18" s="52">
        <v>4.75</v>
      </c>
      <c r="F18" s="52">
        <v>9.25</v>
      </c>
      <c r="G18" s="52">
        <v>8.73</v>
      </c>
      <c r="H18" s="52">
        <v>4.13</v>
      </c>
      <c r="I18" s="52">
        <v>1.18</v>
      </c>
      <c r="J18" s="52">
        <v>1.29</v>
      </c>
      <c r="K18" s="52">
        <v>120.79</v>
      </c>
      <c r="L18" s="52">
        <v>27.98</v>
      </c>
      <c r="M18" s="52">
        <v>96.82</v>
      </c>
      <c r="N18" s="52">
        <v>827.4</v>
      </c>
      <c r="O18" s="52">
        <v>0</v>
      </c>
      <c r="P18" s="52">
        <v>0.22</v>
      </c>
      <c r="Q18" s="52">
        <v>9.6300000000000008</v>
      </c>
      <c r="R18" s="43"/>
      <c r="S18" s="43"/>
      <c r="T18" s="43"/>
      <c r="U18" s="43"/>
    </row>
    <row r="19" spans="1:21" s="11" customFormat="1" x14ac:dyDescent="0.25">
      <c r="A19" s="51" t="s">
        <v>454</v>
      </c>
      <c r="B19" s="52">
        <v>7.87</v>
      </c>
      <c r="C19" s="52">
        <v>7.66</v>
      </c>
      <c r="D19" s="52">
        <v>10.31</v>
      </c>
      <c r="E19" s="52">
        <v>4.58</v>
      </c>
      <c r="F19" s="52">
        <v>10.83</v>
      </c>
      <c r="G19" s="52">
        <v>8.73</v>
      </c>
      <c r="H19" s="52">
        <v>3.36</v>
      </c>
      <c r="I19" s="52">
        <v>1.02</v>
      </c>
      <c r="J19" s="52">
        <v>0.92</v>
      </c>
      <c r="K19" s="52">
        <v>140.03</v>
      </c>
      <c r="L19" s="52">
        <v>28.26</v>
      </c>
      <c r="M19" s="52">
        <v>93.25</v>
      </c>
      <c r="N19" s="52">
        <v>692.1</v>
      </c>
      <c r="O19" s="52">
        <v>0</v>
      </c>
      <c r="P19" s="52">
        <v>0.21</v>
      </c>
      <c r="Q19" s="52">
        <v>9.64</v>
      </c>
      <c r="R19" s="43"/>
      <c r="S19" s="43"/>
      <c r="T19" s="43"/>
      <c r="U19" s="43"/>
    </row>
    <row r="20" spans="1:21" s="11" customFormat="1" x14ac:dyDescent="0.25">
      <c r="A20" s="51" t="s">
        <v>455</v>
      </c>
      <c r="B20" s="52">
        <v>8.2100000000000009</v>
      </c>
      <c r="C20" s="52">
        <v>9.17</v>
      </c>
      <c r="D20" s="52">
        <v>11.38</v>
      </c>
      <c r="E20" s="52">
        <v>4.8</v>
      </c>
      <c r="F20" s="52">
        <v>8.76</v>
      </c>
      <c r="G20" s="52">
        <v>8.5399999999999991</v>
      </c>
      <c r="H20" s="52">
        <v>3.27</v>
      </c>
      <c r="I20" s="52">
        <v>0.93</v>
      </c>
      <c r="J20" s="52">
        <v>1.1000000000000001</v>
      </c>
      <c r="K20" s="52">
        <v>126.9</v>
      </c>
      <c r="L20" s="52">
        <v>29.63</v>
      </c>
      <c r="M20" s="52">
        <v>92.12</v>
      </c>
      <c r="N20" s="52">
        <v>1051.7</v>
      </c>
      <c r="O20" s="52">
        <v>0</v>
      </c>
      <c r="P20" s="52">
        <v>0.22</v>
      </c>
      <c r="Q20" s="52">
        <v>9.6300000000000008</v>
      </c>
      <c r="R20" s="43"/>
      <c r="S20" s="43"/>
      <c r="T20" s="43"/>
      <c r="U20" s="43"/>
    </row>
    <row r="21" spans="1:21" s="11" customFormat="1" x14ac:dyDescent="0.25">
      <c r="A21" s="51" t="s">
        <v>456</v>
      </c>
      <c r="B21" s="52">
        <v>9.6199999999999992</v>
      </c>
      <c r="C21" s="52">
        <v>8.6</v>
      </c>
      <c r="D21" s="52">
        <v>11.65</v>
      </c>
      <c r="E21" s="52">
        <v>5.05</v>
      </c>
      <c r="F21" s="52">
        <v>11.36</v>
      </c>
      <c r="G21" s="52">
        <v>8.5399999999999991</v>
      </c>
      <c r="H21" s="52">
        <v>2.4700000000000002</v>
      </c>
      <c r="I21" s="52">
        <v>0.9</v>
      </c>
      <c r="J21" s="52">
        <v>1.38</v>
      </c>
      <c r="K21" s="52">
        <v>125.26</v>
      </c>
      <c r="L21" s="52">
        <v>30.06</v>
      </c>
      <c r="M21" s="52">
        <v>83.71</v>
      </c>
      <c r="N21" s="52">
        <v>973.6</v>
      </c>
      <c r="O21" s="52">
        <v>0</v>
      </c>
      <c r="P21" s="52">
        <v>0.23</v>
      </c>
      <c r="Q21" s="52">
        <v>9.6199999999999992</v>
      </c>
      <c r="R21" s="43"/>
      <c r="S21" s="43"/>
      <c r="T21" s="43"/>
      <c r="U21" s="43"/>
    </row>
    <row r="22" spans="1:21" s="11" customFormat="1" x14ac:dyDescent="0.25">
      <c r="A22" s="51" t="s">
        <v>457</v>
      </c>
      <c r="B22" s="52">
        <v>9.81</v>
      </c>
      <c r="C22" s="52">
        <v>8.36</v>
      </c>
      <c r="D22" s="52">
        <v>12.23</v>
      </c>
      <c r="E22" s="52">
        <v>5.03</v>
      </c>
      <c r="F22" s="52">
        <v>11.48</v>
      </c>
      <c r="G22" s="52">
        <v>7.35</v>
      </c>
      <c r="H22" s="52">
        <v>3.74</v>
      </c>
      <c r="I22" s="52">
        <v>0.94</v>
      </c>
      <c r="J22" s="52">
        <v>1.1399999999999999</v>
      </c>
      <c r="K22" s="52">
        <v>130.38</v>
      </c>
      <c r="L22" s="52">
        <v>30.31</v>
      </c>
      <c r="M22" s="52">
        <v>78.44</v>
      </c>
      <c r="N22" s="52">
        <v>423.6</v>
      </c>
      <c r="O22" s="52">
        <v>0</v>
      </c>
      <c r="P22" s="52">
        <v>0.26</v>
      </c>
      <c r="Q22" s="52">
        <v>9.6300000000000008</v>
      </c>
      <c r="R22" s="43"/>
      <c r="S22" s="43"/>
      <c r="T22" s="43"/>
      <c r="U22" s="43"/>
    </row>
    <row r="23" spans="1:21" s="11" customFormat="1" x14ac:dyDescent="0.25">
      <c r="A23" s="51" t="s">
        <v>458</v>
      </c>
      <c r="B23" s="52">
        <v>7.21</v>
      </c>
      <c r="C23" s="52">
        <v>9.01</v>
      </c>
      <c r="D23" s="52">
        <v>10.130000000000001</v>
      </c>
      <c r="E23" s="52">
        <v>4.93</v>
      </c>
      <c r="F23" s="52">
        <v>14.53</v>
      </c>
      <c r="G23" s="52">
        <v>8.94</v>
      </c>
      <c r="H23" s="52">
        <v>3.74</v>
      </c>
      <c r="I23" s="52">
        <v>0.9</v>
      </c>
      <c r="J23" s="52">
        <v>1.29</v>
      </c>
      <c r="K23" s="52">
        <v>134.36000000000001</v>
      </c>
      <c r="L23" s="52">
        <v>29.52</v>
      </c>
      <c r="M23" s="52">
        <v>79.819999999999993</v>
      </c>
      <c r="N23" s="52">
        <v>247.1</v>
      </c>
      <c r="O23" s="52">
        <v>0</v>
      </c>
      <c r="P23" s="52">
        <v>0.32</v>
      </c>
      <c r="Q23" s="52">
        <v>9.65</v>
      </c>
      <c r="R23" s="43"/>
      <c r="S23" s="43"/>
      <c r="T23" s="43"/>
      <c r="U23" s="43"/>
    </row>
    <row r="24" spans="1:21" s="11" customFormat="1" x14ac:dyDescent="0.25">
      <c r="A24" s="51" t="s">
        <v>459</v>
      </c>
      <c r="B24" s="52">
        <v>9.2100000000000009</v>
      </c>
      <c r="C24" s="52">
        <v>10.73</v>
      </c>
      <c r="D24" s="52">
        <v>12.99</v>
      </c>
      <c r="E24" s="52">
        <v>4.75</v>
      </c>
      <c r="F24" s="52">
        <v>12.67</v>
      </c>
      <c r="G24" s="52">
        <v>12.28</v>
      </c>
      <c r="H24" s="52">
        <v>3</v>
      </c>
      <c r="I24" s="52">
        <v>0.85</v>
      </c>
      <c r="J24" s="52">
        <v>0.82</v>
      </c>
      <c r="K24" s="52">
        <v>350.65</v>
      </c>
      <c r="L24" s="52">
        <v>29.73</v>
      </c>
      <c r="M24" s="52">
        <v>81.67</v>
      </c>
      <c r="N24" s="52">
        <v>174.2</v>
      </c>
      <c r="O24" s="52">
        <v>0</v>
      </c>
      <c r="P24" s="52">
        <v>0.34</v>
      </c>
      <c r="Q24" s="52">
        <v>9.6300000000000008</v>
      </c>
      <c r="R24" s="43"/>
      <c r="S24" s="43"/>
      <c r="T24" s="43"/>
      <c r="U24" s="43"/>
    </row>
    <row r="25" spans="1:21" s="11" customFormat="1" x14ac:dyDescent="0.25">
      <c r="A25" s="51" t="s">
        <v>460</v>
      </c>
      <c r="B25" s="52">
        <v>9.4</v>
      </c>
      <c r="C25" s="52">
        <v>13.37</v>
      </c>
      <c r="D25" s="52">
        <v>13.97</v>
      </c>
      <c r="E25" s="52">
        <v>5.05</v>
      </c>
      <c r="F25" s="52">
        <v>16.47</v>
      </c>
      <c r="G25" s="52">
        <v>16.47</v>
      </c>
      <c r="H25" s="52">
        <v>17.32</v>
      </c>
      <c r="I25" s="52">
        <v>0.88</v>
      </c>
      <c r="J25" s="52">
        <v>0.53</v>
      </c>
      <c r="K25" s="52">
        <v>127.69</v>
      </c>
      <c r="L25" s="52">
        <v>29.5</v>
      </c>
      <c r="M25" s="52">
        <v>84.04</v>
      </c>
      <c r="N25" s="52">
        <v>157.30000000000001</v>
      </c>
      <c r="O25" s="52">
        <v>0</v>
      </c>
      <c r="P25" s="52">
        <v>0.35</v>
      </c>
      <c r="Q25" s="52">
        <v>9.6300000000000008</v>
      </c>
      <c r="R25" s="43"/>
      <c r="S25" s="43"/>
      <c r="T25" s="43"/>
      <c r="U25" s="43"/>
    </row>
    <row r="26" spans="1:21" s="11" customFormat="1" x14ac:dyDescent="0.25">
      <c r="A26" s="51" t="s">
        <v>461</v>
      </c>
      <c r="B26" s="52">
        <v>11.08</v>
      </c>
      <c r="C26" s="52">
        <v>11.62</v>
      </c>
      <c r="D26" s="52">
        <v>14.51</v>
      </c>
      <c r="E26" s="52">
        <v>5.08</v>
      </c>
      <c r="F26" s="52">
        <v>13.86</v>
      </c>
      <c r="G26" s="52">
        <v>19.59</v>
      </c>
      <c r="H26" s="52">
        <v>17.32</v>
      </c>
      <c r="I26" s="52">
        <v>0.93</v>
      </c>
      <c r="J26" s="52">
        <v>0.31</v>
      </c>
      <c r="K26" s="52">
        <v>333.51</v>
      </c>
      <c r="L26" s="52">
        <v>28.9</v>
      </c>
      <c r="M26" s="52">
        <v>86.43</v>
      </c>
      <c r="N26" s="52">
        <v>109.5</v>
      </c>
      <c r="O26" s="52">
        <v>0</v>
      </c>
      <c r="P26" s="52">
        <v>0.5</v>
      </c>
      <c r="Q26" s="52">
        <v>9.6199999999999992</v>
      </c>
      <c r="R26" s="43"/>
      <c r="S26" s="43"/>
      <c r="T26" s="43"/>
      <c r="U26" s="43"/>
    </row>
    <row r="27" spans="1:21" s="11" customFormat="1" x14ac:dyDescent="0.25">
      <c r="A27" s="51" t="s">
        <v>462</v>
      </c>
      <c r="B27" s="52">
        <v>17.98</v>
      </c>
      <c r="C27" s="52">
        <v>13.21</v>
      </c>
      <c r="D27" s="52">
        <v>20.89</v>
      </c>
      <c r="E27" s="52">
        <v>5.01</v>
      </c>
      <c r="F27" s="52">
        <v>10.59</v>
      </c>
      <c r="G27" s="52">
        <v>22.03</v>
      </c>
      <c r="H27" s="52">
        <v>11.72</v>
      </c>
      <c r="I27" s="52">
        <v>1.03</v>
      </c>
      <c r="J27" s="52">
        <v>0.38</v>
      </c>
      <c r="K27" s="52">
        <v>320.89999999999998</v>
      </c>
      <c r="L27" s="52">
        <v>28.14</v>
      </c>
      <c r="M27" s="52">
        <v>91.6</v>
      </c>
      <c r="N27" s="52">
        <v>55.3</v>
      </c>
      <c r="O27" s="52">
        <v>0</v>
      </c>
      <c r="P27" s="52">
        <v>0.71</v>
      </c>
      <c r="Q27" s="52">
        <v>9.6300000000000008</v>
      </c>
      <c r="R27" s="43"/>
      <c r="S27" s="43"/>
      <c r="T27" s="43"/>
      <c r="U27" s="43"/>
    </row>
    <row r="28" spans="1:21" s="11" customFormat="1" x14ac:dyDescent="0.25">
      <c r="A28" s="51" t="s">
        <v>463</v>
      </c>
      <c r="B28" s="52">
        <v>9.31</v>
      </c>
      <c r="C28" s="52">
        <v>10.69</v>
      </c>
      <c r="D28" s="52">
        <v>11.6</v>
      </c>
      <c r="E28" s="52">
        <v>4.87</v>
      </c>
      <c r="F28" s="52">
        <v>8.2799999999999994</v>
      </c>
      <c r="G28" s="52">
        <v>22.3</v>
      </c>
      <c r="H28" s="52">
        <v>12.29</v>
      </c>
      <c r="I28" s="52">
        <v>1.07</v>
      </c>
      <c r="J28" s="52">
        <v>2.16</v>
      </c>
      <c r="K28" s="52">
        <v>130.41</v>
      </c>
      <c r="L28" s="52">
        <v>27.71</v>
      </c>
      <c r="M28" s="52">
        <v>98.06</v>
      </c>
      <c r="N28" s="52">
        <v>49.3</v>
      </c>
      <c r="O28" s="52">
        <v>0.2</v>
      </c>
      <c r="P28" s="52">
        <v>0.44</v>
      </c>
      <c r="Q28" s="52">
        <v>9.6199999999999992</v>
      </c>
      <c r="R28" s="43"/>
      <c r="S28" s="43"/>
      <c r="T28" s="43"/>
      <c r="U28" s="43"/>
    </row>
    <row r="29" spans="1:21" s="11" customFormat="1" x14ac:dyDescent="0.25">
      <c r="A29" s="51" t="s">
        <v>464</v>
      </c>
      <c r="B29" s="52">
        <v>9.3699999999999992</v>
      </c>
      <c r="C29" s="52">
        <v>9.2899999999999991</v>
      </c>
      <c r="D29" s="52">
        <v>11.72</v>
      </c>
      <c r="E29" s="52">
        <v>4.54</v>
      </c>
      <c r="F29" s="52">
        <v>5.13</v>
      </c>
      <c r="G29" s="52">
        <v>22.3</v>
      </c>
      <c r="H29" s="52">
        <v>12.29</v>
      </c>
      <c r="I29" s="52">
        <v>1.1200000000000001</v>
      </c>
      <c r="J29" s="52">
        <v>0.37</v>
      </c>
      <c r="K29" s="52">
        <v>146.78</v>
      </c>
      <c r="L29" s="52">
        <v>23.6</v>
      </c>
      <c r="M29" s="52">
        <v>98.08</v>
      </c>
      <c r="N29" s="52">
        <v>45.6</v>
      </c>
      <c r="O29" s="52">
        <v>0</v>
      </c>
      <c r="P29" s="52">
        <v>0.45</v>
      </c>
      <c r="Q29" s="52">
        <v>9.6300000000000008</v>
      </c>
      <c r="R29" s="43"/>
      <c r="S29" s="43"/>
      <c r="T29" s="43"/>
      <c r="U29" s="43"/>
    </row>
    <row r="30" spans="1:21" s="11" customFormat="1" x14ac:dyDescent="0.25">
      <c r="A30" s="51" t="s">
        <v>465</v>
      </c>
      <c r="B30" s="52">
        <v>19.72</v>
      </c>
      <c r="C30" s="52">
        <v>11.03</v>
      </c>
      <c r="D30" s="52">
        <v>24.32</v>
      </c>
      <c r="E30" s="52">
        <v>4.47</v>
      </c>
      <c r="F30" s="52">
        <v>3.36</v>
      </c>
      <c r="G30" s="52">
        <v>18.61</v>
      </c>
      <c r="H30" s="52">
        <v>12.04</v>
      </c>
      <c r="I30" s="52">
        <v>1.1000000000000001</v>
      </c>
      <c r="J30" s="52">
        <v>0.19</v>
      </c>
      <c r="K30" s="52">
        <v>323.72000000000003</v>
      </c>
      <c r="L30" s="52">
        <v>23.59</v>
      </c>
      <c r="M30" s="52">
        <v>98.07</v>
      </c>
      <c r="N30" s="52">
        <v>45.1</v>
      </c>
      <c r="O30" s="52">
        <v>0</v>
      </c>
      <c r="P30" s="52">
        <v>0.47</v>
      </c>
      <c r="Q30" s="52">
        <v>9.59</v>
      </c>
      <c r="R30" s="43"/>
      <c r="S30" s="43"/>
      <c r="T30" s="43"/>
      <c r="U30" s="43"/>
    </row>
    <row r="31" spans="1:21" s="11" customFormat="1" x14ac:dyDescent="0.25">
      <c r="A31" s="51" t="s">
        <v>466</v>
      </c>
      <c r="B31" s="52">
        <v>24.83</v>
      </c>
      <c r="C31" s="52">
        <v>12.05</v>
      </c>
      <c r="D31" s="52">
        <v>25.89</v>
      </c>
      <c r="E31" s="52">
        <v>3.16</v>
      </c>
      <c r="F31" s="52">
        <v>4.0999999999999996</v>
      </c>
      <c r="G31" s="52">
        <v>12.21</v>
      </c>
      <c r="H31" s="52">
        <v>6.55</v>
      </c>
      <c r="I31" s="52">
        <v>1.3</v>
      </c>
      <c r="J31" s="52">
        <v>0.08</v>
      </c>
      <c r="K31" s="52">
        <v>285.52999999999997</v>
      </c>
      <c r="L31" s="52">
        <v>23.81</v>
      </c>
      <c r="M31" s="52">
        <v>98.03</v>
      </c>
      <c r="N31" s="52">
        <v>44.7</v>
      </c>
      <c r="O31" s="52">
        <v>0</v>
      </c>
      <c r="P31" s="52">
        <v>0.49</v>
      </c>
      <c r="Q31" s="52">
        <v>9.6199999999999992</v>
      </c>
      <c r="R31" s="43"/>
      <c r="S31" s="43"/>
      <c r="T31" s="43"/>
      <c r="U31" s="43"/>
    </row>
    <row r="32" spans="1:21" s="11" customFormat="1" x14ac:dyDescent="0.25">
      <c r="A32" s="51" t="s">
        <v>467</v>
      </c>
      <c r="B32" s="52">
        <v>29.17</v>
      </c>
      <c r="C32" s="52">
        <v>12.14</v>
      </c>
      <c r="D32" s="52">
        <v>28.33</v>
      </c>
      <c r="E32" s="52">
        <v>4.5199999999999996</v>
      </c>
      <c r="F32" s="52">
        <v>5.96</v>
      </c>
      <c r="G32" s="52">
        <v>14.1</v>
      </c>
      <c r="H32" s="52">
        <v>7.51</v>
      </c>
      <c r="I32" s="52">
        <v>1.3</v>
      </c>
      <c r="J32" s="52">
        <v>0.13</v>
      </c>
      <c r="K32" s="52">
        <v>319.02999999999997</v>
      </c>
      <c r="L32" s="52">
        <v>23.93</v>
      </c>
      <c r="M32" s="52">
        <v>98.03</v>
      </c>
      <c r="N32" s="52">
        <v>44.8</v>
      </c>
      <c r="O32" s="52">
        <v>0</v>
      </c>
      <c r="P32" s="52">
        <v>0.39</v>
      </c>
      <c r="Q32" s="52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6.3</v>
      </c>
      <c r="C34" s="28">
        <f t="shared" si="0"/>
        <v>6.19</v>
      </c>
      <c r="D34" s="28">
        <f t="shared" si="0"/>
        <v>8.86</v>
      </c>
      <c r="E34" s="28">
        <f t="shared" si="0"/>
        <v>3.16</v>
      </c>
      <c r="F34" s="28">
        <f t="shared" si="0"/>
        <v>2.31</v>
      </c>
      <c r="G34" s="28">
        <f t="shared" si="0"/>
        <v>7.35</v>
      </c>
      <c r="H34" s="28">
        <f t="shared" si="0"/>
        <v>1.55</v>
      </c>
      <c r="I34" s="28">
        <f t="shared" si="0"/>
        <v>0.85</v>
      </c>
      <c r="J34" s="28">
        <f t="shared" si="0"/>
        <v>0.08</v>
      </c>
      <c r="K34" s="28">
        <f t="shared" si="0"/>
        <v>117.46</v>
      </c>
      <c r="L34" s="28">
        <f t="shared" si="0"/>
        <v>22.62</v>
      </c>
      <c r="M34" s="28">
        <f t="shared" si="0"/>
        <v>78.44</v>
      </c>
      <c r="N34" s="28">
        <f t="shared" si="0"/>
        <v>44.7</v>
      </c>
      <c r="O34" s="28">
        <f t="shared" si="0"/>
        <v>0</v>
      </c>
      <c r="P34" s="28">
        <f t="shared" si="0"/>
        <v>0.21</v>
      </c>
      <c r="Q34" s="28">
        <f t="shared" si="0"/>
        <v>9.59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29.17</v>
      </c>
      <c r="C35" s="29">
        <f t="shared" si="1"/>
        <v>13.37</v>
      </c>
      <c r="D35" s="29">
        <f t="shared" si="1"/>
        <v>28.33</v>
      </c>
      <c r="E35" s="29">
        <f t="shared" si="1"/>
        <v>5.08</v>
      </c>
      <c r="F35" s="29">
        <f t="shared" si="1"/>
        <v>16.47</v>
      </c>
      <c r="G35" s="29">
        <f t="shared" si="1"/>
        <v>26.24</v>
      </c>
      <c r="H35" s="29">
        <f t="shared" si="1"/>
        <v>17.32</v>
      </c>
      <c r="I35" s="29">
        <f t="shared" si="1"/>
        <v>1.65</v>
      </c>
      <c r="J35" s="29">
        <f t="shared" si="1"/>
        <v>2.16</v>
      </c>
      <c r="K35" s="29">
        <f t="shared" si="1"/>
        <v>350.65</v>
      </c>
      <c r="L35" s="29">
        <f t="shared" si="1"/>
        <v>30.31</v>
      </c>
      <c r="M35" s="29">
        <f t="shared" si="1"/>
        <v>98.08</v>
      </c>
      <c r="N35" s="29">
        <f t="shared" si="1"/>
        <v>1051.7</v>
      </c>
      <c r="O35" s="29">
        <f t="shared" si="1"/>
        <v>0.2</v>
      </c>
      <c r="P35" s="29">
        <f t="shared" si="1"/>
        <v>0.71</v>
      </c>
      <c r="Q35" s="29">
        <f t="shared" si="1"/>
        <v>9.66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11.051666666666668</v>
      </c>
      <c r="C36" s="28">
        <f t="shared" si="2"/>
        <v>9.3875000000000011</v>
      </c>
      <c r="D36" s="28">
        <f t="shared" si="2"/>
        <v>13.464166666666664</v>
      </c>
      <c r="E36" s="28">
        <f t="shared" si="2"/>
        <v>4.7116666666666669</v>
      </c>
      <c r="F36" s="28">
        <f t="shared" si="2"/>
        <v>8.5754166666666674</v>
      </c>
      <c r="G36" s="28">
        <f t="shared" si="2"/>
        <v>13.780833333333334</v>
      </c>
      <c r="H36" s="28">
        <f t="shared" si="2"/>
        <v>6.4908333333333319</v>
      </c>
      <c r="I36" s="28">
        <f t="shared" si="2"/>
        <v>1.1400000000000001</v>
      </c>
      <c r="J36" s="28">
        <f t="shared" si="2"/>
        <v>0.79874999999999996</v>
      </c>
      <c r="K36" s="28">
        <f t="shared" si="2"/>
        <v>197.64416666666668</v>
      </c>
      <c r="L36" s="28">
        <f t="shared" si="2"/>
        <v>26.241249999999997</v>
      </c>
      <c r="M36" s="28">
        <f t="shared" si="2"/>
        <v>93.313333333333333</v>
      </c>
      <c r="N36" s="28">
        <f t="shared" si="2"/>
        <v>261.74166666666673</v>
      </c>
      <c r="O36" s="28">
        <f t="shared" si="2"/>
        <v>8.3333333333333332E-3</v>
      </c>
      <c r="P36" s="28">
        <f t="shared" si="2"/>
        <v>0.36749999999999999</v>
      </c>
      <c r="Q36" s="28">
        <f t="shared" si="2"/>
        <v>9.6325000000000003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5.8418413317144733</v>
      </c>
      <c r="C37" s="28">
        <f t="shared" ref="C37:Q37" si="3">STDEV(C9:C32)</f>
        <v>2.1924380909409282</v>
      </c>
      <c r="D37" s="28">
        <f t="shared" si="3"/>
        <v>5.4998979568926494</v>
      </c>
      <c r="E37" s="28">
        <f t="shared" si="3"/>
        <v>0.37912561491418373</v>
      </c>
      <c r="F37" s="28">
        <f t="shared" si="3"/>
        <v>3.6526202377812664</v>
      </c>
      <c r="G37" s="28">
        <f t="shared" si="3"/>
        <v>6.203224208402446</v>
      </c>
      <c r="H37" s="28">
        <f t="shared" si="3"/>
        <v>4.7660264341497838</v>
      </c>
      <c r="I37" s="28">
        <f t="shared" si="3"/>
        <v>0.20359806952189674</v>
      </c>
      <c r="J37" s="28">
        <f t="shared" si="3"/>
        <v>0.51322774417533634</v>
      </c>
      <c r="K37" s="28">
        <f t="shared" si="3"/>
        <v>92.297520288734034</v>
      </c>
      <c r="L37" s="28">
        <f t="shared" si="3"/>
        <v>2.8449487081797984</v>
      </c>
      <c r="M37" s="28">
        <f t="shared" si="3"/>
        <v>6.8687526028268469</v>
      </c>
      <c r="N37" s="28">
        <f t="shared" si="3"/>
        <v>325.75839128524927</v>
      </c>
      <c r="O37" s="28">
        <f t="shared" si="3"/>
        <v>4.0824829046386311E-2</v>
      </c>
      <c r="P37" s="28">
        <f t="shared" si="3"/>
        <v>0.12525625906429824</v>
      </c>
      <c r="Q37" s="28">
        <f t="shared" si="3"/>
        <v>1.4218787326754904E-2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E15" sqref="E15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468</v>
      </c>
      <c r="B9" s="52">
        <v>14.99</v>
      </c>
      <c r="C9" s="52">
        <v>11.03</v>
      </c>
      <c r="D9" s="52">
        <v>17.79</v>
      </c>
      <c r="E9" s="52">
        <v>4.66</v>
      </c>
      <c r="F9" s="52">
        <v>6.3</v>
      </c>
      <c r="G9" s="52">
        <v>17.02</v>
      </c>
      <c r="H9" s="52">
        <v>7.51</v>
      </c>
      <c r="I9" s="52">
        <v>1.1399999999999999</v>
      </c>
      <c r="J9" s="52">
        <v>0.11</v>
      </c>
      <c r="K9" s="52">
        <v>311.60000000000002</v>
      </c>
      <c r="L9" s="52">
        <v>23.89</v>
      </c>
      <c r="M9" s="52">
        <v>98.03</v>
      </c>
      <c r="N9" s="52">
        <v>44.4</v>
      </c>
      <c r="O9" s="52">
        <v>0</v>
      </c>
      <c r="P9" s="52">
        <v>0.3</v>
      </c>
      <c r="Q9" s="52">
        <v>9.64</v>
      </c>
      <c r="R9" s="43"/>
      <c r="S9" s="43"/>
      <c r="T9" s="43"/>
      <c r="U9" s="43"/>
    </row>
    <row r="10" spans="1:21" s="11" customFormat="1" x14ac:dyDescent="0.25">
      <c r="A10" s="51" t="s">
        <v>469</v>
      </c>
      <c r="B10" s="52">
        <v>10.6</v>
      </c>
      <c r="C10" s="52">
        <v>6.41</v>
      </c>
      <c r="D10" s="52">
        <v>11.85</v>
      </c>
      <c r="E10" s="52">
        <v>4.87</v>
      </c>
      <c r="F10" s="52">
        <v>7.3</v>
      </c>
      <c r="G10" s="52">
        <v>17.02</v>
      </c>
      <c r="H10" s="52">
        <v>5.67</v>
      </c>
      <c r="I10" s="52">
        <v>1.28</v>
      </c>
      <c r="J10" s="52">
        <v>0.73</v>
      </c>
      <c r="K10" s="52">
        <v>343.63</v>
      </c>
      <c r="L10" s="52">
        <v>23.84</v>
      </c>
      <c r="M10" s="52">
        <v>98.03</v>
      </c>
      <c r="N10" s="52">
        <v>44</v>
      </c>
      <c r="O10" s="52">
        <v>0</v>
      </c>
      <c r="P10" s="52">
        <v>0.3</v>
      </c>
      <c r="Q10" s="52">
        <v>9.65</v>
      </c>
      <c r="R10" s="43"/>
      <c r="S10" s="43"/>
      <c r="T10" s="43"/>
      <c r="U10" s="43"/>
    </row>
    <row r="11" spans="1:21" s="11" customFormat="1" x14ac:dyDescent="0.25">
      <c r="A11" s="51" t="s">
        <v>470</v>
      </c>
      <c r="B11" s="52">
        <v>13.24</v>
      </c>
      <c r="C11" s="52">
        <v>7.26</v>
      </c>
      <c r="D11" s="52">
        <v>13.6</v>
      </c>
      <c r="E11" s="52">
        <v>4.78</v>
      </c>
      <c r="F11" s="52">
        <v>5.58</v>
      </c>
      <c r="G11" s="52">
        <v>16.53</v>
      </c>
      <c r="H11" s="52">
        <v>4.17</v>
      </c>
      <c r="I11" s="52">
        <v>1.27</v>
      </c>
      <c r="J11" s="52">
        <v>0.45</v>
      </c>
      <c r="K11" s="52">
        <v>341.99</v>
      </c>
      <c r="L11" s="52">
        <v>23.71</v>
      </c>
      <c r="M11" s="52">
        <v>98.05</v>
      </c>
      <c r="N11" s="52">
        <v>43.8</v>
      </c>
      <c r="O11" s="52">
        <v>0</v>
      </c>
      <c r="P11" s="52">
        <v>0.3</v>
      </c>
      <c r="Q11" s="52">
        <v>9.64</v>
      </c>
      <c r="R11" s="43"/>
      <c r="S11" s="43"/>
      <c r="T11" s="43"/>
      <c r="U11" s="43"/>
    </row>
    <row r="12" spans="1:21" s="11" customFormat="1" x14ac:dyDescent="0.25">
      <c r="A12" s="51" t="s">
        <v>471</v>
      </c>
      <c r="B12" s="52">
        <v>11.91</v>
      </c>
      <c r="C12" s="52">
        <v>7.74</v>
      </c>
      <c r="D12" s="52">
        <v>13.35</v>
      </c>
      <c r="E12" s="52">
        <v>4.47</v>
      </c>
      <c r="F12" s="52">
        <v>5.0599999999999996</v>
      </c>
      <c r="G12" s="52">
        <v>15.37</v>
      </c>
      <c r="H12" s="52">
        <v>3.12</v>
      </c>
      <c r="I12" s="52">
        <v>1.1599999999999999</v>
      </c>
      <c r="J12" s="52">
        <v>0.52</v>
      </c>
      <c r="K12" s="52">
        <v>349.55</v>
      </c>
      <c r="L12" s="52">
        <v>23.77</v>
      </c>
      <c r="M12" s="52">
        <v>98.08</v>
      </c>
      <c r="N12" s="52">
        <v>43.9</v>
      </c>
      <c r="O12" s="52">
        <v>0</v>
      </c>
      <c r="P12" s="52">
        <v>0.33</v>
      </c>
      <c r="Q12" s="52">
        <v>9.65</v>
      </c>
      <c r="R12" s="43"/>
      <c r="S12" s="43"/>
      <c r="T12" s="43"/>
      <c r="U12" s="43"/>
    </row>
    <row r="13" spans="1:21" s="11" customFormat="1" x14ac:dyDescent="0.25">
      <c r="A13" s="51" t="s">
        <v>472</v>
      </c>
      <c r="B13" s="52">
        <v>13.21</v>
      </c>
      <c r="C13" s="52">
        <v>9.09</v>
      </c>
      <c r="D13" s="52">
        <v>15</v>
      </c>
      <c r="E13" s="52">
        <v>4.5199999999999996</v>
      </c>
      <c r="F13" s="52">
        <v>5.57</v>
      </c>
      <c r="G13" s="52">
        <v>17.91</v>
      </c>
      <c r="H13" s="52">
        <v>3.25</v>
      </c>
      <c r="I13" s="52">
        <v>1.1499999999999999</v>
      </c>
      <c r="J13" s="52">
        <v>0.14000000000000001</v>
      </c>
      <c r="K13" s="52">
        <v>336.83</v>
      </c>
      <c r="L13" s="52">
        <v>23.62</v>
      </c>
      <c r="M13" s="52">
        <v>98.08</v>
      </c>
      <c r="N13" s="52">
        <v>44</v>
      </c>
      <c r="O13" s="52">
        <v>0</v>
      </c>
      <c r="P13" s="52">
        <v>0.3</v>
      </c>
      <c r="Q13" s="52">
        <v>9.65</v>
      </c>
      <c r="R13" s="43"/>
      <c r="S13" s="43"/>
      <c r="T13" s="43"/>
      <c r="U13" s="43"/>
    </row>
    <row r="14" spans="1:21" s="11" customFormat="1" x14ac:dyDescent="0.25">
      <c r="A14" s="51" t="s">
        <v>473</v>
      </c>
      <c r="B14" s="52">
        <v>12.73</v>
      </c>
      <c r="C14" s="52">
        <v>8.2899999999999991</v>
      </c>
      <c r="D14" s="52">
        <v>13.95</v>
      </c>
      <c r="E14" s="52">
        <v>4.83</v>
      </c>
      <c r="F14" s="52">
        <v>5.53</v>
      </c>
      <c r="G14" s="52">
        <v>17.91</v>
      </c>
      <c r="H14" s="52">
        <v>3.25</v>
      </c>
      <c r="I14" s="52">
        <v>1.1399999999999999</v>
      </c>
      <c r="J14" s="52">
        <v>0.34</v>
      </c>
      <c r="K14" s="52">
        <v>125.35</v>
      </c>
      <c r="L14" s="52">
        <v>23.61</v>
      </c>
      <c r="M14" s="52">
        <v>98.08</v>
      </c>
      <c r="N14" s="52">
        <v>60.4</v>
      </c>
      <c r="O14" s="52">
        <v>0</v>
      </c>
      <c r="P14" s="52">
        <v>0.28999999999999998</v>
      </c>
      <c r="Q14" s="52">
        <v>9.65</v>
      </c>
      <c r="R14" s="43"/>
      <c r="S14" s="43"/>
      <c r="T14" s="43"/>
      <c r="U14" s="43"/>
    </row>
    <row r="15" spans="1:21" s="11" customFormat="1" x14ac:dyDescent="0.25">
      <c r="A15" s="51" t="s">
        <v>474</v>
      </c>
      <c r="B15" s="52">
        <v>13.28</v>
      </c>
      <c r="C15" s="52">
        <v>6.07</v>
      </c>
      <c r="D15" s="52">
        <v>13.4</v>
      </c>
      <c r="E15" s="52">
        <v>4.8499999999999996</v>
      </c>
      <c r="F15" s="52">
        <v>6.3</v>
      </c>
      <c r="G15" s="52">
        <v>14.71</v>
      </c>
      <c r="H15" s="52">
        <v>2.4</v>
      </c>
      <c r="I15" s="52">
        <v>1.1599999999999999</v>
      </c>
      <c r="J15" s="52">
        <v>0.75</v>
      </c>
      <c r="K15" s="52">
        <v>138.62</v>
      </c>
      <c r="L15" s="52">
        <v>25.31</v>
      </c>
      <c r="M15" s="52">
        <v>98.05</v>
      </c>
      <c r="N15" s="52">
        <v>216.9</v>
      </c>
      <c r="O15" s="52">
        <v>0</v>
      </c>
      <c r="P15" s="52">
        <v>0.3</v>
      </c>
      <c r="Q15" s="52">
        <v>9.65</v>
      </c>
      <c r="R15" s="43"/>
      <c r="S15" s="43"/>
      <c r="T15" s="43"/>
      <c r="U15" s="43"/>
    </row>
    <row r="16" spans="1:21" s="11" customFormat="1" x14ac:dyDescent="0.25">
      <c r="A16" s="51" t="s">
        <v>475</v>
      </c>
      <c r="B16" s="52">
        <v>14.97</v>
      </c>
      <c r="C16" s="52">
        <v>6.49</v>
      </c>
      <c r="D16" s="52">
        <v>15.38</v>
      </c>
      <c r="E16" s="52">
        <v>5.46</v>
      </c>
      <c r="F16" s="52">
        <v>5.74</v>
      </c>
      <c r="G16" s="52">
        <v>16.399999999999999</v>
      </c>
      <c r="H16" s="52">
        <v>1.85</v>
      </c>
      <c r="I16" s="52">
        <v>1.1599999999999999</v>
      </c>
      <c r="J16" s="52">
        <v>0.85</v>
      </c>
      <c r="K16" s="52">
        <v>129.79</v>
      </c>
      <c r="L16" s="52">
        <v>25.52</v>
      </c>
      <c r="M16" s="52">
        <v>97.97</v>
      </c>
      <c r="N16" s="52">
        <v>274</v>
      </c>
      <c r="O16" s="52">
        <v>0</v>
      </c>
      <c r="P16" s="52">
        <v>0.45</v>
      </c>
      <c r="Q16" s="52">
        <v>9.65</v>
      </c>
      <c r="R16" s="43"/>
      <c r="S16" s="43"/>
      <c r="T16" s="43"/>
      <c r="U16" s="43"/>
    </row>
    <row r="17" spans="1:21" s="11" customFormat="1" x14ac:dyDescent="0.25">
      <c r="A17" s="51" t="s">
        <v>476</v>
      </c>
      <c r="B17" s="52">
        <v>16.98</v>
      </c>
      <c r="C17" s="52">
        <v>7.89</v>
      </c>
      <c r="D17" s="52">
        <v>17.68</v>
      </c>
      <c r="E17" s="52">
        <v>5.79</v>
      </c>
      <c r="F17" s="52">
        <v>5.98</v>
      </c>
      <c r="G17" s="52">
        <v>16.399999999999999</v>
      </c>
      <c r="H17" s="52">
        <v>4.78</v>
      </c>
      <c r="I17" s="52">
        <v>1.23</v>
      </c>
      <c r="J17" s="52">
        <v>0.99</v>
      </c>
      <c r="K17" s="52">
        <v>125.8</v>
      </c>
      <c r="L17" s="52">
        <v>27.42</v>
      </c>
      <c r="M17" s="52">
        <v>97.65</v>
      </c>
      <c r="N17" s="52">
        <v>510.7</v>
      </c>
      <c r="O17" s="52">
        <v>0</v>
      </c>
      <c r="P17" s="52">
        <v>0.46</v>
      </c>
      <c r="Q17" s="52">
        <v>9.65</v>
      </c>
      <c r="R17" s="43"/>
      <c r="S17" s="43"/>
      <c r="T17" s="43"/>
      <c r="U17" s="43"/>
    </row>
    <row r="18" spans="1:21" s="11" customFormat="1" x14ac:dyDescent="0.25">
      <c r="A18" s="51" t="s">
        <v>477</v>
      </c>
      <c r="B18" s="52">
        <v>13.63</v>
      </c>
      <c r="C18" s="52">
        <v>7.67</v>
      </c>
      <c r="D18" s="52">
        <v>14.94</v>
      </c>
      <c r="E18" s="52">
        <v>5.87</v>
      </c>
      <c r="F18" s="52">
        <v>7.07</v>
      </c>
      <c r="G18" s="52">
        <v>18.579999999999998</v>
      </c>
      <c r="H18" s="52">
        <v>4.78</v>
      </c>
      <c r="I18" s="52">
        <v>1.24</v>
      </c>
      <c r="J18" s="52">
        <v>1.51</v>
      </c>
      <c r="K18" s="52">
        <v>135.55000000000001</v>
      </c>
      <c r="L18" s="52">
        <v>28.29</v>
      </c>
      <c r="M18" s="52">
        <v>97.27</v>
      </c>
      <c r="N18" s="52">
        <v>679.5</v>
      </c>
      <c r="O18" s="52">
        <v>0</v>
      </c>
      <c r="P18" s="52">
        <v>0.39</v>
      </c>
      <c r="Q18" s="52">
        <v>9.68</v>
      </c>
      <c r="R18" s="43"/>
      <c r="S18" s="43"/>
      <c r="T18" s="43"/>
      <c r="U18" s="43"/>
    </row>
    <row r="19" spans="1:21" s="11" customFormat="1" x14ac:dyDescent="0.25">
      <c r="A19" s="51" t="s">
        <v>478</v>
      </c>
      <c r="B19" s="52">
        <v>11.8</v>
      </c>
      <c r="C19" s="52">
        <v>8.4600000000000009</v>
      </c>
      <c r="D19" s="52">
        <v>13.88</v>
      </c>
      <c r="E19" s="52">
        <v>6.14</v>
      </c>
      <c r="F19" s="52">
        <v>11.98</v>
      </c>
      <c r="G19" s="52">
        <v>18.579999999999998</v>
      </c>
      <c r="H19" s="52">
        <v>6.23</v>
      </c>
      <c r="I19" s="52">
        <v>1.26</v>
      </c>
      <c r="J19" s="52">
        <v>0.66</v>
      </c>
      <c r="K19" s="52">
        <v>127.53</v>
      </c>
      <c r="L19" s="52">
        <v>28.49</v>
      </c>
      <c r="M19" s="52">
        <v>90.64</v>
      </c>
      <c r="N19" s="52">
        <v>733.8</v>
      </c>
      <c r="O19" s="52">
        <v>0</v>
      </c>
      <c r="P19" s="52">
        <v>0.42</v>
      </c>
      <c r="Q19" s="52">
        <v>9.65</v>
      </c>
      <c r="R19" s="43"/>
      <c r="S19" s="43"/>
      <c r="T19" s="43"/>
      <c r="U19" s="43"/>
    </row>
    <row r="20" spans="1:21" s="11" customFormat="1" x14ac:dyDescent="0.25">
      <c r="A20" s="51" t="s">
        <v>479</v>
      </c>
      <c r="B20" s="52">
        <v>12.01</v>
      </c>
      <c r="C20" s="52">
        <v>10.01</v>
      </c>
      <c r="D20" s="52">
        <v>14.61</v>
      </c>
      <c r="E20" s="52">
        <v>6.02</v>
      </c>
      <c r="F20" s="52">
        <v>13.84</v>
      </c>
      <c r="G20" s="52">
        <v>18.34</v>
      </c>
      <c r="H20" s="52">
        <v>6.23</v>
      </c>
      <c r="I20" s="52">
        <v>1.27</v>
      </c>
      <c r="J20" s="52">
        <v>0.57999999999999996</v>
      </c>
      <c r="K20" s="52">
        <v>126.46</v>
      </c>
      <c r="L20" s="52">
        <v>29.37</v>
      </c>
      <c r="M20" s="52">
        <v>88.93</v>
      </c>
      <c r="N20" s="52">
        <v>711.2</v>
      </c>
      <c r="O20" s="52">
        <v>0.2</v>
      </c>
      <c r="P20" s="52">
        <v>0.44</v>
      </c>
      <c r="Q20" s="52">
        <v>9.65</v>
      </c>
      <c r="R20" s="43"/>
      <c r="S20" s="43"/>
      <c r="T20" s="43"/>
      <c r="U20" s="43"/>
    </row>
    <row r="21" spans="1:21" s="11" customFormat="1" x14ac:dyDescent="0.25">
      <c r="A21" s="51" t="s">
        <v>480</v>
      </c>
      <c r="B21" s="52">
        <v>10.59</v>
      </c>
      <c r="C21" s="52">
        <v>9.27</v>
      </c>
      <c r="D21" s="52">
        <v>13.17</v>
      </c>
      <c r="E21" s="52">
        <v>6.13</v>
      </c>
      <c r="F21" s="52">
        <v>13.49</v>
      </c>
      <c r="G21" s="52">
        <v>20.32</v>
      </c>
      <c r="H21" s="52">
        <v>5.98</v>
      </c>
      <c r="I21" s="52">
        <v>1.21</v>
      </c>
      <c r="J21" s="52">
        <v>0.87</v>
      </c>
      <c r="K21" s="52">
        <v>127.92</v>
      </c>
      <c r="L21" s="52">
        <v>29.39</v>
      </c>
      <c r="M21" s="52">
        <v>89.02</v>
      </c>
      <c r="N21" s="52">
        <v>628</v>
      </c>
      <c r="O21" s="52">
        <v>0</v>
      </c>
      <c r="P21" s="52">
        <v>0.42</v>
      </c>
      <c r="Q21" s="52">
        <v>9.64</v>
      </c>
      <c r="R21" s="43"/>
      <c r="S21" s="43"/>
      <c r="T21" s="43"/>
      <c r="U21" s="43"/>
    </row>
    <row r="22" spans="1:21" s="11" customFormat="1" x14ac:dyDescent="0.25">
      <c r="A22" s="51" t="s">
        <v>481</v>
      </c>
      <c r="B22" s="52">
        <v>12.92</v>
      </c>
      <c r="C22" s="52">
        <v>12.62</v>
      </c>
      <c r="D22" s="52">
        <v>16.79</v>
      </c>
      <c r="E22" s="52">
        <v>6.21</v>
      </c>
      <c r="F22" s="52">
        <v>12.98</v>
      </c>
      <c r="G22" s="52">
        <v>20.32</v>
      </c>
      <c r="H22" s="52">
        <v>4.7699999999999996</v>
      </c>
      <c r="I22" s="52">
        <v>1.21</v>
      </c>
      <c r="J22" s="52">
        <v>0.12</v>
      </c>
      <c r="K22" s="52">
        <v>351.07</v>
      </c>
      <c r="L22" s="52">
        <v>28.56</v>
      </c>
      <c r="M22" s="52">
        <v>91.14</v>
      </c>
      <c r="N22" s="52">
        <v>293.8</v>
      </c>
      <c r="O22" s="52">
        <v>0</v>
      </c>
      <c r="P22" s="52">
        <v>0.43</v>
      </c>
      <c r="Q22" s="52">
        <v>9.6300000000000008</v>
      </c>
      <c r="R22" s="43"/>
      <c r="S22" s="43"/>
      <c r="T22" s="43"/>
      <c r="U22" s="43"/>
    </row>
    <row r="23" spans="1:21" s="11" customFormat="1" x14ac:dyDescent="0.25">
      <c r="A23" s="51" t="s">
        <v>482</v>
      </c>
      <c r="B23" s="52">
        <v>11.99</v>
      </c>
      <c r="C23" s="52">
        <v>13.45</v>
      </c>
      <c r="D23" s="52">
        <v>16.64</v>
      </c>
      <c r="E23" s="52">
        <v>6.02</v>
      </c>
      <c r="F23" s="52">
        <v>13.9</v>
      </c>
      <c r="G23" s="52">
        <v>12.78</v>
      </c>
      <c r="H23" s="52">
        <v>6.66</v>
      </c>
      <c r="I23" s="52">
        <v>1.44</v>
      </c>
      <c r="J23" s="52">
        <v>0.83</v>
      </c>
      <c r="K23" s="52">
        <v>348.93</v>
      </c>
      <c r="L23" s="52">
        <v>28.72</v>
      </c>
      <c r="M23" s="52">
        <v>97.61</v>
      </c>
      <c r="N23" s="52">
        <v>257.5</v>
      </c>
      <c r="O23" s="52">
        <v>0</v>
      </c>
      <c r="P23" s="52">
        <v>0.43</v>
      </c>
      <c r="Q23" s="52">
        <v>9.6199999999999992</v>
      </c>
      <c r="R23" s="43"/>
      <c r="S23" s="43"/>
      <c r="T23" s="43"/>
      <c r="U23" s="43"/>
    </row>
    <row r="24" spans="1:21" s="11" customFormat="1" x14ac:dyDescent="0.25">
      <c r="A24" s="51" t="s">
        <v>483</v>
      </c>
      <c r="B24" s="52">
        <v>14.36</v>
      </c>
      <c r="C24" s="52">
        <v>19.36</v>
      </c>
      <c r="D24" s="52">
        <v>21.63</v>
      </c>
      <c r="E24" s="52">
        <v>6.36</v>
      </c>
      <c r="F24" s="52">
        <v>12.7</v>
      </c>
      <c r="G24" s="52">
        <v>26.81</v>
      </c>
      <c r="H24" s="52">
        <v>9.48</v>
      </c>
      <c r="I24" s="52">
        <v>1.9</v>
      </c>
      <c r="J24" s="52">
        <v>0.6</v>
      </c>
      <c r="K24" s="52">
        <v>335.81</v>
      </c>
      <c r="L24" s="52">
        <v>27.54</v>
      </c>
      <c r="M24" s="52">
        <v>98.03</v>
      </c>
      <c r="N24" s="52">
        <v>201.2</v>
      </c>
      <c r="O24" s="52">
        <v>0</v>
      </c>
      <c r="P24" s="52">
        <v>0.52</v>
      </c>
      <c r="Q24" s="52">
        <v>9.57</v>
      </c>
      <c r="R24" s="43"/>
      <c r="S24" s="43"/>
      <c r="T24" s="43"/>
      <c r="U24" s="43"/>
    </row>
    <row r="25" spans="1:21" s="11" customFormat="1" x14ac:dyDescent="0.25">
      <c r="A25" s="51" t="s">
        <v>484</v>
      </c>
      <c r="B25" s="52">
        <v>11.24</v>
      </c>
      <c r="C25" s="52">
        <v>16.48</v>
      </c>
      <c r="D25" s="52">
        <v>17.38</v>
      </c>
      <c r="E25" s="52">
        <v>5.39</v>
      </c>
      <c r="F25" s="52">
        <v>14.82</v>
      </c>
      <c r="G25" s="52">
        <v>31.12</v>
      </c>
      <c r="H25" s="52">
        <v>7.28</v>
      </c>
      <c r="I25" s="52">
        <v>1.93</v>
      </c>
      <c r="J25" s="52">
        <v>0.21</v>
      </c>
      <c r="K25" s="52">
        <v>351.24</v>
      </c>
      <c r="L25" s="52">
        <v>28</v>
      </c>
      <c r="M25" s="52">
        <v>96.12</v>
      </c>
      <c r="N25" s="52">
        <v>193.6</v>
      </c>
      <c r="O25" s="52">
        <v>0</v>
      </c>
      <c r="P25" s="52">
        <v>0.54</v>
      </c>
      <c r="Q25" s="52">
        <v>9.6</v>
      </c>
      <c r="R25" s="43"/>
      <c r="S25" s="43"/>
      <c r="T25" s="43"/>
      <c r="U25" s="43"/>
    </row>
    <row r="26" spans="1:21" s="11" customFormat="1" x14ac:dyDescent="0.25">
      <c r="A26" s="51" t="s">
        <v>485</v>
      </c>
      <c r="B26" s="52">
        <v>13.66</v>
      </c>
      <c r="C26" s="52">
        <v>21.35</v>
      </c>
      <c r="D26" s="52">
        <v>22.02</v>
      </c>
      <c r="E26" s="52">
        <v>5.35</v>
      </c>
      <c r="F26" s="52">
        <v>14.15</v>
      </c>
      <c r="G26" s="52">
        <v>22.67</v>
      </c>
      <c r="H26" s="52">
        <v>7.39</v>
      </c>
      <c r="I26" s="52">
        <v>2.5</v>
      </c>
      <c r="J26" s="52">
        <v>0.13</v>
      </c>
      <c r="K26" s="52">
        <v>314.56</v>
      </c>
      <c r="L26" s="52">
        <v>27.8</v>
      </c>
      <c r="M26" s="52">
        <v>95.91</v>
      </c>
      <c r="N26" s="52">
        <v>134.30000000000001</v>
      </c>
      <c r="O26" s="52">
        <v>0</v>
      </c>
      <c r="P26" s="52">
        <v>0.69</v>
      </c>
      <c r="Q26" s="52">
        <v>9.57</v>
      </c>
      <c r="R26" s="43"/>
      <c r="S26" s="43"/>
      <c r="T26" s="43"/>
      <c r="U26" s="43"/>
    </row>
    <row r="27" spans="1:21" s="11" customFormat="1" x14ac:dyDescent="0.25">
      <c r="A27" s="51" t="s">
        <v>486</v>
      </c>
      <c r="B27" s="52">
        <v>17.13</v>
      </c>
      <c r="C27" s="52">
        <v>19.809999999999999</v>
      </c>
      <c r="D27" s="52">
        <v>24.02</v>
      </c>
      <c r="E27" s="52">
        <v>5.4</v>
      </c>
      <c r="F27" s="52">
        <v>10.19</v>
      </c>
      <c r="G27" s="52">
        <v>24.22</v>
      </c>
      <c r="H27" s="52">
        <v>6.64</v>
      </c>
      <c r="I27" s="52">
        <v>1.61</v>
      </c>
      <c r="J27" s="52">
        <v>0.12</v>
      </c>
      <c r="K27" s="52">
        <v>314.93</v>
      </c>
      <c r="L27" s="52">
        <v>27.24</v>
      </c>
      <c r="M27" s="52">
        <v>97.61</v>
      </c>
      <c r="N27" s="52">
        <v>111.3</v>
      </c>
      <c r="O27" s="52">
        <v>0</v>
      </c>
      <c r="P27" s="52">
        <v>0.79</v>
      </c>
      <c r="Q27" s="52">
        <v>9.57</v>
      </c>
      <c r="R27" s="43"/>
      <c r="S27" s="43"/>
      <c r="T27" s="43"/>
      <c r="U27" s="43"/>
    </row>
    <row r="28" spans="1:21" s="11" customFormat="1" x14ac:dyDescent="0.25">
      <c r="A28" s="51" t="s">
        <v>487</v>
      </c>
      <c r="B28" s="52">
        <v>10.75</v>
      </c>
      <c r="C28" s="52">
        <v>16.48</v>
      </c>
      <c r="D28" s="52">
        <v>15.97</v>
      </c>
      <c r="E28" s="52">
        <v>5.53</v>
      </c>
      <c r="F28" s="52">
        <v>9.9700000000000006</v>
      </c>
      <c r="G28" s="52">
        <v>26.16</v>
      </c>
      <c r="H28" s="52">
        <v>6.24</v>
      </c>
      <c r="I28" s="52">
        <v>1.83</v>
      </c>
      <c r="J28" s="52">
        <v>0.25</v>
      </c>
      <c r="K28" s="52">
        <v>241.43</v>
      </c>
      <c r="L28" s="52">
        <v>26.86</v>
      </c>
      <c r="M28" s="52">
        <v>97.92</v>
      </c>
      <c r="N28" s="52">
        <v>104.9</v>
      </c>
      <c r="O28" s="52">
        <v>0</v>
      </c>
      <c r="P28" s="52">
        <v>0.59</v>
      </c>
      <c r="Q28" s="52">
        <v>9.59</v>
      </c>
      <c r="R28" s="43"/>
      <c r="S28" s="43"/>
      <c r="T28" s="43"/>
      <c r="U28" s="43"/>
    </row>
    <row r="29" spans="1:21" s="11" customFormat="1" x14ac:dyDescent="0.25">
      <c r="A29" s="51" t="s">
        <v>488</v>
      </c>
      <c r="B29" s="52">
        <v>11.41</v>
      </c>
      <c r="C29" s="52">
        <v>12.77</v>
      </c>
      <c r="D29" s="52">
        <v>15.82</v>
      </c>
      <c r="E29" s="52">
        <v>5.38</v>
      </c>
      <c r="F29" s="52">
        <v>10.52</v>
      </c>
      <c r="G29" s="52">
        <v>31.1</v>
      </c>
      <c r="H29" s="52">
        <v>6.84</v>
      </c>
      <c r="I29" s="52">
        <v>1.81</v>
      </c>
      <c r="J29" s="52">
        <v>0.65</v>
      </c>
      <c r="K29" s="52">
        <v>300.66000000000003</v>
      </c>
      <c r="L29" s="52">
        <v>26.31</v>
      </c>
      <c r="M29" s="52">
        <v>97.95</v>
      </c>
      <c r="N29" s="52">
        <v>105.6</v>
      </c>
      <c r="O29" s="52">
        <v>0</v>
      </c>
      <c r="P29" s="52">
        <v>0.61</v>
      </c>
      <c r="Q29" s="52">
        <v>9.6300000000000008</v>
      </c>
      <c r="R29" s="43"/>
      <c r="S29" s="43"/>
      <c r="T29" s="43"/>
      <c r="U29" s="43"/>
    </row>
    <row r="30" spans="1:21" s="11" customFormat="1" x14ac:dyDescent="0.25">
      <c r="A30" s="51" t="s">
        <v>489</v>
      </c>
      <c r="B30" s="52">
        <v>12.3</v>
      </c>
      <c r="C30" s="52">
        <v>9.14</v>
      </c>
      <c r="D30" s="52">
        <v>14.23</v>
      </c>
      <c r="E30" s="52">
        <v>5.28</v>
      </c>
      <c r="F30" s="52">
        <v>9.41</v>
      </c>
      <c r="G30" s="52">
        <v>28.55</v>
      </c>
      <c r="H30" s="52">
        <v>5.01</v>
      </c>
      <c r="I30" s="52">
        <v>1.75</v>
      </c>
      <c r="J30" s="52">
        <v>0.98</v>
      </c>
      <c r="K30" s="52">
        <v>151.4</v>
      </c>
      <c r="L30" s="52">
        <v>25.62</v>
      </c>
      <c r="M30" s="52">
        <v>97.97</v>
      </c>
      <c r="N30" s="52">
        <v>92.2</v>
      </c>
      <c r="O30" s="52">
        <v>0</v>
      </c>
      <c r="P30" s="52">
        <v>0.52</v>
      </c>
      <c r="Q30" s="52">
        <v>9.6300000000000008</v>
      </c>
      <c r="R30" s="43"/>
      <c r="S30" s="43"/>
      <c r="T30" s="43"/>
      <c r="U30" s="43"/>
    </row>
    <row r="31" spans="1:21" s="11" customFormat="1" x14ac:dyDescent="0.25">
      <c r="A31" s="51" t="s">
        <v>490</v>
      </c>
      <c r="B31" s="52">
        <v>12.98</v>
      </c>
      <c r="C31" s="52">
        <v>9.2799999999999994</v>
      </c>
      <c r="D31" s="52">
        <v>14.91</v>
      </c>
      <c r="E31" s="52">
        <v>5.39</v>
      </c>
      <c r="F31" s="52">
        <v>8.8800000000000008</v>
      </c>
      <c r="G31" s="52">
        <v>22.8</v>
      </c>
      <c r="H31" s="52">
        <v>4.84</v>
      </c>
      <c r="I31" s="52">
        <v>1.66</v>
      </c>
      <c r="J31" s="52">
        <v>0.33</v>
      </c>
      <c r="K31" s="52">
        <v>333.49</v>
      </c>
      <c r="L31" s="52">
        <v>25.18</v>
      </c>
      <c r="M31" s="52">
        <v>98</v>
      </c>
      <c r="N31" s="52">
        <v>95</v>
      </c>
      <c r="O31" s="52">
        <v>0</v>
      </c>
      <c r="P31" s="52">
        <v>0.47</v>
      </c>
      <c r="Q31" s="52">
        <v>9.64</v>
      </c>
      <c r="R31" s="43"/>
      <c r="S31" s="43"/>
      <c r="T31" s="43"/>
      <c r="U31" s="43"/>
    </row>
    <row r="32" spans="1:21" s="11" customFormat="1" x14ac:dyDescent="0.25">
      <c r="A32" s="51" t="s">
        <v>491</v>
      </c>
      <c r="B32" s="52">
        <v>11.37</v>
      </c>
      <c r="C32" s="52">
        <v>9.02</v>
      </c>
      <c r="D32" s="52">
        <v>13.25</v>
      </c>
      <c r="E32" s="52">
        <v>5.08</v>
      </c>
      <c r="F32" s="52">
        <v>6.33</v>
      </c>
      <c r="G32" s="52">
        <v>22.82</v>
      </c>
      <c r="H32" s="52">
        <v>3.66</v>
      </c>
      <c r="I32" s="52">
        <v>1.7</v>
      </c>
      <c r="J32" s="52">
        <v>0.1</v>
      </c>
      <c r="K32" s="52">
        <v>318.35000000000002</v>
      </c>
      <c r="L32" s="52">
        <v>24.76</v>
      </c>
      <c r="M32" s="52">
        <v>98.05</v>
      </c>
      <c r="N32" s="52">
        <v>87.3</v>
      </c>
      <c r="O32" s="52">
        <v>0</v>
      </c>
      <c r="P32" s="52">
        <v>0.47</v>
      </c>
      <c r="Q32" s="52">
        <v>9.64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10.59</v>
      </c>
      <c r="C34" s="28">
        <f t="shared" si="0"/>
        <v>6.07</v>
      </c>
      <c r="D34" s="28">
        <f t="shared" si="0"/>
        <v>11.85</v>
      </c>
      <c r="E34" s="28">
        <f t="shared" si="0"/>
        <v>4.47</v>
      </c>
      <c r="F34" s="28">
        <f t="shared" si="0"/>
        <v>5.0599999999999996</v>
      </c>
      <c r="G34" s="28">
        <f t="shared" si="0"/>
        <v>12.78</v>
      </c>
      <c r="H34" s="28">
        <f t="shared" si="0"/>
        <v>1.85</v>
      </c>
      <c r="I34" s="28">
        <f t="shared" si="0"/>
        <v>1.1399999999999999</v>
      </c>
      <c r="J34" s="28">
        <f t="shared" si="0"/>
        <v>0.1</v>
      </c>
      <c r="K34" s="28">
        <f t="shared" si="0"/>
        <v>125.35</v>
      </c>
      <c r="L34" s="28">
        <f t="shared" si="0"/>
        <v>23.61</v>
      </c>
      <c r="M34" s="28">
        <f t="shared" si="0"/>
        <v>88.93</v>
      </c>
      <c r="N34" s="28">
        <f t="shared" si="0"/>
        <v>43.8</v>
      </c>
      <c r="O34" s="28">
        <f t="shared" si="0"/>
        <v>0</v>
      </c>
      <c r="P34" s="28">
        <f t="shared" si="0"/>
        <v>0.28999999999999998</v>
      </c>
      <c r="Q34" s="28">
        <f t="shared" si="0"/>
        <v>9.57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17.13</v>
      </c>
      <c r="C35" s="29">
        <f t="shared" si="1"/>
        <v>21.35</v>
      </c>
      <c r="D35" s="29">
        <f t="shared" si="1"/>
        <v>24.02</v>
      </c>
      <c r="E35" s="29">
        <f t="shared" si="1"/>
        <v>6.36</v>
      </c>
      <c r="F35" s="29">
        <f t="shared" si="1"/>
        <v>14.82</v>
      </c>
      <c r="G35" s="29">
        <f t="shared" si="1"/>
        <v>31.12</v>
      </c>
      <c r="H35" s="29">
        <f t="shared" si="1"/>
        <v>9.48</v>
      </c>
      <c r="I35" s="29">
        <f t="shared" si="1"/>
        <v>2.5</v>
      </c>
      <c r="J35" s="29">
        <f t="shared" si="1"/>
        <v>1.51</v>
      </c>
      <c r="K35" s="29">
        <f t="shared" si="1"/>
        <v>351.24</v>
      </c>
      <c r="L35" s="29">
        <f t="shared" si="1"/>
        <v>29.39</v>
      </c>
      <c r="M35" s="29">
        <f t="shared" si="1"/>
        <v>98.08</v>
      </c>
      <c r="N35" s="29">
        <f t="shared" si="1"/>
        <v>733.8</v>
      </c>
      <c r="O35" s="29">
        <f t="shared" si="1"/>
        <v>0.2</v>
      </c>
      <c r="P35" s="29">
        <f t="shared" si="1"/>
        <v>0.79</v>
      </c>
      <c r="Q35" s="29">
        <f t="shared" si="1"/>
        <v>9.68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12.918750000000003</v>
      </c>
      <c r="C36" s="28">
        <f t="shared" si="2"/>
        <v>11.059999999999997</v>
      </c>
      <c r="D36" s="28">
        <f t="shared" si="2"/>
        <v>15.885833333333332</v>
      </c>
      <c r="E36" s="28">
        <f t="shared" si="2"/>
        <v>5.4074999999999998</v>
      </c>
      <c r="F36" s="28">
        <f t="shared" si="2"/>
        <v>9.3162500000000001</v>
      </c>
      <c r="G36" s="28">
        <f t="shared" si="2"/>
        <v>20.60166666666667</v>
      </c>
      <c r="H36" s="28">
        <f t="shared" si="2"/>
        <v>5.3345833333333346</v>
      </c>
      <c r="I36" s="28">
        <f t="shared" si="2"/>
        <v>1.45875</v>
      </c>
      <c r="J36" s="28">
        <f t="shared" si="2"/>
        <v>0.53416666666666668</v>
      </c>
      <c r="K36" s="28">
        <f t="shared" si="2"/>
        <v>253.43708333333336</v>
      </c>
      <c r="L36" s="28">
        <f t="shared" si="2"/>
        <v>26.367499999999996</v>
      </c>
      <c r="M36" s="28">
        <f t="shared" si="2"/>
        <v>96.424583333333359</v>
      </c>
      <c r="N36" s="28">
        <f t="shared" si="2"/>
        <v>237.97083333333333</v>
      </c>
      <c r="O36" s="28">
        <f t="shared" si="2"/>
        <v>8.3333333333333332E-3</v>
      </c>
      <c r="P36" s="28">
        <f t="shared" si="2"/>
        <v>0.44833333333333342</v>
      </c>
      <c r="Q36" s="28">
        <f t="shared" si="2"/>
        <v>9.6308333333333334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1.788286312306425</v>
      </c>
      <c r="C37" s="28">
        <f t="shared" ref="C37:Q37" si="3">STDEV(C9:C32)</f>
        <v>4.5166734584686159</v>
      </c>
      <c r="D37" s="28">
        <f t="shared" si="3"/>
        <v>3.0269598992857492</v>
      </c>
      <c r="E37" s="28">
        <f t="shared" si="3"/>
        <v>0.56793485541917843</v>
      </c>
      <c r="F37" s="28">
        <f t="shared" si="3"/>
        <v>3.4132004775576879</v>
      </c>
      <c r="G37" s="28">
        <f t="shared" si="3"/>
        <v>5.14710021077014</v>
      </c>
      <c r="H37" s="28">
        <f t="shared" si="3"/>
        <v>1.8462605665804965</v>
      </c>
      <c r="I37" s="28">
        <f t="shared" si="3"/>
        <v>0.35520125954535836</v>
      </c>
      <c r="J37" s="28">
        <f t="shared" si="3"/>
        <v>0.36607099176866326</v>
      </c>
      <c r="K37" s="28">
        <f t="shared" si="3"/>
        <v>98.747640785430178</v>
      </c>
      <c r="L37" s="28">
        <f t="shared" si="3"/>
        <v>2.0084306008077224</v>
      </c>
      <c r="M37" s="28">
        <f t="shared" si="3"/>
        <v>3.046524718809752</v>
      </c>
      <c r="N37" s="28">
        <f t="shared" si="3"/>
        <v>232.73761579936104</v>
      </c>
      <c r="O37" s="28">
        <f t="shared" si="3"/>
        <v>4.0824829046386311E-2</v>
      </c>
      <c r="P37" s="28">
        <f t="shared" si="3"/>
        <v>0.13120401195704012</v>
      </c>
      <c r="Q37" s="28">
        <f t="shared" si="3"/>
        <v>2.9476101840476613E-2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3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3" sqref="G1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1" t="s">
        <v>492</v>
      </c>
      <c r="B9" s="52">
        <v>11.35</v>
      </c>
      <c r="C9" s="52">
        <v>7.76</v>
      </c>
      <c r="D9" s="52">
        <v>12.37</v>
      </c>
      <c r="E9" s="52">
        <v>4.87</v>
      </c>
      <c r="F9" s="52">
        <v>7.81</v>
      </c>
      <c r="G9" s="52">
        <v>21.48</v>
      </c>
      <c r="H9" s="52">
        <v>2.88</v>
      </c>
      <c r="I9" s="52">
        <v>1.67</v>
      </c>
      <c r="J9" s="52">
        <v>0.2</v>
      </c>
      <c r="K9" s="52">
        <v>167.71</v>
      </c>
      <c r="L9" s="52">
        <v>24.76</v>
      </c>
      <c r="M9" s="52">
        <v>98.05</v>
      </c>
      <c r="N9" s="52">
        <v>87.4</v>
      </c>
      <c r="O9" s="52">
        <v>0</v>
      </c>
      <c r="P9" s="52">
        <v>0.43</v>
      </c>
      <c r="Q9" s="52">
        <v>9.64</v>
      </c>
      <c r="R9" s="43"/>
      <c r="S9" s="43"/>
      <c r="T9" s="43"/>
      <c r="U9" s="43"/>
    </row>
    <row r="10" spans="1:21" s="11" customFormat="1" x14ac:dyDescent="0.25">
      <c r="A10" s="51" t="s">
        <v>493</v>
      </c>
      <c r="B10" s="52">
        <v>8.67</v>
      </c>
      <c r="C10" s="52">
        <v>6.39</v>
      </c>
      <c r="D10" s="52">
        <v>10.08</v>
      </c>
      <c r="E10" s="52">
        <v>5.12</v>
      </c>
      <c r="F10" s="52">
        <v>7.31</v>
      </c>
      <c r="G10" s="52">
        <v>19.25</v>
      </c>
      <c r="H10" s="52">
        <v>2.14</v>
      </c>
      <c r="I10" s="52">
        <v>1.54</v>
      </c>
      <c r="J10" s="52">
        <v>0.26</v>
      </c>
      <c r="K10" s="52">
        <v>274.68</v>
      </c>
      <c r="L10" s="52">
        <v>24.74</v>
      </c>
      <c r="M10" s="52">
        <v>98.05</v>
      </c>
      <c r="N10" s="52">
        <v>85.9</v>
      </c>
      <c r="O10" s="52">
        <v>0</v>
      </c>
      <c r="P10" s="52">
        <v>0.43</v>
      </c>
      <c r="Q10" s="52">
        <v>9.66</v>
      </c>
      <c r="R10" s="43"/>
      <c r="S10" s="43"/>
      <c r="T10" s="43"/>
      <c r="U10" s="43"/>
    </row>
    <row r="11" spans="1:21" s="11" customFormat="1" x14ac:dyDescent="0.25">
      <c r="A11" s="51" t="s">
        <v>494</v>
      </c>
      <c r="B11" s="52">
        <v>8.3000000000000007</v>
      </c>
      <c r="C11" s="52">
        <v>8.98</v>
      </c>
      <c r="D11" s="52">
        <v>10.56</v>
      </c>
      <c r="E11" s="52">
        <v>4.8600000000000003</v>
      </c>
      <c r="F11" s="52">
        <v>5.04</v>
      </c>
      <c r="G11" s="52">
        <v>15.56</v>
      </c>
      <c r="H11" s="52">
        <v>4.1399999999999997</v>
      </c>
      <c r="I11" s="52">
        <v>1.68</v>
      </c>
      <c r="J11" s="52">
        <v>0.14000000000000001</v>
      </c>
      <c r="K11" s="52">
        <v>298.89999999999998</v>
      </c>
      <c r="L11" s="52">
        <v>24.25</v>
      </c>
      <c r="M11" s="52">
        <v>98.08</v>
      </c>
      <c r="N11" s="52">
        <v>84.1</v>
      </c>
      <c r="O11" s="52">
        <v>0</v>
      </c>
      <c r="P11" s="52">
        <v>0.38</v>
      </c>
      <c r="Q11" s="52">
        <v>9.66</v>
      </c>
      <c r="R11" s="43"/>
      <c r="S11" s="43"/>
      <c r="T11" s="43"/>
      <c r="U11" s="43"/>
    </row>
    <row r="12" spans="1:21" s="11" customFormat="1" x14ac:dyDescent="0.25">
      <c r="A12" s="51" t="s">
        <v>495</v>
      </c>
      <c r="B12" s="52">
        <v>7.69</v>
      </c>
      <c r="C12" s="52">
        <v>8.36</v>
      </c>
      <c r="D12" s="52">
        <v>10.54</v>
      </c>
      <c r="E12" s="52">
        <v>4.83</v>
      </c>
      <c r="F12" s="52">
        <v>5.41</v>
      </c>
      <c r="G12" s="52">
        <v>13.38</v>
      </c>
      <c r="H12" s="52">
        <v>5.29</v>
      </c>
      <c r="I12" s="52">
        <v>1.66</v>
      </c>
      <c r="J12" s="52">
        <v>0.23</v>
      </c>
      <c r="K12" s="52">
        <v>325.95</v>
      </c>
      <c r="L12" s="52">
        <v>24.26</v>
      </c>
      <c r="M12" s="52">
        <v>98.05</v>
      </c>
      <c r="N12" s="52">
        <v>73.7</v>
      </c>
      <c r="O12" s="52">
        <v>0</v>
      </c>
      <c r="P12" s="52">
        <v>0.33</v>
      </c>
      <c r="Q12" s="52">
        <v>9.65</v>
      </c>
      <c r="R12" s="43"/>
      <c r="S12" s="43"/>
      <c r="T12" s="43"/>
      <c r="U12" s="43"/>
    </row>
    <row r="13" spans="1:21" s="11" customFormat="1" x14ac:dyDescent="0.25">
      <c r="A13" s="51" t="s">
        <v>496</v>
      </c>
      <c r="B13" s="52">
        <v>10.08</v>
      </c>
      <c r="C13" s="52">
        <v>9.02</v>
      </c>
      <c r="D13" s="52">
        <v>12.3</v>
      </c>
      <c r="E13" s="52">
        <v>4.95</v>
      </c>
      <c r="F13" s="52">
        <v>4.72</v>
      </c>
      <c r="G13" s="52">
        <v>13.82</v>
      </c>
      <c r="H13" s="52">
        <v>4.0199999999999996</v>
      </c>
      <c r="I13" s="52">
        <v>1.63</v>
      </c>
      <c r="J13" s="52">
        <v>0.13</v>
      </c>
      <c r="K13" s="52">
        <v>326.35000000000002</v>
      </c>
      <c r="L13" s="52">
        <v>24.22</v>
      </c>
      <c r="M13" s="52">
        <v>98.05</v>
      </c>
      <c r="N13" s="52">
        <v>79.400000000000006</v>
      </c>
      <c r="O13" s="52">
        <v>0</v>
      </c>
      <c r="P13" s="52">
        <v>0.35</v>
      </c>
      <c r="Q13" s="52">
        <v>9.64</v>
      </c>
      <c r="R13" s="43"/>
      <c r="S13" s="43"/>
      <c r="T13" s="43"/>
      <c r="U13" s="43"/>
    </row>
    <row r="14" spans="1:21" s="11" customFormat="1" x14ac:dyDescent="0.25">
      <c r="A14" s="51" t="s">
        <v>497</v>
      </c>
      <c r="B14" s="52">
        <v>10.63</v>
      </c>
      <c r="C14" s="52">
        <v>8.09</v>
      </c>
      <c r="D14" s="52">
        <v>12.76</v>
      </c>
      <c r="E14" s="52">
        <v>4.97</v>
      </c>
      <c r="F14" s="52">
        <v>4.9400000000000004</v>
      </c>
      <c r="G14" s="52">
        <v>13.86</v>
      </c>
      <c r="H14" s="52">
        <v>3.53</v>
      </c>
      <c r="I14" s="52">
        <v>1.53</v>
      </c>
      <c r="J14" s="52">
        <v>0.26</v>
      </c>
      <c r="K14" s="52">
        <v>321.82</v>
      </c>
      <c r="L14" s="52">
        <v>24.21</v>
      </c>
      <c r="M14" s="52">
        <v>98.05</v>
      </c>
      <c r="N14" s="52">
        <v>87.9</v>
      </c>
      <c r="O14" s="52">
        <v>0</v>
      </c>
      <c r="P14" s="52">
        <v>0.36</v>
      </c>
      <c r="Q14" s="52">
        <v>9.65</v>
      </c>
      <c r="R14" s="43"/>
      <c r="S14" s="43"/>
      <c r="T14" s="43"/>
      <c r="U14" s="43"/>
    </row>
    <row r="15" spans="1:21" s="11" customFormat="1" x14ac:dyDescent="0.25">
      <c r="A15" s="51" t="s">
        <v>498</v>
      </c>
      <c r="B15" s="52">
        <v>13.9</v>
      </c>
      <c r="C15" s="52">
        <v>7.41</v>
      </c>
      <c r="D15" s="52">
        <v>15.01</v>
      </c>
      <c r="E15" s="52">
        <v>5.13</v>
      </c>
      <c r="F15" s="52">
        <v>4.87</v>
      </c>
      <c r="G15" s="52">
        <v>15.54</v>
      </c>
      <c r="H15" s="52">
        <v>4.12</v>
      </c>
      <c r="I15" s="52">
        <v>1.42</v>
      </c>
      <c r="J15" s="52">
        <v>0.47</v>
      </c>
      <c r="K15" s="52">
        <v>342.87</v>
      </c>
      <c r="L15" s="52">
        <v>24.65</v>
      </c>
      <c r="M15" s="52">
        <v>98.03</v>
      </c>
      <c r="N15" s="52">
        <v>146.69999999999999</v>
      </c>
      <c r="O15" s="52">
        <v>0</v>
      </c>
      <c r="P15" s="52">
        <v>0.39</v>
      </c>
      <c r="Q15" s="52">
        <v>9.64</v>
      </c>
      <c r="R15" s="43"/>
      <c r="S15" s="43"/>
      <c r="T15" s="43"/>
      <c r="U15" s="43"/>
    </row>
    <row r="16" spans="1:21" s="11" customFormat="1" x14ac:dyDescent="0.25">
      <c r="A16" s="51" t="s">
        <v>499</v>
      </c>
      <c r="B16" s="52">
        <v>20.66</v>
      </c>
      <c r="C16" s="52">
        <v>8.17</v>
      </c>
      <c r="D16" s="52">
        <v>19.649999999999999</v>
      </c>
      <c r="E16" s="52">
        <v>6.06</v>
      </c>
      <c r="F16" s="52">
        <v>5.85</v>
      </c>
      <c r="G16" s="52">
        <v>16.57</v>
      </c>
      <c r="H16" s="52">
        <v>4.75</v>
      </c>
      <c r="I16" s="52">
        <v>1.39</v>
      </c>
      <c r="J16" s="52">
        <v>0.17</v>
      </c>
      <c r="K16" s="52">
        <v>191.93</v>
      </c>
      <c r="L16" s="52">
        <v>25.14</v>
      </c>
      <c r="M16" s="52">
        <v>98.02</v>
      </c>
      <c r="N16" s="52">
        <v>199.9</v>
      </c>
      <c r="O16" s="52">
        <v>0</v>
      </c>
      <c r="P16" s="52">
        <v>0.37</v>
      </c>
      <c r="Q16" s="52">
        <v>9.65</v>
      </c>
      <c r="R16" s="43"/>
      <c r="S16" s="43"/>
      <c r="T16" s="43"/>
      <c r="U16" s="43"/>
    </row>
    <row r="17" spans="1:21" s="11" customFormat="1" x14ac:dyDescent="0.25">
      <c r="A17" s="51" t="s">
        <v>500</v>
      </c>
      <c r="B17" s="52">
        <v>17.71</v>
      </c>
      <c r="C17" s="52">
        <v>7.5</v>
      </c>
      <c r="D17" s="52">
        <v>17.82</v>
      </c>
      <c r="E17" s="52">
        <v>6.53</v>
      </c>
      <c r="F17" s="52">
        <v>6.7</v>
      </c>
      <c r="G17" s="52">
        <v>17.43</v>
      </c>
      <c r="H17" s="52">
        <v>3.43</v>
      </c>
      <c r="I17" s="52">
        <v>1.39</v>
      </c>
      <c r="J17" s="52">
        <v>0.35</v>
      </c>
      <c r="K17" s="52">
        <v>288.92</v>
      </c>
      <c r="L17" s="52">
        <v>26.03</v>
      </c>
      <c r="M17" s="52">
        <v>97.96</v>
      </c>
      <c r="N17" s="52">
        <v>308.3</v>
      </c>
      <c r="O17" s="52">
        <v>0</v>
      </c>
      <c r="P17" s="52">
        <v>0.41</v>
      </c>
      <c r="Q17" s="52">
        <v>9.65</v>
      </c>
      <c r="R17" s="43"/>
      <c r="S17" s="43"/>
      <c r="T17" s="43"/>
      <c r="U17" s="43"/>
    </row>
    <row r="18" spans="1:21" s="11" customFormat="1" x14ac:dyDescent="0.25">
      <c r="A18" s="51" t="s">
        <v>501</v>
      </c>
      <c r="B18" s="52">
        <v>17.93</v>
      </c>
      <c r="C18" s="52">
        <v>9.6999999999999993</v>
      </c>
      <c r="D18" s="52">
        <v>19.29</v>
      </c>
      <c r="E18" s="52">
        <v>6.32</v>
      </c>
      <c r="F18" s="52">
        <v>8.1999999999999993</v>
      </c>
      <c r="G18" s="52">
        <v>22.24</v>
      </c>
      <c r="H18" s="52">
        <v>3.07</v>
      </c>
      <c r="I18" s="52">
        <v>1.39</v>
      </c>
      <c r="J18" s="52">
        <v>0.57999999999999996</v>
      </c>
      <c r="K18" s="52">
        <v>278.54000000000002</v>
      </c>
      <c r="L18" s="52">
        <v>26.72</v>
      </c>
      <c r="M18" s="52">
        <v>97.92</v>
      </c>
      <c r="N18" s="52">
        <v>346.4</v>
      </c>
      <c r="O18" s="52">
        <v>0</v>
      </c>
      <c r="P18" s="52">
        <v>0.53</v>
      </c>
      <c r="Q18" s="52">
        <v>9.67</v>
      </c>
      <c r="R18" s="43"/>
      <c r="S18" s="43"/>
      <c r="T18" s="43"/>
      <c r="U18" s="43"/>
    </row>
    <row r="19" spans="1:21" s="11" customFormat="1" x14ac:dyDescent="0.25">
      <c r="A19" s="51" t="s">
        <v>502</v>
      </c>
      <c r="B19" s="52">
        <v>15.77</v>
      </c>
      <c r="C19" s="52">
        <v>8.56</v>
      </c>
      <c r="D19" s="52">
        <v>17.09</v>
      </c>
      <c r="E19" s="52">
        <v>6.51</v>
      </c>
      <c r="F19" s="52">
        <v>10.75</v>
      </c>
      <c r="G19" s="52">
        <v>25.06</v>
      </c>
      <c r="H19" s="52">
        <v>2.29</v>
      </c>
      <c r="I19" s="52">
        <v>1.36</v>
      </c>
      <c r="J19" s="52">
        <v>0.42</v>
      </c>
      <c r="K19" s="52">
        <v>359.89</v>
      </c>
      <c r="L19" s="52">
        <v>28.59</v>
      </c>
      <c r="M19" s="52">
        <v>97.82</v>
      </c>
      <c r="N19" s="52">
        <v>565.29999999999995</v>
      </c>
      <c r="O19" s="52">
        <v>0</v>
      </c>
      <c r="P19" s="52">
        <v>0.46</v>
      </c>
      <c r="Q19" s="52">
        <v>9.67</v>
      </c>
      <c r="R19" s="43"/>
      <c r="S19" s="43"/>
      <c r="T19" s="43"/>
      <c r="U19" s="43"/>
    </row>
    <row r="20" spans="1:21" s="11" customFormat="1" x14ac:dyDescent="0.25">
      <c r="A20" s="51" t="s">
        <v>503</v>
      </c>
      <c r="B20" s="52">
        <v>13.14</v>
      </c>
      <c r="C20" s="52">
        <v>8.6199999999999992</v>
      </c>
      <c r="D20" s="52">
        <v>15.04</v>
      </c>
      <c r="E20" s="52">
        <v>6.61</v>
      </c>
      <c r="F20" s="52">
        <v>11.77</v>
      </c>
      <c r="G20" s="52">
        <v>25.62</v>
      </c>
      <c r="H20" s="52">
        <v>2.0299999999999998</v>
      </c>
      <c r="I20" s="52">
        <v>1.37</v>
      </c>
      <c r="J20" s="52">
        <v>0.51</v>
      </c>
      <c r="K20" s="52">
        <v>340.57</v>
      </c>
      <c r="L20" s="52">
        <v>28.99</v>
      </c>
      <c r="M20" s="52">
        <v>88</v>
      </c>
      <c r="N20" s="52">
        <v>927</v>
      </c>
      <c r="O20" s="52">
        <v>0</v>
      </c>
      <c r="P20" s="52">
        <v>0.44</v>
      </c>
      <c r="Q20" s="52">
        <v>9.66</v>
      </c>
      <c r="R20" s="43"/>
      <c r="S20" s="43"/>
      <c r="T20" s="43"/>
      <c r="U20" s="43"/>
    </row>
    <row r="21" spans="1:21" s="11" customFormat="1" x14ac:dyDescent="0.25">
      <c r="A21" s="51" t="s">
        <v>504</v>
      </c>
      <c r="B21" s="52">
        <v>14.09</v>
      </c>
      <c r="C21" s="52">
        <v>12.76</v>
      </c>
      <c r="D21" s="52">
        <v>17.97</v>
      </c>
      <c r="E21" s="52">
        <v>6.9</v>
      </c>
      <c r="F21" s="52">
        <v>10.96</v>
      </c>
      <c r="G21" s="52">
        <v>25.76</v>
      </c>
      <c r="H21" s="52">
        <v>4.58</v>
      </c>
      <c r="I21" s="52">
        <v>1.49</v>
      </c>
      <c r="J21" s="52">
        <v>0.81</v>
      </c>
      <c r="K21" s="52">
        <v>340.31</v>
      </c>
      <c r="L21" s="52">
        <v>29.05</v>
      </c>
      <c r="M21" s="52">
        <v>93.63</v>
      </c>
      <c r="N21" s="52">
        <v>231.3</v>
      </c>
      <c r="O21" s="52">
        <v>0</v>
      </c>
      <c r="P21" s="52">
        <v>0.48</v>
      </c>
      <c r="Q21" s="52">
        <v>9.65</v>
      </c>
      <c r="R21" s="43"/>
      <c r="S21" s="43"/>
      <c r="T21" s="43"/>
      <c r="U21" s="43"/>
    </row>
    <row r="22" spans="1:21" s="11" customFormat="1" x14ac:dyDescent="0.25">
      <c r="A22" s="51" t="s">
        <v>505</v>
      </c>
      <c r="B22" s="52">
        <v>14.3</v>
      </c>
      <c r="C22" s="52">
        <v>12.81</v>
      </c>
      <c r="D22" s="52">
        <v>17.28</v>
      </c>
      <c r="E22" s="52">
        <v>7.04</v>
      </c>
      <c r="F22" s="52">
        <v>11.33</v>
      </c>
      <c r="G22" s="52">
        <v>25.94</v>
      </c>
      <c r="H22" s="52">
        <v>5.79</v>
      </c>
      <c r="I22" s="52">
        <v>1.57</v>
      </c>
      <c r="J22" s="52">
        <v>0.28999999999999998</v>
      </c>
      <c r="K22" s="52">
        <v>320.74</v>
      </c>
      <c r="L22" s="52">
        <v>27.43</v>
      </c>
      <c r="M22" s="52">
        <v>97</v>
      </c>
      <c r="N22" s="52">
        <v>187.8</v>
      </c>
      <c r="O22" s="52">
        <v>0</v>
      </c>
      <c r="P22" s="52">
        <v>0.48</v>
      </c>
      <c r="Q22" s="52">
        <v>9.64</v>
      </c>
      <c r="R22" s="43"/>
      <c r="S22" s="43"/>
      <c r="T22" s="43"/>
      <c r="U22" s="43"/>
    </row>
    <row r="23" spans="1:21" s="11" customFormat="1" x14ac:dyDescent="0.25">
      <c r="A23" s="51" t="s">
        <v>506</v>
      </c>
      <c r="B23" s="52">
        <v>15.78</v>
      </c>
      <c r="C23" s="52">
        <v>12.46</v>
      </c>
      <c r="D23" s="52">
        <v>19.16</v>
      </c>
      <c r="E23" s="52">
        <v>6.35</v>
      </c>
      <c r="F23" s="52">
        <v>9.7100000000000009</v>
      </c>
      <c r="G23" s="52">
        <v>26.98</v>
      </c>
      <c r="H23" s="52">
        <v>4.25</v>
      </c>
      <c r="I23" s="52">
        <v>1.51</v>
      </c>
      <c r="J23" s="52">
        <v>0.85</v>
      </c>
      <c r="K23" s="52">
        <v>156.19</v>
      </c>
      <c r="L23" s="52">
        <v>26.66</v>
      </c>
      <c r="M23" s="52">
        <v>98.1</v>
      </c>
      <c r="N23" s="52">
        <v>81.2</v>
      </c>
      <c r="O23" s="52">
        <v>0</v>
      </c>
      <c r="P23" s="52">
        <v>0.61</v>
      </c>
      <c r="Q23" s="52">
        <v>9.66</v>
      </c>
      <c r="R23" s="43"/>
      <c r="S23" s="43"/>
      <c r="T23" s="43"/>
      <c r="U23" s="43"/>
    </row>
    <row r="24" spans="1:21" s="11" customFormat="1" x14ac:dyDescent="0.25">
      <c r="A24" s="51" t="s">
        <v>507</v>
      </c>
      <c r="B24" s="52">
        <v>14.28</v>
      </c>
      <c r="C24" s="52">
        <v>13.12</v>
      </c>
      <c r="D24" s="52">
        <v>16.27</v>
      </c>
      <c r="E24" s="52">
        <v>6.2</v>
      </c>
      <c r="F24" s="52">
        <v>9.14</v>
      </c>
      <c r="G24" s="52">
        <v>25.14</v>
      </c>
      <c r="H24" s="52">
        <v>3.08</v>
      </c>
      <c r="I24" s="52">
        <v>1.48</v>
      </c>
      <c r="J24" s="52">
        <v>1.06</v>
      </c>
      <c r="K24" s="52">
        <v>351.6</v>
      </c>
      <c r="L24" s="52">
        <v>24.56</v>
      </c>
      <c r="M24" s="52">
        <v>98.1</v>
      </c>
      <c r="N24" s="52">
        <v>197</v>
      </c>
      <c r="O24" s="52">
        <v>0</v>
      </c>
      <c r="P24" s="52">
        <v>0.57999999999999996</v>
      </c>
      <c r="Q24" s="52">
        <v>9.65</v>
      </c>
      <c r="R24" s="43"/>
      <c r="S24" s="43"/>
      <c r="T24" s="43"/>
      <c r="U24" s="43"/>
    </row>
    <row r="25" spans="1:21" s="11" customFormat="1" x14ac:dyDescent="0.25">
      <c r="A25" s="51" t="s">
        <v>508</v>
      </c>
      <c r="B25" s="52">
        <v>27.23</v>
      </c>
      <c r="C25" s="52">
        <v>17.98</v>
      </c>
      <c r="D25" s="52">
        <v>29</v>
      </c>
      <c r="E25" s="52">
        <v>4.51</v>
      </c>
      <c r="F25" s="52">
        <v>8.42</v>
      </c>
      <c r="G25" s="52">
        <v>18.649999999999999</v>
      </c>
      <c r="H25" s="52">
        <v>3.9</v>
      </c>
      <c r="I25" s="52">
        <v>1.45</v>
      </c>
      <c r="J25" s="52">
        <v>0.28999999999999998</v>
      </c>
      <c r="K25" s="52">
        <v>339.86</v>
      </c>
      <c r="L25" s="52">
        <v>24.91</v>
      </c>
      <c r="M25" s="52">
        <v>98.1</v>
      </c>
      <c r="N25" s="52">
        <v>167</v>
      </c>
      <c r="O25" s="52">
        <v>0</v>
      </c>
      <c r="P25" s="52">
        <v>1.03</v>
      </c>
      <c r="Q25" s="52">
        <v>9.64</v>
      </c>
      <c r="R25" s="43"/>
      <c r="S25" s="43"/>
      <c r="T25" s="43"/>
      <c r="U25" s="43"/>
    </row>
    <row r="26" spans="1:21" s="11" customFormat="1" x14ac:dyDescent="0.25">
      <c r="A26" s="51" t="s">
        <v>509</v>
      </c>
      <c r="B26" s="52">
        <v>30.44</v>
      </c>
      <c r="C26" s="52">
        <v>18.91</v>
      </c>
      <c r="D26" s="52">
        <v>32.869999999999997</v>
      </c>
      <c r="E26" s="52">
        <v>4.99</v>
      </c>
      <c r="F26" s="52">
        <v>5.9</v>
      </c>
      <c r="G26" s="52">
        <v>24.98</v>
      </c>
      <c r="H26" s="52">
        <v>4.71</v>
      </c>
      <c r="I26" s="52">
        <v>1.86</v>
      </c>
      <c r="J26" s="52">
        <v>1.18</v>
      </c>
      <c r="K26" s="52">
        <v>358.62</v>
      </c>
      <c r="L26" s="52">
        <v>24.7</v>
      </c>
      <c r="M26" s="52">
        <v>98.11</v>
      </c>
      <c r="N26" s="52">
        <v>67.2</v>
      </c>
      <c r="O26" s="52">
        <v>0</v>
      </c>
      <c r="P26" s="52">
        <v>1.3</v>
      </c>
      <c r="Q26" s="52">
        <v>9.65</v>
      </c>
      <c r="R26" s="43"/>
      <c r="S26" s="43"/>
      <c r="T26" s="43"/>
      <c r="U26" s="43"/>
    </row>
    <row r="27" spans="1:21" s="11" customFormat="1" x14ac:dyDescent="0.25">
      <c r="A27" s="51" t="s">
        <v>510</v>
      </c>
      <c r="B27" s="52">
        <v>19.7</v>
      </c>
      <c r="C27" s="52">
        <v>8.99</v>
      </c>
      <c r="D27" s="52">
        <v>20.27</v>
      </c>
      <c r="E27" s="52">
        <v>4.7699999999999996</v>
      </c>
      <c r="F27" s="52">
        <v>4.49</v>
      </c>
      <c r="G27" s="52">
        <v>31.53</v>
      </c>
      <c r="H27" s="52">
        <v>4.62</v>
      </c>
      <c r="I27" s="52">
        <v>2.1</v>
      </c>
      <c r="J27" s="52">
        <v>0.84</v>
      </c>
      <c r="K27" s="52">
        <v>337.92</v>
      </c>
      <c r="L27" s="52">
        <v>24.52</v>
      </c>
      <c r="M27" s="52">
        <v>98.13</v>
      </c>
      <c r="N27" s="52">
        <v>50.2</v>
      </c>
      <c r="O27" s="52">
        <v>0</v>
      </c>
      <c r="P27" s="52">
        <v>0.8</v>
      </c>
      <c r="Q27" s="52">
        <v>9.66</v>
      </c>
      <c r="R27" s="43"/>
      <c r="S27" s="43"/>
      <c r="T27" s="43"/>
      <c r="U27" s="43"/>
    </row>
    <row r="28" spans="1:21" s="11" customFormat="1" x14ac:dyDescent="0.25">
      <c r="A28" s="51" t="s">
        <v>511</v>
      </c>
      <c r="B28" s="52">
        <v>20.87</v>
      </c>
      <c r="C28" s="52">
        <v>12.94</v>
      </c>
      <c r="D28" s="52">
        <v>23.47</v>
      </c>
      <c r="E28" s="52">
        <v>4.54</v>
      </c>
      <c r="F28" s="52">
        <v>3.91</v>
      </c>
      <c r="G28" s="52">
        <v>36.619999999999997</v>
      </c>
      <c r="H28" s="52">
        <v>5.88</v>
      </c>
      <c r="I28" s="52">
        <v>2.35</v>
      </c>
      <c r="J28" s="52">
        <v>0.46</v>
      </c>
      <c r="K28" s="52">
        <v>328.6</v>
      </c>
      <c r="L28" s="52">
        <v>24.15</v>
      </c>
      <c r="M28" s="52">
        <v>98.13</v>
      </c>
      <c r="N28" s="52">
        <v>44.5</v>
      </c>
      <c r="O28" s="52">
        <v>0</v>
      </c>
      <c r="P28" s="52">
        <v>1.06</v>
      </c>
      <c r="Q28" s="52">
        <v>9.66</v>
      </c>
      <c r="R28" s="43"/>
      <c r="S28" s="43"/>
      <c r="T28" s="43"/>
      <c r="U28" s="43"/>
    </row>
    <row r="29" spans="1:21" s="11" customFormat="1" x14ac:dyDescent="0.25">
      <c r="A29" s="51" t="s">
        <v>512</v>
      </c>
      <c r="B29" s="52">
        <v>24.8</v>
      </c>
      <c r="C29" s="52">
        <v>12.75</v>
      </c>
      <c r="D29" s="52">
        <v>26.55</v>
      </c>
      <c r="E29" s="52">
        <v>4.4800000000000004</v>
      </c>
      <c r="F29" s="52">
        <v>5.6</v>
      </c>
      <c r="G29" s="52">
        <v>40.729999999999997</v>
      </c>
      <c r="H29" s="52">
        <v>9.01</v>
      </c>
      <c r="I29" s="52">
        <v>3.02</v>
      </c>
      <c r="J29" s="52">
        <v>0.17</v>
      </c>
      <c r="K29" s="52">
        <v>326.45999999999998</v>
      </c>
      <c r="L29" s="52">
        <v>23.94</v>
      </c>
      <c r="M29" s="52">
        <v>98.13</v>
      </c>
      <c r="N29" s="52">
        <v>44.5</v>
      </c>
      <c r="O29" s="52">
        <v>0</v>
      </c>
      <c r="P29" s="52">
        <v>1.1499999999999999</v>
      </c>
      <c r="Q29" s="52">
        <v>9.68</v>
      </c>
      <c r="R29" s="43"/>
      <c r="S29" s="43"/>
      <c r="T29" s="43"/>
      <c r="U29" s="43"/>
    </row>
    <row r="30" spans="1:21" s="11" customFormat="1" x14ac:dyDescent="0.25">
      <c r="A30" s="51" t="s">
        <v>513</v>
      </c>
      <c r="B30" s="52">
        <v>21.93</v>
      </c>
      <c r="C30" s="52">
        <v>9.66</v>
      </c>
      <c r="D30" s="52">
        <v>22.44</v>
      </c>
      <c r="E30" s="52">
        <v>4.87</v>
      </c>
      <c r="F30" s="52">
        <v>5.69</v>
      </c>
      <c r="G30" s="52">
        <v>41.85</v>
      </c>
      <c r="H30" s="52">
        <v>9.9499999999999993</v>
      </c>
      <c r="I30" s="52">
        <v>3.22</v>
      </c>
      <c r="J30" s="52">
        <v>0.17</v>
      </c>
      <c r="K30" s="52">
        <v>332.6</v>
      </c>
      <c r="L30" s="52">
        <v>23.98</v>
      </c>
      <c r="M30" s="52">
        <v>98.13</v>
      </c>
      <c r="N30" s="52">
        <v>44.7</v>
      </c>
      <c r="O30" s="52">
        <v>0</v>
      </c>
      <c r="P30" s="52">
        <v>1.02</v>
      </c>
      <c r="Q30" s="52">
        <v>9.66</v>
      </c>
      <c r="R30" s="43"/>
      <c r="S30" s="43"/>
      <c r="T30" s="43"/>
      <c r="U30" s="43"/>
    </row>
    <row r="31" spans="1:21" s="11" customFormat="1" x14ac:dyDescent="0.25">
      <c r="A31" s="51" t="s">
        <v>514</v>
      </c>
      <c r="B31" s="52">
        <v>19.579999999999998</v>
      </c>
      <c r="C31" s="52">
        <v>5.93</v>
      </c>
      <c r="D31" s="52">
        <v>17.87</v>
      </c>
      <c r="E31" s="52">
        <v>4.62</v>
      </c>
      <c r="F31" s="52">
        <v>3.84</v>
      </c>
      <c r="G31" s="52">
        <v>40.520000000000003</v>
      </c>
      <c r="H31" s="52">
        <v>8.4</v>
      </c>
      <c r="I31" s="52">
        <v>3.25</v>
      </c>
      <c r="J31" s="52">
        <v>0.24</v>
      </c>
      <c r="K31" s="52">
        <v>334.62</v>
      </c>
      <c r="L31" s="52">
        <v>23.63</v>
      </c>
      <c r="M31" s="52">
        <v>98.13</v>
      </c>
      <c r="N31" s="52">
        <v>44.8</v>
      </c>
      <c r="O31" s="52">
        <v>0</v>
      </c>
      <c r="P31" s="52">
        <v>0.87</v>
      </c>
      <c r="Q31" s="52">
        <v>9.69</v>
      </c>
      <c r="R31" s="43"/>
      <c r="S31" s="43"/>
      <c r="T31" s="43"/>
      <c r="U31" s="43"/>
    </row>
    <row r="32" spans="1:21" s="11" customFormat="1" x14ac:dyDescent="0.25">
      <c r="A32" s="51" t="s">
        <v>515</v>
      </c>
      <c r="B32" s="52">
        <v>16.66</v>
      </c>
      <c r="C32" s="52">
        <v>6.27</v>
      </c>
      <c r="D32" s="52">
        <v>15.86</v>
      </c>
      <c r="E32" s="52">
        <v>4.3</v>
      </c>
      <c r="F32" s="52">
        <v>3.39</v>
      </c>
      <c r="G32" s="52">
        <v>28.15</v>
      </c>
      <c r="H32" s="52">
        <v>6.34</v>
      </c>
      <c r="I32" s="52">
        <v>2.99</v>
      </c>
      <c r="J32" s="52">
        <v>0.33</v>
      </c>
      <c r="K32" s="52">
        <v>319.97000000000003</v>
      </c>
      <c r="L32" s="52">
        <v>23.36</v>
      </c>
      <c r="M32" s="52">
        <v>98.12</v>
      </c>
      <c r="N32" s="52">
        <v>44.7</v>
      </c>
      <c r="O32" s="52">
        <v>0</v>
      </c>
      <c r="P32" s="52">
        <v>0.79</v>
      </c>
      <c r="Q32" s="52">
        <v>9.67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7.69</v>
      </c>
      <c r="C34" s="28">
        <f t="shared" si="0"/>
        <v>5.93</v>
      </c>
      <c r="D34" s="28">
        <f t="shared" si="0"/>
        <v>10.08</v>
      </c>
      <c r="E34" s="28">
        <f t="shared" si="0"/>
        <v>4.3</v>
      </c>
      <c r="F34" s="28">
        <f t="shared" si="0"/>
        <v>3.39</v>
      </c>
      <c r="G34" s="28">
        <f t="shared" si="0"/>
        <v>13.38</v>
      </c>
      <c r="H34" s="28">
        <f t="shared" si="0"/>
        <v>2.0299999999999998</v>
      </c>
      <c r="I34" s="28">
        <f t="shared" si="0"/>
        <v>1.36</v>
      </c>
      <c r="J34" s="28">
        <f t="shared" si="0"/>
        <v>0.13</v>
      </c>
      <c r="K34" s="28">
        <f t="shared" si="0"/>
        <v>156.19</v>
      </c>
      <c r="L34" s="28">
        <f t="shared" si="0"/>
        <v>23.36</v>
      </c>
      <c r="M34" s="28">
        <f t="shared" si="0"/>
        <v>88</v>
      </c>
      <c r="N34" s="28">
        <f t="shared" si="0"/>
        <v>44.5</v>
      </c>
      <c r="O34" s="28">
        <f t="shared" si="0"/>
        <v>0</v>
      </c>
      <c r="P34" s="28">
        <f t="shared" si="0"/>
        <v>0.33</v>
      </c>
      <c r="Q34" s="28">
        <f t="shared" si="0"/>
        <v>9.64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30.44</v>
      </c>
      <c r="C35" s="29">
        <f t="shared" si="1"/>
        <v>18.91</v>
      </c>
      <c r="D35" s="29">
        <f t="shared" si="1"/>
        <v>32.869999999999997</v>
      </c>
      <c r="E35" s="29">
        <f t="shared" si="1"/>
        <v>7.04</v>
      </c>
      <c r="F35" s="29">
        <f t="shared" si="1"/>
        <v>11.77</v>
      </c>
      <c r="G35" s="29">
        <f t="shared" si="1"/>
        <v>41.85</v>
      </c>
      <c r="H35" s="29">
        <f t="shared" si="1"/>
        <v>9.9499999999999993</v>
      </c>
      <c r="I35" s="29">
        <f t="shared" si="1"/>
        <v>3.25</v>
      </c>
      <c r="J35" s="29">
        <f t="shared" si="1"/>
        <v>1.18</v>
      </c>
      <c r="K35" s="29">
        <f t="shared" si="1"/>
        <v>359.89</v>
      </c>
      <c r="L35" s="29">
        <f t="shared" si="1"/>
        <v>29.05</v>
      </c>
      <c r="M35" s="29">
        <f t="shared" si="1"/>
        <v>98.13</v>
      </c>
      <c r="N35" s="29">
        <f t="shared" si="1"/>
        <v>927</v>
      </c>
      <c r="O35" s="29">
        <f t="shared" si="1"/>
        <v>0</v>
      </c>
      <c r="P35" s="29">
        <f t="shared" si="1"/>
        <v>1.3</v>
      </c>
      <c r="Q35" s="29">
        <f t="shared" si="1"/>
        <v>9.69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16.478750000000002</v>
      </c>
      <c r="C36" s="28">
        <f t="shared" si="2"/>
        <v>10.130833333333333</v>
      </c>
      <c r="D36" s="28">
        <f t="shared" si="2"/>
        <v>17.98</v>
      </c>
      <c r="E36" s="28">
        <f t="shared" si="2"/>
        <v>5.4304166666666687</v>
      </c>
      <c r="F36" s="28">
        <f t="shared" si="2"/>
        <v>6.9062499999999991</v>
      </c>
      <c r="G36" s="28">
        <f t="shared" si="2"/>
        <v>24.444166666666671</v>
      </c>
      <c r="H36" s="28">
        <f t="shared" si="2"/>
        <v>4.6750000000000007</v>
      </c>
      <c r="I36" s="28">
        <f t="shared" si="2"/>
        <v>1.8466666666666669</v>
      </c>
      <c r="J36" s="28">
        <f t="shared" si="2"/>
        <v>0.43375000000000002</v>
      </c>
      <c r="K36" s="28">
        <f t="shared" si="2"/>
        <v>306.90083333333337</v>
      </c>
      <c r="L36" s="28">
        <f t="shared" si="2"/>
        <v>25.310416666666672</v>
      </c>
      <c r="M36" s="28">
        <f t="shared" si="2"/>
        <v>97.412083333333328</v>
      </c>
      <c r="N36" s="28">
        <f t="shared" si="2"/>
        <v>174.87083333333331</v>
      </c>
      <c r="O36" s="28">
        <f t="shared" si="2"/>
        <v>0</v>
      </c>
      <c r="P36" s="28">
        <f t="shared" si="2"/>
        <v>0.62708333333333355</v>
      </c>
      <c r="Q36" s="28">
        <f t="shared" si="2"/>
        <v>9.6562499999999982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5.9363371172436903</v>
      </c>
      <c r="C37" s="28">
        <f t="shared" ref="C37:Q37" si="3">STDEV(C9:C32)</f>
        <v>3.4169665121167818</v>
      </c>
      <c r="D37" s="28">
        <f t="shared" si="3"/>
        <v>5.7776796907318841</v>
      </c>
      <c r="E37" s="28">
        <f t="shared" si="3"/>
        <v>0.88939392732972467</v>
      </c>
      <c r="F37" s="28">
        <f t="shared" si="3"/>
        <v>2.5764853250959536</v>
      </c>
      <c r="G37" s="28">
        <f t="shared" si="3"/>
        <v>8.7045035403552919</v>
      </c>
      <c r="H37" s="28">
        <f t="shared" si="3"/>
        <v>2.0691964413857558</v>
      </c>
      <c r="I37" s="28">
        <f t="shared" si="3"/>
        <v>0.62806581396113592</v>
      </c>
      <c r="J37" s="28">
        <f t="shared" si="3"/>
        <v>0.30207704891014286</v>
      </c>
      <c r="K37" s="28">
        <f t="shared" si="3"/>
        <v>56.805174972208</v>
      </c>
      <c r="L37" s="28">
        <f t="shared" si="3"/>
        <v>1.6960682901721664</v>
      </c>
      <c r="M37" s="28">
        <f t="shared" si="3"/>
        <v>2.2067386503649433</v>
      </c>
      <c r="N37" s="28">
        <f t="shared" si="3"/>
        <v>202.38929873576231</v>
      </c>
      <c r="O37" s="28">
        <f t="shared" si="3"/>
        <v>0</v>
      </c>
      <c r="P37" s="28">
        <f t="shared" si="3"/>
        <v>0.29550956972169479</v>
      </c>
      <c r="Q37" s="28">
        <f t="shared" si="3"/>
        <v>1.3125646981983206E-2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6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28" sqref="G2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516</v>
      </c>
      <c r="B9" s="52">
        <v>15.52</v>
      </c>
      <c r="C9" s="52">
        <v>6.57</v>
      </c>
      <c r="D9" s="52">
        <v>15.37</v>
      </c>
      <c r="E9" s="52">
        <v>4.18</v>
      </c>
      <c r="F9" s="52">
        <v>3.88</v>
      </c>
      <c r="G9" s="52">
        <v>22.87</v>
      </c>
      <c r="H9" s="52">
        <v>6.4</v>
      </c>
      <c r="I9" s="52">
        <v>3.24</v>
      </c>
      <c r="J9" s="52">
        <v>0.2</v>
      </c>
      <c r="K9" s="52">
        <v>333.73</v>
      </c>
      <c r="L9" s="52">
        <v>23.12</v>
      </c>
      <c r="M9" s="52">
        <v>98.15</v>
      </c>
      <c r="N9" s="52">
        <v>44.9</v>
      </c>
      <c r="O9" s="52">
        <v>0</v>
      </c>
      <c r="P9" s="52">
        <v>0.78</v>
      </c>
      <c r="Q9" s="52">
        <v>9.64</v>
      </c>
      <c r="R9" s="43"/>
      <c r="S9" s="43"/>
      <c r="T9" s="43"/>
      <c r="U9" s="43"/>
    </row>
    <row r="10" spans="1:21" s="11" customFormat="1" x14ac:dyDescent="0.25">
      <c r="A10" s="51" t="s">
        <v>517</v>
      </c>
      <c r="B10" s="52">
        <v>10.45</v>
      </c>
      <c r="C10" s="52">
        <v>7.42</v>
      </c>
      <c r="D10" s="52">
        <v>11.73</v>
      </c>
      <c r="E10" s="52">
        <v>4.29</v>
      </c>
      <c r="F10" s="52">
        <v>3.98</v>
      </c>
      <c r="G10" s="52">
        <v>19.690000000000001</v>
      </c>
      <c r="H10" s="52">
        <v>6.65</v>
      </c>
      <c r="I10" s="52">
        <v>3.07</v>
      </c>
      <c r="J10" s="52">
        <v>0.19</v>
      </c>
      <c r="K10" s="52">
        <v>330.27</v>
      </c>
      <c r="L10" s="52">
        <v>23.14</v>
      </c>
      <c r="M10" s="52">
        <v>98.14</v>
      </c>
      <c r="N10" s="52">
        <v>45</v>
      </c>
      <c r="O10" s="52">
        <v>0</v>
      </c>
      <c r="P10" s="52">
        <v>0.55000000000000004</v>
      </c>
      <c r="Q10" s="52">
        <v>9.64</v>
      </c>
      <c r="R10" s="43"/>
      <c r="S10" s="43"/>
      <c r="T10" s="43"/>
      <c r="U10" s="43"/>
    </row>
    <row r="11" spans="1:21" s="11" customFormat="1" x14ac:dyDescent="0.25">
      <c r="A11" s="51" t="s">
        <v>518</v>
      </c>
      <c r="B11" s="52">
        <v>7.6</v>
      </c>
      <c r="C11" s="52">
        <v>7.73</v>
      </c>
      <c r="D11" s="52">
        <v>10.14</v>
      </c>
      <c r="E11" s="52">
        <v>4.2</v>
      </c>
      <c r="F11" s="52">
        <v>3.38</v>
      </c>
      <c r="G11" s="52">
        <v>14.35</v>
      </c>
      <c r="H11" s="52">
        <v>4.83</v>
      </c>
      <c r="I11" s="52">
        <v>2.52</v>
      </c>
      <c r="J11" s="52">
        <v>0.15</v>
      </c>
      <c r="K11" s="52">
        <v>327.37</v>
      </c>
      <c r="L11" s="52">
        <v>22.6</v>
      </c>
      <c r="M11" s="52">
        <v>98.15</v>
      </c>
      <c r="N11" s="52">
        <v>44.9</v>
      </c>
      <c r="O11" s="52">
        <v>0</v>
      </c>
      <c r="P11" s="52">
        <v>0.48</v>
      </c>
      <c r="Q11" s="52">
        <v>9.6</v>
      </c>
      <c r="R11" s="43"/>
      <c r="S11" s="43"/>
      <c r="T11" s="43"/>
      <c r="U11" s="43"/>
    </row>
    <row r="12" spans="1:21" s="11" customFormat="1" x14ac:dyDescent="0.25">
      <c r="A12" s="51" t="s">
        <v>519</v>
      </c>
      <c r="B12" s="52">
        <v>6.02</v>
      </c>
      <c r="C12" s="52">
        <v>7.26</v>
      </c>
      <c r="D12" s="52">
        <v>8.61</v>
      </c>
      <c r="E12" s="52">
        <v>4.09</v>
      </c>
      <c r="F12" s="52">
        <v>2.57</v>
      </c>
      <c r="G12" s="52">
        <v>11.93</v>
      </c>
      <c r="H12" s="52">
        <v>3.52</v>
      </c>
      <c r="I12" s="52">
        <v>2.0299999999999998</v>
      </c>
      <c r="J12" s="52">
        <v>0.16</v>
      </c>
      <c r="K12" s="52">
        <v>332</v>
      </c>
      <c r="L12" s="52">
        <v>22.33</v>
      </c>
      <c r="M12" s="52">
        <v>98.15</v>
      </c>
      <c r="N12" s="52">
        <v>44.7</v>
      </c>
      <c r="O12" s="52">
        <v>0</v>
      </c>
      <c r="P12" s="52">
        <v>0.37</v>
      </c>
      <c r="Q12" s="52">
        <v>9.5</v>
      </c>
      <c r="R12" s="43"/>
      <c r="S12" s="43"/>
      <c r="T12" s="43"/>
      <c r="U12" s="43"/>
    </row>
    <row r="13" spans="1:21" s="11" customFormat="1" x14ac:dyDescent="0.25">
      <c r="A13" s="51" t="s">
        <v>520</v>
      </c>
      <c r="B13" s="52">
        <v>5.0999999999999996</v>
      </c>
      <c r="C13" s="52">
        <v>7.05</v>
      </c>
      <c r="D13" s="52">
        <v>7.76</v>
      </c>
      <c r="E13" s="52">
        <v>3.78</v>
      </c>
      <c r="F13" s="52">
        <v>2.64</v>
      </c>
      <c r="G13" s="52">
        <v>9.17</v>
      </c>
      <c r="H13" s="52">
        <v>2.64</v>
      </c>
      <c r="I13" s="52">
        <v>1.63</v>
      </c>
      <c r="J13" s="52">
        <v>0.13</v>
      </c>
      <c r="K13" s="52">
        <v>331.7</v>
      </c>
      <c r="L13" s="52">
        <v>22.62</v>
      </c>
      <c r="M13" s="52">
        <v>98.15</v>
      </c>
      <c r="N13" s="52">
        <v>44.5</v>
      </c>
      <c r="O13" s="52">
        <v>0</v>
      </c>
      <c r="P13" s="52">
        <v>0.3</v>
      </c>
      <c r="Q13" s="52">
        <v>9.43</v>
      </c>
      <c r="R13" s="43"/>
      <c r="S13" s="43"/>
      <c r="T13" s="43"/>
      <c r="U13" s="43"/>
    </row>
    <row r="14" spans="1:21" s="11" customFormat="1" x14ac:dyDescent="0.25">
      <c r="A14" s="51" t="s">
        <v>521</v>
      </c>
      <c r="B14" s="52">
        <v>5.17</v>
      </c>
      <c r="C14" s="52">
        <v>7.19</v>
      </c>
      <c r="D14" s="52">
        <v>7.82</v>
      </c>
      <c r="E14" s="52">
        <v>3.94</v>
      </c>
      <c r="F14" s="52">
        <v>3.74</v>
      </c>
      <c r="G14" s="52">
        <v>6.7</v>
      </c>
      <c r="H14" s="52">
        <v>2.1</v>
      </c>
      <c r="I14" s="52">
        <v>1.41</v>
      </c>
      <c r="J14" s="52">
        <v>0.13</v>
      </c>
      <c r="K14" s="52">
        <v>325.13</v>
      </c>
      <c r="L14" s="52">
        <v>22.7</v>
      </c>
      <c r="M14" s="52">
        <v>98.15</v>
      </c>
      <c r="N14" s="52">
        <v>66.599999999999994</v>
      </c>
      <c r="O14" s="52">
        <v>0</v>
      </c>
      <c r="P14" s="52">
        <v>0.23</v>
      </c>
      <c r="Q14" s="52">
        <v>9.4499999999999993</v>
      </c>
      <c r="R14" s="43"/>
      <c r="S14" s="43"/>
      <c r="T14" s="43"/>
      <c r="U14" s="43"/>
    </row>
    <row r="15" spans="1:21" s="11" customFormat="1" x14ac:dyDescent="0.25">
      <c r="A15" s="51" t="s">
        <v>522</v>
      </c>
      <c r="B15" s="52">
        <v>5.76</v>
      </c>
      <c r="C15" s="52">
        <v>7</v>
      </c>
      <c r="D15" s="52">
        <v>8.14</v>
      </c>
      <c r="E15" s="52">
        <v>3.99</v>
      </c>
      <c r="F15" s="52">
        <v>3.13</v>
      </c>
      <c r="G15" s="52">
        <v>6.52</v>
      </c>
      <c r="H15" s="52">
        <v>1.71</v>
      </c>
      <c r="I15" s="52">
        <v>1.26</v>
      </c>
      <c r="J15" s="52">
        <v>0.11</v>
      </c>
      <c r="K15" s="52">
        <v>311.89999999999998</v>
      </c>
      <c r="L15" s="52">
        <v>22.97</v>
      </c>
      <c r="M15" s="52">
        <v>98.15</v>
      </c>
      <c r="N15" s="52">
        <v>81.099999999999994</v>
      </c>
      <c r="O15" s="52">
        <v>0</v>
      </c>
      <c r="P15" s="52">
        <v>0.22</v>
      </c>
      <c r="Q15" s="52">
        <v>9.48</v>
      </c>
      <c r="R15" s="43"/>
      <c r="S15" s="43"/>
      <c r="T15" s="43"/>
      <c r="U15" s="43"/>
    </row>
    <row r="16" spans="1:21" s="11" customFormat="1" x14ac:dyDescent="0.25">
      <c r="A16" s="51" t="s">
        <v>523</v>
      </c>
      <c r="B16" s="52">
        <v>6.37</v>
      </c>
      <c r="C16" s="52">
        <v>6.86</v>
      </c>
      <c r="D16" s="52">
        <v>8.6199999999999992</v>
      </c>
      <c r="E16" s="52">
        <v>5.0999999999999996</v>
      </c>
      <c r="F16" s="52">
        <v>2.56</v>
      </c>
      <c r="G16" s="52">
        <v>7.14</v>
      </c>
      <c r="H16" s="52">
        <v>1.53</v>
      </c>
      <c r="I16" s="52">
        <v>1.21</v>
      </c>
      <c r="J16" s="52">
        <v>0.14000000000000001</v>
      </c>
      <c r="K16" s="52">
        <v>332.85</v>
      </c>
      <c r="L16" s="52">
        <v>23.19</v>
      </c>
      <c r="M16" s="52">
        <v>98.15</v>
      </c>
      <c r="N16" s="52">
        <v>134.19999999999999</v>
      </c>
      <c r="O16" s="52">
        <v>0</v>
      </c>
      <c r="P16" s="52">
        <v>0.22</v>
      </c>
      <c r="Q16" s="52">
        <v>9.4700000000000006</v>
      </c>
      <c r="R16" s="43"/>
      <c r="S16" s="43"/>
      <c r="T16" s="43"/>
      <c r="U16" s="43"/>
    </row>
    <row r="17" spans="1:21" s="11" customFormat="1" x14ac:dyDescent="0.25">
      <c r="A17" s="51" t="s">
        <v>524</v>
      </c>
      <c r="B17" s="52">
        <v>6.63</v>
      </c>
      <c r="C17" s="52">
        <v>6.85</v>
      </c>
      <c r="D17" s="52">
        <v>8.89</v>
      </c>
      <c r="E17" s="52">
        <v>4.9800000000000004</v>
      </c>
      <c r="F17" s="52">
        <v>3.15</v>
      </c>
      <c r="G17" s="52">
        <v>5.34</v>
      </c>
      <c r="H17" s="52">
        <v>1.36</v>
      </c>
      <c r="I17" s="52">
        <v>1.1000000000000001</v>
      </c>
      <c r="J17" s="52">
        <v>0.1</v>
      </c>
      <c r="K17" s="52">
        <v>320.94</v>
      </c>
      <c r="L17" s="52">
        <v>24.34</v>
      </c>
      <c r="M17" s="52">
        <v>98.15</v>
      </c>
      <c r="N17" s="52">
        <v>218</v>
      </c>
      <c r="O17" s="52">
        <v>0</v>
      </c>
      <c r="P17" s="52">
        <v>0.21</v>
      </c>
      <c r="Q17" s="52">
        <v>9.4600000000000009</v>
      </c>
      <c r="R17" s="43"/>
      <c r="S17" s="43"/>
      <c r="T17" s="43"/>
      <c r="U17" s="43"/>
    </row>
    <row r="18" spans="1:21" s="11" customFormat="1" x14ac:dyDescent="0.25">
      <c r="A18" s="51" t="s">
        <v>525</v>
      </c>
      <c r="B18" s="52">
        <v>10.35</v>
      </c>
      <c r="C18" s="52">
        <v>8.85</v>
      </c>
      <c r="D18" s="52">
        <v>12.37</v>
      </c>
      <c r="E18" s="52">
        <v>5.31</v>
      </c>
      <c r="F18" s="52">
        <v>4.2300000000000004</v>
      </c>
      <c r="G18" s="52">
        <v>5.18</v>
      </c>
      <c r="H18" s="52">
        <v>1.33</v>
      </c>
      <c r="I18" s="52">
        <v>1.06</v>
      </c>
      <c r="J18" s="52">
        <v>0.12</v>
      </c>
      <c r="K18" s="52">
        <v>313.24</v>
      </c>
      <c r="L18" s="52">
        <v>24.81</v>
      </c>
      <c r="M18" s="52">
        <v>98.08</v>
      </c>
      <c r="N18" s="52">
        <v>269.39999999999998</v>
      </c>
      <c r="O18" s="52">
        <v>0</v>
      </c>
      <c r="P18" s="52">
        <v>0.32</v>
      </c>
      <c r="Q18" s="52">
        <v>9.51</v>
      </c>
      <c r="R18" s="43"/>
      <c r="S18" s="43"/>
      <c r="T18" s="43"/>
      <c r="U18" s="43"/>
    </row>
    <row r="19" spans="1:21" s="11" customFormat="1" x14ac:dyDescent="0.25">
      <c r="A19" s="51" t="s">
        <v>526</v>
      </c>
      <c r="B19" s="52">
        <v>8.1999999999999993</v>
      </c>
      <c r="C19" s="52">
        <v>7.72</v>
      </c>
      <c r="D19" s="52">
        <v>10.42</v>
      </c>
      <c r="E19" s="52">
        <v>5.31</v>
      </c>
      <c r="F19" s="52">
        <v>5.31</v>
      </c>
      <c r="G19" s="52">
        <v>5.5</v>
      </c>
      <c r="H19" s="52">
        <v>1.1299999999999999</v>
      </c>
      <c r="I19" s="52">
        <v>1.1200000000000001</v>
      </c>
      <c r="J19" s="52">
        <v>0.15</v>
      </c>
      <c r="K19" s="52">
        <v>303.31</v>
      </c>
      <c r="L19" s="52">
        <v>25.07</v>
      </c>
      <c r="M19" s="52">
        <v>98.1</v>
      </c>
      <c r="N19" s="52">
        <v>231.5</v>
      </c>
      <c r="O19" s="52">
        <v>0</v>
      </c>
      <c r="P19" s="52">
        <v>0.26</v>
      </c>
      <c r="Q19" s="52">
        <v>9.5500000000000007</v>
      </c>
      <c r="R19" s="43"/>
      <c r="S19" s="43"/>
      <c r="T19" s="43"/>
      <c r="U19" s="43"/>
    </row>
    <row r="20" spans="1:21" s="11" customFormat="1" x14ac:dyDescent="0.25">
      <c r="A20" s="51" t="s">
        <v>527</v>
      </c>
      <c r="B20" s="52">
        <v>9.3000000000000007</v>
      </c>
      <c r="C20" s="52">
        <v>9.85</v>
      </c>
      <c r="D20" s="52">
        <v>12.61</v>
      </c>
      <c r="E20" s="52">
        <v>5.14</v>
      </c>
      <c r="F20" s="52">
        <v>4.0599999999999996</v>
      </c>
      <c r="G20" s="52">
        <v>4.12</v>
      </c>
      <c r="H20" s="52">
        <v>0.97</v>
      </c>
      <c r="I20" s="52">
        <v>1.03</v>
      </c>
      <c r="J20" s="52">
        <v>0.11</v>
      </c>
      <c r="K20" s="52">
        <v>300.43</v>
      </c>
      <c r="L20" s="52">
        <v>26.65</v>
      </c>
      <c r="M20" s="52">
        <v>98.03</v>
      </c>
      <c r="N20" s="52">
        <v>478.4</v>
      </c>
      <c r="O20" s="52">
        <v>0.2</v>
      </c>
      <c r="P20" s="52">
        <v>0.23</v>
      </c>
      <c r="Q20" s="52">
        <v>9.51</v>
      </c>
      <c r="R20" s="43"/>
      <c r="S20" s="43"/>
      <c r="T20" s="43"/>
      <c r="U20" s="43"/>
    </row>
    <row r="21" spans="1:21" s="11" customFormat="1" x14ac:dyDescent="0.25">
      <c r="A21" s="51" t="s">
        <v>528</v>
      </c>
      <c r="B21" s="52">
        <v>6.44</v>
      </c>
      <c r="C21" s="52">
        <v>9.82</v>
      </c>
      <c r="D21" s="52">
        <v>10.15</v>
      </c>
      <c r="E21" s="52">
        <v>5.0599999999999996</v>
      </c>
      <c r="F21" s="52">
        <v>3.55</v>
      </c>
      <c r="G21" s="52">
        <v>5.0199999999999996</v>
      </c>
      <c r="H21" s="52">
        <v>0.86</v>
      </c>
      <c r="I21" s="52">
        <v>0.94</v>
      </c>
      <c r="J21" s="52">
        <v>0.16</v>
      </c>
      <c r="K21" s="52">
        <v>293.72000000000003</v>
      </c>
      <c r="L21" s="52">
        <v>27.05</v>
      </c>
      <c r="M21" s="52">
        <v>97.97</v>
      </c>
      <c r="N21" s="52">
        <v>546.6</v>
      </c>
      <c r="O21" s="52">
        <v>0</v>
      </c>
      <c r="P21" s="52">
        <v>0.18</v>
      </c>
      <c r="Q21" s="52">
        <v>9.4600000000000009</v>
      </c>
      <c r="R21" s="43"/>
      <c r="S21" s="43"/>
      <c r="T21" s="43"/>
      <c r="U21" s="43"/>
    </row>
    <row r="22" spans="1:21" s="11" customFormat="1" x14ac:dyDescent="0.25">
      <c r="A22" s="51" t="s">
        <v>529</v>
      </c>
      <c r="B22" s="52">
        <v>5.87</v>
      </c>
      <c r="C22" s="52">
        <v>9.5399999999999991</v>
      </c>
      <c r="D22" s="52">
        <v>9.1300000000000008</v>
      </c>
      <c r="E22" s="52">
        <v>5.33</v>
      </c>
      <c r="F22" s="52">
        <v>7.59</v>
      </c>
      <c r="G22" s="52">
        <v>8.5399999999999991</v>
      </c>
      <c r="H22" s="52">
        <v>0.85</v>
      </c>
      <c r="I22" s="52">
        <v>0.74</v>
      </c>
      <c r="J22" s="52">
        <v>0.14000000000000001</v>
      </c>
      <c r="K22" s="52">
        <v>289.83</v>
      </c>
      <c r="L22" s="52">
        <v>26.45</v>
      </c>
      <c r="M22" s="52">
        <v>97.98</v>
      </c>
      <c r="N22" s="52">
        <v>321.10000000000002</v>
      </c>
      <c r="O22" s="52">
        <v>0</v>
      </c>
      <c r="P22" s="52">
        <v>0.24</v>
      </c>
      <c r="Q22" s="52">
        <v>9.44</v>
      </c>
      <c r="R22" s="43"/>
      <c r="S22" s="43"/>
      <c r="T22" s="43"/>
      <c r="U22" s="43"/>
    </row>
    <row r="23" spans="1:21" s="11" customFormat="1" x14ac:dyDescent="0.25">
      <c r="A23" s="51" t="s">
        <v>530</v>
      </c>
      <c r="B23" s="52">
        <v>5.46</v>
      </c>
      <c r="C23" s="52">
        <v>8.39</v>
      </c>
      <c r="D23" s="52">
        <v>8.76</v>
      </c>
      <c r="E23" s="52">
        <v>5.0599999999999996</v>
      </c>
      <c r="F23" s="52">
        <v>3.51</v>
      </c>
      <c r="G23" s="52">
        <v>9.92</v>
      </c>
      <c r="H23" s="52">
        <v>1.29</v>
      </c>
      <c r="I23" s="52">
        <v>0.7</v>
      </c>
      <c r="J23" s="52">
        <v>0.19</v>
      </c>
      <c r="K23" s="52">
        <v>287.72000000000003</v>
      </c>
      <c r="L23" s="52">
        <v>26.81</v>
      </c>
      <c r="M23" s="52">
        <v>97.97</v>
      </c>
      <c r="N23" s="52">
        <v>296.89999999999998</v>
      </c>
      <c r="O23" s="52">
        <v>0</v>
      </c>
      <c r="P23" s="52">
        <v>0.23</v>
      </c>
      <c r="Q23" s="52">
        <v>9.4600000000000009</v>
      </c>
      <c r="R23" s="43"/>
      <c r="S23" s="43"/>
      <c r="T23" s="43"/>
      <c r="U23" s="43"/>
    </row>
    <row r="24" spans="1:21" s="11" customFormat="1" x14ac:dyDescent="0.25">
      <c r="A24" s="51" t="s">
        <v>531</v>
      </c>
      <c r="B24" s="52">
        <v>5.2</v>
      </c>
      <c r="C24" s="52">
        <v>9.0399999999999991</v>
      </c>
      <c r="D24" s="52">
        <v>8.9</v>
      </c>
      <c r="E24" s="52">
        <v>4.99</v>
      </c>
      <c r="F24" s="52">
        <v>3.91</v>
      </c>
      <c r="G24" s="52">
        <v>7.41</v>
      </c>
      <c r="H24" s="52">
        <v>1.51</v>
      </c>
      <c r="I24" s="52">
        <v>0.68</v>
      </c>
      <c r="J24" s="52">
        <v>0.15</v>
      </c>
      <c r="K24" s="52">
        <v>279.8</v>
      </c>
      <c r="L24" s="52">
        <v>26.05</v>
      </c>
      <c r="M24" s="52">
        <v>97.98</v>
      </c>
      <c r="N24" s="52">
        <v>227.6</v>
      </c>
      <c r="O24" s="52">
        <v>0</v>
      </c>
      <c r="P24" s="52">
        <v>0.24</v>
      </c>
      <c r="Q24" s="52">
        <v>9.4700000000000006</v>
      </c>
      <c r="R24" s="43"/>
      <c r="S24" s="43"/>
      <c r="T24" s="43"/>
      <c r="U24" s="43"/>
    </row>
    <row r="25" spans="1:21" s="11" customFormat="1" x14ac:dyDescent="0.25">
      <c r="A25" s="51" t="s">
        <v>532</v>
      </c>
      <c r="B25" s="52">
        <v>5.04</v>
      </c>
      <c r="C25" s="52">
        <v>8.33</v>
      </c>
      <c r="D25" s="52">
        <v>8.35</v>
      </c>
      <c r="E25" s="52">
        <v>4.25</v>
      </c>
      <c r="F25" s="52">
        <v>4.04</v>
      </c>
      <c r="G25" s="52">
        <v>7.71</v>
      </c>
      <c r="H25" s="52">
        <v>1.71</v>
      </c>
      <c r="I25" s="52">
        <v>0.66</v>
      </c>
      <c r="J25" s="52">
        <v>0.16</v>
      </c>
      <c r="K25" s="52">
        <v>317.12</v>
      </c>
      <c r="L25" s="52">
        <v>25.36</v>
      </c>
      <c r="M25" s="52">
        <v>98.02</v>
      </c>
      <c r="N25" s="52">
        <v>138.9</v>
      </c>
      <c r="O25" s="52">
        <v>0</v>
      </c>
      <c r="P25" s="52">
        <v>0.24</v>
      </c>
      <c r="Q25" s="52">
        <v>9.44</v>
      </c>
      <c r="R25" s="43"/>
      <c r="S25" s="43"/>
      <c r="T25" s="43"/>
      <c r="U25" s="43"/>
    </row>
    <row r="26" spans="1:21" s="11" customFormat="1" x14ac:dyDescent="0.25">
      <c r="A26" s="51" t="s">
        <v>533</v>
      </c>
      <c r="B26" s="52">
        <v>5.25</v>
      </c>
      <c r="C26" s="52">
        <v>7.91</v>
      </c>
      <c r="D26" s="52">
        <v>8.32</v>
      </c>
      <c r="E26" s="52">
        <v>4.63</v>
      </c>
      <c r="F26" s="52">
        <v>4.68</v>
      </c>
      <c r="G26" s="52">
        <v>10.58</v>
      </c>
      <c r="H26" s="52">
        <v>1.88</v>
      </c>
      <c r="I26" s="52">
        <v>0.68</v>
      </c>
      <c r="J26" s="52">
        <v>0.12</v>
      </c>
      <c r="K26" s="52">
        <v>339.49</v>
      </c>
      <c r="L26" s="52">
        <v>25.64</v>
      </c>
      <c r="M26" s="52">
        <v>98</v>
      </c>
      <c r="N26" s="52">
        <v>124.6</v>
      </c>
      <c r="O26" s="52">
        <v>0</v>
      </c>
      <c r="P26" s="52">
        <v>0.28999999999999998</v>
      </c>
      <c r="Q26" s="52">
        <v>9.42</v>
      </c>
      <c r="R26" s="43"/>
      <c r="S26" s="43"/>
      <c r="T26" s="43"/>
      <c r="U26" s="43"/>
    </row>
    <row r="27" spans="1:21" s="11" customFormat="1" x14ac:dyDescent="0.25">
      <c r="A27" s="51" t="s">
        <v>534</v>
      </c>
      <c r="B27" s="52">
        <v>5.25</v>
      </c>
      <c r="C27" s="52">
        <v>7.91</v>
      </c>
      <c r="D27" s="52">
        <v>8.32</v>
      </c>
      <c r="E27" s="52">
        <v>4.49</v>
      </c>
      <c r="F27" s="52">
        <v>5.48</v>
      </c>
      <c r="G27" s="52">
        <v>11.75</v>
      </c>
      <c r="H27" s="52">
        <v>2.41</v>
      </c>
      <c r="I27" s="52">
        <v>0.72</v>
      </c>
      <c r="J27" s="52">
        <v>0.1</v>
      </c>
      <c r="K27" s="52">
        <v>326.36</v>
      </c>
      <c r="L27" s="52">
        <v>25.16</v>
      </c>
      <c r="M27" s="52">
        <v>98.03</v>
      </c>
      <c r="N27" s="52">
        <v>52.1</v>
      </c>
      <c r="O27" s="52">
        <v>0</v>
      </c>
      <c r="P27" s="52">
        <v>0.45</v>
      </c>
      <c r="Q27" s="52">
        <v>9.4600000000000009</v>
      </c>
      <c r="R27" s="43"/>
      <c r="S27" s="43"/>
      <c r="T27" s="43"/>
      <c r="U27" s="43"/>
    </row>
    <row r="28" spans="1:21" s="11" customFormat="1" x14ac:dyDescent="0.25">
      <c r="A28" s="51" t="s">
        <v>535</v>
      </c>
      <c r="B28" s="52">
        <v>5.25</v>
      </c>
      <c r="C28" s="52">
        <v>7.91</v>
      </c>
      <c r="D28" s="52">
        <v>8.32</v>
      </c>
      <c r="E28" s="52">
        <v>4.72</v>
      </c>
      <c r="F28" s="52">
        <v>6.6</v>
      </c>
      <c r="G28" s="52">
        <v>13.16</v>
      </c>
      <c r="H28" s="52">
        <v>3.1</v>
      </c>
      <c r="I28" s="52">
        <v>0.77</v>
      </c>
      <c r="J28" s="52">
        <v>0.09</v>
      </c>
      <c r="K28" s="52">
        <v>328.21</v>
      </c>
      <c r="L28" s="52">
        <v>24.91</v>
      </c>
      <c r="M28" s="52">
        <v>98.07</v>
      </c>
      <c r="N28" s="52">
        <v>43.8</v>
      </c>
      <c r="O28" s="52">
        <v>0</v>
      </c>
      <c r="P28" s="52">
        <v>0.4</v>
      </c>
      <c r="Q28" s="52">
        <v>9.51</v>
      </c>
      <c r="R28" s="43"/>
      <c r="S28" s="43"/>
      <c r="T28" s="43"/>
      <c r="U28" s="43"/>
    </row>
    <row r="29" spans="1:21" s="11" customFormat="1" x14ac:dyDescent="0.25">
      <c r="A29" s="51" t="s">
        <v>536</v>
      </c>
      <c r="B29" s="52">
        <v>5.25</v>
      </c>
      <c r="C29" s="52">
        <v>7.91</v>
      </c>
      <c r="D29" s="52">
        <v>8.32</v>
      </c>
      <c r="E29" s="52">
        <v>4.87</v>
      </c>
      <c r="F29" s="52">
        <v>6.2</v>
      </c>
      <c r="G29" s="52">
        <v>16.41</v>
      </c>
      <c r="H29" s="52">
        <v>3.32</v>
      </c>
      <c r="I29" s="52">
        <v>0.97</v>
      </c>
      <c r="J29" s="52">
        <v>0.05</v>
      </c>
      <c r="K29" s="52">
        <v>297</v>
      </c>
      <c r="L29" s="52">
        <v>24.38</v>
      </c>
      <c r="M29" s="52">
        <v>98.1</v>
      </c>
      <c r="N29" s="52">
        <v>43.8</v>
      </c>
      <c r="O29" s="52">
        <v>0</v>
      </c>
      <c r="P29" s="52">
        <v>0.5</v>
      </c>
      <c r="Q29" s="52">
        <v>9.52</v>
      </c>
      <c r="R29" s="43"/>
      <c r="S29" s="43"/>
      <c r="T29" s="43"/>
      <c r="U29" s="43"/>
    </row>
    <row r="30" spans="1:21" s="11" customFormat="1" x14ac:dyDescent="0.25">
      <c r="A30" s="51" t="s">
        <v>537</v>
      </c>
      <c r="B30" s="52">
        <v>5.25</v>
      </c>
      <c r="C30" s="52">
        <v>7.91</v>
      </c>
      <c r="D30" s="52">
        <v>8.32</v>
      </c>
      <c r="E30" s="52">
        <v>4.92</v>
      </c>
      <c r="F30" s="52">
        <v>6.95</v>
      </c>
      <c r="G30" s="52">
        <v>18.899999999999999</v>
      </c>
      <c r="H30" s="52">
        <v>4.4400000000000004</v>
      </c>
      <c r="I30" s="52">
        <v>0.88</v>
      </c>
      <c r="J30" s="52">
        <v>0.06</v>
      </c>
      <c r="K30" s="52">
        <v>350.32</v>
      </c>
      <c r="L30" s="52">
        <v>24.27</v>
      </c>
      <c r="M30" s="52">
        <v>98.13</v>
      </c>
      <c r="N30" s="52">
        <v>43.8</v>
      </c>
      <c r="O30" s="52">
        <v>0</v>
      </c>
      <c r="P30" s="52">
        <v>0.47</v>
      </c>
      <c r="Q30" s="52">
        <v>9.5299999999999994</v>
      </c>
      <c r="R30" s="43"/>
      <c r="S30" s="43"/>
      <c r="T30" s="43"/>
      <c r="U30" s="43"/>
    </row>
    <row r="31" spans="1:21" s="11" customFormat="1" x14ac:dyDescent="0.25">
      <c r="A31" s="51" t="s">
        <v>538</v>
      </c>
      <c r="B31" s="52">
        <v>5.25</v>
      </c>
      <c r="C31" s="52">
        <v>7.91</v>
      </c>
      <c r="D31" s="52">
        <v>8.32</v>
      </c>
      <c r="E31" s="52">
        <v>4.72</v>
      </c>
      <c r="F31" s="52">
        <v>7.89</v>
      </c>
      <c r="G31" s="52">
        <v>19.649999999999999</v>
      </c>
      <c r="H31" s="52">
        <v>5.28</v>
      </c>
      <c r="I31" s="52">
        <v>0.91</v>
      </c>
      <c r="J31" s="52">
        <v>0.63</v>
      </c>
      <c r="K31" s="52">
        <v>135.34</v>
      </c>
      <c r="L31" s="52">
        <v>24.17</v>
      </c>
      <c r="M31" s="52">
        <v>98.13</v>
      </c>
      <c r="N31" s="52">
        <v>43.8</v>
      </c>
      <c r="O31" s="52">
        <v>0</v>
      </c>
      <c r="P31" s="52">
        <v>0.36</v>
      </c>
      <c r="Q31" s="52">
        <v>9.5399999999999991</v>
      </c>
      <c r="R31" s="43"/>
      <c r="S31" s="43"/>
      <c r="T31" s="43"/>
      <c r="U31" s="43"/>
    </row>
    <row r="32" spans="1:21" s="11" customFormat="1" x14ac:dyDescent="0.25">
      <c r="A32" s="51" t="s">
        <v>539</v>
      </c>
      <c r="B32" s="52">
        <v>5.25</v>
      </c>
      <c r="C32" s="52">
        <v>7.91</v>
      </c>
      <c r="D32" s="52">
        <v>8.32</v>
      </c>
      <c r="E32" s="52">
        <v>4.72</v>
      </c>
      <c r="F32" s="52">
        <v>6.81</v>
      </c>
      <c r="G32" s="52">
        <v>17.239999999999998</v>
      </c>
      <c r="H32" s="52">
        <v>4.57</v>
      </c>
      <c r="I32" s="52">
        <v>0.9</v>
      </c>
      <c r="J32" s="52">
        <v>0.26</v>
      </c>
      <c r="K32" s="52">
        <v>226.96</v>
      </c>
      <c r="L32" s="52">
        <v>23.87</v>
      </c>
      <c r="M32" s="52">
        <v>98.13</v>
      </c>
      <c r="N32" s="52">
        <v>43.8</v>
      </c>
      <c r="O32" s="52">
        <v>0</v>
      </c>
      <c r="P32" s="52">
        <v>0.28000000000000003</v>
      </c>
      <c r="Q32" s="52">
        <v>9.58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5.04</v>
      </c>
      <c r="C34" s="28">
        <f t="shared" si="0"/>
        <v>6.57</v>
      </c>
      <c r="D34" s="28">
        <f t="shared" si="0"/>
        <v>7.76</v>
      </c>
      <c r="E34" s="28">
        <f t="shared" si="0"/>
        <v>3.78</v>
      </c>
      <c r="F34" s="28">
        <f t="shared" si="0"/>
        <v>2.56</v>
      </c>
      <c r="G34" s="28">
        <f t="shared" si="0"/>
        <v>4.12</v>
      </c>
      <c r="H34" s="28">
        <f t="shared" si="0"/>
        <v>0.85</v>
      </c>
      <c r="I34" s="28">
        <f t="shared" si="0"/>
        <v>0.66</v>
      </c>
      <c r="J34" s="28">
        <f t="shared" si="0"/>
        <v>0.05</v>
      </c>
      <c r="K34" s="28">
        <f t="shared" si="0"/>
        <v>135.34</v>
      </c>
      <c r="L34" s="28">
        <f t="shared" si="0"/>
        <v>22.33</v>
      </c>
      <c r="M34" s="28">
        <f t="shared" si="0"/>
        <v>97.97</v>
      </c>
      <c r="N34" s="28">
        <f t="shared" si="0"/>
        <v>43.8</v>
      </c>
      <c r="O34" s="28">
        <f t="shared" si="0"/>
        <v>0</v>
      </c>
      <c r="P34" s="28">
        <f t="shared" si="0"/>
        <v>0.18</v>
      </c>
      <c r="Q34" s="28">
        <f t="shared" si="0"/>
        <v>9.42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15.52</v>
      </c>
      <c r="C35" s="29">
        <f t="shared" si="1"/>
        <v>9.85</v>
      </c>
      <c r="D35" s="29">
        <f t="shared" si="1"/>
        <v>15.37</v>
      </c>
      <c r="E35" s="29">
        <f t="shared" si="1"/>
        <v>5.33</v>
      </c>
      <c r="F35" s="29">
        <f t="shared" si="1"/>
        <v>7.89</v>
      </c>
      <c r="G35" s="29">
        <f t="shared" si="1"/>
        <v>22.87</v>
      </c>
      <c r="H35" s="29">
        <f t="shared" si="1"/>
        <v>6.65</v>
      </c>
      <c r="I35" s="29">
        <f t="shared" si="1"/>
        <v>3.24</v>
      </c>
      <c r="J35" s="29">
        <f t="shared" si="1"/>
        <v>0.63</v>
      </c>
      <c r="K35" s="29">
        <f t="shared" si="1"/>
        <v>350.32</v>
      </c>
      <c r="L35" s="29">
        <f t="shared" si="1"/>
        <v>27.05</v>
      </c>
      <c r="M35" s="29">
        <f t="shared" si="1"/>
        <v>98.15</v>
      </c>
      <c r="N35" s="29">
        <f t="shared" si="1"/>
        <v>546.6</v>
      </c>
      <c r="O35" s="29">
        <f t="shared" si="1"/>
        <v>0.2</v>
      </c>
      <c r="P35" s="29">
        <f t="shared" si="1"/>
        <v>0.78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6.7179166666666674</v>
      </c>
      <c r="C36" s="28">
        <f t="shared" si="2"/>
        <v>7.9516666666666653</v>
      </c>
      <c r="D36" s="28">
        <f t="shared" si="2"/>
        <v>9.4170833333333306</v>
      </c>
      <c r="E36" s="28">
        <f t="shared" si="2"/>
        <v>4.6695833333333328</v>
      </c>
      <c r="F36" s="28">
        <f t="shared" si="2"/>
        <v>4.5766666666666671</v>
      </c>
      <c r="G36" s="28">
        <f t="shared" si="2"/>
        <v>11.033333333333333</v>
      </c>
      <c r="H36" s="28">
        <f t="shared" si="2"/>
        <v>2.7245833333333338</v>
      </c>
      <c r="I36" s="28">
        <f t="shared" si="2"/>
        <v>1.2595833333333331</v>
      </c>
      <c r="J36" s="28">
        <f t="shared" si="2"/>
        <v>0.15833333333333333</v>
      </c>
      <c r="K36" s="28">
        <f t="shared" si="2"/>
        <v>305.61416666666668</v>
      </c>
      <c r="L36" s="28">
        <f t="shared" si="2"/>
        <v>24.485833333333336</v>
      </c>
      <c r="M36" s="28">
        <f t="shared" si="2"/>
        <v>98.085833333333355</v>
      </c>
      <c r="N36" s="28">
        <f t="shared" si="2"/>
        <v>151.25000000000003</v>
      </c>
      <c r="O36" s="28">
        <f t="shared" si="2"/>
        <v>8.3333333333333332E-3</v>
      </c>
      <c r="P36" s="28">
        <f t="shared" si="2"/>
        <v>0.33541666666666675</v>
      </c>
      <c r="Q36" s="28">
        <f t="shared" si="2"/>
        <v>9.5029166666666676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2.4966725319681089</v>
      </c>
      <c r="C37" s="28">
        <f t="shared" ref="C37:Q37" si="3">STDEV(C9:C32)</f>
        <v>0.91919466957751395</v>
      </c>
      <c r="D37" s="28">
        <f t="shared" si="3"/>
        <v>1.8720402243139305</v>
      </c>
      <c r="E37" s="28">
        <f t="shared" si="3"/>
        <v>0.47607525132854384</v>
      </c>
      <c r="F37" s="28">
        <f t="shared" si="3"/>
        <v>1.6289464898107189</v>
      </c>
      <c r="G37" s="28">
        <f t="shared" si="3"/>
        <v>5.5415754051546093</v>
      </c>
      <c r="H37" s="28">
        <f t="shared" si="3"/>
        <v>1.7693574838898729</v>
      </c>
      <c r="I37" s="28">
        <f t="shared" si="3"/>
        <v>0.73450651381766585</v>
      </c>
      <c r="J37" s="28">
        <f t="shared" si="3"/>
        <v>0.11024347231653128</v>
      </c>
      <c r="K37" s="28">
        <f t="shared" si="3"/>
        <v>44.519895397809577</v>
      </c>
      <c r="L37" s="28">
        <f t="shared" si="3"/>
        <v>1.4629954877242271</v>
      </c>
      <c r="M37" s="28">
        <f t="shared" si="3"/>
        <v>6.902530516863617E-2</v>
      </c>
      <c r="N37" s="28">
        <f t="shared" si="3"/>
        <v>144.69346308962798</v>
      </c>
      <c r="O37" s="28">
        <f t="shared" si="3"/>
        <v>4.0824829046386311E-2</v>
      </c>
      <c r="P37" s="28">
        <f t="shared" si="3"/>
        <v>0.14270611841082353</v>
      </c>
      <c r="Q37" s="28">
        <f t="shared" si="3"/>
        <v>6.279567741054537E-2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49" t="s">
        <v>22</v>
      </c>
      <c r="C8" s="49" t="s">
        <v>22</v>
      </c>
      <c r="D8" s="29" t="s">
        <v>42</v>
      </c>
      <c r="E8" s="49" t="s">
        <v>22</v>
      </c>
      <c r="F8" s="49" t="s">
        <v>22</v>
      </c>
      <c r="G8" s="49" t="s">
        <v>23</v>
      </c>
      <c r="H8" s="49" t="s">
        <v>22</v>
      </c>
      <c r="I8" s="49" t="s">
        <v>22</v>
      </c>
      <c r="J8" s="49" t="s">
        <v>24</v>
      </c>
      <c r="K8" s="49" t="s">
        <v>25</v>
      </c>
      <c r="L8" s="25" t="s">
        <v>27</v>
      </c>
      <c r="M8" s="49" t="s">
        <v>26</v>
      </c>
      <c r="N8" s="49" t="s">
        <v>28</v>
      </c>
      <c r="O8" s="25" t="s">
        <v>29</v>
      </c>
      <c r="P8" s="49" t="s">
        <v>22</v>
      </c>
      <c r="Q8" s="49" t="s">
        <v>22</v>
      </c>
      <c r="R8" s="27"/>
      <c r="S8" s="29"/>
      <c r="T8" s="27"/>
      <c r="U8" s="27"/>
    </row>
    <row r="9" spans="1:21" s="11" customFormat="1" x14ac:dyDescent="0.25">
      <c r="A9" s="56" t="s">
        <v>540</v>
      </c>
      <c r="B9" s="52">
        <v>9.39</v>
      </c>
      <c r="C9" s="52">
        <v>18.079999999999998</v>
      </c>
      <c r="D9" s="52">
        <v>16.82</v>
      </c>
      <c r="E9" s="52">
        <v>5.74</v>
      </c>
      <c r="F9" s="52">
        <v>7.2</v>
      </c>
      <c r="G9" s="52">
        <v>109.68</v>
      </c>
      <c r="H9" s="52">
        <v>22.35</v>
      </c>
      <c r="I9" s="52">
        <v>2.5299999999999998</v>
      </c>
      <c r="J9" s="52">
        <v>0.05</v>
      </c>
      <c r="K9" s="52">
        <v>214.92</v>
      </c>
      <c r="L9" s="52">
        <v>26.22</v>
      </c>
      <c r="M9" s="52">
        <v>98</v>
      </c>
      <c r="N9" s="52">
        <v>50.5</v>
      </c>
      <c r="O9" s="52">
        <v>0</v>
      </c>
      <c r="P9" s="52">
        <v>0.77</v>
      </c>
      <c r="Q9" s="52">
        <v>9.65</v>
      </c>
      <c r="R9" s="43"/>
      <c r="S9" s="43"/>
      <c r="T9" s="43"/>
      <c r="U9" s="43"/>
    </row>
    <row r="10" spans="1:21" s="11" customFormat="1" x14ac:dyDescent="0.25">
      <c r="A10" s="56" t="s">
        <v>541</v>
      </c>
      <c r="B10" s="52">
        <v>8.35</v>
      </c>
      <c r="C10" s="52">
        <v>14.43</v>
      </c>
      <c r="D10" s="52">
        <v>13.14</v>
      </c>
      <c r="E10" s="52">
        <v>5.33</v>
      </c>
      <c r="F10" s="52">
        <v>9.76</v>
      </c>
      <c r="G10" s="52">
        <v>96.95</v>
      </c>
      <c r="H10" s="52">
        <v>23.18</v>
      </c>
      <c r="I10" s="52">
        <v>2.5099999999999998</v>
      </c>
      <c r="J10" s="52">
        <v>7.0000000000000007E-2</v>
      </c>
      <c r="K10" s="52">
        <v>340.47</v>
      </c>
      <c r="L10" s="52">
        <v>26.32</v>
      </c>
      <c r="M10" s="52">
        <v>98.01</v>
      </c>
      <c r="N10" s="52">
        <v>50.5</v>
      </c>
      <c r="O10" s="52">
        <v>0</v>
      </c>
      <c r="P10" s="52">
        <v>0.16</v>
      </c>
      <c r="Q10" s="52">
        <v>9.64</v>
      </c>
      <c r="R10" s="43"/>
      <c r="S10" s="43"/>
      <c r="T10" s="43"/>
      <c r="U10" s="43"/>
    </row>
    <row r="11" spans="1:21" s="11" customFormat="1" x14ac:dyDescent="0.25">
      <c r="A11" s="56" t="s">
        <v>542</v>
      </c>
      <c r="B11" s="52">
        <v>8.57</v>
      </c>
      <c r="C11" s="52">
        <v>14.35</v>
      </c>
      <c r="D11" s="52">
        <v>13.18</v>
      </c>
      <c r="E11" s="52">
        <v>5.43</v>
      </c>
      <c r="F11" s="52">
        <v>8.36</v>
      </c>
      <c r="G11" s="52">
        <v>71.680000000000007</v>
      </c>
      <c r="H11" s="52">
        <v>22.09</v>
      </c>
      <c r="I11" s="52">
        <v>2.35</v>
      </c>
      <c r="J11" s="52">
        <v>0.06</v>
      </c>
      <c r="K11" s="52">
        <v>340.47</v>
      </c>
      <c r="L11" s="52">
        <v>26.21</v>
      </c>
      <c r="M11" s="52">
        <v>98.04</v>
      </c>
      <c r="N11" s="52">
        <v>50.5</v>
      </c>
      <c r="O11" s="52">
        <v>0</v>
      </c>
      <c r="P11" s="52">
        <v>0.16</v>
      </c>
      <c r="Q11" s="52">
        <v>9.64</v>
      </c>
      <c r="R11" s="43"/>
      <c r="S11" s="43"/>
      <c r="T11" s="43"/>
      <c r="U11" s="43"/>
    </row>
    <row r="12" spans="1:21" s="11" customFormat="1" x14ac:dyDescent="0.25">
      <c r="A12" s="56" t="s">
        <v>543</v>
      </c>
      <c r="B12" s="52">
        <v>6.54</v>
      </c>
      <c r="C12" s="52">
        <v>12.81</v>
      </c>
      <c r="D12" s="52">
        <v>10.96</v>
      </c>
      <c r="E12" s="52">
        <v>5.17</v>
      </c>
      <c r="F12" s="52">
        <v>7.33</v>
      </c>
      <c r="G12" s="52">
        <v>53.33</v>
      </c>
      <c r="H12" s="52">
        <v>15.56</v>
      </c>
      <c r="I12" s="52">
        <v>2.1</v>
      </c>
      <c r="J12" s="52">
        <v>0.17</v>
      </c>
      <c r="K12" s="52">
        <v>158.44999999999999</v>
      </c>
      <c r="L12" s="52">
        <v>26.03</v>
      </c>
      <c r="M12" s="52">
        <v>98.13</v>
      </c>
      <c r="N12" s="52">
        <v>50.5</v>
      </c>
      <c r="O12" s="52">
        <v>0</v>
      </c>
      <c r="P12" s="52">
        <v>0.14000000000000001</v>
      </c>
      <c r="Q12" s="52">
        <v>9.5500000000000007</v>
      </c>
      <c r="R12" s="43"/>
      <c r="S12" s="43"/>
      <c r="T12" s="43"/>
      <c r="U12" s="43"/>
    </row>
    <row r="13" spans="1:21" s="11" customFormat="1" x14ac:dyDescent="0.25">
      <c r="A13" s="56" t="s">
        <v>544</v>
      </c>
      <c r="B13" s="52">
        <v>9.6</v>
      </c>
      <c r="C13" s="52">
        <v>10.26</v>
      </c>
      <c r="D13" s="52">
        <v>11.86</v>
      </c>
      <c r="E13" s="52">
        <v>5.01</v>
      </c>
      <c r="F13" s="52">
        <v>8.11</v>
      </c>
      <c r="G13" s="52">
        <v>45.24</v>
      </c>
      <c r="H13" s="52">
        <v>14.24</v>
      </c>
      <c r="I13" s="52">
        <v>1.88</v>
      </c>
      <c r="J13" s="52">
        <v>0.11</v>
      </c>
      <c r="K13" s="52">
        <v>261.06</v>
      </c>
      <c r="L13" s="52">
        <v>25.56</v>
      </c>
      <c r="M13" s="52">
        <v>98.13</v>
      </c>
      <c r="N13" s="52">
        <v>50.5</v>
      </c>
      <c r="O13" s="52">
        <v>0</v>
      </c>
      <c r="P13" s="52">
        <v>0.18</v>
      </c>
      <c r="Q13" s="52">
        <v>9.4700000000000006</v>
      </c>
      <c r="R13" s="43"/>
      <c r="S13" s="43"/>
      <c r="T13" s="43"/>
      <c r="U13" s="43"/>
    </row>
    <row r="14" spans="1:21" s="11" customFormat="1" x14ac:dyDescent="0.25">
      <c r="A14" s="56" t="s">
        <v>545</v>
      </c>
      <c r="B14" s="52">
        <v>9.82</v>
      </c>
      <c r="C14" s="52">
        <v>12.52</v>
      </c>
      <c r="D14" s="52">
        <v>13.97</v>
      </c>
      <c r="E14" s="52">
        <v>5.19</v>
      </c>
      <c r="F14" s="52">
        <v>11.33</v>
      </c>
      <c r="G14" s="52">
        <v>43.05</v>
      </c>
      <c r="H14" s="52">
        <v>10.43</v>
      </c>
      <c r="I14" s="52">
        <v>1.69</v>
      </c>
      <c r="J14" s="52">
        <v>7.0000000000000007E-2</v>
      </c>
      <c r="K14" s="52">
        <v>269.77999999999997</v>
      </c>
      <c r="L14" s="52">
        <v>25.48</v>
      </c>
      <c r="M14" s="52">
        <v>98.11</v>
      </c>
      <c r="N14" s="52">
        <v>64.3</v>
      </c>
      <c r="O14" s="52">
        <v>0</v>
      </c>
      <c r="P14" s="52">
        <v>0.2</v>
      </c>
      <c r="Q14" s="52">
        <v>9.44</v>
      </c>
      <c r="R14" s="43"/>
      <c r="S14" s="43"/>
      <c r="T14" s="43"/>
      <c r="U14" s="43"/>
    </row>
    <row r="15" spans="1:21" s="11" customFormat="1" x14ac:dyDescent="0.25">
      <c r="A15" s="56" t="s">
        <v>546</v>
      </c>
      <c r="B15" s="52">
        <v>9.4600000000000009</v>
      </c>
      <c r="C15" s="52">
        <v>11.95</v>
      </c>
      <c r="D15" s="52">
        <v>13.36</v>
      </c>
      <c r="E15" s="52">
        <v>5.27</v>
      </c>
      <c r="F15" s="52">
        <v>9.26</v>
      </c>
      <c r="G15" s="52">
        <v>40.22</v>
      </c>
      <c r="H15" s="52">
        <v>11.23</v>
      </c>
      <c r="I15" s="52">
        <v>1.54</v>
      </c>
      <c r="J15" s="52">
        <v>0.18</v>
      </c>
      <c r="K15" s="52">
        <v>243.06</v>
      </c>
      <c r="L15" s="52">
        <v>26.1</v>
      </c>
      <c r="M15" s="52">
        <v>98.1</v>
      </c>
      <c r="N15" s="52">
        <v>154.6</v>
      </c>
      <c r="O15" s="52">
        <v>0</v>
      </c>
      <c r="P15" s="52">
        <v>0.22</v>
      </c>
      <c r="Q15" s="52">
        <v>9.41</v>
      </c>
      <c r="R15" s="43"/>
      <c r="S15" s="43"/>
      <c r="T15" s="43"/>
      <c r="U15" s="43"/>
    </row>
    <row r="16" spans="1:21" s="11" customFormat="1" x14ac:dyDescent="0.25">
      <c r="A16" s="56" t="s">
        <v>547</v>
      </c>
      <c r="B16" s="52">
        <v>11.92</v>
      </c>
      <c r="C16" s="52">
        <v>11.36</v>
      </c>
      <c r="D16" s="52">
        <v>15.49</v>
      </c>
      <c r="E16" s="52">
        <v>5.19</v>
      </c>
      <c r="F16" s="52">
        <v>12.23</v>
      </c>
      <c r="G16" s="52">
        <v>44.7</v>
      </c>
      <c r="H16" s="52">
        <v>10.91</v>
      </c>
      <c r="I16" s="52">
        <v>1.48</v>
      </c>
      <c r="J16" s="52">
        <v>0.13</v>
      </c>
      <c r="K16" s="52">
        <v>282.58</v>
      </c>
      <c r="L16" s="52">
        <v>27.48</v>
      </c>
      <c r="M16" s="52">
        <v>98.02</v>
      </c>
      <c r="N16" s="52">
        <v>254.4</v>
      </c>
      <c r="O16" s="52">
        <v>0</v>
      </c>
      <c r="P16" s="52">
        <v>0.37</v>
      </c>
      <c r="Q16" s="52">
        <v>9.3699999999999992</v>
      </c>
      <c r="R16" s="43"/>
      <c r="S16" s="43"/>
      <c r="T16" s="43"/>
      <c r="U16" s="43"/>
    </row>
    <row r="17" spans="1:21" s="11" customFormat="1" x14ac:dyDescent="0.25">
      <c r="A17" s="56" t="s">
        <v>548</v>
      </c>
      <c r="B17" s="52">
        <v>12.27</v>
      </c>
      <c r="C17" s="52">
        <v>9.81</v>
      </c>
      <c r="D17" s="52">
        <v>14.97</v>
      </c>
      <c r="E17" s="52">
        <v>4.53</v>
      </c>
      <c r="F17" s="52">
        <v>12.16</v>
      </c>
      <c r="G17" s="52">
        <v>48.81</v>
      </c>
      <c r="H17" s="52">
        <v>17.079999999999998</v>
      </c>
      <c r="I17" s="52">
        <v>1.41</v>
      </c>
      <c r="J17" s="52">
        <v>0.1</v>
      </c>
      <c r="K17" s="52">
        <v>316.01</v>
      </c>
      <c r="L17" s="52">
        <v>28.84</v>
      </c>
      <c r="M17" s="52">
        <v>97.95</v>
      </c>
      <c r="N17" s="52">
        <v>440.2</v>
      </c>
      <c r="O17" s="52">
        <v>0</v>
      </c>
      <c r="P17" s="52">
        <v>0.39</v>
      </c>
      <c r="Q17" s="52">
        <v>9.31</v>
      </c>
      <c r="R17" s="43"/>
      <c r="S17" s="43"/>
      <c r="T17" s="43"/>
      <c r="U17" s="43"/>
    </row>
    <row r="18" spans="1:21" s="11" customFormat="1" x14ac:dyDescent="0.25">
      <c r="A18" s="56" t="s">
        <v>549</v>
      </c>
      <c r="B18" s="52">
        <v>14.47</v>
      </c>
      <c r="C18" s="52">
        <v>15.47</v>
      </c>
      <c r="D18" s="52">
        <v>17.52</v>
      </c>
      <c r="E18" s="52">
        <v>4.55</v>
      </c>
      <c r="F18" s="52">
        <v>12.18</v>
      </c>
      <c r="G18" s="52">
        <v>56.67</v>
      </c>
      <c r="H18" s="52">
        <v>16.82</v>
      </c>
      <c r="I18" s="52">
        <v>1.5</v>
      </c>
      <c r="J18" s="52">
        <v>0.19</v>
      </c>
      <c r="K18" s="52">
        <v>304.27999999999997</v>
      </c>
      <c r="L18" s="52">
        <v>30.29</v>
      </c>
      <c r="M18" s="52">
        <v>88.19</v>
      </c>
      <c r="N18" s="52">
        <v>438.5</v>
      </c>
      <c r="O18" s="52">
        <v>0</v>
      </c>
      <c r="P18" s="52">
        <v>0.71</v>
      </c>
      <c r="Q18" s="52">
        <v>9.2899999999999991</v>
      </c>
      <c r="R18" s="43"/>
      <c r="S18" s="43"/>
      <c r="T18" s="43"/>
      <c r="U18" s="43"/>
    </row>
    <row r="19" spans="1:21" s="11" customFormat="1" x14ac:dyDescent="0.25">
      <c r="A19" s="56" t="s">
        <v>550</v>
      </c>
      <c r="B19" s="52">
        <v>14.48</v>
      </c>
      <c r="C19" s="52">
        <v>17</v>
      </c>
      <c r="D19" s="52">
        <v>20.48</v>
      </c>
      <c r="E19" s="52">
        <v>4.7300000000000004</v>
      </c>
      <c r="F19" s="52">
        <v>16.11</v>
      </c>
      <c r="G19" s="52">
        <v>65.180000000000007</v>
      </c>
      <c r="H19" s="52">
        <v>15.09</v>
      </c>
      <c r="I19" s="52">
        <v>1.9</v>
      </c>
      <c r="J19" s="52">
        <v>0.17</v>
      </c>
      <c r="K19" s="52">
        <v>301.91000000000003</v>
      </c>
      <c r="L19" s="52">
        <v>29.79</v>
      </c>
      <c r="M19" s="52">
        <v>90.18</v>
      </c>
      <c r="N19" s="52">
        <v>384.2</v>
      </c>
      <c r="O19" s="52">
        <v>0</v>
      </c>
      <c r="P19" s="52">
        <v>0.89</v>
      </c>
      <c r="Q19" s="52">
        <v>9.2899999999999991</v>
      </c>
      <c r="R19" s="43"/>
      <c r="S19" s="43"/>
      <c r="T19" s="43"/>
      <c r="U19" s="43"/>
    </row>
    <row r="20" spans="1:21" s="11" customFormat="1" x14ac:dyDescent="0.25">
      <c r="A20" s="56" t="s">
        <v>551</v>
      </c>
      <c r="B20" s="52">
        <v>11.35</v>
      </c>
      <c r="C20" s="52">
        <v>21.37</v>
      </c>
      <c r="D20" s="52">
        <v>17.22</v>
      </c>
      <c r="E20" s="52">
        <v>4.82</v>
      </c>
      <c r="F20" s="52">
        <v>16.920000000000002</v>
      </c>
      <c r="G20" s="52">
        <v>69.849999999999994</v>
      </c>
      <c r="H20" s="52">
        <v>14.28</v>
      </c>
      <c r="I20" s="52">
        <v>2.0299999999999998</v>
      </c>
      <c r="J20" s="52">
        <v>0.22</v>
      </c>
      <c r="K20" s="52">
        <v>301.79000000000002</v>
      </c>
      <c r="L20" s="52">
        <v>30.29</v>
      </c>
      <c r="M20" s="52">
        <v>85.61</v>
      </c>
      <c r="N20" s="52">
        <v>304</v>
      </c>
      <c r="O20" s="52">
        <v>0</v>
      </c>
      <c r="P20" s="52">
        <v>0.69</v>
      </c>
      <c r="Q20" s="52">
        <v>9.2799999999999994</v>
      </c>
      <c r="R20" s="43"/>
      <c r="S20" s="43"/>
      <c r="T20" s="43"/>
      <c r="U20" s="43"/>
    </row>
    <row r="21" spans="1:21" s="11" customFormat="1" x14ac:dyDescent="0.25">
      <c r="A21" s="56" t="s">
        <v>552</v>
      </c>
      <c r="B21" s="52">
        <v>6.37</v>
      </c>
      <c r="C21" s="52">
        <v>18.510000000000002</v>
      </c>
      <c r="D21" s="52">
        <v>14.78</v>
      </c>
      <c r="E21" s="52">
        <v>4.67</v>
      </c>
      <c r="F21" s="52">
        <v>13.67</v>
      </c>
      <c r="G21" s="52">
        <v>71.11</v>
      </c>
      <c r="H21" s="52">
        <v>13.86</v>
      </c>
      <c r="I21" s="52">
        <v>2.08</v>
      </c>
      <c r="J21" s="52">
        <v>0.15</v>
      </c>
      <c r="K21" s="52">
        <v>278.73</v>
      </c>
      <c r="L21" s="52">
        <v>30.09</v>
      </c>
      <c r="M21" s="52">
        <v>83.45</v>
      </c>
      <c r="N21" s="52">
        <v>525</v>
      </c>
      <c r="O21" s="52">
        <v>0</v>
      </c>
      <c r="P21" s="52">
        <v>0.6</v>
      </c>
      <c r="Q21" s="52">
        <v>9</v>
      </c>
      <c r="R21" s="43"/>
      <c r="S21" s="43"/>
      <c r="T21" s="43"/>
      <c r="U21" s="43"/>
    </row>
    <row r="22" spans="1:21" s="11" customFormat="1" x14ac:dyDescent="0.25">
      <c r="A22" s="56" t="s">
        <v>553</v>
      </c>
      <c r="B22" s="52">
        <v>5.47</v>
      </c>
      <c r="C22" s="52">
        <v>13.34</v>
      </c>
      <c r="D22" s="52">
        <v>11.23</v>
      </c>
      <c r="E22" s="52">
        <v>4.8899999999999997</v>
      </c>
      <c r="F22" s="52">
        <v>9.27</v>
      </c>
      <c r="G22" s="52">
        <v>2</v>
      </c>
      <c r="H22" s="52">
        <v>1</v>
      </c>
      <c r="I22" s="52">
        <v>1.9</v>
      </c>
      <c r="J22" s="52">
        <v>0.16</v>
      </c>
      <c r="K22" s="52">
        <v>293.72000000000003</v>
      </c>
      <c r="L22" s="52">
        <v>31.13</v>
      </c>
      <c r="M22" s="52">
        <v>79.37</v>
      </c>
      <c r="N22" s="52">
        <v>341.1</v>
      </c>
      <c r="O22" s="52">
        <v>0</v>
      </c>
      <c r="P22" s="52">
        <v>0.44</v>
      </c>
      <c r="Q22" s="52">
        <v>9.0299999999999994</v>
      </c>
      <c r="R22" s="43"/>
      <c r="S22" s="43"/>
      <c r="T22" s="43"/>
      <c r="U22" s="43"/>
    </row>
    <row r="23" spans="1:21" s="11" customFormat="1" x14ac:dyDescent="0.25">
      <c r="A23" s="56" t="s">
        <v>554</v>
      </c>
      <c r="B23" s="52">
        <v>7.46</v>
      </c>
      <c r="C23" s="52">
        <v>13.98</v>
      </c>
      <c r="D23" s="52">
        <v>13.29</v>
      </c>
      <c r="E23" s="52">
        <v>4.79</v>
      </c>
      <c r="F23" s="52">
        <v>13.32</v>
      </c>
      <c r="G23" s="52">
        <v>87.6</v>
      </c>
      <c r="H23" s="52">
        <v>1.03</v>
      </c>
      <c r="I23" s="52">
        <v>1.61</v>
      </c>
      <c r="J23" s="52">
        <v>0.16</v>
      </c>
      <c r="K23" s="52">
        <v>285.43</v>
      </c>
      <c r="L23" s="52">
        <v>30.72</v>
      </c>
      <c r="M23" s="52">
        <v>75.239999999999995</v>
      </c>
      <c r="N23" s="52">
        <v>308.7</v>
      </c>
      <c r="O23" s="52">
        <v>0</v>
      </c>
      <c r="P23" s="52">
        <v>0.36</v>
      </c>
      <c r="Q23" s="52">
        <v>9.02</v>
      </c>
      <c r="R23" s="43"/>
      <c r="S23" s="43"/>
      <c r="T23" s="43"/>
      <c r="U23" s="43"/>
    </row>
    <row r="24" spans="1:21" s="11" customFormat="1" x14ac:dyDescent="0.25">
      <c r="A24" s="56" t="s">
        <v>555</v>
      </c>
      <c r="B24" s="52">
        <v>6.24</v>
      </c>
      <c r="C24" s="52">
        <v>12.12</v>
      </c>
      <c r="D24" s="52">
        <v>11.07</v>
      </c>
      <c r="E24" s="52">
        <v>4.78</v>
      </c>
      <c r="F24" s="52">
        <v>13.59</v>
      </c>
      <c r="G24" s="52">
        <v>87.86</v>
      </c>
      <c r="H24" s="52">
        <v>1.03</v>
      </c>
      <c r="I24" s="52">
        <v>1.37</v>
      </c>
      <c r="J24" s="52">
        <v>1.1000000000000001</v>
      </c>
      <c r="K24" s="52">
        <v>335.52</v>
      </c>
      <c r="L24" s="52">
        <v>30.34</v>
      </c>
      <c r="M24" s="52">
        <v>83.26</v>
      </c>
      <c r="N24" s="52">
        <v>224.2</v>
      </c>
      <c r="O24" s="52">
        <v>0</v>
      </c>
      <c r="P24" s="52">
        <v>0.36</v>
      </c>
      <c r="Q24" s="52">
        <v>9.0299999999999994</v>
      </c>
      <c r="R24" s="43"/>
      <c r="S24" s="43"/>
      <c r="T24" s="43"/>
      <c r="U24" s="43"/>
    </row>
    <row r="25" spans="1:21" s="11" customFormat="1" x14ac:dyDescent="0.25">
      <c r="A25" s="56" t="s">
        <v>556</v>
      </c>
      <c r="B25" s="52">
        <v>12.94</v>
      </c>
      <c r="C25" s="52">
        <v>17.32</v>
      </c>
      <c r="D25" s="52">
        <v>17.12</v>
      </c>
      <c r="E25" s="52">
        <v>4.7300000000000004</v>
      </c>
      <c r="F25" s="52">
        <v>13.6</v>
      </c>
      <c r="G25" s="52">
        <v>87.86</v>
      </c>
      <c r="H25" s="52">
        <v>4.2</v>
      </c>
      <c r="I25" s="52">
        <v>1.35</v>
      </c>
      <c r="J25" s="52">
        <v>0.45</v>
      </c>
      <c r="K25" s="52">
        <v>338.23</v>
      </c>
      <c r="L25" s="52">
        <v>27.4</v>
      </c>
      <c r="M25" s="52">
        <v>97.45</v>
      </c>
      <c r="N25" s="52">
        <v>156.80000000000001</v>
      </c>
      <c r="O25" s="52">
        <v>0</v>
      </c>
      <c r="P25" s="52">
        <v>0.56999999999999995</v>
      </c>
      <c r="Q25" s="52">
        <v>9.01</v>
      </c>
      <c r="R25" s="43"/>
      <c r="S25" s="43"/>
      <c r="T25" s="43"/>
      <c r="U25" s="43"/>
    </row>
    <row r="26" spans="1:21" s="11" customFormat="1" x14ac:dyDescent="0.25">
      <c r="A26" s="56" t="s">
        <v>557</v>
      </c>
      <c r="B26" s="52">
        <v>12.92</v>
      </c>
      <c r="C26" s="52">
        <v>22.04</v>
      </c>
      <c r="D26" s="52">
        <v>21.27</v>
      </c>
      <c r="E26" s="52">
        <v>5.07</v>
      </c>
      <c r="F26" s="52">
        <v>11.86</v>
      </c>
      <c r="G26" s="52">
        <v>70.39</v>
      </c>
      <c r="H26" s="52">
        <v>4.2</v>
      </c>
      <c r="I26" s="52">
        <v>1.45</v>
      </c>
      <c r="J26" s="52">
        <v>0.41</v>
      </c>
      <c r="K26" s="52">
        <v>332.94</v>
      </c>
      <c r="L26" s="52">
        <v>27.7</v>
      </c>
      <c r="M26" s="52">
        <v>95.66</v>
      </c>
      <c r="N26" s="52">
        <v>142.69999999999999</v>
      </c>
      <c r="O26" s="52">
        <v>0</v>
      </c>
      <c r="P26" s="52">
        <v>0.78</v>
      </c>
      <c r="Q26" s="52">
        <v>9.11</v>
      </c>
      <c r="R26" s="43"/>
      <c r="S26" s="43"/>
      <c r="T26" s="43"/>
      <c r="U26" s="43"/>
    </row>
    <row r="27" spans="1:21" s="11" customFormat="1" x14ac:dyDescent="0.25">
      <c r="A27" s="56" t="s">
        <v>558</v>
      </c>
      <c r="B27" s="52">
        <v>8.3699999999999992</v>
      </c>
      <c r="C27" s="52">
        <v>25.4</v>
      </c>
      <c r="D27" s="52">
        <v>19.98</v>
      </c>
      <c r="E27" s="52">
        <v>4.91</v>
      </c>
      <c r="F27" s="52">
        <v>13.82</v>
      </c>
      <c r="G27" s="52">
        <v>40</v>
      </c>
      <c r="H27" s="52">
        <v>1</v>
      </c>
      <c r="I27" s="52">
        <v>2.4300000000000002</v>
      </c>
      <c r="J27" s="52">
        <v>0.1</v>
      </c>
      <c r="K27" s="52">
        <v>278.54000000000002</v>
      </c>
      <c r="L27" s="52">
        <v>27.43</v>
      </c>
      <c r="M27" s="52">
        <v>92.2</v>
      </c>
      <c r="N27" s="52">
        <v>98.7</v>
      </c>
      <c r="O27" s="52">
        <v>0</v>
      </c>
      <c r="P27" s="52">
        <v>1.78</v>
      </c>
      <c r="Q27" s="52">
        <v>9.17</v>
      </c>
      <c r="R27" s="43"/>
      <c r="S27" s="43"/>
      <c r="T27" s="43"/>
      <c r="U27" s="43"/>
    </row>
    <row r="28" spans="1:21" s="11" customFormat="1" x14ac:dyDescent="0.25">
      <c r="A28" s="56" t="s">
        <v>559</v>
      </c>
      <c r="B28" s="52">
        <v>10.36</v>
      </c>
      <c r="C28" s="52">
        <v>27.9</v>
      </c>
      <c r="D28" s="52">
        <v>22.89</v>
      </c>
      <c r="E28" s="52">
        <v>5.14</v>
      </c>
      <c r="F28" s="52">
        <v>13.51</v>
      </c>
      <c r="G28" s="52">
        <v>120.01</v>
      </c>
      <c r="H28" s="52">
        <v>25.37</v>
      </c>
      <c r="I28" s="52">
        <v>2.73</v>
      </c>
      <c r="J28" s="52">
        <v>0.25</v>
      </c>
      <c r="K28" s="52">
        <v>176.46</v>
      </c>
      <c r="L28" s="52">
        <v>27.07</v>
      </c>
      <c r="M28" s="52">
        <v>97.33</v>
      </c>
      <c r="N28" s="52">
        <v>83.7</v>
      </c>
      <c r="O28" s="52">
        <v>0</v>
      </c>
      <c r="P28" s="52">
        <v>0.57999999999999996</v>
      </c>
      <c r="Q28" s="52">
        <v>9.19</v>
      </c>
      <c r="R28" s="43"/>
      <c r="S28" s="43"/>
      <c r="T28" s="43"/>
      <c r="U28" s="43"/>
    </row>
    <row r="29" spans="1:21" s="11" customFormat="1" x14ac:dyDescent="0.25">
      <c r="A29" s="56" t="s">
        <v>560</v>
      </c>
      <c r="B29" s="52">
        <v>11.9</v>
      </c>
      <c r="C29" s="52">
        <v>22.12</v>
      </c>
      <c r="D29" s="52">
        <v>20.29</v>
      </c>
      <c r="E29" s="52">
        <v>5.13</v>
      </c>
      <c r="F29" s="52">
        <v>10.45</v>
      </c>
      <c r="G29" s="52">
        <v>113.13</v>
      </c>
      <c r="H29" s="52">
        <v>24.5</v>
      </c>
      <c r="I29" s="52">
        <v>2.7</v>
      </c>
      <c r="J29" s="52">
        <v>0.19</v>
      </c>
      <c r="K29" s="52">
        <v>186.6</v>
      </c>
      <c r="L29" s="52">
        <v>26.74</v>
      </c>
      <c r="M29" s="52">
        <v>98.04</v>
      </c>
      <c r="N29" s="52">
        <v>84.1</v>
      </c>
      <c r="O29" s="52">
        <v>0</v>
      </c>
      <c r="P29" s="52">
        <v>0.55000000000000004</v>
      </c>
      <c r="Q29" s="52">
        <v>9.18</v>
      </c>
      <c r="R29" s="43"/>
      <c r="S29" s="43"/>
      <c r="T29" s="43"/>
      <c r="U29" s="43"/>
    </row>
    <row r="30" spans="1:21" s="11" customFormat="1" x14ac:dyDescent="0.25">
      <c r="A30" s="56" t="s">
        <v>561</v>
      </c>
      <c r="B30" s="52">
        <v>11.52</v>
      </c>
      <c r="C30" s="52">
        <v>16.64</v>
      </c>
      <c r="D30" s="52">
        <v>17.940000000000001</v>
      </c>
      <c r="E30" s="52">
        <v>4.7300000000000004</v>
      </c>
      <c r="F30" s="52">
        <v>8.6</v>
      </c>
      <c r="G30" s="52">
        <v>97.12</v>
      </c>
      <c r="H30" s="52">
        <v>20.71</v>
      </c>
      <c r="I30" s="52">
        <v>2.36</v>
      </c>
      <c r="J30" s="52">
        <v>0.06</v>
      </c>
      <c r="K30" s="52">
        <v>269.98</v>
      </c>
      <c r="L30" s="52">
        <v>26.56</v>
      </c>
      <c r="M30" s="52">
        <v>98.15</v>
      </c>
      <c r="N30" s="52">
        <v>84.6</v>
      </c>
      <c r="O30" s="52">
        <v>0</v>
      </c>
      <c r="P30" s="52">
        <v>0.59</v>
      </c>
      <c r="Q30" s="52">
        <v>9.1999999999999993</v>
      </c>
      <c r="R30" s="43"/>
      <c r="S30" s="43"/>
      <c r="T30" s="43"/>
      <c r="U30" s="43"/>
    </row>
    <row r="31" spans="1:21" s="11" customFormat="1" x14ac:dyDescent="0.25">
      <c r="A31" s="56" t="s">
        <v>562</v>
      </c>
      <c r="B31" s="52">
        <v>5.43</v>
      </c>
      <c r="C31" s="52">
        <v>12.32</v>
      </c>
      <c r="D31" s="52">
        <v>10.79</v>
      </c>
      <c r="E31" s="52">
        <v>4.71</v>
      </c>
      <c r="F31" s="52">
        <v>10.24</v>
      </c>
      <c r="G31" s="52">
        <v>78.2</v>
      </c>
      <c r="H31" s="52">
        <v>16.59</v>
      </c>
      <c r="I31" s="52">
        <v>2.19</v>
      </c>
      <c r="J31" s="52">
        <v>0.19</v>
      </c>
      <c r="K31" s="52">
        <v>165.82</v>
      </c>
      <c r="L31" s="52">
        <v>26.18</v>
      </c>
      <c r="M31" s="52">
        <v>98.2</v>
      </c>
      <c r="N31" s="52">
        <v>86.9</v>
      </c>
      <c r="O31" s="52">
        <v>0</v>
      </c>
      <c r="P31" s="52">
        <v>0.31</v>
      </c>
      <c r="Q31" s="52">
        <v>9.2100000000000009</v>
      </c>
      <c r="R31" s="43"/>
      <c r="S31" s="43"/>
      <c r="T31" s="43"/>
      <c r="U31" s="43"/>
    </row>
    <row r="32" spans="1:21" s="11" customFormat="1" x14ac:dyDescent="0.25">
      <c r="A32" s="56" t="s">
        <v>563</v>
      </c>
      <c r="B32" s="52">
        <v>5.49</v>
      </c>
      <c r="C32" s="52">
        <v>10.83</v>
      </c>
      <c r="D32" s="52">
        <v>9.7899999999999991</v>
      </c>
      <c r="E32" s="52">
        <v>5.15</v>
      </c>
      <c r="F32" s="52">
        <v>10.79</v>
      </c>
      <c r="G32" s="52">
        <v>63.06</v>
      </c>
      <c r="H32" s="52">
        <v>14.42</v>
      </c>
      <c r="I32" s="52">
        <v>2.0499999999999998</v>
      </c>
      <c r="J32" s="52">
        <v>0.08</v>
      </c>
      <c r="K32" s="52">
        <v>337.73</v>
      </c>
      <c r="L32" s="52">
        <v>25.89</v>
      </c>
      <c r="M32" s="52">
        <v>98.25</v>
      </c>
      <c r="N32" s="52">
        <v>81.900000000000006</v>
      </c>
      <c r="O32" s="52">
        <v>0</v>
      </c>
      <c r="P32" s="52">
        <v>0.25</v>
      </c>
      <c r="Q32" s="52">
        <v>9.2100000000000009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5.43</v>
      </c>
      <c r="C34" s="28">
        <f t="shared" si="0"/>
        <v>9.81</v>
      </c>
      <c r="D34" s="28">
        <f t="shared" si="0"/>
        <v>9.7899999999999991</v>
      </c>
      <c r="E34" s="28">
        <f t="shared" si="0"/>
        <v>4.53</v>
      </c>
      <c r="F34" s="28">
        <f t="shared" si="0"/>
        <v>7.2</v>
      </c>
      <c r="G34" s="28">
        <f t="shared" si="0"/>
        <v>2</v>
      </c>
      <c r="H34" s="28">
        <f t="shared" si="0"/>
        <v>1</v>
      </c>
      <c r="I34" s="28">
        <f t="shared" si="0"/>
        <v>1.35</v>
      </c>
      <c r="J34" s="28">
        <f t="shared" si="0"/>
        <v>0.05</v>
      </c>
      <c r="K34" s="28">
        <f t="shared" si="0"/>
        <v>158.44999999999999</v>
      </c>
      <c r="L34" s="28">
        <f t="shared" si="0"/>
        <v>25.48</v>
      </c>
      <c r="M34" s="28">
        <f t="shared" si="0"/>
        <v>75.239999999999995</v>
      </c>
      <c r="N34" s="28">
        <f t="shared" si="0"/>
        <v>50.5</v>
      </c>
      <c r="O34" s="28">
        <f t="shared" si="0"/>
        <v>0</v>
      </c>
      <c r="P34" s="28">
        <f t="shared" si="0"/>
        <v>0.14000000000000001</v>
      </c>
      <c r="Q34" s="28">
        <f t="shared" si="0"/>
        <v>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14.48</v>
      </c>
      <c r="C35" s="29">
        <f t="shared" si="1"/>
        <v>27.9</v>
      </c>
      <c r="D35" s="29">
        <f t="shared" si="1"/>
        <v>22.89</v>
      </c>
      <c r="E35" s="29">
        <f t="shared" si="1"/>
        <v>5.74</v>
      </c>
      <c r="F35" s="29">
        <f t="shared" si="1"/>
        <v>16.920000000000002</v>
      </c>
      <c r="G35" s="29">
        <f t="shared" si="1"/>
        <v>120.01</v>
      </c>
      <c r="H35" s="29">
        <f t="shared" si="1"/>
        <v>25.37</v>
      </c>
      <c r="I35" s="29">
        <f t="shared" si="1"/>
        <v>2.73</v>
      </c>
      <c r="J35" s="29">
        <f t="shared" si="1"/>
        <v>1.1000000000000001</v>
      </c>
      <c r="K35" s="29">
        <f t="shared" si="1"/>
        <v>340.47</v>
      </c>
      <c r="L35" s="29">
        <f t="shared" si="1"/>
        <v>31.13</v>
      </c>
      <c r="M35" s="29">
        <f t="shared" si="1"/>
        <v>98.25</v>
      </c>
      <c r="N35" s="29">
        <f t="shared" si="1"/>
        <v>525</v>
      </c>
      <c r="O35" s="29">
        <f t="shared" si="1"/>
        <v>0</v>
      </c>
      <c r="P35" s="29">
        <f t="shared" si="1"/>
        <v>1.78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9.6120833333333362</v>
      </c>
      <c r="C36" s="28">
        <f t="shared" si="2"/>
        <v>15.913749999999999</v>
      </c>
      <c r="D36" s="28">
        <f t="shared" si="2"/>
        <v>15.392083333333334</v>
      </c>
      <c r="E36" s="28">
        <f t="shared" si="2"/>
        <v>4.9858333333333338</v>
      </c>
      <c r="F36" s="28">
        <f t="shared" si="2"/>
        <v>11.402916666666664</v>
      </c>
      <c r="G36" s="28">
        <f t="shared" si="2"/>
        <v>69.32083333333334</v>
      </c>
      <c r="H36" s="28">
        <f t="shared" si="2"/>
        <v>13.382083333333332</v>
      </c>
      <c r="I36" s="28">
        <f t="shared" si="2"/>
        <v>1.9641666666666664</v>
      </c>
      <c r="J36" s="28">
        <f t="shared" si="2"/>
        <v>0.20083333333333334</v>
      </c>
      <c r="K36" s="28">
        <f t="shared" si="2"/>
        <v>275.6033333333333</v>
      </c>
      <c r="L36" s="28">
        <f t="shared" si="2"/>
        <v>27.744166666666658</v>
      </c>
      <c r="M36" s="28">
        <f t="shared" si="2"/>
        <v>93.461250000000007</v>
      </c>
      <c r="N36" s="28">
        <f t="shared" si="2"/>
        <v>187.96249999999998</v>
      </c>
      <c r="O36" s="28">
        <f t="shared" si="2"/>
        <v>0</v>
      </c>
      <c r="P36" s="28">
        <f t="shared" si="2"/>
        <v>0.50208333333333333</v>
      </c>
      <c r="Q36" s="28">
        <f t="shared" si="2"/>
        <v>9.2791666666666668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2.8444117282331187</v>
      </c>
      <c r="C37" s="28">
        <f t="shared" ref="C37:Q37" si="3">STDEV(C9:C32)</f>
        <v>4.8890968424426458</v>
      </c>
      <c r="D37" s="28">
        <f t="shared" si="3"/>
        <v>3.7466669003687549</v>
      </c>
      <c r="E37" s="28">
        <f t="shared" si="3"/>
        <v>0.29889530909183137</v>
      </c>
      <c r="F37" s="28">
        <f t="shared" si="3"/>
        <v>2.6380699123258453</v>
      </c>
      <c r="G37" s="28">
        <f t="shared" si="3"/>
        <v>27.797327509432744</v>
      </c>
      <c r="H37" s="28">
        <f t="shared" si="3"/>
        <v>7.855816443422901</v>
      </c>
      <c r="I37" s="28">
        <f t="shared" si="3"/>
        <v>0.4428457054557266</v>
      </c>
      <c r="J37" s="28">
        <f t="shared" si="3"/>
        <v>0.2157477727562335</v>
      </c>
      <c r="K37" s="28">
        <f t="shared" si="3"/>
        <v>57.463118278760852</v>
      </c>
      <c r="L37" s="28">
        <f t="shared" si="3"/>
        <v>1.8903850922765575</v>
      </c>
      <c r="M37" s="28">
        <f t="shared" si="3"/>
        <v>7.0729529608895678</v>
      </c>
      <c r="N37" s="28">
        <f t="shared" si="3"/>
        <v>149.11247523845594</v>
      </c>
      <c r="O37" s="28">
        <f t="shared" si="3"/>
        <v>0</v>
      </c>
      <c r="P37" s="28">
        <f t="shared" si="3"/>
        <v>0.35237059501593487</v>
      </c>
      <c r="Q37" s="28">
        <f t="shared" si="3"/>
        <v>0.20599528628348415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1" t="s">
        <v>564</v>
      </c>
      <c r="B9" s="57" t="s">
        <v>14</v>
      </c>
      <c r="C9" s="57" t="s">
        <v>14</v>
      </c>
      <c r="D9" s="57" t="s">
        <v>14</v>
      </c>
      <c r="E9" s="57" t="s">
        <v>14</v>
      </c>
      <c r="F9" s="52">
        <v>7.43</v>
      </c>
      <c r="G9" s="52">
        <v>24.83</v>
      </c>
      <c r="H9" s="52">
        <v>4.51</v>
      </c>
      <c r="I9" s="52">
        <v>1.91</v>
      </c>
      <c r="J9" s="52">
        <v>0.06</v>
      </c>
      <c r="K9" s="52">
        <v>344.87</v>
      </c>
      <c r="L9" s="52">
        <v>23.45</v>
      </c>
      <c r="M9" s="52">
        <v>98.25</v>
      </c>
      <c r="N9" s="52">
        <v>42.6</v>
      </c>
      <c r="O9" s="52">
        <v>0</v>
      </c>
      <c r="P9" s="52">
        <v>0.45</v>
      </c>
      <c r="Q9" s="52">
        <v>9.5299999999999994</v>
      </c>
      <c r="R9" s="43"/>
      <c r="S9" s="43"/>
      <c r="T9" s="43"/>
      <c r="U9" s="43"/>
    </row>
    <row r="10" spans="1:21" s="11" customFormat="1" x14ac:dyDescent="0.25">
      <c r="A10" s="51" t="s">
        <v>565</v>
      </c>
      <c r="B10" s="57" t="s">
        <v>14</v>
      </c>
      <c r="C10" s="57" t="s">
        <v>14</v>
      </c>
      <c r="D10" s="57" t="s">
        <v>14</v>
      </c>
      <c r="E10" s="57" t="s">
        <v>14</v>
      </c>
      <c r="F10" s="52">
        <v>7.58</v>
      </c>
      <c r="G10" s="52">
        <v>20.84</v>
      </c>
      <c r="H10" s="52">
        <v>3.4</v>
      </c>
      <c r="I10" s="52">
        <v>1.7</v>
      </c>
      <c r="J10" s="52">
        <v>0.06</v>
      </c>
      <c r="K10" s="52">
        <v>325</v>
      </c>
      <c r="L10" s="52">
        <v>23.4</v>
      </c>
      <c r="M10" s="52">
        <v>98.25</v>
      </c>
      <c r="N10" s="52">
        <v>42.4</v>
      </c>
      <c r="O10" s="52">
        <v>0</v>
      </c>
      <c r="P10" s="52">
        <v>0.37</v>
      </c>
      <c r="Q10" s="52">
        <v>9.5500000000000007</v>
      </c>
      <c r="R10" s="43"/>
      <c r="S10" s="43"/>
      <c r="T10" s="43"/>
      <c r="U10" s="43"/>
    </row>
    <row r="11" spans="1:21" s="11" customFormat="1" x14ac:dyDescent="0.25">
      <c r="A11" s="51" t="s">
        <v>566</v>
      </c>
      <c r="B11" s="57" t="s">
        <v>14</v>
      </c>
      <c r="C11" s="57" t="s">
        <v>14</v>
      </c>
      <c r="D11" s="57" t="s">
        <v>14</v>
      </c>
      <c r="E11" s="57" t="s">
        <v>14</v>
      </c>
      <c r="F11" s="52">
        <v>7.29</v>
      </c>
      <c r="G11" s="52">
        <v>14.98</v>
      </c>
      <c r="H11" s="52">
        <v>2.73</v>
      </c>
      <c r="I11" s="52">
        <v>1.51</v>
      </c>
      <c r="J11" s="52">
        <v>0.08</v>
      </c>
      <c r="K11" s="52">
        <v>317.66000000000003</v>
      </c>
      <c r="L11" s="52">
        <v>23.48</v>
      </c>
      <c r="M11" s="52">
        <v>98.25</v>
      </c>
      <c r="N11" s="52">
        <v>42.6</v>
      </c>
      <c r="O11" s="52">
        <v>0</v>
      </c>
      <c r="P11" s="52">
        <v>0.27</v>
      </c>
      <c r="Q11" s="52">
        <v>9.57</v>
      </c>
      <c r="R11" s="43"/>
      <c r="S11" s="43"/>
      <c r="T11" s="43"/>
      <c r="U11" s="43"/>
    </row>
    <row r="12" spans="1:21" s="11" customFormat="1" x14ac:dyDescent="0.25">
      <c r="A12" s="51" t="s">
        <v>567</v>
      </c>
      <c r="B12" s="57" t="s">
        <v>14</v>
      </c>
      <c r="C12" s="57" t="s">
        <v>14</v>
      </c>
      <c r="D12" s="57" t="s">
        <v>14</v>
      </c>
      <c r="E12" s="57" t="s">
        <v>14</v>
      </c>
      <c r="F12" s="52">
        <v>4.16</v>
      </c>
      <c r="G12" s="52">
        <v>11.18</v>
      </c>
      <c r="H12" s="52">
        <v>2.02</v>
      </c>
      <c r="I12" s="52">
        <v>1.42</v>
      </c>
      <c r="J12" s="52">
        <v>0.14000000000000001</v>
      </c>
      <c r="K12" s="52">
        <v>328.76</v>
      </c>
      <c r="L12" s="52">
        <v>23.52</v>
      </c>
      <c r="M12" s="52">
        <v>98.28</v>
      </c>
      <c r="N12" s="52">
        <v>42.9</v>
      </c>
      <c r="O12" s="52">
        <v>0</v>
      </c>
      <c r="P12" s="52">
        <v>0.36</v>
      </c>
      <c r="Q12" s="52">
        <v>9.56</v>
      </c>
      <c r="R12" s="43"/>
      <c r="S12" s="43"/>
      <c r="T12" s="43"/>
      <c r="U12" s="43"/>
    </row>
    <row r="13" spans="1:21" s="11" customFormat="1" x14ac:dyDescent="0.25">
      <c r="A13" s="51" t="s">
        <v>568</v>
      </c>
      <c r="B13" s="57" t="s">
        <v>14</v>
      </c>
      <c r="C13" s="57" t="s">
        <v>14</v>
      </c>
      <c r="D13" s="57" t="s">
        <v>14</v>
      </c>
      <c r="E13" s="57" t="s">
        <v>14</v>
      </c>
      <c r="F13" s="52">
        <v>3.67</v>
      </c>
      <c r="G13" s="52">
        <v>10.94</v>
      </c>
      <c r="H13" s="52">
        <v>1.52</v>
      </c>
      <c r="I13" s="52">
        <v>1.23</v>
      </c>
      <c r="J13" s="52">
        <v>0.15</v>
      </c>
      <c r="K13" s="52">
        <v>321.14</v>
      </c>
      <c r="L13" s="52">
        <v>23.41</v>
      </c>
      <c r="M13" s="52">
        <v>98.27</v>
      </c>
      <c r="N13" s="52">
        <v>42.8</v>
      </c>
      <c r="O13" s="52">
        <v>0</v>
      </c>
      <c r="P13" s="52">
        <v>0.32</v>
      </c>
      <c r="Q13" s="52">
        <v>9.49</v>
      </c>
      <c r="R13" s="43"/>
      <c r="S13" s="43"/>
      <c r="T13" s="43"/>
      <c r="U13" s="43"/>
    </row>
    <row r="14" spans="1:21" s="11" customFormat="1" x14ac:dyDescent="0.25">
      <c r="A14" s="51" t="s">
        <v>569</v>
      </c>
      <c r="B14" s="57" t="s">
        <v>14</v>
      </c>
      <c r="C14" s="57" t="s">
        <v>14</v>
      </c>
      <c r="D14" s="57" t="s">
        <v>14</v>
      </c>
      <c r="E14" s="57" t="s">
        <v>14</v>
      </c>
      <c r="F14" s="52">
        <v>3.77</v>
      </c>
      <c r="G14" s="52">
        <v>7.99</v>
      </c>
      <c r="H14" s="52">
        <v>1.25</v>
      </c>
      <c r="I14" s="52">
        <v>1.04</v>
      </c>
      <c r="J14" s="52">
        <v>0.13</v>
      </c>
      <c r="K14" s="52">
        <v>310.57</v>
      </c>
      <c r="L14" s="52">
        <v>23.19</v>
      </c>
      <c r="M14" s="52">
        <v>98.25</v>
      </c>
      <c r="N14" s="52">
        <v>45.6</v>
      </c>
      <c r="O14" s="52">
        <v>0</v>
      </c>
      <c r="P14" s="52">
        <v>0.27</v>
      </c>
      <c r="Q14" s="52">
        <v>9.4600000000000009</v>
      </c>
      <c r="R14" s="43"/>
      <c r="S14" s="43"/>
      <c r="T14" s="43"/>
      <c r="U14" s="43"/>
    </row>
    <row r="15" spans="1:21" s="11" customFormat="1" x14ac:dyDescent="0.25">
      <c r="A15" s="51" t="s">
        <v>570</v>
      </c>
      <c r="B15" s="57" t="s">
        <v>14</v>
      </c>
      <c r="C15" s="57" t="s">
        <v>14</v>
      </c>
      <c r="D15" s="57" t="s">
        <v>14</v>
      </c>
      <c r="E15" s="57" t="s">
        <v>14</v>
      </c>
      <c r="F15" s="52">
        <v>3.01</v>
      </c>
      <c r="G15" s="52">
        <v>6.64</v>
      </c>
      <c r="H15" s="52">
        <v>1.1200000000000001</v>
      </c>
      <c r="I15" s="52">
        <v>0.93</v>
      </c>
      <c r="J15" s="52">
        <v>0.13</v>
      </c>
      <c r="K15" s="52">
        <v>317.43</v>
      </c>
      <c r="L15" s="52">
        <v>23.01</v>
      </c>
      <c r="M15" s="52">
        <v>98.24</v>
      </c>
      <c r="N15" s="52">
        <v>85.8</v>
      </c>
      <c r="O15" s="52">
        <v>0</v>
      </c>
      <c r="P15" s="52">
        <v>0.25</v>
      </c>
      <c r="Q15" s="52">
        <v>9.48</v>
      </c>
      <c r="R15" s="43"/>
      <c r="S15" s="43"/>
      <c r="T15" s="43"/>
      <c r="U15" s="43"/>
    </row>
    <row r="16" spans="1:21" s="11" customFormat="1" x14ac:dyDescent="0.25">
      <c r="A16" s="51" t="s">
        <v>571</v>
      </c>
      <c r="B16" s="57" t="s">
        <v>14</v>
      </c>
      <c r="C16" s="57" t="s">
        <v>14</v>
      </c>
      <c r="D16" s="57" t="s">
        <v>14</v>
      </c>
      <c r="E16" s="57" t="s">
        <v>14</v>
      </c>
      <c r="F16" s="52">
        <v>2.67</v>
      </c>
      <c r="G16" s="52">
        <v>6.87</v>
      </c>
      <c r="H16" s="52">
        <v>1.1200000000000001</v>
      </c>
      <c r="I16" s="52">
        <v>0.94</v>
      </c>
      <c r="J16" s="52">
        <v>0.2</v>
      </c>
      <c r="K16" s="52">
        <v>311.33999999999997</v>
      </c>
      <c r="L16" s="52">
        <v>23.77</v>
      </c>
      <c r="M16" s="52">
        <v>98.18</v>
      </c>
      <c r="N16" s="52">
        <v>141.1</v>
      </c>
      <c r="O16" s="52">
        <v>0</v>
      </c>
      <c r="P16" s="52">
        <v>0.28999999999999998</v>
      </c>
      <c r="Q16" s="52">
        <v>9.51</v>
      </c>
      <c r="R16" s="43"/>
      <c r="S16" s="43"/>
      <c r="T16" s="43"/>
      <c r="U16" s="43"/>
    </row>
    <row r="17" spans="1:21" s="11" customFormat="1" x14ac:dyDescent="0.25">
      <c r="A17" s="51" t="s">
        <v>572</v>
      </c>
      <c r="B17" s="57" t="s">
        <v>14</v>
      </c>
      <c r="C17" s="57" t="s">
        <v>14</v>
      </c>
      <c r="D17" s="57" t="s">
        <v>14</v>
      </c>
      <c r="E17" s="57" t="s">
        <v>14</v>
      </c>
      <c r="F17" s="52">
        <v>2.8</v>
      </c>
      <c r="G17" s="52">
        <v>7.72</v>
      </c>
      <c r="H17" s="52">
        <v>1.1599999999999999</v>
      </c>
      <c r="I17" s="52">
        <v>1.07</v>
      </c>
      <c r="J17" s="52">
        <v>0.24</v>
      </c>
      <c r="K17" s="52">
        <v>305.16000000000003</v>
      </c>
      <c r="L17" s="52">
        <v>24.64</v>
      </c>
      <c r="M17" s="52">
        <v>98.2</v>
      </c>
      <c r="N17" s="52">
        <v>175.8</v>
      </c>
      <c r="O17" s="52">
        <v>0</v>
      </c>
      <c r="P17" s="52">
        <v>0.34</v>
      </c>
      <c r="Q17" s="52">
        <v>9.5299999999999994</v>
      </c>
      <c r="R17" s="43"/>
      <c r="S17" s="43"/>
      <c r="T17" s="43"/>
      <c r="U17" s="43"/>
    </row>
    <row r="18" spans="1:21" s="11" customFormat="1" x14ac:dyDescent="0.25">
      <c r="A18" s="51" t="s">
        <v>573</v>
      </c>
      <c r="B18" s="57" t="s">
        <v>14</v>
      </c>
      <c r="C18" s="57" t="s">
        <v>14</v>
      </c>
      <c r="D18" s="57" t="s">
        <v>14</v>
      </c>
      <c r="E18" s="57" t="s">
        <v>14</v>
      </c>
      <c r="F18" s="52">
        <v>2.21</v>
      </c>
      <c r="G18" s="52">
        <v>12.98</v>
      </c>
      <c r="H18" s="52">
        <v>1.92</v>
      </c>
      <c r="I18" s="52">
        <v>1.19</v>
      </c>
      <c r="J18" s="52">
        <v>0.23</v>
      </c>
      <c r="K18" s="52">
        <v>297.13</v>
      </c>
      <c r="L18" s="52">
        <v>25.31</v>
      </c>
      <c r="M18" s="52">
        <v>98.2</v>
      </c>
      <c r="N18" s="52">
        <v>239.6</v>
      </c>
      <c r="O18" s="52">
        <v>0</v>
      </c>
      <c r="P18" s="52">
        <v>0.38</v>
      </c>
      <c r="Q18" s="52">
        <v>9.5500000000000007</v>
      </c>
      <c r="R18" s="43"/>
      <c r="S18" s="43"/>
      <c r="T18" s="43"/>
      <c r="U18" s="43"/>
    </row>
    <row r="19" spans="1:21" s="11" customFormat="1" x14ac:dyDescent="0.25">
      <c r="A19" s="51" t="s">
        <v>574</v>
      </c>
      <c r="B19" s="52">
        <v>8.32</v>
      </c>
      <c r="C19" s="52">
        <v>8.31</v>
      </c>
      <c r="D19" s="52">
        <v>10.78</v>
      </c>
      <c r="E19" s="52">
        <v>3.79</v>
      </c>
      <c r="F19" s="52">
        <v>2.35</v>
      </c>
      <c r="G19" s="52">
        <v>15.2</v>
      </c>
      <c r="H19" s="52">
        <v>3.88</v>
      </c>
      <c r="I19" s="52">
        <v>1.37</v>
      </c>
      <c r="J19" s="52">
        <v>0.21</v>
      </c>
      <c r="K19" s="52">
        <v>298.54000000000002</v>
      </c>
      <c r="L19" s="52">
        <v>25.89</v>
      </c>
      <c r="M19" s="52">
        <v>98.13</v>
      </c>
      <c r="N19" s="52">
        <v>255.5</v>
      </c>
      <c r="O19" s="52">
        <v>0</v>
      </c>
      <c r="P19" s="52">
        <v>0.42</v>
      </c>
      <c r="Q19" s="52">
        <v>9.56</v>
      </c>
      <c r="R19" s="43"/>
      <c r="S19" s="43"/>
      <c r="T19" s="43"/>
      <c r="U19" s="43"/>
    </row>
    <row r="20" spans="1:21" s="11" customFormat="1" x14ac:dyDescent="0.25">
      <c r="A20" s="51" t="s">
        <v>575</v>
      </c>
      <c r="B20" s="52">
        <v>6.01</v>
      </c>
      <c r="C20" s="52">
        <v>22.95</v>
      </c>
      <c r="D20" s="52">
        <v>16.809999999999999</v>
      </c>
      <c r="E20" s="52">
        <v>3.72</v>
      </c>
      <c r="F20" s="52">
        <v>2.6</v>
      </c>
      <c r="G20" s="52">
        <v>10.91</v>
      </c>
      <c r="H20" s="52">
        <v>4.67</v>
      </c>
      <c r="I20" s="52">
        <v>1.37</v>
      </c>
      <c r="J20" s="52">
        <v>0.31</v>
      </c>
      <c r="K20" s="52">
        <v>295.01</v>
      </c>
      <c r="L20" s="52">
        <v>27.82</v>
      </c>
      <c r="M20" s="52">
        <v>98.08</v>
      </c>
      <c r="N20" s="52">
        <v>496.7</v>
      </c>
      <c r="O20" s="52">
        <v>0</v>
      </c>
      <c r="P20" s="52">
        <v>0.39</v>
      </c>
      <c r="Q20" s="52">
        <v>9.5399999999999991</v>
      </c>
      <c r="R20" s="43"/>
      <c r="S20" s="43"/>
      <c r="T20" s="43"/>
      <c r="U20" s="43"/>
    </row>
    <row r="21" spans="1:21" s="11" customFormat="1" x14ac:dyDescent="0.25">
      <c r="A21" s="51" t="s">
        <v>576</v>
      </c>
      <c r="B21" s="52">
        <v>6.13</v>
      </c>
      <c r="C21" s="52">
        <v>15.85</v>
      </c>
      <c r="D21" s="52">
        <v>12.83</v>
      </c>
      <c r="E21" s="52">
        <v>3.74</v>
      </c>
      <c r="F21" s="52">
        <v>3.62</v>
      </c>
      <c r="G21" s="52">
        <v>13.51</v>
      </c>
      <c r="H21" s="52">
        <v>3.77</v>
      </c>
      <c r="I21" s="52">
        <v>1.1100000000000001</v>
      </c>
      <c r="J21" s="52">
        <v>0.24</v>
      </c>
      <c r="K21" s="52">
        <v>298.76</v>
      </c>
      <c r="L21" s="52">
        <v>27.65</v>
      </c>
      <c r="M21" s="52">
        <v>96.62</v>
      </c>
      <c r="N21" s="52">
        <v>368.7</v>
      </c>
      <c r="O21" s="52">
        <v>0</v>
      </c>
      <c r="P21" s="52">
        <v>0.36</v>
      </c>
      <c r="Q21" s="52">
        <v>9.5</v>
      </c>
      <c r="R21" s="43"/>
      <c r="S21" s="43"/>
      <c r="T21" s="43"/>
      <c r="U21" s="43"/>
    </row>
    <row r="22" spans="1:21" s="11" customFormat="1" x14ac:dyDescent="0.25">
      <c r="A22" s="51" t="s">
        <v>577</v>
      </c>
      <c r="B22" s="52">
        <v>7.52</v>
      </c>
      <c r="C22" s="52">
        <v>11.7</v>
      </c>
      <c r="D22" s="52">
        <v>12.14</v>
      </c>
      <c r="E22" s="52">
        <v>4.18</v>
      </c>
      <c r="F22" s="52">
        <v>6.05</v>
      </c>
      <c r="G22" s="52">
        <v>16.18</v>
      </c>
      <c r="H22" s="52">
        <v>2.77</v>
      </c>
      <c r="I22" s="52">
        <v>0.98</v>
      </c>
      <c r="J22" s="52">
        <v>0.19</v>
      </c>
      <c r="K22" s="52">
        <v>296.06</v>
      </c>
      <c r="L22" s="52">
        <v>27.29</v>
      </c>
      <c r="M22" s="52">
        <v>98.16</v>
      </c>
      <c r="N22" s="52">
        <v>334.2</v>
      </c>
      <c r="O22" s="52">
        <v>0</v>
      </c>
      <c r="P22" s="52">
        <v>0.34</v>
      </c>
      <c r="Q22" s="52">
        <v>9.52</v>
      </c>
      <c r="R22" s="43"/>
      <c r="S22" s="43"/>
      <c r="T22" s="43"/>
      <c r="U22" s="43"/>
    </row>
    <row r="23" spans="1:21" s="11" customFormat="1" x14ac:dyDescent="0.25">
      <c r="A23" s="51" t="s">
        <v>578</v>
      </c>
      <c r="B23" s="52">
        <v>6.61</v>
      </c>
      <c r="C23" s="52">
        <v>10.89</v>
      </c>
      <c r="D23" s="52">
        <v>10.75</v>
      </c>
      <c r="E23" s="52">
        <v>3.92</v>
      </c>
      <c r="F23" s="52">
        <v>3.01</v>
      </c>
      <c r="G23" s="52">
        <v>30.07</v>
      </c>
      <c r="H23" s="52">
        <v>2.42</v>
      </c>
      <c r="I23" s="52">
        <v>0.96</v>
      </c>
      <c r="J23" s="52">
        <v>0.33</v>
      </c>
      <c r="K23" s="52">
        <v>302.60000000000002</v>
      </c>
      <c r="L23" s="52">
        <v>27.63</v>
      </c>
      <c r="M23" s="52">
        <v>98.05</v>
      </c>
      <c r="N23" s="52">
        <v>269.3</v>
      </c>
      <c r="O23" s="52">
        <v>0</v>
      </c>
      <c r="P23" s="52">
        <v>0.33</v>
      </c>
      <c r="Q23" s="52">
        <v>9.5399999999999991</v>
      </c>
      <c r="R23" s="43"/>
      <c r="S23" s="43"/>
      <c r="T23" s="43"/>
      <c r="U23" s="43"/>
    </row>
    <row r="24" spans="1:21" s="11" customFormat="1" x14ac:dyDescent="0.25">
      <c r="A24" s="51" t="s">
        <v>579</v>
      </c>
      <c r="B24" s="52">
        <v>5.9</v>
      </c>
      <c r="C24" s="52">
        <v>10.77</v>
      </c>
      <c r="D24" s="52">
        <v>9.77</v>
      </c>
      <c r="E24" s="52">
        <v>4.18</v>
      </c>
      <c r="F24" s="52">
        <v>2.87</v>
      </c>
      <c r="G24" s="52">
        <v>36.78</v>
      </c>
      <c r="H24" s="52">
        <v>2.4900000000000002</v>
      </c>
      <c r="I24" s="52">
        <v>0.86</v>
      </c>
      <c r="J24" s="52">
        <v>0.31</v>
      </c>
      <c r="K24" s="52">
        <v>301.27999999999997</v>
      </c>
      <c r="L24" s="52">
        <v>27.43</v>
      </c>
      <c r="M24" s="52">
        <v>95.93</v>
      </c>
      <c r="N24" s="52">
        <v>249</v>
      </c>
      <c r="O24" s="52">
        <v>0</v>
      </c>
      <c r="P24" s="52">
        <v>0.28999999999999998</v>
      </c>
      <c r="Q24" s="52">
        <v>9.5</v>
      </c>
      <c r="R24" s="43"/>
      <c r="S24" s="43"/>
      <c r="T24" s="43"/>
      <c r="U24" s="43"/>
    </row>
    <row r="25" spans="1:21" s="11" customFormat="1" x14ac:dyDescent="0.25">
      <c r="A25" s="51" t="s">
        <v>580</v>
      </c>
      <c r="B25" s="52">
        <v>5.12</v>
      </c>
      <c r="C25" s="52">
        <v>10.199999999999999</v>
      </c>
      <c r="D25" s="52">
        <v>9.0399999999999991</v>
      </c>
      <c r="E25" s="52">
        <v>4.1100000000000003</v>
      </c>
      <c r="F25" s="52">
        <v>2.67</v>
      </c>
      <c r="G25" s="52">
        <v>22.93</v>
      </c>
      <c r="H25" s="52">
        <v>4.28</v>
      </c>
      <c r="I25" s="52">
        <v>0.7</v>
      </c>
      <c r="J25" s="52">
        <v>0.26</v>
      </c>
      <c r="K25" s="52">
        <v>303.49</v>
      </c>
      <c r="L25" s="52">
        <v>26.98</v>
      </c>
      <c r="M25" s="52">
        <v>97.8</v>
      </c>
      <c r="N25" s="52">
        <v>161.4</v>
      </c>
      <c r="O25" s="52">
        <v>0</v>
      </c>
      <c r="P25" s="52">
        <v>0.28000000000000003</v>
      </c>
      <c r="Q25" s="52">
        <v>9.48</v>
      </c>
      <c r="R25" s="43"/>
      <c r="S25" s="43"/>
      <c r="T25" s="43"/>
      <c r="U25" s="43"/>
    </row>
    <row r="26" spans="1:21" s="11" customFormat="1" x14ac:dyDescent="0.25">
      <c r="A26" s="51" t="s">
        <v>581</v>
      </c>
      <c r="B26" s="52">
        <v>7.97</v>
      </c>
      <c r="C26" s="52">
        <v>10.220000000000001</v>
      </c>
      <c r="D26" s="52">
        <v>11.45</v>
      </c>
      <c r="E26" s="52">
        <v>4.45</v>
      </c>
      <c r="F26" s="52">
        <v>3.24</v>
      </c>
      <c r="G26" s="52">
        <v>27.16</v>
      </c>
      <c r="H26" s="52">
        <v>5.5</v>
      </c>
      <c r="I26" s="52">
        <v>0.76</v>
      </c>
      <c r="J26" s="52">
        <v>0.51</v>
      </c>
      <c r="K26" s="52">
        <v>320.26</v>
      </c>
      <c r="L26" s="52">
        <v>26.56</v>
      </c>
      <c r="M26" s="52">
        <v>98.14</v>
      </c>
      <c r="N26" s="52">
        <v>96.2</v>
      </c>
      <c r="O26" s="52">
        <v>0</v>
      </c>
      <c r="P26" s="52">
        <v>0.31</v>
      </c>
      <c r="Q26" s="52">
        <v>9.5399999999999991</v>
      </c>
      <c r="R26" s="43"/>
      <c r="S26" s="43"/>
      <c r="T26" s="43"/>
      <c r="U26" s="43"/>
    </row>
    <row r="27" spans="1:21" s="11" customFormat="1" x14ac:dyDescent="0.25">
      <c r="A27" s="51" t="s">
        <v>582</v>
      </c>
      <c r="B27" s="52">
        <v>7.72</v>
      </c>
      <c r="C27" s="52">
        <v>9.1</v>
      </c>
      <c r="D27" s="52">
        <v>10.77</v>
      </c>
      <c r="E27" s="52">
        <v>4.5599999999999996</v>
      </c>
      <c r="F27" s="52">
        <v>2.5099999999999998</v>
      </c>
      <c r="G27" s="52">
        <v>29.15</v>
      </c>
      <c r="H27" s="52">
        <v>4.17</v>
      </c>
      <c r="I27" s="52">
        <v>0.87</v>
      </c>
      <c r="J27" s="52">
        <v>0.45</v>
      </c>
      <c r="K27" s="52">
        <v>315.60000000000002</v>
      </c>
      <c r="L27" s="52">
        <v>24.91</v>
      </c>
      <c r="M27" s="52">
        <v>98.29</v>
      </c>
      <c r="N27" s="52">
        <v>46.1</v>
      </c>
      <c r="O27" s="52">
        <v>0</v>
      </c>
      <c r="P27" s="52">
        <v>0.47</v>
      </c>
      <c r="Q27" s="52">
        <v>9.57</v>
      </c>
      <c r="R27" s="43"/>
      <c r="S27" s="43"/>
      <c r="T27" s="43"/>
      <c r="U27" s="43"/>
    </row>
    <row r="28" spans="1:21" s="11" customFormat="1" x14ac:dyDescent="0.25">
      <c r="A28" s="51" t="s">
        <v>583</v>
      </c>
      <c r="B28" s="52">
        <v>7.05</v>
      </c>
      <c r="C28" s="52">
        <v>10.24</v>
      </c>
      <c r="D28" s="52">
        <v>11</v>
      </c>
      <c r="E28" s="52">
        <v>4.43</v>
      </c>
      <c r="F28" s="52">
        <v>2.27</v>
      </c>
      <c r="G28" s="52">
        <v>25.4</v>
      </c>
      <c r="H28" s="52">
        <v>3.05</v>
      </c>
      <c r="I28" s="52">
        <v>1.1299999999999999</v>
      </c>
      <c r="J28" s="52">
        <v>0.35</v>
      </c>
      <c r="K28" s="52">
        <v>313.87</v>
      </c>
      <c r="L28" s="52">
        <v>23.59</v>
      </c>
      <c r="M28" s="52">
        <v>98.28</v>
      </c>
      <c r="N28" s="52">
        <v>42.8</v>
      </c>
      <c r="O28" s="52">
        <v>0</v>
      </c>
      <c r="P28" s="52">
        <v>0.46</v>
      </c>
      <c r="Q28" s="52">
        <v>9.56</v>
      </c>
      <c r="R28" s="43"/>
      <c r="S28" s="43"/>
      <c r="T28" s="43"/>
      <c r="U28" s="43"/>
    </row>
    <row r="29" spans="1:21" s="11" customFormat="1" x14ac:dyDescent="0.25">
      <c r="A29" s="51" t="s">
        <v>584</v>
      </c>
      <c r="B29" s="52">
        <v>8.24</v>
      </c>
      <c r="C29" s="52">
        <v>10.48</v>
      </c>
      <c r="D29" s="52">
        <v>11.48</v>
      </c>
      <c r="E29" s="52">
        <v>4.34</v>
      </c>
      <c r="F29" s="52">
        <v>2.2000000000000002</v>
      </c>
      <c r="G29" s="52">
        <v>21.11</v>
      </c>
      <c r="H29" s="52">
        <v>2.46</v>
      </c>
      <c r="I29" s="52">
        <v>1.19</v>
      </c>
      <c r="J29" s="52">
        <v>0.3</v>
      </c>
      <c r="K29" s="52">
        <v>316.94</v>
      </c>
      <c r="L29" s="52">
        <v>22.99</v>
      </c>
      <c r="M29" s="52">
        <v>98.29</v>
      </c>
      <c r="N29" s="52">
        <v>42.5</v>
      </c>
      <c r="O29" s="52">
        <v>0</v>
      </c>
      <c r="P29" s="52">
        <v>0.44</v>
      </c>
      <c r="Q29" s="52">
        <v>9.6</v>
      </c>
      <c r="R29" s="43"/>
      <c r="S29" s="43"/>
      <c r="T29" s="43"/>
      <c r="U29" s="43"/>
    </row>
    <row r="30" spans="1:21" s="11" customFormat="1" x14ac:dyDescent="0.25">
      <c r="A30" s="51" t="s">
        <v>585</v>
      </c>
      <c r="B30" s="52">
        <v>10.57</v>
      </c>
      <c r="C30" s="52">
        <v>10.48</v>
      </c>
      <c r="D30" s="52">
        <v>13.61</v>
      </c>
      <c r="E30" s="52">
        <v>4.5199999999999996</v>
      </c>
      <c r="F30" s="52">
        <v>2.96</v>
      </c>
      <c r="G30" s="52">
        <v>15.2</v>
      </c>
      <c r="H30" s="52">
        <v>2.4900000000000002</v>
      </c>
      <c r="I30" s="52">
        <v>1.1299999999999999</v>
      </c>
      <c r="J30" s="52">
        <v>0.17</v>
      </c>
      <c r="K30" s="52">
        <v>332.54</v>
      </c>
      <c r="L30" s="52">
        <v>23.24</v>
      </c>
      <c r="M30" s="52">
        <v>98.3</v>
      </c>
      <c r="N30" s="52">
        <v>43</v>
      </c>
      <c r="O30" s="52">
        <v>0</v>
      </c>
      <c r="P30" s="52">
        <v>0.44</v>
      </c>
      <c r="Q30" s="52">
        <v>9.6199999999999992</v>
      </c>
      <c r="R30" s="43"/>
      <c r="S30" s="43"/>
      <c r="T30" s="43"/>
      <c r="U30" s="43"/>
    </row>
    <row r="31" spans="1:21" s="11" customFormat="1" x14ac:dyDescent="0.25">
      <c r="A31" s="51" t="s">
        <v>586</v>
      </c>
      <c r="B31" s="52">
        <v>11.17</v>
      </c>
      <c r="C31" s="52">
        <v>9.6999999999999993</v>
      </c>
      <c r="D31" s="52">
        <v>14.03</v>
      </c>
      <c r="E31" s="52">
        <v>4.54</v>
      </c>
      <c r="F31" s="52">
        <v>3.29</v>
      </c>
      <c r="G31" s="52">
        <v>11.28</v>
      </c>
      <c r="H31" s="52">
        <v>2.81</v>
      </c>
      <c r="I31" s="52">
        <v>1.1499999999999999</v>
      </c>
      <c r="J31" s="52">
        <v>0.1</v>
      </c>
      <c r="K31" s="52">
        <v>319.51</v>
      </c>
      <c r="L31" s="52">
        <v>23.26</v>
      </c>
      <c r="M31" s="52">
        <v>98.29</v>
      </c>
      <c r="N31" s="52">
        <v>43.2</v>
      </c>
      <c r="O31" s="52">
        <v>0</v>
      </c>
      <c r="P31" s="52">
        <v>0.4</v>
      </c>
      <c r="Q31" s="52">
        <v>9.6300000000000008</v>
      </c>
      <c r="R31" s="43"/>
      <c r="S31" s="43"/>
      <c r="T31" s="43"/>
      <c r="U31" s="43"/>
    </row>
    <row r="32" spans="1:21" s="11" customFormat="1" x14ac:dyDescent="0.25">
      <c r="A32" s="51" t="s">
        <v>587</v>
      </c>
      <c r="B32" s="52">
        <v>9.4700000000000006</v>
      </c>
      <c r="C32" s="52">
        <v>6.94</v>
      </c>
      <c r="D32" s="52">
        <v>11.22</v>
      </c>
      <c r="E32" s="52">
        <v>4.53</v>
      </c>
      <c r="F32" s="52">
        <v>4.38</v>
      </c>
      <c r="G32" s="52">
        <v>9.02</v>
      </c>
      <c r="H32" s="52">
        <v>2.3199999999999998</v>
      </c>
      <c r="I32" s="52">
        <v>1.1499999999999999</v>
      </c>
      <c r="J32" s="52">
        <v>0.11</v>
      </c>
      <c r="K32" s="52">
        <v>315.19</v>
      </c>
      <c r="L32" s="52">
        <v>23.16</v>
      </c>
      <c r="M32" s="52">
        <v>98.35</v>
      </c>
      <c r="N32" s="52">
        <v>42.9</v>
      </c>
      <c r="O32" s="52">
        <v>0</v>
      </c>
      <c r="P32" s="52">
        <v>0.41</v>
      </c>
      <c r="Q32" s="52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5.12</v>
      </c>
      <c r="C34" s="28">
        <f t="shared" si="0"/>
        <v>6.94</v>
      </c>
      <c r="D34" s="28">
        <f t="shared" si="0"/>
        <v>9.0399999999999991</v>
      </c>
      <c r="E34" s="28">
        <f t="shared" si="0"/>
        <v>3.72</v>
      </c>
      <c r="F34" s="28">
        <f t="shared" si="0"/>
        <v>2.2000000000000002</v>
      </c>
      <c r="G34" s="28">
        <f t="shared" si="0"/>
        <v>6.64</v>
      </c>
      <c r="H34" s="28">
        <f t="shared" si="0"/>
        <v>1.1200000000000001</v>
      </c>
      <c r="I34" s="28">
        <f t="shared" si="0"/>
        <v>0.7</v>
      </c>
      <c r="J34" s="28">
        <f t="shared" si="0"/>
        <v>0.06</v>
      </c>
      <c r="K34" s="28">
        <f t="shared" si="0"/>
        <v>295.01</v>
      </c>
      <c r="L34" s="28">
        <f t="shared" si="0"/>
        <v>22.99</v>
      </c>
      <c r="M34" s="28">
        <f t="shared" si="0"/>
        <v>95.93</v>
      </c>
      <c r="N34" s="28">
        <f t="shared" si="0"/>
        <v>42.4</v>
      </c>
      <c r="O34" s="28">
        <f t="shared" si="0"/>
        <v>0</v>
      </c>
      <c r="P34" s="28">
        <f t="shared" si="0"/>
        <v>0.25</v>
      </c>
      <c r="Q34" s="28">
        <f t="shared" si="0"/>
        <v>9.4600000000000009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11.17</v>
      </c>
      <c r="C35" s="29">
        <f t="shared" si="1"/>
        <v>22.95</v>
      </c>
      <c r="D35" s="29">
        <f t="shared" si="1"/>
        <v>16.809999999999999</v>
      </c>
      <c r="E35" s="29">
        <f t="shared" si="1"/>
        <v>4.5599999999999996</v>
      </c>
      <c r="F35" s="29">
        <f t="shared" si="1"/>
        <v>7.58</v>
      </c>
      <c r="G35" s="29">
        <f t="shared" si="1"/>
        <v>36.78</v>
      </c>
      <c r="H35" s="29">
        <f t="shared" si="1"/>
        <v>5.5</v>
      </c>
      <c r="I35" s="29">
        <f t="shared" si="1"/>
        <v>1.91</v>
      </c>
      <c r="J35" s="29">
        <f t="shared" si="1"/>
        <v>0.51</v>
      </c>
      <c r="K35" s="29">
        <f t="shared" si="1"/>
        <v>344.87</v>
      </c>
      <c r="L35" s="29">
        <f t="shared" si="1"/>
        <v>27.82</v>
      </c>
      <c r="M35" s="29">
        <f t="shared" si="1"/>
        <v>98.35</v>
      </c>
      <c r="N35" s="29">
        <f t="shared" si="1"/>
        <v>496.7</v>
      </c>
      <c r="O35" s="29">
        <f t="shared" si="1"/>
        <v>0</v>
      </c>
      <c r="P35" s="29">
        <f t="shared" si="1"/>
        <v>0.47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7.7</v>
      </c>
      <c r="C36" s="28">
        <f t="shared" si="2"/>
        <v>11.273571428571426</v>
      </c>
      <c r="D36" s="28">
        <f t="shared" si="2"/>
        <v>11.834285714285715</v>
      </c>
      <c r="E36" s="28">
        <f t="shared" si="2"/>
        <v>4.2149999999999999</v>
      </c>
      <c r="F36" s="28">
        <f t="shared" si="2"/>
        <v>3.6920833333333332</v>
      </c>
      <c r="G36" s="28">
        <f t="shared" si="2"/>
        <v>17.036249999999999</v>
      </c>
      <c r="H36" s="28">
        <f t="shared" si="2"/>
        <v>2.8262499999999999</v>
      </c>
      <c r="I36" s="28">
        <f t="shared" si="2"/>
        <v>1.1529166666666666</v>
      </c>
      <c r="J36" s="28">
        <f t="shared" si="2"/>
        <v>0.21916666666666662</v>
      </c>
      <c r="K36" s="28">
        <f t="shared" si="2"/>
        <v>312.86291666666665</v>
      </c>
      <c r="L36" s="28">
        <f t="shared" si="2"/>
        <v>24.81583333333333</v>
      </c>
      <c r="M36" s="28">
        <f t="shared" si="2"/>
        <v>98.045000000000002</v>
      </c>
      <c r="N36" s="28">
        <f t="shared" si="2"/>
        <v>141.36250000000001</v>
      </c>
      <c r="O36" s="28">
        <f t="shared" si="2"/>
        <v>0</v>
      </c>
      <c r="P36" s="28">
        <f t="shared" si="2"/>
        <v>0.36000000000000004</v>
      </c>
      <c r="Q36" s="28">
        <f t="shared" si="2"/>
        <v>9.5424999999999986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1.7763488915794059</v>
      </c>
      <c r="C37" s="28">
        <f t="shared" ref="C37:Q37" si="3">STDEV(C9:C32)</f>
        <v>3.8949545413420377</v>
      </c>
      <c r="D37" s="28">
        <f t="shared" si="3"/>
        <v>1.9739211826121159</v>
      </c>
      <c r="E37" s="28">
        <f t="shared" si="3"/>
        <v>0.31448981883972982</v>
      </c>
      <c r="F37" s="28">
        <f t="shared" si="3"/>
        <v>1.6749613341849072</v>
      </c>
      <c r="G37" s="28">
        <f t="shared" si="3"/>
        <v>8.4247630917536185</v>
      </c>
      <c r="H37" s="28">
        <f t="shared" si="3"/>
        <v>1.2289649674845688</v>
      </c>
      <c r="I37" s="28">
        <f t="shared" si="3"/>
        <v>0.28622701793698929</v>
      </c>
      <c r="J37" s="28">
        <f t="shared" si="3"/>
        <v>0.1179136259658137</v>
      </c>
      <c r="K37" s="28">
        <f t="shared" si="3"/>
        <v>12.684077481550286</v>
      </c>
      <c r="L37" s="28">
        <f t="shared" si="3"/>
        <v>1.8164248609183697</v>
      </c>
      <c r="M37" s="28">
        <f t="shared" si="3"/>
        <v>0.56592363903391574</v>
      </c>
      <c r="N37" s="28">
        <f t="shared" si="3"/>
        <v>129.87122321578869</v>
      </c>
      <c r="O37" s="28">
        <f t="shared" si="3"/>
        <v>0</v>
      </c>
      <c r="P37" s="28">
        <f t="shared" si="3"/>
        <v>6.6724612498263725E-2</v>
      </c>
      <c r="Q37" s="28">
        <f t="shared" si="3"/>
        <v>4.6648547206978905E-2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COUNT(B9:B32)+10</f>
        <v>24</v>
      </c>
      <c r="C38" s="32">
        <f t="shared" ref="C38:D38" si="4">COUNT(C9:C32)+10</f>
        <v>24</v>
      </c>
      <c r="D38" s="32">
        <f t="shared" si="4"/>
        <v>24</v>
      </c>
      <c r="E38" s="32">
        <f>COUNT(E9:E32)+10</f>
        <v>24</v>
      </c>
      <c r="F38" s="32">
        <f t="shared" ref="B38:Q38" si="5">COUNT(F9:F32)</f>
        <v>24</v>
      </c>
      <c r="G38" s="32">
        <f t="shared" si="5"/>
        <v>24</v>
      </c>
      <c r="H38" s="32">
        <f t="shared" si="5"/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1" t="s">
        <v>588</v>
      </c>
      <c r="B9" s="52">
        <v>8.16</v>
      </c>
      <c r="C9" s="52">
        <v>6.75</v>
      </c>
      <c r="D9" s="52">
        <v>9.93</v>
      </c>
      <c r="E9" s="52">
        <v>3.94</v>
      </c>
      <c r="F9" s="52">
        <v>3.06</v>
      </c>
      <c r="G9" s="52">
        <v>9.39</v>
      </c>
      <c r="H9" s="52">
        <v>1.86</v>
      </c>
      <c r="I9" s="52">
        <v>1.04</v>
      </c>
      <c r="J9" s="52">
        <v>0.13</v>
      </c>
      <c r="K9" s="52">
        <v>329.88</v>
      </c>
      <c r="L9" s="52">
        <v>23.46</v>
      </c>
      <c r="M9" s="52">
        <v>98.35</v>
      </c>
      <c r="N9" s="52">
        <v>42.7</v>
      </c>
      <c r="O9" s="52">
        <v>0</v>
      </c>
      <c r="P9" s="52">
        <v>0.32</v>
      </c>
      <c r="Q9" s="52">
        <v>9.6</v>
      </c>
      <c r="R9" s="43"/>
      <c r="S9" s="43"/>
      <c r="T9" s="43"/>
      <c r="U9" s="43"/>
    </row>
    <row r="10" spans="1:21" s="11" customFormat="1" x14ac:dyDescent="0.25">
      <c r="A10" s="51" t="s">
        <v>589</v>
      </c>
      <c r="B10" s="52">
        <v>7.98</v>
      </c>
      <c r="C10" s="52">
        <v>7.39</v>
      </c>
      <c r="D10" s="52">
        <v>9.81</v>
      </c>
      <c r="E10" s="52">
        <v>3.8</v>
      </c>
      <c r="F10" s="52">
        <v>2.37</v>
      </c>
      <c r="G10" s="52">
        <v>8.1999999999999993</v>
      </c>
      <c r="H10" s="52">
        <v>1.7</v>
      </c>
      <c r="I10" s="52">
        <v>0.97</v>
      </c>
      <c r="J10" s="52">
        <v>0.21</v>
      </c>
      <c r="K10" s="52">
        <v>315.68</v>
      </c>
      <c r="L10" s="52">
        <v>23.6</v>
      </c>
      <c r="M10" s="52">
        <v>98.31</v>
      </c>
      <c r="N10" s="52">
        <v>42.7</v>
      </c>
      <c r="O10" s="52">
        <v>0</v>
      </c>
      <c r="P10" s="52">
        <v>0.28999999999999998</v>
      </c>
      <c r="Q10" s="52">
        <v>9.5500000000000007</v>
      </c>
      <c r="R10" s="43"/>
      <c r="S10" s="43"/>
      <c r="T10" s="43"/>
      <c r="U10" s="43"/>
    </row>
    <row r="11" spans="1:21" s="11" customFormat="1" x14ac:dyDescent="0.25">
      <c r="A11" s="51" t="s">
        <v>590</v>
      </c>
      <c r="B11" s="52">
        <v>5.21</v>
      </c>
      <c r="C11" s="52">
        <v>7.48</v>
      </c>
      <c r="D11" s="52">
        <v>8.09</v>
      </c>
      <c r="E11" s="52">
        <v>4.09</v>
      </c>
      <c r="F11" s="52">
        <v>2.96</v>
      </c>
      <c r="G11" s="52">
        <v>6.5</v>
      </c>
      <c r="H11" s="52">
        <v>1.41</v>
      </c>
      <c r="I11" s="52">
        <v>0.83</v>
      </c>
      <c r="J11" s="52">
        <v>0.17</v>
      </c>
      <c r="K11" s="52">
        <v>307.07</v>
      </c>
      <c r="L11" s="52">
        <v>22.93</v>
      </c>
      <c r="M11" s="52">
        <v>98.3</v>
      </c>
      <c r="N11" s="52">
        <v>42.3</v>
      </c>
      <c r="O11" s="52">
        <v>0</v>
      </c>
      <c r="P11" s="52">
        <v>0.22</v>
      </c>
      <c r="Q11" s="52">
        <v>9.5</v>
      </c>
      <c r="R11" s="43"/>
      <c r="S11" s="43"/>
      <c r="T11" s="43"/>
      <c r="U11" s="43"/>
    </row>
    <row r="12" spans="1:21" s="11" customFormat="1" x14ac:dyDescent="0.25">
      <c r="A12" s="51" t="s">
        <v>591</v>
      </c>
      <c r="B12" s="52">
        <v>4.6100000000000003</v>
      </c>
      <c r="C12" s="52">
        <v>7.1</v>
      </c>
      <c r="D12" s="52">
        <v>7.4</v>
      </c>
      <c r="E12" s="52">
        <v>4.1100000000000003</v>
      </c>
      <c r="F12" s="52">
        <v>2.52</v>
      </c>
      <c r="G12" s="52">
        <v>5.32</v>
      </c>
      <c r="H12" s="52">
        <v>1.41</v>
      </c>
      <c r="I12" s="52">
        <v>0.72</v>
      </c>
      <c r="J12" s="52">
        <v>0.2</v>
      </c>
      <c r="K12" s="52">
        <v>307.94</v>
      </c>
      <c r="L12" s="52">
        <v>22.59</v>
      </c>
      <c r="M12" s="52">
        <v>98.38</v>
      </c>
      <c r="N12" s="52">
        <v>42.9</v>
      </c>
      <c r="O12" s="52">
        <v>0</v>
      </c>
      <c r="P12" s="52">
        <v>0.19</v>
      </c>
      <c r="Q12" s="52">
        <v>9.4600000000000009</v>
      </c>
      <c r="R12" s="43"/>
      <c r="S12" s="43"/>
      <c r="T12" s="43"/>
      <c r="U12" s="43"/>
    </row>
    <row r="13" spans="1:21" s="11" customFormat="1" x14ac:dyDescent="0.25">
      <c r="A13" s="51" t="s">
        <v>592</v>
      </c>
      <c r="B13" s="52">
        <v>4.38</v>
      </c>
      <c r="C13" s="52">
        <v>7.06</v>
      </c>
      <c r="D13" s="52">
        <v>7.21</v>
      </c>
      <c r="E13" s="52">
        <v>4.0599999999999996</v>
      </c>
      <c r="F13" s="52">
        <v>2.58</v>
      </c>
      <c r="G13" s="52">
        <v>4.24</v>
      </c>
      <c r="H13" s="52">
        <v>1.27</v>
      </c>
      <c r="I13" s="52">
        <v>0.63</v>
      </c>
      <c r="J13" s="52">
        <v>0.21</v>
      </c>
      <c r="K13" s="52">
        <v>311.19</v>
      </c>
      <c r="L13" s="52">
        <v>22.16</v>
      </c>
      <c r="M13" s="52">
        <v>98.34</v>
      </c>
      <c r="N13" s="52">
        <v>42.8</v>
      </c>
      <c r="O13" s="52">
        <v>0</v>
      </c>
      <c r="P13" s="52">
        <v>0.17</v>
      </c>
      <c r="Q13" s="52">
        <v>9.41</v>
      </c>
      <c r="R13" s="43"/>
      <c r="S13" s="43"/>
      <c r="T13" s="43"/>
      <c r="U13" s="43"/>
    </row>
    <row r="14" spans="1:21" s="11" customFormat="1" x14ac:dyDescent="0.25">
      <c r="A14" s="51" t="s">
        <v>593</v>
      </c>
      <c r="B14" s="52">
        <v>5.66</v>
      </c>
      <c r="C14" s="52">
        <v>8.09</v>
      </c>
      <c r="D14" s="52">
        <v>8.76</v>
      </c>
      <c r="E14" s="52">
        <v>3.79</v>
      </c>
      <c r="F14" s="52">
        <v>2.56</v>
      </c>
      <c r="G14" s="52">
        <v>4.08</v>
      </c>
      <c r="H14" s="52">
        <v>1.26</v>
      </c>
      <c r="I14" s="52">
        <v>0.54</v>
      </c>
      <c r="J14" s="52">
        <v>0.12</v>
      </c>
      <c r="K14" s="52">
        <v>309.44</v>
      </c>
      <c r="L14" s="52">
        <v>22.1</v>
      </c>
      <c r="M14" s="52">
        <v>98.38</v>
      </c>
      <c r="N14" s="52">
        <v>48.8</v>
      </c>
      <c r="O14" s="52">
        <v>0</v>
      </c>
      <c r="P14" s="52">
        <v>0.16</v>
      </c>
      <c r="Q14" s="52">
        <v>9.41</v>
      </c>
      <c r="R14" s="43"/>
      <c r="S14" s="43"/>
      <c r="T14" s="43"/>
      <c r="U14" s="43"/>
    </row>
    <row r="15" spans="1:21" s="11" customFormat="1" x14ac:dyDescent="0.25">
      <c r="A15" s="51" t="s">
        <v>594</v>
      </c>
      <c r="B15" s="52">
        <v>6.45</v>
      </c>
      <c r="C15" s="52">
        <v>7.79</v>
      </c>
      <c r="D15" s="52">
        <v>9.23</v>
      </c>
      <c r="E15" s="52">
        <v>3.76</v>
      </c>
      <c r="F15" s="52">
        <v>2.42</v>
      </c>
      <c r="G15" s="52">
        <v>3.4</v>
      </c>
      <c r="H15" s="52">
        <v>1.2</v>
      </c>
      <c r="I15" s="52">
        <v>0.57999999999999996</v>
      </c>
      <c r="J15" s="52">
        <v>0.21</v>
      </c>
      <c r="K15" s="52">
        <v>309.31</v>
      </c>
      <c r="L15" s="52">
        <v>22.89</v>
      </c>
      <c r="M15" s="52">
        <v>98.38</v>
      </c>
      <c r="N15" s="52">
        <v>85.9</v>
      </c>
      <c r="O15" s="52">
        <v>0</v>
      </c>
      <c r="P15" s="52">
        <v>0.16</v>
      </c>
      <c r="Q15" s="52">
        <v>9.49</v>
      </c>
      <c r="R15" s="43"/>
      <c r="S15" s="43"/>
      <c r="T15" s="43"/>
      <c r="U15" s="43"/>
    </row>
    <row r="16" spans="1:21" s="11" customFormat="1" x14ac:dyDescent="0.25">
      <c r="A16" s="51" t="s">
        <v>595</v>
      </c>
      <c r="B16" s="52">
        <v>6.09</v>
      </c>
      <c r="C16" s="52">
        <v>7.7</v>
      </c>
      <c r="D16" s="52">
        <v>8.89</v>
      </c>
      <c r="E16" s="52">
        <v>4.5599999999999996</v>
      </c>
      <c r="F16" s="52">
        <v>2.59</v>
      </c>
      <c r="G16" s="52">
        <v>3.13</v>
      </c>
      <c r="H16" s="52">
        <v>1.18</v>
      </c>
      <c r="I16" s="52">
        <v>0.63</v>
      </c>
      <c r="J16" s="52">
        <v>0.22</v>
      </c>
      <c r="K16" s="52">
        <v>301.05</v>
      </c>
      <c r="L16" s="52">
        <v>23.46</v>
      </c>
      <c r="M16" s="52">
        <v>98.35</v>
      </c>
      <c r="N16" s="52">
        <v>161.6</v>
      </c>
      <c r="O16" s="52">
        <v>0</v>
      </c>
      <c r="P16" s="52">
        <v>0.22</v>
      </c>
      <c r="Q16" s="52">
        <v>9.51</v>
      </c>
      <c r="R16" s="43"/>
      <c r="S16" s="43"/>
      <c r="T16" s="43"/>
      <c r="U16" s="43"/>
    </row>
    <row r="17" spans="1:21" s="11" customFormat="1" x14ac:dyDescent="0.25">
      <c r="A17" s="51" t="s">
        <v>596</v>
      </c>
      <c r="B17" s="52">
        <v>6.51</v>
      </c>
      <c r="C17" s="52">
        <v>7.69</v>
      </c>
      <c r="D17" s="52">
        <v>9.15</v>
      </c>
      <c r="E17" s="52">
        <v>4.68</v>
      </c>
      <c r="F17" s="52">
        <v>2.4300000000000002</v>
      </c>
      <c r="G17" s="52">
        <v>2.6</v>
      </c>
      <c r="H17" s="52">
        <v>1.1000000000000001</v>
      </c>
      <c r="I17" s="52">
        <v>0.71</v>
      </c>
      <c r="J17" s="52">
        <v>0.28999999999999998</v>
      </c>
      <c r="K17" s="52">
        <v>297.2</v>
      </c>
      <c r="L17" s="52">
        <v>24</v>
      </c>
      <c r="M17" s="52">
        <v>98.3</v>
      </c>
      <c r="N17" s="52">
        <v>265.5</v>
      </c>
      <c r="O17" s="52">
        <v>0</v>
      </c>
      <c r="P17" s="52">
        <v>0.24</v>
      </c>
      <c r="Q17" s="52">
        <v>9.49</v>
      </c>
      <c r="R17" s="43"/>
      <c r="S17" s="43"/>
      <c r="T17" s="43"/>
      <c r="U17" s="43"/>
    </row>
    <row r="18" spans="1:21" s="11" customFormat="1" x14ac:dyDescent="0.25">
      <c r="A18" s="51" t="s">
        <v>597</v>
      </c>
      <c r="B18" s="52">
        <v>6.21</v>
      </c>
      <c r="C18" s="52">
        <v>8.06</v>
      </c>
      <c r="D18" s="52">
        <v>9.1300000000000008</v>
      </c>
      <c r="E18" s="52">
        <v>4.68</v>
      </c>
      <c r="F18" s="52">
        <v>2.2400000000000002</v>
      </c>
      <c r="G18" s="52">
        <v>7.31</v>
      </c>
      <c r="H18" s="52">
        <v>1.1000000000000001</v>
      </c>
      <c r="I18" s="52">
        <v>0.71</v>
      </c>
      <c r="J18" s="52">
        <v>0.28000000000000003</v>
      </c>
      <c r="K18" s="52">
        <v>300.41000000000003</v>
      </c>
      <c r="L18" s="52">
        <v>24.15</v>
      </c>
      <c r="M18" s="52">
        <v>98.25</v>
      </c>
      <c r="N18" s="52">
        <v>213.9</v>
      </c>
      <c r="O18" s="52">
        <v>0</v>
      </c>
      <c r="P18" s="52">
        <v>0.25</v>
      </c>
      <c r="Q18" s="52">
        <v>9.49</v>
      </c>
      <c r="R18" s="43"/>
      <c r="S18" s="43"/>
      <c r="T18" s="43"/>
      <c r="U18" s="43"/>
    </row>
    <row r="19" spans="1:21" s="11" customFormat="1" x14ac:dyDescent="0.25">
      <c r="A19" s="51" t="s">
        <v>598</v>
      </c>
      <c r="B19" s="52">
        <v>5.59</v>
      </c>
      <c r="C19" s="52">
        <v>8.59</v>
      </c>
      <c r="D19" s="52">
        <v>8.9600000000000009</v>
      </c>
      <c r="E19" s="52">
        <v>4.68</v>
      </c>
      <c r="F19" s="52">
        <v>2.15</v>
      </c>
      <c r="G19" s="52">
        <v>9.77</v>
      </c>
      <c r="H19" s="52">
        <v>1.1399999999999999</v>
      </c>
      <c r="I19" s="52">
        <v>0.73</v>
      </c>
      <c r="J19" s="52">
        <v>0.25</v>
      </c>
      <c r="K19" s="52">
        <v>293.52</v>
      </c>
      <c r="L19" s="52">
        <v>23.95</v>
      </c>
      <c r="M19" s="52">
        <v>98.29</v>
      </c>
      <c r="N19" s="52">
        <v>217.5</v>
      </c>
      <c r="O19" s="52">
        <v>0</v>
      </c>
      <c r="P19" s="52">
        <v>0.31</v>
      </c>
      <c r="Q19" s="52">
        <v>9.4700000000000006</v>
      </c>
      <c r="R19" s="43"/>
      <c r="S19" s="43"/>
      <c r="T19" s="43"/>
      <c r="U19" s="43"/>
    </row>
    <row r="20" spans="1:21" s="11" customFormat="1" x14ac:dyDescent="0.25">
      <c r="A20" s="51" t="s">
        <v>599</v>
      </c>
      <c r="B20" s="52">
        <v>5.87</v>
      </c>
      <c r="C20" s="52">
        <v>8.6300000000000008</v>
      </c>
      <c r="D20" s="52">
        <v>9.19</v>
      </c>
      <c r="E20" s="52">
        <v>4.7</v>
      </c>
      <c r="F20" s="52">
        <v>2.21</v>
      </c>
      <c r="G20" s="52">
        <v>7.66</v>
      </c>
      <c r="H20" s="52">
        <v>1.1100000000000001</v>
      </c>
      <c r="I20" s="52">
        <v>0.89</v>
      </c>
      <c r="J20" s="52">
        <v>0.2</v>
      </c>
      <c r="K20" s="52">
        <v>295.36</v>
      </c>
      <c r="L20" s="52">
        <v>23.86</v>
      </c>
      <c r="M20" s="52">
        <v>98.18</v>
      </c>
      <c r="N20" s="52">
        <v>179.9</v>
      </c>
      <c r="O20" s="52">
        <v>0</v>
      </c>
      <c r="P20" s="52">
        <v>0.31</v>
      </c>
      <c r="Q20" s="52">
        <v>9.4700000000000006</v>
      </c>
      <c r="R20" s="43"/>
      <c r="S20" s="43"/>
      <c r="T20" s="43"/>
      <c r="U20" s="43"/>
    </row>
    <row r="21" spans="1:21" s="11" customFormat="1" x14ac:dyDescent="0.25">
      <c r="A21" s="51" t="s">
        <v>600</v>
      </c>
      <c r="B21" s="52">
        <v>7.29</v>
      </c>
      <c r="C21" s="52">
        <v>8.5399999999999991</v>
      </c>
      <c r="D21" s="52">
        <v>10.3</v>
      </c>
      <c r="E21" s="52">
        <v>4.51</v>
      </c>
      <c r="F21" s="52">
        <v>2.2000000000000002</v>
      </c>
      <c r="G21" s="52">
        <v>8.09</v>
      </c>
      <c r="H21" s="52">
        <v>1.18</v>
      </c>
      <c r="I21" s="52">
        <v>0.87</v>
      </c>
      <c r="J21" s="52">
        <v>0.21</v>
      </c>
      <c r="K21" s="52">
        <v>310.11</v>
      </c>
      <c r="L21" s="52">
        <v>23.52</v>
      </c>
      <c r="M21" s="52">
        <v>98.15</v>
      </c>
      <c r="N21" s="52">
        <v>172.7</v>
      </c>
      <c r="O21" s="52">
        <v>0.2</v>
      </c>
      <c r="P21" s="52">
        <v>0.32</v>
      </c>
      <c r="Q21" s="52">
        <v>9.52</v>
      </c>
      <c r="R21" s="43"/>
      <c r="S21" s="43"/>
      <c r="T21" s="43"/>
      <c r="U21" s="43"/>
    </row>
    <row r="22" spans="1:21" s="11" customFormat="1" x14ac:dyDescent="0.25">
      <c r="A22" s="51" t="s">
        <v>601</v>
      </c>
      <c r="B22" s="52">
        <v>9.0299999999999994</v>
      </c>
      <c r="C22" s="52">
        <v>8.92</v>
      </c>
      <c r="D22" s="52">
        <v>11.9</v>
      </c>
      <c r="E22" s="52">
        <v>4.9800000000000004</v>
      </c>
      <c r="F22" s="52">
        <v>2.2799999999999998</v>
      </c>
      <c r="G22" s="52">
        <v>8.2899999999999991</v>
      </c>
      <c r="H22" s="52">
        <v>1.31</v>
      </c>
      <c r="I22" s="52">
        <v>0.86</v>
      </c>
      <c r="J22" s="52">
        <v>0.27</v>
      </c>
      <c r="K22" s="52">
        <v>312.42</v>
      </c>
      <c r="L22" s="52">
        <v>23.13</v>
      </c>
      <c r="M22" s="52">
        <v>98.15</v>
      </c>
      <c r="N22" s="52">
        <v>114.2</v>
      </c>
      <c r="O22" s="52">
        <v>0.2</v>
      </c>
      <c r="P22" s="52">
        <v>0.33</v>
      </c>
      <c r="Q22" s="52">
        <v>9.57</v>
      </c>
      <c r="R22" s="43"/>
      <c r="S22" s="43"/>
      <c r="T22" s="43"/>
      <c r="U22" s="43"/>
    </row>
    <row r="23" spans="1:21" s="11" customFormat="1" x14ac:dyDescent="0.25">
      <c r="A23" s="51" t="s">
        <v>602</v>
      </c>
      <c r="B23" s="52">
        <v>9.1</v>
      </c>
      <c r="C23" s="52">
        <v>8.7899999999999991</v>
      </c>
      <c r="D23" s="52">
        <v>11.89</v>
      </c>
      <c r="E23" s="52">
        <v>4.79</v>
      </c>
      <c r="F23" s="52">
        <v>3.24</v>
      </c>
      <c r="G23" s="52">
        <v>7.78</v>
      </c>
      <c r="H23" s="52">
        <v>1.34</v>
      </c>
      <c r="I23" s="52">
        <v>0.93</v>
      </c>
      <c r="J23" s="52">
        <v>0.08</v>
      </c>
      <c r="K23" s="52">
        <v>323.22000000000003</v>
      </c>
      <c r="L23" s="52">
        <v>22.85</v>
      </c>
      <c r="M23" s="52">
        <v>98.15</v>
      </c>
      <c r="N23" s="52">
        <v>127.5</v>
      </c>
      <c r="O23" s="52">
        <v>0</v>
      </c>
      <c r="P23" s="52">
        <v>0.33</v>
      </c>
      <c r="Q23" s="52">
        <v>9.61</v>
      </c>
      <c r="R23" s="43"/>
      <c r="S23" s="43"/>
      <c r="T23" s="43"/>
      <c r="U23" s="43"/>
    </row>
    <row r="24" spans="1:21" s="11" customFormat="1" x14ac:dyDescent="0.25">
      <c r="A24" s="51" t="s">
        <v>603</v>
      </c>
      <c r="B24" s="52">
        <v>8.86</v>
      </c>
      <c r="C24" s="52">
        <v>6.93</v>
      </c>
      <c r="D24" s="52">
        <v>10.65</v>
      </c>
      <c r="E24" s="52">
        <v>5</v>
      </c>
      <c r="F24" s="52">
        <v>2.19</v>
      </c>
      <c r="G24" s="52">
        <v>6.48</v>
      </c>
      <c r="H24" s="52">
        <v>1.31</v>
      </c>
      <c r="I24" s="52">
        <v>0.96</v>
      </c>
      <c r="J24" s="52">
        <v>0.23</v>
      </c>
      <c r="K24" s="52">
        <v>308.48</v>
      </c>
      <c r="L24" s="52">
        <v>22.9</v>
      </c>
      <c r="M24" s="52">
        <v>98.03</v>
      </c>
      <c r="N24" s="52">
        <v>104.4</v>
      </c>
      <c r="O24" s="52">
        <v>0</v>
      </c>
      <c r="P24" s="52">
        <v>0.34</v>
      </c>
      <c r="Q24" s="52">
        <v>9.6</v>
      </c>
      <c r="R24" s="43"/>
      <c r="S24" s="43"/>
      <c r="T24" s="43"/>
      <c r="U24" s="43"/>
    </row>
    <row r="25" spans="1:21" s="11" customFormat="1" x14ac:dyDescent="0.25">
      <c r="A25" s="51" t="s">
        <v>604</v>
      </c>
      <c r="B25" s="52">
        <v>8.77</v>
      </c>
      <c r="C25" s="52">
        <v>7.16</v>
      </c>
      <c r="D25" s="52">
        <v>10.77</v>
      </c>
      <c r="E25" s="52">
        <v>4.2</v>
      </c>
      <c r="F25" s="52">
        <v>2.17</v>
      </c>
      <c r="G25" s="52">
        <v>6.72</v>
      </c>
      <c r="H25" s="52">
        <v>1.29</v>
      </c>
      <c r="I25" s="52">
        <v>0.85</v>
      </c>
      <c r="J25" s="52">
        <v>0.12</v>
      </c>
      <c r="K25" s="52">
        <v>319.23</v>
      </c>
      <c r="L25" s="52">
        <v>22.36</v>
      </c>
      <c r="M25" s="52">
        <v>98.06</v>
      </c>
      <c r="N25" s="52">
        <v>72.3</v>
      </c>
      <c r="O25" s="52">
        <v>0</v>
      </c>
      <c r="P25" s="52">
        <v>0.34</v>
      </c>
      <c r="Q25" s="52">
        <v>9.58</v>
      </c>
      <c r="R25" s="43"/>
      <c r="S25" s="43"/>
      <c r="T25" s="43"/>
      <c r="U25" s="43"/>
    </row>
    <row r="26" spans="1:21" s="11" customFormat="1" x14ac:dyDescent="0.25">
      <c r="A26" s="51" t="s">
        <v>605</v>
      </c>
      <c r="B26" s="52">
        <v>9.76</v>
      </c>
      <c r="C26" s="52">
        <v>7.94</v>
      </c>
      <c r="D26" s="52">
        <v>11.98</v>
      </c>
      <c r="E26" s="52">
        <v>4.47</v>
      </c>
      <c r="F26" s="52">
        <v>2.42</v>
      </c>
      <c r="G26" s="52">
        <v>5.91</v>
      </c>
      <c r="H26" s="52">
        <v>1.29</v>
      </c>
      <c r="I26" s="52">
        <v>0.84</v>
      </c>
      <c r="J26" s="52">
        <v>0.09</v>
      </c>
      <c r="K26" s="52">
        <v>305.41000000000003</v>
      </c>
      <c r="L26" s="52">
        <v>22.55</v>
      </c>
      <c r="M26" s="52">
        <v>98.08</v>
      </c>
      <c r="N26" s="52">
        <v>69.900000000000006</v>
      </c>
      <c r="O26" s="52">
        <v>0</v>
      </c>
      <c r="P26" s="52">
        <v>0.35</v>
      </c>
      <c r="Q26" s="52">
        <v>9.59</v>
      </c>
      <c r="R26" s="43"/>
      <c r="S26" s="43"/>
      <c r="T26" s="43"/>
      <c r="U26" s="43"/>
    </row>
    <row r="27" spans="1:21" s="11" customFormat="1" x14ac:dyDescent="0.25">
      <c r="A27" s="51" t="s">
        <v>606</v>
      </c>
      <c r="B27" s="52">
        <v>12.27</v>
      </c>
      <c r="C27" s="52">
        <v>9.09</v>
      </c>
      <c r="D27" s="52">
        <v>14.59</v>
      </c>
      <c r="E27" s="52">
        <v>4.25</v>
      </c>
      <c r="F27" s="52">
        <v>2.58</v>
      </c>
      <c r="G27" s="52">
        <v>6.2</v>
      </c>
      <c r="H27" s="52">
        <v>1.29</v>
      </c>
      <c r="I27" s="52">
        <v>0.88</v>
      </c>
      <c r="J27" s="52">
        <v>0.06</v>
      </c>
      <c r="K27" s="52">
        <v>321.22000000000003</v>
      </c>
      <c r="L27" s="52">
        <v>22.59</v>
      </c>
      <c r="M27" s="52">
        <v>98.08</v>
      </c>
      <c r="N27" s="52">
        <v>46</v>
      </c>
      <c r="O27" s="52">
        <v>0</v>
      </c>
      <c r="P27" s="52">
        <v>0.42</v>
      </c>
      <c r="Q27" s="52">
        <v>9.6</v>
      </c>
      <c r="R27" s="43"/>
      <c r="S27" s="43"/>
      <c r="T27" s="43"/>
      <c r="U27" s="43"/>
    </row>
    <row r="28" spans="1:21" s="11" customFormat="1" x14ac:dyDescent="0.25">
      <c r="A28" s="51" t="s">
        <v>607</v>
      </c>
      <c r="B28" s="52">
        <v>10.51</v>
      </c>
      <c r="C28" s="52">
        <v>8.08</v>
      </c>
      <c r="D28" s="52">
        <v>12.22</v>
      </c>
      <c r="E28" s="52">
        <v>4.25</v>
      </c>
      <c r="F28" s="52">
        <v>3.75</v>
      </c>
      <c r="G28" s="52">
        <v>7.74</v>
      </c>
      <c r="H28" s="52">
        <v>1.26</v>
      </c>
      <c r="I28" s="52">
        <v>0.94</v>
      </c>
      <c r="J28" s="52">
        <v>0.05</v>
      </c>
      <c r="K28" s="52">
        <v>278.45999999999998</v>
      </c>
      <c r="L28" s="52">
        <v>22.69</v>
      </c>
      <c r="M28" s="52">
        <v>98.08</v>
      </c>
      <c r="N28" s="52">
        <v>43</v>
      </c>
      <c r="O28" s="52">
        <v>0</v>
      </c>
      <c r="P28" s="52">
        <v>0.39</v>
      </c>
      <c r="Q28" s="52">
        <v>9.6300000000000008</v>
      </c>
      <c r="R28" s="43"/>
      <c r="S28" s="43"/>
      <c r="T28" s="43"/>
      <c r="U28" s="43"/>
    </row>
    <row r="29" spans="1:21" s="11" customFormat="1" x14ac:dyDescent="0.25">
      <c r="A29" s="51" t="s">
        <v>608</v>
      </c>
      <c r="B29" s="52">
        <v>12.35</v>
      </c>
      <c r="C29" s="52">
        <v>8.7200000000000006</v>
      </c>
      <c r="D29" s="52">
        <v>14.3</v>
      </c>
      <c r="E29" s="52">
        <v>4.4800000000000004</v>
      </c>
      <c r="F29" s="52">
        <v>3.56</v>
      </c>
      <c r="G29" s="52">
        <v>8.8800000000000008</v>
      </c>
      <c r="H29" s="52">
        <v>1.24</v>
      </c>
      <c r="I29" s="52">
        <v>0.98</v>
      </c>
      <c r="J29" s="52">
        <v>0.04</v>
      </c>
      <c r="K29" s="52">
        <v>299.11</v>
      </c>
      <c r="L29" s="52">
        <v>22.92</v>
      </c>
      <c r="M29" s="52">
        <v>98.1</v>
      </c>
      <c r="N29" s="52">
        <v>43.3</v>
      </c>
      <c r="O29" s="52">
        <v>0</v>
      </c>
      <c r="P29" s="52">
        <v>0.47</v>
      </c>
      <c r="Q29" s="52">
        <v>9.64</v>
      </c>
      <c r="R29" s="43"/>
      <c r="S29" s="43"/>
      <c r="T29" s="43"/>
      <c r="U29" s="43"/>
    </row>
    <row r="30" spans="1:21" s="11" customFormat="1" x14ac:dyDescent="0.25">
      <c r="A30" s="51" t="s">
        <v>609</v>
      </c>
      <c r="B30" s="52">
        <v>11</v>
      </c>
      <c r="C30" s="52">
        <v>8.09</v>
      </c>
      <c r="D30" s="52">
        <v>12.61</v>
      </c>
      <c r="E30" s="52">
        <v>4.7300000000000004</v>
      </c>
      <c r="F30" s="52">
        <v>4.1100000000000003</v>
      </c>
      <c r="G30" s="52">
        <v>8.7200000000000006</v>
      </c>
      <c r="H30" s="52">
        <v>1.21</v>
      </c>
      <c r="I30" s="52">
        <v>1</v>
      </c>
      <c r="J30" s="52">
        <v>0.1</v>
      </c>
      <c r="K30" s="52">
        <v>316.75</v>
      </c>
      <c r="L30" s="52">
        <v>23.03</v>
      </c>
      <c r="M30" s="52">
        <v>98.1</v>
      </c>
      <c r="N30" s="52">
        <v>43.6</v>
      </c>
      <c r="O30" s="52">
        <v>0</v>
      </c>
      <c r="P30" s="52">
        <v>0.41</v>
      </c>
      <c r="Q30" s="52">
        <v>9.65</v>
      </c>
      <c r="R30" s="43"/>
      <c r="S30" s="43"/>
      <c r="T30" s="43"/>
      <c r="U30" s="43"/>
    </row>
    <row r="31" spans="1:21" s="11" customFormat="1" x14ac:dyDescent="0.25">
      <c r="A31" s="51" t="s">
        <v>610</v>
      </c>
      <c r="B31" s="52">
        <v>10.27</v>
      </c>
      <c r="C31" s="52">
        <v>6.44</v>
      </c>
      <c r="D31" s="52">
        <v>11.34</v>
      </c>
      <c r="E31" s="52">
        <v>4.5599999999999996</v>
      </c>
      <c r="F31" s="52">
        <v>3</v>
      </c>
      <c r="G31" s="52">
        <v>7.92</v>
      </c>
      <c r="H31" s="52">
        <v>1.19</v>
      </c>
      <c r="I31" s="52">
        <v>1</v>
      </c>
      <c r="J31" s="52">
        <v>0.2</v>
      </c>
      <c r="K31" s="52">
        <v>309.47000000000003</v>
      </c>
      <c r="L31" s="52">
        <v>23.29</v>
      </c>
      <c r="M31" s="52">
        <v>98.05</v>
      </c>
      <c r="N31" s="52">
        <v>44.1</v>
      </c>
      <c r="O31" s="52">
        <v>0</v>
      </c>
      <c r="P31" s="52">
        <v>0.37</v>
      </c>
      <c r="Q31" s="52">
        <v>9.65</v>
      </c>
      <c r="R31" s="43"/>
      <c r="S31" s="43"/>
      <c r="T31" s="43"/>
      <c r="U31" s="43"/>
    </row>
    <row r="32" spans="1:21" s="11" customFormat="1" x14ac:dyDescent="0.25">
      <c r="A32" s="51" t="s">
        <v>611</v>
      </c>
      <c r="B32" s="52">
        <v>8.98</v>
      </c>
      <c r="C32" s="52">
        <v>7.55</v>
      </c>
      <c r="D32" s="52">
        <v>10.63</v>
      </c>
      <c r="E32" s="52">
        <v>4.67</v>
      </c>
      <c r="F32" s="52">
        <v>2.2799999999999998</v>
      </c>
      <c r="G32" s="52">
        <v>8.52</v>
      </c>
      <c r="H32" s="52">
        <v>1.19</v>
      </c>
      <c r="I32" s="52">
        <v>0.88</v>
      </c>
      <c r="J32" s="52">
        <v>0.19</v>
      </c>
      <c r="K32" s="52">
        <v>313.77999999999997</v>
      </c>
      <c r="L32" s="52">
        <v>23.32</v>
      </c>
      <c r="M32" s="52">
        <v>98.01</v>
      </c>
      <c r="N32" s="52">
        <v>44.4</v>
      </c>
      <c r="O32" s="52">
        <v>0</v>
      </c>
      <c r="P32" s="52">
        <v>0.34</v>
      </c>
      <c r="Q32" s="52">
        <v>9.6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4.38</v>
      </c>
      <c r="C34" s="28">
        <f t="shared" si="0"/>
        <v>6.44</v>
      </c>
      <c r="D34" s="28">
        <f t="shared" si="0"/>
        <v>7.21</v>
      </c>
      <c r="E34" s="28">
        <f t="shared" si="0"/>
        <v>3.76</v>
      </c>
      <c r="F34" s="28">
        <f t="shared" si="0"/>
        <v>2.15</v>
      </c>
      <c r="G34" s="28">
        <f t="shared" si="0"/>
        <v>2.6</v>
      </c>
      <c r="H34" s="28">
        <f t="shared" si="0"/>
        <v>1.1000000000000001</v>
      </c>
      <c r="I34" s="28">
        <f t="shared" si="0"/>
        <v>0.54</v>
      </c>
      <c r="J34" s="28">
        <f t="shared" si="0"/>
        <v>0.04</v>
      </c>
      <c r="K34" s="28">
        <f t="shared" si="0"/>
        <v>278.45999999999998</v>
      </c>
      <c r="L34" s="28">
        <f t="shared" si="0"/>
        <v>22.1</v>
      </c>
      <c r="M34" s="28">
        <f t="shared" si="0"/>
        <v>98.01</v>
      </c>
      <c r="N34" s="28">
        <f t="shared" si="0"/>
        <v>42.3</v>
      </c>
      <c r="O34" s="28">
        <f t="shared" si="0"/>
        <v>0</v>
      </c>
      <c r="P34" s="28">
        <f t="shared" si="0"/>
        <v>0.16</v>
      </c>
      <c r="Q34" s="28">
        <f t="shared" si="0"/>
        <v>9.41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12.35</v>
      </c>
      <c r="C35" s="29">
        <f t="shared" si="1"/>
        <v>9.09</v>
      </c>
      <c r="D35" s="29">
        <f t="shared" si="1"/>
        <v>14.59</v>
      </c>
      <c r="E35" s="29">
        <f t="shared" si="1"/>
        <v>5</v>
      </c>
      <c r="F35" s="29">
        <f t="shared" si="1"/>
        <v>4.1100000000000003</v>
      </c>
      <c r="G35" s="29">
        <f t="shared" si="1"/>
        <v>9.77</v>
      </c>
      <c r="H35" s="29">
        <f t="shared" si="1"/>
        <v>1.86</v>
      </c>
      <c r="I35" s="29">
        <f t="shared" si="1"/>
        <v>1.04</v>
      </c>
      <c r="J35" s="29">
        <f t="shared" si="1"/>
        <v>0.28999999999999998</v>
      </c>
      <c r="K35" s="29">
        <f t="shared" si="1"/>
        <v>329.88</v>
      </c>
      <c r="L35" s="29">
        <f t="shared" si="1"/>
        <v>24.15</v>
      </c>
      <c r="M35" s="29">
        <f t="shared" si="1"/>
        <v>98.38</v>
      </c>
      <c r="N35" s="29">
        <f t="shared" si="1"/>
        <v>265.5</v>
      </c>
      <c r="O35" s="29">
        <f t="shared" si="1"/>
        <v>0.2</v>
      </c>
      <c r="P35" s="29">
        <f t="shared" si="1"/>
        <v>0.47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7.9545833333333329</v>
      </c>
      <c r="C36" s="28">
        <f t="shared" si="2"/>
        <v>7.8575000000000017</v>
      </c>
      <c r="D36" s="28">
        <f t="shared" si="2"/>
        <v>10.372083333333334</v>
      </c>
      <c r="E36" s="28">
        <f t="shared" si="2"/>
        <v>4.4058333333333346</v>
      </c>
      <c r="F36" s="28">
        <f t="shared" si="2"/>
        <v>2.6612500000000003</v>
      </c>
      <c r="G36" s="28">
        <f t="shared" si="2"/>
        <v>6.7854166666666664</v>
      </c>
      <c r="H36" s="28">
        <f t="shared" si="2"/>
        <v>1.2849999999999999</v>
      </c>
      <c r="I36" s="28">
        <f t="shared" si="2"/>
        <v>0.83208333333333329</v>
      </c>
      <c r="J36" s="28">
        <f t="shared" si="2"/>
        <v>0.17208333333333337</v>
      </c>
      <c r="K36" s="28">
        <f t="shared" si="2"/>
        <v>308.15458333333333</v>
      </c>
      <c r="L36" s="28">
        <f t="shared" si="2"/>
        <v>23.095833333333335</v>
      </c>
      <c r="M36" s="28">
        <f t="shared" si="2"/>
        <v>98.202083333333348</v>
      </c>
      <c r="N36" s="28">
        <f t="shared" si="2"/>
        <v>96.329166666666666</v>
      </c>
      <c r="O36" s="28">
        <f t="shared" si="2"/>
        <v>1.6666666666666666E-2</v>
      </c>
      <c r="P36" s="28">
        <f t="shared" si="2"/>
        <v>0.30208333333333331</v>
      </c>
      <c r="Q36" s="28">
        <f t="shared" si="2"/>
        <v>9.5454166666666644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2.3352347971822907</v>
      </c>
      <c r="C37" s="28">
        <f t="shared" ref="C37:Q37" si="3">STDEV(C9:C32)</f>
        <v>0.73340925166974991</v>
      </c>
      <c r="D37" s="28">
        <f t="shared" si="3"/>
        <v>1.9470065745778171</v>
      </c>
      <c r="E37" s="28">
        <f t="shared" si="3"/>
        <v>0.37086170710535954</v>
      </c>
      <c r="F37" s="28">
        <f t="shared" si="3"/>
        <v>0.53982535420585498</v>
      </c>
      <c r="G37" s="28">
        <f t="shared" si="3"/>
        <v>2.0493858659452693</v>
      </c>
      <c r="H37" s="28">
        <f t="shared" si="3"/>
        <v>0.1763149356173197</v>
      </c>
      <c r="I37" s="28">
        <f t="shared" si="3"/>
        <v>0.1432534745512811</v>
      </c>
      <c r="J37" s="28">
        <f t="shared" si="3"/>
        <v>7.4540865166096204E-2</v>
      </c>
      <c r="K37" s="28">
        <f t="shared" si="3"/>
        <v>10.976655853760024</v>
      </c>
      <c r="L37" s="28">
        <f t="shared" si="3"/>
        <v>0.57551426278300555</v>
      </c>
      <c r="M37" s="28">
        <f t="shared" si="3"/>
        <v>0.12897519703134799</v>
      </c>
      <c r="N37" s="28">
        <f t="shared" si="3"/>
        <v>69.152040927891306</v>
      </c>
      <c r="O37" s="28">
        <f t="shared" si="3"/>
        <v>5.6465970257327996E-2</v>
      </c>
      <c r="P37" s="28">
        <f t="shared" si="3"/>
        <v>8.4851746243549533E-2</v>
      </c>
      <c r="Q37" s="28">
        <f t="shared" si="3"/>
        <v>7.4131444168400909E-2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1" t="s">
        <v>612</v>
      </c>
      <c r="B9" s="52">
        <v>6.58</v>
      </c>
      <c r="C9" s="52">
        <v>7.59</v>
      </c>
      <c r="D9" s="52">
        <v>9.24</v>
      </c>
      <c r="E9" s="52">
        <v>4.91</v>
      </c>
      <c r="F9" s="52">
        <v>2.5099999999999998</v>
      </c>
      <c r="G9" s="52">
        <v>6.36</v>
      </c>
      <c r="H9" s="52">
        <v>1.19</v>
      </c>
      <c r="I9" s="52">
        <v>0.75</v>
      </c>
      <c r="J9" s="52">
        <v>0.24</v>
      </c>
      <c r="K9" s="52">
        <v>303.14999999999998</v>
      </c>
      <c r="L9" s="52">
        <v>23.05</v>
      </c>
      <c r="M9" s="52">
        <v>98.01</v>
      </c>
      <c r="N9" s="52">
        <v>43.7</v>
      </c>
      <c r="O9" s="52">
        <v>0</v>
      </c>
      <c r="P9" s="52">
        <v>0.28000000000000003</v>
      </c>
      <c r="Q9" s="52">
        <v>9.49</v>
      </c>
      <c r="R9" s="43"/>
      <c r="S9" s="43"/>
      <c r="T9" s="43"/>
      <c r="U9" s="43"/>
    </row>
    <row r="10" spans="1:21" s="11" customFormat="1" x14ac:dyDescent="0.25">
      <c r="A10" s="51" t="s">
        <v>613</v>
      </c>
      <c r="B10" s="52">
        <v>4.93</v>
      </c>
      <c r="C10" s="52">
        <v>7.54</v>
      </c>
      <c r="D10" s="52">
        <v>7.89</v>
      </c>
      <c r="E10" s="52">
        <v>4.95</v>
      </c>
      <c r="F10" s="52">
        <v>2.33</v>
      </c>
      <c r="G10" s="52">
        <v>7.13</v>
      </c>
      <c r="H10" s="52">
        <v>1.19</v>
      </c>
      <c r="I10" s="52">
        <v>0.7</v>
      </c>
      <c r="J10" s="52">
        <v>0.25</v>
      </c>
      <c r="K10" s="52">
        <v>298.36</v>
      </c>
      <c r="L10" s="52">
        <v>22.91</v>
      </c>
      <c r="M10" s="52">
        <v>97.95</v>
      </c>
      <c r="N10" s="52">
        <v>43.3</v>
      </c>
      <c r="O10" s="52">
        <v>0</v>
      </c>
      <c r="P10" s="52">
        <v>0.21</v>
      </c>
      <c r="Q10" s="52">
        <v>9.4499999999999993</v>
      </c>
      <c r="R10" s="43"/>
      <c r="S10" s="43"/>
      <c r="T10" s="43"/>
      <c r="U10" s="43"/>
    </row>
    <row r="11" spans="1:21" s="11" customFormat="1" x14ac:dyDescent="0.25">
      <c r="A11" s="51" t="s">
        <v>614</v>
      </c>
      <c r="B11" s="52">
        <v>3.95</v>
      </c>
      <c r="C11" s="52">
        <v>7.38</v>
      </c>
      <c r="D11" s="52">
        <v>7.02</v>
      </c>
      <c r="E11" s="52">
        <v>5.0999999999999996</v>
      </c>
      <c r="F11" s="52">
        <v>2.48</v>
      </c>
      <c r="G11" s="52">
        <v>8</v>
      </c>
      <c r="H11" s="52">
        <v>1.18</v>
      </c>
      <c r="I11" s="52">
        <v>0.53</v>
      </c>
      <c r="J11" s="52">
        <v>0.28000000000000003</v>
      </c>
      <c r="K11" s="52">
        <v>305.02999999999997</v>
      </c>
      <c r="L11" s="52">
        <v>22.64</v>
      </c>
      <c r="M11" s="52">
        <v>97.96</v>
      </c>
      <c r="N11" s="52">
        <v>43.1</v>
      </c>
      <c r="O11" s="52">
        <v>0</v>
      </c>
      <c r="P11" s="52">
        <v>0.19</v>
      </c>
      <c r="Q11" s="52">
        <v>9.43</v>
      </c>
      <c r="R11" s="43"/>
      <c r="S11" s="43"/>
      <c r="T11" s="43"/>
      <c r="U11" s="43"/>
    </row>
    <row r="12" spans="1:21" s="11" customFormat="1" x14ac:dyDescent="0.25">
      <c r="A12" s="51" t="s">
        <v>615</v>
      </c>
      <c r="B12" s="52">
        <v>3.8</v>
      </c>
      <c r="C12" s="52">
        <v>6.88</v>
      </c>
      <c r="D12" s="52">
        <v>6.65</v>
      </c>
      <c r="E12" s="52">
        <v>5.04</v>
      </c>
      <c r="F12" s="52">
        <v>2.67</v>
      </c>
      <c r="G12" s="52">
        <v>6.91</v>
      </c>
      <c r="H12" s="52">
        <v>1.18</v>
      </c>
      <c r="I12" s="52">
        <v>0.44</v>
      </c>
      <c r="J12" s="52">
        <v>0.25</v>
      </c>
      <c r="K12" s="52">
        <v>302.72000000000003</v>
      </c>
      <c r="L12" s="52">
        <v>22.62</v>
      </c>
      <c r="M12" s="52">
        <v>98.05</v>
      </c>
      <c r="N12" s="52">
        <v>43.3</v>
      </c>
      <c r="O12" s="52">
        <v>0</v>
      </c>
      <c r="P12" s="52">
        <v>0.17</v>
      </c>
      <c r="Q12" s="52">
        <v>9.39</v>
      </c>
      <c r="R12" s="43"/>
      <c r="S12" s="43"/>
      <c r="T12" s="43"/>
      <c r="U12" s="43"/>
    </row>
    <row r="13" spans="1:21" s="11" customFormat="1" x14ac:dyDescent="0.25">
      <c r="A13" s="51" t="s">
        <v>616</v>
      </c>
      <c r="B13" s="52">
        <v>3.93</v>
      </c>
      <c r="C13" s="52">
        <v>6.92</v>
      </c>
      <c r="D13" s="52">
        <v>6.76</v>
      </c>
      <c r="E13" s="52">
        <v>5</v>
      </c>
      <c r="F13" s="52">
        <v>2.39</v>
      </c>
      <c r="G13" s="52">
        <v>7.08</v>
      </c>
      <c r="H13" s="52">
        <v>1.24</v>
      </c>
      <c r="I13" s="52">
        <v>0.37</v>
      </c>
      <c r="J13" s="52">
        <v>0.24</v>
      </c>
      <c r="K13" s="52">
        <v>301.10000000000002</v>
      </c>
      <c r="L13" s="52">
        <v>22.66</v>
      </c>
      <c r="M13" s="52">
        <v>98.05</v>
      </c>
      <c r="N13" s="52">
        <v>43.3</v>
      </c>
      <c r="O13" s="52">
        <v>0</v>
      </c>
      <c r="P13" s="52">
        <v>0.14000000000000001</v>
      </c>
      <c r="Q13" s="52">
        <v>9.3699999999999992</v>
      </c>
      <c r="R13" s="43"/>
      <c r="S13" s="43"/>
      <c r="T13" s="43"/>
      <c r="U13" s="43"/>
    </row>
    <row r="14" spans="1:21" s="11" customFormat="1" x14ac:dyDescent="0.25">
      <c r="A14" s="51" t="s">
        <v>617</v>
      </c>
      <c r="B14" s="52">
        <v>4.3499999999999996</v>
      </c>
      <c r="C14" s="52">
        <v>7.28</v>
      </c>
      <c r="D14" s="52">
        <v>7.29</v>
      </c>
      <c r="E14" s="52">
        <v>5.26</v>
      </c>
      <c r="F14" s="52">
        <v>2.79</v>
      </c>
      <c r="G14" s="52">
        <v>7.7</v>
      </c>
      <c r="H14" s="52">
        <v>1.28</v>
      </c>
      <c r="I14" s="52">
        <v>0.36</v>
      </c>
      <c r="J14" s="52">
        <v>0.21</v>
      </c>
      <c r="K14" s="52">
        <v>297.07</v>
      </c>
      <c r="L14" s="52">
        <v>22.72</v>
      </c>
      <c r="M14" s="52">
        <v>98.03</v>
      </c>
      <c r="N14" s="52">
        <v>47.2</v>
      </c>
      <c r="O14" s="52">
        <v>0</v>
      </c>
      <c r="P14" s="52">
        <v>0.14000000000000001</v>
      </c>
      <c r="Q14" s="52">
        <v>9.42</v>
      </c>
      <c r="R14" s="43"/>
      <c r="S14" s="43"/>
      <c r="T14" s="43"/>
      <c r="U14" s="43"/>
    </row>
    <row r="15" spans="1:21" s="11" customFormat="1" x14ac:dyDescent="0.25">
      <c r="A15" s="51" t="s">
        <v>618</v>
      </c>
      <c r="B15" s="52">
        <v>4.96</v>
      </c>
      <c r="C15" s="52">
        <v>7.42</v>
      </c>
      <c r="D15" s="52">
        <v>7.85</v>
      </c>
      <c r="E15" s="52">
        <v>5.0199999999999996</v>
      </c>
      <c r="F15" s="52">
        <v>2.31</v>
      </c>
      <c r="G15" s="52">
        <v>8.2200000000000006</v>
      </c>
      <c r="H15" s="52">
        <v>1.28</v>
      </c>
      <c r="I15" s="52">
        <v>0.41</v>
      </c>
      <c r="J15" s="52">
        <v>0.27</v>
      </c>
      <c r="K15" s="52">
        <v>303.97000000000003</v>
      </c>
      <c r="L15" s="52">
        <v>22.82</v>
      </c>
      <c r="M15" s="52">
        <v>98.03</v>
      </c>
      <c r="N15" s="52">
        <v>63.9</v>
      </c>
      <c r="O15" s="52">
        <v>0</v>
      </c>
      <c r="P15" s="52">
        <v>0.16</v>
      </c>
      <c r="Q15" s="52">
        <v>9.4499999999999993</v>
      </c>
      <c r="R15" s="43"/>
      <c r="S15" s="43"/>
      <c r="T15" s="43"/>
      <c r="U15" s="43"/>
    </row>
    <row r="16" spans="1:21" s="11" customFormat="1" x14ac:dyDescent="0.25">
      <c r="A16" s="51" t="s">
        <v>619</v>
      </c>
      <c r="B16" s="52">
        <v>5.31</v>
      </c>
      <c r="C16" s="52">
        <v>7.59</v>
      </c>
      <c r="D16" s="52">
        <v>8.11</v>
      </c>
      <c r="E16" s="52">
        <v>4.99</v>
      </c>
      <c r="F16" s="52">
        <v>2.4300000000000002</v>
      </c>
      <c r="G16" s="52">
        <v>9.59</v>
      </c>
      <c r="H16" s="52">
        <v>1.25</v>
      </c>
      <c r="I16" s="52">
        <v>0.46</v>
      </c>
      <c r="J16" s="52">
        <v>0.27</v>
      </c>
      <c r="K16" s="52">
        <v>297.83</v>
      </c>
      <c r="L16" s="52">
        <v>23.03</v>
      </c>
      <c r="M16" s="52">
        <v>98</v>
      </c>
      <c r="N16" s="52">
        <v>109.9</v>
      </c>
      <c r="O16" s="52">
        <v>0</v>
      </c>
      <c r="P16" s="52">
        <v>0.2</v>
      </c>
      <c r="Q16" s="52">
        <v>9.4600000000000009</v>
      </c>
      <c r="R16" s="43"/>
      <c r="S16" s="43"/>
      <c r="T16" s="43"/>
      <c r="U16" s="43"/>
    </row>
    <row r="17" spans="1:21" s="11" customFormat="1" x14ac:dyDescent="0.25">
      <c r="A17" s="51" t="s">
        <v>620</v>
      </c>
      <c r="B17" s="52">
        <v>5.64</v>
      </c>
      <c r="C17" s="52">
        <v>7.67</v>
      </c>
      <c r="D17" s="52">
        <v>8.5299999999999994</v>
      </c>
      <c r="E17" s="52">
        <v>4.0999999999999996</v>
      </c>
      <c r="F17" s="52">
        <v>2.25</v>
      </c>
      <c r="G17" s="52">
        <v>11.49</v>
      </c>
      <c r="H17" s="52">
        <v>1.31</v>
      </c>
      <c r="I17" s="52">
        <v>0.54</v>
      </c>
      <c r="J17" s="52">
        <v>0.26</v>
      </c>
      <c r="K17" s="52">
        <v>295.42</v>
      </c>
      <c r="L17" s="52">
        <v>23.16</v>
      </c>
      <c r="M17" s="52">
        <v>98</v>
      </c>
      <c r="N17" s="52">
        <v>164.9</v>
      </c>
      <c r="O17" s="52">
        <v>0</v>
      </c>
      <c r="P17" s="52">
        <v>0.22</v>
      </c>
      <c r="Q17" s="52">
        <v>9.4600000000000009</v>
      </c>
      <c r="R17" s="43"/>
      <c r="S17" s="43"/>
      <c r="T17" s="43"/>
      <c r="U17" s="43"/>
    </row>
    <row r="18" spans="1:21" s="11" customFormat="1" x14ac:dyDescent="0.25">
      <c r="A18" s="51" t="s">
        <v>621</v>
      </c>
      <c r="B18" s="52">
        <v>5.98</v>
      </c>
      <c r="C18" s="52">
        <v>7.86</v>
      </c>
      <c r="D18" s="52">
        <v>8.8800000000000008</v>
      </c>
      <c r="E18" s="52">
        <v>4.24</v>
      </c>
      <c r="F18" s="52">
        <v>2.29</v>
      </c>
      <c r="G18" s="52">
        <v>13.18</v>
      </c>
      <c r="H18" s="52">
        <v>1.36</v>
      </c>
      <c r="I18" s="52">
        <v>0.6</v>
      </c>
      <c r="J18" s="52">
        <v>0.32</v>
      </c>
      <c r="K18" s="52">
        <v>295.48</v>
      </c>
      <c r="L18" s="52">
        <v>23.56</v>
      </c>
      <c r="M18" s="52">
        <v>97.96</v>
      </c>
      <c r="N18" s="52">
        <v>171.6</v>
      </c>
      <c r="O18" s="52">
        <v>0</v>
      </c>
      <c r="P18" s="52">
        <v>0.25</v>
      </c>
      <c r="Q18" s="52">
        <v>9.48</v>
      </c>
      <c r="R18" s="43"/>
      <c r="S18" s="43"/>
      <c r="T18" s="43"/>
      <c r="U18" s="43"/>
    </row>
    <row r="19" spans="1:21" s="11" customFormat="1" x14ac:dyDescent="0.25">
      <c r="A19" s="51" t="s">
        <v>622</v>
      </c>
      <c r="B19" s="52">
        <v>5.9</v>
      </c>
      <c r="C19" s="52">
        <v>8.48</v>
      </c>
      <c r="D19" s="52">
        <v>9.06</v>
      </c>
      <c r="E19" s="52">
        <v>4.33</v>
      </c>
      <c r="F19" s="52">
        <v>2.2200000000000002</v>
      </c>
      <c r="G19" s="52">
        <v>13.63</v>
      </c>
      <c r="H19" s="52">
        <v>1.35</v>
      </c>
      <c r="I19" s="52">
        <v>0.66</v>
      </c>
      <c r="J19" s="52">
        <v>0.28999999999999998</v>
      </c>
      <c r="K19" s="52">
        <v>299.45</v>
      </c>
      <c r="L19" s="52">
        <v>24.49</v>
      </c>
      <c r="M19" s="52">
        <v>97.94</v>
      </c>
      <c r="N19" s="52">
        <v>245.3</v>
      </c>
      <c r="O19" s="52">
        <v>0</v>
      </c>
      <c r="P19" s="52">
        <v>0.27</v>
      </c>
      <c r="Q19" s="52">
        <v>9.51</v>
      </c>
      <c r="R19" s="43"/>
      <c r="S19" s="43"/>
      <c r="T19" s="43"/>
      <c r="U19" s="43"/>
    </row>
    <row r="20" spans="1:21" s="11" customFormat="1" x14ac:dyDescent="0.25">
      <c r="A20" s="51" t="s">
        <v>623</v>
      </c>
      <c r="B20" s="52">
        <v>6.18</v>
      </c>
      <c r="C20" s="52">
        <v>8.61</v>
      </c>
      <c r="D20" s="52">
        <v>9.44</v>
      </c>
      <c r="E20" s="52">
        <v>4.4400000000000004</v>
      </c>
      <c r="F20" s="52">
        <v>2.2200000000000002</v>
      </c>
      <c r="G20" s="52">
        <v>14.39</v>
      </c>
      <c r="H20" s="52">
        <v>2.17</v>
      </c>
      <c r="I20" s="52">
        <v>0.7</v>
      </c>
      <c r="J20" s="52">
        <v>0.26</v>
      </c>
      <c r="K20" s="52">
        <v>289.81</v>
      </c>
      <c r="L20" s="52">
        <v>25.23</v>
      </c>
      <c r="M20" s="52">
        <v>97.93</v>
      </c>
      <c r="N20" s="52">
        <v>350.9</v>
      </c>
      <c r="O20" s="52">
        <v>0</v>
      </c>
      <c r="P20" s="52">
        <v>0.31</v>
      </c>
      <c r="Q20" s="52">
        <v>9.52</v>
      </c>
      <c r="R20" s="43"/>
      <c r="S20" s="43"/>
      <c r="T20" s="43"/>
      <c r="U20" s="43"/>
    </row>
    <row r="21" spans="1:21" s="11" customFormat="1" x14ac:dyDescent="0.25">
      <c r="A21" s="51" t="s">
        <v>624</v>
      </c>
      <c r="B21" s="52">
        <v>7.27</v>
      </c>
      <c r="C21" s="52">
        <v>8.5</v>
      </c>
      <c r="D21" s="52">
        <v>10.07</v>
      </c>
      <c r="E21" s="52">
        <v>4.3099999999999996</v>
      </c>
      <c r="F21" s="52">
        <v>2.2200000000000002</v>
      </c>
      <c r="G21" s="52">
        <v>17.77</v>
      </c>
      <c r="H21" s="52">
        <v>2.58</v>
      </c>
      <c r="I21" s="52">
        <v>0.73</v>
      </c>
      <c r="J21" s="52">
        <v>0.3</v>
      </c>
      <c r="K21" s="52">
        <v>299.41000000000003</v>
      </c>
      <c r="L21" s="52">
        <v>24.99</v>
      </c>
      <c r="M21" s="52">
        <v>97.93</v>
      </c>
      <c r="N21" s="52">
        <v>172.1</v>
      </c>
      <c r="O21" s="52">
        <v>0</v>
      </c>
      <c r="P21" s="52">
        <v>0.34</v>
      </c>
      <c r="Q21" s="52">
        <v>9.51</v>
      </c>
      <c r="R21" s="43"/>
      <c r="S21" s="43"/>
      <c r="T21" s="43"/>
      <c r="U21" s="43"/>
    </row>
    <row r="22" spans="1:21" s="11" customFormat="1" x14ac:dyDescent="0.25">
      <c r="A22" s="51" t="s">
        <v>625</v>
      </c>
      <c r="B22" s="52">
        <v>8.08</v>
      </c>
      <c r="C22" s="52">
        <v>8.6</v>
      </c>
      <c r="D22" s="52">
        <v>10.72</v>
      </c>
      <c r="E22" s="52">
        <v>4.12</v>
      </c>
      <c r="F22" s="52">
        <v>2.17</v>
      </c>
      <c r="G22" s="52">
        <v>21.05</v>
      </c>
      <c r="H22" s="52">
        <v>2.52</v>
      </c>
      <c r="I22" s="52">
        <v>0.8</v>
      </c>
      <c r="J22" s="52">
        <v>0.22</v>
      </c>
      <c r="K22" s="52">
        <v>294.2</v>
      </c>
      <c r="L22" s="52">
        <v>25.12</v>
      </c>
      <c r="M22" s="52">
        <v>97.94</v>
      </c>
      <c r="N22" s="52">
        <v>213.7</v>
      </c>
      <c r="O22" s="52">
        <v>0</v>
      </c>
      <c r="P22" s="52">
        <v>0.33</v>
      </c>
      <c r="Q22" s="52">
        <v>9.5399999999999991</v>
      </c>
      <c r="R22" s="43"/>
      <c r="S22" s="43"/>
      <c r="T22" s="43"/>
      <c r="U22" s="43"/>
    </row>
    <row r="23" spans="1:21" s="11" customFormat="1" x14ac:dyDescent="0.25">
      <c r="A23" s="51" t="s">
        <v>626</v>
      </c>
      <c r="B23" s="52">
        <v>10.15</v>
      </c>
      <c r="C23" s="52">
        <v>8.6199999999999992</v>
      </c>
      <c r="D23" s="52">
        <v>12.64</v>
      </c>
      <c r="E23" s="52">
        <v>4.26</v>
      </c>
      <c r="F23" s="52">
        <v>3.29</v>
      </c>
      <c r="G23" s="52">
        <v>22.92</v>
      </c>
      <c r="H23" s="52">
        <v>2.4</v>
      </c>
      <c r="I23" s="52">
        <v>0.86</v>
      </c>
      <c r="J23" s="52">
        <v>0.23</v>
      </c>
      <c r="K23" s="52">
        <v>298.64</v>
      </c>
      <c r="L23" s="52">
        <v>25.86</v>
      </c>
      <c r="M23" s="52">
        <v>97.88</v>
      </c>
      <c r="N23" s="52">
        <v>230.7</v>
      </c>
      <c r="O23" s="52">
        <v>0</v>
      </c>
      <c r="P23" s="52">
        <v>0.36</v>
      </c>
      <c r="Q23" s="52">
        <v>9.6199999999999992</v>
      </c>
      <c r="R23" s="43"/>
      <c r="S23" s="43"/>
      <c r="T23" s="43"/>
      <c r="U23" s="43"/>
    </row>
    <row r="24" spans="1:21" s="11" customFormat="1" x14ac:dyDescent="0.25">
      <c r="A24" s="51" t="s">
        <v>627</v>
      </c>
      <c r="B24" s="52">
        <v>9.48</v>
      </c>
      <c r="C24" s="52">
        <v>8.9499999999999993</v>
      </c>
      <c r="D24" s="52">
        <v>11.57</v>
      </c>
      <c r="E24" s="52">
        <v>4.5599999999999996</v>
      </c>
      <c r="F24" s="52">
        <v>2.5299999999999998</v>
      </c>
      <c r="G24" s="52">
        <v>25.38</v>
      </c>
      <c r="H24" s="52">
        <v>2.23</v>
      </c>
      <c r="I24" s="52">
        <v>0.92</v>
      </c>
      <c r="J24" s="52">
        <v>0.28000000000000003</v>
      </c>
      <c r="K24" s="52">
        <v>299.11</v>
      </c>
      <c r="L24" s="52">
        <v>25.36</v>
      </c>
      <c r="M24" s="52">
        <v>97.92</v>
      </c>
      <c r="N24" s="52">
        <v>218</v>
      </c>
      <c r="O24" s="52">
        <v>0</v>
      </c>
      <c r="P24" s="52">
        <v>0.35</v>
      </c>
      <c r="Q24" s="52">
        <v>9.6199999999999992</v>
      </c>
      <c r="R24" s="43"/>
      <c r="S24" s="43"/>
      <c r="T24" s="43"/>
      <c r="U24" s="43"/>
    </row>
    <row r="25" spans="1:21" s="11" customFormat="1" x14ac:dyDescent="0.25">
      <c r="A25" s="51" t="s">
        <v>628</v>
      </c>
      <c r="B25" s="52">
        <v>7.67</v>
      </c>
      <c r="C25" s="52">
        <v>9</v>
      </c>
      <c r="D25" s="52">
        <v>10.77</v>
      </c>
      <c r="E25" s="52">
        <v>4.2</v>
      </c>
      <c r="F25" s="52">
        <v>2.93</v>
      </c>
      <c r="G25" s="52">
        <v>26.44</v>
      </c>
      <c r="H25" s="52">
        <v>3.02</v>
      </c>
      <c r="I25" s="52">
        <v>0.87</v>
      </c>
      <c r="J25" s="52">
        <v>0.18</v>
      </c>
      <c r="K25" s="52">
        <v>317.10000000000002</v>
      </c>
      <c r="L25" s="52">
        <v>25.19</v>
      </c>
      <c r="M25" s="52">
        <v>97.93</v>
      </c>
      <c r="N25" s="52">
        <v>144.9</v>
      </c>
      <c r="O25" s="52">
        <v>0</v>
      </c>
      <c r="P25" s="52">
        <v>0.33</v>
      </c>
      <c r="Q25" s="52">
        <v>9.59</v>
      </c>
      <c r="R25" s="43"/>
      <c r="S25" s="43"/>
      <c r="T25" s="43"/>
      <c r="U25" s="43"/>
    </row>
    <row r="26" spans="1:21" s="11" customFormat="1" x14ac:dyDescent="0.25">
      <c r="A26" s="51" t="s">
        <v>629</v>
      </c>
      <c r="B26" s="52">
        <v>8.66</v>
      </c>
      <c r="C26" s="52">
        <v>9.58</v>
      </c>
      <c r="D26" s="52">
        <v>11.95</v>
      </c>
      <c r="E26" s="52">
        <v>3.9</v>
      </c>
      <c r="F26" s="52">
        <v>3.39</v>
      </c>
      <c r="G26" s="52">
        <v>26.98</v>
      </c>
      <c r="H26" s="52">
        <v>3.37</v>
      </c>
      <c r="I26" s="52">
        <v>0.93</v>
      </c>
      <c r="J26" s="52">
        <v>0.17</v>
      </c>
      <c r="K26" s="52">
        <v>330.63</v>
      </c>
      <c r="L26" s="52">
        <v>24.87</v>
      </c>
      <c r="M26" s="52">
        <v>97.96</v>
      </c>
      <c r="N26" s="52">
        <v>101.7</v>
      </c>
      <c r="O26" s="52">
        <v>0</v>
      </c>
      <c r="P26" s="52">
        <v>0.35</v>
      </c>
      <c r="Q26" s="52">
        <v>9.5500000000000007</v>
      </c>
      <c r="R26" s="43"/>
      <c r="S26" s="43"/>
      <c r="T26" s="43"/>
      <c r="U26" s="43"/>
    </row>
    <row r="27" spans="1:21" s="11" customFormat="1" x14ac:dyDescent="0.25">
      <c r="A27" s="51" t="s">
        <v>630</v>
      </c>
      <c r="B27" s="52">
        <v>8.67</v>
      </c>
      <c r="C27" s="52">
        <v>9.83</v>
      </c>
      <c r="D27" s="52">
        <v>11.57</v>
      </c>
      <c r="E27" s="52">
        <v>4.16</v>
      </c>
      <c r="F27" s="52">
        <v>3.5</v>
      </c>
      <c r="G27" s="52">
        <v>27.26</v>
      </c>
      <c r="H27" s="52">
        <v>2.69</v>
      </c>
      <c r="I27" s="52">
        <v>1</v>
      </c>
      <c r="J27" s="52">
        <v>0.2</v>
      </c>
      <c r="K27" s="52">
        <v>331.49</v>
      </c>
      <c r="L27" s="52">
        <v>24.27</v>
      </c>
      <c r="M27" s="52">
        <v>98</v>
      </c>
      <c r="N27" s="52">
        <v>48.8</v>
      </c>
      <c r="O27" s="52">
        <v>0</v>
      </c>
      <c r="P27" s="52">
        <v>0.37</v>
      </c>
      <c r="Q27" s="52">
        <v>9.56</v>
      </c>
      <c r="R27" s="43"/>
      <c r="S27" s="43"/>
      <c r="T27" s="43"/>
      <c r="U27" s="43"/>
    </row>
    <row r="28" spans="1:21" s="11" customFormat="1" x14ac:dyDescent="0.25">
      <c r="A28" s="51" t="s">
        <v>631</v>
      </c>
      <c r="B28" s="52">
        <v>8.7799999999999994</v>
      </c>
      <c r="C28" s="52">
        <v>9.49</v>
      </c>
      <c r="D28" s="52">
        <v>12</v>
      </c>
      <c r="E28" s="52">
        <v>4.18</v>
      </c>
      <c r="F28" s="52">
        <v>3.96</v>
      </c>
      <c r="G28" s="52">
        <v>29.12</v>
      </c>
      <c r="H28" s="52">
        <v>2.76</v>
      </c>
      <c r="I28" s="52">
        <v>1.02</v>
      </c>
      <c r="J28" s="52">
        <v>0.11</v>
      </c>
      <c r="K28" s="52">
        <v>342.2</v>
      </c>
      <c r="L28" s="52">
        <v>23.76</v>
      </c>
      <c r="M28" s="52">
        <v>98.03</v>
      </c>
      <c r="N28" s="52">
        <v>43.7</v>
      </c>
      <c r="O28" s="52">
        <v>0</v>
      </c>
      <c r="P28" s="52">
        <v>0.4</v>
      </c>
      <c r="Q28" s="52">
        <v>9.59</v>
      </c>
      <c r="R28" s="43"/>
      <c r="S28" s="43"/>
      <c r="T28" s="43"/>
      <c r="U28" s="43"/>
    </row>
    <row r="29" spans="1:21" s="11" customFormat="1" x14ac:dyDescent="0.25">
      <c r="A29" s="51" t="s">
        <v>632</v>
      </c>
      <c r="B29" s="52">
        <v>9.2899999999999991</v>
      </c>
      <c r="C29" s="52">
        <v>8.2799999999999994</v>
      </c>
      <c r="D29" s="52">
        <v>11.78</v>
      </c>
      <c r="E29" s="52">
        <v>4.3</v>
      </c>
      <c r="F29" s="52">
        <v>2.97</v>
      </c>
      <c r="G29" s="52">
        <v>34.61</v>
      </c>
      <c r="H29" s="52">
        <v>2.99</v>
      </c>
      <c r="I29" s="52">
        <v>1.05</v>
      </c>
      <c r="J29" s="52">
        <v>0.14000000000000001</v>
      </c>
      <c r="K29" s="52">
        <v>331.74</v>
      </c>
      <c r="L29" s="52">
        <v>23.73</v>
      </c>
      <c r="M29" s="52">
        <v>98.05</v>
      </c>
      <c r="N29" s="52">
        <v>43.7</v>
      </c>
      <c r="O29" s="52">
        <v>0</v>
      </c>
      <c r="P29" s="52">
        <v>0.41</v>
      </c>
      <c r="Q29" s="52">
        <v>9.6</v>
      </c>
      <c r="R29" s="43"/>
      <c r="S29" s="43"/>
      <c r="T29" s="43"/>
      <c r="U29" s="43"/>
    </row>
    <row r="30" spans="1:21" s="11" customFormat="1" x14ac:dyDescent="0.25">
      <c r="A30" s="51" t="s">
        <v>633</v>
      </c>
      <c r="B30" s="52">
        <v>9.56</v>
      </c>
      <c r="C30" s="52">
        <v>7.36</v>
      </c>
      <c r="D30" s="52">
        <v>10.9</v>
      </c>
      <c r="E30" s="52">
        <v>4.16</v>
      </c>
      <c r="F30" s="52">
        <v>2.35</v>
      </c>
      <c r="G30" s="52">
        <v>35.590000000000003</v>
      </c>
      <c r="H30" s="52">
        <v>4.6399999999999997</v>
      </c>
      <c r="I30" s="52">
        <v>1.03</v>
      </c>
      <c r="J30" s="52">
        <v>0.16</v>
      </c>
      <c r="K30" s="52">
        <v>340.29</v>
      </c>
      <c r="L30" s="52">
        <v>23.76</v>
      </c>
      <c r="M30" s="52">
        <v>98.05</v>
      </c>
      <c r="N30" s="52">
        <v>43.7</v>
      </c>
      <c r="O30" s="52">
        <v>0</v>
      </c>
      <c r="P30" s="52">
        <v>0.37</v>
      </c>
      <c r="Q30" s="52">
        <v>9.58</v>
      </c>
      <c r="R30" s="43"/>
      <c r="S30" s="43"/>
      <c r="T30" s="43"/>
      <c r="U30" s="43"/>
    </row>
    <row r="31" spans="1:21" s="11" customFormat="1" x14ac:dyDescent="0.25">
      <c r="A31" s="51" t="s">
        <v>634</v>
      </c>
      <c r="B31" s="52">
        <v>8.5</v>
      </c>
      <c r="C31" s="52">
        <v>7.07</v>
      </c>
      <c r="D31" s="52">
        <v>10.51</v>
      </c>
      <c r="E31" s="52">
        <v>4.3499999999999996</v>
      </c>
      <c r="F31" s="52">
        <v>2.5499999999999998</v>
      </c>
      <c r="G31" s="52">
        <v>36.03</v>
      </c>
      <c r="H31" s="52">
        <v>5.77</v>
      </c>
      <c r="I31" s="52">
        <v>1.08</v>
      </c>
      <c r="J31" s="52">
        <v>0.08</v>
      </c>
      <c r="K31" s="52">
        <v>336.11</v>
      </c>
      <c r="L31" s="52">
        <v>23.53</v>
      </c>
      <c r="M31" s="52">
        <v>98.05</v>
      </c>
      <c r="N31" s="52">
        <v>43.8</v>
      </c>
      <c r="O31" s="52">
        <v>0</v>
      </c>
      <c r="P31" s="52">
        <v>0.35</v>
      </c>
      <c r="Q31" s="52">
        <v>9.58</v>
      </c>
      <c r="R31" s="43"/>
      <c r="S31" s="43"/>
      <c r="T31" s="43"/>
      <c r="U31" s="43"/>
    </row>
    <row r="32" spans="1:21" s="11" customFormat="1" x14ac:dyDescent="0.25">
      <c r="A32" s="51" t="s">
        <v>635</v>
      </c>
      <c r="B32" s="52">
        <v>7.46</v>
      </c>
      <c r="C32" s="52">
        <v>6.86</v>
      </c>
      <c r="D32" s="52">
        <v>9.5399999999999991</v>
      </c>
      <c r="E32" s="52">
        <v>6.27</v>
      </c>
      <c r="F32" s="52">
        <v>4.3600000000000003</v>
      </c>
      <c r="G32" s="52">
        <v>28.39</v>
      </c>
      <c r="H32" s="52">
        <v>5.72</v>
      </c>
      <c r="I32" s="52">
        <v>0.97</v>
      </c>
      <c r="J32" s="52">
        <v>0.08</v>
      </c>
      <c r="K32" s="52">
        <v>323.58999999999997</v>
      </c>
      <c r="L32" s="52">
        <v>23.49</v>
      </c>
      <c r="M32" s="52">
        <v>98.05</v>
      </c>
      <c r="N32" s="52">
        <v>43.8</v>
      </c>
      <c r="O32" s="52">
        <v>0</v>
      </c>
      <c r="P32" s="52">
        <v>0.26</v>
      </c>
      <c r="Q32" s="52">
        <v>9.59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3.8</v>
      </c>
      <c r="C34" s="28">
        <f t="shared" si="0"/>
        <v>6.86</v>
      </c>
      <c r="D34" s="28">
        <f t="shared" si="0"/>
        <v>6.65</v>
      </c>
      <c r="E34" s="28">
        <f t="shared" si="0"/>
        <v>3.9</v>
      </c>
      <c r="F34" s="28">
        <f t="shared" si="0"/>
        <v>2.17</v>
      </c>
      <c r="G34" s="28">
        <f t="shared" si="0"/>
        <v>6.36</v>
      </c>
      <c r="H34" s="28">
        <f t="shared" si="0"/>
        <v>1.18</v>
      </c>
      <c r="I34" s="28">
        <f t="shared" si="0"/>
        <v>0.36</v>
      </c>
      <c r="J34" s="28">
        <f t="shared" si="0"/>
        <v>0.08</v>
      </c>
      <c r="K34" s="28">
        <f t="shared" si="0"/>
        <v>289.81</v>
      </c>
      <c r="L34" s="28">
        <f t="shared" si="0"/>
        <v>22.62</v>
      </c>
      <c r="M34" s="28">
        <f t="shared" si="0"/>
        <v>97.88</v>
      </c>
      <c r="N34" s="28">
        <f t="shared" si="0"/>
        <v>43.1</v>
      </c>
      <c r="O34" s="28">
        <f t="shared" si="0"/>
        <v>0</v>
      </c>
      <c r="P34" s="28">
        <f t="shared" si="0"/>
        <v>0.14000000000000001</v>
      </c>
      <c r="Q34" s="28">
        <f t="shared" si="0"/>
        <v>9.3699999999999992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10.15</v>
      </c>
      <c r="C35" s="29">
        <f t="shared" si="1"/>
        <v>9.83</v>
      </c>
      <c r="D35" s="29">
        <f t="shared" si="1"/>
        <v>12.64</v>
      </c>
      <c r="E35" s="29">
        <f t="shared" si="1"/>
        <v>6.27</v>
      </c>
      <c r="F35" s="29">
        <f t="shared" si="1"/>
        <v>4.3600000000000003</v>
      </c>
      <c r="G35" s="29">
        <f t="shared" si="1"/>
        <v>36.03</v>
      </c>
      <c r="H35" s="29">
        <f t="shared" si="1"/>
        <v>5.77</v>
      </c>
      <c r="I35" s="29">
        <f t="shared" si="1"/>
        <v>1.08</v>
      </c>
      <c r="J35" s="29">
        <f t="shared" si="1"/>
        <v>0.32</v>
      </c>
      <c r="K35" s="29">
        <f t="shared" si="1"/>
        <v>342.2</v>
      </c>
      <c r="L35" s="29">
        <f t="shared" si="1"/>
        <v>25.86</v>
      </c>
      <c r="M35" s="29">
        <f t="shared" si="1"/>
        <v>98.05</v>
      </c>
      <c r="N35" s="29">
        <f t="shared" si="1"/>
        <v>350.9</v>
      </c>
      <c r="O35" s="29">
        <f t="shared" si="1"/>
        <v>0</v>
      </c>
      <c r="P35" s="29">
        <f t="shared" si="1"/>
        <v>0.41</v>
      </c>
      <c r="Q35" s="29">
        <f t="shared" si="1"/>
        <v>9.6199999999999992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6.8783333333333339</v>
      </c>
      <c r="C36" s="28">
        <f t="shared" si="2"/>
        <v>8.0566666666666684</v>
      </c>
      <c r="D36" s="28">
        <f t="shared" si="2"/>
        <v>9.6141666666666641</v>
      </c>
      <c r="E36" s="28">
        <f t="shared" si="2"/>
        <v>4.5895833333333336</v>
      </c>
      <c r="F36" s="28">
        <f t="shared" si="2"/>
        <v>2.7129166666666666</v>
      </c>
      <c r="G36" s="28">
        <f t="shared" si="2"/>
        <v>18.550833333333333</v>
      </c>
      <c r="H36" s="28">
        <f t="shared" si="2"/>
        <v>2.3612499999999996</v>
      </c>
      <c r="I36" s="28">
        <f t="shared" si="2"/>
        <v>0.74083333333333323</v>
      </c>
      <c r="J36" s="28">
        <f t="shared" si="2"/>
        <v>0.22041666666666668</v>
      </c>
      <c r="K36" s="28">
        <f t="shared" si="2"/>
        <v>309.74583333333334</v>
      </c>
      <c r="L36" s="28">
        <f t="shared" si="2"/>
        <v>23.867500000000003</v>
      </c>
      <c r="M36" s="28">
        <f t="shared" si="2"/>
        <v>97.987500000000054</v>
      </c>
      <c r="N36" s="28">
        <f t="shared" si="2"/>
        <v>113.29166666666667</v>
      </c>
      <c r="O36" s="28">
        <f t="shared" si="2"/>
        <v>0</v>
      </c>
      <c r="P36" s="28">
        <f t="shared" si="2"/>
        <v>0.28166666666666662</v>
      </c>
      <c r="Q36" s="28">
        <f t="shared" si="2"/>
        <v>9.5150000000000023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2.0067205924671909</v>
      </c>
      <c r="C37" s="28">
        <f t="shared" ref="C37:Q37" si="3">STDEV(C9:C32)</f>
        <v>0.89628541002955098</v>
      </c>
      <c r="D37" s="28">
        <f t="shared" si="3"/>
        <v>1.8353625791928627</v>
      </c>
      <c r="E37" s="28">
        <f t="shared" si="3"/>
        <v>0.53764768783273176</v>
      </c>
      <c r="F37" s="28">
        <f t="shared" si="3"/>
        <v>0.58966813928917161</v>
      </c>
      <c r="G37" s="28">
        <f t="shared" si="3"/>
        <v>10.271197346343619</v>
      </c>
      <c r="H37" s="28">
        <f t="shared" si="3"/>
        <v>1.380464044537514</v>
      </c>
      <c r="I37" s="28">
        <f t="shared" si="3"/>
        <v>0.23500077088988594</v>
      </c>
      <c r="J37" s="28">
        <f t="shared" si="3"/>
        <v>6.7661508334834794E-2</v>
      </c>
      <c r="K37" s="28">
        <f t="shared" si="3"/>
        <v>16.775240273447174</v>
      </c>
      <c r="L37" s="28">
        <f t="shared" si="3"/>
        <v>1.0279030998147127</v>
      </c>
      <c r="M37" s="28">
        <f t="shared" si="3"/>
        <v>5.2771039488488061E-2</v>
      </c>
      <c r="N37" s="28">
        <f t="shared" si="3"/>
        <v>88.219424641390461</v>
      </c>
      <c r="O37" s="28">
        <f t="shared" si="3"/>
        <v>0</v>
      </c>
      <c r="P37" s="28">
        <f t="shared" si="3"/>
        <v>8.5499385538939737E-2</v>
      </c>
      <c r="Q37" s="28">
        <f t="shared" si="3"/>
        <v>7.4542080324675811E-2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1" t="s">
        <v>636</v>
      </c>
      <c r="B9" s="52">
        <v>6.95</v>
      </c>
      <c r="C9" s="52">
        <v>7.01</v>
      </c>
      <c r="D9" s="52">
        <v>9.14</v>
      </c>
      <c r="E9" s="57" t="s">
        <v>14</v>
      </c>
      <c r="F9" s="52">
        <v>5.39</v>
      </c>
      <c r="G9" s="52">
        <v>23.75</v>
      </c>
      <c r="H9" s="52">
        <v>6.4</v>
      </c>
      <c r="I9" s="52">
        <v>0.86</v>
      </c>
      <c r="J9" s="52">
        <v>0.12</v>
      </c>
      <c r="K9" s="52">
        <v>156.87</v>
      </c>
      <c r="L9" s="52">
        <v>23.23</v>
      </c>
      <c r="M9" s="52">
        <v>98.11</v>
      </c>
      <c r="N9" s="52">
        <v>43.8</v>
      </c>
      <c r="O9" s="52">
        <v>0</v>
      </c>
      <c r="P9" s="52">
        <v>0.22</v>
      </c>
      <c r="Q9" s="52">
        <v>9.59</v>
      </c>
      <c r="R9" s="43"/>
      <c r="S9" s="43"/>
      <c r="T9" s="43"/>
      <c r="U9" s="43"/>
    </row>
    <row r="10" spans="1:21" s="11" customFormat="1" x14ac:dyDescent="0.25">
      <c r="A10" s="51" t="s">
        <v>637</v>
      </c>
      <c r="B10" s="52">
        <v>8.4</v>
      </c>
      <c r="C10" s="52">
        <v>5.81</v>
      </c>
      <c r="D10" s="52">
        <v>9.77</v>
      </c>
      <c r="E10" s="57" t="s">
        <v>14</v>
      </c>
      <c r="F10" s="52">
        <v>5.68</v>
      </c>
      <c r="G10" s="52">
        <v>23.21</v>
      </c>
      <c r="H10" s="52">
        <v>4.68</v>
      </c>
      <c r="I10" s="52">
        <v>0.84</v>
      </c>
      <c r="J10" s="52">
        <v>0.04</v>
      </c>
      <c r="K10" s="52">
        <v>306.24</v>
      </c>
      <c r="L10" s="52">
        <v>23.03</v>
      </c>
      <c r="M10" s="52">
        <v>98.1</v>
      </c>
      <c r="N10" s="52">
        <v>43.7</v>
      </c>
      <c r="O10" s="52">
        <v>0</v>
      </c>
      <c r="P10" s="52">
        <v>0.26</v>
      </c>
      <c r="Q10" s="52">
        <v>9.58</v>
      </c>
      <c r="R10" s="43"/>
      <c r="S10" s="43"/>
      <c r="T10" s="43"/>
      <c r="U10" s="43"/>
    </row>
    <row r="11" spans="1:21" s="11" customFormat="1" x14ac:dyDescent="0.25">
      <c r="A11" s="51" t="s">
        <v>638</v>
      </c>
      <c r="B11" s="52">
        <v>8.32</v>
      </c>
      <c r="C11" s="52">
        <v>5.64</v>
      </c>
      <c r="D11" s="52">
        <v>9.56</v>
      </c>
      <c r="E11" s="57" t="s">
        <v>14</v>
      </c>
      <c r="F11" s="52">
        <v>3.41</v>
      </c>
      <c r="G11" s="52">
        <v>18.57</v>
      </c>
      <c r="H11" s="52">
        <v>5.07</v>
      </c>
      <c r="I11" s="52">
        <v>0.81</v>
      </c>
      <c r="J11" s="52">
        <v>0.09</v>
      </c>
      <c r="K11" s="52">
        <v>323.74</v>
      </c>
      <c r="L11" s="52">
        <v>23.03</v>
      </c>
      <c r="M11" s="52">
        <v>98.1</v>
      </c>
      <c r="N11" s="52">
        <v>43.8</v>
      </c>
      <c r="O11" s="52">
        <v>0</v>
      </c>
      <c r="P11" s="52">
        <v>0.26</v>
      </c>
      <c r="Q11" s="52">
        <v>9.56</v>
      </c>
      <c r="R11" s="43"/>
      <c r="S11" s="43"/>
      <c r="T11" s="43"/>
      <c r="U11" s="43"/>
    </row>
    <row r="12" spans="1:21" s="11" customFormat="1" x14ac:dyDescent="0.25">
      <c r="A12" s="51" t="s">
        <v>639</v>
      </c>
      <c r="B12" s="52">
        <v>8.5500000000000007</v>
      </c>
      <c r="C12" s="52">
        <v>6.43</v>
      </c>
      <c r="D12" s="52">
        <v>9.83</v>
      </c>
      <c r="E12" s="57" t="s">
        <v>14</v>
      </c>
      <c r="F12" s="52">
        <v>3.09</v>
      </c>
      <c r="G12" s="52">
        <v>16.89</v>
      </c>
      <c r="H12" s="52">
        <v>5.65</v>
      </c>
      <c r="I12" s="52">
        <v>0.8</v>
      </c>
      <c r="J12" s="52">
        <v>0.14000000000000001</v>
      </c>
      <c r="K12" s="52">
        <v>308.89999999999998</v>
      </c>
      <c r="L12" s="52">
        <v>23.14</v>
      </c>
      <c r="M12" s="52">
        <v>98.1</v>
      </c>
      <c r="N12" s="52">
        <v>43.8</v>
      </c>
      <c r="O12" s="52">
        <v>0</v>
      </c>
      <c r="P12" s="52">
        <v>0.24</v>
      </c>
      <c r="Q12" s="52">
        <v>9.56</v>
      </c>
      <c r="R12" s="43"/>
      <c r="S12" s="43"/>
      <c r="T12" s="43"/>
      <c r="U12" s="43"/>
    </row>
    <row r="13" spans="1:21" s="11" customFormat="1" x14ac:dyDescent="0.25">
      <c r="A13" s="51" t="s">
        <v>640</v>
      </c>
      <c r="B13" s="52">
        <v>7.63</v>
      </c>
      <c r="C13" s="52">
        <v>6.84</v>
      </c>
      <c r="D13" s="52">
        <v>9.59</v>
      </c>
      <c r="E13" s="57" t="s">
        <v>14</v>
      </c>
      <c r="F13" s="52">
        <v>2.8</v>
      </c>
      <c r="G13" s="52">
        <v>18.39</v>
      </c>
      <c r="H13" s="52">
        <v>4.53</v>
      </c>
      <c r="I13" s="52">
        <v>0.75</v>
      </c>
      <c r="J13" s="52">
        <v>0.18</v>
      </c>
      <c r="K13" s="52">
        <v>302.91000000000003</v>
      </c>
      <c r="L13" s="52">
        <v>23.1</v>
      </c>
      <c r="M13" s="52">
        <v>98.1</v>
      </c>
      <c r="N13" s="52">
        <v>43.8</v>
      </c>
      <c r="O13" s="52">
        <v>0</v>
      </c>
      <c r="P13" s="52">
        <v>0.21</v>
      </c>
      <c r="Q13" s="52">
        <v>9.5500000000000007</v>
      </c>
      <c r="R13" s="43"/>
      <c r="S13" s="43"/>
      <c r="T13" s="43"/>
      <c r="U13" s="43"/>
    </row>
    <row r="14" spans="1:21" s="11" customFormat="1" x14ac:dyDescent="0.25">
      <c r="A14" s="51" t="s">
        <v>641</v>
      </c>
      <c r="B14" s="52">
        <v>6.98</v>
      </c>
      <c r="C14" s="52">
        <v>7.33</v>
      </c>
      <c r="D14" s="52">
        <v>9.43</v>
      </c>
      <c r="E14" s="57" t="s">
        <v>14</v>
      </c>
      <c r="F14" s="52">
        <v>3.51</v>
      </c>
      <c r="G14" s="52">
        <v>18.59</v>
      </c>
      <c r="H14" s="52">
        <v>3.84</v>
      </c>
      <c r="I14" s="52">
        <v>0.69</v>
      </c>
      <c r="J14" s="52">
        <v>0.11</v>
      </c>
      <c r="K14" s="52">
        <v>301.5</v>
      </c>
      <c r="L14" s="52">
        <v>22.85</v>
      </c>
      <c r="M14" s="52">
        <v>98.13</v>
      </c>
      <c r="N14" s="52">
        <v>47.8</v>
      </c>
      <c r="O14" s="52">
        <v>0</v>
      </c>
      <c r="P14" s="52">
        <v>0.2</v>
      </c>
      <c r="Q14" s="52">
        <v>9.5299999999999994</v>
      </c>
      <c r="R14" s="43"/>
      <c r="S14" s="43"/>
      <c r="T14" s="43"/>
      <c r="U14" s="43"/>
    </row>
    <row r="15" spans="1:21" s="11" customFormat="1" x14ac:dyDescent="0.25">
      <c r="A15" s="51" t="s">
        <v>642</v>
      </c>
      <c r="B15" s="52">
        <v>7.41</v>
      </c>
      <c r="C15" s="52">
        <v>6.52</v>
      </c>
      <c r="D15" s="52">
        <v>9.35</v>
      </c>
      <c r="E15" s="57" t="s">
        <v>14</v>
      </c>
      <c r="F15" s="52">
        <v>2.67</v>
      </c>
      <c r="G15" s="52">
        <v>15.58</v>
      </c>
      <c r="H15" s="52">
        <v>4.7300000000000004</v>
      </c>
      <c r="I15" s="52">
        <v>0.64</v>
      </c>
      <c r="J15" s="52">
        <v>0.12</v>
      </c>
      <c r="K15" s="52">
        <v>299.82</v>
      </c>
      <c r="L15" s="52">
        <v>23.05</v>
      </c>
      <c r="M15" s="52">
        <v>98.13</v>
      </c>
      <c r="N15" s="52">
        <v>83.3</v>
      </c>
      <c r="O15" s="52">
        <v>0</v>
      </c>
      <c r="P15" s="52">
        <v>0.2</v>
      </c>
      <c r="Q15" s="52">
        <v>9.5</v>
      </c>
      <c r="R15" s="43"/>
      <c r="S15" s="43"/>
      <c r="T15" s="43"/>
      <c r="U15" s="43"/>
    </row>
    <row r="16" spans="1:21" s="11" customFormat="1" x14ac:dyDescent="0.25">
      <c r="A16" s="51" t="s">
        <v>643</v>
      </c>
      <c r="B16" s="52">
        <v>7.72</v>
      </c>
      <c r="C16" s="52">
        <v>6.86</v>
      </c>
      <c r="D16" s="52">
        <v>9.77</v>
      </c>
      <c r="E16" s="57" t="s">
        <v>14</v>
      </c>
      <c r="F16" s="52">
        <v>2.6</v>
      </c>
      <c r="G16" s="52">
        <v>16.57</v>
      </c>
      <c r="H16" s="52">
        <v>5.42</v>
      </c>
      <c r="I16" s="52">
        <v>0.69</v>
      </c>
      <c r="J16" s="52">
        <v>0.16</v>
      </c>
      <c r="K16" s="52">
        <v>308.82</v>
      </c>
      <c r="L16" s="52">
        <v>24</v>
      </c>
      <c r="M16" s="52">
        <v>98.12</v>
      </c>
      <c r="N16" s="52">
        <v>220.2</v>
      </c>
      <c r="O16" s="52">
        <v>0</v>
      </c>
      <c r="P16" s="52">
        <v>0.21</v>
      </c>
      <c r="Q16" s="52">
        <v>9.5299999999999994</v>
      </c>
      <c r="R16" s="43"/>
      <c r="S16" s="43"/>
      <c r="T16" s="43"/>
      <c r="U16" s="43"/>
    </row>
    <row r="17" spans="1:21" s="11" customFormat="1" x14ac:dyDescent="0.25">
      <c r="A17" s="51" t="s">
        <v>644</v>
      </c>
      <c r="B17" s="52">
        <v>7.93</v>
      </c>
      <c r="C17" s="52">
        <v>8.58</v>
      </c>
      <c r="D17" s="52">
        <v>10.81</v>
      </c>
      <c r="E17" s="57" t="s">
        <v>14</v>
      </c>
      <c r="F17" s="52">
        <v>2.2000000000000002</v>
      </c>
      <c r="G17" s="52">
        <v>25.65</v>
      </c>
      <c r="H17" s="52">
        <v>4.5</v>
      </c>
      <c r="I17" s="52">
        <v>0.76</v>
      </c>
      <c r="J17" s="52">
        <v>0.28000000000000003</v>
      </c>
      <c r="K17" s="52">
        <v>302.75</v>
      </c>
      <c r="L17" s="52">
        <v>27.41</v>
      </c>
      <c r="M17" s="52">
        <v>98.01</v>
      </c>
      <c r="N17" s="52">
        <v>550.5</v>
      </c>
      <c r="O17" s="52">
        <v>0</v>
      </c>
      <c r="P17" s="52">
        <v>0.24</v>
      </c>
      <c r="Q17" s="52">
        <v>9.57</v>
      </c>
      <c r="R17" s="43"/>
      <c r="S17" s="43"/>
      <c r="T17" s="43"/>
      <c r="U17" s="43"/>
    </row>
    <row r="18" spans="1:21" s="11" customFormat="1" x14ac:dyDescent="0.25">
      <c r="A18" s="51" t="s">
        <v>645</v>
      </c>
      <c r="B18" s="52">
        <v>7.94</v>
      </c>
      <c r="C18" s="52">
        <v>8.75</v>
      </c>
      <c r="D18" s="52">
        <v>10.7</v>
      </c>
      <c r="E18" s="57" t="s">
        <v>14</v>
      </c>
      <c r="F18" s="52">
        <v>2.5499999999999998</v>
      </c>
      <c r="G18" s="52">
        <v>32.82</v>
      </c>
      <c r="H18" s="52">
        <v>6.27</v>
      </c>
      <c r="I18" s="52">
        <v>0.88</v>
      </c>
      <c r="J18" s="52">
        <v>0.27</v>
      </c>
      <c r="K18" s="52">
        <v>299.89</v>
      </c>
      <c r="L18" s="52">
        <v>27.66</v>
      </c>
      <c r="M18" s="52">
        <v>91.11</v>
      </c>
      <c r="N18" s="52">
        <v>662.4</v>
      </c>
      <c r="O18" s="52">
        <v>0</v>
      </c>
      <c r="P18" s="52">
        <v>0.3</v>
      </c>
      <c r="Q18" s="52">
        <v>9.58</v>
      </c>
      <c r="R18" s="43"/>
      <c r="S18" s="43"/>
      <c r="T18" s="43"/>
      <c r="U18" s="43"/>
    </row>
    <row r="19" spans="1:21" s="11" customFormat="1" x14ac:dyDescent="0.25">
      <c r="A19" s="51" t="s">
        <v>646</v>
      </c>
      <c r="B19" s="52">
        <v>8.02</v>
      </c>
      <c r="C19" s="52">
        <v>9.6</v>
      </c>
      <c r="D19" s="52">
        <v>11.35</v>
      </c>
      <c r="E19" s="52">
        <v>4.3600000000000003</v>
      </c>
      <c r="F19" s="52">
        <v>2.2999999999999998</v>
      </c>
      <c r="G19" s="52">
        <v>38.869999999999997</v>
      </c>
      <c r="H19" s="52">
        <v>7.75</v>
      </c>
      <c r="I19" s="52">
        <v>1.04</v>
      </c>
      <c r="J19" s="52">
        <v>0.31</v>
      </c>
      <c r="K19" s="52">
        <v>305.41000000000003</v>
      </c>
      <c r="L19" s="52">
        <v>27.85</v>
      </c>
      <c r="M19" s="52">
        <v>89.98</v>
      </c>
      <c r="N19" s="52">
        <v>596.4</v>
      </c>
      <c r="O19" s="52">
        <v>0</v>
      </c>
      <c r="P19" s="52">
        <v>0.39</v>
      </c>
      <c r="Q19" s="52">
        <v>9.57</v>
      </c>
      <c r="R19" s="43"/>
      <c r="S19" s="43"/>
      <c r="T19" s="43"/>
      <c r="U19" s="43"/>
    </row>
    <row r="20" spans="1:21" s="11" customFormat="1" x14ac:dyDescent="0.25">
      <c r="A20" s="51" t="s">
        <v>647</v>
      </c>
      <c r="B20" s="52">
        <v>8.02</v>
      </c>
      <c r="C20" s="52">
        <v>12.29</v>
      </c>
      <c r="D20" s="52">
        <v>12.06</v>
      </c>
      <c r="E20" s="52">
        <v>4.3899999999999997</v>
      </c>
      <c r="F20" s="52">
        <v>3.15</v>
      </c>
      <c r="G20" s="52">
        <v>41.23</v>
      </c>
      <c r="H20" s="52">
        <v>5.71</v>
      </c>
      <c r="I20" s="52">
        <v>1.62</v>
      </c>
      <c r="J20" s="52">
        <v>0.28999999999999998</v>
      </c>
      <c r="K20" s="52">
        <v>297.77</v>
      </c>
      <c r="L20" s="52">
        <v>27.3</v>
      </c>
      <c r="M20" s="52">
        <v>90.59</v>
      </c>
      <c r="N20" s="52">
        <v>376.5</v>
      </c>
      <c r="O20" s="52">
        <v>0</v>
      </c>
      <c r="P20" s="52">
        <v>0.43</v>
      </c>
      <c r="Q20" s="52">
        <v>9.56</v>
      </c>
      <c r="R20" s="43"/>
      <c r="S20" s="43"/>
      <c r="T20" s="43"/>
      <c r="U20" s="43"/>
    </row>
    <row r="21" spans="1:21" s="11" customFormat="1" x14ac:dyDescent="0.25">
      <c r="A21" s="51" t="s">
        <v>648</v>
      </c>
      <c r="B21" s="52">
        <v>8.57</v>
      </c>
      <c r="C21" s="52">
        <v>13.42</v>
      </c>
      <c r="D21" s="52">
        <v>13.88</v>
      </c>
      <c r="E21" s="52">
        <v>4.3499999999999996</v>
      </c>
      <c r="F21" s="52">
        <v>3.66</v>
      </c>
      <c r="G21" s="52">
        <v>46.42</v>
      </c>
      <c r="H21" s="52">
        <v>9.42</v>
      </c>
      <c r="I21" s="52">
        <v>1.64</v>
      </c>
      <c r="J21" s="52">
        <v>0.31</v>
      </c>
      <c r="K21" s="52">
        <v>302.56</v>
      </c>
      <c r="L21" s="52">
        <v>27.21</v>
      </c>
      <c r="M21" s="52">
        <v>92.58</v>
      </c>
      <c r="N21" s="52">
        <v>406.6</v>
      </c>
      <c r="O21" s="52">
        <v>0</v>
      </c>
      <c r="P21" s="52">
        <v>0.5</v>
      </c>
      <c r="Q21" s="52">
        <v>9.56</v>
      </c>
      <c r="R21" s="43"/>
      <c r="S21" s="43"/>
      <c r="T21" s="43"/>
      <c r="U21" s="43"/>
    </row>
    <row r="22" spans="1:21" s="11" customFormat="1" x14ac:dyDescent="0.25">
      <c r="A22" s="51" t="s">
        <v>649</v>
      </c>
      <c r="B22" s="52">
        <v>8.2200000000000006</v>
      </c>
      <c r="C22" s="52">
        <v>13.6</v>
      </c>
      <c r="D22" s="52">
        <v>13.39</v>
      </c>
      <c r="E22" s="52">
        <v>4.3099999999999996</v>
      </c>
      <c r="F22" s="52">
        <v>2.73</v>
      </c>
      <c r="G22" s="52">
        <v>53.67</v>
      </c>
      <c r="H22" s="52">
        <v>11.96</v>
      </c>
      <c r="I22" s="52">
        <v>2.2799999999999998</v>
      </c>
      <c r="J22" s="52">
        <v>0.24</v>
      </c>
      <c r="K22" s="52">
        <v>296.75</v>
      </c>
      <c r="L22" s="52">
        <v>27.36</v>
      </c>
      <c r="M22" s="52">
        <v>91.62</v>
      </c>
      <c r="N22" s="52">
        <v>388.7</v>
      </c>
      <c r="O22" s="52">
        <v>0</v>
      </c>
      <c r="P22" s="52">
        <v>0.49</v>
      </c>
      <c r="Q22" s="52">
        <v>9.58</v>
      </c>
      <c r="R22" s="43"/>
      <c r="S22" s="43"/>
      <c r="T22" s="43"/>
      <c r="U22" s="43"/>
    </row>
    <row r="23" spans="1:21" s="11" customFormat="1" x14ac:dyDescent="0.25">
      <c r="A23" s="51" t="s">
        <v>650</v>
      </c>
      <c r="B23" s="52">
        <v>10.47</v>
      </c>
      <c r="C23" s="52">
        <v>11.92</v>
      </c>
      <c r="D23" s="52">
        <v>13.86</v>
      </c>
      <c r="E23" s="52">
        <v>4.5999999999999996</v>
      </c>
      <c r="F23" s="52">
        <v>3.26</v>
      </c>
      <c r="G23" s="52">
        <v>54.54</v>
      </c>
      <c r="H23" s="52">
        <v>10.220000000000001</v>
      </c>
      <c r="I23" s="52">
        <v>2.15</v>
      </c>
      <c r="J23" s="52">
        <v>0.24</v>
      </c>
      <c r="K23" s="52">
        <v>309.69</v>
      </c>
      <c r="L23" s="52">
        <v>27.35</v>
      </c>
      <c r="M23" s="52">
        <v>93.57</v>
      </c>
      <c r="N23" s="52">
        <v>202.6</v>
      </c>
      <c r="O23" s="52">
        <v>0</v>
      </c>
      <c r="P23" s="52">
        <v>0.55000000000000004</v>
      </c>
      <c r="Q23" s="52">
        <v>9.61</v>
      </c>
      <c r="R23" s="43"/>
      <c r="S23" s="43"/>
      <c r="T23" s="43"/>
      <c r="U23" s="43"/>
    </row>
    <row r="24" spans="1:21" s="11" customFormat="1" x14ac:dyDescent="0.25">
      <c r="A24" s="51" t="s">
        <v>651</v>
      </c>
      <c r="B24" s="52">
        <v>10.19</v>
      </c>
      <c r="C24" s="52">
        <v>10.87</v>
      </c>
      <c r="D24" s="52">
        <v>13.73</v>
      </c>
      <c r="E24" s="52">
        <v>4.66</v>
      </c>
      <c r="F24" s="52">
        <v>2.72</v>
      </c>
      <c r="G24" s="52">
        <v>55.64</v>
      </c>
      <c r="H24" s="52">
        <v>11.55</v>
      </c>
      <c r="I24" s="52">
        <v>2.11</v>
      </c>
      <c r="J24" s="52">
        <v>0.24</v>
      </c>
      <c r="K24" s="52">
        <v>307.43</v>
      </c>
      <c r="L24" s="52">
        <v>27.12</v>
      </c>
      <c r="M24" s="52">
        <v>97.98</v>
      </c>
      <c r="N24" s="52">
        <v>206.8</v>
      </c>
      <c r="O24" s="52">
        <v>0</v>
      </c>
      <c r="P24" s="52">
        <v>0.53</v>
      </c>
      <c r="Q24" s="52">
        <v>9.61</v>
      </c>
      <c r="R24" s="43"/>
      <c r="S24" s="43"/>
      <c r="T24" s="43"/>
      <c r="U24" s="43"/>
    </row>
    <row r="25" spans="1:21" s="11" customFormat="1" x14ac:dyDescent="0.25">
      <c r="A25" s="51" t="s">
        <v>652</v>
      </c>
      <c r="B25" s="52">
        <v>8.67</v>
      </c>
      <c r="C25" s="52">
        <v>9.18</v>
      </c>
      <c r="D25" s="52">
        <v>11.59</v>
      </c>
      <c r="E25" s="52">
        <v>4.5599999999999996</v>
      </c>
      <c r="F25" s="52">
        <v>3.05</v>
      </c>
      <c r="G25" s="52">
        <v>54.58</v>
      </c>
      <c r="H25" s="52">
        <v>11.9</v>
      </c>
      <c r="I25" s="52">
        <v>1.76</v>
      </c>
      <c r="J25" s="52">
        <v>0.16</v>
      </c>
      <c r="K25" s="52">
        <v>303.98</v>
      </c>
      <c r="L25" s="52">
        <v>25.38</v>
      </c>
      <c r="M25" s="52">
        <v>98.03</v>
      </c>
      <c r="N25" s="52">
        <v>137.1</v>
      </c>
      <c r="O25" s="52">
        <v>0</v>
      </c>
      <c r="P25" s="52">
        <v>0.48</v>
      </c>
      <c r="Q25" s="52">
        <v>9.6</v>
      </c>
      <c r="R25" s="43"/>
      <c r="S25" s="43"/>
      <c r="T25" s="43"/>
      <c r="U25" s="43"/>
    </row>
    <row r="26" spans="1:21" s="11" customFormat="1" x14ac:dyDescent="0.25">
      <c r="A26" s="51" t="s">
        <v>653</v>
      </c>
      <c r="B26" s="52">
        <v>10.85</v>
      </c>
      <c r="C26" s="52">
        <v>9.98</v>
      </c>
      <c r="D26" s="52">
        <v>13.92</v>
      </c>
      <c r="E26" s="52">
        <v>4.57</v>
      </c>
      <c r="F26" s="52">
        <v>4.08</v>
      </c>
      <c r="G26" s="52">
        <v>50.81</v>
      </c>
      <c r="H26" s="52">
        <v>8.9600000000000009</v>
      </c>
      <c r="I26" s="52">
        <v>1.55</v>
      </c>
      <c r="J26" s="52">
        <v>0.14000000000000001</v>
      </c>
      <c r="K26" s="52">
        <v>315.36</v>
      </c>
      <c r="L26" s="52">
        <v>25.56</v>
      </c>
      <c r="M26" s="52">
        <v>98.01</v>
      </c>
      <c r="N26" s="52">
        <v>96.4</v>
      </c>
      <c r="O26" s="52">
        <v>0</v>
      </c>
      <c r="P26" s="52">
        <v>0.46</v>
      </c>
      <c r="Q26" s="52">
        <v>9.6</v>
      </c>
      <c r="R26" s="43"/>
      <c r="S26" s="43"/>
      <c r="T26" s="43"/>
      <c r="U26" s="43"/>
    </row>
    <row r="27" spans="1:21" s="11" customFormat="1" x14ac:dyDescent="0.25">
      <c r="A27" s="51" t="s">
        <v>654</v>
      </c>
      <c r="B27" s="52">
        <v>9.89</v>
      </c>
      <c r="C27" s="52">
        <v>11.72</v>
      </c>
      <c r="D27" s="52">
        <v>13.98</v>
      </c>
      <c r="E27" s="52">
        <v>4.79</v>
      </c>
      <c r="F27" s="52">
        <v>4.3600000000000003</v>
      </c>
      <c r="G27" s="52">
        <v>52.07</v>
      </c>
      <c r="H27" s="52">
        <v>7.06</v>
      </c>
      <c r="I27" s="52">
        <v>1.46</v>
      </c>
      <c r="J27" s="52">
        <v>0.1</v>
      </c>
      <c r="K27" s="52">
        <v>330.93</v>
      </c>
      <c r="L27" s="52">
        <v>25.05</v>
      </c>
      <c r="M27" s="52">
        <v>98.03</v>
      </c>
      <c r="N27" s="52">
        <v>47.8</v>
      </c>
      <c r="O27" s="52">
        <v>0</v>
      </c>
      <c r="P27" s="52">
        <v>0.51</v>
      </c>
      <c r="Q27" s="52">
        <v>9.6199999999999992</v>
      </c>
      <c r="R27" s="43"/>
      <c r="S27" s="43"/>
      <c r="T27" s="43"/>
      <c r="U27" s="43"/>
    </row>
    <row r="28" spans="1:21" s="11" customFormat="1" x14ac:dyDescent="0.25">
      <c r="A28" s="51" t="s">
        <v>655</v>
      </c>
      <c r="B28" s="52">
        <v>12.03</v>
      </c>
      <c r="C28" s="52">
        <v>11.23</v>
      </c>
      <c r="D28" s="52">
        <v>15.52</v>
      </c>
      <c r="E28" s="52">
        <v>4.7300000000000004</v>
      </c>
      <c r="F28" s="52">
        <v>5.58</v>
      </c>
      <c r="G28" s="52">
        <v>52.48</v>
      </c>
      <c r="H28" s="52">
        <v>5.73</v>
      </c>
      <c r="I28" s="52">
        <v>1.55</v>
      </c>
      <c r="J28" s="52">
        <v>0.09</v>
      </c>
      <c r="K28" s="52">
        <v>284</v>
      </c>
      <c r="L28" s="52">
        <v>24.54</v>
      </c>
      <c r="M28" s="52">
        <v>98.08</v>
      </c>
      <c r="N28" s="52">
        <v>40</v>
      </c>
      <c r="O28" s="52">
        <v>0</v>
      </c>
      <c r="P28" s="52">
        <v>0.56000000000000005</v>
      </c>
      <c r="Q28" s="52">
        <v>9.6199999999999992</v>
      </c>
      <c r="R28" s="43"/>
      <c r="S28" s="43"/>
      <c r="T28" s="43"/>
      <c r="U28" s="43"/>
    </row>
    <row r="29" spans="1:21" s="11" customFormat="1" x14ac:dyDescent="0.25">
      <c r="A29" s="51" t="s">
        <v>656</v>
      </c>
      <c r="B29" s="52">
        <v>13.02</v>
      </c>
      <c r="C29" s="52">
        <v>10.16</v>
      </c>
      <c r="D29" s="52">
        <v>14.98</v>
      </c>
      <c r="E29" s="52">
        <v>4.63</v>
      </c>
      <c r="F29" s="52">
        <v>4.6100000000000003</v>
      </c>
      <c r="G29" s="52">
        <v>49.12</v>
      </c>
      <c r="H29" s="52">
        <v>5.26</v>
      </c>
      <c r="I29" s="52">
        <v>1.48</v>
      </c>
      <c r="J29" s="52">
        <v>0.18</v>
      </c>
      <c r="K29" s="52">
        <v>299.77</v>
      </c>
      <c r="L29" s="52">
        <v>24.18</v>
      </c>
      <c r="M29" s="52">
        <v>98.1</v>
      </c>
      <c r="N29" s="52">
        <v>39.9</v>
      </c>
      <c r="O29" s="52">
        <v>0</v>
      </c>
      <c r="P29" s="52">
        <v>0.51</v>
      </c>
      <c r="Q29" s="52">
        <v>9.6300000000000008</v>
      </c>
      <c r="R29" s="43"/>
      <c r="S29" s="43"/>
      <c r="T29" s="43"/>
      <c r="U29" s="43"/>
    </row>
    <row r="30" spans="1:21" s="11" customFormat="1" x14ac:dyDescent="0.25">
      <c r="A30" s="51" t="s">
        <v>657</v>
      </c>
      <c r="B30" s="52">
        <v>13.43</v>
      </c>
      <c r="C30" s="52">
        <v>10.220000000000001</v>
      </c>
      <c r="D30" s="52">
        <v>15.65</v>
      </c>
      <c r="E30" s="52">
        <v>4.8600000000000003</v>
      </c>
      <c r="F30" s="52">
        <v>4.8099999999999996</v>
      </c>
      <c r="G30" s="52">
        <v>49.79</v>
      </c>
      <c r="H30" s="52">
        <v>5.53</v>
      </c>
      <c r="I30" s="52">
        <v>1.45</v>
      </c>
      <c r="J30" s="52">
        <v>0.06</v>
      </c>
      <c r="K30" s="52">
        <v>311.05</v>
      </c>
      <c r="L30" s="52">
        <v>23.97</v>
      </c>
      <c r="M30" s="52">
        <v>98.12</v>
      </c>
      <c r="N30" s="52">
        <v>39.799999999999997</v>
      </c>
      <c r="O30" s="52">
        <v>0</v>
      </c>
      <c r="P30" s="52">
        <v>0.54</v>
      </c>
      <c r="Q30" s="52">
        <v>9.6300000000000008</v>
      </c>
      <c r="R30" s="43"/>
      <c r="S30" s="43"/>
      <c r="T30" s="43"/>
      <c r="U30" s="43"/>
    </row>
    <row r="31" spans="1:21" s="11" customFormat="1" x14ac:dyDescent="0.25">
      <c r="A31" s="51" t="s">
        <v>658</v>
      </c>
      <c r="B31" s="52">
        <v>12.57</v>
      </c>
      <c r="C31" s="52">
        <v>9.85</v>
      </c>
      <c r="D31" s="52">
        <v>15.23</v>
      </c>
      <c r="E31" s="52">
        <v>4.82</v>
      </c>
      <c r="F31" s="52">
        <v>4.13</v>
      </c>
      <c r="G31" s="52">
        <v>50.85</v>
      </c>
      <c r="H31" s="52">
        <v>6.37</v>
      </c>
      <c r="I31" s="52">
        <v>1.44</v>
      </c>
      <c r="J31" s="52">
        <v>7.0000000000000007E-2</v>
      </c>
      <c r="K31" s="52">
        <v>314.73</v>
      </c>
      <c r="L31" s="52">
        <v>23.69</v>
      </c>
      <c r="M31" s="52">
        <v>98.13</v>
      </c>
      <c r="N31" s="52">
        <v>39.700000000000003</v>
      </c>
      <c r="O31" s="52">
        <v>0</v>
      </c>
      <c r="P31" s="52">
        <v>0.5</v>
      </c>
      <c r="Q31" s="52">
        <v>9.64</v>
      </c>
      <c r="R31" s="43"/>
      <c r="S31" s="43"/>
      <c r="T31" s="43"/>
      <c r="U31" s="43"/>
    </row>
    <row r="32" spans="1:21" s="11" customFormat="1" x14ac:dyDescent="0.25">
      <c r="A32" s="51" t="s">
        <v>659</v>
      </c>
      <c r="B32" s="52">
        <v>12.93</v>
      </c>
      <c r="C32" s="52">
        <v>7.91</v>
      </c>
      <c r="D32" s="52">
        <v>13.51</v>
      </c>
      <c r="E32" s="52">
        <v>4.97</v>
      </c>
      <c r="F32" s="52">
        <v>4.24</v>
      </c>
      <c r="G32" s="52">
        <v>49.68</v>
      </c>
      <c r="H32" s="52">
        <v>4.88</v>
      </c>
      <c r="I32" s="52">
        <v>1.52</v>
      </c>
      <c r="J32" s="52">
        <v>7.0000000000000007E-2</v>
      </c>
      <c r="K32" s="52">
        <v>322.49</v>
      </c>
      <c r="L32" s="52">
        <v>23.4</v>
      </c>
      <c r="M32" s="52">
        <v>98.14</v>
      </c>
      <c r="N32" s="52">
        <v>39.6</v>
      </c>
      <c r="O32" s="52">
        <v>0</v>
      </c>
      <c r="P32" s="52">
        <v>0.49</v>
      </c>
      <c r="Q32" s="52">
        <v>9.64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6.95</v>
      </c>
      <c r="C34" s="28">
        <f t="shared" si="0"/>
        <v>5.64</v>
      </c>
      <c r="D34" s="28">
        <f t="shared" si="0"/>
        <v>9.14</v>
      </c>
      <c r="E34" s="28">
        <f t="shared" si="0"/>
        <v>4.3099999999999996</v>
      </c>
      <c r="F34" s="28">
        <f t="shared" si="0"/>
        <v>2.2000000000000002</v>
      </c>
      <c r="G34" s="28">
        <f t="shared" si="0"/>
        <v>15.58</v>
      </c>
      <c r="H34" s="28">
        <f t="shared" si="0"/>
        <v>3.84</v>
      </c>
      <c r="I34" s="28">
        <f t="shared" si="0"/>
        <v>0.64</v>
      </c>
      <c r="J34" s="28">
        <f t="shared" si="0"/>
        <v>0.04</v>
      </c>
      <c r="K34" s="28">
        <f t="shared" si="0"/>
        <v>156.87</v>
      </c>
      <c r="L34" s="28">
        <f t="shared" si="0"/>
        <v>22.85</v>
      </c>
      <c r="M34" s="28">
        <f t="shared" si="0"/>
        <v>89.98</v>
      </c>
      <c r="N34" s="28">
        <f t="shared" si="0"/>
        <v>39.6</v>
      </c>
      <c r="O34" s="28">
        <f t="shared" si="0"/>
        <v>0</v>
      </c>
      <c r="P34" s="28">
        <f t="shared" si="0"/>
        <v>0.2</v>
      </c>
      <c r="Q34" s="28">
        <f t="shared" si="0"/>
        <v>9.5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13.43</v>
      </c>
      <c r="C35" s="29">
        <f t="shared" si="1"/>
        <v>13.6</v>
      </c>
      <c r="D35" s="29">
        <f t="shared" si="1"/>
        <v>15.65</v>
      </c>
      <c r="E35" s="29">
        <f t="shared" si="1"/>
        <v>4.97</v>
      </c>
      <c r="F35" s="29">
        <f t="shared" si="1"/>
        <v>5.68</v>
      </c>
      <c r="G35" s="29">
        <f t="shared" si="1"/>
        <v>55.64</v>
      </c>
      <c r="H35" s="29">
        <f t="shared" si="1"/>
        <v>11.96</v>
      </c>
      <c r="I35" s="29">
        <f t="shared" si="1"/>
        <v>2.2799999999999998</v>
      </c>
      <c r="J35" s="29">
        <f t="shared" si="1"/>
        <v>0.31</v>
      </c>
      <c r="K35" s="29">
        <f t="shared" si="1"/>
        <v>330.93</v>
      </c>
      <c r="L35" s="29">
        <f t="shared" si="1"/>
        <v>27.85</v>
      </c>
      <c r="M35" s="29">
        <f t="shared" si="1"/>
        <v>98.14</v>
      </c>
      <c r="N35" s="29">
        <f t="shared" si="1"/>
        <v>662.4</v>
      </c>
      <c r="O35" s="29">
        <f t="shared" si="1"/>
        <v>0</v>
      </c>
      <c r="P35" s="29">
        <f t="shared" si="1"/>
        <v>0.56000000000000005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9.3629166666666652</v>
      </c>
      <c r="C36" s="28">
        <f t="shared" si="2"/>
        <v>9.2383333333333315</v>
      </c>
      <c r="D36" s="28">
        <f t="shared" si="2"/>
        <v>12.108333333333333</v>
      </c>
      <c r="E36" s="28">
        <f t="shared" si="2"/>
        <v>4.6142857142857139</v>
      </c>
      <c r="F36" s="28">
        <f t="shared" si="2"/>
        <v>3.6074999999999995</v>
      </c>
      <c r="G36" s="28">
        <f t="shared" si="2"/>
        <v>37.907083333333333</v>
      </c>
      <c r="H36" s="28">
        <f t="shared" si="2"/>
        <v>6.8079166666666664</v>
      </c>
      <c r="I36" s="28">
        <f t="shared" si="2"/>
        <v>1.2820833333333335</v>
      </c>
      <c r="J36" s="28">
        <f t="shared" si="2"/>
        <v>0.16708333333333336</v>
      </c>
      <c r="K36" s="28">
        <f t="shared" si="2"/>
        <v>300.55666666666667</v>
      </c>
      <c r="L36" s="28">
        <f t="shared" si="2"/>
        <v>25.019166666666674</v>
      </c>
      <c r="M36" s="28">
        <f t="shared" si="2"/>
        <v>96.457083333333301</v>
      </c>
      <c r="N36" s="28">
        <f t="shared" si="2"/>
        <v>185.04166666666666</v>
      </c>
      <c r="O36" s="28">
        <f t="shared" si="2"/>
        <v>0</v>
      </c>
      <c r="P36" s="28">
        <f t="shared" si="2"/>
        <v>0.38666666666666666</v>
      </c>
      <c r="Q36" s="28">
        <f t="shared" si="2"/>
        <v>9.5841666666666665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2.0666008200122681</v>
      </c>
      <c r="C37" s="28">
        <f t="shared" ref="C37:Q37" si="3">STDEV(C9:C32)</f>
        <v>2.3874976288022274</v>
      </c>
      <c r="D37" s="28">
        <f t="shared" si="3"/>
        <v>2.2695923147918773</v>
      </c>
      <c r="E37" s="28">
        <f t="shared" si="3"/>
        <v>0.20724249214253965</v>
      </c>
      <c r="F37" s="28">
        <f t="shared" si="3"/>
        <v>1.0456836748396188</v>
      </c>
      <c r="G37" s="28">
        <f t="shared" si="3"/>
        <v>15.422344455837209</v>
      </c>
      <c r="H37" s="28">
        <f t="shared" si="3"/>
        <v>2.5041391459579194</v>
      </c>
      <c r="I37" s="28">
        <f t="shared" si="3"/>
        <v>0.50851855736876084</v>
      </c>
      <c r="J37" s="28">
        <f t="shared" si="3"/>
        <v>8.5388074040850637E-2</v>
      </c>
      <c r="K37" s="28">
        <f t="shared" si="3"/>
        <v>32.145345145024031</v>
      </c>
      <c r="L37" s="28">
        <f t="shared" si="3"/>
        <v>1.874645280456074</v>
      </c>
      <c r="M37" s="28">
        <f t="shared" si="3"/>
        <v>2.9447233267345316</v>
      </c>
      <c r="N37" s="28">
        <f t="shared" si="3"/>
        <v>200.35980226162843</v>
      </c>
      <c r="O37" s="28">
        <f t="shared" si="3"/>
        <v>0</v>
      </c>
      <c r="P37" s="28">
        <f t="shared" si="3"/>
        <v>0.13779842450877833</v>
      </c>
      <c r="Q37" s="28">
        <f t="shared" si="3"/>
        <v>3.7173701160511538E-2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>COUNT(E9:E32)+10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50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660</v>
      </c>
      <c r="B9" s="52">
        <v>10.35</v>
      </c>
      <c r="C9" s="52">
        <v>7.01</v>
      </c>
      <c r="D9" s="52">
        <v>11.7</v>
      </c>
      <c r="E9" s="52">
        <v>4.63</v>
      </c>
      <c r="F9" s="52">
        <v>4.57</v>
      </c>
      <c r="G9" s="52">
        <v>43.27</v>
      </c>
      <c r="H9" s="52">
        <v>4.53</v>
      </c>
      <c r="I9" s="52">
        <v>1.34</v>
      </c>
      <c r="J9" s="52">
        <v>7.0000000000000007E-2</v>
      </c>
      <c r="K9" s="52">
        <v>348.52</v>
      </c>
      <c r="L9" s="52">
        <v>23.21</v>
      </c>
      <c r="M9" s="52">
        <v>98.18</v>
      </c>
      <c r="N9" s="52">
        <v>39.6</v>
      </c>
      <c r="O9" s="52">
        <v>0</v>
      </c>
      <c r="P9" s="52">
        <v>0.42</v>
      </c>
      <c r="Q9" s="52">
        <v>9.64</v>
      </c>
      <c r="R9" s="43"/>
      <c r="S9" s="43"/>
      <c r="T9" s="43"/>
      <c r="U9" s="43"/>
    </row>
    <row r="10" spans="1:21" s="11" customFormat="1" x14ac:dyDescent="0.25">
      <c r="A10" s="51" t="s">
        <v>661</v>
      </c>
      <c r="B10" s="52">
        <v>10.72</v>
      </c>
      <c r="C10" s="52">
        <v>6.22</v>
      </c>
      <c r="D10" s="52">
        <v>11.47</v>
      </c>
      <c r="E10" s="52">
        <v>4.59</v>
      </c>
      <c r="F10" s="52">
        <v>6.27</v>
      </c>
      <c r="G10" s="52">
        <v>38.82</v>
      </c>
      <c r="H10" s="52">
        <v>3.72</v>
      </c>
      <c r="I10" s="52">
        <v>1.25</v>
      </c>
      <c r="J10" s="52">
        <v>0.06</v>
      </c>
      <c r="K10" s="52">
        <v>323.83999999999997</v>
      </c>
      <c r="L10" s="52">
        <v>22.87</v>
      </c>
      <c r="M10" s="52">
        <v>98.18</v>
      </c>
      <c r="N10" s="52">
        <v>39.6</v>
      </c>
      <c r="O10" s="52">
        <v>0</v>
      </c>
      <c r="P10" s="52">
        <v>0.34</v>
      </c>
      <c r="Q10" s="52">
        <v>9.64</v>
      </c>
      <c r="R10" s="43"/>
      <c r="S10" s="43"/>
      <c r="T10" s="43"/>
      <c r="U10" s="43"/>
    </row>
    <row r="11" spans="1:21" s="11" customFormat="1" x14ac:dyDescent="0.25">
      <c r="A11" s="51" t="s">
        <v>662</v>
      </c>
      <c r="B11" s="52">
        <v>8.82</v>
      </c>
      <c r="C11" s="52">
        <v>6.58</v>
      </c>
      <c r="D11" s="52">
        <v>10.45</v>
      </c>
      <c r="E11" s="52">
        <v>4.62</v>
      </c>
      <c r="F11" s="52">
        <v>4.4800000000000004</v>
      </c>
      <c r="G11" s="52">
        <v>31.98</v>
      </c>
      <c r="H11" s="52">
        <v>2.93</v>
      </c>
      <c r="I11" s="52">
        <v>1.17</v>
      </c>
      <c r="J11" s="52">
        <v>0.09</v>
      </c>
      <c r="K11" s="52">
        <v>342.5</v>
      </c>
      <c r="L11" s="52">
        <v>22.63</v>
      </c>
      <c r="M11" s="52">
        <v>98.2</v>
      </c>
      <c r="N11" s="52">
        <v>39.6</v>
      </c>
      <c r="O11" s="52">
        <v>0</v>
      </c>
      <c r="P11" s="52">
        <v>0.28000000000000003</v>
      </c>
      <c r="Q11" s="52">
        <v>9.65</v>
      </c>
      <c r="R11" s="43"/>
      <c r="S11" s="43"/>
      <c r="T11" s="43"/>
      <c r="U11" s="43"/>
    </row>
    <row r="12" spans="1:21" s="11" customFormat="1" x14ac:dyDescent="0.25">
      <c r="A12" s="51" t="s">
        <v>663</v>
      </c>
      <c r="B12" s="52">
        <v>10.9</v>
      </c>
      <c r="C12" s="52">
        <v>7.13</v>
      </c>
      <c r="D12" s="52">
        <v>11.47</v>
      </c>
      <c r="E12" s="52">
        <v>4.74</v>
      </c>
      <c r="F12" s="52">
        <v>4.18</v>
      </c>
      <c r="G12" s="52">
        <v>27.2</v>
      </c>
      <c r="H12" s="52">
        <v>2.57</v>
      </c>
      <c r="I12" s="52">
        <v>1.1100000000000001</v>
      </c>
      <c r="J12" s="52">
        <v>0.08</v>
      </c>
      <c r="K12" s="52">
        <v>341.63</v>
      </c>
      <c r="L12" s="52">
        <v>22.58</v>
      </c>
      <c r="M12" s="52">
        <v>98.2</v>
      </c>
      <c r="N12" s="52">
        <v>39.700000000000003</v>
      </c>
      <c r="O12" s="52">
        <v>0</v>
      </c>
      <c r="P12" s="52">
        <v>0.33</v>
      </c>
      <c r="Q12" s="52">
        <v>9.64</v>
      </c>
      <c r="R12" s="43"/>
      <c r="S12" s="43"/>
      <c r="T12" s="43"/>
      <c r="U12" s="43"/>
    </row>
    <row r="13" spans="1:21" s="11" customFormat="1" x14ac:dyDescent="0.25">
      <c r="A13" s="51" t="s">
        <v>664</v>
      </c>
      <c r="B13" s="52">
        <v>11.2</v>
      </c>
      <c r="C13" s="52">
        <v>6.2</v>
      </c>
      <c r="D13" s="52">
        <v>11.76</v>
      </c>
      <c r="E13" s="52">
        <v>4.7699999999999996</v>
      </c>
      <c r="F13" s="52">
        <v>3.04</v>
      </c>
      <c r="G13" s="52">
        <v>27.76</v>
      </c>
      <c r="H13" s="52">
        <v>2.3199999999999998</v>
      </c>
      <c r="I13" s="52">
        <v>1.07</v>
      </c>
      <c r="J13" s="52">
        <v>0.05</v>
      </c>
      <c r="K13" s="52">
        <v>297.64999999999998</v>
      </c>
      <c r="L13" s="52">
        <v>22.66</v>
      </c>
      <c r="M13" s="52">
        <v>98.2</v>
      </c>
      <c r="N13" s="52">
        <v>39.9</v>
      </c>
      <c r="O13" s="52">
        <v>0</v>
      </c>
      <c r="P13" s="52">
        <v>0.34</v>
      </c>
      <c r="Q13" s="52">
        <v>9.65</v>
      </c>
      <c r="R13" s="43"/>
      <c r="S13" s="43"/>
      <c r="T13" s="43"/>
      <c r="U13" s="43"/>
    </row>
    <row r="14" spans="1:21" s="11" customFormat="1" x14ac:dyDescent="0.25">
      <c r="A14" s="51" t="s">
        <v>665</v>
      </c>
      <c r="B14" s="52">
        <v>15.7</v>
      </c>
      <c r="C14" s="52">
        <v>6.1</v>
      </c>
      <c r="D14" s="52">
        <v>15.67</v>
      </c>
      <c r="E14" s="52">
        <v>4.7</v>
      </c>
      <c r="F14" s="52">
        <v>3.22</v>
      </c>
      <c r="G14" s="52">
        <v>30.5</v>
      </c>
      <c r="H14" s="52">
        <v>2.31</v>
      </c>
      <c r="I14" s="52">
        <v>1.02</v>
      </c>
      <c r="J14" s="52">
        <v>0.2</v>
      </c>
      <c r="K14" s="52">
        <v>350.53</v>
      </c>
      <c r="L14" s="52">
        <v>22.87</v>
      </c>
      <c r="M14" s="52">
        <v>98.2</v>
      </c>
      <c r="N14" s="52">
        <v>53</v>
      </c>
      <c r="O14" s="52">
        <v>0</v>
      </c>
      <c r="P14" s="52">
        <v>0.36</v>
      </c>
      <c r="Q14" s="52">
        <v>9.65</v>
      </c>
      <c r="R14" s="43"/>
      <c r="S14" s="43"/>
      <c r="T14" s="43"/>
      <c r="U14" s="43"/>
    </row>
    <row r="15" spans="1:21" s="11" customFormat="1" x14ac:dyDescent="0.25">
      <c r="A15" s="51" t="s">
        <v>666</v>
      </c>
      <c r="B15" s="52">
        <v>21.08</v>
      </c>
      <c r="C15" s="52">
        <v>8.2100000000000009</v>
      </c>
      <c r="D15" s="52">
        <v>21.19</v>
      </c>
      <c r="E15" s="52">
        <v>4.7</v>
      </c>
      <c r="F15" s="52">
        <v>4.3</v>
      </c>
      <c r="G15" s="52">
        <v>38.21</v>
      </c>
      <c r="H15" s="52">
        <v>3.78</v>
      </c>
      <c r="I15" s="52">
        <v>1.05</v>
      </c>
      <c r="J15" s="52">
        <v>0.16</v>
      </c>
      <c r="K15" s="52">
        <v>337.88</v>
      </c>
      <c r="L15" s="52">
        <v>24.17</v>
      </c>
      <c r="M15" s="52">
        <v>98.2</v>
      </c>
      <c r="N15" s="52">
        <v>100.4</v>
      </c>
      <c r="O15" s="52">
        <v>0</v>
      </c>
      <c r="P15" s="52">
        <v>0.46</v>
      </c>
      <c r="Q15" s="52">
        <v>9.66</v>
      </c>
      <c r="R15" s="43"/>
      <c r="S15" s="43"/>
      <c r="T15" s="43"/>
      <c r="U15" s="43"/>
    </row>
    <row r="16" spans="1:21" s="11" customFormat="1" x14ac:dyDescent="0.25">
      <c r="A16" s="51" t="s">
        <v>667</v>
      </c>
      <c r="B16" s="52">
        <v>19.3</v>
      </c>
      <c r="C16" s="52">
        <v>8.83</v>
      </c>
      <c r="D16" s="52">
        <v>18.91</v>
      </c>
      <c r="E16" s="52">
        <v>5.42</v>
      </c>
      <c r="F16" s="52">
        <v>4.68</v>
      </c>
      <c r="G16" s="52">
        <v>48.51</v>
      </c>
      <c r="H16" s="52">
        <v>4.66</v>
      </c>
      <c r="I16" s="52">
        <v>1.35</v>
      </c>
      <c r="J16" s="52">
        <v>0.12</v>
      </c>
      <c r="K16" s="52">
        <v>322.79000000000002</v>
      </c>
      <c r="L16" s="52">
        <v>24.81</v>
      </c>
      <c r="M16" s="52">
        <v>98.12</v>
      </c>
      <c r="N16" s="52">
        <v>127.5</v>
      </c>
      <c r="O16" s="52">
        <v>0</v>
      </c>
      <c r="P16" s="52">
        <v>0.49</v>
      </c>
      <c r="Q16" s="52">
        <v>9.65</v>
      </c>
      <c r="R16" s="43"/>
      <c r="S16" s="43"/>
      <c r="T16" s="43"/>
      <c r="U16" s="43"/>
    </row>
    <row r="17" spans="1:21" s="11" customFormat="1" x14ac:dyDescent="0.25">
      <c r="A17" s="51" t="s">
        <v>668</v>
      </c>
      <c r="B17" s="52">
        <v>16.59</v>
      </c>
      <c r="C17" s="52">
        <v>5.68</v>
      </c>
      <c r="D17" s="52">
        <v>15.99</v>
      </c>
      <c r="E17" s="52">
        <v>5.12</v>
      </c>
      <c r="F17" s="52">
        <v>3.08</v>
      </c>
      <c r="G17" s="52">
        <v>53.85</v>
      </c>
      <c r="H17" s="52">
        <v>6.4</v>
      </c>
      <c r="I17" s="52">
        <v>1.57</v>
      </c>
      <c r="J17" s="52">
        <v>0.19</v>
      </c>
      <c r="K17" s="52">
        <v>297.37</v>
      </c>
      <c r="L17" s="52">
        <v>27.93</v>
      </c>
      <c r="M17" s="52">
        <v>98.15</v>
      </c>
      <c r="N17" s="52">
        <v>564.70000000000005</v>
      </c>
      <c r="O17" s="52">
        <v>0</v>
      </c>
      <c r="P17" s="52">
        <v>0.42</v>
      </c>
      <c r="Q17" s="52">
        <v>9.65</v>
      </c>
      <c r="R17" s="43"/>
      <c r="S17" s="43"/>
      <c r="T17" s="43"/>
      <c r="U17" s="43"/>
    </row>
    <row r="18" spans="1:21" s="11" customFormat="1" x14ac:dyDescent="0.25">
      <c r="A18" s="51" t="s">
        <v>669</v>
      </c>
      <c r="B18" s="52">
        <v>16.91</v>
      </c>
      <c r="C18" s="52">
        <v>7.2</v>
      </c>
      <c r="D18" s="52">
        <v>16.41</v>
      </c>
      <c r="E18" s="52">
        <v>4.87</v>
      </c>
      <c r="F18" s="52">
        <v>4.18</v>
      </c>
      <c r="G18" s="52">
        <v>54.52</v>
      </c>
      <c r="H18" s="52">
        <v>7.57</v>
      </c>
      <c r="I18" s="52">
        <v>1.58</v>
      </c>
      <c r="J18" s="52">
        <v>0.9</v>
      </c>
      <c r="K18" s="52">
        <v>334.16</v>
      </c>
      <c r="L18" s="52">
        <v>32.18</v>
      </c>
      <c r="M18" s="52">
        <v>87.93</v>
      </c>
      <c r="N18" s="52">
        <v>667.1</v>
      </c>
      <c r="O18" s="52">
        <v>0</v>
      </c>
      <c r="P18" s="52">
        <v>0.46</v>
      </c>
      <c r="Q18" s="52">
        <v>9.65</v>
      </c>
      <c r="R18" s="43"/>
      <c r="S18" s="43"/>
      <c r="T18" s="43"/>
      <c r="U18" s="43"/>
    </row>
    <row r="19" spans="1:21" s="11" customFormat="1" x14ac:dyDescent="0.25">
      <c r="A19" s="51" t="s">
        <v>670</v>
      </c>
      <c r="B19" s="52">
        <v>18.170000000000002</v>
      </c>
      <c r="C19" s="52">
        <v>16.34</v>
      </c>
      <c r="D19" s="52">
        <v>21.7</v>
      </c>
      <c r="E19" s="52">
        <v>5.0199999999999996</v>
      </c>
      <c r="F19" s="52">
        <v>11.91</v>
      </c>
      <c r="G19" s="52">
        <v>51.83</v>
      </c>
      <c r="H19" s="52">
        <v>23.12</v>
      </c>
      <c r="I19" s="52">
        <v>1.68</v>
      </c>
      <c r="J19" s="52">
        <v>1.29</v>
      </c>
      <c r="K19" s="52">
        <v>339.96</v>
      </c>
      <c r="L19" s="52">
        <v>31.94</v>
      </c>
      <c r="M19" s="52">
        <v>79.34</v>
      </c>
      <c r="N19" s="52">
        <v>467.9</v>
      </c>
      <c r="O19" s="52">
        <v>0</v>
      </c>
      <c r="P19" s="52">
        <v>0.61</v>
      </c>
      <c r="Q19" s="52">
        <v>9.65</v>
      </c>
      <c r="R19" s="43"/>
      <c r="S19" s="43"/>
      <c r="T19" s="43"/>
      <c r="U19" s="43"/>
    </row>
    <row r="20" spans="1:21" s="11" customFormat="1" x14ac:dyDescent="0.25">
      <c r="A20" s="51" t="s">
        <v>671</v>
      </c>
      <c r="B20" s="52">
        <v>27.73</v>
      </c>
      <c r="C20" s="52">
        <v>17.3</v>
      </c>
      <c r="D20" s="52">
        <v>31.27</v>
      </c>
      <c r="E20" s="52">
        <v>5.64</v>
      </c>
      <c r="F20" s="52">
        <v>10.95</v>
      </c>
      <c r="G20" s="52">
        <v>58.79</v>
      </c>
      <c r="H20" s="52">
        <v>31.88</v>
      </c>
      <c r="I20" s="52">
        <v>1.57</v>
      </c>
      <c r="J20" s="52">
        <v>0.74</v>
      </c>
      <c r="K20" s="52">
        <v>340.13</v>
      </c>
      <c r="L20" s="52">
        <v>30.29</v>
      </c>
      <c r="M20" s="52">
        <v>80.7</v>
      </c>
      <c r="N20" s="52">
        <v>548.29999999999995</v>
      </c>
      <c r="O20" s="52">
        <v>0</v>
      </c>
      <c r="P20" s="52">
        <v>0.8</v>
      </c>
      <c r="Q20" s="52">
        <v>9.58</v>
      </c>
      <c r="R20" s="43"/>
      <c r="S20" s="43"/>
      <c r="T20" s="43"/>
      <c r="U20" s="43"/>
    </row>
    <row r="21" spans="1:21" s="11" customFormat="1" x14ac:dyDescent="0.25">
      <c r="A21" s="51" t="s">
        <v>672</v>
      </c>
      <c r="B21" s="52">
        <v>23.29</v>
      </c>
      <c r="C21" s="52">
        <v>15.94</v>
      </c>
      <c r="D21" s="52">
        <v>27.01</v>
      </c>
      <c r="E21" s="52">
        <v>6.99</v>
      </c>
      <c r="F21" s="52">
        <v>10.81</v>
      </c>
      <c r="G21" s="52">
        <v>71.180000000000007</v>
      </c>
      <c r="H21" s="52">
        <v>30.25</v>
      </c>
      <c r="I21" s="52">
        <v>1.55</v>
      </c>
      <c r="J21" s="52">
        <v>0.45</v>
      </c>
      <c r="K21" s="52">
        <v>357.92</v>
      </c>
      <c r="L21" s="52">
        <v>29.43</v>
      </c>
      <c r="M21" s="52">
        <v>81.94</v>
      </c>
      <c r="N21" s="52">
        <v>496.6</v>
      </c>
      <c r="O21" s="52">
        <v>0</v>
      </c>
      <c r="P21" s="52">
        <v>0.56999999999999995</v>
      </c>
      <c r="Q21" s="52">
        <v>9.6199999999999992</v>
      </c>
      <c r="R21" s="43"/>
      <c r="S21" s="43"/>
      <c r="T21" s="43"/>
      <c r="U21" s="43"/>
    </row>
    <row r="22" spans="1:21" s="11" customFormat="1" x14ac:dyDescent="0.25">
      <c r="A22" s="51" t="s">
        <v>673</v>
      </c>
      <c r="B22" s="52">
        <v>24.23</v>
      </c>
      <c r="C22" s="52">
        <v>16.27</v>
      </c>
      <c r="D22" s="52">
        <v>27.79</v>
      </c>
      <c r="E22" s="52">
        <v>6.37</v>
      </c>
      <c r="F22" s="52">
        <v>10.36</v>
      </c>
      <c r="G22" s="52">
        <v>70.540000000000006</v>
      </c>
      <c r="H22" s="52">
        <v>27.11</v>
      </c>
      <c r="I22" s="52">
        <v>1.53</v>
      </c>
      <c r="J22" s="52">
        <v>0.32</v>
      </c>
      <c r="K22" s="52">
        <v>357.23</v>
      </c>
      <c r="L22" s="52">
        <v>29.4</v>
      </c>
      <c r="M22" s="52">
        <v>81.62</v>
      </c>
      <c r="N22" s="52">
        <v>365.6</v>
      </c>
      <c r="O22" s="52">
        <v>0</v>
      </c>
      <c r="P22" s="52">
        <v>0.38</v>
      </c>
      <c r="Q22" s="52">
        <v>9.64</v>
      </c>
      <c r="R22" s="43"/>
      <c r="S22" s="43"/>
      <c r="T22" s="43"/>
      <c r="U22" s="43"/>
    </row>
    <row r="23" spans="1:21" s="11" customFormat="1" x14ac:dyDescent="0.25">
      <c r="A23" s="51" t="s">
        <v>674</v>
      </c>
      <c r="B23" s="52">
        <v>23.83</v>
      </c>
      <c r="C23" s="52">
        <v>20.14</v>
      </c>
      <c r="D23" s="52">
        <v>28.72</v>
      </c>
      <c r="E23" s="52">
        <v>7.59</v>
      </c>
      <c r="F23" s="52">
        <v>10.43</v>
      </c>
      <c r="G23" s="52">
        <v>71.75</v>
      </c>
      <c r="H23" s="52">
        <v>21.48</v>
      </c>
      <c r="I23" s="52">
        <v>1.24</v>
      </c>
      <c r="J23" s="52">
        <v>0.97</v>
      </c>
      <c r="K23" s="52">
        <v>339.22</v>
      </c>
      <c r="L23" s="52">
        <v>30.42</v>
      </c>
      <c r="M23" s="52">
        <v>76.59</v>
      </c>
      <c r="N23" s="52">
        <v>268.10000000000002</v>
      </c>
      <c r="O23" s="52">
        <v>0</v>
      </c>
      <c r="P23" s="52">
        <v>0.41</v>
      </c>
      <c r="Q23" s="52">
        <v>9.6</v>
      </c>
      <c r="R23" s="43"/>
      <c r="S23" s="43"/>
      <c r="T23" s="43"/>
      <c r="U23" s="43"/>
    </row>
    <row r="24" spans="1:21" s="11" customFormat="1" x14ac:dyDescent="0.25">
      <c r="A24" s="51" t="s">
        <v>675</v>
      </c>
      <c r="B24" s="52">
        <v>20.04</v>
      </c>
      <c r="C24" s="52">
        <v>19.55</v>
      </c>
      <c r="D24" s="52">
        <v>25.4</v>
      </c>
      <c r="E24" s="52">
        <v>7.62</v>
      </c>
      <c r="F24" s="52">
        <v>12.32</v>
      </c>
      <c r="G24" s="52">
        <v>75</v>
      </c>
      <c r="H24" s="52">
        <v>16.809999999999999</v>
      </c>
      <c r="I24" s="52">
        <v>1.2</v>
      </c>
      <c r="J24" s="52">
        <v>0.7</v>
      </c>
      <c r="K24" s="52">
        <v>343.84</v>
      </c>
      <c r="L24" s="52">
        <v>30.42</v>
      </c>
      <c r="M24" s="52">
        <v>74.09</v>
      </c>
      <c r="N24" s="52">
        <v>205.1</v>
      </c>
      <c r="O24" s="52">
        <v>0</v>
      </c>
      <c r="P24" s="52">
        <v>0.65</v>
      </c>
      <c r="Q24" s="52">
        <v>9.61</v>
      </c>
      <c r="R24" s="43"/>
      <c r="S24" s="43"/>
      <c r="T24" s="43"/>
      <c r="U24" s="43"/>
    </row>
    <row r="25" spans="1:21" s="11" customFormat="1" x14ac:dyDescent="0.25">
      <c r="A25" s="51" t="s">
        <v>676</v>
      </c>
      <c r="B25" s="52">
        <v>21.98</v>
      </c>
      <c r="C25" s="52">
        <v>20.89</v>
      </c>
      <c r="D25" s="52">
        <v>28.54</v>
      </c>
      <c r="E25" s="52">
        <v>7.48</v>
      </c>
      <c r="F25" s="52">
        <v>14.8</v>
      </c>
      <c r="G25" s="52">
        <v>91</v>
      </c>
      <c r="H25" s="52">
        <v>17.600000000000001</v>
      </c>
      <c r="I25" s="52">
        <v>1.28</v>
      </c>
      <c r="J25" s="52">
        <v>0.35</v>
      </c>
      <c r="K25" s="52">
        <v>329.5</v>
      </c>
      <c r="L25" s="52">
        <v>30.19</v>
      </c>
      <c r="M25" s="52">
        <v>87.15</v>
      </c>
      <c r="N25" s="52">
        <v>133.1</v>
      </c>
      <c r="O25" s="52">
        <v>0</v>
      </c>
      <c r="P25" s="52">
        <v>0.75</v>
      </c>
      <c r="Q25" s="52">
        <v>9.64</v>
      </c>
      <c r="R25" s="43"/>
      <c r="S25" s="43"/>
      <c r="T25" s="43"/>
      <c r="U25" s="43"/>
    </row>
    <row r="26" spans="1:21" s="11" customFormat="1" x14ac:dyDescent="0.25">
      <c r="A26" s="51" t="s">
        <v>677</v>
      </c>
      <c r="B26" s="52">
        <v>9.1</v>
      </c>
      <c r="C26" s="52">
        <v>24.97</v>
      </c>
      <c r="D26" s="52">
        <v>20.34</v>
      </c>
      <c r="E26" s="52">
        <v>6.12</v>
      </c>
      <c r="F26" s="52">
        <v>14.58</v>
      </c>
      <c r="G26" s="52">
        <v>94.74</v>
      </c>
      <c r="H26" s="52">
        <v>16.8</v>
      </c>
      <c r="I26" s="52">
        <v>1.3</v>
      </c>
      <c r="J26" s="52">
        <v>0.34</v>
      </c>
      <c r="K26" s="52">
        <v>147.16</v>
      </c>
      <c r="L26" s="52">
        <v>27.97</v>
      </c>
      <c r="M26" s="52">
        <v>89.43</v>
      </c>
      <c r="N26" s="52">
        <v>78.5</v>
      </c>
      <c r="O26" s="52">
        <v>0</v>
      </c>
      <c r="P26" s="52">
        <v>0.39</v>
      </c>
      <c r="Q26" s="52">
        <v>9.66</v>
      </c>
      <c r="R26" s="43"/>
      <c r="S26" s="43"/>
      <c r="T26" s="43"/>
      <c r="U26" s="43"/>
    </row>
    <row r="27" spans="1:21" s="11" customFormat="1" x14ac:dyDescent="0.25">
      <c r="A27" s="51" t="s">
        <v>678</v>
      </c>
      <c r="B27" s="52">
        <v>16.760000000000002</v>
      </c>
      <c r="C27" s="52">
        <v>15.61</v>
      </c>
      <c r="D27" s="52">
        <v>21.59</v>
      </c>
      <c r="E27" s="52">
        <v>6.48</v>
      </c>
      <c r="F27" s="52">
        <v>7.17</v>
      </c>
      <c r="G27" s="52">
        <v>76.2</v>
      </c>
      <c r="H27" s="52">
        <v>18.82</v>
      </c>
      <c r="I27" s="52">
        <v>1.28</v>
      </c>
      <c r="J27" s="52">
        <v>1.45</v>
      </c>
      <c r="K27" s="52">
        <v>335.56</v>
      </c>
      <c r="L27" s="52">
        <v>27.59</v>
      </c>
      <c r="M27" s="52">
        <v>98.23</v>
      </c>
      <c r="N27" s="52">
        <v>44.1</v>
      </c>
      <c r="O27" s="52">
        <v>0.4</v>
      </c>
      <c r="P27" s="52">
        <v>0.54</v>
      </c>
      <c r="Q27" s="52">
        <v>9.66</v>
      </c>
      <c r="R27" s="43"/>
      <c r="S27" s="43"/>
      <c r="T27" s="43"/>
      <c r="U27" s="43"/>
    </row>
    <row r="28" spans="1:21" s="11" customFormat="1" x14ac:dyDescent="0.25">
      <c r="A28" s="51" t="s">
        <v>679</v>
      </c>
      <c r="B28" s="52">
        <v>14.6</v>
      </c>
      <c r="C28" s="52">
        <v>12.53</v>
      </c>
      <c r="D28" s="52">
        <v>17.43</v>
      </c>
      <c r="E28" s="52">
        <v>5.17</v>
      </c>
      <c r="F28" s="52">
        <v>8.59</v>
      </c>
      <c r="G28" s="52">
        <v>58.09</v>
      </c>
      <c r="H28" s="52">
        <v>13.34</v>
      </c>
      <c r="I28" s="52">
        <v>1.25</v>
      </c>
      <c r="J28" s="52">
        <v>0.39</v>
      </c>
      <c r="K28" s="52">
        <v>149.35</v>
      </c>
      <c r="L28" s="52">
        <v>23.5</v>
      </c>
      <c r="M28" s="52">
        <v>98.25</v>
      </c>
      <c r="N28" s="52">
        <v>40.9</v>
      </c>
      <c r="O28" s="52">
        <v>0.4</v>
      </c>
      <c r="P28" s="52">
        <v>0.49</v>
      </c>
      <c r="Q28" s="52">
        <v>9.65</v>
      </c>
      <c r="R28" s="43"/>
      <c r="S28" s="43"/>
      <c r="T28" s="43"/>
      <c r="U28" s="43"/>
    </row>
    <row r="29" spans="1:21" s="11" customFormat="1" x14ac:dyDescent="0.25">
      <c r="A29" s="51" t="s">
        <v>680</v>
      </c>
      <c r="B29" s="52">
        <v>26.3</v>
      </c>
      <c r="C29" s="52">
        <v>17.920000000000002</v>
      </c>
      <c r="D29" s="52">
        <v>29.81</v>
      </c>
      <c r="E29" s="52">
        <v>5.19</v>
      </c>
      <c r="F29" s="52">
        <v>6.12</v>
      </c>
      <c r="G29" s="52">
        <v>33.79</v>
      </c>
      <c r="H29" s="52">
        <v>9.76</v>
      </c>
      <c r="I29" s="52">
        <v>1.36</v>
      </c>
      <c r="J29" s="52">
        <v>0.19</v>
      </c>
      <c r="K29" s="52">
        <v>318.89</v>
      </c>
      <c r="L29" s="52">
        <v>23.8</v>
      </c>
      <c r="M29" s="52">
        <v>98.25</v>
      </c>
      <c r="N29" s="52">
        <v>41.1</v>
      </c>
      <c r="O29" s="52">
        <v>0</v>
      </c>
      <c r="P29" s="52">
        <v>1.3</v>
      </c>
      <c r="Q29" s="52">
        <v>9.65</v>
      </c>
      <c r="R29" s="43"/>
      <c r="S29" s="43"/>
      <c r="T29" s="43"/>
      <c r="U29" s="43"/>
    </row>
    <row r="30" spans="1:21" s="11" customFormat="1" x14ac:dyDescent="0.25">
      <c r="A30" s="51" t="s">
        <v>681</v>
      </c>
      <c r="B30" s="52">
        <v>20.7</v>
      </c>
      <c r="C30" s="52">
        <v>16.149999999999999</v>
      </c>
      <c r="D30" s="52">
        <v>24.04</v>
      </c>
      <c r="E30" s="52">
        <v>5.08</v>
      </c>
      <c r="F30" s="52">
        <v>6.68</v>
      </c>
      <c r="G30" s="52">
        <v>34</v>
      </c>
      <c r="H30" s="52">
        <v>10.41</v>
      </c>
      <c r="I30" s="52">
        <v>1.38</v>
      </c>
      <c r="J30" s="52">
        <v>0.08</v>
      </c>
      <c r="K30" s="52">
        <v>307.44</v>
      </c>
      <c r="L30" s="52">
        <v>24.1</v>
      </c>
      <c r="M30" s="52">
        <v>98.23</v>
      </c>
      <c r="N30" s="52">
        <v>41.2</v>
      </c>
      <c r="O30" s="52">
        <v>0</v>
      </c>
      <c r="P30" s="52">
        <v>1.04</v>
      </c>
      <c r="Q30" s="52">
        <v>9.65</v>
      </c>
      <c r="R30" s="43"/>
      <c r="S30" s="43"/>
      <c r="T30" s="43"/>
      <c r="U30" s="43"/>
    </row>
    <row r="31" spans="1:21" s="11" customFormat="1" x14ac:dyDescent="0.25">
      <c r="A31" s="51" t="s">
        <v>682</v>
      </c>
      <c r="B31" s="52">
        <v>12.79</v>
      </c>
      <c r="C31" s="52">
        <v>16.399999999999999</v>
      </c>
      <c r="D31" s="52">
        <v>18.829999999999998</v>
      </c>
      <c r="E31" s="52">
        <v>5.01</v>
      </c>
      <c r="F31" s="52">
        <v>4.68</v>
      </c>
      <c r="G31" s="52">
        <v>31.06</v>
      </c>
      <c r="H31" s="52">
        <v>10.7</v>
      </c>
      <c r="I31" s="52">
        <v>1.42</v>
      </c>
      <c r="J31" s="52">
        <v>0.96</v>
      </c>
      <c r="K31" s="52">
        <v>148.72999999999999</v>
      </c>
      <c r="L31" s="52">
        <v>24.18</v>
      </c>
      <c r="M31" s="52">
        <v>98.25</v>
      </c>
      <c r="N31" s="52">
        <v>42.9</v>
      </c>
      <c r="O31" s="52">
        <v>0</v>
      </c>
      <c r="P31" s="52">
        <v>0.61</v>
      </c>
      <c r="Q31" s="52">
        <v>9.66</v>
      </c>
      <c r="R31" s="43"/>
      <c r="S31" s="43"/>
      <c r="T31" s="43"/>
      <c r="U31" s="43"/>
    </row>
    <row r="32" spans="1:21" s="11" customFormat="1" x14ac:dyDescent="0.25">
      <c r="A32" s="51" t="s">
        <v>683</v>
      </c>
      <c r="B32" s="52">
        <v>12.63</v>
      </c>
      <c r="C32" s="52">
        <v>7.35</v>
      </c>
      <c r="D32" s="52">
        <v>13.29</v>
      </c>
      <c r="E32" s="52">
        <v>5.68</v>
      </c>
      <c r="F32" s="52">
        <v>5.4</v>
      </c>
      <c r="G32" s="52">
        <v>27.68</v>
      </c>
      <c r="H32" s="52">
        <v>10.98</v>
      </c>
      <c r="I32" s="52">
        <v>1.43</v>
      </c>
      <c r="J32" s="52">
        <v>0.51</v>
      </c>
      <c r="K32" s="52">
        <v>327.33999999999997</v>
      </c>
      <c r="L32" s="52">
        <v>23.2</v>
      </c>
      <c r="M32" s="52">
        <v>98.26</v>
      </c>
      <c r="N32" s="52">
        <v>42.7</v>
      </c>
      <c r="O32" s="52">
        <v>0</v>
      </c>
      <c r="P32" s="52">
        <v>0.48</v>
      </c>
      <c r="Q32" s="52">
        <v>9.66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8.82</v>
      </c>
      <c r="C34" s="28">
        <f t="shared" si="0"/>
        <v>5.68</v>
      </c>
      <c r="D34" s="28">
        <f t="shared" si="0"/>
        <v>10.45</v>
      </c>
      <c r="E34" s="28">
        <f t="shared" si="0"/>
        <v>4.59</v>
      </c>
      <c r="F34" s="28">
        <f t="shared" si="0"/>
        <v>3.04</v>
      </c>
      <c r="G34" s="28">
        <f t="shared" si="0"/>
        <v>27.2</v>
      </c>
      <c r="H34" s="28">
        <f t="shared" si="0"/>
        <v>2.31</v>
      </c>
      <c r="I34" s="28">
        <f t="shared" si="0"/>
        <v>1.02</v>
      </c>
      <c r="J34" s="28">
        <f t="shared" si="0"/>
        <v>0.05</v>
      </c>
      <c r="K34" s="28">
        <f t="shared" si="0"/>
        <v>147.16</v>
      </c>
      <c r="L34" s="28">
        <f t="shared" si="0"/>
        <v>22.58</v>
      </c>
      <c r="M34" s="28">
        <f t="shared" si="0"/>
        <v>74.09</v>
      </c>
      <c r="N34" s="28">
        <f t="shared" si="0"/>
        <v>39.6</v>
      </c>
      <c r="O34" s="28">
        <f t="shared" si="0"/>
        <v>0</v>
      </c>
      <c r="P34" s="28">
        <f t="shared" si="0"/>
        <v>0.28000000000000003</v>
      </c>
      <c r="Q34" s="28">
        <f t="shared" si="0"/>
        <v>9.58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27.73</v>
      </c>
      <c r="C35" s="29">
        <f t="shared" si="1"/>
        <v>24.97</v>
      </c>
      <c r="D35" s="29">
        <f t="shared" si="1"/>
        <v>31.27</v>
      </c>
      <c r="E35" s="29">
        <f t="shared" si="1"/>
        <v>7.62</v>
      </c>
      <c r="F35" s="29">
        <f t="shared" si="1"/>
        <v>14.8</v>
      </c>
      <c r="G35" s="29">
        <f t="shared" si="1"/>
        <v>94.74</v>
      </c>
      <c r="H35" s="29">
        <f t="shared" si="1"/>
        <v>31.88</v>
      </c>
      <c r="I35" s="29">
        <f t="shared" si="1"/>
        <v>1.68</v>
      </c>
      <c r="J35" s="29">
        <f t="shared" si="1"/>
        <v>1.45</v>
      </c>
      <c r="K35" s="29">
        <f t="shared" si="1"/>
        <v>357.92</v>
      </c>
      <c r="L35" s="29">
        <f t="shared" si="1"/>
        <v>32.18</v>
      </c>
      <c r="M35" s="29">
        <f t="shared" si="1"/>
        <v>98.26</v>
      </c>
      <c r="N35" s="29">
        <f t="shared" si="1"/>
        <v>667.1</v>
      </c>
      <c r="O35" s="29">
        <f t="shared" si="1"/>
        <v>0.4</v>
      </c>
      <c r="P35" s="29">
        <f t="shared" si="1"/>
        <v>1.3</v>
      </c>
      <c r="Q35" s="29">
        <f t="shared" si="1"/>
        <v>9.66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17.238333333333337</v>
      </c>
      <c r="C36" s="28">
        <f t="shared" si="2"/>
        <v>12.771666666666663</v>
      </c>
      <c r="D36" s="28">
        <f t="shared" si="2"/>
        <v>20.032499999999999</v>
      </c>
      <c r="E36" s="28">
        <f t="shared" si="2"/>
        <v>5.5666666666666673</v>
      </c>
      <c r="F36" s="28">
        <f t="shared" si="2"/>
        <v>7.3666666666666671</v>
      </c>
      <c r="G36" s="28">
        <f t="shared" si="2"/>
        <v>51.677916666666668</v>
      </c>
      <c r="H36" s="28">
        <f t="shared" si="2"/>
        <v>12.493749999999999</v>
      </c>
      <c r="I36" s="28">
        <f t="shared" si="2"/>
        <v>1.3325000000000002</v>
      </c>
      <c r="J36" s="28">
        <f t="shared" si="2"/>
        <v>0.4441666666666666</v>
      </c>
      <c r="K36" s="28">
        <f t="shared" si="2"/>
        <v>309.96416666666664</v>
      </c>
      <c r="L36" s="28">
        <f t="shared" si="2"/>
        <v>26.3475</v>
      </c>
      <c r="M36" s="28">
        <f t="shared" si="2"/>
        <v>92.162083333333342</v>
      </c>
      <c r="N36" s="28">
        <f t="shared" si="2"/>
        <v>188.63333333333333</v>
      </c>
      <c r="O36" s="28">
        <f t="shared" si="2"/>
        <v>3.3333333333333333E-2</v>
      </c>
      <c r="P36" s="28">
        <f t="shared" si="2"/>
        <v>0.53833333333333344</v>
      </c>
      <c r="Q36" s="28">
        <f t="shared" si="2"/>
        <v>9.6420833333333338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5.6649990726171771</v>
      </c>
      <c r="C37" s="28">
        <f t="shared" ref="C37:Q37" si="3">STDEV(C9:C32)</f>
        <v>5.9370521646518473</v>
      </c>
      <c r="D37" s="28">
        <f t="shared" si="3"/>
        <v>6.6262463962901172</v>
      </c>
      <c r="E37" s="28">
        <f t="shared" si="3"/>
        <v>1.0043283140083348</v>
      </c>
      <c r="F37" s="28">
        <f t="shared" si="3"/>
        <v>3.7226179038374321</v>
      </c>
      <c r="G37" s="28">
        <f t="shared" si="3"/>
        <v>20.702873142165071</v>
      </c>
      <c r="H37" s="28">
        <f t="shared" si="3"/>
        <v>9.2218067702970057</v>
      </c>
      <c r="I37" s="28">
        <f t="shared" si="3"/>
        <v>0.18300035637883927</v>
      </c>
      <c r="J37" s="28">
        <f t="shared" si="3"/>
        <v>0.41078839011013374</v>
      </c>
      <c r="K37" s="28">
        <f t="shared" si="3"/>
        <v>64.368441559824987</v>
      </c>
      <c r="L37" s="28">
        <f t="shared" si="3"/>
        <v>3.4343143736984132</v>
      </c>
      <c r="M37" s="28">
        <f t="shared" si="3"/>
        <v>8.5441925250896062</v>
      </c>
      <c r="N37" s="28">
        <f t="shared" si="3"/>
        <v>208.02104129916381</v>
      </c>
      <c r="O37" s="28">
        <f t="shared" si="3"/>
        <v>0.11293194051465599</v>
      </c>
      <c r="P37" s="28">
        <f t="shared" si="3"/>
        <v>0.23786489893409529</v>
      </c>
      <c r="Q37" s="28">
        <f t="shared" si="3"/>
        <v>2.0211741457717838E-2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38" sqref="G38:H3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1" t="s">
        <v>684</v>
      </c>
      <c r="B9" s="52">
        <v>9.4499999999999993</v>
      </c>
      <c r="C9" s="52">
        <v>8.14</v>
      </c>
      <c r="D9" s="52">
        <v>11.83</v>
      </c>
      <c r="E9" s="52">
        <v>5.14</v>
      </c>
      <c r="F9" s="52">
        <v>6.26</v>
      </c>
      <c r="G9" s="52">
        <v>17.66</v>
      </c>
      <c r="H9" s="52">
        <v>11.11</v>
      </c>
      <c r="I9" s="52">
        <v>1.22</v>
      </c>
      <c r="J9" s="52">
        <v>1.04</v>
      </c>
      <c r="K9" s="52">
        <v>352.41</v>
      </c>
      <c r="L9" s="52">
        <v>21.41</v>
      </c>
      <c r="M9" s="52">
        <v>97.84</v>
      </c>
      <c r="N9" s="52">
        <v>41</v>
      </c>
      <c r="O9" s="52">
        <v>0</v>
      </c>
      <c r="P9" s="52">
        <v>0.38</v>
      </c>
      <c r="Q9" s="52">
        <v>9.64</v>
      </c>
      <c r="R9" s="43"/>
      <c r="S9" s="43"/>
      <c r="T9" s="43"/>
      <c r="U9" s="43"/>
    </row>
    <row r="10" spans="1:21" s="11" customFormat="1" x14ac:dyDescent="0.25">
      <c r="A10" s="51" t="s">
        <v>685</v>
      </c>
      <c r="B10" s="52">
        <v>8.18</v>
      </c>
      <c r="C10" s="52">
        <v>7.28</v>
      </c>
      <c r="D10" s="52">
        <v>10.36</v>
      </c>
      <c r="E10" s="52">
        <v>5.19</v>
      </c>
      <c r="F10" s="52">
        <v>6.41</v>
      </c>
      <c r="G10" s="52">
        <v>14.7</v>
      </c>
      <c r="H10" s="52">
        <v>7.94</v>
      </c>
      <c r="I10" s="52">
        <v>1.05</v>
      </c>
      <c r="J10" s="52">
        <v>1.06</v>
      </c>
      <c r="K10" s="52">
        <v>339.38</v>
      </c>
      <c r="L10" s="52">
        <v>21.75</v>
      </c>
      <c r="M10" s="52">
        <v>97.88</v>
      </c>
      <c r="N10" s="52">
        <v>41.7</v>
      </c>
      <c r="O10" s="52">
        <v>0</v>
      </c>
      <c r="P10" s="52">
        <v>0.33</v>
      </c>
      <c r="Q10" s="52">
        <v>9.6300000000000008</v>
      </c>
      <c r="R10" s="43"/>
      <c r="S10" s="43"/>
      <c r="T10" s="43"/>
      <c r="U10" s="43"/>
    </row>
    <row r="11" spans="1:21" s="11" customFormat="1" x14ac:dyDescent="0.25">
      <c r="A11" s="51" t="s">
        <v>686</v>
      </c>
      <c r="B11" s="52">
        <v>7.87</v>
      </c>
      <c r="C11" s="52">
        <v>6.66</v>
      </c>
      <c r="D11" s="52">
        <v>9.69</v>
      </c>
      <c r="E11" s="52">
        <v>5.12</v>
      </c>
      <c r="F11" s="52">
        <v>6.21</v>
      </c>
      <c r="G11" s="52">
        <v>16.170000000000002</v>
      </c>
      <c r="H11" s="52">
        <v>5.85</v>
      </c>
      <c r="I11" s="52">
        <v>1.04</v>
      </c>
      <c r="J11" s="52">
        <v>0.21</v>
      </c>
      <c r="K11" s="52">
        <v>160.51</v>
      </c>
      <c r="L11" s="52">
        <v>21.86</v>
      </c>
      <c r="M11" s="52">
        <v>97.89</v>
      </c>
      <c r="N11" s="52">
        <v>41.1</v>
      </c>
      <c r="O11" s="52">
        <v>0</v>
      </c>
      <c r="P11" s="52">
        <v>0.31</v>
      </c>
      <c r="Q11" s="52">
        <v>9.6</v>
      </c>
      <c r="R11" s="43"/>
      <c r="S11" s="43"/>
      <c r="T11" s="43"/>
      <c r="U11" s="43"/>
    </row>
    <row r="12" spans="1:21" s="11" customFormat="1" x14ac:dyDescent="0.25">
      <c r="A12" s="51" t="s">
        <v>687</v>
      </c>
      <c r="B12" s="52">
        <v>8.01</v>
      </c>
      <c r="C12" s="52">
        <v>6.53</v>
      </c>
      <c r="D12" s="52">
        <v>9.66</v>
      </c>
      <c r="E12" s="52">
        <v>5.18</v>
      </c>
      <c r="F12" s="52">
        <v>4.95</v>
      </c>
      <c r="G12" s="52">
        <v>15.2</v>
      </c>
      <c r="H12" s="52">
        <v>4.5599999999999996</v>
      </c>
      <c r="I12" s="52">
        <v>1.01</v>
      </c>
      <c r="J12" s="52">
        <v>0.15</v>
      </c>
      <c r="K12" s="52">
        <v>325.85000000000002</v>
      </c>
      <c r="L12" s="52">
        <v>21.98</v>
      </c>
      <c r="M12" s="52">
        <v>97.87</v>
      </c>
      <c r="N12" s="52">
        <v>41.1</v>
      </c>
      <c r="O12" s="52">
        <v>0</v>
      </c>
      <c r="P12" s="52">
        <v>0.28000000000000003</v>
      </c>
      <c r="Q12" s="52">
        <v>9.58</v>
      </c>
      <c r="R12" s="43"/>
      <c r="S12" s="43"/>
      <c r="T12" s="43"/>
      <c r="U12" s="43"/>
    </row>
    <row r="13" spans="1:21" s="11" customFormat="1" x14ac:dyDescent="0.25">
      <c r="A13" s="51" t="s">
        <v>688</v>
      </c>
      <c r="B13" s="52">
        <v>8.42</v>
      </c>
      <c r="C13" s="52">
        <v>10.19</v>
      </c>
      <c r="D13" s="52">
        <v>11.37</v>
      </c>
      <c r="E13" s="52">
        <v>5.2</v>
      </c>
      <c r="F13" s="52">
        <v>6.93</v>
      </c>
      <c r="G13" s="52">
        <v>14.41</v>
      </c>
      <c r="H13" s="52">
        <v>3.76</v>
      </c>
      <c r="I13" s="52">
        <v>0.96</v>
      </c>
      <c r="J13" s="52">
        <v>0.19</v>
      </c>
      <c r="K13" s="52">
        <v>237</v>
      </c>
      <c r="L13" s="52">
        <v>22.1</v>
      </c>
      <c r="M13" s="52">
        <v>98.2</v>
      </c>
      <c r="N13" s="52">
        <v>41.1</v>
      </c>
      <c r="O13" s="52">
        <v>0</v>
      </c>
      <c r="P13" s="52">
        <v>0.28000000000000003</v>
      </c>
      <c r="Q13" s="52">
        <v>9.6</v>
      </c>
      <c r="R13" s="43"/>
      <c r="S13" s="43"/>
      <c r="T13" s="43"/>
      <c r="U13" s="43"/>
    </row>
    <row r="14" spans="1:21" s="11" customFormat="1" x14ac:dyDescent="0.25">
      <c r="A14" s="51" t="s">
        <v>689</v>
      </c>
      <c r="B14" s="52">
        <v>11.76</v>
      </c>
      <c r="C14" s="52">
        <v>10.119999999999999</v>
      </c>
      <c r="D14" s="52">
        <v>14.71</v>
      </c>
      <c r="E14" s="52">
        <v>5.17</v>
      </c>
      <c r="F14" s="52">
        <v>6.88</v>
      </c>
      <c r="G14" s="52">
        <v>15.95</v>
      </c>
      <c r="H14" s="52">
        <v>3.02</v>
      </c>
      <c r="I14" s="52">
        <v>1.03</v>
      </c>
      <c r="J14" s="52">
        <v>0.3</v>
      </c>
      <c r="K14" s="52">
        <v>347.09</v>
      </c>
      <c r="L14" s="52">
        <v>22.51</v>
      </c>
      <c r="M14" s="52">
        <v>98.18</v>
      </c>
      <c r="N14" s="52">
        <v>43.5</v>
      </c>
      <c r="O14" s="52">
        <v>0</v>
      </c>
      <c r="P14" s="52">
        <v>0.46</v>
      </c>
      <c r="Q14" s="52">
        <v>9.6199999999999992</v>
      </c>
      <c r="R14" s="43"/>
      <c r="S14" s="43"/>
      <c r="T14" s="43"/>
      <c r="U14" s="43"/>
    </row>
    <row r="15" spans="1:21" s="11" customFormat="1" x14ac:dyDescent="0.25">
      <c r="A15" s="51" t="s">
        <v>690</v>
      </c>
      <c r="B15" s="52">
        <v>16.14</v>
      </c>
      <c r="C15" s="52">
        <v>9.07</v>
      </c>
      <c r="D15" s="52">
        <v>17.440000000000001</v>
      </c>
      <c r="E15" s="52">
        <v>5.49</v>
      </c>
      <c r="F15" s="52">
        <v>5.21</v>
      </c>
      <c r="G15" s="52">
        <v>20.96</v>
      </c>
      <c r="H15" s="52">
        <v>4.87</v>
      </c>
      <c r="I15" s="52">
        <v>1.1399999999999999</v>
      </c>
      <c r="J15" s="52">
        <v>0.49</v>
      </c>
      <c r="K15" s="52">
        <v>339.57</v>
      </c>
      <c r="L15" s="52">
        <v>22.75</v>
      </c>
      <c r="M15" s="52">
        <v>98.19</v>
      </c>
      <c r="N15" s="52">
        <v>106.8</v>
      </c>
      <c r="O15" s="52">
        <v>0</v>
      </c>
      <c r="P15" s="52">
        <v>0.34</v>
      </c>
      <c r="Q15" s="52">
        <v>9.6199999999999992</v>
      </c>
      <c r="R15" s="43"/>
      <c r="S15" s="43"/>
      <c r="T15" s="43"/>
      <c r="U15" s="43"/>
    </row>
    <row r="16" spans="1:21" s="11" customFormat="1" x14ac:dyDescent="0.25">
      <c r="A16" s="51" t="s">
        <v>691</v>
      </c>
      <c r="B16" s="52">
        <v>10.55</v>
      </c>
      <c r="C16" s="52">
        <v>9.64</v>
      </c>
      <c r="D16" s="52">
        <v>13.42</v>
      </c>
      <c r="E16" s="52">
        <v>5.44</v>
      </c>
      <c r="F16" s="52">
        <v>6.14</v>
      </c>
      <c r="G16" s="52">
        <v>23.67</v>
      </c>
      <c r="H16" s="52">
        <v>5.91</v>
      </c>
      <c r="I16" s="52">
        <v>1.1599999999999999</v>
      </c>
      <c r="J16" s="52">
        <v>0.64</v>
      </c>
      <c r="K16" s="52">
        <v>158.63</v>
      </c>
      <c r="L16" s="52">
        <v>23.48</v>
      </c>
      <c r="M16" s="52">
        <v>98.17</v>
      </c>
      <c r="N16" s="52">
        <v>152.80000000000001</v>
      </c>
      <c r="O16" s="52">
        <v>0</v>
      </c>
      <c r="P16" s="52">
        <v>0.37</v>
      </c>
      <c r="Q16" s="52">
        <v>9.64</v>
      </c>
      <c r="R16" s="43"/>
      <c r="S16" s="43"/>
      <c r="T16" s="43"/>
      <c r="U16" s="43"/>
    </row>
    <row r="17" spans="1:21" s="11" customFormat="1" x14ac:dyDescent="0.25">
      <c r="A17" s="51" t="s">
        <v>692</v>
      </c>
      <c r="B17" s="52">
        <v>10.52</v>
      </c>
      <c r="C17" s="52">
        <v>11.53</v>
      </c>
      <c r="D17" s="52">
        <v>14.02</v>
      </c>
      <c r="E17" s="52">
        <v>5.52</v>
      </c>
      <c r="F17" s="52">
        <v>9.4499999999999993</v>
      </c>
      <c r="G17" s="52">
        <v>31.39</v>
      </c>
      <c r="H17" s="52">
        <v>5.57</v>
      </c>
      <c r="I17" s="52">
        <v>1.23</v>
      </c>
      <c r="J17" s="52">
        <v>0.27</v>
      </c>
      <c r="K17" s="52">
        <v>163.04</v>
      </c>
      <c r="L17" s="52">
        <v>25.85</v>
      </c>
      <c r="M17" s="52">
        <v>98.07</v>
      </c>
      <c r="N17" s="52">
        <v>416.9</v>
      </c>
      <c r="O17" s="52">
        <v>0</v>
      </c>
      <c r="P17" s="52">
        <v>0.49</v>
      </c>
      <c r="Q17" s="52">
        <v>9.6300000000000008</v>
      </c>
      <c r="R17" s="43"/>
      <c r="S17" s="43"/>
      <c r="T17" s="43"/>
      <c r="U17" s="43"/>
    </row>
    <row r="18" spans="1:21" s="11" customFormat="1" x14ac:dyDescent="0.25">
      <c r="A18" s="51" t="s">
        <v>693</v>
      </c>
      <c r="B18" s="52">
        <v>9.48</v>
      </c>
      <c r="C18" s="52">
        <v>10.36</v>
      </c>
      <c r="D18" s="52">
        <v>12.71</v>
      </c>
      <c r="E18" s="52">
        <v>5.57</v>
      </c>
      <c r="F18" s="52">
        <v>11.12</v>
      </c>
      <c r="G18" s="52">
        <v>35.840000000000003</v>
      </c>
      <c r="H18" s="52">
        <v>5.98</v>
      </c>
      <c r="I18" s="52">
        <v>1.31</v>
      </c>
      <c r="J18" s="52">
        <v>0.71</v>
      </c>
      <c r="K18" s="52">
        <v>163.29</v>
      </c>
      <c r="L18" s="52">
        <v>25.9</v>
      </c>
      <c r="M18" s="52">
        <v>97.98</v>
      </c>
      <c r="N18" s="52">
        <v>371.7</v>
      </c>
      <c r="O18" s="52">
        <v>0</v>
      </c>
      <c r="P18" s="52">
        <v>0.41</v>
      </c>
      <c r="Q18" s="52">
        <v>9.64</v>
      </c>
      <c r="R18" s="43"/>
      <c r="S18" s="43"/>
      <c r="T18" s="43"/>
      <c r="U18" s="43"/>
    </row>
    <row r="19" spans="1:21" s="11" customFormat="1" x14ac:dyDescent="0.25">
      <c r="A19" s="51" t="s">
        <v>694</v>
      </c>
      <c r="B19" s="52">
        <v>9</v>
      </c>
      <c r="C19" s="52">
        <v>11.09</v>
      </c>
      <c r="D19" s="52">
        <v>11.97</v>
      </c>
      <c r="E19" s="52">
        <v>5.53</v>
      </c>
      <c r="F19" s="52">
        <v>11.63</v>
      </c>
      <c r="G19" s="52">
        <v>30.49</v>
      </c>
      <c r="H19" s="52">
        <v>5.57</v>
      </c>
      <c r="I19" s="52">
        <v>1.38</v>
      </c>
      <c r="J19" s="52">
        <v>0.39</v>
      </c>
      <c r="K19" s="52">
        <v>145.21</v>
      </c>
      <c r="L19" s="52">
        <v>26.4</v>
      </c>
      <c r="M19" s="52">
        <v>97.98</v>
      </c>
      <c r="N19" s="52">
        <v>492.9</v>
      </c>
      <c r="O19" s="52">
        <v>0</v>
      </c>
      <c r="P19" s="52">
        <v>0.43</v>
      </c>
      <c r="Q19" s="52">
        <v>9.64</v>
      </c>
      <c r="R19" s="43"/>
      <c r="S19" s="43"/>
      <c r="T19" s="43"/>
      <c r="U19" s="43"/>
    </row>
    <row r="20" spans="1:21" s="11" customFormat="1" x14ac:dyDescent="0.25">
      <c r="A20" s="51" t="s">
        <v>695</v>
      </c>
      <c r="B20" s="52">
        <v>6.1</v>
      </c>
      <c r="C20" s="52">
        <v>18.39</v>
      </c>
      <c r="D20" s="52">
        <v>14.36</v>
      </c>
      <c r="E20" s="52">
        <v>5.92</v>
      </c>
      <c r="F20" s="52">
        <v>13.3</v>
      </c>
      <c r="G20" s="52">
        <v>1.25</v>
      </c>
      <c r="H20" s="52">
        <v>0.5</v>
      </c>
      <c r="I20" s="52">
        <v>1.6</v>
      </c>
      <c r="J20" s="52">
        <v>0.28999999999999998</v>
      </c>
      <c r="K20" s="52">
        <v>151.69999999999999</v>
      </c>
      <c r="L20" s="52">
        <v>28.84</v>
      </c>
      <c r="M20" s="52">
        <v>94.6</v>
      </c>
      <c r="N20" s="52">
        <v>851.8</v>
      </c>
      <c r="O20" s="52">
        <v>0</v>
      </c>
      <c r="P20" s="52">
        <v>0.56000000000000005</v>
      </c>
      <c r="Q20" s="52">
        <v>9.57</v>
      </c>
      <c r="R20" s="43"/>
      <c r="S20" s="43"/>
      <c r="T20" s="43"/>
      <c r="U20" s="43"/>
    </row>
    <row r="21" spans="1:21" s="11" customFormat="1" x14ac:dyDescent="0.25">
      <c r="A21" s="51" t="s">
        <v>696</v>
      </c>
      <c r="B21" s="52">
        <v>13.74</v>
      </c>
      <c r="C21" s="52">
        <v>14.63</v>
      </c>
      <c r="D21" s="52">
        <v>18.54</v>
      </c>
      <c r="E21" s="52">
        <v>5.93</v>
      </c>
      <c r="F21" s="52">
        <v>15.9</v>
      </c>
      <c r="G21" s="18" t="s">
        <v>12</v>
      </c>
      <c r="H21" s="18" t="s">
        <v>12</v>
      </c>
      <c r="I21" s="52">
        <v>1.81</v>
      </c>
      <c r="J21" s="52">
        <v>0.56000000000000005</v>
      </c>
      <c r="K21" s="52">
        <v>343.59</v>
      </c>
      <c r="L21" s="52">
        <v>30.1</v>
      </c>
      <c r="M21" s="52">
        <v>81.290000000000006</v>
      </c>
      <c r="N21" s="52">
        <v>735.4</v>
      </c>
      <c r="O21" s="52">
        <v>0</v>
      </c>
      <c r="P21" s="52">
        <v>0.51</v>
      </c>
      <c r="Q21" s="52">
        <v>9.56</v>
      </c>
      <c r="R21" s="43"/>
      <c r="S21" s="43"/>
      <c r="T21" s="43"/>
      <c r="U21" s="43"/>
    </row>
    <row r="22" spans="1:21" s="11" customFormat="1" x14ac:dyDescent="0.25">
      <c r="A22" s="51" t="s">
        <v>697</v>
      </c>
      <c r="B22" s="52">
        <v>7.7</v>
      </c>
      <c r="C22" s="52">
        <v>13.4</v>
      </c>
      <c r="D22" s="52">
        <v>13.18</v>
      </c>
      <c r="E22" s="52">
        <v>6.23</v>
      </c>
      <c r="F22" s="52">
        <v>20.13</v>
      </c>
      <c r="G22" s="52">
        <v>98.4</v>
      </c>
      <c r="H22" s="52">
        <v>21.36</v>
      </c>
      <c r="I22" s="52">
        <v>1.47</v>
      </c>
      <c r="J22" s="52">
        <v>0.5</v>
      </c>
      <c r="K22" s="52">
        <v>127.94</v>
      </c>
      <c r="L22" s="52">
        <v>30.13</v>
      </c>
      <c r="M22" s="52">
        <v>78.680000000000007</v>
      </c>
      <c r="N22" s="52">
        <v>349.9</v>
      </c>
      <c r="O22" s="52">
        <v>0</v>
      </c>
      <c r="P22" s="52">
        <v>0.37</v>
      </c>
      <c r="Q22" s="52">
        <v>9.49</v>
      </c>
      <c r="R22" s="43"/>
      <c r="S22" s="43"/>
      <c r="T22" s="43"/>
      <c r="U22" s="43"/>
    </row>
    <row r="23" spans="1:21" s="11" customFormat="1" x14ac:dyDescent="0.25">
      <c r="A23" s="51" t="s">
        <v>698</v>
      </c>
      <c r="B23" s="52">
        <v>10.5</v>
      </c>
      <c r="C23" s="52">
        <v>14.34</v>
      </c>
      <c r="D23" s="52">
        <v>15.8</v>
      </c>
      <c r="E23" s="52">
        <v>6.36</v>
      </c>
      <c r="F23" s="52">
        <v>17.22</v>
      </c>
      <c r="G23" s="52">
        <v>83.39</v>
      </c>
      <c r="H23" s="52">
        <v>18.73</v>
      </c>
      <c r="I23" s="52">
        <v>1.29</v>
      </c>
      <c r="J23" s="52">
        <v>0.52</v>
      </c>
      <c r="K23" s="52">
        <v>128.1</v>
      </c>
      <c r="L23" s="52">
        <v>29.45</v>
      </c>
      <c r="M23" s="52">
        <v>80.180000000000007</v>
      </c>
      <c r="N23" s="52">
        <v>247.5</v>
      </c>
      <c r="O23" s="52">
        <v>0</v>
      </c>
      <c r="P23" s="52">
        <v>0.33</v>
      </c>
      <c r="Q23" s="52">
        <v>9.49</v>
      </c>
      <c r="R23" s="43"/>
      <c r="S23" s="43"/>
      <c r="T23" s="43"/>
      <c r="U23" s="43"/>
    </row>
    <row r="24" spans="1:21" s="11" customFormat="1" x14ac:dyDescent="0.25">
      <c r="A24" s="51" t="s">
        <v>699</v>
      </c>
      <c r="B24" s="52">
        <v>5.75</v>
      </c>
      <c r="C24" s="52">
        <v>11.01</v>
      </c>
      <c r="D24" s="52">
        <v>9.91</v>
      </c>
      <c r="E24" s="52">
        <v>6.25</v>
      </c>
      <c r="F24" s="52">
        <v>16.05</v>
      </c>
      <c r="G24" s="52">
        <v>56.01</v>
      </c>
      <c r="H24" s="52">
        <v>14.18</v>
      </c>
      <c r="I24" s="52">
        <v>1.19</v>
      </c>
      <c r="J24" s="52">
        <v>0.83</v>
      </c>
      <c r="K24" s="52">
        <v>127.63</v>
      </c>
      <c r="L24" s="52">
        <v>29.06</v>
      </c>
      <c r="M24" s="52">
        <v>79.64</v>
      </c>
      <c r="N24" s="52">
        <v>175.3</v>
      </c>
      <c r="O24" s="52">
        <v>0</v>
      </c>
      <c r="P24" s="52">
        <v>0.26</v>
      </c>
      <c r="Q24" s="52">
        <v>9.48</v>
      </c>
      <c r="R24" s="43"/>
      <c r="S24" s="43"/>
      <c r="T24" s="43"/>
      <c r="U24" s="43"/>
    </row>
    <row r="25" spans="1:21" s="11" customFormat="1" x14ac:dyDescent="0.25">
      <c r="A25" s="51" t="s">
        <v>700</v>
      </c>
      <c r="B25" s="52">
        <v>9.77</v>
      </c>
      <c r="C25" s="52">
        <v>11.63</v>
      </c>
      <c r="D25" s="52">
        <v>13.69</v>
      </c>
      <c r="E25" s="52">
        <v>5.62</v>
      </c>
      <c r="F25" s="52">
        <v>13.42</v>
      </c>
      <c r="G25" s="52">
        <v>53.62</v>
      </c>
      <c r="H25" s="52">
        <v>13.96</v>
      </c>
      <c r="I25" s="52">
        <v>1.17</v>
      </c>
      <c r="J25" s="52">
        <v>0.65</v>
      </c>
      <c r="K25" s="52">
        <v>133.43</v>
      </c>
      <c r="L25" s="52">
        <v>28.68</v>
      </c>
      <c r="M25" s="52">
        <v>84.69</v>
      </c>
      <c r="N25" s="52">
        <v>102.8</v>
      </c>
      <c r="O25" s="52">
        <v>0</v>
      </c>
      <c r="P25" s="52">
        <v>0.38</v>
      </c>
      <c r="Q25" s="52">
        <v>9.5</v>
      </c>
      <c r="R25" s="43"/>
      <c r="S25" s="43"/>
      <c r="T25" s="43"/>
      <c r="U25" s="43"/>
    </row>
    <row r="26" spans="1:21" s="11" customFormat="1" x14ac:dyDescent="0.25">
      <c r="A26" s="51" t="s">
        <v>701</v>
      </c>
      <c r="B26" s="52">
        <v>9.2200000000000006</v>
      </c>
      <c r="C26" s="52">
        <v>13.45</v>
      </c>
      <c r="D26" s="52">
        <v>14.03</v>
      </c>
      <c r="E26" s="52">
        <v>5.69</v>
      </c>
      <c r="F26" s="52">
        <v>14.22</v>
      </c>
      <c r="G26" s="52">
        <v>51.02</v>
      </c>
      <c r="H26" s="52">
        <v>12.24</v>
      </c>
      <c r="I26" s="52">
        <v>1.18</v>
      </c>
      <c r="J26" s="52">
        <v>0.84</v>
      </c>
      <c r="K26" s="52">
        <v>132.88999999999999</v>
      </c>
      <c r="L26" s="52">
        <v>28.2</v>
      </c>
      <c r="M26" s="52">
        <v>89.07</v>
      </c>
      <c r="N26" s="52">
        <v>70.099999999999994</v>
      </c>
      <c r="O26" s="52">
        <v>0</v>
      </c>
      <c r="P26" s="52">
        <v>0.33</v>
      </c>
      <c r="Q26" s="52">
        <v>9.5299999999999994</v>
      </c>
      <c r="R26" s="43"/>
      <c r="S26" s="43"/>
      <c r="T26" s="43"/>
      <c r="U26" s="43"/>
    </row>
    <row r="27" spans="1:21" s="11" customFormat="1" x14ac:dyDescent="0.25">
      <c r="A27" s="51" t="s">
        <v>702</v>
      </c>
      <c r="B27" s="52">
        <v>18.29</v>
      </c>
      <c r="C27" s="52">
        <v>19.510000000000002</v>
      </c>
      <c r="D27" s="52">
        <v>24.86</v>
      </c>
      <c r="E27" s="52">
        <v>5.49</v>
      </c>
      <c r="F27" s="52">
        <v>15.23</v>
      </c>
      <c r="G27" s="52">
        <v>43.58</v>
      </c>
      <c r="H27" s="52">
        <v>12.08</v>
      </c>
      <c r="I27" s="52">
        <v>1.22</v>
      </c>
      <c r="J27" s="52">
        <v>0.32</v>
      </c>
      <c r="K27" s="52">
        <v>185.21</v>
      </c>
      <c r="L27" s="52">
        <v>27.63</v>
      </c>
      <c r="M27" s="52">
        <v>97.06</v>
      </c>
      <c r="N27" s="52">
        <v>36.6</v>
      </c>
      <c r="O27" s="52">
        <v>0</v>
      </c>
      <c r="P27" s="52">
        <v>0.83</v>
      </c>
      <c r="Q27" s="52">
        <v>9.58</v>
      </c>
      <c r="R27" s="43"/>
      <c r="S27" s="43"/>
      <c r="T27" s="43"/>
      <c r="U27" s="43"/>
    </row>
    <row r="28" spans="1:21" s="11" customFormat="1" x14ac:dyDescent="0.25">
      <c r="A28" s="51" t="s">
        <v>703</v>
      </c>
      <c r="B28" s="52">
        <v>29.47</v>
      </c>
      <c r="C28" s="52">
        <v>21.51</v>
      </c>
      <c r="D28" s="52">
        <v>34.18</v>
      </c>
      <c r="E28" s="52">
        <v>5.84</v>
      </c>
      <c r="F28" s="52">
        <v>9.52</v>
      </c>
      <c r="G28" s="52">
        <v>41.42</v>
      </c>
      <c r="H28" s="52">
        <v>10.65</v>
      </c>
      <c r="I28" s="52">
        <v>1.27</v>
      </c>
      <c r="J28" s="52">
        <v>0.1</v>
      </c>
      <c r="K28" s="52">
        <v>341.99</v>
      </c>
      <c r="L28" s="52">
        <v>27.04</v>
      </c>
      <c r="M28" s="52">
        <v>98.01</v>
      </c>
      <c r="N28" s="52">
        <v>31</v>
      </c>
      <c r="O28" s="52">
        <v>0</v>
      </c>
      <c r="P28" s="52">
        <v>2.0099999999999998</v>
      </c>
      <c r="Q28" s="52">
        <v>9.6199999999999992</v>
      </c>
      <c r="R28" s="43"/>
      <c r="S28" s="43"/>
      <c r="T28" s="43"/>
      <c r="U28" s="43"/>
    </row>
    <row r="29" spans="1:21" s="11" customFormat="1" x14ac:dyDescent="0.25">
      <c r="A29" s="51" t="s">
        <v>704</v>
      </c>
      <c r="B29" s="52">
        <v>50.64</v>
      </c>
      <c r="C29" s="52">
        <v>27.02</v>
      </c>
      <c r="D29" s="52">
        <v>51.64</v>
      </c>
      <c r="E29" s="52">
        <v>6.07</v>
      </c>
      <c r="F29" s="52">
        <v>5.47</v>
      </c>
      <c r="G29" s="52">
        <v>68.77</v>
      </c>
      <c r="H29" s="52">
        <v>17.09</v>
      </c>
      <c r="I29" s="52">
        <v>1.64</v>
      </c>
      <c r="J29" s="52">
        <v>7.0000000000000007E-2</v>
      </c>
      <c r="K29" s="52">
        <v>358.3</v>
      </c>
      <c r="L29" s="52">
        <v>26.26</v>
      </c>
      <c r="M29" s="52">
        <v>98.05</v>
      </c>
      <c r="N29" s="52">
        <v>30.7</v>
      </c>
      <c r="O29" s="52">
        <v>0</v>
      </c>
      <c r="P29" s="52">
        <v>2.14</v>
      </c>
      <c r="Q29" s="52">
        <v>9.64</v>
      </c>
      <c r="R29" s="43"/>
      <c r="S29" s="43"/>
      <c r="T29" s="43"/>
      <c r="U29" s="43"/>
    </row>
    <row r="30" spans="1:21" s="11" customFormat="1" x14ac:dyDescent="0.25">
      <c r="A30" s="51" t="s">
        <v>705</v>
      </c>
      <c r="B30" s="52">
        <v>79.099999999999994</v>
      </c>
      <c r="C30" s="52">
        <v>28.26</v>
      </c>
      <c r="D30" s="52">
        <v>69.319999999999993</v>
      </c>
      <c r="E30" s="52">
        <v>6.02</v>
      </c>
      <c r="F30" s="52">
        <v>4.58</v>
      </c>
      <c r="G30" s="52">
        <v>74.11</v>
      </c>
      <c r="H30" s="52">
        <v>14.98</v>
      </c>
      <c r="I30" s="52">
        <v>2.09</v>
      </c>
      <c r="J30" s="52">
        <v>7.0000000000000007E-2</v>
      </c>
      <c r="K30" s="52">
        <v>308.58</v>
      </c>
      <c r="L30" s="52">
        <v>26.03</v>
      </c>
      <c r="M30" s="52">
        <v>98.08</v>
      </c>
      <c r="N30" s="52">
        <v>30.8</v>
      </c>
      <c r="O30" s="52">
        <v>0</v>
      </c>
      <c r="P30" s="52">
        <v>1.91</v>
      </c>
      <c r="Q30" s="52">
        <v>9.64</v>
      </c>
      <c r="R30" s="43"/>
      <c r="S30" s="43"/>
      <c r="T30" s="43"/>
      <c r="U30" s="43"/>
    </row>
    <row r="31" spans="1:21" s="11" customFormat="1" x14ac:dyDescent="0.25">
      <c r="A31" s="51" t="s">
        <v>706</v>
      </c>
      <c r="B31" s="52">
        <v>56.51</v>
      </c>
      <c r="C31" s="52">
        <v>15.53</v>
      </c>
      <c r="D31" s="52">
        <v>51.09</v>
      </c>
      <c r="E31" s="52">
        <v>6.11</v>
      </c>
      <c r="F31" s="52">
        <v>4.6900000000000004</v>
      </c>
      <c r="G31" s="52">
        <v>88.04</v>
      </c>
      <c r="H31" s="52">
        <v>14.18</v>
      </c>
      <c r="I31" s="52">
        <v>2.59</v>
      </c>
      <c r="J31" s="52">
        <v>0.19</v>
      </c>
      <c r="K31" s="52">
        <v>280.79000000000002</v>
      </c>
      <c r="L31" s="52">
        <v>25.86</v>
      </c>
      <c r="M31" s="52">
        <v>98.13</v>
      </c>
      <c r="N31" s="52">
        <v>31.1</v>
      </c>
      <c r="O31" s="52">
        <v>0</v>
      </c>
      <c r="P31" s="52">
        <v>1.79</v>
      </c>
      <c r="Q31" s="52">
        <v>9.67</v>
      </c>
      <c r="R31" s="43"/>
      <c r="S31" s="43"/>
      <c r="T31" s="43"/>
      <c r="U31" s="43"/>
    </row>
    <row r="32" spans="1:21" s="11" customFormat="1" x14ac:dyDescent="0.25">
      <c r="A32" s="51" t="s">
        <v>707</v>
      </c>
      <c r="B32" s="52">
        <v>22.76</v>
      </c>
      <c r="C32" s="52">
        <v>15.79</v>
      </c>
      <c r="D32" s="52">
        <v>26.5</v>
      </c>
      <c r="E32" s="52">
        <v>5.55</v>
      </c>
      <c r="F32" s="52">
        <v>6.92</v>
      </c>
      <c r="G32" s="52">
        <v>94.3</v>
      </c>
      <c r="H32" s="52">
        <v>16.47</v>
      </c>
      <c r="I32" s="52">
        <v>2.67</v>
      </c>
      <c r="J32" s="52">
        <v>0.08</v>
      </c>
      <c r="K32" s="52">
        <v>286.14</v>
      </c>
      <c r="L32" s="52">
        <v>24.3</v>
      </c>
      <c r="M32" s="52">
        <v>98.13</v>
      </c>
      <c r="N32" s="52">
        <v>31.5</v>
      </c>
      <c r="O32" s="52">
        <v>0</v>
      </c>
      <c r="P32" s="52">
        <v>0.94</v>
      </c>
      <c r="Q32" s="52">
        <v>9.69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5.75</v>
      </c>
      <c r="C34" s="28">
        <f t="shared" si="0"/>
        <v>6.53</v>
      </c>
      <c r="D34" s="28">
        <f t="shared" si="0"/>
        <v>9.66</v>
      </c>
      <c r="E34" s="28">
        <f t="shared" si="0"/>
        <v>5.12</v>
      </c>
      <c r="F34" s="28">
        <f t="shared" si="0"/>
        <v>4.58</v>
      </c>
      <c r="G34" s="28">
        <f t="shared" si="0"/>
        <v>1.25</v>
      </c>
      <c r="H34" s="28">
        <f t="shared" si="0"/>
        <v>0.5</v>
      </c>
      <c r="I34" s="28">
        <f t="shared" si="0"/>
        <v>0.96</v>
      </c>
      <c r="J34" s="28">
        <f t="shared" si="0"/>
        <v>7.0000000000000007E-2</v>
      </c>
      <c r="K34" s="28">
        <f t="shared" si="0"/>
        <v>127.63</v>
      </c>
      <c r="L34" s="28">
        <f t="shared" si="0"/>
        <v>21.41</v>
      </c>
      <c r="M34" s="28">
        <f t="shared" si="0"/>
        <v>78.680000000000007</v>
      </c>
      <c r="N34" s="28">
        <f t="shared" si="0"/>
        <v>30.7</v>
      </c>
      <c r="O34" s="28">
        <f t="shared" si="0"/>
        <v>0</v>
      </c>
      <c r="P34" s="28">
        <f t="shared" si="0"/>
        <v>0.26</v>
      </c>
      <c r="Q34" s="28">
        <f t="shared" si="0"/>
        <v>9.48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79.099999999999994</v>
      </c>
      <c r="C35" s="29">
        <f t="shared" si="1"/>
        <v>28.26</v>
      </c>
      <c r="D35" s="29">
        <f t="shared" si="1"/>
        <v>69.319999999999993</v>
      </c>
      <c r="E35" s="29">
        <f t="shared" si="1"/>
        <v>6.36</v>
      </c>
      <c r="F35" s="29">
        <f t="shared" si="1"/>
        <v>20.13</v>
      </c>
      <c r="G35" s="29">
        <f t="shared" si="1"/>
        <v>98.4</v>
      </c>
      <c r="H35" s="29">
        <f t="shared" si="1"/>
        <v>21.36</v>
      </c>
      <c r="I35" s="29">
        <f t="shared" si="1"/>
        <v>2.67</v>
      </c>
      <c r="J35" s="29">
        <f t="shared" si="1"/>
        <v>1.06</v>
      </c>
      <c r="K35" s="29">
        <f t="shared" si="1"/>
        <v>358.3</v>
      </c>
      <c r="L35" s="29">
        <f t="shared" si="1"/>
        <v>30.13</v>
      </c>
      <c r="M35" s="29">
        <f t="shared" si="1"/>
        <v>98.2</v>
      </c>
      <c r="N35" s="29">
        <f t="shared" si="1"/>
        <v>851.8</v>
      </c>
      <c r="O35" s="29">
        <f t="shared" si="1"/>
        <v>0</v>
      </c>
      <c r="P35" s="29">
        <f t="shared" si="1"/>
        <v>2.14</v>
      </c>
      <c r="Q35" s="29">
        <f t="shared" si="1"/>
        <v>9.69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17.872083333333332</v>
      </c>
      <c r="C36" s="28">
        <f t="shared" si="2"/>
        <v>13.544999999999996</v>
      </c>
      <c r="D36" s="28">
        <f t="shared" si="2"/>
        <v>20.594999999999999</v>
      </c>
      <c r="E36" s="28">
        <f t="shared" si="2"/>
        <v>5.651250000000001</v>
      </c>
      <c r="F36" s="28">
        <f t="shared" si="2"/>
        <v>9.91</v>
      </c>
      <c r="G36" s="28">
        <f t="shared" si="2"/>
        <v>43.05869565217391</v>
      </c>
      <c r="H36" s="28">
        <f t="shared" si="2"/>
        <v>10.024347826086958</v>
      </c>
      <c r="I36" s="28">
        <f t="shared" si="2"/>
        <v>1.405</v>
      </c>
      <c r="J36" s="28">
        <f t="shared" si="2"/>
        <v>0.43624999999999997</v>
      </c>
      <c r="K36" s="28">
        <f t="shared" si="2"/>
        <v>234.92791666666668</v>
      </c>
      <c r="L36" s="28">
        <f t="shared" si="2"/>
        <v>25.732083333333332</v>
      </c>
      <c r="M36" s="28">
        <f t="shared" si="2"/>
        <v>93.910833333333343</v>
      </c>
      <c r="N36" s="28">
        <f t="shared" si="2"/>
        <v>188.12916666666672</v>
      </c>
      <c r="O36" s="28">
        <f t="shared" si="2"/>
        <v>0</v>
      </c>
      <c r="P36" s="28">
        <f t="shared" si="2"/>
        <v>0.68500000000000005</v>
      </c>
      <c r="Q36" s="28">
        <f t="shared" si="2"/>
        <v>9.5958333333333332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18.443403198921047</v>
      </c>
      <c r="C37" s="28">
        <f t="shared" ref="C37:Q37" si="3">STDEV(C9:C32)</f>
        <v>5.8424488611927323</v>
      </c>
      <c r="D37" s="28">
        <f t="shared" si="3"/>
        <v>15.621238051475613</v>
      </c>
      <c r="E37" s="28">
        <f t="shared" si="3"/>
        <v>0.3881204709880684</v>
      </c>
      <c r="F37" s="28">
        <f t="shared" si="3"/>
        <v>4.7065190681787756</v>
      </c>
      <c r="G37" s="28">
        <f t="shared" si="3"/>
        <v>29.21057020767838</v>
      </c>
      <c r="H37" s="28">
        <f t="shared" si="3"/>
        <v>5.6858123478827469</v>
      </c>
      <c r="I37" s="28">
        <f t="shared" si="3"/>
        <v>0.46211235223369274</v>
      </c>
      <c r="J37" s="28">
        <f t="shared" si="3"/>
        <v>0.30281020745531434</v>
      </c>
      <c r="K37" s="28">
        <f t="shared" si="3"/>
        <v>93.098145966649184</v>
      </c>
      <c r="L37" s="28">
        <f t="shared" si="3"/>
        <v>2.9276863979818217</v>
      </c>
      <c r="M37" s="28">
        <f t="shared" si="3"/>
        <v>7.148782758451695</v>
      </c>
      <c r="N37" s="28">
        <f t="shared" si="3"/>
        <v>233.4108627537486</v>
      </c>
      <c r="O37" s="28">
        <f t="shared" si="3"/>
        <v>0</v>
      </c>
      <c r="P37" s="28">
        <f t="shared" si="3"/>
        <v>0.6074465444364846</v>
      </c>
      <c r="Q37" s="28">
        <f t="shared" si="3"/>
        <v>5.9703373050634168E-2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708</v>
      </c>
      <c r="B9" s="52">
        <v>18.59</v>
      </c>
      <c r="C9" s="52">
        <v>5.49</v>
      </c>
      <c r="D9" s="52">
        <v>17.11</v>
      </c>
      <c r="E9" s="52">
        <v>4.4400000000000004</v>
      </c>
      <c r="F9" s="52">
        <v>6.02</v>
      </c>
      <c r="G9" s="52">
        <v>80.64</v>
      </c>
      <c r="H9" s="52">
        <v>14.86</v>
      </c>
      <c r="I9" s="52">
        <v>2.35</v>
      </c>
      <c r="J9" s="52">
        <v>0.09</v>
      </c>
      <c r="K9" s="52">
        <v>325.14</v>
      </c>
      <c r="L9" s="52">
        <v>23.99</v>
      </c>
      <c r="M9" s="52">
        <v>98.15</v>
      </c>
      <c r="N9" s="52">
        <v>30.8</v>
      </c>
      <c r="O9" s="52">
        <v>0</v>
      </c>
      <c r="P9" s="52">
        <v>0.8</v>
      </c>
      <c r="Q9" s="52">
        <v>9.69</v>
      </c>
      <c r="R9" s="43"/>
      <c r="S9" s="43"/>
      <c r="T9" s="43"/>
      <c r="U9" s="43"/>
    </row>
    <row r="10" spans="1:21" s="11" customFormat="1" x14ac:dyDescent="0.25">
      <c r="A10" s="51" t="s">
        <v>709</v>
      </c>
      <c r="B10" s="52">
        <v>15.39</v>
      </c>
      <c r="C10" s="52">
        <v>4.9800000000000004</v>
      </c>
      <c r="D10" s="52">
        <v>14.51</v>
      </c>
      <c r="E10" s="52">
        <v>4.16</v>
      </c>
      <c r="F10" s="52">
        <v>6.69</v>
      </c>
      <c r="G10" s="52">
        <v>52.57</v>
      </c>
      <c r="H10" s="52">
        <v>11.49</v>
      </c>
      <c r="I10" s="52">
        <v>2.02</v>
      </c>
      <c r="J10" s="52">
        <v>0.11</v>
      </c>
      <c r="K10" s="52">
        <v>330.49</v>
      </c>
      <c r="L10" s="52">
        <v>23.47</v>
      </c>
      <c r="M10" s="52">
        <v>98.2</v>
      </c>
      <c r="N10" s="52">
        <v>31.4</v>
      </c>
      <c r="O10" s="52">
        <v>0</v>
      </c>
      <c r="P10" s="52">
        <v>0.57999999999999996</v>
      </c>
      <c r="Q10" s="52">
        <v>9.68</v>
      </c>
      <c r="R10" s="43"/>
      <c r="S10" s="43"/>
      <c r="T10" s="43"/>
      <c r="U10" s="43"/>
    </row>
    <row r="11" spans="1:21" s="11" customFormat="1" x14ac:dyDescent="0.25">
      <c r="A11" s="51" t="s">
        <v>710</v>
      </c>
      <c r="B11" s="52">
        <v>13.4</v>
      </c>
      <c r="C11" s="52">
        <v>5.68</v>
      </c>
      <c r="D11" s="52">
        <v>13.33</v>
      </c>
      <c r="E11" s="52">
        <v>4.17</v>
      </c>
      <c r="F11" s="52">
        <v>7.48</v>
      </c>
      <c r="G11" s="52">
        <v>31.71</v>
      </c>
      <c r="H11" s="52">
        <v>8.2200000000000006</v>
      </c>
      <c r="I11" s="52">
        <v>1.79</v>
      </c>
      <c r="J11" s="52">
        <v>0.35</v>
      </c>
      <c r="K11" s="52">
        <v>338.84</v>
      </c>
      <c r="L11" s="52">
        <v>23.09</v>
      </c>
      <c r="M11" s="52">
        <v>98.2</v>
      </c>
      <c r="N11" s="52">
        <v>31.1</v>
      </c>
      <c r="O11" s="52">
        <v>0</v>
      </c>
      <c r="P11" s="52">
        <v>0.51</v>
      </c>
      <c r="Q11" s="52">
        <v>9.67</v>
      </c>
      <c r="R11" s="43"/>
      <c r="S11" s="43"/>
      <c r="T11" s="43"/>
      <c r="U11" s="43"/>
    </row>
    <row r="12" spans="1:21" s="11" customFormat="1" x14ac:dyDescent="0.25">
      <c r="A12" s="51" t="s">
        <v>711</v>
      </c>
      <c r="B12" s="52">
        <v>11.86</v>
      </c>
      <c r="C12" s="52">
        <v>6.03</v>
      </c>
      <c r="D12" s="52">
        <v>12.37</v>
      </c>
      <c r="E12" s="52">
        <v>4.12</v>
      </c>
      <c r="F12" s="52">
        <v>6.29</v>
      </c>
      <c r="G12" s="52">
        <v>21.43</v>
      </c>
      <c r="H12" s="52">
        <v>6.73</v>
      </c>
      <c r="I12" s="52">
        <v>1.54</v>
      </c>
      <c r="J12" s="52">
        <v>0.62</v>
      </c>
      <c r="K12" s="52">
        <v>329.63</v>
      </c>
      <c r="L12" s="52">
        <v>22.26</v>
      </c>
      <c r="M12" s="52">
        <v>98.2</v>
      </c>
      <c r="N12" s="52">
        <v>31.5</v>
      </c>
      <c r="O12" s="52">
        <v>1.8</v>
      </c>
      <c r="P12" s="52">
        <v>0.46</v>
      </c>
      <c r="Q12" s="52">
        <v>9.65</v>
      </c>
      <c r="R12" s="43"/>
      <c r="S12" s="43"/>
      <c r="T12" s="43"/>
      <c r="U12" s="43"/>
    </row>
    <row r="13" spans="1:21" s="11" customFormat="1" x14ac:dyDescent="0.25">
      <c r="A13" s="51" t="s">
        <v>712</v>
      </c>
      <c r="B13" s="52">
        <v>9.19</v>
      </c>
      <c r="C13" s="52">
        <v>6.07</v>
      </c>
      <c r="D13" s="52">
        <v>10.44</v>
      </c>
      <c r="E13" s="52">
        <v>4.3099999999999996</v>
      </c>
      <c r="F13" s="52">
        <v>6.9</v>
      </c>
      <c r="G13" s="52">
        <v>17.149999999999999</v>
      </c>
      <c r="H13" s="52">
        <v>5.8</v>
      </c>
      <c r="I13" s="52">
        <v>1.34</v>
      </c>
      <c r="J13" s="52">
        <v>0.26</v>
      </c>
      <c r="K13" s="52">
        <v>317.83999999999997</v>
      </c>
      <c r="L13" s="52">
        <v>22.31</v>
      </c>
      <c r="M13" s="52">
        <v>98.18</v>
      </c>
      <c r="N13" s="52">
        <v>31</v>
      </c>
      <c r="O13" s="52">
        <v>0</v>
      </c>
      <c r="P13" s="52">
        <v>0.38</v>
      </c>
      <c r="Q13" s="52">
        <v>9.64</v>
      </c>
      <c r="R13" s="43"/>
      <c r="S13" s="43"/>
      <c r="T13" s="43"/>
      <c r="U13" s="43"/>
    </row>
    <row r="14" spans="1:21" s="11" customFormat="1" x14ac:dyDescent="0.25">
      <c r="A14" s="51" t="s">
        <v>713</v>
      </c>
      <c r="B14" s="52">
        <v>8.5500000000000007</v>
      </c>
      <c r="C14" s="52">
        <v>6.91</v>
      </c>
      <c r="D14" s="52">
        <v>10.199999999999999</v>
      </c>
      <c r="E14" s="52">
        <v>4.04</v>
      </c>
      <c r="F14" s="52">
        <v>7.52</v>
      </c>
      <c r="G14" s="52">
        <v>11.68</v>
      </c>
      <c r="H14" s="52">
        <v>5.18</v>
      </c>
      <c r="I14" s="52">
        <v>1.28</v>
      </c>
      <c r="J14" s="52">
        <v>0.27</v>
      </c>
      <c r="K14" s="52">
        <v>348.89</v>
      </c>
      <c r="L14" s="52">
        <v>22.32</v>
      </c>
      <c r="M14" s="52">
        <v>98.18</v>
      </c>
      <c r="N14" s="52">
        <v>40.700000000000003</v>
      </c>
      <c r="O14" s="52">
        <v>0</v>
      </c>
      <c r="P14" s="52">
        <v>0.32</v>
      </c>
      <c r="Q14" s="52">
        <v>9.65</v>
      </c>
      <c r="R14" s="43"/>
      <c r="S14" s="43"/>
      <c r="T14" s="43"/>
      <c r="U14" s="43"/>
    </row>
    <row r="15" spans="1:21" s="11" customFormat="1" x14ac:dyDescent="0.25">
      <c r="A15" s="51" t="s">
        <v>714</v>
      </c>
      <c r="B15" s="52">
        <v>12.19</v>
      </c>
      <c r="C15" s="52">
        <v>9.39</v>
      </c>
      <c r="D15" s="52">
        <v>14.68</v>
      </c>
      <c r="E15" s="52">
        <v>3.96</v>
      </c>
      <c r="F15" s="52">
        <v>7.91</v>
      </c>
      <c r="G15" s="52">
        <v>8.49</v>
      </c>
      <c r="H15" s="52">
        <v>12.45</v>
      </c>
      <c r="I15" s="52">
        <v>1.19</v>
      </c>
      <c r="J15" s="52">
        <v>0.19</v>
      </c>
      <c r="K15" s="52">
        <v>286.04000000000002</v>
      </c>
      <c r="L15" s="52">
        <v>22.76</v>
      </c>
      <c r="M15" s="52">
        <v>98.18</v>
      </c>
      <c r="N15" s="52">
        <v>67.8</v>
      </c>
      <c r="O15" s="52">
        <v>0</v>
      </c>
      <c r="P15" s="52">
        <v>0.3</v>
      </c>
      <c r="Q15" s="52">
        <v>9.6300000000000008</v>
      </c>
      <c r="R15" s="43"/>
      <c r="S15" s="43"/>
      <c r="T15" s="43"/>
      <c r="U15" s="43"/>
    </row>
    <row r="16" spans="1:21" s="11" customFormat="1" x14ac:dyDescent="0.25">
      <c r="A16" s="51" t="s">
        <v>715</v>
      </c>
      <c r="B16" s="52">
        <v>11.72</v>
      </c>
      <c r="C16" s="52">
        <v>9.0299999999999994</v>
      </c>
      <c r="D16" s="52">
        <v>13.71</v>
      </c>
      <c r="E16" s="52">
        <v>4.09</v>
      </c>
      <c r="F16" s="52">
        <v>7.54</v>
      </c>
      <c r="G16" s="52">
        <v>8.18</v>
      </c>
      <c r="H16" s="52">
        <v>12.16</v>
      </c>
      <c r="I16" s="52">
        <v>1.1499999999999999</v>
      </c>
      <c r="J16" s="52">
        <v>0.72</v>
      </c>
      <c r="K16" s="52">
        <v>143.04</v>
      </c>
      <c r="L16" s="52">
        <v>22.98</v>
      </c>
      <c r="M16" s="52">
        <v>98.17</v>
      </c>
      <c r="N16" s="52">
        <v>109.1</v>
      </c>
      <c r="O16" s="52">
        <v>0</v>
      </c>
      <c r="P16" s="52">
        <v>0.36</v>
      </c>
      <c r="Q16" s="52">
        <v>9.64</v>
      </c>
      <c r="R16" s="43"/>
      <c r="S16" s="43"/>
      <c r="T16" s="43"/>
      <c r="U16" s="43"/>
    </row>
    <row r="17" spans="1:21" s="11" customFormat="1" x14ac:dyDescent="0.25">
      <c r="A17" s="51" t="s">
        <v>716</v>
      </c>
      <c r="B17" s="52">
        <v>9.4499999999999993</v>
      </c>
      <c r="C17" s="52">
        <v>8.15</v>
      </c>
      <c r="D17" s="52">
        <v>11.71</v>
      </c>
      <c r="E17" s="52">
        <v>4.43</v>
      </c>
      <c r="F17" s="52">
        <v>7.98</v>
      </c>
      <c r="G17" s="52">
        <v>8.9600000000000009</v>
      </c>
      <c r="H17" s="52">
        <v>10.24</v>
      </c>
      <c r="I17" s="52">
        <v>1.0900000000000001</v>
      </c>
      <c r="J17" s="52">
        <v>0.56000000000000005</v>
      </c>
      <c r="K17" s="52">
        <v>165.92</v>
      </c>
      <c r="L17" s="52">
        <v>23.65</v>
      </c>
      <c r="M17" s="52">
        <v>98.19</v>
      </c>
      <c r="N17" s="52">
        <v>165.8</v>
      </c>
      <c r="O17" s="52">
        <v>0</v>
      </c>
      <c r="P17" s="52">
        <v>0.37</v>
      </c>
      <c r="Q17" s="52">
        <v>9.6300000000000008</v>
      </c>
      <c r="R17" s="43"/>
      <c r="S17" s="43"/>
      <c r="T17" s="43"/>
      <c r="U17" s="43"/>
    </row>
    <row r="18" spans="1:21" s="11" customFormat="1" x14ac:dyDescent="0.25">
      <c r="A18" s="51" t="s">
        <v>717</v>
      </c>
      <c r="B18" s="52">
        <v>10.210000000000001</v>
      </c>
      <c r="C18" s="52">
        <v>7.52</v>
      </c>
      <c r="D18" s="52">
        <v>12.02</v>
      </c>
      <c r="E18" s="52">
        <v>4.2699999999999996</v>
      </c>
      <c r="F18" s="52">
        <v>9.0299999999999994</v>
      </c>
      <c r="G18" s="52">
        <v>8.5500000000000007</v>
      </c>
      <c r="H18" s="52">
        <v>7.72</v>
      </c>
      <c r="I18" s="52">
        <v>1.06</v>
      </c>
      <c r="J18" s="52">
        <v>0.72</v>
      </c>
      <c r="K18" s="52">
        <v>140.57</v>
      </c>
      <c r="L18" s="52">
        <v>25.99</v>
      </c>
      <c r="M18" s="52">
        <v>98.17</v>
      </c>
      <c r="N18" s="52">
        <v>536.9</v>
      </c>
      <c r="O18" s="52">
        <v>0</v>
      </c>
      <c r="P18" s="52">
        <v>0.35</v>
      </c>
      <c r="Q18" s="52">
        <v>9.64</v>
      </c>
      <c r="R18" s="43"/>
      <c r="S18" s="43"/>
      <c r="T18" s="43"/>
      <c r="U18" s="43"/>
    </row>
    <row r="19" spans="1:21" s="11" customFormat="1" x14ac:dyDescent="0.25">
      <c r="A19" s="51" t="s">
        <v>718</v>
      </c>
      <c r="B19" s="52">
        <v>8.9600000000000009</v>
      </c>
      <c r="C19" s="52">
        <v>7.92</v>
      </c>
      <c r="D19" s="52">
        <v>11</v>
      </c>
      <c r="E19" s="52">
        <v>4.1100000000000003</v>
      </c>
      <c r="F19" s="52">
        <v>9.67</v>
      </c>
      <c r="G19" s="52">
        <v>10.63</v>
      </c>
      <c r="H19" s="52">
        <v>6.27</v>
      </c>
      <c r="I19" s="52">
        <v>0.99</v>
      </c>
      <c r="J19" s="52">
        <v>0.56000000000000005</v>
      </c>
      <c r="K19" s="52">
        <v>155.37</v>
      </c>
      <c r="L19" s="52">
        <v>27.95</v>
      </c>
      <c r="M19" s="52">
        <v>97.97</v>
      </c>
      <c r="N19" s="52">
        <v>714.5</v>
      </c>
      <c r="O19" s="52">
        <v>0</v>
      </c>
      <c r="P19" s="52">
        <v>0.39</v>
      </c>
      <c r="Q19" s="52">
        <v>9.6300000000000008</v>
      </c>
      <c r="R19" s="43"/>
      <c r="S19" s="43"/>
      <c r="T19" s="43"/>
      <c r="U19" s="43"/>
    </row>
    <row r="20" spans="1:21" s="11" customFormat="1" x14ac:dyDescent="0.25">
      <c r="A20" s="51" t="s">
        <v>719</v>
      </c>
      <c r="B20" s="52">
        <v>7.41</v>
      </c>
      <c r="C20" s="52">
        <v>8.17</v>
      </c>
      <c r="D20" s="52">
        <v>9.98</v>
      </c>
      <c r="E20" s="52">
        <v>4.33</v>
      </c>
      <c r="F20" s="52">
        <v>15.64</v>
      </c>
      <c r="G20" s="52">
        <v>10.28</v>
      </c>
      <c r="H20" s="52">
        <v>11.5</v>
      </c>
      <c r="I20" s="52">
        <v>1.05</v>
      </c>
      <c r="J20" s="52">
        <v>0.3</v>
      </c>
      <c r="K20" s="52">
        <v>140.35</v>
      </c>
      <c r="L20" s="52">
        <v>29.19</v>
      </c>
      <c r="M20" s="52">
        <v>90.83</v>
      </c>
      <c r="N20" s="52">
        <v>622</v>
      </c>
      <c r="O20" s="52">
        <v>0</v>
      </c>
      <c r="P20" s="52">
        <v>0.38</v>
      </c>
      <c r="Q20" s="52">
        <v>9.6</v>
      </c>
      <c r="R20" s="43"/>
      <c r="S20" s="43"/>
      <c r="T20" s="43"/>
      <c r="U20" s="43"/>
    </row>
    <row r="21" spans="1:21" s="11" customFormat="1" x14ac:dyDescent="0.25">
      <c r="A21" s="51" t="s">
        <v>720</v>
      </c>
      <c r="B21" s="52">
        <v>8.17</v>
      </c>
      <c r="C21" s="52">
        <v>11.94</v>
      </c>
      <c r="D21" s="52">
        <v>12.79</v>
      </c>
      <c r="E21" s="52">
        <v>4.49</v>
      </c>
      <c r="F21" s="52">
        <v>13.7</v>
      </c>
      <c r="G21" s="52">
        <v>16.420000000000002</v>
      </c>
      <c r="H21" s="52">
        <v>10.75</v>
      </c>
      <c r="I21" s="52">
        <v>1.1499999999999999</v>
      </c>
      <c r="J21" s="52">
        <v>0.49</v>
      </c>
      <c r="K21" s="52">
        <v>196.46</v>
      </c>
      <c r="L21" s="52">
        <v>28.98</v>
      </c>
      <c r="M21" s="52">
        <v>93.68</v>
      </c>
      <c r="N21" s="52">
        <v>413.8</v>
      </c>
      <c r="O21" s="52">
        <v>0</v>
      </c>
      <c r="P21" s="52">
        <v>0.36</v>
      </c>
      <c r="Q21" s="52">
        <v>9.59</v>
      </c>
      <c r="R21" s="43"/>
      <c r="S21" s="43"/>
      <c r="T21" s="43"/>
      <c r="U21" s="43"/>
    </row>
    <row r="22" spans="1:21" s="11" customFormat="1" x14ac:dyDescent="0.25">
      <c r="A22" s="51" t="s">
        <v>721</v>
      </c>
      <c r="B22" s="52">
        <v>13.59</v>
      </c>
      <c r="C22" s="52">
        <v>14.24</v>
      </c>
      <c r="D22" s="52">
        <v>18.34</v>
      </c>
      <c r="E22" s="52">
        <v>4.5199999999999996</v>
      </c>
      <c r="F22" s="52">
        <v>14.31</v>
      </c>
      <c r="G22" s="52">
        <v>20.05</v>
      </c>
      <c r="H22" s="52">
        <v>9.9499999999999993</v>
      </c>
      <c r="I22" s="52">
        <v>1.1599999999999999</v>
      </c>
      <c r="J22" s="52">
        <v>0.31</v>
      </c>
      <c r="K22" s="52">
        <v>357.99</v>
      </c>
      <c r="L22" s="52">
        <v>29.04</v>
      </c>
      <c r="M22" s="52">
        <v>90.96</v>
      </c>
      <c r="N22" s="52">
        <v>246.2</v>
      </c>
      <c r="O22" s="52">
        <v>0</v>
      </c>
      <c r="P22" s="52">
        <v>0.48</v>
      </c>
      <c r="Q22" s="52">
        <v>9.57</v>
      </c>
      <c r="R22" s="43"/>
      <c r="S22" s="43"/>
      <c r="T22" s="43"/>
      <c r="U22" s="43"/>
    </row>
    <row r="23" spans="1:21" s="11" customFormat="1" x14ac:dyDescent="0.25">
      <c r="A23" s="51" t="s">
        <v>722</v>
      </c>
      <c r="B23" s="52">
        <v>11.58</v>
      </c>
      <c r="C23" s="52">
        <v>17.670000000000002</v>
      </c>
      <c r="D23" s="52">
        <v>18.12</v>
      </c>
      <c r="E23" s="52">
        <v>4.6500000000000004</v>
      </c>
      <c r="F23" s="52">
        <v>15.88</v>
      </c>
      <c r="G23" s="52">
        <v>19.32</v>
      </c>
      <c r="H23" s="52">
        <v>8.83</v>
      </c>
      <c r="I23" s="52">
        <v>1.04</v>
      </c>
      <c r="J23" s="52">
        <v>0.67</v>
      </c>
      <c r="K23" s="52">
        <v>350.65</v>
      </c>
      <c r="L23" s="52">
        <v>28.55</v>
      </c>
      <c r="M23" s="52">
        <v>97.36</v>
      </c>
      <c r="N23" s="52">
        <v>174.4</v>
      </c>
      <c r="O23" s="52">
        <v>0</v>
      </c>
      <c r="P23" s="52">
        <v>0.72</v>
      </c>
      <c r="Q23" s="52">
        <v>9.5500000000000007</v>
      </c>
      <c r="R23" s="43"/>
      <c r="S23" s="43"/>
      <c r="T23" s="43"/>
      <c r="U23" s="43"/>
    </row>
    <row r="24" spans="1:21" s="11" customFormat="1" x14ac:dyDescent="0.25">
      <c r="A24" s="51" t="s">
        <v>723</v>
      </c>
      <c r="B24" s="52">
        <v>10.15</v>
      </c>
      <c r="C24" s="52">
        <v>16.23</v>
      </c>
      <c r="D24" s="52">
        <v>16.62</v>
      </c>
      <c r="E24" s="52">
        <v>4.49</v>
      </c>
      <c r="F24" s="52">
        <v>15.56</v>
      </c>
      <c r="G24" s="52">
        <v>42.89</v>
      </c>
      <c r="H24" s="52">
        <v>13.26</v>
      </c>
      <c r="I24" s="52">
        <v>1.1399999999999999</v>
      </c>
      <c r="J24" s="52">
        <v>0.33</v>
      </c>
      <c r="K24" s="52">
        <v>357.45</v>
      </c>
      <c r="L24" s="52">
        <v>28.6</v>
      </c>
      <c r="M24" s="52">
        <v>94.2</v>
      </c>
      <c r="N24" s="52">
        <v>195</v>
      </c>
      <c r="O24" s="52">
        <v>0.2</v>
      </c>
      <c r="P24" s="52">
        <v>0.53</v>
      </c>
      <c r="Q24" s="52">
        <v>9.57</v>
      </c>
      <c r="R24" s="43"/>
      <c r="S24" s="43"/>
      <c r="T24" s="43"/>
      <c r="U24" s="43"/>
    </row>
    <row r="25" spans="1:21" s="11" customFormat="1" x14ac:dyDescent="0.25">
      <c r="A25" s="51" t="s">
        <v>724</v>
      </c>
      <c r="B25" s="52">
        <v>15.53</v>
      </c>
      <c r="C25" s="52">
        <v>13.43</v>
      </c>
      <c r="D25" s="52">
        <v>19.12</v>
      </c>
      <c r="E25" s="52">
        <v>4.17</v>
      </c>
      <c r="F25" s="52">
        <v>16.71</v>
      </c>
      <c r="G25" s="52">
        <v>42.24</v>
      </c>
      <c r="H25" s="52">
        <v>12.23</v>
      </c>
      <c r="I25" s="52">
        <v>1.33</v>
      </c>
      <c r="J25" s="52">
        <v>0.79</v>
      </c>
      <c r="K25" s="52">
        <v>128.69999999999999</v>
      </c>
      <c r="L25" s="52">
        <v>27.89</v>
      </c>
      <c r="M25" s="52">
        <v>95.05</v>
      </c>
      <c r="N25" s="52">
        <v>110.3</v>
      </c>
      <c r="O25" s="52">
        <v>0</v>
      </c>
      <c r="P25" s="52">
        <v>0.49</v>
      </c>
      <c r="Q25" s="52">
        <v>9.6</v>
      </c>
      <c r="R25" s="43"/>
      <c r="S25" s="43"/>
      <c r="T25" s="43"/>
      <c r="U25" s="43"/>
    </row>
    <row r="26" spans="1:21" s="11" customFormat="1" x14ac:dyDescent="0.25">
      <c r="A26" s="51" t="s">
        <v>725</v>
      </c>
      <c r="B26" s="52">
        <v>6.52</v>
      </c>
      <c r="C26" s="52">
        <v>10.47</v>
      </c>
      <c r="D26" s="52">
        <v>10.32</v>
      </c>
      <c r="E26" s="52">
        <v>4.34</v>
      </c>
      <c r="F26" s="52">
        <v>12.7</v>
      </c>
      <c r="G26" s="52">
        <v>40.119999999999997</v>
      </c>
      <c r="H26" s="52">
        <v>10.92</v>
      </c>
      <c r="I26" s="52">
        <v>1.32</v>
      </c>
      <c r="J26" s="52">
        <v>1.28</v>
      </c>
      <c r="K26" s="52">
        <v>170.95</v>
      </c>
      <c r="L26" s="52">
        <v>26.9</v>
      </c>
      <c r="M26" s="52">
        <v>98.06</v>
      </c>
      <c r="N26" s="52">
        <v>81.599999999999994</v>
      </c>
      <c r="O26" s="52">
        <v>0</v>
      </c>
      <c r="P26" s="52">
        <v>0.38</v>
      </c>
      <c r="Q26" s="52">
        <v>9.59</v>
      </c>
      <c r="R26" s="43"/>
      <c r="S26" s="43"/>
      <c r="T26" s="43"/>
      <c r="U26" s="43"/>
    </row>
    <row r="27" spans="1:21" s="11" customFormat="1" x14ac:dyDescent="0.25">
      <c r="A27" s="51" t="s">
        <v>726</v>
      </c>
      <c r="B27" s="52">
        <v>6.92</v>
      </c>
      <c r="C27" s="52">
        <v>9.82</v>
      </c>
      <c r="D27" s="52">
        <v>10.68</v>
      </c>
      <c r="E27" s="52">
        <v>4</v>
      </c>
      <c r="F27" s="52">
        <v>8.42</v>
      </c>
      <c r="G27" s="52">
        <v>35.86</v>
      </c>
      <c r="H27" s="52">
        <v>9.74</v>
      </c>
      <c r="I27" s="52">
        <v>1.18</v>
      </c>
      <c r="J27" s="52">
        <v>0.83</v>
      </c>
      <c r="K27" s="52">
        <v>159.43</v>
      </c>
      <c r="L27" s="52">
        <v>25.79</v>
      </c>
      <c r="M27" s="52">
        <v>98.16</v>
      </c>
      <c r="N27" s="52">
        <v>33.700000000000003</v>
      </c>
      <c r="O27" s="52">
        <v>0</v>
      </c>
      <c r="P27" s="52">
        <v>0.37</v>
      </c>
      <c r="Q27" s="52">
        <v>9.56</v>
      </c>
      <c r="R27" s="43"/>
      <c r="S27" s="43"/>
      <c r="T27" s="43"/>
      <c r="U27" s="43"/>
    </row>
    <row r="28" spans="1:21" s="11" customFormat="1" x14ac:dyDescent="0.25">
      <c r="A28" s="51" t="s">
        <v>727</v>
      </c>
      <c r="B28" s="52">
        <v>7.46</v>
      </c>
      <c r="C28" s="52">
        <v>14.18</v>
      </c>
      <c r="D28" s="52">
        <v>13.39</v>
      </c>
      <c r="E28" s="52">
        <v>3.96</v>
      </c>
      <c r="F28" s="52">
        <v>9.0299999999999994</v>
      </c>
      <c r="G28" s="52">
        <v>31.02</v>
      </c>
      <c r="H28" s="52">
        <v>7.24</v>
      </c>
      <c r="I28" s="52">
        <v>1.2</v>
      </c>
      <c r="J28" s="52">
        <v>0.23</v>
      </c>
      <c r="K28" s="52">
        <v>229.2</v>
      </c>
      <c r="L28" s="52">
        <v>24.71</v>
      </c>
      <c r="M28" s="52">
        <v>98.2</v>
      </c>
      <c r="N28" s="52">
        <v>30.7</v>
      </c>
      <c r="O28" s="52">
        <v>0</v>
      </c>
      <c r="P28" s="52">
        <v>0.34</v>
      </c>
      <c r="Q28" s="52">
        <v>9.5399999999999991</v>
      </c>
      <c r="R28" s="43"/>
      <c r="S28" s="43"/>
      <c r="T28" s="43"/>
      <c r="U28" s="43"/>
    </row>
    <row r="29" spans="1:21" s="11" customFormat="1" x14ac:dyDescent="0.25">
      <c r="A29" s="51" t="s">
        <v>728</v>
      </c>
      <c r="B29" s="52">
        <v>9</v>
      </c>
      <c r="C29" s="52">
        <v>10.96</v>
      </c>
      <c r="D29" s="52">
        <v>12.95</v>
      </c>
      <c r="E29" s="52">
        <v>4.17</v>
      </c>
      <c r="F29" s="52">
        <v>9.6999999999999993</v>
      </c>
      <c r="G29" s="52">
        <v>27.8</v>
      </c>
      <c r="H29" s="52">
        <v>5.64</v>
      </c>
      <c r="I29" s="52">
        <v>1.21</v>
      </c>
      <c r="J29" s="52">
        <v>0.43</v>
      </c>
      <c r="K29" s="52">
        <v>144.27000000000001</v>
      </c>
      <c r="L29" s="52">
        <v>24.45</v>
      </c>
      <c r="M29" s="52">
        <v>98.25</v>
      </c>
      <c r="N29" s="52">
        <v>30.7</v>
      </c>
      <c r="O29" s="52">
        <v>0</v>
      </c>
      <c r="P29" s="52">
        <v>0.37</v>
      </c>
      <c r="Q29" s="52">
        <v>9.59</v>
      </c>
      <c r="R29" s="43"/>
      <c r="S29" s="43"/>
      <c r="T29" s="43"/>
      <c r="U29" s="43"/>
    </row>
    <row r="30" spans="1:21" s="11" customFormat="1" x14ac:dyDescent="0.25">
      <c r="A30" s="51" t="s">
        <v>729</v>
      </c>
      <c r="B30" s="52">
        <v>9.43</v>
      </c>
      <c r="C30" s="52">
        <v>11.04</v>
      </c>
      <c r="D30" s="52">
        <v>12.87</v>
      </c>
      <c r="E30" s="52">
        <v>3.95</v>
      </c>
      <c r="F30" s="52">
        <v>9.44</v>
      </c>
      <c r="G30" s="52">
        <v>26.01</v>
      </c>
      <c r="H30" s="52">
        <v>4.4800000000000004</v>
      </c>
      <c r="I30" s="52">
        <v>1.29</v>
      </c>
      <c r="J30" s="52">
        <v>0.51</v>
      </c>
      <c r="K30" s="52">
        <v>157</v>
      </c>
      <c r="L30" s="52">
        <v>24.33</v>
      </c>
      <c r="M30" s="52">
        <v>98.23</v>
      </c>
      <c r="N30" s="52">
        <v>30.6</v>
      </c>
      <c r="O30" s="52">
        <v>0</v>
      </c>
      <c r="P30" s="52">
        <v>0.3</v>
      </c>
      <c r="Q30" s="52">
        <v>9.61</v>
      </c>
      <c r="R30" s="43"/>
      <c r="S30" s="43"/>
      <c r="T30" s="43"/>
      <c r="U30" s="43"/>
    </row>
    <row r="31" spans="1:21" s="11" customFormat="1" x14ac:dyDescent="0.25">
      <c r="A31" s="51" t="s">
        <v>730</v>
      </c>
      <c r="B31" s="52">
        <v>7.91</v>
      </c>
      <c r="C31" s="52">
        <v>10.55</v>
      </c>
      <c r="D31" s="52">
        <v>11.86</v>
      </c>
      <c r="E31" s="52">
        <v>4.07</v>
      </c>
      <c r="F31" s="52">
        <v>7.64</v>
      </c>
      <c r="G31" s="52">
        <v>24.45</v>
      </c>
      <c r="H31" s="52">
        <v>3.36</v>
      </c>
      <c r="I31" s="52">
        <v>1.29</v>
      </c>
      <c r="J31" s="52">
        <v>0.25</v>
      </c>
      <c r="K31" s="52">
        <v>188.56</v>
      </c>
      <c r="L31" s="52">
        <v>24.34</v>
      </c>
      <c r="M31" s="52">
        <v>98.25</v>
      </c>
      <c r="N31" s="52">
        <v>30.6</v>
      </c>
      <c r="O31" s="52">
        <v>0</v>
      </c>
      <c r="P31" s="52">
        <v>0.28999999999999998</v>
      </c>
      <c r="Q31" s="52">
        <v>9.6</v>
      </c>
      <c r="R31" s="43"/>
      <c r="S31" s="43"/>
      <c r="T31" s="43"/>
      <c r="U31" s="43"/>
    </row>
    <row r="32" spans="1:21" s="11" customFormat="1" x14ac:dyDescent="0.25">
      <c r="A32" s="51" t="s">
        <v>731</v>
      </c>
      <c r="B32" s="52">
        <v>7.12</v>
      </c>
      <c r="C32" s="52">
        <v>9.91</v>
      </c>
      <c r="D32" s="52">
        <v>10.25</v>
      </c>
      <c r="E32" s="52">
        <v>4.55</v>
      </c>
      <c r="F32" s="52">
        <v>7.53</v>
      </c>
      <c r="G32" s="52">
        <v>20.63</v>
      </c>
      <c r="H32" s="52">
        <v>4.22</v>
      </c>
      <c r="I32" s="52">
        <v>1.05</v>
      </c>
      <c r="J32" s="52">
        <v>0.28999999999999998</v>
      </c>
      <c r="K32" s="52">
        <v>213.44</v>
      </c>
      <c r="L32" s="52">
        <v>24.07</v>
      </c>
      <c r="M32" s="52">
        <v>98.26</v>
      </c>
      <c r="N32" s="52">
        <v>30.5</v>
      </c>
      <c r="O32" s="52">
        <v>0</v>
      </c>
      <c r="P32" s="52">
        <v>0.28999999999999998</v>
      </c>
      <c r="Q32" s="52">
        <v>9.58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6.52</v>
      </c>
      <c r="C34" s="28">
        <f t="shared" si="0"/>
        <v>4.9800000000000004</v>
      </c>
      <c r="D34" s="28">
        <f t="shared" si="0"/>
        <v>9.98</v>
      </c>
      <c r="E34" s="28">
        <f t="shared" si="0"/>
        <v>3.95</v>
      </c>
      <c r="F34" s="28">
        <f t="shared" si="0"/>
        <v>6.02</v>
      </c>
      <c r="G34" s="28">
        <f t="shared" si="0"/>
        <v>8.18</v>
      </c>
      <c r="H34" s="28">
        <f t="shared" si="0"/>
        <v>3.36</v>
      </c>
      <c r="I34" s="28">
        <f t="shared" si="0"/>
        <v>0.99</v>
      </c>
      <c r="J34" s="28">
        <f t="shared" si="0"/>
        <v>0.09</v>
      </c>
      <c r="K34" s="28">
        <f t="shared" si="0"/>
        <v>128.69999999999999</v>
      </c>
      <c r="L34" s="28">
        <f t="shared" si="0"/>
        <v>22.26</v>
      </c>
      <c r="M34" s="28">
        <f t="shared" si="0"/>
        <v>90.83</v>
      </c>
      <c r="N34" s="28">
        <f t="shared" si="0"/>
        <v>30.5</v>
      </c>
      <c r="O34" s="28">
        <f t="shared" si="0"/>
        <v>0</v>
      </c>
      <c r="P34" s="28">
        <f t="shared" si="0"/>
        <v>0.28999999999999998</v>
      </c>
      <c r="Q34" s="28">
        <f t="shared" si="0"/>
        <v>9.5399999999999991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18.59</v>
      </c>
      <c r="C35" s="29">
        <f t="shared" si="1"/>
        <v>17.670000000000002</v>
      </c>
      <c r="D35" s="29">
        <f t="shared" si="1"/>
        <v>19.12</v>
      </c>
      <c r="E35" s="29">
        <f t="shared" si="1"/>
        <v>4.6500000000000004</v>
      </c>
      <c r="F35" s="29">
        <f t="shared" si="1"/>
        <v>16.71</v>
      </c>
      <c r="G35" s="29">
        <f t="shared" si="1"/>
        <v>80.64</v>
      </c>
      <c r="H35" s="29">
        <f t="shared" si="1"/>
        <v>14.86</v>
      </c>
      <c r="I35" s="29">
        <f t="shared" si="1"/>
        <v>2.35</v>
      </c>
      <c r="J35" s="29">
        <f t="shared" si="1"/>
        <v>1.28</v>
      </c>
      <c r="K35" s="29">
        <f t="shared" si="1"/>
        <v>357.99</v>
      </c>
      <c r="L35" s="29">
        <f t="shared" si="1"/>
        <v>29.19</v>
      </c>
      <c r="M35" s="29">
        <f t="shared" si="1"/>
        <v>98.26</v>
      </c>
      <c r="N35" s="29">
        <f t="shared" si="1"/>
        <v>714.5</v>
      </c>
      <c r="O35" s="29">
        <f t="shared" si="1"/>
        <v>1.8</v>
      </c>
      <c r="P35" s="29">
        <f t="shared" si="1"/>
        <v>0.8</v>
      </c>
      <c r="Q35" s="29">
        <f t="shared" si="1"/>
        <v>9.69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10.429166666666669</v>
      </c>
      <c r="C36" s="28">
        <f t="shared" si="2"/>
        <v>9.8241666666666667</v>
      </c>
      <c r="D36" s="28">
        <f t="shared" si="2"/>
        <v>13.265416666666667</v>
      </c>
      <c r="E36" s="28">
        <f t="shared" si="2"/>
        <v>4.24125</v>
      </c>
      <c r="F36" s="28">
        <f t="shared" si="2"/>
        <v>9.9704166666666652</v>
      </c>
      <c r="G36" s="28">
        <f t="shared" si="2"/>
        <v>25.71166666666667</v>
      </c>
      <c r="H36" s="28">
        <f t="shared" si="2"/>
        <v>8.884999999999998</v>
      </c>
      <c r="I36" s="28">
        <f t="shared" si="2"/>
        <v>1.3004166666666668</v>
      </c>
      <c r="J36" s="28">
        <f t="shared" si="2"/>
        <v>0.46499999999999991</v>
      </c>
      <c r="K36" s="28">
        <f t="shared" si="2"/>
        <v>236.50916666666669</v>
      </c>
      <c r="L36" s="28">
        <f t="shared" si="2"/>
        <v>25.31708333333334</v>
      </c>
      <c r="M36" s="28">
        <f t="shared" si="2"/>
        <v>97.053333333333327</v>
      </c>
      <c r="N36" s="28">
        <f t="shared" si="2"/>
        <v>159.1958333333333</v>
      </c>
      <c r="O36" s="28">
        <f t="shared" si="2"/>
        <v>8.3333333333333329E-2</v>
      </c>
      <c r="P36" s="28">
        <f t="shared" si="2"/>
        <v>0.42166666666666658</v>
      </c>
      <c r="Q36" s="28">
        <f t="shared" si="2"/>
        <v>9.6124999999999989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3.1170037405881561</v>
      </c>
      <c r="C37" s="28">
        <f t="shared" ref="C37:Q37" si="3">STDEV(C9:C32)</f>
        <v>3.4512970676653376</v>
      </c>
      <c r="D37" s="28">
        <f t="shared" si="3"/>
        <v>2.7849252260146478</v>
      </c>
      <c r="E37" s="28">
        <f t="shared" si="3"/>
        <v>0.20954012794066748</v>
      </c>
      <c r="F37" s="28">
        <f t="shared" si="3"/>
        <v>3.4615245185833485</v>
      </c>
      <c r="G37" s="28">
        <f t="shared" si="3"/>
        <v>17.201908303306425</v>
      </c>
      <c r="H37" s="28">
        <f t="shared" si="3"/>
        <v>3.2023564693084681</v>
      </c>
      <c r="I37" s="28">
        <f t="shared" si="3"/>
        <v>0.32619651541159522</v>
      </c>
      <c r="J37" s="28">
        <f t="shared" si="3"/>
        <v>0.27648413744891343</v>
      </c>
      <c r="K37" s="28">
        <f t="shared" si="3"/>
        <v>88.434457671335267</v>
      </c>
      <c r="L37" s="28">
        <f t="shared" si="3"/>
        <v>2.4417393643033249</v>
      </c>
      <c r="M37" s="28">
        <f t="shared" si="3"/>
        <v>2.3061914145577154</v>
      </c>
      <c r="N37" s="28">
        <f t="shared" si="3"/>
        <v>203.5394107317168</v>
      </c>
      <c r="O37" s="28">
        <f t="shared" si="3"/>
        <v>0.36791618453199326</v>
      </c>
      <c r="P37" s="28">
        <f t="shared" si="3"/>
        <v>0.13097184120415303</v>
      </c>
      <c r="Q37" s="28">
        <f t="shared" si="3"/>
        <v>4.0886906589210029E-2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F42" sqref="F4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732</v>
      </c>
      <c r="B9" s="52">
        <v>6.69</v>
      </c>
      <c r="C9" s="52">
        <v>9.68</v>
      </c>
      <c r="D9" s="52">
        <v>10.06</v>
      </c>
      <c r="E9" s="52">
        <v>4.68</v>
      </c>
      <c r="F9" s="52">
        <v>9.0500000000000007</v>
      </c>
      <c r="G9" s="52">
        <v>19.28</v>
      </c>
      <c r="H9" s="52">
        <v>3.84</v>
      </c>
      <c r="I9" s="52">
        <v>1.1499999999999999</v>
      </c>
      <c r="J9" s="52">
        <v>0.24</v>
      </c>
      <c r="K9" s="52">
        <v>177.92</v>
      </c>
      <c r="L9" s="52">
        <v>23.91</v>
      </c>
      <c r="M9" s="52">
        <v>98.27</v>
      </c>
      <c r="N9" s="52">
        <v>30.6</v>
      </c>
      <c r="O9" s="52">
        <v>0</v>
      </c>
      <c r="P9" s="52">
        <v>0.25</v>
      </c>
      <c r="Q9" s="52">
        <v>9.59</v>
      </c>
      <c r="R9" s="43"/>
      <c r="S9" s="43"/>
      <c r="T9" s="43"/>
      <c r="U9" s="43"/>
    </row>
    <row r="10" spans="1:21" s="11" customFormat="1" x14ac:dyDescent="0.25">
      <c r="A10" s="51" t="s">
        <v>733</v>
      </c>
      <c r="B10" s="52">
        <v>6.29</v>
      </c>
      <c r="C10" s="52">
        <v>7.12</v>
      </c>
      <c r="D10" s="52">
        <v>8.52</v>
      </c>
      <c r="E10" s="52">
        <v>4.54</v>
      </c>
      <c r="F10" s="52">
        <v>8.76</v>
      </c>
      <c r="G10" s="52">
        <v>18.010000000000002</v>
      </c>
      <c r="H10" s="52">
        <v>3.13</v>
      </c>
      <c r="I10" s="52">
        <v>1.1599999999999999</v>
      </c>
      <c r="J10" s="52">
        <v>0.45</v>
      </c>
      <c r="K10" s="52">
        <v>150.82</v>
      </c>
      <c r="L10" s="52">
        <v>23.72</v>
      </c>
      <c r="M10" s="52">
        <v>98.28</v>
      </c>
      <c r="N10" s="52">
        <v>30.5</v>
      </c>
      <c r="O10" s="52">
        <v>0</v>
      </c>
      <c r="P10" s="52">
        <v>0.22</v>
      </c>
      <c r="Q10" s="52">
        <v>9.6</v>
      </c>
      <c r="R10" s="43"/>
      <c r="S10" s="43"/>
      <c r="T10" s="43"/>
      <c r="U10" s="43"/>
    </row>
    <row r="11" spans="1:21" s="11" customFormat="1" x14ac:dyDescent="0.25">
      <c r="A11" s="51" t="s">
        <v>734</v>
      </c>
      <c r="B11" s="52">
        <v>7.43</v>
      </c>
      <c r="C11" s="52">
        <v>6.08</v>
      </c>
      <c r="D11" s="52">
        <v>8.82</v>
      </c>
      <c r="E11" s="52">
        <v>4.75</v>
      </c>
      <c r="F11" s="52">
        <v>7.35</v>
      </c>
      <c r="G11" s="52">
        <v>15.38</v>
      </c>
      <c r="H11" s="52">
        <v>2.64</v>
      </c>
      <c r="I11" s="52">
        <v>1.1599999999999999</v>
      </c>
      <c r="J11" s="52">
        <v>0.43</v>
      </c>
      <c r="K11" s="52">
        <v>160.83000000000001</v>
      </c>
      <c r="L11" s="52">
        <v>23.66</v>
      </c>
      <c r="M11" s="52">
        <v>98.3</v>
      </c>
      <c r="N11" s="52">
        <v>30.6</v>
      </c>
      <c r="O11" s="52">
        <v>0</v>
      </c>
      <c r="P11" s="52">
        <v>0.26</v>
      </c>
      <c r="Q11" s="52">
        <v>9.61</v>
      </c>
      <c r="R11" s="43"/>
      <c r="S11" s="43"/>
      <c r="T11" s="43"/>
      <c r="U11" s="43"/>
    </row>
    <row r="12" spans="1:21" s="11" customFormat="1" x14ac:dyDescent="0.25">
      <c r="A12" s="51" t="s">
        <v>735</v>
      </c>
      <c r="B12" s="52">
        <v>7.65</v>
      </c>
      <c r="C12" s="52">
        <v>5.95</v>
      </c>
      <c r="D12" s="52">
        <v>9.06</v>
      </c>
      <c r="E12" s="52">
        <v>4.5</v>
      </c>
      <c r="F12" s="52">
        <v>6.29</v>
      </c>
      <c r="G12" s="52">
        <v>16.579999999999998</v>
      </c>
      <c r="H12" s="52">
        <v>2.23</v>
      </c>
      <c r="I12" s="52">
        <v>1.05</v>
      </c>
      <c r="J12" s="52">
        <v>0.72</v>
      </c>
      <c r="K12" s="52">
        <v>155.13999999999999</v>
      </c>
      <c r="L12" s="52">
        <v>23.63</v>
      </c>
      <c r="M12" s="52">
        <v>98.33</v>
      </c>
      <c r="N12" s="52">
        <v>30.7</v>
      </c>
      <c r="O12" s="52">
        <v>0</v>
      </c>
      <c r="P12" s="52">
        <v>0.25</v>
      </c>
      <c r="Q12" s="52">
        <v>9.57</v>
      </c>
      <c r="R12" s="43"/>
      <c r="S12" s="43"/>
      <c r="T12" s="43"/>
      <c r="U12" s="43"/>
    </row>
    <row r="13" spans="1:21" s="11" customFormat="1" x14ac:dyDescent="0.25">
      <c r="A13" s="51" t="s">
        <v>736</v>
      </c>
      <c r="B13" s="52">
        <v>7.68</v>
      </c>
      <c r="C13" s="52">
        <v>5.63</v>
      </c>
      <c r="D13" s="52">
        <v>8.93</v>
      </c>
      <c r="E13" s="52">
        <v>4.38</v>
      </c>
      <c r="F13" s="52">
        <v>6.93</v>
      </c>
      <c r="G13" s="52">
        <v>14.55</v>
      </c>
      <c r="H13" s="52">
        <v>2.61</v>
      </c>
      <c r="I13" s="52">
        <v>0.99</v>
      </c>
      <c r="J13" s="52">
        <v>0.89</v>
      </c>
      <c r="K13" s="52">
        <v>145.54</v>
      </c>
      <c r="L13" s="52">
        <v>23.69</v>
      </c>
      <c r="M13" s="52">
        <v>98.32</v>
      </c>
      <c r="N13" s="52">
        <v>31.9</v>
      </c>
      <c r="O13" s="52">
        <v>0</v>
      </c>
      <c r="P13" s="52">
        <v>0.24</v>
      </c>
      <c r="Q13" s="52">
        <v>9.56</v>
      </c>
      <c r="R13" s="43"/>
      <c r="S13" s="43"/>
      <c r="T13" s="43"/>
      <c r="U13" s="43"/>
    </row>
    <row r="14" spans="1:21" s="11" customFormat="1" x14ac:dyDescent="0.25">
      <c r="A14" s="51" t="s">
        <v>737</v>
      </c>
      <c r="B14" s="52">
        <v>7.67</v>
      </c>
      <c r="C14" s="52">
        <v>6.78</v>
      </c>
      <c r="D14" s="52">
        <v>9.6999999999999993</v>
      </c>
      <c r="E14" s="52">
        <v>4.47</v>
      </c>
      <c r="F14" s="52">
        <v>7.19</v>
      </c>
      <c r="G14" s="52">
        <v>12.7</v>
      </c>
      <c r="H14" s="52">
        <v>2.48</v>
      </c>
      <c r="I14" s="52">
        <v>0.97</v>
      </c>
      <c r="J14" s="52">
        <v>0.39</v>
      </c>
      <c r="K14" s="52">
        <v>327.61</v>
      </c>
      <c r="L14" s="52">
        <v>22.86</v>
      </c>
      <c r="M14" s="52">
        <v>98.24</v>
      </c>
      <c r="N14" s="52">
        <v>37.5</v>
      </c>
      <c r="O14" s="52">
        <v>0.2</v>
      </c>
      <c r="P14" s="52">
        <v>0.2</v>
      </c>
      <c r="Q14" s="52">
        <v>9.59</v>
      </c>
      <c r="R14" s="43"/>
      <c r="S14" s="43"/>
      <c r="T14" s="43"/>
      <c r="U14" s="43"/>
    </row>
    <row r="15" spans="1:21" s="11" customFormat="1" x14ac:dyDescent="0.25">
      <c r="A15" s="51" t="s">
        <v>738</v>
      </c>
      <c r="B15" s="52">
        <v>8.24</v>
      </c>
      <c r="C15" s="52">
        <v>7.08</v>
      </c>
      <c r="D15" s="52">
        <v>9.91</v>
      </c>
      <c r="E15" s="52">
        <v>4.47</v>
      </c>
      <c r="F15" s="52">
        <v>6.81</v>
      </c>
      <c r="G15" s="52">
        <v>11</v>
      </c>
      <c r="H15" s="52">
        <v>2.17</v>
      </c>
      <c r="I15" s="52">
        <v>1.01</v>
      </c>
      <c r="J15" s="52">
        <v>0.19</v>
      </c>
      <c r="K15" s="52">
        <v>136.41</v>
      </c>
      <c r="L15" s="52">
        <v>23.5</v>
      </c>
      <c r="M15" s="52">
        <v>98.26</v>
      </c>
      <c r="N15" s="52">
        <v>134.6</v>
      </c>
      <c r="O15" s="52">
        <v>0</v>
      </c>
      <c r="P15" s="52">
        <v>0.22</v>
      </c>
      <c r="Q15" s="52">
        <v>9.6</v>
      </c>
      <c r="R15" s="43"/>
      <c r="S15" s="43"/>
      <c r="T15" s="43"/>
      <c r="U15" s="43"/>
    </row>
    <row r="16" spans="1:21" s="11" customFormat="1" x14ac:dyDescent="0.25">
      <c r="A16" s="51" t="s">
        <v>739</v>
      </c>
      <c r="B16" s="52">
        <v>9.9600000000000009</v>
      </c>
      <c r="C16" s="52">
        <v>7.9</v>
      </c>
      <c r="D16" s="52">
        <v>11.97</v>
      </c>
      <c r="E16" s="52">
        <v>5.05</v>
      </c>
      <c r="F16" s="52">
        <v>7.72</v>
      </c>
      <c r="G16" s="52">
        <v>9.49</v>
      </c>
      <c r="H16" s="52">
        <v>1.83</v>
      </c>
      <c r="I16" s="52">
        <v>0.97</v>
      </c>
      <c r="J16" s="52">
        <v>0.25</v>
      </c>
      <c r="K16" s="52">
        <v>234.71</v>
      </c>
      <c r="L16" s="52">
        <v>28.01</v>
      </c>
      <c r="M16" s="52">
        <v>98.23</v>
      </c>
      <c r="N16" s="52">
        <v>513</v>
      </c>
      <c r="O16" s="52">
        <v>0</v>
      </c>
      <c r="P16" s="52">
        <v>0.25</v>
      </c>
      <c r="Q16" s="52">
        <v>9.57</v>
      </c>
      <c r="R16" s="43"/>
      <c r="S16" s="43"/>
      <c r="T16" s="43"/>
      <c r="U16" s="43"/>
    </row>
    <row r="17" spans="1:21" s="11" customFormat="1" x14ac:dyDescent="0.25">
      <c r="A17" s="51" t="s">
        <v>740</v>
      </c>
      <c r="B17" s="52">
        <v>8.77</v>
      </c>
      <c r="C17" s="52">
        <v>7.44</v>
      </c>
      <c r="D17" s="52">
        <v>10.69</v>
      </c>
      <c r="E17" s="52">
        <v>4.13</v>
      </c>
      <c r="F17" s="52">
        <v>8.89</v>
      </c>
      <c r="G17" s="52">
        <v>9.91</v>
      </c>
      <c r="H17" s="52">
        <v>1.44</v>
      </c>
      <c r="I17" s="52">
        <v>0.87</v>
      </c>
      <c r="J17" s="52">
        <v>1.1000000000000001</v>
      </c>
      <c r="K17" s="52">
        <v>151.63</v>
      </c>
      <c r="L17" s="52">
        <v>28.14</v>
      </c>
      <c r="M17" s="52">
        <v>98</v>
      </c>
      <c r="N17" s="52">
        <v>492.3</v>
      </c>
      <c r="O17" s="52">
        <v>0</v>
      </c>
      <c r="P17" s="52">
        <v>0.22</v>
      </c>
      <c r="Q17" s="52">
        <v>9.57</v>
      </c>
      <c r="R17" s="43"/>
      <c r="S17" s="43"/>
      <c r="T17" s="43"/>
      <c r="U17" s="43"/>
    </row>
    <row r="18" spans="1:21" s="11" customFormat="1" x14ac:dyDescent="0.25">
      <c r="A18" s="51" t="s">
        <v>741</v>
      </c>
      <c r="B18" s="52">
        <v>8.42</v>
      </c>
      <c r="C18" s="52">
        <v>7.02</v>
      </c>
      <c r="D18" s="52">
        <v>10.16</v>
      </c>
      <c r="E18" s="52">
        <v>4.3499999999999996</v>
      </c>
      <c r="F18" s="52">
        <v>7.74</v>
      </c>
      <c r="G18" s="52">
        <v>9.61</v>
      </c>
      <c r="H18" s="52">
        <v>1.28</v>
      </c>
      <c r="I18" s="52">
        <v>0.85</v>
      </c>
      <c r="J18" s="52">
        <v>1.07</v>
      </c>
      <c r="K18" s="52">
        <v>141.78</v>
      </c>
      <c r="L18" s="52">
        <v>28.3</v>
      </c>
      <c r="M18" s="52">
        <v>96.92</v>
      </c>
      <c r="N18" s="52">
        <v>672.9</v>
      </c>
      <c r="O18" s="52">
        <v>0</v>
      </c>
      <c r="P18" s="52">
        <v>0.21</v>
      </c>
      <c r="Q18" s="52">
        <v>9.58</v>
      </c>
      <c r="R18" s="43"/>
      <c r="S18" s="43"/>
      <c r="T18" s="43"/>
      <c r="U18" s="43"/>
    </row>
    <row r="19" spans="1:21" s="11" customFormat="1" x14ac:dyDescent="0.25">
      <c r="A19" s="51" t="s">
        <v>742</v>
      </c>
      <c r="B19" s="52">
        <v>8.0299999999999994</v>
      </c>
      <c r="C19" s="52">
        <v>7.41</v>
      </c>
      <c r="D19" s="52">
        <v>10.31</v>
      </c>
      <c r="E19" s="52">
        <v>4.54</v>
      </c>
      <c r="F19" s="52">
        <v>8.41</v>
      </c>
      <c r="G19" s="52">
        <v>11.4</v>
      </c>
      <c r="H19" s="52">
        <v>1.25</v>
      </c>
      <c r="I19" s="52">
        <v>0.87</v>
      </c>
      <c r="J19" s="52">
        <v>0.18</v>
      </c>
      <c r="K19" s="52">
        <v>293.86</v>
      </c>
      <c r="L19" s="52">
        <v>30.51</v>
      </c>
      <c r="M19" s="52">
        <v>85.37</v>
      </c>
      <c r="N19" s="52">
        <v>970.9</v>
      </c>
      <c r="O19" s="52">
        <v>0</v>
      </c>
      <c r="P19" s="52">
        <v>0.21</v>
      </c>
      <c r="Q19" s="52">
        <v>9.58</v>
      </c>
      <c r="R19" s="43"/>
      <c r="S19" s="43"/>
      <c r="T19" s="43"/>
      <c r="U19" s="43"/>
    </row>
    <row r="20" spans="1:21" s="11" customFormat="1" x14ac:dyDescent="0.25">
      <c r="A20" s="51" t="s">
        <v>743</v>
      </c>
      <c r="B20" s="52">
        <v>7.44</v>
      </c>
      <c r="C20" s="52">
        <v>7.23</v>
      </c>
      <c r="D20" s="52">
        <v>9.48</v>
      </c>
      <c r="E20" s="52">
        <v>4.47</v>
      </c>
      <c r="F20" s="52">
        <v>7.2</v>
      </c>
      <c r="G20" s="52">
        <v>12.2</v>
      </c>
      <c r="H20" s="52">
        <v>1.24</v>
      </c>
      <c r="I20" s="52">
        <v>0.89</v>
      </c>
      <c r="J20" s="52">
        <v>0.76</v>
      </c>
      <c r="K20" s="52">
        <v>151.41</v>
      </c>
      <c r="L20" s="52">
        <v>29.4</v>
      </c>
      <c r="M20" s="52">
        <v>81.180000000000007</v>
      </c>
      <c r="N20" s="52">
        <v>1056.7</v>
      </c>
      <c r="O20" s="52">
        <v>0</v>
      </c>
      <c r="P20" s="52">
        <v>0.2</v>
      </c>
      <c r="Q20" s="52">
        <v>9.56</v>
      </c>
      <c r="R20" s="43"/>
      <c r="S20" s="43"/>
      <c r="T20" s="43"/>
      <c r="U20" s="43"/>
    </row>
    <row r="21" spans="1:21" s="11" customFormat="1" x14ac:dyDescent="0.25">
      <c r="A21" s="51" t="s">
        <v>744</v>
      </c>
      <c r="B21" s="52">
        <v>7.05</v>
      </c>
      <c r="C21" s="52">
        <v>7.61</v>
      </c>
      <c r="D21" s="52">
        <v>9.2799999999999994</v>
      </c>
      <c r="E21" s="52">
        <v>4.0599999999999996</v>
      </c>
      <c r="F21" s="52">
        <v>7.75</v>
      </c>
      <c r="G21" s="52">
        <v>12.43</v>
      </c>
      <c r="H21" s="52">
        <v>1.29</v>
      </c>
      <c r="I21" s="52">
        <v>0.84</v>
      </c>
      <c r="J21" s="52">
        <v>0.7</v>
      </c>
      <c r="K21" s="52">
        <v>211.01</v>
      </c>
      <c r="L21" s="52">
        <v>29.85</v>
      </c>
      <c r="M21" s="52">
        <v>76.680000000000007</v>
      </c>
      <c r="N21" s="52">
        <v>874.4</v>
      </c>
      <c r="O21" s="52">
        <v>0</v>
      </c>
      <c r="P21" s="52">
        <v>0.2</v>
      </c>
      <c r="Q21" s="52">
        <v>9.5</v>
      </c>
      <c r="R21" s="43"/>
      <c r="S21" s="43"/>
      <c r="T21" s="43"/>
      <c r="U21" s="43"/>
    </row>
    <row r="22" spans="1:21" s="11" customFormat="1" x14ac:dyDescent="0.25">
      <c r="A22" s="51" t="s">
        <v>745</v>
      </c>
      <c r="B22" s="52">
        <v>6.61</v>
      </c>
      <c r="C22" s="52">
        <v>8.84</v>
      </c>
      <c r="D22" s="52">
        <v>9.58</v>
      </c>
      <c r="E22" s="52">
        <v>4.25</v>
      </c>
      <c r="F22" s="52">
        <v>10.119999999999999</v>
      </c>
      <c r="G22" s="52">
        <v>11.23</v>
      </c>
      <c r="H22" s="52">
        <v>1.27</v>
      </c>
      <c r="I22" s="52">
        <v>0.78</v>
      </c>
      <c r="J22" s="52">
        <v>0.99</v>
      </c>
      <c r="K22" s="52">
        <v>154.15</v>
      </c>
      <c r="L22" s="52">
        <v>29.86</v>
      </c>
      <c r="M22" s="52">
        <v>75.11</v>
      </c>
      <c r="N22" s="52">
        <v>381.3</v>
      </c>
      <c r="O22" s="52">
        <v>0</v>
      </c>
      <c r="P22" s="52">
        <v>0.19</v>
      </c>
      <c r="Q22" s="52">
        <v>9.49</v>
      </c>
      <c r="R22" s="43"/>
      <c r="S22" s="43"/>
      <c r="T22" s="43"/>
      <c r="U22" s="43"/>
    </row>
    <row r="23" spans="1:21" s="11" customFormat="1" x14ac:dyDescent="0.25">
      <c r="A23" s="51" t="s">
        <v>746</v>
      </c>
      <c r="B23" s="52">
        <v>5.85</v>
      </c>
      <c r="C23" s="52">
        <v>8.33</v>
      </c>
      <c r="D23" s="52">
        <v>9.0500000000000007</v>
      </c>
      <c r="E23" s="52">
        <v>4.49</v>
      </c>
      <c r="F23" s="52">
        <v>13.94</v>
      </c>
      <c r="G23" s="52">
        <v>8.6</v>
      </c>
      <c r="H23" s="52">
        <v>1.28</v>
      </c>
      <c r="I23" s="52">
        <v>0.78</v>
      </c>
      <c r="J23" s="52">
        <v>0.47</v>
      </c>
      <c r="K23" s="52">
        <v>145.6</v>
      </c>
      <c r="L23" s="52">
        <v>29.62</v>
      </c>
      <c r="M23" s="52">
        <v>75.05</v>
      </c>
      <c r="N23" s="52">
        <v>181.7</v>
      </c>
      <c r="O23" s="52">
        <v>0</v>
      </c>
      <c r="P23" s="52">
        <v>0.17</v>
      </c>
      <c r="Q23" s="52">
        <v>9.5</v>
      </c>
      <c r="R23" s="43"/>
      <c r="S23" s="43"/>
      <c r="T23" s="43"/>
      <c r="U23" s="43"/>
    </row>
    <row r="24" spans="1:21" s="11" customFormat="1" x14ac:dyDescent="0.25">
      <c r="A24" s="51" t="s">
        <v>747</v>
      </c>
      <c r="B24" s="52">
        <v>7.59</v>
      </c>
      <c r="C24" s="52">
        <v>10.59</v>
      </c>
      <c r="D24" s="52">
        <v>11.25</v>
      </c>
      <c r="E24" s="52">
        <v>4.82</v>
      </c>
      <c r="F24" s="52">
        <v>12.94</v>
      </c>
      <c r="G24" s="52">
        <v>9.08</v>
      </c>
      <c r="H24" s="52">
        <v>1.28</v>
      </c>
      <c r="I24" s="52">
        <v>0.8</v>
      </c>
      <c r="J24" s="52">
        <v>0.86</v>
      </c>
      <c r="K24" s="52">
        <v>156.44</v>
      </c>
      <c r="L24" s="52">
        <v>29.35</v>
      </c>
      <c r="M24" s="52">
        <v>76.56</v>
      </c>
      <c r="N24" s="52">
        <v>154.69999999999999</v>
      </c>
      <c r="O24" s="52">
        <v>0</v>
      </c>
      <c r="P24" s="52">
        <v>0.2</v>
      </c>
      <c r="Q24" s="52">
        <v>9.51</v>
      </c>
      <c r="R24" s="43"/>
      <c r="S24" s="43"/>
      <c r="T24" s="43"/>
      <c r="U24" s="43"/>
    </row>
    <row r="25" spans="1:21" s="11" customFormat="1" x14ac:dyDescent="0.25">
      <c r="A25" s="51" t="s">
        <v>748</v>
      </c>
      <c r="B25" s="52">
        <v>6.64</v>
      </c>
      <c r="C25" s="52">
        <v>9.75</v>
      </c>
      <c r="D25" s="52">
        <v>10.66</v>
      </c>
      <c r="E25" s="52">
        <v>4.97</v>
      </c>
      <c r="F25" s="52">
        <v>12.28</v>
      </c>
      <c r="G25" s="52">
        <v>15.39</v>
      </c>
      <c r="H25" s="52">
        <v>1.31</v>
      </c>
      <c r="I25" s="52">
        <v>0.72</v>
      </c>
      <c r="J25" s="52">
        <v>0.98</v>
      </c>
      <c r="K25" s="52">
        <v>151.59</v>
      </c>
      <c r="L25" s="52">
        <v>29.16</v>
      </c>
      <c r="M25" s="52">
        <v>79.930000000000007</v>
      </c>
      <c r="N25" s="52">
        <v>101.7</v>
      </c>
      <c r="O25" s="52">
        <v>0</v>
      </c>
      <c r="P25" s="52">
        <v>0.18</v>
      </c>
      <c r="Q25" s="52">
        <v>9.49</v>
      </c>
      <c r="R25" s="43"/>
      <c r="S25" s="43"/>
      <c r="T25" s="43"/>
      <c r="U25" s="43"/>
    </row>
    <row r="26" spans="1:21" s="11" customFormat="1" x14ac:dyDescent="0.25">
      <c r="A26" s="51" t="s">
        <v>749</v>
      </c>
      <c r="B26" s="52">
        <v>6.26</v>
      </c>
      <c r="C26" s="52">
        <v>10.42</v>
      </c>
      <c r="D26" s="52">
        <v>10.19</v>
      </c>
      <c r="E26" s="52">
        <v>4.6900000000000004</v>
      </c>
      <c r="F26" s="52">
        <v>13.1</v>
      </c>
      <c r="G26" s="52">
        <v>14.1</v>
      </c>
      <c r="H26" s="52">
        <v>1.3</v>
      </c>
      <c r="I26" s="52">
        <v>0.64</v>
      </c>
      <c r="J26" s="52">
        <v>0.39</v>
      </c>
      <c r="K26" s="52">
        <v>179.67</v>
      </c>
      <c r="L26" s="52">
        <v>28.31</v>
      </c>
      <c r="M26" s="52">
        <v>87.27</v>
      </c>
      <c r="N26" s="52">
        <v>56</v>
      </c>
      <c r="O26" s="52">
        <v>0</v>
      </c>
      <c r="P26" s="52">
        <v>0.19</v>
      </c>
      <c r="Q26" s="52">
        <v>9.4600000000000009</v>
      </c>
      <c r="R26" s="43"/>
      <c r="S26" s="43"/>
      <c r="T26" s="43"/>
      <c r="U26" s="43"/>
    </row>
    <row r="27" spans="1:21" s="11" customFormat="1" x14ac:dyDescent="0.25">
      <c r="A27" s="51" t="s">
        <v>750</v>
      </c>
      <c r="B27" s="52">
        <v>10.16</v>
      </c>
      <c r="C27" s="52">
        <v>14.03</v>
      </c>
      <c r="D27" s="52">
        <v>15.48</v>
      </c>
      <c r="E27" s="52">
        <v>4.78</v>
      </c>
      <c r="F27" s="52">
        <v>7.4</v>
      </c>
      <c r="G27" s="52">
        <v>11.99</v>
      </c>
      <c r="H27" s="52">
        <v>1.29</v>
      </c>
      <c r="I27" s="52">
        <v>0.73</v>
      </c>
      <c r="J27" s="52">
        <v>1.25</v>
      </c>
      <c r="K27" s="52">
        <v>312.47000000000003</v>
      </c>
      <c r="L27" s="52">
        <v>27.43</v>
      </c>
      <c r="M27" s="52">
        <v>98.24</v>
      </c>
      <c r="N27" s="52">
        <v>37.200000000000003</v>
      </c>
      <c r="O27" s="52">
        <v>0</v>
      </c>
      <c r="P27" s="52">
        <v>0.57999999999999996</v>
      </c>
      <c r="Q27" s="52">
        <v>9.48</v>
      </c>
      <c r="R27" s="43"/>
      <c r="S27" s="43"/>
      <c r="T27" s="43"/>
      <c r="U27" s="43"/>
    </row>
    <row r="28" spans="1:21" s="11" customFormat="1" x14ac:dyDescent="0.25">
      <c r="A28" s="51" t="s">
        <v>751</v>
      </c>
      <c r="B28" s="52">
        <v>21.74</v>
      </c>
      <c r="C28" s="52">
        <v>21.72</v>
      </c>
      <c r="D28" s="52">
        <v>27.48</v>
      </c>
      <c r="E28" s="52">
        <v>4.82</v>
      </c>
      <c r="F28" s="52">
        <v>6.83</v>
      </c>
      <c r="G28" s="52">
        <v>14.22</v>
      </c>
      <c r="H28" s="52">
        <v>1.28</v>
      </c>
      <c r="I28" s="52">
        <v>0.86</v>
      </c>
      <c r="J28" s="52">
        <v>0.14000000000000001</v>
      </c>
      <c r="K28" s="52">
        <v>293.44</v>
      </c>
      <c r="L28" s="52">
        <v>24.11</v>
      </c>
      <c r="M28" s="52">
        <v>98.28</v>
      </c>
      <c r="N28" s="52">
        <v>31.2</v>
      </c>
      <c r="O28" s="52">
        <v>0</v>
      </c>
      <c r="P28" s="52">
        <v>0.98</v>
      </c>
      <c r="Q28" s="52">
        <v>9.5500000000000007</v>
      </c>
      <c r="R28" s="43"/>
      <c r="S28" s="43"/>
      <c r="T28" s="43"/>
      <c r="U28" s="43"/>
    </row>
    <row r="29" spans="1:21" s="11" customFormat="1" x14ac:dyDescent="0.25">
      <c r="A29" s="51" t="s">
        <v>752</v>
      </c>
      <c r="B29" s="52">
        <v>11.25</v>
      </c>
      <c r="C29" s="52">
        <v>19.940000000000001</v>
      </c>
      <c r="D29" s="52">
        <v>19.440000000000001</v>
      </c>
      <c r="E29" s="52">
        <v>5.05</v>
      </c>
      <c r="F29" s="52">
        <v>6.88</v>
      </c>
      <c r="G29" s="52">
        <v>18.37</v>
      </c>
      <c r="H29" s="52">
        <v>1.35</v>
      </c>
      <c r="I29" s="52">
        <v>0.97</v>
      </c>
      <c r="J29" s="52">
        <v>0.19</v>
      </c>
      <c r="K29" s="52">
        <v>185.8</v>
      </c>
      <c r="L29" s="52">
        <v>24.25</v>
      </c>
      <c r="M29" s="52">
        <v>98.24</v>
      </c>
      <c r="N29" s="52">
        <v>31.5</v>
      </c>
      <c r="O29" s="52">
        <v>0</v>
      </c>
      <c r="P29" s="52">
        <v>0.63</v>
      </c>
      <c r="Q29" s="52">
        <v>9.58</v>
      </c>
      <c r="R29" s="43"/>
      <c r="S29" s="43"/>
      <c r="T29" s="43"/>
      <c r="U29" s="43"/>
    </row>
    <row r="30" spans="1:21" s="11" customFormat="1" x14ac:dyDescent="0.25">
      <c r="A30" s="51" t="s">
        <v>753</v>
      </c>
      <c r="B30" s="52">
        <v>14.54</v>
      </c>
      <c r="C30" s="52">
        <v>18.45</v>
      </c>
      <c r="D30" s="52">
        <v>21.02</v>
      </c>
      <c r="E30" s="52">
        <v>4.71</v>
      </c>
      <c r="F30" s="52">
        <v>4.6900000000000004</v>
      </c>
      <c r="G30" s="52">
        <v>16.920000000000002</v>
      </c>
      <c r="H30" s="52">
        <v>1.34</v>
      </c>
      <c r="I30" s="52">
        <v>1.1100000000000001</v>
      </c>
      <c r="J30" s="52">
        <v>0.17</v>
      </c>
      <c r="K30" s="52">
        <v>197.47</v>
      </c>
      <c r="L30" s="52">
        <v>24.58</v>
      </c>
      <c r="M30" s="52">
        <v>98.23</v>
      </c>
      <c r="N30" s="52">
        <v>31.4</v>
      </c>
      <c r="O30" s="52">
        <v>0</v>
      </c>
      <c r="P30" s="52">
        <v>0.71</v>
      </c>
      <c r="Q30" s="52">
        <v>9.61</v>
      </c>
      <c r="R30" s="43"/>
      <c r="S30" s="43"/>
      <c r="T30" s="43"/>
      <c r="U30" s="43"/>
    </row>
    <row r="31" spans="1:21" s="11" customFormat="1" x14ac:dyDescent="0.25">
      <c r="A31" s="51" t="s">
        <v>754</v>
      </c>
      <c r="B31" s="52">
        <v>10.82</v>
      </c>
      <c r="C31" s="52">
        <v>15.69</v>
      </c>
      <c r="D31" s="52">
        <v>16.2</v>
      </c>
      <c r="E31" s="52">
        <v>4.88</v>
      </c>
      <c r="F31" s="52">
        <v>5.46</v>
      </c>
      <c r="G31" s="52">
        <v>18.62</v>
      </c>
      <c r="H31" s="52">
        <v>1.33</v>
      </c>
      <c r="I31" s="52">
        <v>1.24</v>
      </c>
      <c r="J31" s="52">
        <v>0.3</v>
      </c>
      <c r="K31" s="52">
        <v>223.91</v>
      </c>
      <c r="L31" s="52">
        <v>24.58</v>
      </c>
      <c r="M31" s="52">
        <v>98.25</v>
      </c>
      <c r="N31" s="52">
        <v>31.3</v>
      </c>
      <c r="O31" s="52">
        <v>0</v>
      </c>
      <c r="P31" s="52">
        <v>0.41</v>
      </c>
      <c r="Q31" s="52">
        <v>9.6300000000000008</v>
      </c>
      <c r="R31" s="43"/>
      <c r="S31" s="43"/>
      <c r="T31" s="43"/>
      <c r="U31" s="43"/>
    </row>
    <row r="32" spans="1:21" s="11" customFormat="1" x14ac:dyDescent="0.25">
      <c r="A32" s="51" t="s">
        <v>755</v>
      </c>
      <c r="B32" s="52">
        <v>7.08</v>
      </c>
      <c r="C32" s="52">
        <v>11.57</v>
      </c>
      <c r="D32" s="52">
        <v>11.38</v>
      </c>
      <c r="E32" s="52">
        <v>4.8</v>
      </c>
      <c r="F32" s="52">
        <v>8.66</v>
      </c>
      <c r="G32" s="52">
        <v>21.98</v>
      </c>
      <c r="H32" s="52">
        <v>1.33</v>
      </c>
      <c r="I32" s="52">
        <v>1.32</v>
      </c>
      <c r="J32" s="52">
        <v>0.37</v>
      </c>
      <c r="K32" s="52">
        <v>166.26</v>
      </c>
      <c r="L32" s="52">
        <v>24.72</v>
      </c>
      <c r="M32" s="52">
        <v>98.2</v>
      </c>
      <c r="N32" s="52">
        <v>31.4</v>
      </c>
      <c r="O32" s="52">
        <v>0</v>
      </c>
      <c r="P32" s="52">
        <v>0.28999999999999998</v>
      </c>
      <c r="Q32" s="52">
        <v>9.65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5.85</v>
      </c>
      <c r="C34" s="28">
        <f t="shared" si="0"/>
        <v>5.63</v>
      </c>
      <c r="D34" s="28">
        <f t="shared" si="0"/>
        <v>8.52</v>
      </c>
      <c r="E34" s="28">
        <f t="shared" si="0"/>
        <v>4.0599999999999996</v>
      </c>
      <c r="F34" s="28">
        <f t="shared" si="0"/>
        <v>4.6900000000000004</v>
      </c>
      <c r="G34" s="28">
        <f t="shared" si="0"/>
        <v>8.6</v>
      </c>
      <c r="H34" s="28">
        <f t="shared" si="0"/>
        <v>1.24</v>
      </c>
      <c r="I34" s="28">
        <f t="shared" si="0"/>
        <v>0.64</v>
      </c>
      <c r="J34" s="28">
        <f t="shared" si="0"/>
        <v>0.14000000000000001</v>
      </c>
      <c r="K34" s="28">
        <f t="shared" si="0"/>
        <v>136.41</v>
      </c>
      <c r="L34" s="28">
        <f t="shared" si="0"/>
        <v>22.86</v>
      </c>
      <c r="M34" s="28">
        <f t="shared" si="0"/>
        <v>75.05</v>
      </c>
      <c r="N34" s="28">
        <f t="shared" si="0"/>
        <v>30.5</v>
      </c>
      <c r="O34" s="28">
        <f t="shared" si="0"/>
        <v>0</v>
      </c>
      <c r="P34" s="28">
        <f t="shared" si="0"/>
        <v>0.17</v>
      </c>
      <c r="Q34" s="28">
        <f t="shared" si="0"/>
        <v>9.4600000000000009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21.74</v>
      </c>
      <c r="C35" s="29">
        <f t="shared" si="1"/>
        <v>21.72</v>
      </c>
      <c r="D35" s="29">
        <f t="shared" si="1"/>
        <v>27.48</v>
      </c>
      <c r="E35" s="29">
        <f t="shared" si="1"/>
        <v>5.05</v>
      </c>
      <c r="F35" s="29">
        <f t="shared" si="1"/>
        <v>13.94</v>
      </c>
      <c r="G35" s="29">
        <f t="shared" si="1"/>
        <v>21.98</v>
      </c>
      <c r="H35" s="29">
        <f t="shared" si="1"/>
        <v>3.84</v>
      </c>
      <c r="I35" s="29">
        <f t="shared" si="1"/>
        <v>1.32</v>
      </c>
      <c r="J35" s="29">
        <f t="shared" si="1"/>
        <v>1.25</v>
      </c>
      <c r="K35" s="29">
        <f t="shared" si="1"/>
        <v>327.61</v>
      </c>
      <c r="L35" s="29">
        <f t="shared" si="1"/>
        <v>30.51</v>
      </c>
      <c r="M35" s="29">
        <f t="shared" si="1"/>
        <v>98.33</v>
      </c>
      <c r="N35" s="29">
        <f t="shared" si="1"/>
        <v>1056.7</v>
      </c>
      <c r="O35" s="29">
        <f t="shared" si="1"/>
        <v>0.2</v>
      </c>
      <c r="P35" s="29">
        <f t="shared" si="1"/>
        <v>0.98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8.7441666666666666</v>
      </c>
      <c r="C36" s="28">
        <f t="shared" si="2"/>
        <v>10.094166666666665</v>
      </c>
      <c r="D36" s="28">
        <f t="shared" si="2"/>
        <v>12.025833333333331</v>
      </c>
      <c r="E36" s="28">
        <f t="shared" si="2"/>
        <v>4.6104166666666648</v>
      </c>
      <c r="F36" s="28">
        <f t="shared" si="2"/>
        <v>8.4329166666666673</v>
      </c>
      <c r="G36" s="28">
        <f t="shared" si="2"/>
        <v>13.876666666666667</v>
      </c>
      <c r="H36" s="28">
        <f t="shared" si="2"/>
        <v>1.74125</v>
      </c>
      <c r="I36" s="28">
        <f t="shared" si="2"/>
        <v>0.94708333333333306</v>
      </c>
      <c r="J36" s="28">
        <f t="shared" si="2"/>
        <v>0.56166666666666665</v>
      </c>
      <c r="K36" s="28">
        <f t="shared" si="2"/>
        <v>191.89458333333334</v>
      </c>
      <c r="L36" s="28">
        <f t="shared" si="2"/>
        <v>26.464583333333337</v>
      </c>
      <c r="M36" s="28">
        <f t="shared" si="2"/>
        <v>91.989166666666662</v>
      </c>
      <c r="N36" s="28">
        <f t="shared" si="2"/>
        <v>248.99999999999991</v>
      </c>
      <c r="O36" s="28">
        <f t="shared" si="2"/>
        <v>8.3333333333333332E-3</v>
      </c>
      <c r="P36" s="28">
        <f t="shared" si="2"/>
        <v>0.31083333333333335</v>
      </c>
      <c r="Q36" s="28">
        <f t="shared" si="2"/>
        <v>9.5595833333333342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3.3948783888914669</v>
      </c>
      <c r="C37" s="28">
        <f t="shared" ref="C37:Q37" si="3">STDEV(C9:C32)</f>
        <v>4.5742644138195887</v>
      </c>
      <c r="D37" s="28">
        <f t="shared" si="3"/>
        <v>4.6721970594484654</v>
      </c>
      <c r="E37" s="28">
        <f t="shared" si="3"/>
        <v>0.26880539536941994</v>
      </c>
      <c r="F37" s="28">
        <f t="shared" si="3"/>
        <v>2.4217411615660289</v>
      </c>
      <c r="G37" s="28">
        <f t="shared" si="3"/>
        <v>3.6811501825742776</v>
      </c>
      <c r="H37" s="28">
        <f t="shared" si="3"/>
        <v>0.72137738118612871</v>
      </c>
      <c r="I37" s="28">
        <f t="shared" si="3"/>
        <v>0.17635140725432313</v>
      </c>
      <c r="J37" s="28">
        <f t="shared" si="3"/>
        <v>0.34996480154272758</v>
      </c>
      <c r="K37" s="28">
        <f t="shared" si="3"/>
        <v>58.759093207787373</v>
      </c>
      <c r="L37" s="28">
        <f t="shared" si="3"/>
        <v>2.6902060356955482</v>
      </c>
      <c r="M37" s="28">
        <f t="shared" si="3"/>
        <v>9.2876284784450309</v>
      </c>
      <c r="N37" s="28">
        <f t="shared" si="3"/>
        <v>332.35254592466822</v>
      </c>
      <c r="O37" s="28">
        <f t="shared" si="3"/>
        <v>4.0824829046386311E-2</v>
      </c>
      <c r="P37" s="28">
        <f t="shared" si="3"/>
        <v>0.20544578607139338</v>
      </c>
      <c r="Q37" s="28">
        <f t="shared" si="3"/>
        <v>5.128599831521654E-2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756</v>
      </c>
      <c r="B9" s="52">
        <v>6.38</v>
      </c>
      <c r="C9" s="52">
        <v>8.25</v>
      </c>
      <c r="D9" s="52">
        <v>9.1999999999999993</v>
      </c>
      <c r="E9" s="52">
        <v>4.75</v>
      </c>
      <c r="F9" s="52">
        <v>7.37</v>
      </c>
      <c r="G9" s="52">
        <v>20.88</v>
      </c>
      <c r="H9" s="52">
        <v>1.31</v>
      </c>
      <c r="I9" s="52">
        <v>1.3</v>
      </c>
      <c r="J9" s="52">
        <v>0.15</v>
      </c>
      <c r="K9" s="52">
        <v>165.52</v>
      </c>
      <c r="L9" s="52">
        <v>24.62</v>
      </c>
      <c r="M9" s="52">
        <v>98.23</v>
      </c>
      <c r="N9" s="52">
        <v>30.9</v>
      </c>
      <c r="O9" s="52">
        <v>0</v>
      </c>
      <c r="P9" s="52">
        <v>0.27</v>
      </c>
      <c r="Q9" s="52">
        <v>9.64</v>
      </c>
      <c r="R9" s="43"/>
      <c r="S9" s="43"/>
      <c r="T9" s="43"/>
      <c r="U9" s="43"/>
    </row>
    <row r="10" spans="1:21" s="11" customFormat="1" x14ac:dyDescent="0.25">
      <c r="A10" s="51" t="s">
        <v>757</v>
      </c>
      <c r="B10" s="52">
        <v>6.51</v>
      </c>
      <c r="C10" s="52">
        <v>6.68</v>
      </c>
      <c r="D10" s="52">
        <v>8.7100000000000009</v>
      </c>
      <c r="E10" s="52">
        <v>4.38</v>
      </c>
      <c r="F10" s="52">
        <v>7.82</v>
      </c>
      <c r="G10" s="52">
        <v>21.02</v>
      </c>
      <c r="H10" s="52">
        <v>1.44</v>
      </c>
      <c r="I10" s="52">
        <v>1.1399999999999999</v>
      </c>
      <c r="J10" s="52">
        <v>0.31</v>
      </c>
      <c r="K10" s="52">
        <v>268.7</v>
      </c>
      <c r="L10" s="52">
        <v>24.43</v>
      </c>
      <c r="M10" s="52">
        <v>98.26</v>
      </c>
      <c r="N10" s="52">
        <v>30.7</v>
      </c>
      <c r="O10" s="52">
        <v>0</v>
      </c>
      <c r="P10" s="52">
        <v>0.32</v>
      </c>
      <c r="Q10" s="52">
        <v>9.6300000000000008</v>
      </c>
      <c r="R10" s="43"/>
      <c r="S10" s="43"/>
      <c r="T10" s="43"/>
      <c r="U10" s="43"/>
    </row>
    <row r="11" spans="1:21" s="11" customFormat="1" x14ac:dyDescent="0.25">
      <c r="A11" s="51" t="s">
        <v>758</v>
      </c>
      <c r="B11" s="52">
        <v>6.26</v>
      </c>
      <c r="C11" s="52">
        <v>6.17</v>
      </c>
      <c r="D11" s="52">
        <v>8.02</v>
      </c>
      <c r="E11" s="52">
        <v>4.55</v>
      </c>
      <c r="F11" s="52">
        <v>9</v>
      </c>
      <c r="G11" s="52">
        <v>19.149999999999999</v>
      </c>
      <c r="H11" s="52">
        <v>1.44</v>
      </c>
      <c r="I11" s="52">
        <v>1.0900000000000001</v>
      </c>
      <c r="J11" s="52">
        <v>0.39</v>
      </c>
      <c r="K11" s="52">
        <v>176.71</v>
      </c>
      <c r="L11" s="52">
        <v>24.18</v>
      </c>
      <c r="M11" s="52">
        <v>98.23</v>
      </c>
      <c r="N11" s="52">
        <v>30.7</v>
      </c>
      <c r="O11" s="52">
        <v>0</v>
      </c>
      <c r="P11" s="52">
        <v>0.28999999999999998</v>
      </c>
      <c r="Q11" s="52">
        <v>9.61</v>
      </c>
      <c r="R11" s="43"/>
      <c r="S11" s="43"/>
      <c r="T11" s="43"/>
      <c r="U11" s="43"/>
    </row>
    <row r="12" spans="1:21" s="11" customFormat="1" x14ac:dyDescent="0.25">
      <c r="A12" s="51" t="s">
        <v>759</v>
      </c>
      <c r="B12" s="52">
        <v>5.78</v>
      </c>
      <c r="C12" s="52">
        <v>5.85</v>
      </c>
      <c r="D12" s="52">
        <v>7.55</v>
      </c>
      <c r="E12" s="52">
        <v>4.6100000000000003</v>
      </c>
      <c r="F12" s="52">
        <v>8.32</v>
      </c>
      <c r="G12" s="52">
        <v>15.27</v>
      </c>
      <c r="H12" s="52">
        <v>1.46</v>
      </c>
      <c r="I12" s="52">
        <v>1.02</v>
      </c>
      <c r="J12" s="52">
        <v>0.39</v>
      </c>
      <c r="K12" s="52">
        <v>146.13</v>
      </c>
      <c r="L12" s="52">
        <v>24.09</v>
      </c>
      <c r="M12" s="52">
        <v>98.23</v>
      </c>
      <c r="N12" s="52">
        <v>30.6</v>
      </c>
      <c r="O12" s="52">
        <v>0</v>
      </c>
      <c r="P12" s="52">
        <v>0.26</v>
      </c>
      <c r="Q12" s="52">
        <v>9.61</v>
      </c>
      <c r="R12" s="43"/>
      <c r="S12" s="43"/>
      <c r="T12" s="43"/>
      <c r="U12" s="43"/>
    </row>
    <row r="13" spans="1:21" s="11" customFormat="1" x14ac:dyDescent="0.25">
      <c r="A13" s="51" t="s">
        <v>760</v>
      </c>
      <c r="B13" s="52">
        <v>7.16</v>
      </c>
      <c r="C13" s="52">
        <v>6.35</v>
      </c>
      <c r="D13" s="52">
        <v>8.92</v>
      </c>
      <c r="E13" s="52">
        <v>4.3499999999999996</v>
      </c>
      <c r="F13" s="52">
        <v>7.91</v>
      </c>
      <c r="G13" s="52">
        <v>12.28</v>
      </c>
      <c r="H13" s="52">
        <v>1.45</v>
      </c>
      <c r="I13" s="52">
        <v>1.01</v>
      </c>
      <c r="J13" s="52">
        <v>0.27</v>
      </c>
      <c r="K13" s="52">
        <v>155.76</v>
      </c>
      <c r="L13" s="52">
        <v>24.15</v>
      </c>
      <c r="M13" s="52">
        <v>98.23</v>
      </c>
      <c r="N13" s="52">
        <v>30.7</v>
      </c>
      <c r="O13" s="52">
        <v>0</v>
      </c>
      <c r="P13" s="52">
        <v>0.3</v>
      </c>
      <c r="Q13" s="52">
        <v>9.61</v>
      </c>
      <c r="R13" s="43"/>
      <c r="S13" s="43"/>
      <c r="T13" s="43"/>
      <c r="U13" s="43"/>
    </row>
    <row r="14" spans="1:21" s="11" customFormat="1" x14ac:dyDescent="0.25">
      <c r="A14" s="51" t="s">
        <v>761</v>
      </c>
      <c r="B14" s="52">
        <v>9.5299999999999994</v>
      </c>
      <c r="C14" s="52">
        <v>7.86</v>
      </c>
      <c r="D14" s="52">
        <v>11.23</v>
      </c>
      <c r="E14" s="52">
        <v>4.5199999999999996</v>
      </c>
      <c r="F14" s="52">
        <v>5.69</v>
      </c>
      <c r="G14" s="52">
        <v>10</v>
      </c>
      <c r="H14" s="52">
        <v>1.44</v>
      </c>
      <c r="I14" s="52">
        <v>0.91</v>
      </c>
      <c r="J14" s="52">
        <v>0.5</v>
      </c>
      <c r="K14" s="52">
        <v>170.74</v>
      </c>
      <c r="L14" s="52">
        <v>24.17</v>
      </c>
      <c r="M14" s="52">
        <v>98.3</v>
      </c>
      <c r="N14" s="52">
        <v>39.700000000000003</v>
      </c>
      <c r="O14" s="52">
        <v>0</v>
      </c>
      <c r="P14" s="52">
        <v>0.3</v>
      </c>
      <c r="Q14" s="52">
        <v>9.58</v>
      </c>
      <c r="R14" s="43"/>
      <c r="S14" s="43"/>
      <c r="T14" s="43"/>
      <c r="U14" s="43"/>
    </row>
    <row r="15" spans="1:21" s="11" customFormat="1" x14ac:dyDescent="0.25">
      <c r="A15" s="51" t="s">
        <v>762</v>
      </c>
      <c r="B15" s="52">
        <v>9.6</v>
      </c>
      <c r="C15" s="52">
        <v>8.3699999999999992</v>
      </c>
      <c r="D15" s="52">
        <v>12.07</v>
      </c>
      <c r="E15" s="52">
        <v>4.5599999999999996</v>
      </c>
      <c r="F15" s="52">
        <v>5.87</v>
      </c>
      <c r="G15" s="52">
        <v>16.3</v>
      </c>
      <c r="H15" s="52">
        <v>1.41</v>
      </c>
      <c r="I15" s="52">
        <v>0.86</v>
      </c>
      <c r="J15" s="52">
        <v>0.32</v>
      </c>
      <c r="K15" s="52">
        <v>153.66999999999999</v>
      </c>
      <c r="L15" s="52">
        <v>24.43</v>
      </c>
      <c r="M15" s="52">
        <v>98.26</v>
      </c>
      <c r="N15" s="52">
        <v>99.6</v>
      </c>
      <c r="O15" s="52">
        <v>0</v>
      </c>
      <c r="P15" s="52">
        <v>0.3</v>
      </c>
      <c r="Q15" s="52">
        <v>9.59</v>
      </c>
      <c r="R15" s="43"/>
      <c r="S15" s="43"/>
      <c r="T15" s="43"/>
      <c r="U15" s="43"/>
    </row>
    <row r="16" spans="1:21" s="11" customFormat="1" x14ac:dyDescent="0.25">
      <c r="A16" s="51" t="s">
        <v>763</v>
      </c>
      <c r="B16" s="52">
        <v>10</v>
      </c>
      <c r="C16" s="52">
        <v>9.2899999999999991</v>
      </c>
      <c r="D16" s="52">
        <v>12.87</v>
      </c>
      <c r="E16" s="52">
        <v>4.7699999999999996</v>
      </c>
      <c r="F16" s="52">
        <v>7.73</v>
      </c>
      <c r="G16" s="52">
        <v>16.03</v>
      </c>
      <c r="H16" s="52">
        <v>1.41</v>
      </c>
      <c r="I16" s="52">
        <v>0.96</v>
      </c>
      <c r="J16" s="52">
        <v>0.98</v>
      </c>
      <c r="K16" s="52">
        <v>153.79</v>
      </c>
      <c r="L16" s="52">
        <v>27.34</v>
      </c>
      <c r="M16" s="52">
        <v>98.2</v>
      </c>
      <c r="N16" s="52">
        <v>460.5</v>
      </c>
      <c r="O16" s="52">
        <v>0</v>
      </c>
      <c r="P16" s="52">
        <v>0.31</v>
      </c>
      <c r="Q16" s="52">
        <v>9.6300000000000008</v>
      </c>
      <c r="R16" s="43"/>
      <c r="S16" s="43"/>
      <c r="T16" s="43"/>
      <c r="U16" s="43"/>
    </row>
    <row r="17" spans="1:21" s="11" customFormat="1" x14ac:dyDescent="0.25">
      <c r="A17" s="51" t="s">
        <v>764</v>
      </c>
      <c r="B17" s="52">
        <v>9.0399999999999991</v>
      </c>
      <c r="C17" s="52">
        <v>7.25</v>
      </c>
      <c r="D17" s="52">
        <v>10.82</v>
      </c>
      <c r="E17" s="52">
        <v>4.5999999999999996</v>
      </c>
      <c r="F17" s="52">
        <v>9.2899999999999991</v>
      </c>
      <c r="G17" s="52">
        <v>17.3</v>
      </c>
      <c r="H17" s="52">
        <v>1.44</v>
      </c>
      <c r="I17" s="52">
        <v>0.97</v>
      </c>
      <c r="J17" s="52">
        <v>1.1100000000000001</v>
      </c>
      <c r="K17" s="52">
        <v>143.16999999999999</v>
      </c>
      <c r="L17" s="52">
        <v>28.57</v>
      </c>
      <c r="M17" s="52">
        <v>96.3</v>
      </c>
      <c r="N17" s="52">
        <v>623.70000000000005</v>
      </c>
      <c r="O17" s="52">
        <v>0</v>
      </c>
      <c r="P17" s="52">
        <v>0.28000000000000003</v>
      </c>
      <c r="Q17" s="52">
        <v>9.6300000000000008</v>
      </c>
      <c r="R17" s="43"/>
      <c r="S17" s="43"/>
      <c r="T17" s="43"/>
      <c r="U17" s="43"/>
    </row>
    <row r="18" spans="1:21" s="11" customFormat="1" x14ac:dyDescent="0.25">
      <c r="A18" s="51" t="s">
        <v>765</v>
      </c>
      <c r="B18" s="52">
        <v>7.72</v>
      </c>
      <c r="C18" s="52">
        <v>7.71</v>
      </c>
      <c r="D18" s="52">
        <v>9.85</v>
      </c>
      <c r="E18" s="52">
        <v>4.87</v>
      </c>
      <c r="F18" s="52">
        <v>9.26</v>
      </c>
      <c r="G18" s="52">
        <v>21.05</v>
      </c>
      <c r="H18" s="52">
        <v>1.43</v>
      </c>
      <c r="I18" s="52">
        <v>0.96</v>
      </c>
      <c r="J18" s="52">
        <v>0.86</v>
      </c>
      <c r="K18" s="52">
        <v>143.74</v>
      </c>
      <c r="L18" s="52">
        <v>28.04</v>
      </c>
      <c r="M18" s="52">
        <v>94.27</v>
      </c>
      <c r="N18" s="52">
        <v>468.9</v>
      </c>
      <c r="O18" s="52">
        <v>0</v>
      </c>
      <c r="P18" s="52">
        <v>0.28000000000000003</v>
      </c>
      <c r="Q18" s="52">
        <v>9.6199999999999992</v>
      </c>
      <c r="R18" s="43"/>
      <c r="S18" s="43"/>
      <c r="T18" s="43"/>
      <c r="U18" s="43"/>
    </row>
    <row r="19" spans="1:21" s="11" customFormat="1" x14ac:dyDescent="0.25">
      <c r="A19" s="51" t="s">
        <v>766</v>
      </c>
      <c r="B19" s="52">
        <v>7.38</v>
      </c>
      <c r="C19" s="52">
        <v>7.31</v>
      </c>
      <c r="D19" s="52">
        <v>9.4499999999999993</v>
      </c>
      <c r="E19" s="52">
        <v>4.5599999999999996</v>
      </c>
      <c r="F19" s="52">
        <v>10.029999999999999</v>
      </c>
      <c r="G19" s="52">
        <v>20.91</v>
      </c>
      <c r="H19" s="52">
        <v>1.39</v>
      </c>
      <c r="I19" s="52">
        <v>0.89</v>
      </c>
      <c r="J19" s="52">
        <v>1.32</v>
      </c>
      <c r="K19" s="52">
        <v>145.51</v>
      </c>
      <c r="L19" s="52">
        <v>29.2</v>
      </c>
      <c r="M19" s="52">
        <v>90.95</v>
      </c>
      <c r="N19" s="52">
        <v>1019</v>
      </c>
      <c r="O19" s="52">
        <v>0</v>
      </c>
      <c r="P19" s="52">
        <v>0.27</v>
      </c>
      <c r="Q19" s="52">
        <v>9.5500000000000007</v>
      </c>
      <c r="R19" s="43"/>
      <c r="S19" s="43"/>
      <c r="T19" s="43"/>
      <c r="U19" s="43"/>
    </row>
    <row r="20" spans="1:21" s="11" customFormat="1" x14ac:dyDescent="0.25">
      <c r="A20" s="51" t="s">
        <v>767</v>
      </c>
      <c r="B20" s="52">
        <v>7.48</v>
      </c>
      <c r="C20" s="52">
        <v>8.19</v>
      </c>
      <c r="D20" s="52">
        <v>10.15</v>
      </c>
      <c r="E20" s="52">
        <v>4.5999999999999996</v>
      </c>
      <c r="F20" s="52">
        <v>11.13</v>
      </c>
      <c r="G20" s="52">
        <v>18.54</v>
      </c>
      <c r="H20" s="52">
        <v>1.36</v>
      </c>
      <c r="I20" s="52">
        <v>0.86</v>
      </c>
      <c r="J20" s="52">
        <v>0.62</v>
      </c>
      <c r="K20" s="52">
        <v>277.98</v>
      </c>
      <c r="L20" s="52">
        <v>30.17</v>
      </c>
      <c r="M20" s="52">
        <v>79.989999999999995</v>
      </c>
      <c r="N20" s="52">
        <v>969.1</v>
      </c>
      <c r="O20" s="52">
        <v>0</v>
      </c>
      <c r="P20" s="52">
        <v>0.27</v>
      </c>
      <c r="Q20" s="52">
        <v>9.51</v>
      </c>
      <c r="R20" s="43"/>
      <c r="S20" s="43"/>
      <c r="T20" s="43"/>
      <c r="U20" s="43"/>
    </row>
    <row r="21" spans="1:21" s="11" customFormat="1" x14ac:dyDescent="0.25">
      <c r="A21" s="51" t="s">
        <v>768</v>
      </c>
      <c r="B21" s="52">
        <v>7.26</v>
      </c>
      <c r="C21" s="52">
        <v>9.8699999999999992</v>
      </c>
      <c r="D21" s="52">
        <v>10.98</v>
      </c>
      <c r="E21" s="52">
        <v>4.76</v>
      </c>
      <c r="F21" s="52">
        <v>12.49</v>
      </c>
      <c r="G21" s="52">
        <v>18.72</v>
      </c>
      <c r="H21" s="52">
        <v>1.35</v>
      </c>
      <c r="I21" s="52">
        <v>0.85</v>
      </c>
      <c r="J21" s="52">
        <v>0.85</v>
      </c>
      <c r="K21" s="52">
        <v>145.69</v>
      </c>
      <c r="L21" s="52">
        <v>30.47</v>
      </c>
      <c r="M21" s="52">
        <v>81.61</v>
      </c>
      <c r="N21" s="52">
        <v>786.2</v>
      </c>
      <c r="O21" s="52">
        <v>0</v>
      </c>
      <c r="P21" s="52">
        <v>0.25</v>
      </c>
      <c r="Q21" s="52">
        <v>9.51</v>
      </c>
      <c r="R21" s="43"/>
      <c r="S21" s="43"/>
      <c r="T21" s="43"/>
      <c r="U21" s="43"/>
    </row>
    <row r="22" spans="1:21" s="11" customFormat="1" x14ac:dyDescent="0.25">
      <c r="A22" s="51" t="s">
        <v>769</v>
      </c>
      <c r="B22" s="52">
        <v>6.22</v>
      </c>
      <c r="C22" s="52">
        <v>8.34</v>
      </c>
      <c r="D22" s="52">
        <v>9.31</v>
      </c>
      <c r="E22" s="52">
        <v>4.8</v>
      </c>
      <c r="F22" s="52">
        <v>10.039999999999999</v>
      </c>
      <c r="G22" s="52">
        <v>19.690000000000001</v>
      </c>
      <c r="H22" s="52">
        <v>1.33</v>
      </c>
      <c r="I22" s="52">
        <v>0.85</v>
      </c>
      <c r="J22" s="52">
        <v>1.1299999999999999</v>
      </c>
      <c r="K22" s="52">
        <v>170.07</v>
      </c>
      <c r="L22" s="52">
        <v>30.66</v>
      </c>
      <c r="M22" s="52">
        <v>78.92</v>
      </c>
      <c r="N22" s="52">
        <v>403.2</v>
      </c>
      <c r="O22" s="52">
        <v>0</v>
      </c>
      <c r="P22" s="52">
        <v>0.23</v>
      </c>
      <c r="Q22" s="52">
        <v>9.49</v>
      </c>
      <c r="R22" s="43"/>
      <c r="S22" s="43"/>
      <c r="T22" s="43"/>
      <c r="U22" s="43"/>
    </row>
    <row r="23" spans="1:21" s="11" customFormat="1" x14ac:dyDescent="0.25">
      <c r="A23" s="51" t="s">
        <v>770</v>
      </c>
      <c r="B23" s="52">
        <v>7.83</v>
      </c>
      <c r="C23" s="52">
        <v>9.73</v>
      </c>
      <c r="D23" s="52">
        <v>10.88</v>
      </c>
      <c r="E23" s="52">
        <v>4.7300000000000004</v>
      </c>
      <c r="F23" s="52">
        <v>11.95</v>
      </c>
      <c r="G23" s="52">
        <v>18.8</v>
      </c>
      <c r="H23" s="52">
        <v>1.34</v>
      </c>
      <c r="I23" s="52">
        <v>0.77</v>
      </c>
      <c r="J23" s="52">
        <v>1.1499999999999999</v>
      </c>
      <c r="K23" s="52">
        <v>242.5</v>
      </c>
      <c r="L23" s="52">
        <v>30.46</v>
      </c>
      <c r="M23" s="52">
        <v>87.17</v>
      </c>
      <c r="N23" s="52">
        <v>240.9</v>
      </c>
      <c r="O23" s="52">
        <v>0</v>
      </c>
      <c r="P23" s="52">
        <v>0.25</v>
      </c>
      <c r="Q23" s="52">
        <v>9.4600000000000009</v>
      </c>
      <c r="R23" s="43"/>
      <c r="S23" s="43"/>
      <c r="T23" s="43"/>
      <c r="U23" s="43"/>
    </row>
    <row r="24" spans="1:21" s="11" customFormat="1" x14ac:dyDescent="0.25">
      <c r="A24" s="51" t="s">
        <v>771</v>
      </c>
      <c r="B24" s="52">
        <v>7.18</v>
      </c>
      <c r="C24" s="52">
        <v>10.97</v>
      </c>
      <c r="D24" s="52">
        <v>11.44</v>
      </c>
      <c r="E24" s="52">
        <v>5.39</v>
      </c>
      <c r="F24" s="52">
        <v>11.72</v>
      </c>
      <c r="G24" s="52">
        <v>17.13</v>
      </c>
      <c r="H24" s="52">
        <v>1.32</v>
      </c>
      <c r="I24" s="52">
        <v>0.64</v>
      </c>
      <c r="J24" s="52">
        <v>1.2</v>
      </c>
      <c r="K24" s="52">
        <v>141.88999999999999</v>
      </c>
      <c r="L24" s="52">
        <v>29.5</v>
      </c>
      <c r="M24" s="52">
        <v>84.86</v>
      </c>
      <c r="N24" s="52">
        <v>201.4</v>
      </c>
      <c r="O24" s="52">
        <v>0</v>
      </c>
      <c r="P24" s="52">
        <v>0.24</v>
      </c>
      <c r="Q24" s="52">
        <v>9.4600000000000009</v>
      </c>
      <c r="R24" s="43"/>
      <c r="S24" s="43"/>
      <c r="T24" s="43"/>
      <c r="U24" s="43"/>
    </row>
    <row r="25" spans="1:21" s="11" customFormat="1" x14ac:dyDescent="0.25">
      <c r="A25" s="51" t="s">
        <v>772</v>
      </c>
      <c r="B25" s="52">
        <v>5.86</v>
      </c>
      <c r="C25" s="52">
        <v>8.6</v>
      </c>
      <c r="D25" s="52">
        <v>9.1999999999999993</v>
      </c>
      <c r="E25" s="52">
        <v>4.8099999999999996</v>
      </c>
      <c r="F25" s="52">
        <v>11.67</v>
      </c>
      <c r="G25" s="52">
        <v>17.66</v>
      </c>
      <c r="H25" s="52">
        <v>1.38</v>
      </c>
      <c r="I25" s="52">
        <v>0.63</v>
      </c>
      <c r="J25" s="52">
        <v>0.08</v>
      </c>
      <c r="K25" s="52">
        <v>251.52</v>
      </c>
      <c r="L25" s="52">
        <v>29.66</v>
      </c>
      <c r="M25" s="52">
        <v>81.91</v>
      </c>
      <c r="N25" s="52">
        <v>141.9</v>
      </c>
      <c r="O25" s="52">
        <v>0</v>
      </c>
      <c r="P25" s="52">
        <v>0.25</v>
      </c>
      <c r="Q25" s="52">
        <v>9.49</v>
      </c>
      <c r="R25" s="43"/>
      <c r="S25" s="43"/>
      <c r="T25" s="43"/>
      <c r="U25" s="43"/>
    </row>
    <row r="26" spans="1:21" s="11" customFormat="1" x14ac:dyDescent="0.25">
      <c r="A26" s="51" t="s">
        <v>773</v>
      </c>
      <c r="B26" s="52">
        <v>10.029999999999999</v>
      </c>
      <c r="C26" s="52">
        <v>12.31</v>
      </c>
      <c r="D26" s="52">
        <v>14.35</v>
      </c>
      <c r="E26" s="52">
        <v>5.25</v>
      </c>
      <c r="F26" s="52">
        <v>11.19</v>
      </c>
      <c r="G26" s="52">
        <v>16.54</v>
      </c>
      <c r="H26" s="52">
        <v>1.38</v>
      </c>
      <c r="I26" s="52">
        <v>0.67</v>
      </c>
      <c r="J26" s="52">
        <v>0.1</v>
      </c>
      <c r="K26" s="52">
        <v>315.10000000000002</v>
      </c>
      <c r="L26" s="52">
        <v>28.82</v>
      </c>
      <c r="M26" s="52">
        <v>95.89</v>
      </c>
      <c r="N26" s="52">
        <v>92.8</v>
      </c>
      <c r="O26" s="52">
        <v>0</v>
      </c>
      <c r="P26" s="52">
        <v>0.43</v>
      </c>
      <c r="Q26" s="52">
        <v>9.5</v>
      </c>
      <c r="R26" s="43"/>
      <c r="S26" s="43"/>
      <c r="T26" s="43"/>
      <c r="U26" s="43"/>
    </row>
    <row r="27" spans="1:21" s="11" customFormat="1" x14ac:dyDescent="0.25">
      <c r="A27" s="51" t="s">
        <v>774</v>
      </c>
      <c r="B27" s="52">
        <v>14.04</v>
      </c>
      <c r="C27" s="52">
        <v>15.57</v>
      </c>
      <c r="D27" s="52">
        <v>19.38</v>
      </c>
      <c r="E27" s="52">
        <v>5.46</v>
      </c>
      <c r="F27" s="52">
        <v>9.3000000000000007</v>
      </c>
      <c r="G27" s="52">
        <v>23.49</v>
      </c>
      <c r="H27" s="52">
        <v>1.41</v>
      </c>
      <c r="I27" s="52">
        <v>0.79</v>
      </c>
      <c r="J27" s="52">
        <v>0.05</v>
      </c>
      <c r="K27" s="52">
        <v>339.9</v>
      </c>
      <c r="L27" s="52">
        <v>27.6</v>
      </c>
      <c r="M27" s="52">
        <v>97.65</v>
      </c>
      <c r="N27" s="52">
        <v>35</v>
      </c>
      <c r="O27" s="52">
        <v>0</v>
      </c>
      <c r="P27" s="52">
        <v>0.68</v>
      </c>
      <c r="Q27" s="52">
        <v>9.5</v>
      </c>
      <c r="R27" s="43"/>
      <c r="S27" s="43"/>
      <c r="T27" s="43"/>
      <c r="U27" s="43"/>
    </row>
    <row r="28" spans="1:21" s="11" customFormat="1" x14ac:dyDescent="0.25">
      <c r="A28" s="51" t="s">
        <v>775</v>
      </c>
      <c r="B28" s="52">
        <v>6.73</v>
      </c>
      <c r="C28" s="52">
        <v>16.170000000000002</v>
      </c>
      <c r="D28" s="52">
        <v>13.85</v>
      </c>
      <c r="E28" s="52">
        <v>5.32</v>
      </c>
      <c r="F28" s="52">
        <v>9.18</v>
      </c>
      <c r="G28" s="52">
        <v>22.86</v>
      </c>
      <c r="H28" s="52">
        <v>1.42</v>
      </c>
      <c r="I28" s="52">
        <v>0.89</v>
      </c>
      <c r="J28" s="52">
        <v>0.27</v>
      </c>
      <c r="K28" s="52">
        <v>193.6</v>
      </c>
      <c r="L28" s="52">
        <v>27.03</v>
      </c>
      <c r="M28" s="52">
        <v>97.9</v>
      </c>
      <c r="N28" s="52">
        <v>30.7</v>
      </c>
      <c r="O28" s="52">
        <v>0</v>
      </c>
      <c r="P28" s="52">
        <v>0.37</v>
      </c>
      <c r="Q28" s="52">
        <v>9.5</v>
      </c>
      <c r="R28" s="43"/>
      <c r="S28" s="43"/>
      <c r="T28" s="43"/>
      <c r="U28" s="43"/>
    </row>
    <row r="29" spans="1:21" s="11" customFormat="1" x14ac:dyDescent="0.25">
      <c r="A29" s="51" t="s">
        <v>776</v>
      </c>
      <c r="B29" s="52">
        <v>10.18</v>
      </c>
      <c r="C29" s="52">
        <v>12.75</v>
      </c>
      <c r="D29" s="52">
        <v>13.58</v>
      </c>
      <c r="E29" s="52">
        <v>5.13</v>
      </c>
      <c r="F29" s="52">
        <v>9.2799999999999994</v>
      </c>
      <c r="G29" s="52">
        <v>28.04</v>
      </c>
      <c r="H29" s="52">
        <v>1.6</v>
      </c>
      <c r="I29" s="52">
        <v>0.94</v>
      </c>
      <c r="J29" s="52">
        <v>7.0000000000000007E-2</v>
      </c>
      <c r="K29" s="52">
        <v>345.38</v>
      </c>
      <c r="L29" s="52">
        <v>26.92</v>
      </c>
      <c r="M29" s="52">
        <v>97.94</v>
      </c>
      <c r="N29" s="52">
        <v>30.7</v>
      </c>
      <c r="O29" s="52">
        <v>0</v>
      </c>
      <c r="P29" s="52">
        <v>0.51</v>
      </c>
      <c r="Q29" s="52">
        <v>9.52</v>
      </c>
      <c r="R29" s="43"/>
      <c r="S29" s="43"/>
      <c r="T29" s="43"/>
      <c r="U29" s="43"/>
    </row>
    <row r="30" spans="1:21" s="11" customFormat="1" x14ac:dyDescent="0.25">
      <c r="A30" s="51" t="s">
        <v>777</v>
      </c>
      <c r="B30" s="52">
        <v>10.08</v>
      </c>
      <c r="C30" s="52">
        <v>14.82</v>
      </c>
      <c r="D30" s="52">
        <v>15.83</v>
      </c>
      <c r="E30" s="52">
        <v>5.18</v>
      </c>
      <c r="F30" s="52">
        <v>9.89</v>
      </c>
      <c r="G30" s="52">
        <v>40.43</v>
      </c>
      <c r="H30" s="52">
        <v>1.62</v>
      </c>
      <c r="I30" s="52">
        <v>1.1399999999999999</v>
      </c>
      <c r="J30" s="52">
        <v>0.13</v>
      </c>
      <c r="K30" s="52">
        <v>331.49</v>
      </c>
      <c r="L30" s="52">
        <v>26.75</v>
      </c>
      <c r="M30" s="52">
        <v>97.94</v>
      </c>
      <c r="N30" s="52">
        <v>31</v>
      </c>
      <c r="O30" s="52">
        <v>0</v>
      </c>
      <c r="P30" s="52">
        <v>0.56000000000000005</v>
      </c>
      <c r="Q30" s="52">
        <v>9.56</v>
      </c>
      <c r="R30" s="43"/>
      <c r="S30" s="43"/>
      <c r="T30" s="43"/>
      <c r="U30" s="43"/>
    </row>
    <row r="31" spans="1:21" s="11" customFormat="1" x14ac:dyDescent="0.25">
      <c r="A31" s="51" t="s">
        <v>778</v>
      </c>
      <c r="B31" s="52">
        <v>6.46</v>
      </c>
      <c r="C31" s="52">
        <v>10.25</v>
      </c>
      <c r="D31" s="52">
        <v>9.99</v>
      </c>
      <c r="E31" s="52">
        <v>5.32</v>
      </c>
      <c r="F31" s="52">
        <v>8.81</v>
      </c>
      <c r="G31" s="52">
        <v>39.17</v>
      </c>
      <c r="H31" s="52">
        <v>1.69</v>
      </c>
      <c r="I31" s="52">
        <v>1.1499999999999999</v>
      </c>
      <c r="J31" s="52">
        <v>0.88</v>
      </c>
      <c r="K31" s="52">
        <v>155.76</v>
      </c>
      <c r="L31" s="52">
        <v>26.22</v>
      </c>
      <c r="M31" s="52">
        <v>97.96</v>
      </c>
      <c r="N31" s="52">
        <v>31.5</v>
      </c>
      <c r="O31" s="52">
        <v>0</v>
      </c>
      <c r="P31" s="52">
        <v>0.28000000000000003</v>
      </c>
      <c r="Q31" s="52">
        <v>9.5500000000000007</v>
      </c>
      <c r="R31" s="43"/>
      <c r="S31" s="43"/>
      <c r="T31" s="43"/>
      <c r="U31" s="43"/>
    </row>
    <row r="32" spans="1:21" s="11" customFormat="1" x14ac:dyDescent="0.25">
      <c r="A32" s="51" t="s">
        <v>779</v>
      </c>
      <c r="B32" s="52">
        <v>5.84</v>
      </c>
      <c r="C32" s="52">
        <v>7.42</v>
      </c>
      <c r="D32" s="52">
        <v>8.1199999999999992</v>
      </c>
      <c r="E32" s="52">
        <v>5.4</v>
      </c>
      <c r="F32" s="52">
        <v>10.82</v>
      </c>
      <c r="G32" s="52">
        <v>34.06</v>
      </c>
      <c r="H32" s="52">
        <v>1.7</v>
      </c>
      <c r="I32" s="52">
        <v>1.1100000000000001</v>
      </c>
      <c r="J32" s="52">
        <v>0.78</v>
      </c>
      <c r="K32" s="52">
        <v>142.03</v>
      </c>
      <c r="L32" s="52">
        <v>25</v>
      </c>
      <c r="M32" s="52">
        <v>98.02</v>
      </c>
      <c r="N32" s="52">
        <v>31.1</v>
      </c>
      <c r="O32" s="52">
        <v>0</v>
      </c>
      <c r="P32" s="52">
        <v>0.24</v>
      </c>
      <c r="Q32" s="52">
        <v>9.52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5.78</v>
      </c>
      <c r="C34" s="28">
        <f t="shared" si="0"/>
        <v>5.85</v>
      </c>
      <c r="D34" s="28">
        <f t="shared" si="0"/>
        <v>7.55</v>
      </c>
      <c r="E34" s="28">
        <f t="shared" si="0"/>
        <v>4.3499999999999996</v>
      </c>
      <c r="F34" s="28">
        <f t="shared" si="0"/>
        <v>5.69</v>
      </c>
      <c r="G34" s="28">
        <f t="shared" si="0"/>
        <v>10</v>
      </c>
      <c r="H34" s="28">
        <f t="shared" si="0"/>
        <v>1.31</v>
      </c>
      <c r="I34" s="28">
        <f t="shared" si="0"/>
        <v>0.63</v>
      </c>
      <c r="J34" s="28">
        <f t="shared" si="0"/>
        <v>0.05</v>
      </c>
      <c r="K34" s="28">
        <f t="shared" si="0"/>
        <v>141.88999999999999</v>
      </c>
      <c r="L34" s="28">
        <f t="shared" si="0"/>
        <v>24.09</v>
      </c>
      <c r="M34" s="28">
        <f t="shared" si="0"/>
        <v>78.92</v>
      </c>
      <c r="N34" s="28">
        <f t="shared" si="0"/>
        <v>30.6</v>
      </c>
      <c r="O34" s="28">
        <f t="shared" si="0"/>
        <v>0</v>
      </c>
      <c r="P34" s="28">
        <f t="shared" si="0"/>
        <v>0.23</v>
      </c>
      <c r="Q34" s="28">
        <f t="shared" si="0"/>
        <v>9.4600000000000009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14.04</v>
      </c>
      <c r="C35" s="29">
        <f t="shared" si="1"/>
        <v>16.170000000000002</v>
      </c>
      <c r="D35" s="29">
        <f t="shared" si="1"/>
        <v>19.38</v>
      </c>
      <c r="E35" s="29">
        <f t="shared" si="1"/>
        <v>5.46</v>
      </c>
      <c r="F35" s="29">
        <f t="shared" si="1"/>
        <v>12.49</v>
      </c>
      <c r="G35" s="29">
        <f t="shared" si="1"/>
        <v>40.43</v>
      </c>
      <c r="H35" s="29">
        <f t="shared" si="1"/>
        <v>1.7</v>
      </c>
      <c r="I35" s="29">
        <f t="shared" si="1"/>
        <v>1.3</v>
      </c>
      <c r="J35" s="29">
        <f t="shared" si="1"/>
        <v>1.32</v>
      </c>
      <c r="K35" s="29">
        <f t="shared" si="1"/>
        <v>345.38</v>
      </c>
      <c r="L35" s="29">
        <f t="shared" si="1"/>
        <v>30.66</v>
      </c>
      <c r="M35" s="29">
        <f t="shared" si="1"/>
        <v>98.3</v>
      </c>
      <c r="N35" s="29">
        <f t="shared" si="1"/>
        <v>1019</v>
      </c>
      <c r="O35" s="29">
        <f t="shared" si="1"/>
        <v>0</v>
      </c>
      <c r="P35" s="29">
        <f t="shared" si="1"/>
        <v>0.68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7.9395833333333341</v>
      </c>
      <c r="C36" s="28">
        <f t="shared" si="2"/>
        <v>9.4199999999999982</v>
      </c>
      <c r="D36" s="28">
        <f t="shared" si="2"/>
        <v>11.072916666666666</v>
      </c>
      <c r="E36" s="28">
        <f t="shared" si="2"/>
        <v>4.8612499999999992</v>
      </c>
      <c r="F36" s="28">
        <f t="shared" si="2"/>
        <v>9.4066666666666663</v>
      </c>
      <c r="G36" s="28">
        <f t="shared" si="2"/>
        <v>21.055000000000003</v>
      </c>
      <c r="H36" s="28">
        <f t="shared" si="2"/>
        <v>1.4383333333333337</v>
      </c>
      <c r="I36" s="28">
        <f t="shared" si="2"/>
        <v>0.93333333333333346</v>
      </c>
      <c r="J36" s="28">
        <f t="shared" si="2"/>
        <v>0.57958333333333334</v>
      </c>
      <c r="K36" s="28">
        <f t="shared" si="2"/>
        <v>203.18124999999998</v>
      </c>
      <c r="L36" s="28">
        <f t="shared" si="2"/>
        <v>27.186666666666667</v>
      </c>
      <c r="M36" s="28">
        <f t="shared" si="2"/>
        <v>93.550833333333344</v>
      </c>
      <c r="N36" s="28">
        <f t="shared" si="2"/>
        <v>245.43749999999997</v>
      </c>
      <c r="O36" s="28">
        <f t="shared" si="2"/>
        <v>0</v>
      </c>
      <c r="P36" s="28">
        <f t="shared" si="2"/>
        <v>0.32249999999999995</v>
      </c>
      <c r="Q36" s="28">
        <f t="shared" si="2"/>
        <v>9.5529166666666701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1.9941490048697892</v>
      </c>
      <c r="C37" s="28">
        <f t="shared" ref="C37:Q37" si="3">STDEV(C9:C32)</f>
        <v>2.948651865868027</v>
      </c>
      <c r="D37" s="28">
        <f t="shared" si="3"/>
        <v>2.7804761543533432</v>
      </c>
      <c r="E37" s="28">
        <f t="shared" si="3"/>
        <v>0.34992312820414434</v>
      </c>
      <c r="F37" s="28">
        <f t="shared" si="3"/>
        <v>1.8114986989318831</v>
      </c>
      <c r="G37" s="28">
        <f t="shared" si="3"/>
        <v>7.5036698267957576</v>
      </c>
      <c r="H37" s="28">
        <f t="shared" si="3"/>
        <v>0.10821342304694104</v>
      </c>
      <c r="I37" s="28">
        <f t="shared" si="3"/>
        <v>0.16969708733291561</v>
      </c>
      <c r="J37" s="28">
        <f t="shared" si="3"/>
        <v>0.42237917404468056</v>
      </c>
      <c r="K37" s="28">
        <f t="shared" si="3"/>
        <v>72.212387430201844</v>
      </c>
      <c r="L37" s="28">
        <f t="shared" si="3"/>
        <v>2.3611450182276923</v>
      </c>
      <c r="M37" s="28">
        <f t="shared" si="3"/>
        <v>6.9230842063011373</v>
      </c>
      <c r="N37" s="28">
        <f t="shared" si="3"/>
        <v>315.05441878107069</v>
      </c>
      <c r="O37" s="28">
        <f t="shared" si="3"/>
        <v>0</v>
      </c>
      <c r="P37" s="28">
        <f t="shared" si="3"/>
        <v>0.11256881953025354</v>
      </c>
      <c r="Q37" s="28">
        <f t="shared" si="3"/>
        <v>5.9452514238468986E-2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31/08/2025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780</v>
      </c>
      <c r="B9" s="52">
        <v>7.49</v>
      </c>
      <c r="C9" s="52">
        <v>9.83</v>
      </c>
      <c r="D9" s="52">
        <v>11.15</v>
      </c>
      <c r="E9" s="52">
        <v>5.53</v>
      </c>
      <c r="F9" s="52">
        <v>9.69</v>
      </c>
      <c r="G9" s="52">
        <v>27.46</v>
      </c>
      <c r="H9" s="52">
        <v>1.86</v>
      </c>
      <c r="I9" s="52">
        <v>1.03</v>
      </c>
      <c r="J9" s="52">
        <v>0.77</v>
      </c>
      <c r="K9" s="52">
        <v>273.47000000000003</v>
      </c>
      <c r="L9" s="52">
        <v>24.6</v>
      </c>
      <c r="M9" s="52">
        <v>98.07</v>
      </c>
      <c r="N9" s="52">
        <v>30.6</v>
      </c>
      <c r="O9" s="52">
        <v>0</v>
      </c>
      <c r="P9" s="52">
        <v>0.28000000000000003</v>
      </c>
      <c r="Q9" s="52">
        <v>9.5</v>
      </c>
      <c r="R9" s="43"/>
      <c r="S9" s="43"/>
      <c r="T9" s="43"/>
      <c r="U9" s="43"/>
    </row>
    <row r="10" spans="1:21" s="11" customFormat="1" x14ac:dyDescent="0.25">
      <c r="A10" s="51" t="s">
        <v>781</v>
      </c>
      <c r="B10" s="52">
        <v>4.92</v>
      </c>
      <c r="C10" s="52">
        <v>6.93</v>
      </c>
      <c r="D10" s="52">
        <v>7.57</v>
      </c>
      <c r="E10" s="52">
        <v>5.74</v>
      </c>
      <c r="F10" s="52">
        <v>8.66</v>
      </c>
      <c r="G10" s="52">
        <v>23.45</v>
      </c>
      <c r="H10" s="52">
        <v>1.82</v>
      </c>
      <c r="I10" s="52">
        <v>0.87</v>
      </c>
      <c r="J10" s="52">
        <v>0.4</v>
      </c>
      <c r="K10" s="52">
        <v>330.89</v>
      </c>
      <c r="L10" s="52">
        <v>24.68</v>
      </c>
      <c r="M10" s="52">
        <v>98.05</v>
      </c>
      <c r="N10" s="52">
        <v>30.3</v>
      </c>
      <c r="O10" s="52">
        <v>0</v>
      </c>
      <c r="P10" s="52">
        <v>0.19</v>
      </c>
      <c r="Q10" s="52">
        <v>9.5299999999999994</v>
      </c>
      <c r="R10" s="43"/>
      <c r="S10" s="43"/>
      <c r="T10" s="43"/>
      <c r="U10" s="43"/>
    </row>
    <row r="11" spans="1:21" s="11" customFormat="1" x14ac:dyDescent="0.25">
      <c r="A11" s="51" t="s">
        <v>782</v>
      </c>
      <c r="B11" s="52">
        <v>4.58</v>
      </c>
      <c r="C11" s="52">
        <v>6.37</v>
      </c>
      <c r="D11" s="52">
        <v>7</v>
      </c>
      <c r="E11" s="52">
        <v>5.9</v>
      </c>
      <c r="F11" s="52">
        <v>7.84</v>
      </c>
      <c r="G11" s="52">
        <v>20.52</v>
      </c>
      <c r="H11" s="52">
        <v>1.84</v>
      </c>
      <c r="I11" s="52">
        <v>0.84</v>
      </c>
      <c r="J11" s="52">
        <v>0.22</v>
      </c>
      <c r="K11" s="52">
        <v>178.52</v>
      </c>
      <c r="L11" s="52">
        <v>24.38</v>
      </c>
      <c r="M11" s="52">
        <v>98.09</v>
      </c>
      <c r="N11" s="52">
        <v>30.3</v>
      </c>
      <c r="O11" s="52">
        <v>0</v>
      </c>
      <c r="P11" s="52">
        <v>0.16</v>
      </c>
      <c r="Q11" s="52">
        <v>9.5299999999999994</v>
      </c>
      <c r="R11" s="43"/>
      <c r="S11" s="43"/>
      <c r="T11" s="43"/>
      <c r="U11" s="43"/>
    </row>
    <row r="12" spans="1:21" s="11" customFormat="1" x14ac:dyDescent="0.25">
      <c r="A12" s="51" t="s">
        <v>783</v>
      </c>
      <c r="B12" s="52">
        <v>4.8099999999999996</v>
      </c>
      <c r="C12" s="52">
        <v>6.78</v>
      </c>
      <c r="D12" s="52">
        <v>7.18</v>
      </c>
      <c r="E12" s="52">
        <v>5.66</v>
      </c>
      <c r="F12" s="52">
        <v>8.3699999999999992</v>
      </c>
      <c r="G12" s="52">
        <v>18.21</v>
      </c>
      <c r="H12" s="52">
        <v>1.85</v>
      </c>
      <c r="I12" s="52">
        <v>0.82</v>
      </c>
      <c r="J12" s="52">
        <v>0.36</v>
      </c>
      <c r="K12" s="52">
        <v>166.36</v>
      </c>
      <c r="L12" s="52">
        <v>24.34</v>
      </c>
      <c r="M12" s="52">
        <v>98.08</v>
      </c>
      <c r="N12" s="52">
        <v>30.4</v>
      </c>
      <c r="O12" s="52">
        <v>0</v>
      </c>
      <c r="P12" s="52">
        <v>0.17</v>
      </c>
      <c r="Q12" s="52">
        <v>9.5</v>
      </c>
      <c r="R12" s="43"/>
      <c r="S12" s="43"/>
      <c r="T12" s="43"/>
      <c r="U12" s="43"/>
    </row>
    <row r="13" spans="1:21" s="11" customFormat="1" x14ac:dyDescent="0.25">
      <c r="A13" s="51" t="s">
        <v>784</v>
      </c>
      <c r="B13" s="52">
        <v>8.99</v>
      </c>
      <c r="C13" s="52">
        <v>8.9</v>
      </c>
      <c r="D13" s="52">
        <v>11.57</v>
      </c>
      <c r="E13" s="52">
        <v>5.57</v>
      </c>
      <c r="F13" s="52">
        <v>7.65</v>
      </c>
      <c r="G13" s="52">
        <v>15.36</v>
      </c>
      <c r="H13" s="52">
        <v>1.81</v>
      </c>
      <c r="I13" s="52">
        <v>0.83</v>
      </c>
      <c r="J13" s="52">
        <v>0.39</v>
      </c>
      <c r="K13" s="52">
        <v>158.43</v>
      </c>
      <c r="L13" s="52">
        <v>24.4</v>
      </c>
      <c r="M13" s="52">
        <v>98.06</v>
      </c>
      <c r="N13" s="52">
        <v>30.4</v>
      </c>
      <c r="O13" s="52">
        <v>0</v>
      </c>
      <c r="P13" s="52">
        <v>0.19</v>
      </c>
      <c r="Q13" s="52">
        <v>9.5</v>
      </c>
      <c r="R13" s="43"/>
      <c r="S13" s="43"/>
      <c r="T13" s="43"/>
      <c r="U13" s="43"/>
    </row>
    <row r="14" spans="1:21" s="11" customFormat="1" x14ac:dyDescent="0.25">
      <c r="A14" s="51" t="s">
        <v>785</v>
      </c>
      <c r="B14" s="52">
        <v>7.51</v>
      </c>
      <c r="C14" s="52">
        <v>8.74</v>
      </c>
      <c r="D14" s="52">
        <v>10.09</v>
      </c>
      <c r="E14" s="52">
        <v>5.64</v>
      </c>
      <c r="F14" s="52">
        <v>7.77</v>
      </c>
      <c r="G14" s="52">
        <v>15.35</v>
      </c>
      <c r="H14" s="52">
        <v>1.77</v>
      </c>
      <c r="I14" s="52">
        <v>0.87</v>
      </c>
      <c r="J14" s="52">
        <v>0.37</v>
      </c>
      <c r="K14" s="52">
        <v>154.41999999999999</v>
      </c>
      <c r="L14" s="52">
        <v>24.37</v>
      </c>
      <c r="M14" s="52">
        <v>98.06</v>
      </c>
      <c r="N14" s="52">
        <v>34.9</v>
      </c>
      <c r="O14" s="52">
        <v>0</v>
      </c>
      <c r="P14" s="52">
        <v>0.18</v>
      </c>
      <c r="Q14" s="52">
        <v>9.5399999999999991</v>
      </c>
      <c r="R14" s="43"/>
      <c r="S14" s="43"/>
      <c r="T14" s="43"/>
      <c r="U14" s="43"/>
    </row>
    <row r="15" spans="1:21" s="11" customFormat="1" x14ac:dyDescent="0.25">
      <c r="A15" s="51" t="s">
        <v>786</v>
      </c>
      <c r="B15" s="52">
        <v>7.86</v>
      </c>
      <c r="C15" s="52">
        <v>8.43</v>
      </c>
      <c r="D15" s="52">
        <v>10.71</v>
      </c>
      <c r="E15" s="52">
        <v>5.63</v>
      </c>
      <c r="F15" s="52">
        <v>6.94</v>
      </c>
      <c r="G15" s="52">
        <v>14.83</v>
      </c>
      <c r="H15" s="52">
        <v>1.73</v>
      </c>
      <c r="I15" s="52">
        <v>0.84</v>
      </c>
      <c r="J15" s="52">
        <v>0.86</v>
      </c>
      <c r="K15" s="52">
        <v>170.21</v>
      </c>
      <c r="L15" s="52">
        <v>24.56</v>
      </c>
      <c r="M15" s="52">
        <v>98.08</v>
      </c>
      <c r="N15" s="52">
        <v>48.3</v>
      </c>
      <c r="O15" s="52">
        <v>0</v>
      </c>
      <c r="P15" s="52">
        <v>0.19</v>
      </c>
      <c r="Q15" s="52">
        <v>9.57</v>
      </c>
      <c r="R15" s="43"/>
      <c r="S15" s="43"/>
      <c r="T15" s="43"/>
      <c r="U15" s="43"/>
    </row>
    <row r="16" spans="1:21" s="11" customFormat="1" x14ac:dyDescent="0.25">
      <c r="A16" s="51" t="s">
        <v>787</v>
      </c>
      <c r="B16" s="52">
        <v>8.06</v>
      </c>
      <c r="C16" s="52">
        <v>9.5399999999999991</v>
      </c>
      <c r="D16" s="52">
        <v>11.07</v>
      </c>
      <c r="E16" s="52">
        <v>5.46</v>
      </c>
      <c r="F16" s="52">
        <v>8.33</v>
      </c>
      <c r="G16" s="52">
        <v>19.11</v>
      </c>
      <c r="H16" s="52">
        <v>1.68</v>
      </c>
      <c r="I16" s="52">
        <v>0.83</v>
      </c>
      <c r="J16" s="52">
        <v>0.45</v>
      </c>
      <c r="K16" s="52">
        <v>174.37</v>
      </c>
      <c r="L16" s="52">
        <v>24.57</v>
      </c>
      <c r="M16" s="52">
        <v>98.08</v>
      </c>
      <c r="N16" s="52">
        <v>90.6</v>
      </c>
      <c r="O16" s="52">
        <v>0</v>
      </c>
      <c r="P16" s="52">
        <v>0.28000000000000003</v>
      </c>
      <c r="Q16" s="52">
        <v>9.57</v>
      </c>
      <c r="R16" s="43"/>
      <c r="S16" s="43"/>
      <c r="T16" s="43"/>
      <c r="U16" s="43"/>
    </row>
    <row r="17" spans="1:21" s="11" customFormat="1" x14ac:dyDescent="0.25">
      <c r="A17" s="51" t="s">
        <v>788</v>
      </c>
      <c r="B17" s="52">
        <v>7.84</v>
      </c>
      <c r="C17" s="52">
        <v>8.09</v>
      </c>
      <c r="D17" s="52">
        <v>10.26</v>
      </c>
      <c r="E17" s="52">
        <v>4.0599999999999996</v>
      </c>
      <c r="F17" s="52">
        <v>7.03</v>
      </c>
      <c r="G17" s="52">
        <v>21.24</v>
      </c>
      <c r="H17" s="52">
        <v>2.0499999999999998</v>
      </c>
      <c r="I17" s="52">
        <v>0.79</v>
      </c>
      <c r="J17" s="52">
        <v>0.24</v>
      </c>
      <c r="K17" s="52">
        <v>265.83</v>
      </c>
      <c r="L17" s="52">
        <v>25.53</v>
      </c>
      <c r="M17" s="52">
        <v>98.07</v>
      </c>
      <c r="N17" s="52">
        <v>153.80000000000001</v>
      </c>
      <c r="O17" s="52">
        <v>0</v>
      </c>
      <c r="P17" s="52">
        <v>0.28000000000000003</v>
      </c>
      <c r="Q17" s="52">
        <v>9.5399999999999991</v>
      </c>
      <c r="R17" s="43"/>
      <c r="S17" s="43"/>
      <c r="T17" s="43"/>
      <c r="U17" s="43"/>
    </row>
    <row r="18" spans="1:21" s="11" customFormat="1" x14ac:dyDescent="0.25">
      <c r="A18" s="51" t="s">
        <v>789</v>
      </c>
      <c r="B18" s="52">
        <v>11.86</v>
      </c>
      <c r="C18" s="52">
        <v>10.14</v>
      </c>
      <c r="D18" s="52">
        <v>14.81</v>
      </c>
      <c r="E18" s="52">
        <v>4.09</v>
      </c>
      <c r="F18" s="52">
        <v>5.91</v>
      </c>
      <c r="G18" s="52">
        <v>20.170000000000002</v>
      </c>
      <c r="H18" s="52">
        <v>2.0499999999999998</v>
      </c>
      <c r="I18" s="52">
        <v>0.79</v>
      </c>
      <c r="J18" s="52">
        <v>0.15</v>
      </c>
      <c r="K18" s="52">
        <v>315.2</v>
      </c>
      <c r="L18" s="52">
        <v>27.29</v>
      </c>
      <c r="M18" s="52">
        <v>97.98</v>
      </c>
      <c r="N18" s="52">
        <v>237.6</v>
      </c>
      <c r="O18" s="52">
        <v>0</v>
      </c>
      <c r="P18" s="52">
        <v>0.46</v>
      </c>
      <c r="Q18" s="52">
        <v>9.52</v>
      </c>
      <c r="R18" s="43"/>
      <c r="S18" s="43"/>
      <c r="T18" s="43"/>
      <c r="U18" s="43"/>
    </row>
    <row r="19" spans="1:21" s="11" customFormat="1" x14ac:dyDescent="0.25">
      <c r="A19" s="51" t="s">
        <v>790</v>
      </c>
      <c r="B19" s="52">
        <v>12.06</v>
      </c>
      <c r="C19" s="52">
        <v>9.2100000000000009</v>
      </c>
      <c r="D19" s="52">
        <v>14.42</v>
      </c>
      <c r="E19" s="52">
        <v>4.05</v>
      </c>
      <c r="F19" s="52">
        <v>7.23</v>
      </c>
      <c r="G19" s="52">
        <v>25.81</v>
      </c>
      <c r="H19" s="52">
        <v>2.0499999999999998</v>
      </c>
      <c r="I19" s="52">
        <v>0.9</v>
      </c>
      <c r="J19" s="52">
        <v>0.23</v>
      </c>
      <c r="K19" s="52">
        <v>317.01</v>
      </c>
      <c r="L19" s="52">
        <v>27.8</v>
      </c>
      <c r="M19" s="52">
        <v>97.91</v>
      </c>
      <c r="N19" s="52">
        <v>246.9</v>
      </c>
      <c r="O19" s="52">
        <v>0</v>
      </c>
      <c r="P19" s="52">
        <v>0.45</v>
      </c>
      <c r="Q19" s="52">
        <v>9.56</v>
      </c>
      <c r="R19" s="43"/>
      <c r="S19" s="43"/>
      <c r="T19" s="43"/>
      <c r="U19" s="43"/>
    </row>
    <row r="20" spans="1:21" s="11" customFormat="1" x14ac:dyDescent="0.25">
      <c r="A20" s="51" t="s">
        <v>791</v>
      </c>
      <c r="B20" s="52">
        <v>10.69</v>
      </c>
      <c r="C20" s="52">
        <v>12.66</v>
      </c>
      <c r="D20" s="52">
        <v>15.19</v>
      </c>
      <c r="E20" s="52">
        <v>4.04</v>
      </c>
      <c r="F20" s="52">
        <v>8.4499999999999993</v>
      </c>
      <c r="G20" s="52">
        <v>38.75</v>
      </c>
      <c r="H20" s="52">
        <v>2.02</v>
      </c>
      <c r="I20" s="52">
        <v>0.92</v>
      </c>
      <c r="J20" s="52">
        <v>0.17</v>
      </c>
      <c r="K20" s="52">
        <v>317.55</v>
      </c>
      <c r="L20" s="52">
        <v>29.46</v>
      </c>
      <c r="M20" s="52">
        <v>96.47</v>
      </c>
      <c r="N20" s="52">
        <v>422.4</v>
      </c>
      <c r="O20" s="52">
        <v>0</v>
      </c>
      <c r="P20" s="52">
        <v>0.61</v>
      </c>
      <c r="Q20" s="52">
        <v>9.56</v>
      </c>
      <c r="R20" s="43"/>
      <c r="S20" s="43"/>
      <c r="T20" s="43"/>
      <c r="U20" s="43"/>
    </row>
    <row r="21" spans="1:21" s="11" customFormat="1" x14ac:dyDescent="0.25">
      <c r="A21" s="51" t="s">
        <v>792</v>
      </c>
      <c r="B21" s="52">
        <v>11.33</v>
      </c>
      <c r="C21" s="52">
        <v>13.42</v>
      </c>
      <c r="D21" s="52">
        <v>14.73</v>
      </c>
      <c r="E21" s="52">
        <v>3.99</v>
      </c>
      <c r="F21" s="52">
        <v>9.08</v>
      </c>
      <c r="G21" s="52">
        <v>48.66</v>
      </c>
      <c r="H21" s="52">
        <v>5.45</v>
      </c>
      <c r="I21" s="52">
        <v>1.1100000000000001</v>
      </c>
      <c r="J21" s="52">
        <v>0.2</v>
      </c>
      <c r="K21" s="52">
        <v>325.70999999999998</v>
      </c>
      <c r="L21" s="52">
        <v>29.62</v>
      </c>
      <c r="M21" s="52">
        <v>92</v>
      </c>
      <c r="N21" s="52">
        <v>443.2</v>
      </c>
      <c r="O21" s="52">
        <v>0</v>
      </c>
      <c r="P21" s="52">
        <v>0.51</v>
      </c>
      <c r="Q21" s="52">
        <v>9.57</v>
      </c>
      <c r="R21" s="43"/>
      <c r="S21" s="43"/>
      <c r="T21" s="43"/>
      <c r="U21" s="43"/>
    </row>
    <row r="22" spans="1:21" s="11" customFormat="1" x14ac:dyDescent="0.25">
      <c r="A22" s="51" t="s">
        <v>793</v>
      </c>
      <c r="B22" s="52">
        <v>11.63</v>
      </c>
      <c r="C22" s="52">
        <v>12.94</v>
      </c>
      <c r="D22" s="52">
        <v>15.03</v>
      </c>
      <c r="E22" s="52">
        <v>4.0199999999999996</v>
      </c>
      <c r="F22" s="52">
        <v>13.31</v>
      </c>
      <c r="G22" s="52">
        <v>47.38</v>
      </c>
      <c r="H22" s="52">
        <v>5.94</v>
      </c>
      <c r="I22" s="52">
        <v>1.19</v>
      </c>
      <c r="J22" s="52">
        <v>0.56000000000000005</v>
      </c>
      <c r="K22" s="52">
        <v>331.23</v>
      </c>
      <c r="L22" s="52">
        <v>30.23</v>
      </c>
      <c r="M22" s="52">
        <v>87.88</v>
      </c>
      <c r="N22" s="52">
        <v>274.8</v>
      </c>
      <c r="O22" s="52">
        <v>0</v>
      </c>
      <c r="P22" s="52">
        <v>0.56999999999999995</v>
      </c>
      <c r="Q22" s="52">
        <v>9.6</v>
      </c>
      <c r="R22" s="43"/>
      <c r="S22" s="43"/>
      <c r="T22" s="43"/>
      <c r="U22" s="43"/>
    </row>
    <row r="23" spans="1:21" s="11" customFormat="1" x14ac:dyDescent="0.25">
      <c r="A23" s="51" t="s">
        <v>794</v>
      </c>
      <c r="B23" s="52">
        <v>14</v>
      </c>
      <c r="C23" s="52">
        <v>15.15</v>
      </c>
      <c r="D23" s="52">
        <v>17.239999999999998</v>
      </c>
      <c r="E23" s="52">
        <v>4.3099999999999996</v>
      </c>
      <c r="F23" s="52">
        <v>15.5</v>
      </c>
      <c r="G23" s="52">
        <v>54.25</v>
      </c>
      <c r="H23" s="52">
        <v>7.43</v>
      </c>
      <c r="I23" s="52">
        <v>1.45</v>
      </c>
      <c r="J23" s="52">
        <v>0.24</v>
      </c>
      <c r="K23" s="52">
        <v>324.13</v>
      </c>
      <c r="L23" s="52">
        <v>29.69</v>
      </c>
      <c r="M23" s="52">
        <v>88.56</v>
      </c>
      <c r="N23" s="52">
        <v>245.5</v>
      </c>
      <c r="O23" s="52">
        <v>0</v>
      </c>
      <c r="P23" s="52">
        <v>0.84</v>
      </c>
      <c r="Q23" s="52">
        <v>9.6199999999999992</v>
      </c>
      <c r="R23" s="43"/>
      <c r="S23" s="43"/>
      <c r="T23" s="43"/>
      <c r="U23" s="43"/>
    </row>
    <row r="24" spans="1:21" s="11" customFormat="1" x14ac:dyDescent="0.25">
      <c r="A24" s="51" t="s">
        <v>795</v>
      </c>
      <c r="B24" s="52">
        <v>18.11</v>
      </c>
      <c r="C24" s="52">
        <v>25.62</v>
      </c>
      <c r="D24" s="52">
        <v>27.91</v>
      </c>
      <c r="E24" s="52">
        <v>4.5</v>
      </c>
      <c r="F24" s="52">
        <v>14.32</v>
      </c>
      <c r="G24" s="52">
        <v>52.57</v>
      </c>
      <c r="H24" s="52">
        <v>8.44</v>
      </c>
      <c r="I24" s="52">
        <v>1.78</v>
      </c>
      <c r="J24" s="52">
        <v>0.3</v>
      </c>
      <c r="K24" s="52">
        <v>359.51</v>
      </c>
      <c r="L24" s="52">
        <v>30</v>
      </c>
      <c r="M24" s="52">
        <v>85.26</v>
      </c>
      <c r="N24" s="52">
        <v>217.9</v>
      </c>
      <c r="O24" s="52">
        <v>0</v>
      </c>
      <c r="P24" s="52">
        <v>1.1499999999999999</v>
      </c>
      <c r="Q24" s="52">
        <v>9.6199999999999992</v>
      </c>
      <c r="R24" s="43"/>
      <c r="S24" s="43"/>
      <c r="T24" s="43"/>
      <c r="U24" s="43"/>
    </row>
    <row r="25" spans="1:21" s="11" customFormat="1" x14ac:dyDescent="0.25">
      <c r="A25" s="51" t="s">
        <v>796</v>
      </c>
      <c r="B25" s="52">
        <v>20.95</v>
      </c>
      <c r="C25" s="52">
        <v>21.11</v>
      </c>
      <c r="D25" s="52">
        <v>25.44</v>
      </c>
      <c r="E25" s="52">
        <v>4.71</v>
      </c>
      <c r="F25" s="52">
        <v>15.14</v>
      </c>
      <c r="G25" s="52">
        <v>64.290000000000006</v>
      </c>
      <c r="H25" s="52">
        <v>13.37</v>
      </c>
      <c r="I25" s="52">
        <v>2.12</v>
      </c>
      <c r="J25" s="52">
        <v>0.72</v>
      </c>
      <c r="K25" s="52">
        <v>354.96</v>
      </c>
      <c r="L25" s="52">
        <v>30.51</v>
      </c>
      <c r="M25" s="52">
        <v>79.7</v>
      </c>
      <c r="N25" s="52">
        <v>166.9</v>
      </c>
      <c r="O25" s="52">
        <v>0</v>
      </c>
      <c r="P25" s="52">
        <v>1.06</v>
      </c>
      <c r="Q25" s="52">
        <v>9.6199999999999992</v>
      </c>
      <c r="R25" s="43"/>
      <c r="S25" s="43"/>
      <c r="T25" s="43"/>
      <c r="U25" s="43"/>
    </row>
    <row r="26" spans="1:21" s="11" customFormat="1" x14ac:dyDescent="0.25">
      <c r="A26" s="51" t="s">
        <v>797</v>
      </c>
      <c r="B26" s="52">
        <v>7.22</v>
      </c>
      <c r="C26" s="52">
        <v>23.06</v>
      </c>
      <c r="D26" s="52">
        <v>17.54</v>
      </c>
      <c r="E26" s="52">
        <v>4.4000000000000004</v>
      </c>
      <c r="F26" s="52">
        <v>16.149999999999999</v>
      </c>
      <c r="G26" s="52">
        <v>65.650000000000006</v>
      </c>
      <c r="H26" s="52">
        <v>12.42</v>
      </c>
      <c r="I26" s="52">
        <v>2.2599999999999998</v>
      </c>
      <c r="J26" s="52">
        <v>0.22</v>
      </c>
      <c r="K26" s="52">
        <v>298.45</v>
      </c>
      <c r="L26" s="52">
        <v>28.49</v>
      </c>
      <c r="M26" s="52">
        <v>86.11</v>
      </c>
      <c r="N26" s="52">
        <v>61.9</v>
      </c>
      <c r="O26" s="52">
        <v>0</v>
      </c>
      <c r="P26" s="52">
        <v>0.97</v>
      </c>
      <c r="Q26" s="52">
        <v>9.6199999999999992</v>
      </c>
      <c r="R26" s="43"/>
      <c r="S26" s="43"/>
      <c r="T26" s="43"/>
      <c r="U26" s="43"/>
    </row>
    <row r="27" spans="1:21" s="11" customFormat="1" x14ac:dyDescent="0.25">
      <c r="A27" s="51" t="s">
        <v>798</v>
      </c>
      <c r="B27" s="52">
        <v>6.46</v>
      </c>
      <c r="C27" s="52">
        <v>19.579999999999998</v>
      </c>
      <c r="D27" s="52">
        <v>15.38</v>
      </c>
      <c r="E27" s="52">
        <v>4.62</v>
      </c>
      <c r="F27" s="52">
        <v>16.03</v>
      </c>
      <c r="G27" s="52">
        <v>65.599999999999994</v>
      </c>
      <c r="H27" s="52">
        <v>9.7200000000000006</v>
      </c>
      <c r="I27" s="52">
        <v>2.67</v>
      </c>
      <c r="J27" s="52">
        <v>0.27</v>
      </c>
      <c r="K27" s="52">
        <v>296.3</v>
      </c>
      <c r="L27" s="52">
        <v>27.38</v>
      </c>
      <c r="M27" s="52">
        <v>97.94</v>
      </c>
      <c r="N27" s="52">
        <v>33.200000000000003</v>
      </c>
      <c r="O27" s="52">
        <v>0</v>
      </c>
      <c r="P27" s="52">
        <v>0.9</v>
      </c>
      <c r="Q27" s="52">
        <v>9.6300000000000008</v>
      </c>
      <c r="R27" s="43"/>
      <c r="S27" s="43"/>
      <c r="T27" s="43"/>
      <c r="U27" s="43"/>
    </row>
    <row r="28" spans="1:21" s="11" customFormat="1" x14ac:dyDescent="0.25">
      <c r="A28" s="51" t="s">
        <v>799</v>
      </c>
      <c r="B28" s="52">
        <v>7.14</v>
      </c>
      <c r="C28" s="52">
        <v>16.95</v>
      </c>
      <c r="D28" s="52">
        <v>13.45</v>
      </c>
      <c r="E28" s="52">
        <v>4.79</v>
      </c>
      <c r="F28" s="52">
        <v>10.28</v>
      </c>
      <c r="G28" s="52">
        <v>66.010000000000005</v>
      </c>
      <c r="H28" s="52">
        <v>11.18</v>
      </c>
      <c r="I28" s="52">
        <v>2.79</v>
      </c>
      <c r="J28" s="52">
        <v>0.33</v>
      </c>
      <c r="K28" s="52">
        <v>179.82</v>
      </c>
      <c r="L28" s="52">
        <v>26.66</v>
      </c>
      <c r="M28" s="52">
        <v>97.99</v>
      </c>
      <c r="N28" s="52">
        <v>31.1</v>
      </c>
      <c r="O28" s="52">
        <v>0</v>
      </c>
      <c r="P28" s="52">
        <v>0.48</v>
      </c>
      <c r="Q28" s="52">
        <v>9.61</v>
      </c>
      <c r="R28" s="43"/>
      <c r="S28" s="43"/>
      <c r="T28" s="43"/>
      <c r="U28" s="43"/>
    </row>
    <row r="29" spans="1:21" s="11" customFormat="1" x14ac:dyDescent="0.25">
      <c r="A29" s="51" t="s">
        <v>800</v>
      </c>
      <c r="B29" s="52">
        <v>7.58</v>
      </c>
      <c r="C29" s="52">
        <v>11.19</v>
      </c>
      <c r="D29" s="52">
        <v>11.28</v>
      </c>
      <c r="E29" s="52">
        <v>4.62</v>
      </c>
      <c r="F29" s="52">
        <v>8.82</v>
      </c>
      <c r="G29" s="52">
        <v>59.6</v>
      </c>
      <c r="H29" s="52">
        <v>10.35</v>
      </c>
      <c r="I29" s="52">
        <v>2.65</v>
      </c>
      <c r="J29" s="52">
        <v>0.14000000000000001</v>
      </c>
      <c r="K29" s="52">
        <v>323.87</v>
      </c>
      <c r="L29" s="52">
        <v>25.39</v>
      </c>
      <c r="M29" s="52">
        <v>98.05</v>
      </c>
      <c r="N29" s="52">
        <v>31</v>
      </c>
      <c r="O29" s="52">
        <v>0</v>
      </c>
      <c r="P29" s="52">
        <v>0.53</v>
      </c>
      <c r="Q29" s="52">
        <v>9.56</v>
      </c>
      <c r="R29" s="43"/>
      <c r="S29" s="43"/>
      <c r="T29" s="43"/>
      <c r="U29" s="43"/>
    </row>
    <row r="30" spans="1:21" s="11" customFormat="1" x14ac:dyDescent="0.25">
      <c r="A30" s="51" t="s">
        <v>801</v>
      </c>
      <c r="B30" s="52">
        <v>7.15</v>
      </c>
      <c r="C30" s="52">
        <v>10.41</v>
      </c>
      <c r="D30" s="52">
        <v>10.95</v>
      </c>
      <c r="E30" s="52">
        <v>4.71</v>
      </c>
      <c r="F30" s="52">
        <v>9.1300000000000008</v>
      </c>
      <c r="G30" s="52">
        <v>42.73</v>
      </c>
      <c r="H30" s="52">
        <v>8.27</v>
      </c>
      <c r="I30" s="52">
        <v>2.36</v>
      </c>
      <c r="J30" s="52">
        <v>0.15</v>
      </c>
      <c r="K30" s="52">
        <v>128.41</v>
      </c>
      <c r="L30" s="52">
        <v>25.09</v>
      </c>
      <c r="M30" s="52">
        <v>98.07</v>
      </c>
      <c r="N30" s="52">
        <v>30.6</v>
      </c>
      <c r="O30" s="52">
        <v>0</v>
      </c>
      <c r="P30" s="52">
        <v>0.39</v>
      </c>
      <c r="Q30" s="52">
        <v>9.5399999999999991</v>
      </c>
      <c r="R30" s="43"/>
      <c r="S30" s="43"/>
      <c r="T30" s="43"/>
      <c r="U30" s="43"/>
    </row>
    <row r="31" spans="1:21" s="11" customFormat="1" x14ac:dyDescent="0.25">
      <c r="A31" s="51" t="s">
        <v>802</v>
      </c>
      <c r="B31" s="52">
        <v>6.41</v>
      </c>
      <c r="C31" s="52">
        <v>8.9499999999999993</v>
      </c>
      <c r="D31" s="52">
        <v>9.82</v>
      </c>
      <c r="E31" s="52">
        <v>4.45</v>
      </c>
      <c r="F31" s="52">
        <v>9.84</v>
      </c>
      <c r="G31" s="52">
        <v>29.22</v>
      </c>
      <c r="H31" s="52">
        <v>6.5</v>
      </c>
      <c r="I31" s="52">
        <v>2.13</v>
      </c>
      <c r="J31" s="52">
        <v>0.31</v>
      </c>
      <c r="K31" s="52">
        <v>210.46</v>
      </c>
      <c r="L31" s="52">
        <v>24.75</v>
      </c>
      <c r="M31" s="52">
        <v>98.06</v>
      </c>
      <c r="N31" s="52">
        <v>30.7</v>
      </c>
      <c r="O31" s="52">
        <v>0</v>
      </c>
      <c r="P31" s="52">
        <v>0.32</v>
      </c>
      <c r="Q31" s="52">
        <v>9.56</v>
      </c>
      <c r="R31" s="43"/>
      <c r="S31" s="43"/>
      <c r="T31" s="43"/>
      <c r="U31" s="43"/>
    </row>
    <row r="32" spans="1:21" s="11" customFormat="1" x14ac:dyDescent="0.25">
      <c r="A32" s="51" t="s">
        <v>803</v>
      </c>
      <c r="B32" s="52">
        <v>5.67</v>
      </c>
      <c r="C32" s="52">
        <v>7.28</v>
      </c>
      <c r="D32" s="52">
        <v>8.15</v>
      </c>
      <c r="E32" s="52">
        <v>4.59</v>
      </c>
      <c r="F32" s="52">
        <v>10.41</v>
      </c>
      <c r="G32" s="52">
        <v>25.03</v>
      </c>
      <c r="H32" s="52">
        <v>6.97</v>
      </c>
      <c r="I32" s="52">
        <v>1.92</v>
      </c>
      <c r="J32" s="52">
        <v>0.12</v>
      </c>
      <c r="K32" s="52">
        <v>256.12</v>
      </c>
      <c r="L32" s="52">
        <v>24.72</v>
      </c>
      <c r="M32" s="52">
        <v>98.08</v>
      </c>
      <c r="N32" s="52">
        <v>30.9</v>
      </c>
      <c r="O32" s="52">
        <v>0</v>
      </c>
      <c r="P32" s="52">
        <v>0.27</v>
      </c>
      <c r="Q32" s="52">
        <v>9.5500000000000007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4.58</v>
      </c>
      <c r="C34" s="28">
        <f t="shared" si="0"/>
        <v>6.37</v>
      </c>
      <c r="D34" s="28">
        <f t="shared" si="0"/>
        <v>7</v>
      </c>
      <c r="E34" s="28">
        <f t="shared" si="0"/>
        <v>3.99</v>
      </c>
      <c r="F34" s="28">
        <f t="shared" si="0"/>
        <v>5.91</v>
      </c>
      <c r="G34" s="28">
        <f t="shared" si="0"/>
        <v>14.83</v>
      </c>
      <c r="H34" s="28">
        <f t="shared" si="0"/>
        <v>1.68</v>
      </c>
      <c r="I34" s="28">
        <f t="shared" si="0"/>
        <v>0.79</v>
      </c>
      <c r="J34" s="28">
        <f t="shared" si="0"/>
        <v>0.12</v>
      </c>
      <c r="K34" s="28">
        <f t="shared" si="0"/>
        <v>128.41</v>
      </c>
      <c r="L34" s="28">
        <f t="shared" si="0"/>
        <v>24.34</v>
      </c>
      <c r="M34" s="28">
        <f t="shared" si="0"/>
        <v>79.7</v>
      </c>
      <c r="N34" s="28">
        <f t="shared" si="0"/>
        <v>30.3</v>
      </c>
      <c r="O34" s="28">
        <f t="shared" si="0"/>
        <v>0</v>
      </c>
      <c r="P34" s="28">
        <f t="shared" si="0"/>
        <v>0.16</v>
      </c>
      <c r="Q34" s="28">
        <f t="shared" si="0"/>
        <v>9.5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20.95</v>
      </c>
      <c r="C35" s="29">
        <f t="shared" si="1"/>
        <v>25.62</v>
      </c>
      <c r="D35" s="29">
        <f t="shared" si="1"/>
        <v>27.91</v>
      </c>
      <c r="E35" s="29">
        <f t="shared" si="1"/>
        <v>5.9</v>
      </c>
      <c r="F35" s="29">
        <f t="shared" si="1"/>
        <v>16.149999999999999</v>
      </c>
      <c r="G35" s="29">
        <f t="shared" si="1"/>
        <v>66.010000000000005</v>
      </c>
      <c r="H35" s="29">
        <f t="shared" si="1"/>
        <v>13.37</v>
      </c>
      <c r="I35" s="29">
        <f t="shared" si="1"/>
        <v>2.79</v>
      </c>
      <c r="J35" s="29">
        <f t="shared" si="1"/>
        <v>0.86</v>
      </c>
      <c r="K35" s="29">
        <f t="shared" si="1"/>
        <v>359.51</v>
      </c>
      <c r="L35" s="29">
        <f t="shared" si="1"/>
        <v>30.51</v>
      </c>
      <c r="M35" s="29">
        <f t="shared" si="1"/>
        <v>98.09</v>
      </c>
      <c r="N35" s="29">
        <f t="shared" si="1"/>
        <v>443.2</v>
      </c>
      <c r="O35" s="29">
        <f t="shared" si="1"/>
        <v>0</v>
      </c>
      <c r="P35" s="29">
        <f t="shared" si="1"/>
        <v>1.1499999999999999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9.18</v>
      </c>
      <c r="C36" s="28">
        <f t="shared" si="2"/>
        <v>12.136666666666665</v>
      </c>
      <c r="D36" s="28">
        <f t="shared" si="2"/>
        <v>13.247499999999997</v>
      </c>
      <c r="E36" s="28">
        <f t="shared" si="2"/>
        <v>4.7950000000000008</v>
      </c>
      <c r="F36" s="28">
        <f t="shared" si="2"/>
        <v>10.078333333333331</v>
      </c>
      <c r="G36" s="28">
        <f t="shared" si="2"/>
        <v>36.71875</v>
      </c>
      <c r="H36" s="28">
        <f t="shared" si="2"/>
        <v>5.3570833333333328</v>
      </c>
      <c r="I36" s="28">
        <f t="shared" si="2"/>
        <v>1.4483333333333333</v>
      </c>
      <c r="J36" s="28">
        <f t="shared" si="2"/>
        <v>0.34041666666666665</v>
      </c>
      <c r="K36" s="28">
        <f t="shared" si="2"/>
        <v>258.80124999999998</v>
      </c>
      <c r="L36" s="28">
        <f t="shared" si="2"/>
        <v>26.604583333333334</v>
      </c>
      <c r="M36" s="28">
        <f t="shared" si="2"/>
        <v>95.112499999999997</v>
      </c>
      <c r="N36" s="28">
        <f t="shared" si="2"/>
        <v>124.34166666666665</v>
      </c>
      <c r="O36" s="28">
        <f t="shared" si="2"/>
        <v>0</v>
      </c>
      <c r="P36" s="28">
        <f t="shared" si="2"/>
        <v>0.47625000000000006</v>
      </c>
      <c r="Q36" s="28">
        <f t="shared" si="2"/>
        <v>9.5633333333333344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4.0692142174904111</v>
      </c>
      <c r="C37" s="28">
        <f t="shared" ref="C37:Q37" si="3">STDEV(C9:C32)</f>
        <v>5.4184825941575614</v>
      </c>
      <c r="D37" s="28">
        <f t="shared" si="3"/>
        <v>5.1406954782402803</v>
      </c>
      <c r="E37" s="28">
        <f t="shared" si="3"/>
        <v>0.65880656262404447</v>
      </c>
      <c r="F37" s="28">
        <f t="shared" si="3"/>
        <v>3.169683383813473</v>
      </c>
      <c r="G37" s="28">
        <f t="shared" si="3"/>
        <v>18.722277665344603</v>
      </c>
      <c r="H37" s="28">
        <f t="shared" si="3"/>
        <v>3.978130956340816</v>
      </c>
      <c r="I37" s="28">
        <f t="shared" si="3"/>
        <v>0.71766933567090552</v>
      </c>
      <c r="J37" s="28">
        <f t="shared" si="3"/>
        <v>0.20270945510361832</v>
      </c>
      <c r="K37" s="28">
        <f t="shared" si="3"/>
        <v>75.927485503546805</v>
      </c>
      <c r="L37" s="28">
        <f t="shared" si="3"/>
        <v>2.2902116461274868</v>
      </c>
      <c r="M37" s="28">
        <f t="shared" si="3"/>
        <v>5.3908588087291029</v>
      </c>
      <c r="N37" s="28">
        <f t="shared" si="3"/>
        <v>128.88359397961187</v>
      </c>
      <c r="O37" s="28">
        <f t="shared" si="3"/>
        <v>0</v>
      </c>
      <c r="P37" s="28">
        <f t="shared" si="3"/>
        <v>0.30212022513360892</v>
      </c>
      <c r="Q37" s="28">
        <f t="shared" si="3"/>
        <v>4.1143087185922265E-2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Views>
    <sheetView tabSelected="1" zoomScale="90" zoomScaleNormal="90" workbookViewId="0">
      <pane xSplit="1" ySplit="8" topLeftCell="C9" activePane="bottomRight" state="frozen"/>
      <selection activeCell="B2" sqref="B2"/>
      <selection pane="topRight" activeCell="B2" sqref="B2"/>
      <selection pane="bottomLeft" activeCell="B2" sqref="B2"/>
      <selection pane="bottomRight" activeCell="G56" sqref="G56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01/08/2025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01/08/2025 01:00</v>
      </c>
      <c r="B9" s="24">
        <f>'01'!B36</f>
        <v>21.434782608695649</v>
      </c>
      <c r="C9" s="24">
        <f>'01'!C36</f>
        <v>15.64521739130435</v>
      </c>
      <c r="D9" s="24">
        <f>'01'!D36</f>
        <v>25.51913043478261</v>
      </c>
      <c r="E9" s="24">
        <f>'01'!E36</f>
        <v>5.1070833333333328</v>
      </c>
      <c r="F9" s="24">
        <f>'01'!F36</f>
        <v>8.3870833333333348</v>
      </c>
      <c r="G9" s="24">
        <f>'01'!G36</f>
        <v>48.053333333333327</v>
      </c>
      <c r="H9" s="24">
        <f>'01'!H36</f>
        <v>18.261052631578949</v>
      </c>
      <c r="I9" s="24">
        <f>'01'!I36</f>
        <v>13.954999999999998</v>
      </c>
      <c r="J9" s="24">
        <f>'01'!J36</f>
        <v>0.49999999999999994</v>
      </c>
      <c r="K9" s="24">
        <f>'01'!K36</f>
        <v>302.28374999999988</v>
      </c>
      <c r="L9" s="24">
        <f>'01'!L36</f>
        <v>26.604166666666657</v>
      </c>
      <c r="M9" s="24">
        <f>'01'!M36</f>
        <v>93.598333333333358</v>
      </c>
      <c r="N9" s="24">
        <f>'01'!N36</f>
        <v>224.48333333333332</v>
      </c>
      <c r="O9" s="24">
        <f>'01'!O36</f>
        <v>1.6666666666666666E-2</v>
      </c>
      <c r="P9" s="30">
        <f>'01'!$P$36</f>
        <v>0.55249999999999999</v>
      </c>
      <c r="Q9" s="24">
        <f>'01'!Q36</f>
        <v>9.4391666666666652</v>
      </c>
      <c r="R9" s="44"/>
      <c r="S9" s="44"/>
      <c r="T9" s="44"/>
      <c r="U9" s="45"/>
    </row>
    <row r="10" spans="1:21" s="34" customFormat="1" x14ac:dyDescent="0.25">
      <c r="A10" s="36" t="str">
        <f>'02'!$B$2</f>
        <v>02/08/2025 01:00</v>
      </c>
      <c r="B10" s="33">
        <f>'02'!B36</f>
        <v>10.29458333333333</v>
      </c>
      <c r="C10" s="33">
        <f>'02'!C36</f>
        <v>14.137083333333329</v>
      </c>
      <c r="D10" s="33">
        <f>'02'!D36</f>
        <v>15.458750000000002</v>
      </c>
      <c r="E10" s="33">
        <f>'02'!E36</f>
        <v>4.9924999999999997</v>
      </c>
      <c r="F10" s="33">
        <f>'02'!F36</f>
        <v>8.7312500000000011</v>
      </c>
      <c r="G10" s="33">
        <f>'02'!G36</f>
        <v>45.851666666666667</v>
      </c>
      <c r="H10" s="33">
        <f>'02'!H36</f>
        <v>41.402500000000003</v>
      </c>
      <c r="I10" s="33">
        <f>'02'!I36</f>
        <v>2.2320833333333332</v>
      </c>
      <c r="J10" s="33">
        <f>'02'!J36</f>
        <v>0.22416666666666665</v>
      </c>
      <c r="K10" s="33">
        <f>'02'!K36</f>
        <v>308.15791666666661</v>
      </c>
      <c r="L10" s="33">
        <f>'02'!L36</f>
        <v>26.853749999999994</v>
      </c>
      <c r="M10" s="33">
        <f>'02'!M36</f>
        <v>93.371249999999989</v>
      </c>
      <c r="N10" s="33">
        <f>'02'!N36</f>
        <v>190.82916666666665</v>
      </c>
      <c r="O10" s="33">
        <f>'02'!O36</f>
        <v>8.3333333333333332E-3</v>
      </c>
      <c r="P10" s="30">
        <f>'02'!$P$36</f>
        <v>0.50208333333333333</v>
      </c>
      <c r="Q10" s="33">
        <f>'02'!Q36</f>
        <v>9.1741666666666664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03/08/2025 01:00</v>
      </c>
      <c r="B11" s="33">
        <f>'03'!B36</f>
        <v>11.910000000000002</v>
      </c>
      <c r="C11" s="33">
        <f>'03'!C36</f>
        <v>13.778333333333336</v>
      </c>
      <c r="D11" s="33">
        <f>'03'!D36</f>
        <v>16.105</v>
      </c>
      <c r="E11" s="33">
        <f>'03'!E36</f>
        <v>5.217083333333334</v>
      </c>
      <c r="F11" s="33">
        <f>'03'!F36</f>
        <v>9.7004166666666674</v>
      </c>
      <c r="G11" s="33">
        <f>'03'!G36</f>
        <v>61.134166666666658</v>
      </c>
      <c r="H11" s="33">
        <f>'03'!H36</f>
        <v>20.422083333333333</v>
      </c>
      <c r="I11" s="33">
        <f>'03'!I36</f>
        <v>1.6583333333333332</v>
      </c>
      <c r="J11" s="33">
        <f>'03'!J36</f>
        <v>0.20083333333333339</v>
      </c>
      <c r="K11" s="33">
        <f>'03'!K36</f>
        <v>298.04999999999995</v>
      </c>
      <c r="L11" s="33">
        <f>'03'!L36</f>
        <v>28.382500000000004</v>
      </c>
      <c r="M11" s="33">
        <f>'03'!M36</f>
        <v>84.922916666666652</v>
      </c>
      <c r="N11" s="33">
        <f>'03'!N36</f>
        <v>273.76666666666665</v>
      </c>
      <c r="O11" s="33">
        <f>'03'!O36</f>
        <v>8.3333333333333332E-3</v>
      </c>
      <c r="P11" s="30">
        <f>'03'!$P$36</f>
        <v>0.54666666666666663</v>
      </c>
      <c r="Q11" s="33">
        <f>'03'!Q36</f>
        <v>9.1945833333333322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04/08/2025 01:00</v>
      </c>
      <c r="B12" s="33">
        <f>'04'!B36</f>
        <v>9.6120833333333362</v>
      </c>
      <c r="C12" s="33">
        <f>'04'!C36</f>
        <v>15.913749999999999</v>
      </c>
      <c r="D12" s="33">
        <f>'04'!D36</f>
        <v>15.392083333333334</v>
      </c>
      <c r="E12" s="33">
        <f>'04'!E36</f>
        <v>4.9858333333333338</v>
      </c>
      <c r="F12" s="33">
        <f>'04'!F36</f>
        <v>11.402916666666664</v>
      </c>
      <c r="G12" s="33">
        <f>'04'!G36</f>
        <v>69.32083333333334</v>
      </c>
      <c r="H12" s="33">
        <f>'04'!H36</f>
        <v>13.382083333333332</v>
      </c>
      <c r="I12" s="33">
        <f>'04'!I36</f>
        <v>1.9641666666666664</v>
      </c>
      <c r="J12" s="33">
        <f>'04'!J36</f>
        <v>0.20083333333333334</v>
      </c>
      <c r="K12" s="33">
        <f>'04'!K36</f>
        <v>275.6033333333333</v>
      </c>
      <c r="L12" s="33">
        <f>'04'!L36</f>
        <v>27.744166666666658</v>
      </c>
      <c r="M12" s="33">
        <f>'04'!M36</f>
        <v>93.461250000000007</v>
      </c>
      <c r="N12" s="33">
        <f>'04'!N36</f>
        <v>187.96249999999998</v>
      </c>
      <c r="O12" s="33">
        <f>'04'!O36</f>
        <v>0</v>
      </c>
      <c r="P12" s="30">
        <f>'04'!$P$36</f>
        <v>0.50208333333333333</v>
      </c>
      <c r="Q12" s="33">
        <f>'04'!Q36</f>
        <v>9.2791666666666668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05/08/2025 01:00</v>
      </c>
      <c r="B13" s="33">
        <f>'05'!B36</f>
        <v>14.692083333333334</v>
      </c>
      <c r="C13" s="33">
        <f>'05'!C36</f>
        <v>18.422916666666673</v>
      </c>
      <c r="D13" s="33">
        <f>'05'!D36</f>
        <v>20.706666666666663</v>
      </c>
      <c r="E13" s="33">
        <f>'05'!E36</f>
        <v>5.142500000000001</v>
      </c>
      <c r="F13" s="33">
        <f>'05'!F36</f>
        <v>12.092916666666667</v>
      </c>
      <c r="G13" s="33">
        <f>'05'!G36</f>
        <v>66.132916666666674</v>
      </c>
      <c r="H13" s="33">
        <f>'05'!H36</f>
        <v>13.559583333333334</v>
      </c>
      <c r="I13" s="33">
        <f>'05'!I36</f>
        <v>1.9316666666666664</v>
      </c>
      <c r="J13" s="33">
        <f>'05'!J36</f>
        <v>0.2558333333333333</v>
      </c>
      <c r="K13" s="33">
        <f>'05'!K36</f>
        <v>304.5958333333333</v>
      </c>
      <c r="L13" s="33">
        <f>'05'!L36</f>
        <v>28.430000000000003</v>
      </c>
      <c r="M13" s="33">
        <f>'05'!M36</f>
        <v>91.122499999999988</v>
      </c>
      <c r="N13" s="33">
        <f>'05'!N36</f>
        <v>232.77916666666673</v>
      </c>
      <c r="O13" s="33">
        <f>'05'!O36</f>
        <v>1.6666666666666666E-2</v>
      </c>
      <c r="P13" s="30">
        <f>'05'!$P$36</f>
        <v>0.64875000000000005</v>
      </c>
      <c r="Q13" s="33">
        <f>'05'!Q36</f>
        <v>9.2633333333333319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06/08/2025 01:00</v>
      </c>
      <c r="B14" s="33">
        <f>'06'!B36</f>
        <v>11.075416666666667</v>
      </c>
      <c r="C14" s="33">
        <f>'06'!C36</f>
        <v>15.54875</v>
      </c>
      <c r="D14" s="33">
        <f>'06'!D36</f>
        <v>16.203749999999996</v>
      </c>
      <c r="E14" s="33">
        <f>'06'!E36</f>
        <v>4.8970833333333337</v>
      </c>
      <c r="F14" s="33">
        <f>'06'!F36</f>
        <v>11.239999999999997</v>
      </c>
      <c r="G14" s="33">
        <f>'06'!G36</f>
        <v>54.080416666666657</v>
      </c>
      <c r="H14" s="33">
        <f>'06'!H36</f>
        <v>11.391666666666666</v>
      </c>
      <c r="I14" s="33">
        <f>'06'!I36</f>
        <v>1.5270833333333333</v>
      </c>
      <c r="J14" s="33">
        <f>'06'!J36</f>
        <v>0.48916666666666669</v>
      </c>
      <c r="K14" s="33">
        <f>'06'!K36</f>
        <v>307.48458333333332</v>
      </c>
      <c r="L14" s="33">
        <f>'06'!L36</f>
        <v>28.744583333333335</v>
      </c>
      <c r="M14" s="33">
        <f>'06'!M36</f>
        <v>84.433333333333323</v>
      </c>
      <c r="N14" s="33">
        <f>'06'!N36</f>
        <v>282.66666666666669</v>
      </c>
      <c r="O14" s="33">
        <f>'06'!O36</f>
        <v>0</v>
      </c>
      <c r="P14" s="30">
        <f>'06'!$P$36</f>
        <v>0.36250000000000004</v>
      </c>
      <c r="Q14" s="33">
        <f>'06'!Q36</f>
        <v>9.3037499999999991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07/08/2025 01:00</v>
      </c>
      <c r="B15" s="33">
        <f>'07'!B36</f>
        <v>9.9270833333333339</v>
      </c>
      <c r="C15" s="33">
        <f>'07'!C36</f>
        <v>11.65</v>
      </c>
      <c r="D15" s="33">
        <f>'07'!D36</f>
        <v>13.714166666666666</v>
      </c>
      <c r="E15" s="33">
        <f>'07'!E36</f>
        <v>4.8387500000000001</v>
      </c>
      <c r="F15" s="33">
        <f>'07'!F36</f>
        <v>8.0029166666666693</v>
      </c>
      <c r="G15" s="33">
        <f>'07'!G36</f>
        <v>38.179166666666667</v>
      </c>
      <c r="H15" s="33">
        <f>'07'!H36</f>
        <v>5.7608333333333333</v>
      </c>
      <c r="I15" s="33">
        <f>'07'!I36</f>
        <v>1.17875</v>
      </c>
      <c r="J15" s="33">
        <f>'07'!J36</f>
        <v>0.49416666666666664</v>
      </c>
      <c r="K15" s="33">
        <f>'07'!K36</f>
        <v>310.12625000000003</v>
      </c>
      <c r="L15" s="33">
        <f>'07'!L36</f>
        <v>27.147499999999997</v>
      </c>
      <c r="M15" s="33">
        <f>'07'!M36</f>
        <v>92.020833333333329</v>
      </c>
      <c r="N15" s="33">
        <f>'07'!N36</f>
        <v>253.1</v>
      </c>
      <c r="O15" s="33">
        <f>'07'!O36</f>
        <v>0</v>
      </c>
      <c r="P15" s="33">
        <f>'07'!P36</f>
        <v>0.38541666666666669</v>
      </c>
      <c r="Q15" s="33">
        <f>'07'!Q36</f>
        <v>9.2158333333333342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08/08/2025 01:00</v>
      </c>
      <c r="B16" s="33">
        <f>'08'!B36</f>
        <v>8.8358333333333352</v>
      </c>
      <c r="C16" s="33">
        <f>'08'!C36</f>
        <v>10.792916666666665</v>
      </c>
      <c r="D16" s="33">
        <f>'08'!D36</f>
        <v>12.442916666666667</v>
      </c>
      <c r="E16" s="33">
        <f>'08'!E36</f>
        <v>4.4695833333333326</v>
      </c>
      <c r="F16" s="33">
        <f>'08'!F36</f>
        <v>5.5416666666666652</v>
      </c>
      <c r="G16" s="33">
        <f>'08'!G36</f>
        <v>20.373750000000001</v>
      </c>
      <c r="H16" s="33">
        <f>'08'!H36</f>
        <v>4.1008333333333331</v>
      </c>
      <c r="I16" s="33">
        <f>'08'!I36</f>
        <v>0.97916666666666663</v>
      </c>
      <c r="J16" s="33">
        <f>'08'!J36</f>
        <v>0.33791666666666664</v>
      </c>
      <c r="K16" s="33">
        <f>'08'!K36</f>
        <v>275.66874999999999</v>
      </c>
      <c r="L16" s="33">
        <f>'08'!L36</f>
        <v>24.55791666666666</v>
      </c>
      <c r="M16" s="33">
        <f>'08'!M36</f>
        <v>97.772916666666688</v>
      </c>
      <c r="N16" s="33">
        <f>'08'!N36</f>
        <v>164.07916666666665</v>
      </c>
      <c r="O16" s="33">
        <f>'08'!O36</f>
        <v>8.3333333333333332E-3</v>
      </c>
      <c r="P16" s="30">
        <f>'08'!$P$36</f>
        <v>0.32708333333333334</v>
      </c>
      <c r="Q16" s="33">
        <f>'08'!Q36</f>
        <v>9.629999999999999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09/08/2025 01:00</v>
      </c>
      <c r="B17" s="33">
        <f>'09'!B36</f>
        <v>9.1750000000000007</v>
      </c>
      <c r="C17" s="33">
        <f>'09'!C36</f>
        <v>11.213333333333333</v>
      </c>
      <c r="D17" s="33">
        <f>'09'!D36</f>
        <v>12.999166666666666</v>
      </c>
      <c r="E17" s="33">
        <f>'09'!E36</f>
        <v>4.609583333333334</v>
      </c>
      <c r="F17" s="33">
        <f>'09'!F36</f>
        <v>7.6483333333333325</v>
      </c>
      <c r="G17" s="33">
        <f>'09'!G36</f>
        <v>20.163333333333338</v>
      </c>
      <c r="H17" s="33">
        <f>'09'!H36</f>
        <v>4.6187499999999995</v>
      </c>
      <c r="I17" s="33">
        <f>'09'!I36</f>
        <v>1.0716666666666668</v>
      </c>
      <c r="J17" s="33">
        <f>'09'!J36</f>
        <v>0.35708333333333336</v>
      </c>
      <c r="K17" s="33">
        <f>'09'!K36</f>
        <v>232.07249999999999</v>
      </c>
      <c r="L17" s="33">
        <f>'09'!L36</f>
        <v>26.977499999999996</v>
      </c>
      <c r="M17" s="33">
        <f>'09'!M36</f>
        <v>92.483333333333334</v>
      </c>
      <c r="N17" s="33">
        <f>'09'!N36</f>
        <v>296.98333333333329</v>
      </c>
      <c r="O17" s="33">
        <f>'09'!O36</f>
        <v>8.3333333333333332E-3</v>
      </c>
      <c r="P17" s="33">
        <f>'09'!P36</f>
        <v>0.32333333333333331</v>
      </c>
      <c r="Q17" s="33">
        <f>'09'!Q36</f>
        <v>9.6408333333333314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10/08/2025 01:00</v>
      </c>
      <c r="B18" s="33">
        <f>'10'!B36</f>
        <v>6.7299999999999995</v>
      </c>
      <c r="C18" s="33">
        <f>'10'!C36</f>
        <v>11.340833333333331</v>
      </c>
      <c r="D18" s="33">
        <f>'10'!D36</f>
        <v>11.18</v>
      </c>
      <c r="E18" s="33">
        <f>'10'!E36</f>
        <v>4.972083333333333</v>
      </c>
      <c r="F18" s="33">
        <f>'10'!F36</f>
        <v>9.6966666666666672</v>
      </c>
      <c r="G18" s="33">
        <f>'10'!G36</f>
        <v>31.877916666666664</v>
      </c>
      <c r="H18" s="33">
        <f>'10'!H36</f>
        <v>10.630000000000003</v>
      </c>
      <c r="I18" s="33">
        <f>'10'!I36</f>
        <v>1.1216666666666664</v>
      </c>
      <c r="J18" s="33">
        <f>'10'!J36</f>
        <v>0.32291666666666663</v>
      </c>
      <c r="K18" s="33">
        <f>'10'!K36</f>
        <v>238.95749999999998</v>
      </c>
      <c r="L18" s="33">
        <f>'10'!L36</f>
        <v>27.597916666666666</v>
      </c>
      <c r="M18" s="33">
        <f>'10'!M36</f>
        <v>89.208333333333329</v>
      </c>
      <c r="N18" s="33">
        <f>'10'!N36</f>
        <v>283.79583333333335</v>
      </c>
      <c r="O18" s="33">
        <f>'10'!O36</f>
        <v>0</v>
      </c>
      <c r="P18" s="30">
        <f>'10'!$P$36</f>
        <v>0.31999999999999995</v>
      </c>
      <c r="Q18" s="33">
        <f>'10'!Q36</f>
        <v>9.6245833333333337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11/08/2025 01:00</v>
      </c>
      <c r="B19" s="33">
        <f>'11'!B36</f>
        <v>10.237916666666667</v>
      </c>
      <c r="C19" s="33">
        <f>'11'!C36</f>
        <v>11.469166666666668</v>
      </c>
      <c r="D19" s="33">
        <f>'11'!D36</f>
        <v>13.857916666666663</v>
      </c>
      <c r="E19" s="33">
        <f>'11'!E36</f>
        <v>4.9245833333333335</v>
      </c>
      <c r="F19" s="33">
        <f>'11'!F36</f>
        <v>9.0870833333333358</v>
      </c>
      <c r="G19" s="33">
        <f>'11'!G36</f>
        <v>36.924166666666657</v>
      </c>
      <c r="H19" s="33">
        <f>'11'!H36</f>
        <v>9.6499999999999986</v>
      </c>
      <c r="I19" s="33">
        <f>'11'!I36</f>
        <v>1.2608333333333335</v>
      </c>
      <c r="J19" s="33">
        <f>'11'!J36</f>
        <v>0.39833333333333337</v>
      </c>
      <c r="K19" s="33">
        <f>'11'!K36</f>
        <v>283.74416666666667</v>
      </c>
      <c r="L19" s="33">
        <f>'11'!L36</f>
        <v>27.983750000000001</v>
      </c>
      <c r="M19" s="33">
        <f>'11'!M36</f>
        <v>89.706666666666663</v>
      </c>
      <c r="N19" s="33">
        <f>'11'!N36</f>
        <v>209.10833333333332</v>
      </c>
      <c r="O19" s="33">
        <f>'11'!O36</f>
        <v>8.3333333333333332E-3</v>
      </c>
      <c r="P19" s="33">
        <f>'11'!P36</f>
        <v>0.47291666666666665</v>
      </c>
      <c r="Q19" s="33">
        <f>'11'!Q36</f>
        <v>9.6312499999999996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12/08/2025 01:00</v>
      </c>
      <c r="B20" s="33">
        <f>'12'!B36</f>
        <v>12.627916666666669</v>
      </c>
      <c r="C20" s="33">
        <f>'12'!C36</f>
        <v>11.7875</v>
      </c>
      <c r="D20" s="33">
        <f>'12'!D36</f>
        <v>15.876250000000001</v>
      </c>
      <c r="E20" s="33">
        <f>'12'!E36</f>
        <v>4.8595833333333331</v>
      </c>
      <c r="F20" s="33">
        <f>'12'!F36</f>
        <v>9.1416666666666693</v>
      </c>
      <c r="G20" s="33">
        <f>'12'!G36</f>
        <v>42.556249999999999</v>
      </c>
      <c r="H20" s="33">
        <f>'12'!H36</f>
        <v>10.153333333333334</v>
      </c>
      <c r="I20" s="33">
        <f>'12'!I36</f>
        <v>1.4179166666666669</v>
      </c>
      <c r="J20" s="33">
        <f>'12'!J36</f>
        <v>0.7154166666666667</v>
      </c>
      <c r="K20" s="33">
        <f>'12'!K36</f>
        <v>327.5625</v>
      </c>
      <c r="L20" s="33">
        <f>'12'!L36</f>
        <v>28.581249999999997</v>
      </c>
      <c r="M20" s="33">
        <f>'12'!M36</f>
        <v>88.440416666666678</v>
      </c>
      <c r="N20" s="33">
        <f>'12'!N36</f>
        <v>215.77083333333329</v>
      </c>
      <c r="O20" s="33">
        <f>'12'!O36</f>
        <v>8.3333333333333332E-3</v>
      </c>
      <c r="P20" s="33">
        <f>'12'!P36</f>
        <v>0.505</v>
      </c>
      <c r="Q20" s="33">
        <f>'12'!Q36</f>
        <v>9.6379166666666674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13/08/2025 01:00</v>
      </c>
      <c r="B21" s="33">
        <f>'13'!B36</f>
        <v>12.200416666666667</v>
      </c>
      <c r="C21" s="33">
        <f>'13'!C36</f>
        <v>12.639583333333333</v>
      </c>
      <c r="D21" s="33">
        <f>'13'!D36</f>
        <v>15.890833333333333</v>
      </c>
      <c r="E21" s="33">
        <f>'13'!E36</f>
        <v>5.1629166666666668</v>
      </c>
      <c r="F21" s="33">
        <f>'13'!F36</f>
        <v>10.945833333333335</v>
      </c>
      <c r="G21" s="33">
        <f>'13'!G36</f>
        <v>35.571666666666665</v>
      </c>
      <c r="H21" s="33">
        <f>'13'!H36</f>
        <v>8.3425000000000011</v>
      </c>
      <c r="I21" s="33">
        <f>'13'!I36</f>
        <v>1.5337499999999997</v>
      </c>
      <c r="J21" s="33">
        <f>'13'!J36</f>
        <v>0.54499999999999982</v>
      </c>
      <c r="K21" s="33">
        <f>'13'!K36</f>
        <v>251.33791666666662</v>
      </c>
      <c r="L21" s="33">
        <f>'13'!L36</f>
        <v>27.374583333333337</v>
      </c>
      <c r="M21" s="33">
        <f>'13'!M36</f>
        <v>94.588333333333324</v>
      </c>
      <c r="N21" s="33">
        <f>'13'!N36</f>
        <v>219.25416666666663</v>
      </c>
      <c r="O21" s="33">
        <f>'13'!O36</f>
        <v>0</v>
      </c>
      <c r="P21" s="33">
        <f>'13'!P36</f>
        <v>0.56708333333333327</v>
      </c>
      <c r="Q21" s="33">
        <f>'13'!Q36</f>
        <v>9.6383333333333354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14/08/2025 01:00</v>
      </c>
      <c r="B22" s="30">
        <f>'14'!B36</f>
        <v>12.071666666666664</v>
      </c>
      <c r="C22" s="30">
        <f>'14'!C36</f>
        <v>11.313749999999999</v>
      </c>
      <c r="D22" s="30">
        <f>'14'!D36</f>
        <v>14.905416666666667</v>
      </c>
      <c r="E22" s="30">
        <f>'14'!E36</f>
        <v>5.4354166666666677</v>
      </c>
      <c r="F22" s="30">
        <f>'14'!F36</f>
        <v>10.20125</v>
      </c>
      <c r="G22" s="30">
        <f>'14'!G36</f>
        <v>24.771666666666665</v>
      </c>
      <c r="H22" s="30">
        <f>'14'!H36</f>
        <v>13.800000000000002</v>
      </c>
      <c r="I22" s="30">
        <f>'14'!I36</f>
        <v>1.3774999999999997</v>
      </c>
      <c r="J22" s="30">
        <f>'14'!J36</f>
        <v>0.62875000000000003</v>
      </c>
      <c r="K22" s="30">
        <f>'14'!K36</f>
        <v>231.66958333333335</v>
      </c>
      <c r="L22" s="30">
        <f>'14'!L36</f>
        <v>26.970416666666662</v>
      </c>
      <c r="M22" s="30">
        <f>'14'!M36</f>
        <v>92.827916666666638</v>
      </c>
      <c r="N22" s="30">
        <f>'14'!N36</f>
        <v>233.20000000000007</v>
      </c>
      <c r="O22" s="30">
        <f>'14'!O36</f>
        <v>0</v>
      </c>
      <c r="P22" s="30">
        <f>'14'!P36</f>
        <v>0.4695833333333333</v>
      </c>
      <c r="Q22" s="30">
        <f>'14'!Q36</f>
        <v>9.6566666666666645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15/08/2025 01:00</v>
      </c>
      <c r="B23" s="33">
        <f>'15'!B36</f>
        <v>13.141666666666666</v>
      </c>
      <c r="C23" s="33">
        <f>'15'!C36</f>
        <v>13.324583333333331</v>
      </c>
      <c r="D23" s="33">
        <f>'15'!D36</f>
        <v>17.146249999999998</v>
      </c>
      <c r="E23" s="33">
        <f>'15'!E36</f>
        <v>4.2766666666666664</v>
      </c>
      <c r="F23" s="33">
        <f>'15'!F36</f>
        <v>11.3225</v>
      </c>
      <c r="G23" s="33">
        <f>'15'!G36</f>
        <v>31.430416666666662</v>
      </c>
      <c r="H23" s="33">
        <f>'15'!H36</f>
        <v>11.565833333333336</v>
      </c>
      <c r="I23" s="33">
        <f>'15'!I36</f>
        <v>1.522083333333333</v>
      </c>
      <c r="J23" s="33">
        <f>'15'!J36</f>
        <v>0.64666666666666672</v>
      </c>
      <c r="K23" s="33">
        <f>'15'!K36</f>
        <v>242.40916666666669</v>
      </c>
      <c r="L23" s="33">
        <f>'15'!L36</f>
        <v>27.44583333333334</v>
      </c>
      <c r="M23" s="33">
        <f>'15'!M36</f>
        <v>92.842500000000015</v>
      </c>
      <c r="N23" s="33">
        <f>'15'!N36</f>
        <v>219.28333333333333</v>
      </c>
      <c r="O23" s="33">
        <f>'15'!O36</f>
        <v>1.6666666666666666E-2</v>
      </c>
      <c r="P23" s="30">
        <f>'15'!P36</f>
        <v>0.47083333333333338</v>
      </c>
      <c r="Q23" s="30">
        <f>'15'!Q36</f>
        <v>9.6487499999999997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16/08/2025 01:00</v>
      </c>
      <c r="B24" s="33">
        <f>'16'!B36</f>
        <v>10.939166666666665</v>
      </c>
      <c r="C24" s="33">
        <f>'16'!C36</f>
        <v>12.307916666666666</v>
      </c>
      <c r="D24" s="33">
        <f>'16'!D36</f>
        <v>14.692916666666667</v>
      </c>
      <c r="E24" s="33">
        <f>'16'!E36</f>
        <v>5.4020833333333336</v>
      </c>
      <c r="F24" s="33">
        <f>'16'!F36</f>
        <v>10.043750000000001</v>
      </c>
      <c r="G24" s="33">
        <f>'16'!G36</f>
        <v>21.174999999999997</v>
      </c>
      <c r="H24" s="33">
        <f>'16'!H36</f>
        <v>7.52708333333333</v>
      </c>
      <c r="I24" s="33">
        <f>'16'!I36</f>
        <v>1.3154166666666669</v>
      </c>
      <c r="J24" s="33">
        <f>'16'!J36</f>
        <v>0.64541666666666675</v>
      </c>
      <c r="K24" s="33">
        <f>'16'!K36</f>
        <v>197.30833333333331</v>
      </c>
      <c r="L24" s="33">
        <f>'16'!L36</f>
        <v>26.387083333333337</v>
      </c>
      <c r="M24" s="33">
        <f>'16'!M36</f>
        <v>97.455416666666679</v>
      </c>
      <c r="N24" s="33">
        <f>'16'!N36</f>
        <v>207.7708333333334</v>
      </c>
      <c r="O24" s="33">
        <f>'16'!O36</f>
        <v>0</v>
      </c>
      <c r="P24" s="30">
        <f>'16'!P36</f>
        <v>0.51083333333333336</v>
      </c>
      <c r="Q24" s="30">
        <f>'16'!Q36</f>
        <v>9.6441666666666652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17/08/2025 01:00</v>
      </c>
      <c r="B25" s="33">
        <f>'17'!B36</f>
        <v>11.051666666666668</v>
      </c>
      <c r="C25" s="33">
        <f>'17'!C36</f>
        <v>9.3875000000000011</v>
      </c>
      <c r="D25" s="33">
        <f>'17'!D36</f>
        <v>13.464166666666664</v>
      </c>
      <c r="E25" s="33">
        <f>'17'!E36</f>
        <v>4.7116666666666669</v>
      </c>
      <c r="F25" s="33">
        <f>'17'!F36</f>
        <v>8.5754166666666674</v>
      </c>
      <c r="G25" s="33">
        <f>'17'!G36</f>
        <v>13.780833333333334</v>
      </c>
      <c r="H25" s="33">
        <f>'17'!H36</f>
        <v>6.4908333333333319</v>
      </c>
      <c r="I25" s="33">
        <f>'17'!I36</f>
        <v>1.1400000000000001</v>
      </c>
      <c r="J25" s="33">
        <f>'17'!J36</f>
        <v>0.79874999999999996</v>
      </c>
      <c r="K25" s="33">
        <f>'17'!K36</f>
        <v>197.64416666666668</v>
      </c>
      <c r="L25" s="33">
        <f>'17'!L36</f>
        <v>26.241249999999997</v>
      </c>
      <c r="M25" s="33">
        <f>'17'!M36</f>
        <v>93.313333333333333</v>
      </c>
      <c r="N25" s="33">
        <f>'17'!N36</f>
        <v>261.74166666666673</v>
      </c>
      <c r="O25" s="33">
        <f>'17'!O36</f>
        <v>8.3333333333333332E-3</v>
      </c>
      <c r="P25" s="30">
        <f>'17'!P36</f>
        <v>0.36749999999999999</v>
      </c>
      <c r="Q25" s="30">
        <f>'17'!Q36</f>
        <v>9.6325000000000003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18/08/2025 01:00</v>
      </c>
      <c r="B26" s="33">
        <f>'18'!B36</f>
        <v>12.918750000000003</v>
      </c>
      <c r="C26" s="33">
        <f>'18'!C36</f>
        <v>11.059999999999997</v>
      </c>
      <c r="D26" s="33">
        <f>'18'!D36</f>
        <v>15.885833333333332</v>
      </c>
      <c r="E26" s="33">
        <f>'18'!E36</f>
        <v>5.4074999999999998</v>
      </c>
      <c r="F26" s="33">
        <f>'18'!F36</f>
        <v>9.3162500000000001</v>
      </c>
      <c r="G26" s="33">
        <f>'18'!G36</f>
        <v>20.60166666666667</v>
      </c>
      <c r="H26" s="33">
        <f>'18'!H36</f>
        <v>5.3345833333333346</v>
      </c>
      <c r="I26" s="33">
        <f>'18'!I36</f>
        <v>1.45875</v>
      </c>
      <c r="J26" s="33">
        <f>'18'!J36</f>
        <v>0.53416666666666668</v>
      </c>
      <c r="K26" s="33">
        <f>'18'!K36</f>
        <v>253.43708333333336</v>
      </c>
      <c r="L26" s="33">
        <f>'18'!L36</f>
        <v>26.367499999999996</v>
      </c>
      <c r="M26" s="33">
        <f>'18'!M36</f>
        <v>96.424583333333359</v>
      </c>
      <c r="N26" s="33">
        <f>'18'!N36</f>
        <v>237.97083333333333</v>
      </c>
      <c r="O26" s="33">
        <f>'18'!O36</f>
        <v>8.3333333333333332E-3</v>
      </c>
      <c r="P26" s="30">
        <f>'18'!P36</f>
        <v>0.44833333333333342</v>
      </c>
      <c r="Q26" s="30">
        <f>'18'!Q36</f>
        <v>9.6308333333333334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19/08/2025 01:00</v>
      </c>
      <c r="B27" s="33">
        <f>'19'!B36</f>
        <v>16.478750000000002</v>
      </c>
      <c r="C27" s="33">
        <f>'19'!C36</f>
        <v>10.130833333333333</v>
      </c>
      <c r="D27" s="33">
        <f>'19'!D36</f>
        <v>17.98</v>
      </c>
      <c r="E27" s="33">
        <f>'19'!E36</f>
        <v>5.4304166666666687</v>
      </c>
      <c r="F27" s="33">
        <f>'19'!F36</f>
        <v>6.9062499999999991</v>
      </c>
      <c r="G27" s="33">
        <f>'19'!G36</f>
        <v>24.444166666666671</v>
      </c>
      <c r="H27" s="33">
        <f>'19'!H36</f>
        <v>4.6750000000000007</v>
      </c>
      <c r="I27" s="33">
        <f>'19'!I36</f>
        <v>1.8466666666666669</v>
      </c>
      <c r="J27" s="33">
        <f>'19'!J36</f>
        <v>0.43375000000000002</v>
      </c>
      <c r="K27" s="33">
        <f>'19'!K36</f>
        <v>306.90083333333337</v>
      </c>
      <c r="L27" s="33">
        <f>'19'!L36</f>
        <v>25.310416666666672</v>
      </c>
      <c r="M27" s="33">
        <f>'19'!M36</f>
        <v>97.412083333333328</v>
      </c>
      <c r="N27" s="33">
        <f>'19'!N36</f>
        <v>174.87083333333331</v>
      </c>
      <c r="O27" s="33">
        <f>'19'!O36</f>
        <v>0</v>
      </c>
      <c r="P27" s="30">
        <f>'19'!P36</f>
        <v>0.62708333333333355</v>
      </c>
      <c r="Q27" s="30">
        <f>'19'!Q36</f>
        <v>9.6562499999999982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20/08/2025 01:00</v>
      </c>
      <c r="B28" s="33">
        <f>'20'!B36</f>
        <v>6.7179166666666674</v>
      </c>
      <c r="C28" s="33">
        <f>'20'!C36</f>
        <v>7.9516666666666653</v>
      </c>
      <c r="D28" s="33">
        <f>'20'!D36</f>
        <v>9.4170833333333306</v>
      </c>
      <c r="E28" s="33">
        <f>'20'!E36</f>
        <v>4.6695833333333328</v>
      </c>
      <c r="F28" s="33">
        <f>'20'!F36</f>
        <v>4.5766666666666671</v>
      </c>
      <c r="G28" s="33">
        <f>'20'!G36</f>
        <v>11.033333333333333</v>
      </c>
      <c r="H28" s="33">
        <f>'20'!H36</f>
        <v>2.7245833333333338</v>
      </c>
      <c r="I28" s="33">
        <f>'20'!I36</f>
        <v>1.2595833333333331</v>
      </c>
      <c r="J28" s="33">
        <f>'20'!J36</f>
        <v>0.15833333333333333</v>
      </c>
      <c r="K28" s="33">
        <f>'20'!K36</f>
        <v>305.61416666666668</v>
      </c>
      <c r="L28" s="33">
        <f>'20'!L36</f>
        <v>24.485833333333336</v>
      </c>
      <c r="M28" s="33">
        <f>'20'!M36</f>
        <v>98.085833333333355</v>
      </c>
      <c r="N28" s="33">
        <f>'20'!N36</f>
        <v>151.25000000000003</v>
      </c>
      <c r="O28" s="33">
        <f>'20'!O36</f>
        <v>8.3333333333333332E-3</v>
      </c>
      <c r="P28" s="30">
        <f>'20'!P36</f>
        <v>0.33541666666666675</v>
      </c>
      <c r="Q28" s="30">
        <f>'20'!Q36</f>
        <v>9.5029166666666676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21/08/2025 01:00</v>
      </c>
      <c r="B29" s="33">
        <f>'21'!B36</f>
        <v>9.6120833333333362</v>
      </c>
      <c r="C29" s="33">
        <f>'21'!C36</f>
        <v>15.913749999999999</v>
      </c>
      <c r="D29" s="33">
        <f>'21'!D36</f>
        <v>15.392083333333334</v>
      </c>
      <c r="E29" s="33">
        <f>'21'!E36</f>
        <v>4.9858333333333338</v>
      </c>
      <c r="F29" s="33">
        <f>'21'!F36</f>
        <v>11.402916666666664</v>
      </c>
      <c r="G29" s="33">
        <f>'21'!G36</f>
        <v>69.32083333333334</v>
      </c>
      <c r="H29" s="33">
        <f>'21'!H36</f>
        <v>13.382083333333332</v>
      </c>
      <c r="I29" s="33">
        <f>'21'!I36</f>
        <v>1.9641666666666664</v>
      </c>
      <c r="J29" s="33">
        <f>'21'!J36</f>
        <v>0.20083333333333334</v>
      </c>
      <c r="K29" s="33">
        <f>'21'!K36</f>
        <v>275.6033333333333</v>
      </c>
      <c r="L29" s="33">
        <f>'21'!L36</f>
        <v>27.744166666666658</v>
      </c>
      <c r="M29" s="33">
        <f>'21'!M36</f>
        <v>93.461250000000007</v>
      </c>
      <c r="N29" s="33">
        <f>'21'!N36</f>
        <v>187.96249999999998</v>
      </c>
      <c r="O29" s="33">
        <f>'21'!O36</f>
        <v>0</v>
      </c>
      <c r="P29" s="30">
        <f>'21'!P36</f>
        <v>0.50208333333333333</v>
      </c>
      <c r="Q29" s="30">
        <f>'21'!Q36</f>
        <v>9.2791666666666668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22/08/2025 01:00</v>
      </c>
      <c r="B30" s="33">
        <f>'22'!B36</f>
        <v>7.7</v>
      </c>
      <c r="C30" s="33">
        <f>'22'!C36</f>
        <v>11.273571428571426</v>
      </c>
      <c r="D30" s="33">
        <f>'22'!D36</f>
        <v>11.834285714285715</v>
      </c>
      <c r="E30" s="33">
        <f>'22'!E36</f>
        <v>4.2149999999999999</v>
      </c>
      <c r="F30" s="33">
        <f>'22'!F36</f>
        <v>3.6920833333333332</v>
      </c>
      <c r="G30" s="33">
        <f>'22'!G36</f>
        <v>17.036249999999999</v>
      </c>
      <c r="H30" s="33">
        <f>'22'!H36</f>
        <v>2.8262499999999999</v>
      </c>
      <c r="I30" s="33">
        <f>'22'!I36</f>
        <v>1.1529166666666666</v>
      </c>
      <c r="J30" s="33">
        <f>'22'!J36</f>
        <v>0.21916666666666662</v>
      </c>
      <c r="K30" s="33">
        <f>'22'!K36</f>
        <v>312.86291666666665</v>
      </c>
      <c r="L30" s="33">
        <f>'22'!L36</f>
        <v>24.81583333333333</v>
      </c>
      <c r="M30" s="33">
        <f>'22'!M36</f>
        <v>98.045000000000002</v>
      </c>
      <c r="N30" s="33">
        <f>'22'!N36</f>
        <v>141.36250000000001</v>
      </c>
      <c r="O30" s="33">
        <f>'22'!O36</f>
        <v>0</v>
      </c>
      <c r="P30" s="30">
        <f>'22'!P36</f>
        <v>0.36000000000000004</v>
      </c>
      <c r="Q30" s="30">
        <f>'22'!Q36</f>
        <v>9.5424999999999986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23/08/2025 01:00</v>
      </c>
      <c r="B31" s="33">
        <f>'23'!B36</f>
        <v>7.9545833333333329</v>
      </c>
      <c r="C31" s="33">
        <f>'23'!C36</f>
        <v>7.8575000000000017</v>
      </c>
      <c r="D31" s="33">
        <f>'23'!D36</f>
        <v>10.372083333333334</v>
      </c>
      <c r="E31" s="33">
        <f>'23'!E36</f>
        <v>4.4058333333333346</v>
      </c>
      <c r="F31" s="33">
        <f>'23'!F36</f>
        <v>2.6612500000000003</v>
      </c>
      <c r="G31" s="33">
        <f>'23'!G36</f>
        <v>6.7854166666666664</v>
      </c>
      <c r="H31" s="33">
        <f>'23'!H36</f>
        <v>1.2849999999999999</v>
      </c>
      <c r="I31" s="33">
        <f>'23'!I36</f>
        <v>0.83208333333333329</v>
      </c>
      <c r="J31" s="33">
        <f>'23'!J36</f>
        <v>0.17208333333333337</v>
      </c>
      <c r="K31" s="33">
        <f>'23'!K36</f>
        <v>308.15458333333333</v>
      </c>
      <c r="L31" s="33">
        <f>'23'!L36</f>
        <v>23.095833333333335</v>
      </c>
      <c r="M31" s="33">
        <f>'23'!M36</f>
        <v>98.202083333333348</v>
      </c>
      <c r="N31" s="33">
        <f>'23'!N36</f>
        <v>96.329166666666666</v>
      </c>
      <c r="O31" s="33">
        <f>'23'!O36</f>
        <v>1.6666666666666666E-2</v>
      </c>
      <c r="P31" s="33">
        <f>'23'!P36</f>
        <v>0.30208333333333331</v>
      </c>
      <c r="Q31" s="33">
        <f>'23'!Q36</f>
        <v>9.5454166666666644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24/08/2025 01:00</v>
      </c>
      <c r="B32" s="33">
        <f>'24'!B36</f>
        <v>6.8783333333333339</v>
      </c>
      <c r="C32" s="33">
        <f>'24'!C36</f>
        <v>8.0566666666666684</v>
      </c>
      <c r="D32" s="33">
        <f>'24'!D36</f>
        <v>9.6141666666666641</v>
      </c>
      <c r="E32" s="33">
        <f>'24'!E36</f>
        <v>4.5895833333333336</v>
      </c>
      <c r="F32" s="33">
        <f>'24'!F36</f>
        <v>2.7129166666666666</v>
      </c>
      <c r="G32" s="33">
        <f>'24'!G36</f>
        <v>18.550833333333333</v>
      </c>
      <c r="H32" s="33">
        <f>'24'!H36</f>
        <v>2.3612499999999996</v>
      </c>
      <c r="I32" s="33">
        <f>'24'!I36</f>
        <v>0.74083333333333323</v>
      </c>
      <c r="J32" s="33">
        <f>'24'!J36</f>
        <v>0.22041666666666668</v>
      </c>
      <c r="K32" s="33">
        <f>'24'!K36</f>
        <v>309.74583333333334</v>
      </c>
      <c r="L32" s="33">
        <f>'24'!L36</f>
        <v>23.867500000000003</v>
      </c>
      <c r="M32" s="33">
        <f>'24'!M36</f>
        <v>97.987500000000054</v>
      </c>
      <c r="N32" s="33">
        <f>'24'!N36</f>
        <v>113.29166666666667</v>
      </c>
      <c r="O32" s="33">
        <f>'24'!O36</f>
        <v>0</v>
      </c>
      <c r="P32" s="33">
        <f>'24'!P36</f>
        <v>0.28166666666666662</v>
      </c>
      <c r="Q32" s="33">
        <f>'24'!Q36</f>
        <v>9.5150000000000023</v>
      </c>
      <c r="R32" s="46"/>
      <c r="S32" s="46"/>
      <c r="T32" s="46"/>
      <c r="U32" s="46"/>
    </row>
    <row r="33" spans="1:21" s="34" customFormat="1" x14ac:dyDescent="0.25">
      <c r="A33" s="36" t="str">
        <f>'25'!$B$2</f>
        <v>25/08/2025 01:00</v>
      </c>
      <c r="B33" s="33">
        <f>'25'!B36</f>
        <v>9.3629166666666652</v>
      </c>
      <c r="C33" s="33">
        <f>'25'!C36</f>
        <v>9.2383333333333315</v>
      </c>
      <c r="D33" s="33">
        <f>'25'!D36</f>
        <v>12.108333333333333</v>
      </c>
      <c r="E33" s="33">
        <f>'25'!E36</f>
        <v>4.6142857142857139</v>
      </c>
      <c r="F33" s="33">
        <f>'25'!F36</f>
        <v>3.6074999999999995</v>
      </c>
      <c r="G33" s="33">
        <f>'25'!G36</f>
        <v>37.907083333333333</v>
      </c>
      <c r="H33" s="33">
        <f>'25'!H36</f>
        <v>6.8079166666666664</v>
      </c>
      <c r="I33" s="33">
        <f>'25'!I36</f>
        <v>1.2820833333333335</v>
      </c>
      <c r="J33" s="33">
        <f>'25'!J36</f>
        <v>0.16708333333333336</v>
      </c>
      <c r="K33" s="33">
        <f>'25'!K36</f>
        <v>300.55666666666667</v>
      </c>
      <c r="L33" s="33">
        <f>'25'!L36</f>
        <v>25.019166666666674</v>
      </c>
      <c r="M33" s="33">
        <f>'25'!M36</f>
        <v>96.457083333333301</v>
      </c>
      <c r="N33" s="33">
        <f>'25'!N36</f>
        <v>185.04166666666666</v>
      </c>
      <c r="O33" s="33">
        <f>'25'!O36</f>
        <v>0</v>
      </c>
      <c r="P33" s="33">
        <f>'25'!P36</f>
        <v>0.38666666666666666</v>
      </c>
      <c r="Q33" s="33">
        <f>'25'!Q36</f>
        <v>9.5841666666666665</v>
      </c>
      <c r="R33" s="46"/>
      <c r="S33" s="46"/>
      <c r="T33" s="46"/>
      <c r="U33" s="46"/>
    </row>
    <row r="34" spans="1:21" s="34" customFormat="1" x14ac:dyDescent="0.25">
      <c r="A34" s="36" t="str">
        <f>'26'!$B$2</f>
        <v>26/08/2025 01:00</v>
      </c>
      <c r="B34" s="33">
        <f>'26'!B36</f>
        <v>17.238333333333337</v>
      </c>
      <c r="C34" s="33">
        <f>'26'!C36</f>
        <v>12.771666666666663</v>
      </c>
      <c r="D34" s="33">
        <f>'26'!D36</f>
        <v>20.032499999999999</v>
      </c>
      <c r="E34" s="33">
        <f>'26'!E36</f>
        <v>5.5666666666666673</v>
      </c>
      <c r="F34" s="33">
        <f>'26'!F36</f>
        <v>7.3666666666666671</v>
      </c>
      <c r="G34" s="33">
        <f>'26'!G36</f>
        <v>51.677916666666668</v>
      </c>
      <c r="H34" s="33">
        <f>'26'!H36</f>
        <v>12.493749999999999</v>
      </c>
      <c r="I34" s="33">
        <f>'26'!I36</f>
        <v>1.3325000000000002</v>
      </c>
      <c r="J34" s="33">
        <f>'26'!J36</f>
        <v>0.4441666666666666</v>
      </c>
      <c r="K34" s="33">
        <f>'26'!K36</f>
        <v>309.96416666666664</v>
      </c>
      <c r="L34" s="33">
        <f>'26'!L36</f>
        <v>26.3475</v>
      </c>
      <c r="M34" s="33">
        <f>'26'!M36</f>
        <v>92.162083333333342</v>
      </c>
      <c r="N34" s="33">
        <f>'26'!N36</f>
        <v>188.63333333333333</v>
      </c>
      <c r="O34" s="33">
        <f>'26'!O36</f>
        <v>3.3333333333333333E-2</v>
      </c>
      <c r="P34" s="33">
        <f>'26'!P36</f>
        <v>0.53833333333333344</v>
      </c>
      <c r="Q34" s="33">
        <f>'26'!Q36</f>
        <v>9.6420833333333338</v>
      </c>
      <c r="R34" s="46"/>
      <c r="S34" s="46"/>
      <c r="T34" s="46"/>
      <c r="U34" s="46"/>
    </row>
    <row r="35" spans="1:21" s="34" customFormat="1" x14ac:dyDescent="0.25">
      <c r="A35" s="36" t="str">
        <f>'27'!$B$2</f>
        <v>27/08/2025 01:00</v>
      </c>
      <c r="B35" s="33">
        <f>'27'!B36</f>
        <v>17.872083333333332</v>
      </c>
      <c r="C35" s="33">
        <f>'27'!C36</f>
        <v>13.544999999999996</v>
      </c>
      <c r="D35" s="33">
        <f>'27'!D36</f>
        <v>20.594999999999999</v>
      </c>
      <c r="E35" s="33">
        <f>'27'!E36</f>
        <v>5.651250000000001</v>
      </c>
      <c r="F35" s="33">
        <f>'27'!F36</f>
        <v>9.91</v>
      </c>
      <c r="G35" s="33">
        <f>'27'!G36</f>
        <v>43.05869565217391</v>
      </c>
      <c r="H35" s="33">
        <f>'27'!H36</f>
        <v>10.024347826086958</v>
      </c>
      <c r="I35" s="33">
        <f>'27'!I36</f>
        <v>1.405</v>
      </c>
      <c r="J35" s="33">
        <f>'27'!J36</f>
        <v>0.43624999999999997</v>
      </c>
      <c r="K35" s="33">
        <f>'27'!K36</f>
        <v>234.92791666666668</v>
      </c>
      <c r="L35" s="33">
        <f>'27'!L36</f>
        <v>25.732083333333332</v>
      </c>
      <c r="M35" s="33">
        <f>'27'!M36</f>
        <v>93.910833333333343</v>
      </c>
      <c r="N35" s="33">
        <f>'27'!N36</f>
        <v>188.12916666666672</v>
      </c>
      <c r="O35" s="33">
        <f>'27'!O36</f>
        <v>0</v>
      </c>
      <c r="P35" s="30">
        <f>'27'!P36</f>
        <v>0.68500000000000005</v>
      </c>
      <c r="Q35" s="33">
        <f>'27'!Q36</f>
        <v>9.5958333333333332</v>
      </c>
      <c r="R35" s="46"/>
      <c r="S35" s="46"/>
      <c r="T35" s="46"/>
      <c r="U35" s="46"/>
    </row>
    <row r="36" spans="1:21" s="34" customFormat="1" x14ac:dyDescent="0.25">
      <c r="A36" s="36" t="str">
        <f>'28'!$B$2</f>
        <v>28/08/2025 01:00</v>
      </c>
      <c r="B36" s="33">
        <f>'28'!B36</f>
        <v>10.429166666666669</v>
      </c>
      <c r="C36" s="33">
        <f>'28'!C36</f>
        <v>9.8241666666666667</v>
      </c>
      <c r="D36" s="33">
        <f>'28'!D36</f>
        <v>13.265416666666667</v>
      </c>
      <c r="E36" s="33">
        <f>'28'!E36</f>
        <v>4.24125</v>
      </c>
      <c r="F36" s="33">
        <f>'28'!F36</f>
        <v>9.9704166666666652</v>
      </c>
      <c r="G36" s="33">
        <f>'28'!G36</f>
        <v>25.71166666666667</v>
      </c>
      <c r="H36" s="33">
        <f>'28'!H36</f>
        <v>8.884999999999998</v>
      </c>
      <c r="I36" s="33">
        <f>'28'!I36</f>
        <v>1.3004166666666668</v>
      </c>
      <c r="J36" s="33">
        <f>'28'!J36</f>
        <v>0.46499999999999991</v>
      </c>
      <c r="K36" s="33">
        <f>'28'!K36</f>
        <v>236.50916666666669</v>
      </c>
      <c r="L36" s="33">
        <f>'28'!L36</f>
        <v>25.31708333333334</v>
      </c>
      <c r="M36" s="33">
        <f>'28'!M36</f>
        <v>97.053333333333327</v>
      </c>
      <c r="N36" s="33">
        <f>'28'!N36</f>
        <v>159.1958333333333</v>
      </c>
      <c r="O36" s="33">
        <f>'28'!O36</f>
        <v>8.3333333333333329E-2</v>
      </c>
      <c r="P36" s="30">
        <f>'28'!P36</f>
        <v>0.42166666666666658</v>
      </c>
      <c r="Q36" s="33">
        <f>'28'!Q36</f>
        <v>9.6124999999999989</v>
      </c>
      <c r="R36" s="46"/>
      <c r="S36" s="46"/>
      <c r="T36" s="46"/>
      <c r="U36" s="46"/>
    </row>
    <row r="37" spans="1:21" s="34" customFormat="1" x14ac:dyDescent="0.25">
      <c r="A37" s="36" t="str">
        <f>'29'!$B$2</f>
        <v>29/08/2025 01:00</v>
      </c>
      <c r="B37" s="33">
        <f>'29'!B36</f>
        <v>8.7441666666666666</v>
      </c>
      <c r="C37" s="33">
        <f>'29'!C36</f>
        <v>10.094166666666665</v>
      </c>
      <c r="D37" s="33">
        <f>'29'!D36</f>
        <v>12.025833333333331</v>
      </c>
      <c r="E37" s="33">
        <f>'29'!E36</f>
        <v>4.6104166666666648</v>
      </c>
      <c r="F37" s="33">
        <f>'29'!F36</f>
        <v>8.4329166666666673</v>
      </c>
      <c r="G37" s="33">
        <f>'29'!G36</f>
        <v>13.876666666666667</v>
      </c>
      <c r="H37" s="33">
        <f>'29'!H36</f>
        <v>1.74125</v>
      </c>
      <c r="I37" s="33">
        <f>'29'!I36</f>
        <v>0.94708333333333306</v>
      </c>
      <c r="J37" s="33">
        <f>'29'!J36</f>
        <v>0.56166666666666665</v>
      </c>
      <c r="K37" s="33">
        <f>'29'!K36</f>
        <v>191.89458333333334</v>
      </c>
      <c r="L37" s="33">
        <f>'29'!L36</f>
        <v>26.464583333333337</v>
      </c>
      <c r="M37" s="33">
        <f>'29'!M36</f>
        <v>91.989166666666662</v>
      </c>
      <c r="N37" s="33">
        <f>'29'!N36</f>
        <v>248.99999999999991</v>
      </c>
      <c r="O37" s="33">
        <f>'29'!O36</f>
        <v>8.3333333333333332E-3</v>
      </c>
      <c r="P37" s="33">
        <f>'29'!P36</f>
        <v>0.31083333333333335</v>
      </c>
      <c r="Q37" s="33">
        <f>'29'!Q36</f>
        <v>9.5595833333333342</v>
      </c>
      <c r="R37" s="46"/>
      <c r="S37" s="46"/>
      <c r="T37" s="46"/>
      <c r="U37" s="46"/>
    </row>
    <row r="38" spans="1:21" s="34" customFormat="1" x14ac:dyDescent="0.25">
      <c r="A38" s="36" t="str">
        <f>'30'!$B$2</f>
        <v>30/08/2025 01:00</v>
      </c>
      <c r="B38" s="33">
        <f>'30'!B36</f>
        <v>7.9395833333333341</v>
      </c>
      <c r="C38" s="33">
        <f>'30'!C36</f>
        <v>9.4199999999999982</v>
      </c>
      <c r="D38" s="33">
        <f>'30'!D36</f>
        <v>11.072916666666666</v>
      </c>
      <c r="E38" s="33">
        <f>'30'!E36</f>
        <v>4.8612499999999992</v>
      </c>
      <c r="F38" s="33">
        <f>'30'!F36</f>
        <v>9.4066666666666663</v>
      </c>
      <c r="G38" s="33">
        <f>'30'!G36</f>
        <v>21.055000000000003</v>
      </c>
      <c r="H38" s="33">
        <f>'30'!H36</f>
        <v>1.4383333333333337</v>
      </c>
      <c r="I38" s="33">
        <f>'30'!I36</f>
        <v>0.93333333333333346</v>
      </c>
      <c r="J38" s="33">
        <f>'30'!J36</f>
        <v>0.57958333333333334</v>
      </c>
      <c r="K38" s="33">
        <f>'30'!K36</f>
        <v>203.18124999999998</v>
      </c>
      <c r="L38" s="33">
        <f>'30'!L36</f>
        <v>27.186666666666667</v>
      </c>
      <c r="M38" s="33">
        <f>'30'!M36</f>
        <v>93.550833333333344</v>
      </c>
      <c r="N38" s="33">
        <f>'30'!N36</f>
        <v>245.43749999999997</v>
      </c>
      <c r="O38" s="33">
        <f>'30'!O36</f>
        <v>0</v>
      </c>
      <c r="P38" s="33">
        <f>'30'!P36</f>
        <v>0.32249999999999995</v>
      </c>
      <c r="Q38" s="33">
        <f>'30'!Q36</f>
        <v>9.5529166666666701</v>
      </c>
      <c r="R38" s="46"/>
      <c r="S38" s="46"/>
      <c r="T38" s="46"/>
      <c r="U38" s="46"/>
    </row>
    <row r="39" spans="1:21" s="34" customFormat="1" x14ac:dyDescent="0.25">
      <c r="A39" s="36" t="str">
        <f>'31'!$B$2</f>
        <v>31/08/2025 01:00</v>
      </c>
      <c r="B39" s="33">
        <f>'31'!B37</f>
        <v>4.0692142174904111</v>
      </c>
      <c r="C39" s="33">
        <f>'31'!C37</f>
        <v>5.4184825941575614</v>
      </c>
      <c r="D39" s="33">
        <f>'31'!D37</f>
        <v>5.1406954782402803</v>
      </c>
      <c r="E39" s="33">
        <f>'31'!E37</f>
        <v>0.65880656262404447</v>
      </c>
      <c r="F39" s="33">
        <f>'31'!F37</f>
        <v>3.169683383813473</v>
      </c>
      <c r="G39" s="33">
        <f>'31'!G37</f>
        <v>18.722277665344603</v>
      </c>
      <c r="H39" s="33">
        <f>'31'!H37</f>
        <v>3.978130956340816</v>
      </c>
      <c r="I39" s="33">
        <f>'31'!I37</f>
        <v>0.71766933567090552</v>
      </c>
      <c r="J39" s="33">
        <f>'31'!J37</f>
        <v>0.20270945510361832</v>
      </c>
      <c r="K39" s="33">
        <f>'31'!K37</f>
        <v>75.927485503546805</v>
      </c>
      <c r="L39" s="33">
        <f>'31'!L37</f>
        <v>2.2902116461274868</v>
      </c>
      <c r="M39" s="33">
        <f>'31'!M37</f>
        <v>5.3908588087291029</v>
      </c>
      <c r="N39" s="33">
        <f>'31'!N37</f>
        <v>128.88359397961187</v>
      </c>
      <c r="O39" s="33">
        <f>'31'!O37</f>
        <v>0</v>
      </c>
      <c r="P39" s="33">
        <f>'31'!P37</f>
        <v>0.30212022513360892</v>
      </c>
      <c r="Q39" s="33">
        <f>'31'!Q37</f>
        <v>4.1143087185922265E-2</v>
      </c>
      <c r="R39" s="46"/>
      <c r="S39" s="46"/>
      <c r="T39" s="46"/>
      <c r="U39" s="46"/>
    </row>
    <row r="40" spans="1:21" x14ac:dyDescent="0.2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0"/>
      <c r="S40" s="20"/>
      <c r="T40" s="20"/>
      <c r="U40" s="48"/>
    </row>
    <row r="41" spans="1:21" s="21" customFormat="1" x14ac:dyDescent="0.25">
      <c r="A41" s="14" t="s">
        <v>30</v>
      </c>
      <c r="B41" s="15">
        <f t="shared" ref="B41:Q41" si="0">MIN(B9:B38)</f>
        <v>6.7179166666666674</v>
      </c>
      <c r="C41" s="15">
        <f t="shared" si="0"/>
        <v>7.8575000000000017</v>
      </c>
      <c r="D41" s="15">
        <f t="shared" si="0"/>
        <v>9.4170833333333306</v>
      </c>
      <c r="E41" s="15">
        <f t="shared" si="0"/>
        <v>4.2149999999999999</v>
      </c>
      <c r="F41" s="15">
        <f t="shared" si="0"/>
        <v>2.6612500000000003</v>
      </c>
      <c r="G41" s="15">
        <f t="shared" si="0"/>
        <v>6.7854166666666664</v>
      </c>
      <c r="H41" s="15">
        <f t="shared" si="0"/>
        <v>1.2849999999999999</v>
      </c>
      <c r="I41" s="15">
        <f t="shared" si="0"/>
        <v>0.74083333333333323</v>
      </c>
      <c r="J41" s="15">
        <f t="shared" si="0"/>
        <v>0.15833333333333333</v>
      </c>
      <c r="K41" s="15">
        <f t="shared" si="0"/>
        <v>191.89458333333334</v>
      </c>
      <c r="L41" s="15">
        <f t="shared" si="0"/>
        <v>23.095833333333335</v>
      </c>
      <c r="M41" s="15">
        <f t="shared" si="0"/>
        <v>84.433333333333323</v>
      </c>
      <c r="N41" s="15">
        <f t="shared" si="0"/>
        <v>96.329166666666666</v>
      </c>
      <c r="O41" s="15">
        <f t="shared" si="0"/>
        <v>0</v>
      </c>
      <c r="P41" s="15">
        <f t="shared" si="0"/>
        <v>0.28166666666666662</v>
      </c>
      <c r="Q41" s="15">
        <f t="shared" si="0"/>
        <v>9.1741666666666664</v>
      </c>
      <c r="R41" s="28"/>
      <c r="S41" s="28"/>
      <c r="T41" s="28"/>
      <c r="U41" s="28"/>
    </row>
    <row r="42" spans="1:21" s="21" customFormat="1" x14ac:dyDescent="0.25">
      <c r="A42" s="14" t="s">
        <v>31</v>
      </c>
      <c r="B42" s="15">
        <f t="shared" ref="B42:Q42" si="1">MAX(B9:B38)</f>
        <v>21.434782608695649</v>
      </c>
      <c r="C42" s="15">
        <f t="shared" si="1"/>
        <v>18.422916666666673</v>
      </c>
      <c r="D42" s="15">
        <f t="shared" si="1"/>
        <v>25.51913043478261</v>
      </c>
      <c r="E42" s="15">
        <f t="shared" si="1"/>
        <v>5.651250000000001</v>
      </c>
      <c r="F42" s="15">
        <f t="shared" si="1"/>
        <v>12.092916666666667</v>
      </c>
      <c r="G42" s="15">
        <f t="shared" si="1"/>
        <v>69.32083333333334</v>
      </c>
      <c r="H42" s="15">
        <f t="shared" si="1"/>
        <v>41.402500000000003</v>
      </c>
      <c r="I42" s="15">
        <f t="shared" si="1"/>
        <v>13.954999999999998</v>
      </c>
      <c r="J42" s="15">
        <f t="shared" si="1"/>
        <v>0.79874999999999996</v>
      </c>
      <c r="K42" s="15">
        <f t="shared" si="1"/>
        <v>327.5625</v>
      </c>
      <c r="L42" s="15">
        <f t="shared" si="1"/>
        <v>28.744583333333335</v>
      </c>
      <c r="M42" s="15">
        <f t="shared" si="1"/>
        <v>98.202083333333348</v>
      </c>
      <c r="N42" s="15">
        <f t="shared" si="1"/>
        <v>296.98333333333329</v>
      </c>
      <c r="O42" s="15">
        <f t="shared" si="1"/>
        <v>8.3333333333333329E-2</v>
      </c>
      <c r="P42" s="15">
        <f t="shared" si="1"/>
        <v>0.68500000000000005</v>
      </c>
      <c r="Q42" s="15">
        <f t="shared" si="1"/>
        <v>9.6566666666666645</v>
      </c>
      <c r="R42" s="28"/>
      <c r="S42" s="28"/>
      <c r="T42" s="28"/>
      <c r="U42" s="28"/>
    </row>
    <row r="43" spans="1:21" s="21" customFormat="1" x14ac:dyDescent="0.25">
      <c r="A43" s="14" t="s">
        <v>32</v>
      </c>
      <c r="B43" s="15">
        <f t="shared" ref="B43:Q43" si="2">AVERAGE(B9:B38)</f>
        <v>11.19346497584541</v>
      </c>
      <c r="C43" s="15">
        <f t="shared" si="2"/>
        <v>11.927015182884748</v>
      </c>
      <c r="D43" s="15">
        <f t="shared" si="2"/>
        <v>14.838363871635611</v>
      </c>
      <c r="E43" s="15">
        <f t="shared" si="2"/>
        <v>4.9084623015873028</v>
      </c>
      <c r="F43" s="15">
        <f t="shared" si="2"/>
        <v>8.3908055555555539</v>
      </c>
      <c r="G43" s="15">
        <f t="shared" si="2"/>
        <v>34.081234299516908</v>
      </c>
      <c r="H43" s="15">
        <f t="shared" si="2"/>
        <v>9.501277237477753</v>
      </c>
      <c r="I43" s="15">
        <f t="shared" si="2"/>
        <v>1.7880833333333332</v>
      </c>
      <c r="J43" s="15">
        <f t="shared" si="2"/>
        <v>0.41179166666666672</v>
      </c>
      <c r="K43" s="15">
        <f t="shared" si="2"/>
        <v>271.13429166666663</v>
      </c>
      <c r="L43" s="15">
        <f t="shared" si="2"/>
        <v>26.525944444444441</v>
      </c>
      <c r="M43" s="15">
        <f t="shared" si="2"/>
        <v>93.543708333333342</v>
      </c>
      <c r="N43" s="15">
        <f t="shared" si="2"/>
        <v>209.16833333333335</v>
      </c>
      <c r="O43" s="15">
        <f t="shared" si="2"/>
        <v>8.8888888888888889E-3</v>
      </c>
      <c r="P43" s="15">
        <f t="shared" si="2"/>
        <v>0.4451944444444445</v>
      </c>
      <c r="Q43" s="15">
        <f t="shared" si="2"/>
        <v>9.5158055555555539</v>
      </c>
      <c r="R43" s="28"/>
      <c r="S43" s="28"/>
      <c r="T43" s="28"/>
      <c r="U43" s="28"/>
    </row>
    <row r="44" spans="1:21" s="21" customFormat="1" x14ac:dyDescent="0.25">
      <c r="A44" s="14" t="s">
        <v>38</v>
      </c>
      <c r="B44" s="15">
        <f t="shared" ref="B44:Q44" si="3">STDEV(B9:B38)</f>
        <v>3.5094919700127081</v>
      </c>
      <c r="C44" s="15">
        <f t="shared" si="3"/>
        <v>2.6096010626142765</v>
      </c>
      <c r="D44" s="15">
        <f t="shared" si="3"/>
        <v>3.6002544309311557</v>
      </c>
      <c r="E44" s="15">
        <f t="shared" si="3"/>
        <v>0.39599746127640001</v>
      </c>
      <c r="F44" s="15">
        <f t="shared" si="3"/>
        <v>2.6849409471210861</v>
      </c>
      <c r="G44" s="15">
        <f t="shared" si="3"/>
        <v>17.878622042515492</v>
      </c>
      <c r="H44" s="15">
        <f t="shared" si="3"/>
        <v>7.7932852051934303</v>
      </c>
      <c r="I44" s="15">
        <f t="shared" si="3"/>
        <v>2.3255358413135059</v>
      </c>
      <c r="J44" s="15">
        <f t="shared" si="3"/>
        <v>0.18312151916323566</v>
      </c>
      <c r="K44" s="15">
        <f t="shared" si="3"/>
        <v>41.431700177370971</v>
      </c>
      <c r="L44" s="15">
        <f t="shared" si="3"/>
        <v>1.4522131591287186</v>
      </c>
      <c r="M44" s="15">
        <f t="shared" si="3"/>
        <v>3.6786272504396602</v>
      </c>
      <c r="N44" s="15">
        <f t="shared" si="3"/>
        <v>49.537957910539085</v>
      </c>
      <c r="O44" s="15">
        <f t="shared" si="3"/>
        <v>1.6071757988880029E-2</v>
      </c>
      <c r="P44" s="15">
        <f t="shared" si="3"/>
        <v>0.11165405301321737</v>
      </c>
      <c r="Q44" s="15">
        <f t="shared" si="3"/>
        <v>0.16212061272867123</v>
      </c>
      <c r="R44" s="28"/>
      <c r="S44" s="28"/>
      <c r="T44" s="28"/>
      <c r="U44" s="28"/>
    </row>
    <row r="45" spans="1:21" s="21" customFormat="1" x14ac:dyDescent="0.25">
      <c r="A45" s="14" t="s">
        <v>33</v>
      </c>
      <c r="B45" s="12">
        <f t="shared" ref="B45:Q45" si="4">COUNT(B9:B38)</f>
        <v>30</v>
      </c>
      <c r="C45" s="12">
        <f>COUNT(C9:C39)</f>
        <v>31</v>
      </c>
      <c r="D45" s="12">
        <f t="shared" ref="D45:Q45" si="5">COUNT(D9:D39)</f>
        <v>31</v>
      </c>
      <c r="E45" s="12">
        <f t="shared" si="5"/>
        <v>31</v>
      </c>
      <c r="F45" s="12">
        <f t="shared" si="5"/>
        <v>31</v>
      </c>
      <c r="G45" s="12">
        <f t="shared" si="5"/>
        <v>31</v>
      </c>
      <c r="H45" s="12">
        <f t="shared" si="5"/>
        <v>31</v>
      </c>
      <c r="I45" s="12">
        <f t="shared" si="5"/>
        <v>31</v>
      </c>
      <c r="J45" s="12">
        <f t="shared" si="5"/>
        <v>31</v>
      </c>
      <c r="K45" s="12">
        <f t="shared" si="5"/>
        <v>31</v>
      </c>
      <c r="L45" s="12">
        <f t="shared" si="5"/>
        <v>31</v>
      </c>
      <c r="M45" s="12">
        <f t="shared" si="5"/>
        <v>31</v>
      </c>
      <c r="N45" s="12">
        <f t="shared" si="5"/>
        <v>31</v>
      </c>
      <c r="O45" s="12">
        <f t="shared" si="5"/>
        <v>31</v>
      </c>
      <c r="P45" s="12">
        <f t="shared" si="5"/>
        <v>31</v>
      </c>
      <c r="Q45" s="12">
        <f t="shared" si="5"/>
        <v>31</v>
      </c>
      <c r="R45" s="29"/>
      <c r="S45" s="29"/>
      <c r="T45" s="29"/>
      <c r="U45" s="29"/>
    </row>
    <row r="46" spans="1:21" s="21" customFormat="1" x14ac:dyDescent="0.25">
      <c r="A46" s="14" t="s">
        <v>34</v>
      </c>
      <c r="B46" s="12" t="str">
        <f>IF(B45&gt;=28,"&gt;90%",IF(B45&lt;=28,"&lt;90%"))</f>
        <v>&gt;90%</v>
      </c>
      <c r="C46" s="12" t="str">
        <f t="shared" ref="C46:Q46" si="6">IF(C45&gt;=28,"&gt;90%",IF(C45&lt;=28,"&lt;90%"))</f>
        <v>&gt;90%</v>
      </c>
      <c r="D46" s="12" t="str">
        <f t="shared" si="6"/>
        <v>&gt;90%</v>
      </c>
      <c r="E46" s="12" t="str">
        <f t="shared" si="6"/>
        <v>&gt;90%</v>
      </c>
      <c r="F46" s="12" t="str">
        <f t="shared" si="6"/>
        <v>&gt;90%</v>
      </c>
      <c r="G46" s="12" t="str">
        <f t="shared" si="6"/>
        <v>&gt;90%</v>
      </c>
      <c r="H46" s="12" t="str">
        <f t="shared" si="6"/>
        <v>&gt;90%</v>
      </c>
      <c r="I46" s="12" t="str">
        <f t="shared" si="6"/>
        <v>&gt;90%</v>
      </c>
      <c r="J46" s="12" t="str">
        <f t="shared" si="6"/>
        <v>&gt;90%</v>
      </c>
      <c r="K46" s="12" t="str">
        <f t="shared" si="6"/>
        <v>&gt;90%</v>
      </c>
      <c r="L46" s="12" t="str">
        <f t="shared" si="6"/>
        <v>&gt;90%</v>
      </c>
      <c r="M46" s="12" t="str">
        <f t="shared" si="6"/>
        <v>&gt;90%</v>
      </c>
      <c r="N46" s="12" t="str">
        <f t="shared" si="6"/>
        <v>&gt;90%</v>
      </c>
      <c r="O46" s="12" t="str">
        <f t="shared" si="6"/>
        <v>&gt;90%</v>
      </c>
      <c r="P46" s="12" t="str">
        <f t="shared" si="6"/>
        <v>&gt;90%</v>
      </c>
      <c r="Q46" s="12" t="str">
        <f t="shared" si="6"/>
        <v>&gt;90%</v>
      </c>
      <c r="R46" s="29"/>
      <c r="S46" s="29"/>
      <c r="T46" s="29"/>
      <c r="U46" s="29"/>
    </row>
    <row r="47" spans="1:21" s="21" customFormat="1" x14ac:dyDescent="0.25">
      <c r="A47" s="14" t="s">
        <v>1</v>
      </c>
      <c r="B47" s="12" t="str">
        <f>IF(B45&gt;=28,"OK",IF(B45&lt;=28,"LESS"))</f>
        <v>OK</v>
      </c>
      <c r="C47" s="12" t="str">
        <f t="shared" ref="C47:Q47" si="7">IF(C45&gt;=28,"OK",IF(C45&lt;=28,"LESS"))</f>
        <v>OK</v>
      </c>
      <c r="D47" s="12" t="str">
        <f t="shared" si="7"/>
        <v>OK</v>
      </c>
      <c r="E47" s="12" t="str">
        <f t="shared" si="7"/>
        <v>OK</v>
      </c>
      <c r="F47" s="12" t="str">
        <f t="shared" si="7"/>
        <v>OK</v>
      </c>
      <c r="G47" s="12" t="str">
        <f t="shared" si="7"/>
        <v>OK</v>
      </c>
      <c r="H47" s="12" t="str">
        <f t="shared" si="7"/>
        <v>OK</v>
      </c>
      <c r="I47" s="12" t="str">
        <f t="shared" si="7"/>
        <v>OK</v>
      </c>
      <c r="J47" s="12" t="str">
        <f t="shared" si="7"/>
        <v>OK</v>
      </c>
      <c r="K47" s="12" t="str">
        <f t="shared" si="7"/>
        <v>OK</v>
      </c>
      <c r="L47" s="12" t="str">
        <f t="shared" si="7"/>
        <v>OK</v>
      </c>
      <c r="M47" s="12" t="str">
        <f t="shared" si="7"/>
        <v>OK</v>
      </c>
      <c r="N47" s="12" t="str">
        <f t="shared" si="7"/>
        <v>OK</v>
      </c>
      <c r="O47" s="12" t="str">
        <f t="shared" si="7"/>
        <v>OK</v>
      </c>
      <c r="P47" s="12" t="str">
        <f t="shared" si="7"/>
        <v>OK</v>
      </c>
      <c r="Q47" s="12" t="str">
        <f t="shared" si="7"/>
        <v>OK</v>
      </c>
      <c r="R47" s="29"/>
      <c r="S47" s="29"/>
      <c r="T47" s="29"/>
      <c r="U47" s="29"/>
    </row>
    <row r="48" spans="1:21" x14ac:dyDescent="0.2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50" spans="1:16" x14ac:dyDescent="0.25">
      <c r="A50" s="14" t="s">
        <v>35</v>
      </c>
      <c r="B50" s="40" t="s">
        <v>41</v>
      </c>
      <c r="C50" s="60" t="s">
        <v>804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x14ac:dyDescent="0.25">
      <c r="A51" s="13"/>
      <c r="B51" s="21"/>
      <c r="C51" s="21"/>
      <c r="D51" s="1"/>
      <c r="E51" s="1"/>
      <c r="F51" s="1"/>
      <c r="G51" s="1"/>
      <c r="H51" s="1"/>
      <c r="I51" s="1"/>
      <c r="J51" s="21"/>
      <c r="K51" s="21"/>
      <c r="L51" s="21"/>
      <c r="M51" s="21"/>
      <c r="N51" s="21"/>
      <c r="O51" s="21"/>
      <c r="P51" s="21"/>
    </row>
    <row r="52" spans="1:16" ht="15.75" x14ac:dyDescent="0.25">
      <c r="A52" s="17" t="s">
        <v>36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x14ac:dyDescent="0.25">
      <c r="A55" s="1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mergeCells count="1">
    <mergeCell ref="B52:P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30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2025-10-11T16:55:10Z</dcterms:modified>
</cp:coreProperties>
</file>